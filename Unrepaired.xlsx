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28800" windowHeight="11385" tabRatio="500" firstSheet="0" activeTab="1" autoFilterDateGrouping="1"/>
  </bookViews>
  <sheets>
    <sheet name="Final Calculation Sheet" sheetId="1" state="visible" r:id="rId1"/>
    <sheet name="Live Search" sheetId="2" state="visible" r:id="rId2"/>
    <sheet name="Buyer Groups" sheetId="3" state="visible" r:id="rId3"/>
    <sheet name="Lists" sheetId="4" state="hidden" r:id="rId4"/>
    <sheet name="LS_Backup" sheetId="5" state="hidden" r:id="rId5"/>
  </sheets>
  <definedNames>
    <definedName name="SUG_A">Lists!$J$4:INDEX(Lists!$J$4:$J$40,MAX(Lists!$I$4:$I$40))</definedName>
    <definedName name="SUG_D">Lists!$GB$4:INDEX(Lists!$GB$4:$GB$42,MAX(Lists!$GA$4:$GA$40)+2)</definedName>
    <definedName name="SUG_MAIN">Lists!$E$4:INDEX(Lists!$E$4:$E$114,MAX(Lists!$D$4:$D$114))</definedName>
    <definedName name="SUG_B">Lists!$GF$4:INDEX(Lists!$GF$4:$GF$42,MAX(Lists!$GE$4:$GE$40)+2)</definedName>
    <definedName name="SUG_C">Lists!$GJ$4:INDEX(Lists!$GJ$4:$GJ$42,MAX(Lists!$GI$4:$GI$40)+2)</definedName>
    <definedName name="SUG_E">Lists!$GN$4:INDEX(Lists!$GN$4:$GN$42,MAX(Lists!$GM$4:$GM$40)+2)</definedName>
    <definedName name="SUG_F">Lists!$GR$4:INDEX(Lists!$GR$4:$GR$42,MAX(Lists!$GQ$4:$GQ$40)+2)</definedName>
    <definedName name="SUG_G">Lists!$GV$4:INDEX(Lists!$GV$4:$GV$42,MAX(Lists!$GU$4:$GU$40)+2)</definedName>
    <definedName name="SUG_H">Lists!$GZ$4:INDEX(Lists!$GZ$4:$GZ$42,MAX(Lists!$GY$4:$GY$40)+2)</definedName>
    <definedName name="SUG_I">Lists!$HD$4:INDEX(Lists!$HD$4:$HD$42,MAX(Lists!$HC$4:$HC$40)+2)</definedName>
    <definedName name="SUG_J">Lists!$HH$4:INDEX(Lists!$HH$4:$HH$42,MAX(Lists!$HG$4:$HG$40)+2)</definedName>
    <definedName name="SUG_K">Lists!$HL$4:INDEX(Lists!$HL$4:$HL$42,MAX(Lists!$HK$4:$HK$40)+2)</definedName>
    <definedName name="SUG_L">Lists!$HP$4:INDEX(Lists!$HP$4:$HP$42,MAX(Lists!$HO$4:$HO$40)+2)</definedName>
    <definedName name="SUG_M">Lists!$HT$4:INDEX(Lists!$HT$4:$HT$42,MAX(Lists!$HS$4:$HS$40)+2)</definedName>
    <definedName name="SUG_N">Lists!$HX$4:INDEX(Lists!$HX$4:$HX$42,MAX(Lists!$HW$4:$HW$40)+2)</definedName>
    <definedName name="SUG_O">Lists!$IB$4:INDEX(Lists!$IB$4:$IB$42,MAX(Lists!$IA$4:$IA$40)+2)</definedName>
    <definedName name="SUG_P">Lists!$IF$4:INDEX(Lists!$IF$4:$IF$42,MAX(Lists!$IE$4:$IE$40)+2)</definedName>
    <definedName name="SUG_Q">Lists!$IJ$4:INDEX(Lists!$IJ$4:$IJ$42,MAX(Lists!$II$4:$II$40)+2)</definedName>
    <definedName name="SUG_R">Lists!$IN$4:INDEX(Lists!$IN$4:$IN$42,MAX(Lists!$IM$4:$IM$40)+2)</definedName>
    <definedName name="SUG_S">Lists!$IR$4:INDEX(Lists!$IR$4:$IR$42,MAX(Lists!$IQ$4:$IQ$40)+2)</definedName>
    <definedName name="SUG_T">Lists!$IV$4:INDEX(Lists!$IV$4:$IV$42,MAX(Lists!$IU$4:$IU$40)+2)</definedName>
    <definedName name="SUG_U">Lists!$IZ$4:INDEX(Lists!$IZ$4:$IZ$42,MAX(Lists!$IY$4:$IY$40)+2)</definedName>
    <definedName name="SUG_V">Lists!$JD$4:INDEX(Lists!$JD$4:$JD$42,MAX(Lists!$JC$4:$JC$40)+2)</definedName>
    <definedName name="SUG_W">Lists!$JH$4:INDEX(Lists!$JH$4:$JH$42,MAX(Lists!$JG$4:$JG$40)+2)</definedName>
    <definedName name="SUG_X">Lists!$JL$4:INDEX(Lists!$JL$4:$JL$42,MAX(Lists!$JK$4:$JK$40)+2)</definedName>
    <definedName name="SUG_Y">Lists!$JP$4:INDEX(Lists!$JP$4:$JP$42,MAX(Lists!$JO$4:$JO$40)+2)</definedName>
    <definedName name="SUG_Z">Lists!$JT$4:INDEX(Lists!$JT$4:$JT$42,MAX(Lists!$JS$4:$JS$40)+2)</definedName>
    <definedName name="SUG_AA">Lists!$JX$4:INDEX(Lists!$JX$4:$JX$42,MAX(Lists!$JW$4:$JW$40)+2)</definedName>
    <definedName name="SUG_AB">Lists!$KB$4:INDEX(Lists!$KB$4:$KB$42,MAX(Lists!$KA$4:$KA$40)+2)</definedName>
    <definedName name="SUG_AC">Lists!$KF$4:INDEX(Lists!$KF$4:$KF$42,MAX(Lists!$KE$4:$KE$40)+2)</definedName>
    <definedName name="SUG_AD">Lists!$KJ$4:INDEX(Lists!$KJ$4:$KJ$42,MAX(Lists!$KI$4:$KI$40)+2)</definedName>
    <definedName name="SUG_AE">Lists!$KN$4:INDEX(Lists!$KN$4:$KN$42,MAX(Lists!$KM$4:$KM$40)+2)</definedName>
    <definedName name="SUG_AI">Lists!$KR$4:INDEX(Lists!$KR$4:$KR$42,MAX(Lists!$KQ$4:$KQ$40)+2)</definedName>
    <definedName name="SUG_AF">Lists!$KV$4:INDEX(Lists!$KV$4:$KV$42,MAX(Lists!$KU$4:$KU$40)+2)</definedName>
    <definedName name="SUG_AG">Lists!$KZ$4:INDEX(Lists!$KZ$4:$KZ$42,MAX(Lists!$KY$4:$KY$40)+2)</definedName>
    <definedName name="SUG_AH">Lists!$LD$4:INDEX(Lists!$LD$4:$LD$42,MAX(Lists!$LC$4:$LC$40)+2)</definedName>
    <definedName name="SUGN_B">Lists!$LH$4:INDEX(Lists!$LH$4:$LH$42,MAX(Lists!$LG$4:$LG$40)+2)</definedName>
    <definedName name="SUGN_C">Lists!$LL$4:INDEX(Lists!$LL$4:$LL$42,MAX(Lists!$LK$4:$LK$40)+2)</definedName>
    <definedName name="SUGN_D">Lists!$LP$4:INDEX(Lists!$LP$4:$LP$42,MAX(Lists!$LO$4:$LO$40)+2)</definedName>
    <definedName name="SUGN_E">Lists!$LT$4:INDEX(Lists!$LT$4:$LT$42,MAX(Lists!$LS$4:$LS$40)+2)</definedName>
    <definedName name="SUGN_F">Lists!$LX$4:INDEX(Lists!$LX$4:$LX$42,MAX(Lists!$LW$4:$LW$40)+2)</definedName>
    <definedName name="SUGN_G">Lists!$MB$4:INDEX(Lists!$MB$4:$MB$42,MAX(Lists!$MA$4:$MA$40)+2)</definedName>
    <definedName name="SUGN_H">Lists!$MF$4:INDEX(Lists!$MF$4:$MF$42,MAX(Lists!$ME$4:$ME$40)+2)</definedName>
    <definedName name="SUGN_I">Lists!$MJ$4:INDEX(Lists!$MJ$4:$MJ$42,MAX(Lists!$MI$4:$MI$40)+2)</definedName>
    <definedName name="SUGN_J">Lists!$MN$4:INDEX(Lists!$MN$4:$MN$42,MAX(Lists!$MM$4:$MM$40)+2)</definedName>
    <definedName name="SUGN_K">Lists!$MR$4:INDEX(Lists!$MR$4:$MR$42,MAX(Lists!$MQ$4:$MQ$40)+2)</definedName>
    <definedName name="SUGN_L">Lists!$MV$4:INDEX(Lists!$MV$4:$MV$42,MAX(Lists!$MU$4:$MU$40)+2)</definedName>
    <definedName name="SUGN_M">Lists!$MZ$4:INDEX(Lists!$MZ$4:$MZ$42,MAX(Lists!$MY$4:$MY$40)+2)</definedName>
    <definedName name="SUGN_N">Lists!$ND$4:INDEX(Lists!$ND$4:$ND$42,MAX(Lists!$NC$4:$NC$40)+2)</definedName>
    <definedName name="SUGN_O">Lists!$NH$4:INDEX(Lists!$NH$4:$NH$42,MAX(Lists!$NG$4:$NG$40)+2)</definedName>
    <definedName name="SUGN_P">Lists!$NL$4:INDEX(Lists!$NL$4:$NL$42,MAX(Lists!$NK$4:$NK$40)+2)</definedName>
    <definedName name="SUGN_Q">Lists!$NP$4:INDEX(Lists!$NP$4:$NP$42,MAX(Lists!$NO$4:$NO$40)+2)</definedName>
    <definedName name="SUGN_R">Lists!$NT$4:INDEX(Lists!$NT$4:$NT$42,MAX(Lists!$NS$4:$NS$40)+2)</definedName>
    <definedName name="SUGN_S">Lists!$NX$4:INDEX(Lists!$NX$4:$NX$42,MAX(Lists!$NW$4:$NW$40)+2)</definedName>
    <definedName name="SUGN_T">Lists!$OB$4:INDEX(Lists!$OB$4:$OB$42,MAX(Lists!$OA$4:$OA$40)+2)</definedName>
    <definedName name="SUGN_U">Lists!$OF$4:INDEX(Lists!$OF$4:$OF$42,MAX(Lists!$OE$4:$OE$40)+2)</definedName>
    <definedName name="SUGN_V">Lists!$OJ$4:INDEX(Lists!$OJ$4:$OJ$42,MAX(Lists!$OI$4:$OI$40)+2)</definedName>
    <definedName name="SUGN_W">Lists!$ON$4:INDEX(Lists!$ON$4:$ON$42,MAX(Lists!$OM$4:$OM$40)+2)</definedName>
    <definedName name="SUGN_X">Lists!$OR$4:INDEX(Lists!$OR$4:$OR$42,MAX(Lists!$OQ$4:$OQ$40)+2)</definedName>
    <definedName name="SUGN_Y">Lists!$OV$4:INDEX(Lists!$OV$4:$OV$42,MAX(Lists!$OU$4:$OU$40)+2)</definedName>
    <definedName name="SUGN_Z">Lists!$OZ$4:INDEX(Lists!$OZ$4:$OZ$42,MAX(Lists!$OY$4:$OY$40)+2)</definedName>
    <definedName name="SUGN_AA">Lists!$PD$4:INDEX(Lists!$PD$4:$PD$42,MAX(Lists!$PC$4:$PC$40)+2)</definedName>
    <definedName name="SUGN_AB">Lists!$PH$4:INDEX(Lists!$PH$4:$PH$42,MAX(Lists!$PG$4:$PG$40)+2)</definedName>
    <definedName name="SUGN_AC">Lists!$PL$4:INDEX(Lists!$PL$4:$PL$42,MAX(Lists!$PK$4:$PK$40)+2)</definedName>
    <definedName name="SUGN_AD">Lists!$PP$4:INDEX(Lists!$PP$4:$PP$42,MAX(Lists!$PO$4:$PO$40)+2)</definedName>
    <definedName name="SUGN_AE">Lists!$PT$4:INDEX(Lists!$PT$4:$PT$42,MAX(Lists!$PS$4:$PS$40)+2)</definedName>
    <definedName name="SUGN_AI">Lists!$PX$4:INDEX(Lists!$PX$4:$PX$42,MAX(Lists!$PW$4:$PW$40)+2)</definedName>
    <definedName name="SUGN_AF">Lists!$QB$4:INDEX(Lists!$QB$4:$QB$42,MAX(Lists!$QA$4:$QA$40)+2)</definedName>
    <definedName name="SUGN_AG">Lists!$QF$4:INDEX(Lists!$QF$4:$QF$42,MAX(Lists!$QE$4:$QE$40)+2)</definedName>
    <definedName name="SUGN_AH">Lists!$QJ$4:INDEX(Lists!$QJ$4:$QJ$42,MAX(Lists!$QI$4:$QI$40)+2)</definedName>
    <definedName name="_xlnm._FilterDatabase" localSheetId="0" hidden="1">'Final Calculation Sheet'!$A$3:$AH$43</definedName>
    <definedName name="_xlnm.Print_Titles" localSheetId="1">'Live Search'!$5:$5</definedName>
    <definedName name="SUGF_A">Lists!$QS$4:INDEX(Lists!$QS$4:$QS$42,MAX(Lists!$QR$4:$QR$40)+2)</definedName>
    <definedName name="SUGF_B">Lists!$QW$4:INDEX(Lists!$QW$4:$QW$42,MAX(Lists!$QV$4:$QV$40)+2)</definedName>
    <definedName name="SUGF_C">Lists!$RA$4:INDEX(Lists!$RA$4:$RA$42,MAX(Lists!$QZ$4:$QZ$40)+2)</definedName>
    <definedName name="SUGF_D">Lists!$RE$4:INDEX(Lists!$RE$4:$RE$42,MAX(Lists!$RD$4:$RD$40)+2)</definedName>
    <definedName name="SUGF_E">Lists!$RI$4:INDEX(Lists!$RI$4:$RI$42,MAX(Lists!$RH$4:$RH$40)+2)</definedName>
    <definedName name="SUGF_F">Lists!$RM$4:INDEX(Lists!$RM$4:$RM$42,MAX(Lists!$RL$4:$RL$40)+2)</definedName>
    <definedName name="SUGF_G">Lists!$RQ$4:INDEX(Lists!$RQ$4:$RQ$42,MAX(Lists!$RP$4:$RP$40)+2)</definedName>
    <definedName name="SUGF_H">Lists!$RU$4:INDEX(Lists!$RU$4:$RU$42,MAX(Lists!$RT$4:$RT$40)+2)</definedName>
    <definedName name="SUGF_I">Lists!$RY$4:INDEX(Lists!$RY$4:$RY$42,MAX(Lists!$RX$4:$RX$40)+2)</definedName>
    <definedName name="SUGF_J">Lists!$SC$4:INDEX(Lists!$SC$4:$SC$42,MAX(Lists!$SB$4:$SB$40)+2)</definedName>
    <definedName name="SUGF_K">Lists!$SG$4:INDEX(Lists!$SG$4:$SG$42,MAX(Lists!$SF$4:$SF$40)+2)</definedName>
    <definedName name="SUGF_L">Lists!$SK$4:INDEX(Lists!$SK$4:$SK$42,MAX(Lists!$SJ$4:$SJ$40)+2)</definedName>
    <definedName name="SUGF_M">Lists!$SO$4:INDEX(Lists!$SO$4:$SO$42,MAX(Lists!$SN$4:$SN$40)+2)</definedName>
    <definedName name="SUGF_N">Lists!$SS$4:INDEX(Lists!$SS$4:$SS$42,MAX(Lists!$SR$4:$SR$40)+2)</definedName>
    <definedName name="SUGF_O">Lists!$SW$4:INDEX(Lists!$SW$4:$SW$42,MAX(Lists!$SV$4:$SV$40)+2)</definedName>
    <definedName name="SUGF_P">Lists!$TA$4:INDEX(Lists!$TA$4:$TA$42,MAX(Lists!$SZ$4:$SZ$40)+2)</definedName>
    <definedName name="SUGF_Q">Lists!$TE$4:INDEX(Lists!$TE$4:$TE$42,MAX(Lists!$TD$4:$TD$40)+2)</definedName>
    <definedName name="SUGF_R">Lists!$TI$4:INDEX(Lists!$TI$4:$TI$42,MAX(Lists!$TH$4:$TH$40)+2)</definedName>
    <definedName name="SUGF_S">Lists!$TM$4:INDEX(Lists!$TM$4:$TM$42,MAX(Lists!$TL$4:$TL$40)+2)</definedName>
    <definedName name="SUGF_T">Lists!$TQ$4:INDEX(Lists!$TQ$4:$TQ$42,MAX(Lists!$TP$4:$TP$40)+2)</definedName>
    <definedName name="SUGF_U">Lists!$TU$4:INDEX(Lists!$TU$4:$TU$42,MAX(Lists!$TT$4:$TT$40)+2)</definedName>
    <definedName name="SUGF_V">Lists!$TY$4:INDEX(Lists!$TY$4:$TY$42,MAX(Lists!$TX$4:$TX$40)+2)</definedName>
    <definedName name="SUGF_W">Lists!$UC$4:INDEX(Lists!$UC$4:$UC$42,MAX(Lists!$UB$4:$UB$40)+2)</definedName>
    <definedName name="SUGF_X">Lists!$UG$4:INDEX(Lists!$UG$4:$UG$42,MAX(Lists!$UF$4:$UF$40)+2)</definedName>
    <definedName name="SUGF_Y">Lists!$UK$4:INDEX(Lists!$UK$4:$UK$42,MAX(Lists!$UJ$4:$UJ$40)+2)</definedName>
    <definedName name="SUGF_Z">Lists!$UO$4:INDEX(Lists!$UO$4:$UO$42,MAX(Lists!$UN$4:$UN$40)+2)</definedName>
    <definedName name="SUGF_AA">Lists!$US$4:INDEX(Lists!$US$4:$US$42,MAX(Lists!$UR$4:$UR$40)+2)</definedName>
    <definedName name="SUGF_AB">Lists!$UW$4:INDEX(Lists!$UW$4:$UW$42,MAX(Lists!$UV$4:$UV$40)+2)</definedName>
    <definedName name="SUGF_AC">Lists!$VA$4:INDEX(Lists!$VA$4:$VA$42,MAX(Lists!$UZ$4:$UZ$40)+2)</definedName>
    <definedName name="SUGF_AD">Lists!$VE$4:INDEX(Lists!$VE$4:$VE$42,MAX(Lists!$VD$4:$VD$40)+2)</definedName>
    <definedName name="SUGF_AE">Lists!$VI$4:INDEX(Lists!$VI$4:$VI$42,MAX(Lists!$VH$4:$VH$40)+2)</definedName>
    <definedName name="SUGF_AF">Lists!$VM$4:INDEX(Lists!$VM$4:$VM$42,MAX(Lists!$VL$4:$VL$40)+2)</definedName>
    <definedName name="SUGF_AG">Lists!$VQ$4:INDEX(Lists!$VQ$4:$VQ$42,MAX(Lists!$VP$4:$VP$40)+2)</definedName>
    <definedName name="SUGF_AH">Lists!$VU$4:INDEX(Lists!$VU$4:$VU$42,MAX(Lists!$VT$4:$VT$40)+2)</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_ * #,##0_ ;_ * \-#,##0_ ;_ * \-??_ ;_ @_ "/>
  </numFmts>
  <fonts count="23">
    <font>
      <name val="Calibri"/>
      <charset val="1"/>
      <family val="2"/>
      <color theme="1"/>
      <sz val="11"/>
    </font>
    <font>
      <name val="Arial"/>
      <charset val="1"/>
      <family val="2"/>
      <b val="1"/>
      <sz val="13"/>
    </font>
    <font>
      <name val="Calibri"/>
      <charset val="1"/>
      <family val="2"/>
      <b val="1"/>
      <color theme="1"/>
      <sz val="11"/>
    </font>
    <font>
      <name val="Calibri"/>
      <charset val="1"/>
      <family val="2"/>
      <b val="1"/>
      <color theme="1"/>
      <sz val="9"/>
    </font>
    <font>
      <name val="Arial"/>
      <charset val="1"/>
      <family val="2"/>
      <b val="1"/>
      <color theme="1"/>
      <sz val="10"/>
    </font>
    <font>
      <name val="Arial"/>
      <charset val="1"/>
      <family val="2"/>
      <sz val="10"/>
    </font>
    <font>
      <name val="Arial"/>
      <charset val="1"/>
      <family val="2"/>
      <color theme="1"/>
      <sz val="10"/>
    </font>
    <font>
      <name val="Calibri"/>
      <charset val="1"/>
      <b val="1"/>
      <color rgb="FFFFFFFF"/>
      <sz val="15"/>
    </font>
    <font>
      <name val="Calibri"/>
      <charset val="1"/>
      <i val="1"/>
      <color rgb="FF1F3864"/>
      <sz val="9"/>
    </font>
    <font>
      <name val="Calibri"/>
      <charset val="1"/>
      <b val="1"/>
      <color rgb="FFFFFFFF"/>
      <sz val="11"/>
    </font>
    <font>
      <name val="Calibri"/>
      <charset val="1"/>
      <b val="1"/>
      <color rgb="FF1F3864"/>
      <sz val="12"/>
    </font>
    <font>
      <name val="Calibri"/>
      <charset val="1"/>
      <b val="1"/>
      <color rgb="FFFFFFFF"/>
      <sz val="10"/>
    </font>
    <font>
      <name val="Calibri"/>
      <charset val="1"/>
      <b val="1"/>
      <color rgb="FF1F3864"/>
      <sz val="10"/>
    </font>
    <font>
      <name val="Calibri"/>
      <charset val="1"/>
      <i val="1"/>
      <color rgb="FF808080"/>
      <sz val="8"/>
    </font>
    <font>
      <name val="Cambria"/>
      <charset val="1"/>
      <sz val="11"/>
    </font>
    <font>
      <name val="Calibri"/>
      <charset val="1"/>
      <b val="1"/>
      <color rgb="FF666666"/>
      <sz val="9"/>
    </font>
    <font>
      <name val="Calibri"/>
      <charset val="1"/>
      <b val="1"/>
      <color rgb="FF333333"/>
      <sz val="10"/>
    </font>
    <font>
      <name val="Calibri"/>
      <charset val="1"/>
      <color rgb="FF333333"/>
      <sz val="10"/>
    </font>
    <font>
      <name val="Calibri"/>
      <charset val="1"/>
      <b val="1"/>
      <sz val="10"/>
    </font>
    <font>
      <name val="Cambria"/>
      <charset val="1"/>
      <b val="1"/>
      <color rgb="FFFFFFFF"/>
      <sz val="9"/>
    </font>
    <font>
      <name val="Calibri"/>
      <charset val="1"/>
      <b val="1"/>
      <color rgb="FFFFFFFF"/>
      <sz val="9"/>
    </font>
    <font>
      <name val="Calibri"/>
      <charset val="1"/>
      <i val="1"/>
      <color rgb="FF666666"/>
      <sz val="10"/>
    </font>
    <font>
      <name val="Arial"/>
      <charset val="1"/>
      <family val="2"/>
      <b val="1"/>
      <sz val="10"/>
    </font>
  </fonts>
  <fills count="12">
    <fill>
      <patternFill/>
    </fill>
    <fill>
      <patternFill patternType="gray125"/>
    </fill>
    <fill>
      <patternFill patternType="solid">
        <fgColor theme="0"/>
        <bgColor rgb="FFF4F9FD"/>
      </patternFill>
    </fill>
    <fill>
      <patternFill patternType="solid">
        <fgColor theme="2" tint="-0.09997863704336681"/>
        <bgColor rgb="FFD0D0D0"/>
      </patternFill>
    </fill>
    <fill>
      <patternFill patternType="solid">
        <fgColor rgb="FF1F3864"/>
        <bgColor rgb="FF333333"/>
      </patternFill>
    </fill>
    <fill>
      <patternFill patternType="solid">
        <fgColor rgb="FFDDEBF7"/>
        <bgColor rgb="FFEDEDED"/>
      </patternFill>
    </fill>
    <fill>
      <patternFill patternType="solid">
        <fgColor rgb="FFFFE699"/>
        <bgColor rgb="FFFFD966"/>
      </patternFill>
    </fill>
    <fill>
      <patternFill patternType="solid">
        <fgColor rgb="FF2F5496"/>
        <bgColor rgb="FF2E75B6"/>
      </patternFill>
    </fill>
    <fill>
      <patternFill patternType="solid">
        <fgColor rgb="FFF4F9FD"/>
        <bgColor rgb="FFFFFFFF"/>
      </patternFill>
    </fill>
    <fill>
      <patternFill patternType="solid">
        <fgColor rgb="FF375623"/>
        <bgColor rgb="FF333333"/>
      </patternFill>
    </fill>
    <fill>
      <patternFill patternType="solid">
        <fgColor rgb="FFF4F9FD"/>
      </patternFill>
    </fill>
    <fill>
      <patternFill patternType="solid">
        <fgColor rgb="FFD9E2F3"/>
      </patternFill>
    </fill>
  </fills>
  <borders count="25">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rgb="FF808080"/>
      </left>
      <right style="medium">
        <color rgb="FF808080"/>
      </right>
      <top style="medium">
        <color rgb="FF808080"/>
      </top>
      <bottom style="medium">
        <color rgb="FF808080"/>
      </bottom>
      <diagonal/>
    </border>
    <border>
      <left style="thin">
        <color rgb="FFD0D0D0"/>
      </left>
      <right style="thin">
        <color rgb="FFD0D0D0"/>
      </right>
      <top style="medium">
        <color rgb="FF808080"/>
      </top>
      <bottom style="medium">
        <color rgb="FF808080"/>
      </bottom>
      <diagonal/>
    </border>
    <border>
      <left style="thin">
        <color rgb="FFB0B0B0"/>
      </left>
      <right style="thin">
        <color rgb="FFB0B0B0"/>
      </right>
      <top style="thin">
        <color rgb="FFB0B0B0"/>
      </top>
      <bottom style="thin">
        <color rgb="FFB0B0B0"/>
      </bottom>
      <diagonal/>
    </border>
    <border>
      <left/>
      <right/>
      <top style="double">
        <color rgb="FFFFFFFF"/>
      </top>
      <bottom/>
      <diagonal/>
    </border>
    <border>
      <left/>
      <right/>
      <top style="medium">
        <color rgb="FF808080"/>
      </top>
      <bottom/>
      <diagonal/>
    </border>
    <border>
      <left/>
      <right style="medium">
        <color rgb="FF808080"/>
      </right>
      <top style="medium">
        <color rgb="FF808080"/>
      </top>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s>
  <cellStyleXfs count="1">
    <xf numFmtId="0" fontId="0" fillId="0" borderId="0"/>
  </cellStyleXfs>
  <cellXfs count="165">
    <xf numFmtId="0" fontId="0" fillId="0" borderId="0" pivotButton="0" quotePrefix="0" xfId="0"/>
    <xf numFmtId="0" fontId="0" fillId="0" borderId="0" applyAlignment="1" pivotButton="0" quotePrefix="0" xfId="0">
      <alignment wrapText="1"/>
    </xf>
    <xf numFmtId="0" fontId="0" fillId="2" borderId="0" pivotButton="0" quotePrefix="0" xfId="0"/>
    <xf numFmtId="0" fontId="1" fillId="0" borderId="0" applyAlignment="1" pivotButton="0" quotePrefix="0" xfId="0">
      <alignment vertical="center"/>
    </xf>
    <xf numFmtId="0" fontId="2" fillId="3" borderId="1" applyAlignment="1" pivotButton="0" quotePrefix="0" xfId="0">
      <alignment horizontal="center" vertical="center"/>
    </xf>
    <xf numFmtId="0" fontId="2" fillId="3" borderId="2" applyAlignment="1" pivotButton="0" quotePrefix="0" xfId="0">
      <alignment horizontal="center" vertical="center"/>
    </xf>
    <xf numFmtId="0" fontId="2"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5" applyAlignment="1" pivotButton="0" quotePrefix="0" xfId="0">
      <alignment horizontal="left" vertical="center" wrapText="1"/>
    </xf>
    <xf numFmtId="164" fontId="5" fillId="0" borderId="5" applyAlignment="1" pivotButton="0" quotePrefix="0" xfId="0">
      <alignment horizontal="center" vertical="center" wrapText="1"/>
    </xf>
    <xf numFmtId="0" fontId="5" fillId="0" borderId="5" applyAlignment="1" pivotButton="0" quotePrefix="0" xfId="0">
      <alignment horizontal="center" vertical="center" wrapText="1"/>
    </xf>
    <xf numFmtId="164" fontId="5" fillId="0" borderId="5" applyAlignment="1" pivotButton="0" quotePrefix="0" xfId="0">
      <alignment horizontal="right" vertical="center" wrapText="1"/>
    </xf>
    <xf numFmtId="164" fontId="5" fillId="0" borderId="5" applyAlignment="1" pivotButton="0" quotePrefix="0" xfId="0">
      <alignment horizontal="right" vertical="center"/>
    </xf>
    <xf numFmtId="3" fontId="5" fillId="0" borderId="5" applyAlignment="1" pivotButton="0" quotePrefix="0" xfId="0">
      <alignment horizontal="right" vertical="center"/>
    </xf>
    <xf numFmtId="9" fontId="5" fillId="0" borderId="5" applyAlignment="1" pivotButton="0" quotePrefix="0" xfId="0">
      <alignment horizontal="right" vertical="center"/>
    </xf>
    <xf numFmtId="165" fontId="6" fillId="2" borderId="5" applyAlignment="1" pivotButton="0" quotePrefix="0" xfId="0">
      <alignment vertical="center"/>
    </xf>
    <xf numFmtId="164" fontId="5" fillId="2" borderId="5" applyAlignment="1" pivotButton="0" quotePrefix="0" xfId="0">
      <alignment horizontal="right" vertical="center"/>
    </xf>
    <xf numFmtId="164" fontId="5" fillId="2" borderId="6" applyAlignment="1" pivotButton="0" quotePrefix="0" xfId="0">
      <alignment horizontal="right" vertical="center"/>
    </xf>
    <xf numFmtId="1" fontId="5" fillId="2" borderId="6" applyAlignment="1" pivotButton="0" quotePrefix="0" xfId="0">
      <alignment horizontal="center" vertical="center"/>
    </xf>
    <xf numFmtId="164" fontId="5" fillId="2" borderId="7" applyAlignment="1" pivotButton="0" quotePrefix="0" xfId="0">
      <alignment horizontal="right" vertical="center"/>
    </xf>
    <xf numFmtId="0" fontId="5" fillId="0" borderId="8" applyAlignment="1" pivotButton="0" quotePrefix="0" xfId="0">
      <alignment horizontal="center" vertical="center" wrapText="1"/>
    </xf>
    <xf numFmtId="0" fontId="5" fillId="0" borderId="6" applyAlignment="1" pivotButton="0" quotePrefix="0" xfId="0">
      <alignment horizontal="left" vertical="center" wrapText="1"/>
    </xf>
    <xf numFmtId="164" fontId="5" fillId="0" borderId="6" applyAlignment="1" pivotButton="0" quotePrefix="0" xfId="0">
      <alignment horizontal="center" vertical="center" wrapText="1"/>
    </xf>
    <xf numFmtId="0" fontId="5" fillId="0" borderId="6" applyAlignment="1" pivotButton="0" quotePrefix="0" xfId="0">
      <alignment horizontal="center" vertical="center" wrapText="1"/>
    </xf>
    <xf numFmtId="164" fontId="5" fillId="0" borderId="6" applyAlignment="1" pivotButton="0" quotePrefix="0" xfId="0">
      <alignment horizontal="right" vertical="center" wrapText="1"/>
    </xf>
    <xf numFmtId="164" fontId="5" fillId="0" borderId="6" applyAlignment="1" pivotButton="0" quotePrefix="0" xfId="0">
      <alignment horizontal="right" vertical="center"/>
    </xf>
    <xf numFmtId="3" fontId="5" fillId="0" borderId="6" applyAlignment="1" pivotButton="0" quotePrefix="0" xfId="0">
      <alignment horizontal="right" vertical="center"/>
    </xf>
    <xf numFmtId="9" fontId="5" fillId="0" borderId="6" applyAlignment="1" pivotButton="0" quotePrefix="0" xfId="0">
      <alignment horizontal="right" vertical="center"/>
    </xf>
    <xf numFmtId="165" fontId="6" fillId="2" borderId="6" applyAlignment="1" pivotButton="0" quotePrefix="0" xfId="0">
      <alignment vertical="center"/>
    </xf>
    <xf numFmtId="0" fontId="5" fillId="0" borderId="9" applyAlignment="1" pivotButton="0" quotePrefix="0" xfId="0">
      <alignment horizontal="center" vertical="center" wrapText="1"/>
    </xf>
    <xf numFmtId="0" fontId="5" fillId="0" borderId="10" applyAlignment="1" pivotButton="0" quotePrefix="0" xfId="0">
      <alignment horizontal="left" vertical="center" wrapText="1"/>
    </xf>
    <xf numFmtId="164" fontId="5" fillId="0" borderId="10" applyAlignment="1" pivotButton="0" quotePrefix="0" xfId="0">
      <alignment horizontal="center" vertical="center" wrapText="1"/>
    </xf>
    <xf numFmtId="0" fontId="5" fillId="0" borderId="10" applyAlignment="1" pivotButton="0" quotePrefix="0" xfId="0">
      <alignment horizontal="center" vertical="center" wrapText="1"/>
    </xf>
    <xf numFmtId="164" fontId="5" fillId="0" borderId="10" applyAlignment="1" pivotButton="0" quotePrefix="0" xfId="0">
      <alignment horizontal="right" vertical="center" wrapText="1"/>
    </xf>
    <xf numFmtId="164" fontId="5" fillId="0" borderId="10" applyAlignment="1" pivotButton="0" quotePrefix="0" xfId="0">
      <alignment horizontal="right" vertical="center"/>
    </xf>
    <xf numFmtId="3" fontId="5" fillId="0" borderId="10" applyAlignment="1" pivotButton="0" quotePrefix="0" xfId="0">
      <alignment horizontal="right" vertical="center"/>
    </xf>
    <xf numFmtId="9" fontId="5" fillId="0" borderId="10" applyAlignment="1" pivotButton="0" quotePrefix="0" xfId="0">
      <alignment horizontal="right" vertical="center"/>
    </xf>
    <xf numFmtId="165" fontId="6" fillId="2" borderId="10" applyAlignment="1" pivotButton="0" quotePrefix="0" xfId="0">
      <alignment vertical="center"/>
    </xf>
    <xf numFmtId="0" fontId="0" fillId="0" borderId="11" pivotButton="0" quotePrefix="0" xfId="0"/>
    <xf numFmtId="0" fontId="0" fillId="0" borderId="12" pivotButton="0" quotePrefix="0" xfId="0"/>
    <xf numFmtId="164" fontId="5" fillId="0" borderId="12" applyAlignment="1" pivotButton="0" quotePrefix="0" xfId="0">
      <alignment horizontal="right" vertical="center" wrapText="1"/>
    </xf>
    <xf numFmtId="164" fontId="5" fillId="0" borderId="12" applyAlignment="1" pivotButton="0" quotePrefix="0" xfId="0">
      <alignment horizontal="right" vertical="center"/>
    </xf>
    <xf numFmtId="0" fontId="0" fillId="0" borderId="13" pivotButton="0" quotePrefix="0" xfId="0"/>
    <xf numFmtId="0" fontId="0" fillId="0" borderId="14" pivotButton="0" quotePrefix="0" xfId="0"/>
    <xf numFmtId="0" fontId="0" fillId="0" borderId="15" pivotButton="0" quotePrefix="0" xfId="0"/>
    <xf numFmtId="164" fontId="5" fillId="0" borderId="15" applyAlignment="1" pivotButton="0" quotePrefix="0" xfId="0">
      <alignment horizontal="right" vertical="center" wrapText="1"/>
    </xf>
    <xf numFmtId="164" fontId="5" fillId="0" borderId="15" applyAlignment="1" pivotButton="0" quotePrefix="0" xfId="0">
      <alignment horizontal="right" vertical="center"/>
    </xf>
    <xf numFmtId="3" fontId="5" fillId="0" borderId="15" applyAlignment="1" pivotButton="0" quotePrefix="0" xfId="0">
      <alignment horizontal="right" vertical="center"/>
    </xf>
    <xf numFmtId="164" fontId="6" fillId="0" borderId="15" pivotButton="0" quotePrefix="0" xfId="0"/>
    <xf numFmtId="165" fontId="6" fillId="2" borderId="15" applyAlignment="1" pivotButton="0" quotePrefix="0" xfId="0">
      <alignment horizontal="right" vertical="center"/>
    </xf>
    <xf numFmtId="164" fontId="0" fillId="0" borderId="15" pivotButton="0" quotePrefix="0" xfId="0"/>
    <xf numFmtId="0" fontId="0" fillId="0" borderId="16" pivotButton="0" quotePrefix="0" xfId="0"/>
    <xf numFmtId="164" fontId="0" fillId="0" borderId="0" pivotButton="0" quotePrefix="0" xfId="0"/>
    <xf numFmtId="0" fontId="0" fillId="2" borderId="0" applyAlignment="1" pivotButton="0" quotePrefix="0" xfId="0">
      <alignment horizontal="right" vertical="center"/>
    </xf>
    <xf numFmtId="0" fontId="0" fillId="0" borderId="0" applyAlignment="1" pivotButton="0" quotePrefix="0" xfId="0">
      <alignment horizontal="right"/>
    </xf>
    <xf numFmtId="164" fontId="0" fillId="2" borderId="0" pivotButton="0" quotePrefix="0" xfId="0"/>
    <xf numFmtId="0" fontId="9" fillId="4" borderId="0" applyAlignment="1" pivotButton="0" quotePrefix="0" xfId="0">
      <alignment horizontal="right" vertical="center"/>
    </xf>
    <xf numFmtId="0" fontId="11" fillId="4" borderId="0" applyAlignment="1" pivotButton="0" quotePrefix="0" xfId="0">
      <alignment horizontal="right" vertical="center"/>
    </xf>
    <xf numFmtId="0" fontId="12" fillId="6" borderId="17" applyAlignment="1" pivotButton="0" quotePrefix="0" xfId="0">
      <alignment horizontal="center" vertical="center" wrapText="1"/>
    </xf>
    <xf numFmtId="0" fontId="10" fillId="5" borderId="17" applyAlignment="1" pivotButton="0" quotePrefix="0" xfId="0">
      <alignment horizontal="center" vertical="center" wrapText="1"/>
    </xf>
    <xf numFmtId="0" fontId="13" fillId="0" borderId="0" pivotButton="0" quotePrefix="0" xfId="0"/>
    <xf numFmtId="0" fontId="11" fillId="7" borderId="18" applyAlignment="1" pivotButton="0" quotePrefix="0" xfId="0">
      <alignment horizontal="center" vertical="center" wrapText="1"/>
    </xf>
    <xf numFmtId="0" fontId="14" fillId="0" borderId="0" applyAlignment="1" pivotButton="0" quotePrefix="0" xfId="0">
      <alignment horizontal="left" vertical="center"/>
    </xf>
    <xf numFmtId="0" fontId="14" fillId="0" borderId="0" pivotButton="0" quotePrefix="0" xfId="0"/>
    <xf numFmtId="1" fontId="15" fillId="0" borderId="0" applyAlignment="1" pivotButton="0" quotePrefix="0" xfId="0">
      <alignment horizontal="center" vertical="center" wrapText="1"/>
    </xf>
    <xf numFmtId="0" fontId="16" fillId="0" borderId="0" applyAlignment="1" pivotButton="0" quotePrefix="0" xfId="0">
      <alignment horizontal="left" vertical="center"/>
    </xf>
    <xf numFmtId="0" fontId="17" fillId="0" borderId="0" applyAlignment="1" pivotButton="0" quotePrefix="0" xfId="0">
      <alignment horizontal="left" vertical="center"/>
    </xf>
    <xf numFmtId="164" fontId="17" fillId="0" borderId="0" applyAlignment="1" pivotButton="0" quotePrefix="0" xfId="0">
      <alignment horizontal="right" vertical="center"/>
    </xf>
    <xf numFmtId="3" fontId="17" fillId="0" borderId="0" applyAlignment="1" pivotButton="0" quotePrefix="0" xfId="0">
      <alignment horizontal="right" vertical="center"/>
    </xf>
    <xf numFmtId="9" fontId="17" fillId="0" borderId="0" applyAlignment="1" pivotButton="0" quotePrefix="0" xfId="0">
      <alignment horizontal="right" vertical="center"/>
    </xf>
    <xf numFmtId="165" fontId="17" fillId="0" borderId="0" applyAlignment="1" pivotButton="0" quotePrefix="0" xfId="0">
      <alignment horizontal="right" vertical="center"/>
    </xf>
    <xf numFmtId="1" fontId="17" fillId="0" borderId="0" applyAlignment="1" pivotButton="0" quotePrefix="0" xfId="0">
      <alignment horizontal="right" vertical="center"/>
    </xf>
    <xf numFmtId="0" fontId="18" fillId="0" borderId="0" applyAlignment="1" pivotButton="0" quotePrefix="0" xfId="0">
      <alignment horizontal="center" vertical="center" wrapText="1"/>
    </xf>
    <xf numFmtId="0" fontId="16" fillId="0" borderId="0" applyAlignment="1" pivotButton="0" quotePrefix="0" xfId="0">
      <alignment horizontal="left" vertical="center"/>
    </xf>
    <xf numFmtId="0" fontId="19" fillId="4" borderId="19" pivotButton="0" quotePrefix="0" xfId="0"/>
    <xf numFmtId="0" fontId="12" fillId="6" borderId="19" applyProtection="1" pivotButton="0" quotePrefix="0" xfId="0">
      <protection locked="0" hidden="0"/>
    </xf>
    <xf numFmtId="0" fontId="0" fillId="0" borderId="0" pivotButton="0" quotePrefix="0" xfId="0"/>
    <xf numFmtId="0" fontId="17" fillId="0" borderId="0" applyAlignment="1" pivotButton="0" quotePrefix="0" xfId="0">
      <alignment horizontal="left" vertical="center"/>
    </xf>
    <xf numFmtId="1" fontId="20" fillId="4" borderId="0" applyAlignment="1" pivotButton="0" quotePrefix="0" xfId="0">
      <alignment horizontal="center" vertical="center" wrapText="1"/>
    </xf>
    <xf numFmtId="0" fontId="11" fillId="4" borderId="0" applyAlignment="1" pivotButton="0" quotePrefix="0" xfId="0">
      <alignment horizontal="left" vertical="center"/>
    </xf>
    <xf numFmtId="0" fontId="11" fillId="4" borderId="0" applyAlignment="1" pivotButton="0" quotePrefix="0" xfId="0">
      <alignment horizontal="left" vertical="center"/>
    </xf>
    <xf numFmtId="164" fontId="11" fillId="4" borderId="0" applyAlignment="1" pivotButton="0" quotePrefix="0" xfId="0">
      <alignment horizontal="right" vertical="center"/>
    </xf>
    <xf numFmtId="3" fontId="11" fillId="4" borderId="0" applyAlignment="1" pivotButton="0" quotePrefix="0" xfId="0">
      <alignment horizontal="right" vertical="center"/>
    </xf>
    <xf numFmtId="9" fontId="11" fillId="4" borderId="0" applyAlignment="1" pivotButton="0" quotePrefix="0" xfId="0">
      <alignment horizontal="right" vertical="center"/>
    </xf>
    <xf numFmtId="165" fontId="11" fillId="4" borderId="0" applyAlignment="1" pivotButton="0" quotePrefix="0" xfId="0">
      <alignment horizontal="right" vertical="center"/>
    </xf>
    <xf numFmtId="1" fontId="11" fillId="4" borderId="0" applyAlignment="1" pivotButton="0" quotePrefix="0" xfId="0">
      <alignment horizontal="right" vertical="center"/>
    </xf>
    <xf numFmtId="0" fontId="11" fillId="4" borderId="0" applyAlignment="1" pivotButton="0" quotePrefix="0" xfId="0">
      <alignment horizontal="center" vertical="center" wrapText="1"/>
    </xf>
    <xf numFmtId="1" fontId="15" fillId="8" borderId="0" applyAlignment="1" pivotButton="0" quotePrefix="0" xfId="0">
      <alignment horizontal="center" vertical="center" wrapText="1"/>
    </xf>
    <xf numFmtId="0" fontId="16" fillId="8" borderId="0" applyAlignment="1" pivotButton="0" quotePrefix="0" xfId="0">
      <alignment horizontal="left" vertical="center"/>
    </xf>
    <xf numFmtId="0" fontId="16" fillId="8" borderId="0" applyAlignment="1" pivotButton="0" quotePrefix="0" xfId="0">
      <alignment horizontal="left" vertical="center"/>
    </xf>
    <xf numFmtId="0" fontId="17" fillId="8" borderId="0" applyAlignment="1" pivotButton="0" quotePrefix="0" xfId="0">
      <alignment horizontal="left" vertical="center"/>
    </xf>
    <xf numFmtId="0" fontId="17" fillId="8" borderId="0" applyAlignment="1" pivotButton="0" quotePrefix="0" xfId="0">
      <alignment horizontal="left" vertical="center"/>
    </xf>
    <xf numFmtId="164" fontId="17" fillId="8" borderId="0" applyAlignment="1" pivotButton="0" quotePrefix="0" xfId="0">
      <alignment horizontal="right" vertical="center"/>
    </xf>
    <xf numFmtId="3" fontId="17" fillId="8" borderId="0" applyAlignment="1" pivotButton="0" quotePrefix="0" xfId="0">
      <alignment horizontal="right" vertical="center"/>
    </xf>
    <xf numFmtId="9" fontId="17" fillId="8" borderId="0" applyAlignment="1" pivotButton="0" quotePrefix="0" xfId="0">
      <alignment horizontal="right" vertical="center"/>
    </xf>
    <xf numFmtId="165" fontId="17" fillId="8" borderId="0" applyAlignment="1" pivotButton="0" quotePrefix="0" xfId="0">
      <alignment horizontal="right" vertical="center"/>
    </xf>
    <xf numFmtId="1" fontId="17" fillId="8" borderId="0" applyAlignment="1" pivotButton="0" quotePrefix="0" xfId="0">
      <alignment horizontal="right" vertical="center"/>
    </xf>
    <xf numFmtId="0" fontId="18" fillId="8" borderId="0" applyAlignment="1" pivotButton="0" quotePrefix="0" xfId="0">
      <alignment horizontal="center" vertical="center" wrapText="1"/>
    </xf>
    <xf numFmtId="1" fontId="9" fillId="4" borderId="20" applyAlignment="1" pivotButton="0" quotePrefix="0" xfId="0">
      <alignment horizontal="center" vertical="center" wrapText="1"/>
    </xf>
    <xf numFmtId="0" fontId="9" fillId="4" borderId="20" applyAlignment="1" pivotButton="0" quotePrefix="0" xfId="0">
      <alignment horizontal="left" vertical="center"/>
    </xf>
    <xf numFmtId="164" fontId="9" fillId="4" borderId="20" applyAlignment="1" pivotButton="0" quotePrefix="0" xfId="0">
      <alignment horizontal="right" vertical="center"/>
    </xf>
    <xf numFmtId="3" fontId="9" fillId="4" borderId="20" applyAlignment="1" pivotButton="0" quotePrefix="0" xfId="0">
      <alignment horizontal="right" vertical="center"/>
    </xf>
    <xf numFmtId="9" fontId="9" fillId="4" borderId="20" applyAlignment="1" pivotButton="0" quotePrefix="0" xfId="0">
      <alignment horizontal="right" vertical="center"/>
    </xf>
    <xf numFmtId="165" fontId="9" fillId="4" borderId="20" applyAlignment="1" pivotButton="0" quotePrefix="0" xfId="0">
      <alignment horizontal="right" vertical="center"/>
    </xf>
    <xf numFmtId="1" fontId="9" fillId="4" borderId="20" applyAlignment="1" pivotButton="0" quotePrefix="0" xfId="0">
      <alignment horizontal="right" vertical="center"/>
    </xf>
    <xf numFmtId="0" fontId="9" fillId="4" borderId="20" applyAlignment="1" pivotButton="0" quotePrefix="0" xfId="0">
      <alignment horizontal="center" vertical="center" wrapText="1"/>
    </xf>
    <xf numFmtId="1" fontId="9" fillId="9" borderId="0" applyAlignment="1" pivotButton="0" quotePrefix="0" xfId="0">
      <alignment horizontal="center" vertical="center" wrapText="1"/>
    </xf>
    <xf numFmtId="0" fontId="9" fillId="9" borderId="0" applyAlignment="1" pivotButton="0" quotePrefix="0" xfId="0">
      <alignment horizontal="left" vertical="center"/>
    </xf>
    <xf numFmtId="164" fontId="9" fillId="9" borderId="0" applyAlignment="1" pivotButton="0" quotePrefix="0" xfId="0">
      <alignment horizontal="right" vertical="center"/>
    </xf>
    <xf numFmtId="3" fontId="9" fillId="9" borderId="0" applyAlignment="1" pivotButton="0" quotePrefix="0" xfId="0">
      <alignment horizontal="right" vertical="center"/>
    </xf>
    <xf numFmtId="9" fontId="9" fillId="9" borderId="0" applyAlignment="1" pivotButton="0" quotePrefix="0" xfId="0">
      <alignment horizontal="right" vertical="center"/>
    </xf>
    <xf numFmtId="165" fontId="9" fillId="9" borderId="0" applyAlignment="1" pivotButton="0" quotePrefix="0" xfId="0">
      <alignment horizontal="right" vertical="center"/>
    </xf>
    <xf numFmtId="1" fontId="9" fillId="9" borderId="0" applyAlignment="1" pivotButton="0" quotePrefix="0" xfId="0">
      <alignment horizontal="right" vertical="center"/>
    </xf>
    <xf numFmtId="0" fontId="9" fillId="9" borderId="0" applyAlignment="1" pivotButton="0" quotePrefix="0" xfId="0">
      <alignment horizontal="center" vertical="center" wrapText="1"/>
    </xf>
    <xf numFmtId="0" fontId="9" fillId="4" borderId="0" pivotButton="0" quotePrefix="0" xfId="0"/>
    <xf numFmtId="0" fontId="15" fillId="0" borderId="0" pivotButton="0" quotePrefix="0" xfId="0"/>
    <xf numFmtId="0" fontId="16" fillId="0" borderId="0" pivotButton="0" quotePrefix="0" xfId="0"/>
    <xf numFmtId="0" fontId="21" fillId="0" borderId="0" pivotButton="0" quotePrefix="0" xfId="0"/>
    <xf numFmtId="0" fontId="17" fillId="0" borderId="0" pivotButton="0" quotePrefix="0" xfId="0"/>
    <xf numFmtId="164" fontId="17" fillId="0" borderId="0" pivotButton="0" quotePrefix="0" xfId="0"/>
    <xf numFmtId="3" fontId="17" fillId="0" borderId="0" pivotButton="0" quotePrefix="0" xfId="0"/>
    <xf numFmtId="9" fontId="17" fillId="0" borderId="0" pivotButton="0" quotePrefix="0" xfId="0"/>
    <xf numFmtId="165" fontId="17" fillId="0" borderId="0" pivotButton="0" quotePrefix="0" xfId="0"/>
    <xf numFmtId="1" fontId="17" fillId="0" borderId="0" pivotButton="0" quotePrefix="0" xfId="0"/>
    <xf numFmtId="0" fontId="18" fillId="0" borderId="0" pivotButton="0" quotePrefix="0" xfId="0"/>
    <xf numFmtId="0" fontId="15" fillId="8" borderId="0" pivotButton="0" quotePrefix="0" xfId="0"/>
    <xf numFmtId="0" fontId="16" fillId="8" borderId="0" pivotButton="0" quotePrefix="0" xfId="0"/>
    <xf numFmtId="0" fontId="17" fillId="8" borderId="0" pivotButton="0" quotePrefix="0" xfId="0"/>
    <xf numFmtId="164" fontId="17" fillId="8" borderId="0" pivotButton="0" quotePrefix="0" xfId="0"/>
    <xf numFmtId="3" fontId="17" fillId="8" borderId="0" pivotButton="0" quotePrefix="0" xfId="0"/>
    <xf numFmtId="9" fontId="17" fillId="8" borderId="0" pivotButton="0" quotePrefix="0" xfId="0"/>
    <xf numFmtId="165" fontId="17" fillId="8" borderId="0" pivotButton="0" quotePrefix="0" xfId="0"/>
    <xf numFmtId="1" fontId="17" fillId="8" borderId="0" pivotButton="0" quotePrefix="0" xfId="0"/>
    <xf numFmtId="0" fontId="18" fillId="8" borderId="0" pivotButton="0" quotePrefix="0" xfId="0"/>
    <xf numFmtId="0" fontId="0" fillId="0" borderId="0" pivotButton="0" quotePrefix="0" xfId="0"/>
    <xf numFmtId="3" fontId="0" fillId="0" borderId="0" pivotButton="0" quotePrefix="0" xfId="0"/>
    <xf numFmtId="9" fontId="0" fillId="0" borderId="0" pivotButton="0" quotePrefix="0" xfId="0"/>
    <xf numFmtId="165" fontId="0" fillId="0" borderId="0" pivotButton="0" quotePrefix="0" xfId="0"/>
    <xf numFmtId="1" fontId="0" fillId="0" borderId="0" pivotButton="0" quotePrefix="0" xfId="0"/>
    <xf numFmtId="0" fontId="7" fillId="4" borderId="0" applyAlignment="1" pivotButton="0" quotePrefix="0" xfId="0">
      <alignment horizontal="left" vertical="center" indent="1"/>
    </xf>
    <xf numFmtId="0" fontId="8" fillId="5" borderId="0" applyAlignment="1" pivotButton="0" quotePrefix="0" xfId="0">
      <alignment horizontal="left" vertical="center" wrapText="1"/>
    </xf>
    <xf numFmtId="0" fontId="10" fillId="6" borderId="17" applyAlignment="1" pivotButton="0" quotePrefix="0" xfId="0">
      <alignment horizontal="left" vertical="center" indent="1"/>
    </xf>
    <xf numFmtId="0" fontId="12" fillId="5" borderId="0" applyAlignment="1" pivotButton="0" quotePrefix="0" xfId="0">
      <alignment horizontal="left" vertical="center" indent="1"/>
    </xf>
    <xf numFmtId="0" fontId="0" fillId="0" borderId="23" pivotButton="0" quotePrefix="0" xfId="0"/>
    <xf numFmtId="0" fontId="0" fillId="0" borderId="24" pivotButton="0" quotePrefix="0" xfId="0"/>
    <xf numFmtId="0" fontId="5" fillId="10" borderId="8" applyAlignment="1" pivotButton="0" quotePrefix="0" xfId="0">
      <alignment horizontal="center" vertical="center" wrapText="1"/>
    </xf>
    <xf numFmtId="0" fontId="5" fillId="10" borderId="6" applyAlignment="1" pivotButton="0" quotePrefix="0" xfId="0">
      <alignment horizontal="left" vertical="center" wrapText="1"/>
    </xf>
    <xf numFmtId="164" fontId="5" fillId="10" borderId="6" applyAlignment="1" pivotButton="0" quotePrefix="0" xfId="0">
      <alignment horizontal="center" vertical="center" wrapText="1"/>
    </xf>
    <xf numFmtId="0" fontId="5" fillId="10" borderId="6" applyAlignment="1" pivotButton="0" quotePrefix="0" xfId="0">
      <alignment horizontal="center" vertical="center" wrapText="1"/>
    </xf>
    <xf numFmtId="164" fontId="5" fillId="10" borderId="6" applyAlignment="1" pivotButton="0" quotePrefix="0" xfId="0">
      <alignment horizontal="right" vertical="center" wrapText="1"/>
    </xf>
    <xf numFmtId="164" fontId="5" fillId="10" borderId="6" applyAlignment="1" pivotButton="0" quotePrefix="0" xfId="0">
      <alignment horizontal="right" vertical="center"/>
    </xf>
    <xf numFmtId="3" fontId="5" fillId="10" borderId="6" applyAlignment="1" pivotButton="0" quotePrefix="0" xfId="0">
      <alignment horizontal="right" vertical="center"/>
    </xf>
    <xf numFmtId="9" fontId="5" fillId="10" borderId="6" applyAlignment="1" pivotButton="0" quotePrefix="0" xfId="0">
      <alignment horizontal="right" vertical="center"/>
    </xf>
    <xf numFmtId="165" fontId="6" fillId="10" borderId="6" applyAlignment="1" pivotButton="0" quotePrefix="0" xfId="0">
      <alignment vertical="center"/>
    </xf>
    <xf numFmtId="164" fontId="5" fillId="10" borderId="5" applyAlignment="1" pivotButton="0" quotePrefix="0" xfId="0">
      <alignment horizontal="right" vertical="center"/>
    </xf>
    <xf numFmtId="1" fontId="5" fillId="10" borderId="6" applyAlignment="1" pivotButton="0" quotePrefix="0" xfId="0">
      <alignment horizontal="center" vertical="center"/>
    </xf>
    <xf numFmtId="164" fontId="5" fillId="10" borderId="7" applyAlignment="1" pivotButton="0" quotePrefix="0" xfId="0">
      <alignment horizontal="right" vertical="center"/>
    </xf>
    <xf numFmtId="0" fontId="2" fillId="11" borderId="11" pivotButton="0" quotePrefix="0" xfId="0"/>
    <xf numFmtId="0" fontId="2" fillId="11" borderId="12" pivotButton="0" quotePrefix="0" xfId="0"/>
    <xf numFmtId="164" fontId="22" fillId="11" borderId="12" applyAlignment="1" pivotButton="0" quotePrefix="0" xfId="0">
      <alignment horizontal="right" vertical="center" wrapText="1"/>
    </xf>
    <xf numFmtId="164" fontId="22" fillId="11" borderId="12" applyAlignment="1" pivotButton="0" quotePrefix="0" xfId="0">
      <alignment horizontal="right" vertical="center"/>
    </xf>
    <xf numFmtId="0" fontId="2" fillId="11" borderId="13" pivotButton="0" quotePrefix="0" xfId="0"/>
  </cellXfs>
  <cellStyles count="1">
    <cellStyle name="Normal" xfId="0" builtinId="0"/>
  </cellStyles>
  <dxfs count="53">
    <dxf>
      <font>
        <b val="1"/>
        <color rgb="FF9C0006"/>
      </font>
      <fill>
        <patternFill>
          <bgColor rgb="FFFCE4E4"/>
        </patternFill>
      </fill>
    </dxf>
    <dxf>
      <font>
        <b val="1"/>
        <color rgb="FF9C0006"/>
      </font>
      <fill>
        <patternFill>
          <bgColor rgb="FFFCE4E4"/>
        </patternFill>
      </fill>
    </dxf>
    <dxf>
      <font>
        <b val="1"/>
        <color rgb="FF375623"/>
      </font>
      <fill>
        <patternFill>
          <bgColor rgb="FFE2EFDA"/>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1F3864"/>
      </font>
      <fill>
        <patternFill>
          <bgColor rgb="FFFFD966"/>
        </patternFill>
      </fill>
    </dxf>
    <dxf>
      <font>
        <b val="1"/>
        <color rgb="FF9C0006"/>
      </font>
      <fill>
        <patternFill>
          <bgColor rgb="FFFCE4E4"/>
        </patternFill>
      </fill>
    </dxf>
    <dxf>
      <font>
        <b val="1"/>
        <color rgb="FF375623"/>
      </font>
      <fill>
        <patternFill>
          <bgColor rgb="FFE2EFDA"/>
        </patternFill>
      </fill>
    </dxf>
    <dxf>
      <font>
        <b val="1"/>
        <color rgb="FF9C0006"/>
      </font>
      <fill>
        <patternFill>
          <bgColor rgb="FFFCE4E4"/>
        </patternFill>
      </fill>
    </dxf>
    <dxf>
      <border>
        <left style="thin">
          <color rgb="FFD0D0D0"/>
        </left>
        <right style="thin">
          <color rgb="FFD0D0D0"/>
        </right>
        <top style="thin">
          <color rgb="FFD0D0D0"/>
        </top>
        <bottom style="thin">
          <color rgb="FFD0D0D0"/>
        </bottom>
      </border>
    </dxf>
    <dxf>
      <font>
        <b val="1"/>
        <color rgb="FF9C0006"/>
      </font>
      <fill>
        <patternFill>
          <bgColor rgb="FFFCE4E4"/>
        </patternFill>
      </fill>
    </dxf>
    <dxf>
      <font>
        <b val="1"/>
        <color rgb="FF375623"/>
      </font>
      <fill>
        <patternFill>
          <bgColor rgb="FFE2EFDA"/>
        </patternFill>
      </fill>
    </dxf>
    <dxf>
      <font>
        <b val="1"/>
        <color rgb="FF9C0006"/>
      </font>
      <fill>
        <patternFill>
          <bgColor rgb="FFFCE4E4"/>
        </patternFill>
      </fill>
    </dxf>
    <dxf>
      <fill>
        <patternFill>
          <bgColor rgb="FFF4F9FD"/>
        </patternFill>
      </fill>
    </dxf>
    <dxf>
      <font>
        <b val="1"/>
        <color rgb="FF1F3864"/>
      </font>
      <fill>
        <patternFill>
          <bgColor rgb="FFFFD966"/>
        </patternFill>
      </fill>
    </dxf>
    <dxf>
      <font>
        <b val="1"/>
        <color rgb="FFFFFFFF"/>
      </font>
      <fill>
        <patternFill>
          <bgColor rgb="FF1F3864"/>
        </patternFill>
      </fill>
    </dxf>
    <dxf>
      <font>
        <b val="1"/>
        <color rgb="FFFFFFFF"/>
      </font>
      <fill>
        <patternFill>
          <bgColor rgb="FF2F5496"/>
        </patternFill>
      </fill>
    </dxf>
    <dxf>
      <font>
        <b val="1"/>
        <color rgb="FFFFFFFF"/>
      </font>
      <fill>
        <patternFill>
          <bgColor rgb="FF375623"/>
        </patternFill>
      </fill>
    </dxf>
    <dxf>
      <font>
        <b val="1"/>
        <color rgb="FFFFFFFF"/>
      </font>
      <fill>
        <patternFill>
          <bgColor rgb="FF666666"/>
        </patternFill>
      </fill>
    </dxf>
    <dxf>
      <font>
        <color rgb="FF666666"/>
      </font>
      <fill>
        <patternFill>
          <bgColor rgb="FFEDEDED"/>
        </patternFill>
      </fill>
    </dxf>
    <dxf>
      <font>
        <color rgb="FF375623"/>
      </font>
      <fill>
        <patternFill patternType="solid">
          <fgColor rgb="FFE2EFDA"/>
        </patternFill>
      </fill>
    </dxf>
    <dxf>
      <font>
        <color rgb="FF9C0006"/>
      </font>
      <fill>
        <patternFill patternType="solid">
          <f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0CECE"/>
      <rgbColor rgb="FF808080"/>
      <rgbColor rgb="FF9999FF"/>
      <rgbColor rgb="FF993366"/>
      <rgbColor rgb="FFF4F9FD"/>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B0F0"/>
      <rgbColor rgb="FFEDEDED"/>
      <rgbColor rgb="FFE2EFDA"/>
      <rgbColor rgb="FFFFE699"/>
      <rgbColor rgb="FFFCE4E4"/>
      <rgbColor rgb="FFFF99CC"/>
      <rgbColor rgb="FFCC99FF"/>
      <rgbColor rgb="FFFFD966"/>
      <rgbColor rgb="FF2E75B6"/>
      <rgbColor rgb="FF33CCCC"/>
      <rgbColor rgb="FF99CC00"/>
      <rgbColor rgb="FFFFCC00"/>
      <rgbColor rgb="FFFF9900"/>
      <rgbColor rgb="FFFF6600"/>
      <rgbColor rgb="FF666666"/>
      <rgbColor rgb="FFB0B0B0"/>
      <rgbColor rgb="FF1F3864"/>
      <rgbColor rgb="FF339966"/>
      <rgbColor rgb="FF003300"/>
      <rgbColor rgb="FF375623"/>
      <rgbColor rgb="FF993300"/>
      <rgbColor rgb="FF993366"/>
      <rgbColor rgb="FF2F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BT46"/>
  <sheetViews>
    <sheetView showGridLines="0" zoomScale="85" zoomScaleNormal="85" workbookViewId="0">
      <pane xSplit="7" ySplit="3" topLeftCell="H4" activePane="bottomRight" state="frozen"/>
      <selection pane="topRight" activeCell="H1" sqref="H1"/>
      <selection pane="bottomLeft" activeCell="A4" sqref="A4"/>
      <selection pane="bottomRight" activeCell="B10" sqref="B10"/>
    </sheetView>
  </sheetViews>
  <sheetFormatPr baseColWidth="8" defaultColWidth="8.7109375" defaultRowHeight="15"/>
  <cols>
    <col outlineLevel="1" width="13.7109375" customWidth="1" style="137" min="1" max="1"/>
    <col outlineLevel="1" width="29.42578125" customWidth="1" style="137" min="2" max="2"/>
    <col outlineLevel="1" width="9.140625" customWidth="1" style="137" min="3" max="3"/>
    <col outlineLevel="1" width="9.42578125" customWidth="1" style="137" min="4" max="4"/>
    <col outlineLevel="1" width="10" customWidth="1" style="137" min="5" max="5"/>
    <col width="12.42578125" customWidth="1" style="137" min="6" max="6"/>
    <col width="25" customWidth="1" style="137" min="7" max="7"/>
    <col width="15.5703125" customWidth="1" style="137" min="8" max="8"/>
    <col outlineLevel="1" width="9.85546875" customWidth="1" style="137" min="9" max="9"/>
    <col outlineLevel="1" width="17.140625" customWidth="1" style="137" min="10" max="10"/>
    <col outlineLevel="1" width="9.5703125" customWidth="1" style="137" min="11" max="11"/>
    <col outlineLevel="1" width="6.85546875" customWidth="1" style="137" min="12" max="12"/>
    <col outlineLevel="1" width="8.28515625" customWidth="1" style="137" min="13" max="13"/>
    <col outlineLevel="1" width="6.7109375" customWidth="1" style="137" min="14" max="14"/>
    <col outlineLevel="1" width="9.140625" customWidth="1" style="137" min="15" max="15"/>
    <col width="8.28515625" customWidth="1" style="1" min="16" max="16"/>
    <col outlineLevel="1" width="8.140625" customWidth="1" style="1" min="17" max="17"/>
    <col width="8.140625" customWidth="1" style="137" min="18" max="18"/>
    <col width="11.5703125" customWidth="1" style="137" min="19" max="19"/>
    <col outlineLevel="1" width="9.85546875" customWidth="1" style="137" min="20" max="20"/>
    <col width="10" customWidth="1" style="2" min="21" max="21"/>
    <col width="10.140625" customWidth="1" style="2" min="22" max="22"/>
    <col outlineLevel="1" width="10.7109375" customWidth="1" style="137" min="23" max="23"/>
    <col width="10.5703125" customWidth="1" style="137" min="24" max="24"/>
    <col width="10.140625" customWidth="1" style="137" min="25" max="28"/>
    <col width="14.140625" customWidth="1" style="137" min="29" max="29"/>
    <col width="11.5703125" customWidth="1" style="137" min="30" max="30"/>
    <col width="13" customWidth="1" style="137" min="31" max="31"/>
    <col width="13.7109375" customWidth="1" style="137" min="32" max="32"/>
    <col width="14.140625" customWidth="1" style="137" min="33" max="33"/>
    <col width="10.140625" customWidth="1" style="137" min="34" max="34"/>
    <col min="38" max="72" width="11" customWidth="1" hidden="1" outlineLevel="1" style="137"/>
  </cols>
  <sheetData>
    <row r="1" ht="15.75" customHeight="1" s="137">
      <c r="A1" s="3" t="n"/>
      <c r="B1" s="3" t="inlineStr">
        <is>
          <t>MSTC LIMITED - COMBINED BID SHEET (Auctions 21977, 21978, 21979, 21980)</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row>
    <row r="2" ht="30" customHeight="1" s="137">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7">
        <f>IF(COUNTIF($A$2:$AH$2,"&lt;&gt;")=0,"🔍 SEARCH - nothing typed yet, all 37 rows are shown.   ·   type in any yellow box above a column, or pick from its dropdown: every column is searched, the boxes are ANDed together, (blank)/(nonblank) and * / ? work as usual","🔍 MATCHED "&amp;SUM($BT$4:$BT$40)&amp;" of 37 row(s)   ·   the rows that miss are greyed out, nothing is hidden and the totals still cover all 37   ·   clear a box to widen the dropdowns again")</f>
      </c>
    </row>
    <row r="3" ht="57.75" customHeight="1" s="137">
      <c r="A3" s="4" t="inlineStr">
        <is>
          <t>Quantity</t>
        </is>
      </c>
      <c r="B3" s="5" t="inlineStr">
        <is>
          <t>Lot No.</t>
        </is>
      </c>
      <c r="C3" s="5" t="inlineStr">
        <is>
          <t>Rate</t>
        </is>
      </c>
      <c r="D3" s="5" t="inlineStr">
        <is>
          <t>Bid Sheet</t>
        </is>
      </c>
      <c r="E3" s="5" t="inlineStr">
        <is>
          <t>Unit</t>
        </is>
      </c>
      <c r="F3" s="5" t="inlineStr">
        <is>
          <t>Lot No.</t>
        </is>
      </c>
      <c r="G3" s="5" t="inlineStr">
        <is>
          <t>Buyer</t>
        </is>
      </c>
      <c r="H3" s="5" t="inlineStr">
        <is>
          <t>Mat. Value</t>
        </is>
      </c>
      <c r="I3" s="5" t="inlineStr">
        <is>
          <t>GST</t>
        </is>
      </c>
      <c r="J3" s="6" t="inlineStr">
        <is>
          <t>Mat. Value + GST</t>
        </is>
      </c>
      <c r="K3" s="5" t="inlineStr">
        <is>
          <t>TCS</t>
        </is>
      </c>
      <c r="L3" s="6" t="inlineStr">
        <is>
          <t>TDS u/s 194(O)</t>
        </is>
      </c>
      <c r="M3" s="6" t="inlineStr">
        <is>
          <t>Service Charge
to MSTC</t>
        </is>
      </c>
      <c r="N3" s="6" t="inlineStr">
        <is>
          <t>TDS u/s 194(H)</t>
        </is>
      </c>
      <c r="O3" s="7" t="inlineStr">
        <is>
          <t>Net Service Charge
(post TDS 194H)</t>
        </is>
      </c>
      <c r="P3" s="6" t="inlineStr">
        <is>
          <t>Service charge to MSTC</t>
        </is>
      </c>
      <c r="Q3" s="6" t="inlineStr">
        <is>
          <t>GST TDS Rate</t>
        </is>
      </c>
      <c r="R3" s="6" t="inlineStr">
        <is>
          <t>GST TDS</t>
        </is>
      </c>
      <c r="S3" s="6" t="inlineStr">
        <is>
          <t>Total Receivables in Cash</t>
        </is>
      </c>
      <c r="T3" s="6" t="inlineStr">
        <is>
          <t>Security Deposit (Expected)</t>
        </is>
      </c>
      <c r="U3" s="6" t="inlineStr">
        <is>
          <t>Security Deposit (Received)</t>
        </is>
      </c>
      <c r="V3" s="6" t="inlineStr">
        <is>
          <t>Date of Receipt</t>
        </is>
      </c>
      <c r="W3" s="8" t="inlineStr">
        <is>
          <t>Final Payment (Expected)</t>
        </is>
      </c>
      <c r="X3" s="6" t="inlineStr">
        <is>
          <t>Final Payment (Received)</t>
        </is>
      </c>
      <c r="Y3" s="6" t="inlineStr">
        <is>
          <t>Date of Receipt</t>
        </is>
      </c>
      <c r="Z3" s="6" t="inlineStr">
        <is>
          <t>LPP Expected</t>
        </is>
      </c>
      <c r="AA3" s="6" t="inlineStr">
        <is>
          <t>LPP Received</t>
        </is>
      </c>
      <c r="AB3" s="6" t="inlineStr">
        <is>
          <t>Date of Recepit of LPP</t>
        </is>
      </c>
      <c r="AC3" s="6" t="inlineStr">
        <is>
          <t>Total Received</t>
        </is>
      </c>
      <c r="AD3" s="6" t="inlineStr">
        <is>
          <t>Outstanding</t>
        </is>
      </c>
      <c r="AE3" s="6" t="inlineStr">
        <is>
          <t>Payment Status</t>
        </is>
      </c>
      <c r="AF3" s="6" t="inlineStr">
        <is>
          <t xml:space="preserve">Invoice No. </t>
        </is>
      </c>
      <c r="AG3" s="6" t="inlineStr">
        <is>
          <t>SAP Document</t>
        </is>
      </c>
      <c r="AH3" s="9" t="inlineStr">
        <is>
          <t>Doc./Invoice Date</t>
        </is>
      </c>
    </row>
    <row r="4" ht="39" customHeight="1" s="137">
      <c r="A4" s="10" t="n">
        <v>669</v>
      </c>
      <c r="B4" s="11" t="inlineStr">
        <is>
          <t>SCRAP COPPER OF T/F WINDING (Oil impregnated paper insulated T/F winding)</t>
        </is>
      </c>
      <c r="C4" s="12" t="n">
        <v>1181</v>
      </c>
      <c r="D4" s="13" t="n">
        <v>21980</v>
      </c>
      <c r="E4" s="13" t="inlineStr">
        <is>
          <t>KG</t>
        </is>
      </c>
      <c r="F4" s="13" t="n">
        <v>1763</v>
      </c>
      <c r="G4" s="11" t="inlineStr">
        <is>
          <t>AL HAMD TRADE CORPORATION</t>
        </is>
      </c>
      <c r="H4" s="14" t="n">
        <v>790089</v>
      </c>
      <c r="I4" s="14">
        <f>ROUND(H4*18%,0)</f>
        <v/>
      </c>
      <c r="J4" s="14">
        <f>+H4+I4</f>
        <v/>
      </c>
      <c r="K4" s="14">
        <f>ROUND((H4+I4)*2%,0)</f>
        <v/>
      </c>
      <c r="L4" s="15">
        <f>H4*0.1%</f>
        <v/>
      </c>
      <c r="M4" s="15">
        <f>H4*2.25%*118%</f>
        <v/>
      </c>
      <c r="N4" s="16">
        <f>H4*2.25%*2%</f>
        <v/>
      </c>
      <c r="O4" s="15">
        <f>M4-N4</f>
        <v/>
      </c>
      <c r="P4" s="15">
        <f>ROUND(O4+L4,0)</f>
        <v/>
      </c>
      <c r="Q4" s="17" t="n">
        <v>0.02</v>
      </c>
      <c r="R4" s="15">
        <f>ROUND(H4*Q4,0)</f>
        <v/>
      </c>
      <c r="S4" s="14">
        <f>ROUND(H4*117.65%-R4,0)</f>
        <v/>
      </c>
      <c r="T4" s="15">
        <f>ROUND(H4*25%,0)</f>
        <v/>
      </c>
      <c r="U4" s="18" t="n">
        <v>197522</v>
      </c>
      <c r="V4" s="15" t="inlineStr">
        <is>
          <t>24.08.2026</t>
        </is>
      </c>
      <c r="W4" s="15">
        <f>ROUND(H4*92.65%-R4,0)</f>
        <v/>
      </c>
      <c r="X4" s="15" t="n">
        <v>716216</v>
      </c>
      <c r="Y4" s="15" t="inlineStr">
        <is>
          <t>18.08.2026</t>
        </is>
      </c>
      <c r="Z4" s="15">
        <f>IF(IF(OR(AB4="",AB4=0),TODAY(),DATE(VALUE(RIGHT(AB4,4)),VALUE(MID(AB4,4,2)),VALUE(LEFT(AB4,2))))&lt;=DATE(2026,8,24),0,H4*0.0118*CEILING((IF(OR(AB4="",AB4=0),TODAY(),DATE(VALUE(RIGHT(AB4,4)),VALUE(MID(AB4,4,2)),VALUE(LEFT(AB4,2))))-DATE(2026,8,22))/7,1))</f>
        <v/>
      </c>
      <c r="AA4" s="15" t="n"/>
      <c r="AB4" s="15" t="n"/>
      <c r="AC4" s="15">
        <f>U4+X4+AA4</f>
        <v/>
      </c>
      <c r="AD4" s="19">
        <f>S4-AC4</f>
        <v/>
      </c>
      <c r="AE4" s="20">
        <f>IF(AD4="","",IF(AD4&lt;=5,"SETTLED","OUTSTANDING"))</f>
        <v/>
      </c>
      <c r="AF4" s="20" t="inlineStr">
        <is>
          <t>DR2640100029</t>
        </is>
      </c>
      <c r="AG4" s="21" t="n">
        <v>1800003271</v>
      </c>
      <c r="AH4" s="22" t="inlineStr">
        <is>
          <t>24.08.2026</t>
        </is>
      </c>
      <c r="AL4" s="137">
        <f>IF($A$2="",1,IF($A$2="(blank)",--(A4=""),IF($A$2="(nonblank)",--(A4&lt;&gt;""),--ISNUMBER(SEARCH($A$2,A4)))))</f>
      </c>
      <c r="AM4" s="137">
        <f>IF($B$2="",1,IF($B$2="(blank)",--(B4=""),IF($B$2="(nonblank)",--(B4&lt;&gt;""),--ISNUMBER(SEARCH($B$2,B4)))))</f>
      </c>
      <c r="AN4" s="137">
        <f>IF($C$2="",1,IF($C$2="(blank)",--(C4=""),IF($C$2="(nonblank)",--(C4&lt;&gt;""),--ISNUMBER(SEARCH($C$2,C4)))))</f>
      </c>
      <c r="AO4" s="137">
        <f>IF($D$2="",1,IF($D$2="(blank)",--(D4=""),IF($D$2="(nonblank)",--(D4&lt;&gt;""),--ISNUMBER(SEARCH($D$2,D4)))))</f>
      </c>
      <c r="AP4" s="137">
        <f>IF($E$2="",1,IF($E$2="(blank)",--(E4=""),IF($E$2="(nonblank)",--(E4&lt;&gt;""),--ISNUMBER(SEARCH($E$2,E4)))))</f>
      </c>
      <c r="AQ4" s="137">
        <f>IF($F$2="",1,IF($F$2="(blank)",--(F4=""),IF($F$2="(nonblank)",--(F4&lt;&gt;""),--ISNUMBER(SEARCH($F$2,F4)))))</f>
      </c>
      <c r="AR4" s="137">
        <f>IF($G$2="",1,IF($G$2="(blank)",--(G4=""),IF($G$2="(nonblank)",--(G4&lt;&gt;""),--ISNUMBER(SEARCH($G$2,G4)))))</f>
      </c>
      <c r="AS4" s="137">
        <f>IF($H$2="",1,IF($H$2="(blank)",--(H4=""),IF($H$2="(nonblank)",--(H4&lt;&gt;""),--ISNUMBER(SEARCH($H$2,H4)))))</f>
      </c>
      <c r="AT4" s="137">
        <f>IF($I$2="",1,IF($I$2="(blank)",--(I4=""),IF($I$2="(nonblank)",--(I4&lt;&gt;""),--ISNUMBER(SEARCH($I$2,I4)))))</f>
      </c>
      <c r="AU4" s="137">
        <f>IF($J$2="",1,IF($J$2="(blank)",--(J4=""),IF($J$2="(nonblank)",--(J4&lt;&gt;""),--ISNUMBER(SEARCH($J$2,J4)))))</f>
      </c>
      <c r="AV4" s="137">
        <f>IF($K$2="",1,IF($K$2="(blank)",--(K4=""),IF($K$2="(nonblank)",--(K4&lt;&gt;""),--ISNUMBER(SEARCH($K$2,K4)))))</f>
      </c>
      <c r="AW4" s="137">
        <f>IF($L$2="",1,IF($L$2="(blank)",--(L4=""),IF($L$2="(nonblank)",--(L4&lt;&gt;""),--ISNUMBER(SEARCH($L$2,L4)))))</f>
      </c>
      <c r="AX4" s="137">
        <f>IF($M$2="",1,IF($M$2="(blank)",--(M4=""),IF($M$2="(nonblank)",--(M4&lt;&gt;""),--ISNUMBER(SEARCH($M$2,M4)))))</f>
      </c>
      <c r="AY4" s="137">
        <f>IF($N$2="",1,IF($N$2="(blank)",--(N4=""),IF($N$2="(nonblank)",--(N4&lt;&gt;""),--ISNUMBER(SEARCH($N$2,N4)))))</f>
      </c>
      <c r="AZ4" s="137">
        <f>IF($O$2="",1,IF($O$2="(blank)",--(O4=""),IF($O$2="(nonblank)",--(O4&lt;&gt;""),--ISNUMBER(SEARCH($O$2,O4)))))</f>
      </c>
      <c r="BA4" s="137">
        <f>IF($P$2="",1,IF($P$2="(blank)",--(P4=""),IF($P$2="(nonblank)",--(P4&lt;&gt;""),--ISNUMBER(SEARCH($P$2,P4)))))</f>
      </c>
      <c r="BB4" s="137">
        <f>IF($Q$2="",1,IF($Q$2="(blank)",--(Q4=""),IF($Q$2="(nonblank)",--(Q4&lt;&gt;""),--ISNUMBER(SEARCH($Q$2,Q4)))))</f>
      </c>
      <c r="BC4" s="137">
        <f>IF($R$2="",1,IF($R$2="(blank)",--(R4=""),IF($R$2="(nonblank)",--(R4&lt;&gt;""),--ISNUMBER(SEARCH($R$2,R4)))))</f>
      </c>
      <c r="BD4" s="137">
        <f>IF($S$2="",1,IF($S$2="(blank)",--(S4=""),IF($S$2="(nonblank)",--(S4&lt;&gt;""),--ISNUMBER(SEARCH($S$2,S4)))))</f>
      </c>
      <c r="BE4" s="137">
        <f>IF($T$2="",1,IF($T$2="(blank)",--(T4=""),IF($T$2="(nonblank)",--(T4&lt;&gt;""),--ISNUMBER(SEARCH($T$2,T4)))))</f>
      </c>
      <c r="BF4" s="137">
        <f>IF($U$2="",1,IF($U$2="(blank)",--(U4=""),IF($U$2="(nonblank)",--(U4&lt;&gt;""),--ISNUMBER(SEARCH($U$2,U4)))))</f>
      </c>
      <c r="BG4" s="137">
        <f>IF($V$2="",1,IF($V$2="(blank)",--(V4=""),IF($V$2="(nonblank)",--(V4&lt;&gt;""),--ISNUMBER(SEARCH($V$2,V4)))))</f>
      </c>
      <c r="BH4" s="137">
        <f>IF($W$2="",1,IF($W$2="(blank)",--(W4=""),IF($W$2="(nonblank)",--(W4&lt;&gt;""),--ISNUMBER(SEARCH($W$2,W4)))))</f>
      </c>
      <c r="BI4" s="137">
        <f>IF($X$2="",1,IF($X$2="(blank)",--(X4=""),IF($X$2="(nonblank)",--(X4&lt;&gt;""),--ISNUMBER(SEARCH($X$2,X4)))))</f>
      </c>
      <c r="BJ4" s="137">
        <f>IF($Y$2="",1,IF($Y$2="(blank)",--(Y4=""),IF($Y$2="(nonblank)",--(Y4&lt;&gt;""),--ISNUMBER(SEARCH($Y$2,Y4)))))</f>
      </c>
      <c r="BK4" s="137">
        <f>IF($Z$2="",1,IF($Z$2="(blank)",--(Z4=""),IF($Z$2="(nonblank)",--(Z4&lt;&gt;""),--ISNUMBER(SEARCH($Z$2,Z4)))))</f>
      </c>
      <c r="BL4" s="137">
        <f>IF($AA$2="",1,IF($AA$2="(blank)",--(AA4=""),IF($AA$2="(nonblank)",--(AA4&lt;&gt;""),--ISNUMBER(SEARCH($AA$2,AA4)))))</f>
      </c>
      <c r="BM4" s="137">
        <f>IF($AB$2="",1,IF($AB$2="(blank)",--(AB4=""),IF($AB$2="(nonblank)",--(AB4&lt;&gt;""),--ISNUMBER(SEARCH($AB$2,AB4)))))</f>
      </c>
      <c r="BN4" s="137">
        <f>IF($AC$2="",1,IF($AC$2="(blank)",--(AC4=""),IF($AC$2="(nonblank)",--(AC4&lt;&gt;""),--ISNUMBER(SEARCH($AC$2,AC4)))))</f>
      </c>
      <c r="BO4" s="137">
        <f>IF($AD$2="",1,IF($AD$2="(blank)",--(AD4=""),IF($AD$2="(nonblank)",--(AD4&lt;&gt;""),--ISNUMBER(SEARCH($AD$2,AD4)))))</f>
      </c>
      <c r="BP4" s="137">
        <f>IF($AE$2="",1,IF($AE$2="(blank)",--(AE4=""),IF($AE$2="(nonblank)",--(AE4&lt;&gt;""),--ISNUMBER(SEARCH($AE$2,AE4)))))</f>
      </c>
      <c r="BQ4" s="137">
        <f>IF($AF$2="",1,IF($AF$2="(blank)",--(AF4=""),IF($AF$2="(nonblank)",--(AF4&lt;&gt;""),--ISNUMBER(SEARCH($AF$2,AF4)))))</f>
      </c>
      <c r="BR4" s="137">
        <f>IF($AG$2="",1,IF($AG$2="(blank)",--(AG4=""),IF($AG$2="(nonblank)",--(AG4&lt;&gt;""),--ISNUMBER(SEARCH($AG$2,AG4)))))</f>
      </c>
      <c r="BS4" s="137">
        <f>IF($AH$2="",1,IF($AH$2="(blank)",--(AH4=""),IF($AH$2="(nonblank)",--(AH4&lt;&gt;""),--ISNUMBER(SEARCH($AH$2,AH4)))))</f>
      </c>
      <c r="BT4" s="137">
        <f>IF(COUNTIF($AL4:$BS4,0)&gt;0,0,1)</f>
      </c>
    </row>
    <row r="5" ht="14.25" customHeight="1" s="137">
      <c r="A5" s="148" t="n">
        <v>270</v>
      </c>
      <c r="B5" s="149" t="inlineStr">
        <is>
          <t>Scrap of Empty oil drum</t>
        </is>
      </c>
      <c r="C5" s="150" t="n">
        <v>580</v>
      </c>
      <c r="D5" s="151" t="n">
        <v>21977</v>
      </c>
      <c r="E5" s="151" t="inlineStr">
        <is>
          <t>NO</t>
        </is>
      </c>
      <c r="F5" s="151" t="n">
        <v>1874</v>
      </c>
      <c r="G5" s="149" t="inlineStr">
        <is>
          <t>NATIONAL ENTERPRISES</t>
        </is>
      </c>
      <c r="H5" s="152" t="n">
        <v>156600</v>
      </c>
      <c r="I5" s="152">
        <f>ROUND(H5*18%,0)</f>
        <v/>
      </c>
      <c r="J5" s="152">
        <f>+H5+I5</f>
        <v/>
      </c>
      <c r="K5" s="152">
        <f>ROUND((H5+I5)*2%,0)</f>
        <v/>
      </c>
      <c r="L5" s="153">
        <f>H5*0.1%</f>
        <v/>
      </c>
      <c r="M5" s="153">
        <f>H5*2.25%*118%</f>
        <v/>
      </c>
      <c r="N5" s="154">
        <f>H5*2.25%*2%</f>
        <v/>
      </c>
      <c r="O5" s="153">
        <f>M5-N5</f>
        <v/>
      </c>
      <c r="P5" s="153">
        <f>ROUND(O5+L5,0)</f>
        <v/>
      </c>
      <c r="Q5" s="155" t="n">
        <v>0</v>
      </c>
      <c r="R5" s="153">
        <f>ROUND(H5*Q5,0)</f>
        <v/>
      </c>
      <c r="S5" s="152">
        <f>ROUND(H5*117.65%-R5,0)</f>
        <v/>
      </c>
      <c r="T5" s="153">
        <f>ROUND(H5*25%,0)</f>
        <v/>
      </c>
      <c r="U5" s="156">
        <f>+T5</f>
        <v/>
      </c>
      <c r="V5" s="153" t="inlineStr">
        <is>
          <t>13.08.2026</t>
        </is>
      </c>
      <c r="W5" s="153">
        <f>ROUND(H5*92.65%-R5,0)</f>
        <v/>
      </c>
      <c r="X5" s="153" t="n">
        <v>145090</v>
      </c>
      <c r="Y5" s="153" t="inlineStr">
        <is>
          <t>24.08.2026</t>
        </is>
      </c>
      <c r="Z5" s="153">
        <f>IF(IF(OR(AB5="",AB5=0),TODAY(),DATE(VALUE(RIGHT(AB5,4)),VALUE(MID(AB5,4,2)),VALUE(LEFT(AB5,2))))&lt;=DATE(2026,8,24),0,H5*0.0118*CEILING((IF(OR(AB5="",AB5=0),TODAY(),DATE(VALUE(RIGHT(AB5,4)),VALUE(MID(AB5,4,2)),VALUE(LEFT(AB5,2))))-DATE(2026,8,22))/7,1))</f>
        <v/>
      </c>
      <c r="AA5" s="153" t="n"/>
      <c r="AB5" s="153" t="n"/>
      <c r="AC5" s="157">
        <f>U5+X5+AA5</f>
        <v/>
      </c>
      <c r="AD5" s="157">
        <f>S5-AC5</f>
        <v/>
      </c>
      <c r="AE5" s="153">
        <f>IF(AD5="","",IF(AD5&lt;=5,"SETTLED","OUTSTANDING"))</f>
        <v/>
      </c>
      <c r="AF5" s="153" t="inlineStr">
        <is>
          <t>DR2640100030</t>
        </is>
      </c>
      <c r="AG5" s="158" t="n">
        <v>1800003302</v>
      </c>
      <c r="AH5" s="159" t="inlineStr">
        <is>
          <t>27.08.2026</t>
        </is>
      </c>
      <c r="AL5" s="137">
        <f>IF($A$2="",1,IF($A$2="(blank)",--(A5=""),IF($A$2="(nonblank)",--(A5&lt;&gt;""),--ISNUMBER(SEARCH($A$2,A5)))))</f>
      </c>
      <c r="AM5" s="137">
        <f>IF($B$2="",1,IF($B$2="(blank)",--(B5=""),IF($B$2="(nonblank)",--(B5&lt;&gt;""),--ISNUMBER(SEARCH($B$2,B5)))))</f>
      </c>
      <c r="AN5" s="137">
        <f>IF($C$2="",1,IF($C$2="(blank)",--(C5=""),IF($C$2="(nonblank)",--(C5&lt;&gt;""),--ISNUMBER(SEARCH($C$2,C5)))))</f>
      </c>
      <c r="AO5" s="137">
        <f>IF($D$2="",1,IF($D$2="(blank)",--(D5=""),IF($D$2="(nonblank)",--(D5&lt;&gt;""),--ISNUMBER(SEARCH($D$2,D5)))))</f>
      </c>
      <c r="AP5" s="137">
        <f>IF($E$2="",1,IF($E$2="(blank)",--(E5=""),IF($E$2="(nonblank)",--(E5&lt;&gt;""),--ISNUMBER(SEARCH($E$2,E5)))))</f>
      </c>
      <c r="AQ5" s="137">
        <f>IF($F$2="",1,IF($F$2="(blank)",--(F5=""),IF($F$2="(nonblank)",--(F5&lt;&gt;""),--ISNUMBER(SEARCH($F$2,F5)))))</f>
      </c>
      <c r="AR5" s="137">
        <f>IF($G$2="",1,IF($G$2="(blank)",--(G5=""),IF($G$2="(nonblank)",--(G5&lt;&gt;""),--ISNUMBER(SEARCH($G$2,G5)))))</f>
      </c>
      <c r="AS5" s="137">
        <f>IF($H$2="",1,IF($H$2="(blank)",--(H5=""),IF($H$2="(nonblank)",--(H5&lt;&gt;""),--ISNUMBER(SEARCH($H$2,H5)))))</f>
      </c>
      <c r="AT5" s="137">
        <f>IF($I$2="",1,IF($I$2="(blank)",--(I5=""),IF($I$2="(nonblank)",--(I5&lt;&gt;""),--ISNUMBER(SEARCH($I$2,I5)))))</f>
      </c>
      <c r="AU5" s="137">
        <f>IF($J$2="",1,IF($J$2="(blank)",--(J5=""),IF($J$2="(nonblank)",--(J5&lt;&gt;""),--ISNUMBER(SEARCH($J$2,J5)))))</f>
      </c>
      <c r="AV5" s="137">
        <f>IF($K$2="",1,IF($K$2="(blank)",--(K5=""),IF($K$2="(nonblank)",--(K5&lt;&gt;""),--ISNUMBER(SEARCH($K$2,K5)))))</f>
      </c>
      <c r="AW5" s="137">
        <f>IF($L$2="",1,IF($L$2="(blank)",--(L5=""),IF($L$2="(nonblank)",--(L5&lt;&gt;""),--ISNUMBER(SEARCH($L$2,L5)))))</f>
      </c>
      <c r="AX5" s="137">
        <f>IF($M$2="",1,IF($M$2="(blank)",--(M5=""),IF($M$2="(nonblank)",--(M5&lt;&gt;""),--ISNUMBER(SEARCH($M$2,M5)))))</f>
      </c>
      <c r="AY5" s="137">
        <f>IF($N$2="",1,IF($N$2="(blank)",--(N5=""),IF($N$2="(nonblank)",--(N5&lt;&gt;""),--ISNUMBER(SEARCH($N$2,N5)))))</f>
      </c>
      <c r="AZ5" s="137">
        <f>IF($O$2="",1,IF($O$2="(blank)",--(O5=""),IF($O$2="(nonblank)",--(O5&lt;&gt;""),--ISNUMBER(SEARCH($O$2,O5)))))</f>
      </c>
      <c r="BA5" s="137">
        <f>IF($P$2="",1,IF($P$2="(blank)",--(P5=""),IF($P$2="(nonblank)",--(P5&lt;&gt;""),--ISNUMBER(SEARCH($P$2,P5)))))</f>
      </c>
      <c r="BB5" s="137">
        <f>IF($Q$2="",1,IF($Q$2="(blank)",--(Q5=""),IF($Q$2="(nonblank)",--(Q5&lt;&gt;""),--ISNUMBER(SEARCH($Q$2,Q5)))))</f>
      </c>
      <c r="BC5" s="137">
        <f>IF($R$2="",1,IF($R$2="(blank)",--(R5=""),IF($R$2="(nonblank)",--(R5&lt;&gt;""),--ISNUMBER(SEARCH($R$2,R5)))))</f>
      </c>
      <c r="BD5" s="137">
        <f>IF($S$2="",1,IF($S$2="(blank)",--(S5=""),IF($S$2="(nonblank)",--(S5&lt;&gt;""),--ISNUMBER(SEARCH($S$2,S5)))))</f>
      </c>
      <c r="BE5" s="137">
        <f>IF($T$2="",1,IF($T$2="(blank)",--(T5=""),IF($T$2="(nonblank)",--(T5&lt;&gt;""),--ISNUMBER(SEARCH($T$2,T5)))))</f>
      </c>
      <c r="BF5" s="137">
        <f>IF($U$2="",1,IF($U$2="(blank)",--(U5=""),IF($U$2="(nonblank)",--(U5&lt;&gt;""),--ISNUMBER(SEARCH($U$2,U5)))))</f>
      </c>
      <c r="BG5" s="137">
        <f>IF($V$2="",1,IF($V$2="(blank)",--(V5=""),IF($V$2="(nonblank)",--(V5&lt;&gt;""),--ISNUMBER(SEARCH($V$2,V5)))))</f>
      </c>
      <c r="BH5" s="137">
        <f>IF($W$2="",1,IF($W$2="(blank)",--(W5=""),IF($W$2="(nonblank)",--(W5&lt;&gt;""),--ISNUMBER(SEARCH($W$2,W5)))))</f>
      </c>
      <c r="BI5" s="137">
        <f>IF($X$2="",1,IF($X$2="(blank)",--(X5=""),IF($X$2="(nonblank)",--(X5&lt;&gt;""),--ISNUMBER(SEARCH($X$2,X5)))))</f>
      </c>
      <c r="BJ5" s="137">
        <f>IF($Y$2="",1,IF($Y$2="(blank)",--(Y5=""),IF($Y$2="(nonblank)",--(Y5&lt;&gt;""),--ISNUMBER(SEARCH($Y$2,Y5)))))</f>
      </c>
      <c r="BK5" s="137">
        <f>IF($Z$2="",1,IF($Z$2="(blank)",--(Z5=""),IF($Z$2="(nonblank)",--(Z5&lt;&gt;""),--ISNUMBER(SEARCH($Z$2,Z5)))))</f>
      </c>
      <c r="BL5" s="137">
        <f>IF($AA$2="",1,IF($AA$2="(blank)",--(AA5=""),IF($AA$2="(nonblank)",--(AA5&lt;&gt;""),--ISNUMBER(SEARCH($AA$2,AA5)))))</f>
      </c>
      <c r="BM5" s="137">
        <f>IF($AB$2="",1,IF($AB$2="(blank)",--(AB5=""),IF($AB$2="(nonblank)",--(AB5&lt;&gt;""),--ISNUMBER(SEARCH($AB$2,AB5)))))</f>
      </c>
      <c r="BN5" s="137">
        <f>IF($AC$2="",1,IF($AC$2="(blank)",--(AC5=""),IF($AC$2="(nonblank)",--(AC5&lt;&gt;""),--ISNUMBER(SEARCH($AC$2,AC5)))))</f>
      </c>
      <c r="BO5" s="137">
        <f>IF($AD$2="",1,IF($AD$2="(blank)",--(AD5=""),IF($AD$2="(nonblank)",--(AD5&lt;&gt;""),--ISNUMBER(SEARCH($AD$2,AD5)))))</f>
      </c>
      <c r="BP5" s="137">
        <f>IF($AE$2="",1,IF($AE$2="(blank)",--(AE5=""),IF($AE$2="(nonblank)",--(AE5&lt;&gt;""),--ISNUMBER(SEARCH($AE$2,AE5)))))</f>
      </c>
      <c r="BQ5" s="137">
        <f>IF($AF$2="",1,IF($AF$2="(blank)",--(AF5=""),IF($AF$2="(nonblank)",--(AF5&lt;&gt;""),--ISNUMBER(SEARCH($AF$2,AF5)))))</f>
      </c>
      <c r="BR5" s="137">
        <f>IF($AG$2="",1,IF($AG$2="(blank)",--(AG5=""),IF($AG$2="(nonblank)",--(AG5&lt;&gt;""),--ISNUMBER(SEARCH($AG$2,AG5)))))</f>
      </c>
      <c r="BS5" s="137">
        <f>IF($AH$2="",1,IF($AH$2="(blank)",--(AH5=""),IF($AH$2="(nonblank)",--(AH5&lt;&gt;""),--ISNUMBER(SEARCH($AH$2,AH5)))))</f>
      </c>
      <c r="BT5" s="137">
        <f>IF(COUNTIF($AL5:$BS5,0)&gt;0,0,1)</f>
      </c>
    </row>
    <row r="6" ht="26.25" customHeight="1" s="137">
      <c r="A6" s="23" t="n">
        <v>28</v>
      </c>
      <c r="B6" s="24" t="inlineStr">
        <is>
          <t>Scrap of Copper of faulty AC compressor</t>
        </is>
      </c>
      <c r="C6" s="25" t="n">
        <v>1456</v>
      </c>
      <c r="D6" s="26" t="n">
        <v>21977</v>
      </c>
      <c r="E6" s="26" t="inlineStr">
        <is>
          <t>KG</t>
        </is>
      </c>
      <c r="F6" s="26" t="n">
        <v>1875</v>
      </c>
      <c r="G6" s="24" t="inlineStr">
        <is>
          <t>F R KHANS ENTERPRISES</t>
        </is>
      </c>
      <c r="H6" s="27" t="n">
        <v>40768</v>
      </c>
      <c r="I6" s="27">
        <f>ROUND(H6*18%,0)</f>
        <v/>
      </c>
      <c r="J6" s="27">
        <f>+H6+I6</f>
        <v/>
      </c>
      <c r="K6" s="27">
        <f>ROUND((H6+I6)*2%,0)</f>
        <v/>
      </c>
      <c r="L6" s="28">
        <f>H6*0.1%</f>
        <v/>
      </c>
      <c r="M6" s="28">
        <f>H6*2.25%*118%</f>
        <v/>
      </c>
      <c r="N6" s="29">
        <f>H6*2.25%*2%</f>
        <v/>
      </c>
      <c r="O6" s="28">
        <f>M6-N6</f>
        <v/>
      </c>
      <c r="P6" s="28">
        <f>ROUND(O6+L6,0)</f>
        <v/>
      </c>
      <c r="Q6" s="30" t="n">
        <v>0</v>
      </c>
      <c r="R6" s="28">
        <f>ROUND(H6*Q6,0)</f>
        <v/>
      </c>
      <c r="S6" s="27">
        <f>ROUND(H6*117.65%-R6,0)</f>
        <v/>
      </c>
      <c r="T6" s="28">
        <f>ROUND(H6*25%,0)</f>
        <v/>
      </c>
      <c r="U6" s="31" t="n">
        <v>10192</v>
      </c>
      <c r="V6" s="28" t="inlineStr">
        <is>
          <t>11.08.2026</t>
        </is>
      </c>
      <c r="W6" s="28">
        <f>ROUND(H6*92.65%-R6,0)</f>
        <v/>
      </c>
      <c r="X6" s="28">
        <f>+W6+R6</f>
        <v/>
      </c>
      <c r="Y6" s="28" t="inlineStr">
        <is>
          <t>20.08.2026</t>
        </is>
      </c>
      <c r="Z6" s="28">
        <f>IF(IF(OR(AB6="",AB6=0),TODAY(),DATE(VALUE(RIGHT(AB6,4)),VALUE(MID(AB6,4,2)),VALUE(LEFT(AB6,2))))&lt;=DATE(2026,8,24),0,H6*0.0118*CEILING((IF(OR(AB6="",AB6=0),TODAY(),DATE(VALUE(RIGHT(AB6,4)),VALUE(MID(AB6,4,2)),VALUE(LEFT(AB6,2))))-DATE(2026,8,22))/7,1))</f>
        <v/>
      </c>
      <c r="AA6" s="28" t="n"/>
      <c r="AB6" s="28" t="n"/>
      <c r="AC6" s="15">
        <f>U6+X6+AA6</f>
        <v/>
      </c>
      <c r="AD6" s="19">
        <f>S6-AC6</f>
        <v/>
      </c>
      <c r="AE6" s="20">
        <f>IF(AD6="","",IF(AD6&lt;=5,"SETTLED","OUTSTANDING"))</f>
        <v/>
      </c>
      <c r="AF6" s="20" t="inlineStr">
        <is>
          <t>DR2640100047</t>
        </is>
      </c>
      <c r="AG6" s="21" t="n">
        <v>1800003346</v>
      </c>
      <c r="AH6" s="22" t="inlineStr">
        <is>
          <t>27.08.2026</t>
        </is>
      </c>
      <c r="AL6" s="137">
        <f>IF($A$2="",1,IF($A$2="(blank)",--(A6=""),IF($A$2="(nonblank)",--(A6&lt;&gt;""),--ISNUMBER(SEARCH($A$2,A6)))))</f>
      </c>
      <c r="AM6" s="137">
        <f>IF($B$2="",1,IF($B$2="(blank)",--(B6=""),IF($B$2="(nonblank)",--(B6&lt;&gt;""),--ISNUMBER(SEARCH($B$2,B6)))))</f>
      </c>
      <c r="AN6" s="137">
        <f>IF($C$2="",1,IF($C$2="(blank)",--(C6=""),IF($C$2="(nonblank)",--(C6&lt;&gt;""),--ISNUMBER(SEARCH($C$2,C6)))))</f>
      </c>
      <c r="AO6" s="137">
        <f>IF($D$2="",1,IF($D$2="(blank)",--(D6=""),IF($D$2="(nonblank)",--(D6&lt;&gt;""),--ISNUMBER(SEARCH($D$2,D6)))))</f>
      </c>
      <c r="AP6" s="137">
        <f>IF($E$2="",1,IF($E$2="(blank)",--(E6=""),IF($E$2="(nonblank)",--(E6&lt;&gt;""),--ISNUMBER(SEARCH($E$2,E6)))))</f>
      </c>
      <c r="AQ6" s="137">
        <f>IF($F$2="",1,IF($F$2="(blank)",--(F6=""),IF($F$2="(nonblank)",--(F6&lt;&gt;""),--ISNUMBER(SEARCH($F$2,F6)))))</f>
      </c>
      <c r="AR6" s="137">
        <f>IF($G$2="",1,IF($G$2="(blank)",--(G6=""),IF($G$2="(nonblank)",--(G6&lt;&gt;""),--ISNUMBER(SEARCH($G$2,G6)))))</f>
      </c>
      <c r="AS6" s="137">
        <f>IF($H$2="",1,IF($H$2="(blank)",--(H6=""),IF($H$2="(nonblank)",--(H6&lt;&gt;""),--ISNUMBER(SEARCH($H$2,H6)))))</f>
      </c>
      <c r="AT6" s="137">
        <f>IF($I$2="",1,IF($I$2="(blank)",--(I6=""),IF($I$2="(nonblank)",--(I6&lt;&gt;""),--ISNUMBER(SEARCH($I$2,I6)))))</f>
      </c>
      <c r="AU6" s="137">
        <f>IF($J$2="",1,IF($J$2="(blank)",--(J6=""),IF($J$2="(nonblank)",--(J6&lt;&gt;""),--ISNUMBER(SEARCH($J$2,J6)))))</f>
      </c>
      <c r="AV6" s="137">
        <f>IF($K$2="",1,IF($K$2="(blank)",--(K6=""),IF($K$2="(nonblank)",--(K6&lt;&gt;""),--ISNUMBER(SEARCH($K$2,K6)))))</f>
      </c>
      <c r="AW6" s="137">
        <f>IF($L$2="",1,IF($L$2="(blank)",--(L6=""),IF($L$2="(nonblank)",--(L6&lt;&gt;""),--ISNUMBER(SEARCH($L$2,L6)))))</f>
      </c>
      <c r="AX6" s="137">
        <f>IF($M$2="",1,IF($M$2="(blank)",--(M6=""),IF($M$2="(nonblank)",--(M6&lt;&gt;""),--ISNUMBER(SEARCH($M$2,M6)))))</f>
      </c>
      <c r="AY6" s="137">
        <f>IF($N$2="",1,IF($N$2="(blank)",--(N6=""),IF($N$2="(nonblank)",--(N6&lt;&gt;""),--ISNUMBER(SEARCH($N$2,N6)))))</f>
      </c>
      <c r="AZ6" s="137">
        <f>IF($O$2="",1,IF($O$2="(blank)",--(O6=""),IF($O$2="(nonblank)",--(O6&lt;&gt;""),--ISNUMBER(SEARCH($O$2,O6)))))</f>
      </c>
      <c r="BA6" s="137">
        <f>IF($P$2="",1,IF($P$2="(blank)",--(P6=""),IF($P$2="(nonblank)",--(P6&lt;&gt;""),--ISNUMBER(SEARCH($P$2,P6)))))</f>
      </c>
      <c r="BB6" s="137">
        <f>IF($Q$2="",1,IF($Q$2="(blank)",--(Q6=""),IF($Q$2="(nonblank)",--(Q6&lt;&gt;""),--ISNUMBER(SEARCH($Q$2,Q6)))))</f>
      </c>
      <c r="BC6" s="137">
        <f>IF($R$2="",1,IF($R$2="(blank)",--(R6=""),IF($R$2="(nonblank)",--(R6&lt;&gt;""),--ISNUMBER(SEARCH($R$2,R6)))))</f>
      </c>
      <c r="BD6" s="137">
        <f>IF($S$2="",1,IF($S$2="(blank)",--(S6=""),IF($S$2="(nonblank)",--(S6&lt;&gt;""),--ISNUMBER(SEARCH($S$2,S6)))))</f>
      </c>
      <c r="BE6" s="137">
        <f>IF($T$2="",1,IF($T$2="(blank)",--(T6=""),IF($T$2="(nonblank)",--(T6&lt;&gt;""),--ISNUMBER(SEARCH($T$2,T6)))))</f>
      </c>
      <c r="BF6" s="137">
        <f>IF($U$2="",1,IF($U$2="(blank)",--(U6=""),IF($U$2="(nonblank)",--(U6&lt;&gt;""),--ISNUMBER(SEARCH($U$2,U6)))))</f>
      </c>
      <c r="BG6" s="137">
        <f>IF($V$2="",1,IF($V$2="(blank)",--(V6=""),IF($V$2="(nonblank)",--(V6&lt;&gt;""),--ISNUMBER(SEARCH($V$2,V6)))))</f>
      </c>
      <c r="BH6" s="137">
        <f>IF($W$2="",1,IF($W$2="(blank)",--(W6=""),IF($W$2="(nonblank)",--(W6&lt;&gt;""),--ISNUMBER(SEARCH($W$2,W6)))))</f>
      </c>
      <c r="BI6" s="137">
        <f>IF($X$2="",1,IF($X$2="(blank)",--(X6=""),IF($X$2="(nonblank)",--(X6&lt;&gt;""),--ISNUMBER(SEARCH($X$2,X6)))))</f>
      </c>
      <c r="BJ6" s="137">
        <f>IF($Y$2="",1,IF($Y$2="(blank)",--(Y6=""),IF($Y$2="(nonblank)",--(Y6&lt;&gt;""),--ISNUMBER(SEARCH($Y$2,Y6)))))</f>
      </c>
      <c r="BK6" s="137">
        <f>IF($Z$2="",1,IF($Z$2="(blank)",--(Z6=""),IF($Z$2="(nonblank)",--(Z6&lt;&gt;""),--ISNUMBER(SEARCH($Z$2,Z6)))))</f>
      </c>
      <c r="BL6" s="137">
        <f>IF($AA$2="",1,IF($AA$2="(blank)",--(AA6=""),IF($AA$2="(nonblank)",--(AA6&lt;&gt;""),--ISNUMBER(SEARCH($AA$2,AA6)))))</f>
      </c>
      <c r="BM6" s="137">
        <f>IF($AB$2="",1,IF($AB$2="(blank)",--(AB6=""),IF($AB$2="(nonblank)",--(AB6&lt;&gt;""),--ISNUMBER(SEARCH($AB$2,AB6)))))</f>
      </c>
      <c r="BN6" s="137">
        <f>IF($AC$2="",1,IF($AC$2="(blank)",--(AC6=""),IF($AC$2="(nonblank)",--(AC6&lt;&gt;""),--ISNUMBER(SEARCH($AC$2,AC6)))))</f>
      </c>
      <c r="BO6" s="137">
        <f>IF($AD$2="",1,IF($AD$2="(blank)",--(AD6=""),IF($AD$2="(nonblank)",--(AD6&lt;&gt;""),--ISNUMBER(SEARCH($AD$2,AD6)))))</f>
      </c>
      <c r="BP6" s="137">
        <f>IF($AE$2="",1,IF($AE$2="(blank)",--(AE6=""),IF($AE$2="(nonblank)",--(AE6&lt;&gt;""),--ISNUMBER(SEARCH($AE$2,AE6)))))</f>
      </c>
      <c r="BQ6" s="137">
        <f>IF($AF$2="",1,IF($AF$2="(blank)",--(AF6=""),IF($AF$2="(nonblank)",--(AF6&lt;&gt;""),--ISNUMBER(SEARCH($AF$2,AF6)))))</f>
      </c>
      <c r="BR6" s="137">
        <f>IF($AG$2="",1,IF($AG$2="(blank)",--(AG6=""),IF($AG$2="(nonblank)",--(AG6&lt;&gt;""),--ISNUMBER(SEARCH($AG$2,AG6)))))</f>
      </c>
      <c r="BS6" s="137">
        <f>IF($AH$2="",1,IF($AH$2="(blank)",--(AH6=""),IF($AH$2="(nonblank)",--(AH6&lt;&gt;""),--ISNUMBER(SEARCH($AH$2,AH6)))))</f>
      </c>
      <c r="BT6" s="137">
        <f>IF(COUNTIF($AL6:$BS6,0)&gt;0,0,1)</f>
      </c>
    </row>
    <row r="7" ht="39" customHeight="1" s="137">
      <c r="A7" s="148" t="n">
        <v>3000</v>
      </c>
      <c r="B7" s="149" t="inlineStr">
        <is>
          <t>Scrap of MS (extracted from equip cage and empty Sf6 gas cylinder)</t>
        </is>
      </c>
      <c r="C7" s="150" t="n">
        <v>66</v>
      </c>
      <c r="D7" s="151" t="n">
        <v>21977</v>
      </c>
      <c r="E7" s="151" t="inlineStr">
        <is>
          <t>KG</t>
        </is>
      </c>
      <c r="F7" s="151" t="n">
        <v>1876</v>
      </c>
      <c r="G7" s="149" t="inlineStr">
        <is>
          <t>F R KHANS ENTERPRISES</t>
        </is>
      </c>
      <c r="H7" s="152" t="n">
        <v>198000</v>
      </c>
      <c r="I7" s="152">
        <f>ROUND(H7*18%,0)</f>
        <v/>
      </c>
      <c r="J7" s="152">
        <f>+H7+I7</f>
        <v/>
      </c>
      <c r="K7" s="152">
        <f>ROUND((H7+I7)*2%,0)</f>
        <v/>
      </c>
      <c r="L7" s="153">
        <f>H7*0.1%</f>
        <v/>
      </c>
      <c r="M7" s="153">
        <f>H7*2.25%*118%</f>
        <v/>
      </c>
      <c r="N7" s="154">
        <f>H7*2.25%*2%</f>
        <v/>
      </c>
      <c r="O7" s="153">
        <f>M7-N7</f>
        <v/>
      </c>
      <c r="P7" s="153">
        <f>ROUND(O7+L7,0)</f>
        <v/>
      </c>
      <c r="Q7" s="155" t="n">
        <v>0</v>
      </c>
      <c r="R7" s="153">
        <f>ROUND(H7*Q7,0)</f>
        <v/>
      </c>
      <c r="S7" s="152">
        <f>ROUND(H7*117.65%-R7,0)</f>
        <v/>
      </c>
      <c r="T7" s="153">
        <f>ROUND(H7*25%,0)</f>
        <v/>
      </c>
      <c r="U7" s="156" t="n">
        <v>49500</v>
      </c>
      <c r="V7" s="153" t="inlineStr">
        <is>
          <t>11.08.2026</t>
        </is>
      </c>
      <c r="W7" s="153">
        <f>ROUND(H7*92.65%-R7,0)</f>
        <v/>
      </c>
      <c r="X7" s="153">
        <f>+W7+R7-1</f>
        <v/>
      </c>
      <c r="Y7" s="153" t="inlineStr">
        <is>
          <t>20.08.2026</t>
        </is>
      </c>
      <c r="Z7" s="153">
        <f>IF(IF(OR(AB7="",AB7=0),TODAY(),DATE(VALUE(RIGHT(AB7,4)),VALUE(MID(AB7,4,2)),VALUE(LEFT(AB7,2))))&lt;=DATE(2026,8,24),0,H7*0.0118*CEILING((IF(OR(AB7="",AB7=0),TODAY(),DATE(VALUE(RIGHT(AB7,4)),VALUE(MID(AB7,4,2)),VALUE(LEFT(AB7,2))))-DATE(2026,8,22))/7,1))</f>
        <v/>
      </c>
      <c r="AA7" s="153" t="n"/>
      <c r="AB7" s="153" t="n"/>
      <c r="AC7" s="157">
        <f>U7+X7+AA7</f>
        <v/>
      </c>
      <c r="AD7" s="157">
        <f>S7-AC7</f>
        <v/>
      </c>
      <c r="AE7" s="153">
        <f>IF(AD7="","",IF(AD7&lt;=5,"SETTLED","OUTSTANDING"))</f>
        <v/>
      </c>
      <c r="AF7" s="153" t="inlineStr">
        <is>
          <t>DR2640100048</t>
        </is>
      </c>
      <c r="AG7" s="158" t="n">
        <v>1800003347</v>
      </c>
      <c r="AH7" s="159" t="inlineStr">
        <is>
          <t>27.08.2026</t>
        </is>
      </c>
      <c r="AL7" s="137">
        <f>IF($A$2="",1,IF($A$2="(blank)",--(A7=""),IF($A$2="(nonblank)",--(A7&lt;&gt;""),--ISNUMBER(SEARCH($A$2,A7)))))</f>
      </c>
      <c r="AM7" s="137">
        <f>IF($B$2="",1,IF($B$2="(blank)",--(B7=""),IF($B$2="(nonblank)",--(B7&lt;&gt;""),--ISNUMBER(SEARCH($B$2,B7)))))</f>
      </c>
      <c r="AN7" s="137">
        <f>IF($C$2="",1,IF($C$2="(blank)",--(C7=""),IF($C$2="(nonblank)",--(C7&lt;&gt;""),--ISNUMBER(SEARCH($C$2,C7)))))</f>
      </c>
      <c r="AO7" s="137">
        <f>IF($D$2="",1,IF($D$2="(blank)",--(D7=""),IF($D$2="(nonblank)",--(D7&lt;&gt;""),--ISNUMBER(SEARCH($D$2,D7)))))</f>
      </c>
      <c r="AP7" s="137">
        <f>IF($E$2="",1,IF($E$2="(blank)",--(E7=""),IF($E$2="(nonblank)",--(E7&lt;&gt;""),--ISNUMBER(SEARCH($E$2,E7)))))</f>
      </c>
      <c r="AQ7" s="137">
        <f>IF($F$2="",1,IF($F$2="(blank)",--(F7=""),IF($F$2="(nonblank)",--(F7&lt;&gt;""),--ISNUMBER(SEARCH($F$2,F7)))))</f>
      </c>
      <c r="AR7" s="137">
        <f>IF($G$2="",1,IF($G$2="(blank)",--(G7=""),IF($G$2="(nonblank)",--(G7&lt;&gt;""),--ISNUMBER(SEARCH($G$2,G7)))))</f>
      </c>
      <c r="AS7" s="137">
        <f>IF($H$2="",1,IF($H$2="(blank)",--(H7=""),IF($H$2="(nonblank)",--(H7&lt;&gt;""),--ISNUMBER(SEARCH($H$2,H7)))))</f>
      </c>
      <c r="AT7" s="137">
        <f>IF($I$2="",1,IF($I$2="(blank)",--(I7=""),IF($I$2="(nonblank)",--(I7&lt;&gt;""),--ISNUMBER(SEARCH($I$2,I7)))))</f>
      </c>
      <c r="AU7" s="137">
        <f>IF($J$2="",1,IF($J$2="(blank)",--(J7=""),IF($J$2="(nonblank)",--(J7&lt;&gt;""),--ISNUMBER(SEARCH($J$2,J7)))))</f>
      </c>
      <c r="AV7" s="137">
        <f>IF($K$2="",1,IF($K$2="(blank)",--(K7=""),IF($K$2="(nonblank)",--(K7&lt;&gt;""),--ISNUMBER(SEARCH($K$2,K7)))))</f>
      </c>
      <c r="AW7" s="137">
        <f>IF($L$2="",1,IF($L$2="(blank)",--(L7=""),IF($L$2="(nonblank)",--(L7&lt;&gt;""),--ISNUMBER(SEARCH($L$2,L7)))))</f>
      </c>
      <c r="AX7" s="137">
        <f>IF($M$2="",1,IF($M$2="(blank)",--(M7=""),IF($M$2="(nonblank)",--(M7&lt;&gt;""),--ISNUMBER(SEARCH($M$2,M7)))))</f>
      </c>
      <c r="AY7" s="137">
        <f>IF($N$2="",1,IF($N$2="(blank)",--(N7=""),IF($N$2="(nonblank)",--(N7&lt;&gt;""),--ISNUMBER(SEARCH($N$2,N7)))))</f>
      </c>
      <c r="AZ7" s="137">
        <f>IF($O$2="",1,IF($O$2="(blank)",--(O7=""),IF($O$2="(nonblank)",--(O7&lt;&gt;""),--ISNUMBER(SEARCH($O$2,O7)))))</f>
      </c>
      <c r="BA7" s="137">
        <f>IF($P$2="",1,IF($P$2="(blank)",--(P7=""),IF($P$2="(nonblank)",--(P7&lt;&gt;""),--ISNUMBER(SEARCH($P$2,P7)))))</f>
      </c>
      <c r="BB7" s="137">
        <f>IF($Q$2="",1,IF($Q$2="(blank)",--(Q7=""),IF($Q$2="(nonblank)",--(Q7&lt;&gt;""),--ISNUMBER(SEARCH($Q$2,Q7)))))</f>
      </c>
      <c r="BC7" s="137">
        <f>IF($R$2="",1,IF($R$2="(blank)",--(R7=""),IF($R$2="(nonblank)",--(R7&lt;&gt;""),--ISNUMBER(SEARCH($R$2,R7)))))</f>
      </c>
      <c r="BD7" s="137">
        <f>IF($S$2="",1,IF($S$2="(blank)",--(S7=""),IF($S$2="(nonblank)",--(S7&lt;&gt;""),--ISNUMBER(SEARCH($S$2,S7)))))</f>
      </c>
      <c r="BE7" s="137">
        <f>IF($T$2="",1,IF($T$2="(blank)",--(T7=""),IF($T$2="(nonblank)",--(T7&lt;&gt;""),--ISNUMBER(SEARCH($T$2,T7)))))</f>
      </c>
      <c r="BF7" s="137">
        <f>IF($U$2="",1,IF($U$2="(blank)",--(U7=""),IF($U$2="(nonblank)",--(U7&lt;&gt;""),--ISNUMBER(SEARCH($U$2,U7)))))</f>
      </c>
      <c r="BG7" s="137">
        <f>IF($V$2="",1,IF($V$2="(blank)",--(V7=""),IF($V$2="(nonblank)",--(V7&lt;&gt;""),--ISNUMBER(SEARCH($V$2,V7)))))</f>
      </c>
      <c r="BH7" s="137">
        <f>IF($W$2="",1,IF($W$2="(blank)",--(W7=""),IF($W$2="(nonblank)",--(W7&lt;&gt;""),--ISNUMBER(SEARCH($W$2,W7)))))</f>
      </c>
      <c r="BI7" s="137">
        <f>IF($X$2="",1,IF($X$2="(blank)",--(X7=""),IF($X$2="(nonblank)",--(X7&lt;&gt;""),--ISNUMBER(SEARCH($X$2,X7)))))</f>
      </c>
      <c r="BJ7" s="137">
        <f>IF($Y$2="",1,IF($Y$2="(blank)",--(Y7=""),IF($Y$2="(nonblank)",--(Y7&lt;&gt;""),--ISNUMBER(SEARCH($Y$2,Y7)))))</f>
      </c>
      <c r="BK7" s="137">
        <f>IF($Z$2="",1,IF($Z$2="(blank)",--(Z7=""),IF($Z$2="(nonblank)",--(Z7&lt;&gt;""),--ISNUMBER(SEARCH($Z$2,Z7)))))</f>
      </c>
      <c r="BL7" s="137">
        <f>IF($AA$2="",1,IF($AA$2="(blank)",--(AA7=""),IF($AA$2="(nonblank)",--(AA7&lt;&gt;""),--ISNUMBER(SEARCH($AA$2,AA7)))))</f>
      </c>
      <c r="BM7" s="137">
        <f>IF($AB$2="",1,IF($AB$2="(blank)",--(AB7=""),IF($AB$2="(nonblank)",--(AB7&lt;&gt;""),--ISNUMBER(SEARCH($AB$2,AB7)))))</f>
      </c>
      <c r="BN7" s="137">
        <f>IF($AC$2="",1,IF($AC$2="(blank)",--(AC7=""),IF($AC$2="(nonblank)",--(AC7&lt;&gt;""),--ISNUMBER(SEARCH($AC$2,AC7)))))</f>
      </c>
      <c r="BO7" s="137">
        <f>IF($AD$2="",1,IF($AD$2="(blank)",--(AD7=""),IF($AD$2="(nonblank)",--(AD7&lt;&gt;""),--ISNUMBER(SEARCH($AD$2,AD7)))))</f>
      </c>
      <c r="BP7" s="137">
        <f>IF($AE$2="",1,IF($AE$2="(blank)",--(AE7=""),IF($AE$2="(nonblank)",--(AE7&lt;&gt;""),--ISNUMBER(SEARCH($AE$2,AE7)))))</f>
      </c>
      <c r="BQ7" s="137">
        <f>IF($AF$2="",1,IF($AF$2="(blank)",--(AF7=""),IF($AF$2="(nonblank)",--(AF7&lt;&gt;""),--ISNUMBER(SEARCH($AF$2,AF7)))))</f>
      </c>
      <c r="BR7" s="137">
        <f>IF($AG$2="",1,IF($AG$2="(blank)",--(AG7=""),IF($AG$2="(nonblank)",--(AG7&lt;&gt;""),--ISNUMBER(SEARCH($AG$2,AG7)))))</f>
      </c>
      <c r="BS7" s="137">
        <f>IF($AH$2="",1,IF($AH$2="(blank)",--(AH7=""),IF($AH$2="(nonblank)",--(AH7&lt;&gt;""),--ISNUMBER(SEARCH($AH$2,AH7)))))</f>
      </c>
      <c r="BT7" s="137">
        <f>IF(COUNTIF($AL7:$BS7,0)&gt;0,0,1)</f>
      </c>
    </row>
    <row r="8" ht="26.25" customHeight="1" s="137">
      <c r="A8" s="23" t="n">
        <v>7253</v>
      </c>
      <c r="B8" s="24" t="inlineStr">
        <is>
          <t>SCRAP ACSR CONDUCTORS (Conductor Pieces)</t>
        </is>
      </c>
      <c r="C8" s="25" t="n">
        <v>227</v>
      </c>
      <c r="D8" s="26" t="n">
        <v>21980</v>
      </c>
      <c r="E8" s="26" t="inlineStr">
        <is>
          <t>KG</t>
        </is>
      </c>
      <c r="F8" s="26" t="n">
        <v>1923</v>
      </c>
      <c r="G8" s="24" t="inlineStr">
        <is>
          <t>OMKAR STEELS</t>
        </is>
      </c>
      <c r="H8" s="27" t="n">
        <v>1646431</v>
      </c>
      <c r="I8" s="27">
        <f>ROUND(H8*18%,0)</f>
        <v/>
      </c>
      <c r="J8" s="27">
        <f>+H8+I8</f>
        <v/>
      </c>
      <c r="K8" s="27">
        <f>ROUND((H8+I8)*2%,0)</f>
        <v/>
      </c>
      <c r="L8" s="28">
        <f>H8*0.1%</f>
        <v/>
      </c>
      <c r="M8" s="28">
        <f>H8*2.25%*118%</f>
        <v/>
      </c>
      <c r="N8" s="29">
        <f>H8*2.25%*2%</f>
        <v/>
      </c>
      <c r="O8" s="28">
        <f>M8-N8</f>
        <v/>
      </c>
      <c r="P8" s="28">
        <f>ROUND(O8+L8,0)</f>
        <v/>
      </c>
      <c r="Q8" s="30" t="n">
        <v>0.02</v>
      </c>
      <c r="R8" s="28">
        <f>ROUND(H8*Q8,0)</f>
        <v/>
      </c>
      <c r="S8" s="27">
        <f>ROUND(H8*117.65%-R8,0)</f>
        <v/>
      </c>
      <c r="T8" s="28">
        <f>ROUND(H8*25%,0)</f>
        <v/>
      </c>
      <c r="U8" s="31">
        <f>+T8</f>
        <v/>
      </c>
      <c r="V8" s="28" t="inlineStr">
        <is>
          <t>14.08.2026</t>
        </is>
      </c>
      <c r="W8" s="28">
        <f>ROUND(H8*92.65%-R8,0)</f>
        <v/>
      </c>
      <c r="X8" s="28" t="n">
        <v>1492490</v>
      </c>
      <c r="Y8" s="28" t="inlineStr">
        <is>
          <t>24.08.2026</t>
        </is>
      </c>
      <c r="Z8" s="28">
        <f>IF(IF(OR(AB8="",AB8=0),TODAY(),DATE(VALUE(RIGHT(AB8,4)),VALUE(MID(AB8,4,2)),VALUE(LEFT(AB8,2))))&lt;=DATE(2026,8,24),0,H8*0.0118*CEILING((IF(OR(AB8="",AB8=0),TODAY(),DATE(VALUE(RIGHT(AB8,4)),VALUE(MID(AB8,4,2)),VALUE(LEFT(AB8,2))))-DATE(2026,8,22))/7,1))</f>
        <v/>
      </c>
      <c r="AA8" s="28" t="n"/>
      <c r="AB8" s="28" t="n"/>
      <c r="AC8" s="15">
        <f>U8+X8+AA8</f>
        <v/>
      </c>
      <c r="AD8" s="19">
        <f>S8-AC8</f>
        <v/>
      </c>
      <c r="AE8" s="20">
        <f>IF(AD8="","",IF(AD8&lt;=5,"SETTLED","OUTSTANDING"))</f>
        <v/>
      </c>
      <c r="AF8" s="20" t="inlineStr">
        <is>
          <t>DR2640100045</t>
        </is>
      </c>
      <c r="AG8" s="21" t="n">
        <v>1800003315</v>
      </c>
      <c r="AH8" s="22" t="inlineStr">
        <is>
          <t>27.08.2026</t>
        </is>
      </c>
      <c r="AL8" s="137">
        <f>IF($A$2="",1,IF($A$2="(blank)",--(A8=""),IF($A$2="(nonblank)",--(A8&lt;&gt;""),--ISNUMBER(SEARCH($A$2,A8)))))</f>
      </c>
      <c r="AM8" s="137">
        <f>IF($B$2="",1,IF($B$2="(blank)",--(B8=""),IF($B$2="(nonblank)",--(B8&lt;&gt;""),--ISNUMBER(SEARCH($B$2,B8)))))</f>
      </c>
      <c r="AN8" s="137">
        <f>IF($C$2="",1,IF($C$2="(blank)",--(C8=""),IF($C$2="(nonblank)",--(C8&lt;&gt;""),--ISNUMBER(SEARCH($C$2,C8)))))</f>
      </c>
      <c r="AO8" s="137">
        <f>IF($D$2="",1,IF($D$2="(blank)",--(D8=""),IF($D$2="(nonblank)",--(D8&lt;&gt;""),--ISNUMBER(SEARCH($D$2,D8)))))</f>
      </c>
      <c r="AP8" s="137">
        <f>IF($E$2="",1,IF($E$2="(blank)",--(E8=""),IF($E$2="(nonblank)",--(E8&lt;&gt;""),--ISNUMBER(SEARCH($E$2,E8)))))</f>
      </c>
      <c r="AQ8" s="137">
        <f>IF($F$2="",1,IF($F$2="(blank)",--(F8=""),IF($F$2="(nonblank)",--(F8&lt;&gt;""),--ISNUMBER(SEARCH($F$2,F8)))))</f>
      </c>
      <c r="AR8" s="137">
        <f>IF($G$2="",1,IF($G$2="(blank)",--(G8=""),IF($G$2="(nonblank)",--(G8&lt;&gt;""),--ISNUMBER(SEARCH($G$2,G8)))))</f>
      </c>
      <c r="AS8" s="137">
        <f>IF($H$2="",1,IF($H$2="(blank)",--(H8=""),IF($H$2="(nonblank)",--(H8&lt;&gt;""),--ISNUMBER(SEARCH($H$2,H8)))))</f>
      </c>
      <c r="AT8" s="137">
        <f>IF($I$2="",1,IF($I$2="(blank)",--(I8=""),IF($I$2="(nonblank)",--(I8&lt;&gt;""),--ISNUMBER(SEARCH($I$2,I8)))))</f>
      </c>
      <c r="AU8" s="137">
        <f>IF($J$2="",1,IF($J$2="(blank)",--(J8=""),IF($J$2="(nonblank)",--(J8&lt;&gt;""),--ISNUMBER(SEARCH($J$2,J8)))))</f>
      </c>
      <c r="AV8" s="137">
        <f>IF($K$2="",1,IF($K$2="(blank)",--(K8=""),IF($K$2="(nonblank)",--(K8&lt;&gt;""),--ISNUMBER(SEARCH($K$2,K8)))))</f>
      </c>
      <c r="AW8" s="137">
        <f>IF($L$2="",1,IF($L$2="(blank)",--(L8=""),IF($L$2="(nonblank)",--(L8&lt;&gt;""),--ISNUMBER(SEARCH($L$2,L8)))))</f>
      </c>
      <c r="AX8" s="137">
        <f>IF($M$2="",1,IF($M$2="(blank)",--(M8=""),IF($M$2="(nonblank)",--(M8&lt;&gt;""),--ISNUMBER(SEARCH($M$2,M8)))))</f>
      </c>
      <c r="AY8" s="137">
        <f>IF($N$2="",1,IF($N$2="(blank)",--(N8=""),IF($N$2="(nonblank)",--(N8&lt;&gt;""),--ISNUMBER(SEARCH($N$2,N8)))))</f>
      </c>
      <c r="AZ8" s="137">
        <f>IF($O$2="",1,IF($O$2="(blank)",--(O8=""),IF($O$2="(nonblank)",--(O8&lt;&gt;""),--ISNUMBER(SEARCH($O$2,O8)))))</f>
      </c>
      <c r="BA8" s="137">
        <f>IF($P$2="",1,IF($P$2="(blank)",--(P8=""),IF($P$2="(nonblank)",--(P8&lt;&gt;""),--ISNUMBER(SEARCH($P$2,P8)))))</f>
      </c>
      <c r="BB8" s="137">
        <f>IF($Q$2="",1,IF($Q$2="(blank)",--(Q8=""),IF($Q$2="(nonblank)",--(Q8&lt;&gt;""),--ISNUMBER(SEARCH($Q$2,Q8)))))</f>
      </c>
      <c r="BC8" s="137">
        <f>IF($R$2="",1,IF($R$2="(blank)",--(R8=""),IF($R$2="(nonblank)",--(R8&lt;&gt;""),--ISNUMBER(SEARCH($R$2,R8)))))</f>
      </c>
      <c r="BD8" s="137">
        <f>IF($S$2="",1,IF($S$2="(blank)",--(S8=""),IF($S$2="(nonblank)",--(S8&lt;&gt;""),--ISNUMBER(SEARCH($S$2,S8)))))</f>
      </c>
      <c r="BE8" s="137">
        <f>IF($T$2="",1,IF($T$2="(blank)",--(T8=""),IF($T$2="(nonblank)",--(T8&lt;&gt;""),--ISNUMBER(SEARCH($T$2,T8)))))</f>
      </c>
      <c r="BF8" s="137">
        <f>IF($U$2="",1,IF($U$2="(blank)",--(U8=""),IF($U$2="(nonblank)",--(U8&lt;&gt;""),--ISNUMBER(SEARCH($U$2,U8)))))</f>
      </c>
      <c r="BG8" s="137">
        <f>IF($V$2="",1,IF($V$2="(blank)",--(V8=""),IF($V$2="(nonblank)",--(V8&lt;&gt;""),--ISNUMBER(SEARCH($V$2,V8)))))</f>
      </c>
      <c r="BH8" s="137">
        <f>IF($W$2="",1,IF($W$2="(blank)",--(W8=""),IF($W$2="(nonblank)",--(W8&lt;&gt;""),--ISNUMBER(SEARCH($W$2,W8)))))</f>
      </c>
      <c r="BI8" s="137">
        <f>IF($X$2="",1,IF($X$2="(blank)",--(X8=""),IF($X$2="(nonblank)",--(X8&lt;&gt;""),--ISNUMBER(SEARCH($X$2,X8)))))</f>
      </c>
      <c r="BJ8" s="137">
        <f>IF($Y$2="",1,IF($Y$2="(blank)",--(Y8=""),IF($Y$2="(nonblank)",--(Y8&lt;&gt;""),--ISNUMBER(SEARCH($Y$2,Y8)))))</f>
      </c>
      <c r="BK8" s="137">
        <f>IF($Z$2="",1,IF($Z$2="(blank)",--(Z8=""),IF($Z$2="(nonblank)",--(Z8&lt;&gt;""),--ISNUMBER(SEARCH($Z$2,Z8)))))</f>
      </c>
      <c r="BL8" s="137">
        <f>IF($AA$2="",1,IF($AA$2="(blank)",--(AA8=""),IF($AA$2="(nonblank)",--(AA8&lt;&gt;""),--ISNUMBER(SEARCH($AA$2,AA8)))))</f>
      </c>
      <c r="BM8" s="137">
        <f>IF($AB$2="",1,IF($AB$2="(blank)",--(AB8=""),IF($AB$2="(nonblank)",--(AB8&lt;&gt;""),--ISNUMBER(SEARCH($AB$2,AB8)))))</f>
      </c>
      <c r="BN8" s="137">
        <f>IF($AC$2="",1,IF($AC$2="(blank)",--(AC8=""),IF($AC$2="(nonblank)",--(AC8&lt;&gt;""),--ISNUMBER(SEARCH($AC$2,AC8)))))</f>
      </c>
      <c r="BO8" s="137">
        <f>IF($AD$2="",1,IF($AD$2="(blank)",--(AD8=""),IF($AD$2="(nonblank)",--(AD8&lt;&gt;""),--ISNUMBER(SEARCH($AD$2,AD8)))))</f>
      </c>
      <c r="BP8" s="137">
        <f>IF($AE$2="",1,IF($AE$2="(blank)",--(AE8=""),IF($AE$2="(nonblank)",--(AE8&lt;&gt;""),--ISNUMBER(SEARCH($AE$2,AE8)))))</f>
      </c>
      <c r="BQ8" s="137">
        <f>IF($AF$2="",1,IF($AF$2="(blank)",--(AF8=""),IF($AF$2="(nonblank)",--(AF8&lt;&gt;""),--ISNUMBER(SEARCH($AF$2,AF8)))))</f>
      </c>
      <c r="BR8" s="137">
        <f>IF($AG$2="",1,IF($AG$2="(blank)",--(AG8=""),IF($AG$2="(nonblank)",--(AG8&lt;&gt;""),--ISNUMBER(SEARCH($AG$2,AG8)))))</f>
      </c>
      <c r="BS8" s="137">
        <f>IF($AH$2="",1,IF($AH$2="(blank)",--(AH8=""),IF($AH$2="(nonblank)",--(AH8&lt;&gt;""),--ISNUMBER(SEARCH($AH$2,AH8)))))</f>
      </c>
      <c r="BT8" s="137">
        <f>IF(COUNTIF($AL8:$BS8,0)&gt;0,0,1)</f>
      </c>
    </row>
    <row r="9" ht="14.25" customHeight="1" s="137">
      <c r="A9" s="148" t="n">
        <v>1</v>
      </c>
      <c r="B9" s="149" t="inlineStr">
        <is>
          <t>Scrap Power Transformer</t>
        </is>
      </c>
      <c r="C9" s="150" t="n">
        <v>2787314</v>
      </c>
      <c r="D9" s="151" t="n">
        <v>21977</v>
      </c>
      <c r="E9" s="151" t="inlineStr">
        <is>
          <t>NO</t>
        </is>
      </c>
      <c r="F9" s="151" t="n">
        <v>1976</v>
      </c>
      <c r="G9" s="149" t="inlineStr">
        <is>
          <t>SHAR JAHAN TRADERS</t>
        </is>
      </c>
      <c r="H9" s="152" t="n">
        <v>2787314</v>
      </c>
      <c r="I9" s="152">
        <f>ROUND(H9*18%,0)</f>
        <v/>
      </c>
      <c r="J9" s="152">
        <f>+H9+I9</f>
        <v/>
      </c>
      <c r="K9" s="152">
        <f>ROUND((H9+I9)*2%,0)</f>
        <v/>
      </c>
      <c r="L9" s="153">
        <f>H9*0.1%</f>
        <v/>
      </c>
      <c r="M9" s="153">
        <f>H9*2.25%*118%</f>
        <v/>
      </c>
      <c r="N9" s="154">
        <f>H9*2.25%*2%</f>
        <v/>
      </c>
      <c r="O9" s="153">
        <f>M9-N9</f>
        <v/>
      </c>
      <c r="P9" s="153">
        <f>ROUND(O9+L9,0)</f>
        <v/>
      </c>
      <c r="Q9" s="155" t="n">
        <v>0</v>
      </c>
      <c r="R9" s="153">
        <f>ROUND(H9*Q9,0)</f>
        <v/>
      </c>
      <c r="S9" s="152">
        <f>ROUND(H9*117.65%-R9,0)</f>
        <v/>
      </c>
      <c r="T9" s="153">
        <f>ROUND(H9*25%,0)</f>
        <v/>
      </c>
      <c r="U9" s="156">
        <f>+T9</f>
        <v/>
      </c>
      <c r="V9" s="153" t="inlineStr">
        <is>
          <t>13.08.2026</t>
        </is>
      </c>
      <c r="W9" s="153">
        <f>ROUND(H9*92.65%-R9,0)</f>
        <v/>
      </c>
      <c r="X9" s="153" t="n">
        <v>2582447.09429161</v>
      </c>
      <c r="Y9" s="153" t="inlineStr">
        <is>
          <t>13.08.2026</t>
        </is>
      </c>
      <c r="Z9" s="153">
        <f>IF(IF(OR(AB9="",AB9=0),TODAY(),DATE(VALUE(RIGHT(AB9,4)),VALUE(MID(AB9,4,2)),VALUE(LEFT(AB9,2))))&lt;=DATE(2026,8,24),0,H9*0.0118*CEILING((IF(OR(AB9="",AB9=0),TODAY(),DATE(VALUE(RIGHT(AB9,4)),VALUE(MID(AB9,4,2)),VALUE(LEFT(AB9,2))))-DATE(2026,8,22))/7,1))</f>
        <v/>
      </c>
      <c r="AA9" s="153" t="n"/>
      <c r="AB9" s="153" t="n"/>
      <c r="AC9" s="157">
        <f>U9+X9+AA9</f>
        <v/>
      </c>
      <c r="AD9" s="157">
        <f>S9-AC9</f>
        <v/>
      </c>
      <c r="AE9" s="153">
        <f>IF(AD9="","",IF(AD9&lt;=5,"SETTLED","OUTSTANDING"))</f>
        <v/>
      </c>
      <c r="AF9" s="153" t="inlineStr">
        <is>
          <t>DR2640100023</t>
        </is>
      </c>
      <c r="AG9" s="158" t="n">
        <v>1800003194</v>
      </c>
      <c r="AH9" s="159" t="inlineStr">
        <is>
          <t>17.08.2026</t>
        </is>
      </c>
      <c r="AL9" s="137">
        <f>IF($A$2="",1,IF($A$2="(blank)",--(A9=""),IF($A$2="(nonblank)",--(A9&lt;&gt;""),--ISNUMBER(SEARCH($A$2,A9)))))</f>
      </c>
      <c r="AM9" s="137">
        <f>IF($B$2="",1,IF($B$2="(blank)",--(B9=""),IF($B$2="(nonblank)",--(B9&lt;&gt;""),--ISNUMBER(SEARCH($B$2,B9)))))</f>
      </c>
      <c r="AN9" s="137">
        <f>IF($C$2="",1,IF($C$2="(blank)",--(C9=""),IF($C$2="(nonblank)",--(C9&lt;&gt;""),--ISNUMBER(SEARCH($C$2,C9)))))</f>
      </c>
      <c r="AO9" s="137">
        <f>IF($D$2="",1,IF($D$2="(blank)",--(D9=""),IF($D$2="(nonblank)",--(D9&lt;&gt;""),--ISNUMBER(SEARCH($D$2,D9)))))</f>
      </c>
      <c r="AP9" s="137">
        <f>IF($E$2="",1,IF($E$2="(blank)",--(E9=""),IF($E$2="(nonblank)",--(E9&lt;&gt;""),--ISNUMBER(SEARCH($E$2,E9)))))</f>
      </c>
      <c r="AQ9" s="137">
        <f>IF($F$2="",1,IF($F$2="(blank)",--(F9=""),IF($F$2="(nonblank)",--(F9&lt;&gt;""),--ISNUMBER(SEARCH($F$2,F9)))))</f>
      </c>
      <c r="AR9" s="137">
        <f>IF($G$2="",1,IF($G$2="(blank)",--(G9=""),IF($G$2="(nonblank)",--(G9&lt;&gt;""),--ISNUMBER(SEARCH($G$2,G9)))))</f>
      </c>
      <c r="AS9" s="137">
        <f>IF($H$2="",1,IF($H$2="(blank)",--(H9=""),IF($H$2="(nonblank)",--(H9&lt;&gt;""),--ISNUMBER(SEARCH($H$2,H9)))))</f>
      </c>
      <c r="AT9" s="137">
        <f>IF($I$2="",1,IF($I$2="(blank)",--(I9=""),IF($I$2="(nonblank)",--(I9&lt;&gt;""),--ISNUMBER(SEARCH($I$2,I9)))))</f>
      </c>
      <c r="AU9" s="137">
        <f>IF($J$2="",1,IF($J$2="(blank)",--(J9=""),IF($J$2="(nonblank)",--(J9&lt;&gt;""),--ISNUMBER(SEARCH($J$2,J9)))))</f>
      </c>
      <c r="AV9" s="137">
        <f>IF($K$2="",1,IF($K$2="(blank)",--(K9=""),IF($K$2="(nonblank)",--(K9&lt;&gt;""),--ISNUMBER(SEARCH($K$2,K9)))))</f>
      </c>
      <c r="AW9" s="137">
        <f>IF($L$2="",1,IF($L$2="(blank)",--(L9=""),IF($L$2="(nonblank)",--(L9&lt;&gt;""),--ISNUMBER(SEARCH($L$2,L9)))))</f>
      </c>
      <c r="AX9" s="137">
        <f>IF($M$2="",1,IF($M$2="(blank)",--(M9=""),IF($M$2="(nonblank)",--(M9&lt;&gt;""),--ISNUMBER(SEARCH($M$2,M9)))))</f>
      </c>
      <c r="AY9" s="137">
        <f>IF($N$2="",1,IF($N$2="(blank)",--(N9=""),IF($N$2="(nonblank)",--(N9&lt;&gt;""),--ISNUMBER(SEARCH($N$2,N9)))))</f>
      </c>
      <c r="AZ9" s="137">
        <f>IF($O$2="",1,IF($O$2="(blank)",--(O9=""),IF($O$2="(nonblank)",--(O9&lt;&gt;""),--ISNUMBER(SEARCH($O$2,O9)))))</f>
      </c>
      <c r="BA9" s="137">
        <f>IF($P$2="",1,IF($P$2="(blank)",--(P9=""),IF($P$2="(nonblank)",--(P9&lt;&gt;""),--ISNUMBER(SEARCH($P$2,P9)))))</f>
      </c>
      <c r="BB9" s="137">
        <f>IF($Q$2="",1,IF($Q$2="(blank)",--(Q9=""),IF($Q$2="(nonblank)",--(Q9&lt;&gt;""),--ISNUMBER(SEARCH($Q$2,Q9)))))</f>
      </c>
      <c r="BC9" s="137">
        <f>IF($R$2="",1,IF($R$2="(blank)",--(R9=""),IF($R$2="(nonblank)",--(R9&lt;&gt;""),--ISNUMBER(SEARCH($R$2,R9)))))</f>
      </c>
      <c r="BD9" s="137">
        <f>IF($S$2="",1,IF($S$2="(blank)",--(S9=""),IF($S$2="(nonblank)",--(S9&lt;&gt;""),--ISNUMBER(SEARCH($S$2,S9)))))</f>
      </c>
      <c r="BE9" s="137">
        <f>IF($T$2="",1,IF($T$2="(blank)",--(T9=""),IF($T$2="(nonblank)",--(T9&lt;&gt;""),--ISNUMBER(SEARCH($T$2,T9)))))</f>
      </c>
      <c r="BF9" s="137">
        <f>IF($U$2="",1,IF($U$2="(blank)",--(U9=""),IF($U$2="(nonblank)",--(U9&lt;&gt;""),--ISNUMBER(SEARCH($U$2,U9)))))</f>
      </c>
      <c r="BG9" s="137">
        <f>IF($V$2="",1,IF($V$2="(blank)",--(V9=""),IF($V$2="(nonblank)",--(V9&lt;&gt;""),--ISNUMBER(SEARCH($V$2,V9)))))</f>
      </c>
      <c r="BH9" s="137">
        <f>IF($W$2="",1,IF($W$2="(blank)",--(W9=""),IF($W$2="(nonblank)",--(W9&lt;&gt;""),--ISNUMBER(SEARCH($W$2,W9)))))</f>
      </c>
      <c r="BI9" s="137">
        <f>IF($X$2="",1,IF($X$2="(blank)",--(X9=""),IF($X$2="(nonblank)",--(X9&lt;&gt;""),--ISNUMBER(SEARCH($X$2,X9)))))</f>
      </c>
      <c r="BJ9" s="137">
        <f>IF($Y$2="",1,IF($Y$2="(blank)",--(Y9=""),IF($Y$2="(nonblank)",--(Y9&lt;&gt;""),--ISNUMBER(SEARCH($Y$2,Y9)))))</f>
      </c>
      <c r="BK9" s="137">
        <f>IF($Z$2="",1,IF($Z$2="(blank)",--(Z9=""),IF($Z$2="(nonblank)",--(Z9&lt;&gt;""),--ISNUMBER(SEARCH($Z$2,Z9)))))</f>
      </c>
      <c r="BL9" s="137">
        <f>IF($AA$2="",1,IF($AA$2="(blank)",--(AA9=""),IF($AA$2="(nonblank)",--(AA9&lt;&gt;""),--ISNUMBER(SEARCH($AA$2,AA9)))))</f>
      </c>
      <c r="BM9" s="137">
        <f>IF($AB$2="",1,IF($AB$2="(blank)",--(AB9=""),IF($AB$2="(nonblank)",--(AB9&lt;&gt;""),--ISNUMBER(SEARCH($AB$2,AB9)))))</f>
      </c>
      <c r="BN9" s="137">
        <f>IF($AC$2="",1,IF($AC$2="(blank)",--(AC9=""),IF($AC$2="(nonblank)",--(AC9&lt;&gt;""),--ISNUMBER(SEARCH($AC$2,AC9)))))</f>
      </c>
      <c r="BO9" s="137">
        <f>IF($AD$2="",1,IF($AD$2="(blank)",--(AD9=""),IF($AD$2="(nonblank)",--(AD9&lt;&gt;""),--ISNUMBER(SEARCH($AD$2,AD9)))))</f>
      </c>
      <c r="BP9" s="137">
        <f>IF($AE$2="",1,IF($AE$2="(blank)",--(AE9=""),IF($AE$2="(nonblank)",--(AE9&lt;&gt;""),--ISNUMBER(SEARCH($AE$2,AE9)))))</f>
      </c>
      <c r="BQ9" s="137">
        <f>IF($AF$2="",1,IF($AF$2="(blank)",--(AF9=""),IF($AF$2="(nonblank)",--(AF9&lt;&gt;""),--ISNUMBER(SEARCH($AF$2,AF9)))))</f>
      </c>
      <c r="BR9" s="137">
        <f>IF($AG$2="",1,IF($AG$2="(blank)",--(AG9=""),IF($AG$2="(nonblank)",--(AG9&lt;&gt;""),--ISNUMBER(SEARCH($AG$2,AG9)))))</f>
      </c>
      <c r="BS9" s="137">
        <f>IF($AH$2="",1,IF($AH$2="(blank)",--(AH9=""),IF($AH$2="(nonblank)",--(AH9&lt;&gt;""),--ISNUMBER(SEARCH($AH$2,AH9)))))</f>
      </c>
      <c r="BT9" s="137">
        <f>IF(COUNTIF($AL9:$BS9,0)&gt;0,0,1)</f>
      </c>
    </row>
    <row r="10" ht="14.25" customHeight="1" s="137">
      <c r="A10" s="23" t="n">
        <v>4</v>
      </c>
      <c r="B10" s="24" t="inlineStr">
        <is>
          <t>Scrap of 132 KV CT</t>
        </is>
      </c>
      <c r="C10" s="25" t="n">
        <v>51511</v>
      </c>
      <c r="D10" s="26" t="n">
        <v>21977</v>
      </c>
      <c r="E10" s="26" t="inlineStr">
        <is>
          <t>NO</t>
        </is>
      </c>
      <c r="F10" s="26" t="n">
        <v>2002</v>
      </c>
      <c r="G10" s="24" t="inlineStr">
        <is>
          <t>NATIONAL ENTERPRISES</t>
        </is>
      </c>
      <c r="H10" s="27" t="n">
        <v>206044</v>
      </c>
      <c r="I10" s="27">
        <f>ROUND(H10*18%,0)</f>
        <v/>
      </c>
      <c r="J10" s="27">
        <f>+H10+I10</f>
        <v/>
      </c>
      <c r="K10" s="27">
        <f>ROUND((H10+I10)*2%,0)</f>
        <v/>
      </c>
      <c r="L10" s="28">
        <f>H10*0.1%</f>
        <v/>
      </c>
      <c r="M10" s="28">
        <f>H10*2.25%*118%</f>
        <v/>
      </c>
      <c r="N10" s="29">
        <f>H10*2.25%*2%</f>
        <v/>
      </c>
      <c r="O10" s="28">
        <f>M10-N10</f>
        <v/>
      </c>
      <c r="P10" s="28">
        <f>ROUND(O10+L10,0)</f>
        <v/>
      </c>
      <c r="Q10" s="30" t="n">
        <v>0</v>
      </c>
      <c r="R10" s="28">
        <f>ROUND(H10*Q10,0)</f>
        <v/>
      </c>
      <c r="S10" s="27">
        <f>ROUND(H10*117.65%-R10,0)</f>
        <v/>
      </c>
      <c r="T10" s="28">
        <f>ROUND(H10*25%,0)</f>
        <v/>
      </c>
      <c r="U10" s="31">
        <f>+T10</f>
        <v/>
      </c>
      <c r="V10" s="28" t="inlineStr">
        <is>
          <t>13.08.2026</t>
        </is>
      </c>
      <c r="W10" s="28">
        <f>ROUND(H10*92.65%-R10,0)</f>
        <v/>
      </c>
      <c r="X10" s="28" t="n">
        <v>190900</v>
      </c>
      <c r="Y10" s="28" t="inlineStr">
        <is>
          <t>24.08.2026</t>
        </is>
      </c>
      <c r="Z10" s="28">
        <f>IF(IF(OR(AB10="",AB10=0),TODAY(),DATE(VALUE(RIGHT(AB10,4)),VALUE(MID(AB10,4,2)),VALUE(LEFT(AB10,2))))&lt;=DATE(2026,8,24),0,H10*0.0118*CEILING((IF(OR(AB10="",AB10=0),TODAY(),DATE(VALUE(RIGHT(AB10,4)),VALUE(MID(AB10,4,2)),VALUE(LEFT(AB10,2))))-DATE(2026,8,22))/7,1))</f>
        <v/>
      </c>
      <c r="AA10" s="28" t="n"/>
      <c r="AB10" s="28" t="n"/>
      <c r="AC10" s="15">
        <f>U10+X10+AA10</f>
        <v/>
      </c>
      <c r="AD10" s="19">
        <f>S10-AC10</f>
        <v/>
      </c>
      <c r="AE10" s="20">
        <f>IF(AD10="","",IF(AD10&lt;=5,"SETTLED","OUTSTANDING"))</f>
        <v/>
      </c>
      <c r="AF10" s="20" t="inlineStr">
        <is>
          <t>DR2640100031</t>
        </is>
      </c>
      <c r="AG10" s="21" t="n">
        <v>1800003303</v>
      </c>
      <c r="AH10" s="22" t="inlineStr">
        <is>
          <t>27.08.2026</t>
        </is>
      </c>
      <c r="AL10" s="137">
        <f>IF($A$2="",1,IF($A$2="(blank)",--(A10=""),IF($A$2="(nonblank)",--(A10&lt;&gt;""),--ISNUMBER(SEARCH($A$2,A10)))))</f>
      </c>
      <c r="AM10" s="137">
        <f>IF($B$2="",1,IF($B$2="(blank)",--(B10=""),IF($B$2="(nonblank)",--(B10&lt;&gt;""),--ISNUMBER(SEARCH($B$2,B10)))))</f>
      </c>
      <c r="AN10" s="137">
        <f>IF($C$2="",1,IF($C$2="(blank)",--(C10=""),IF($C$2="(nonblank)",--(C10&lt;&gt;""),--ISNUMBER(SEARCH($C$2,C10)))))</f>
      </c>
      <c r="AO10" s="137">
        <f>IF($D$2="",1,IF($D$2="(blank)",--(D10=""),IF($D$2="(nonblank)",--(D10&lt;&gt;""),--ISNUMBER(SEARCH($D$2,D10)))))</f>
      </c>
      <c r="AP10" s="137">
        <f>IF($E$2="",1,IF($E$2="(blank)",--(E10=""),IF($E$2="(nonblank)",--(E10&lt;&gt;""),--ISNUMBER(SEARCH($E$2,E10)))))</f>
      </c>
      <c r="AQ10" s="137">
        <f>IF($F$2="",1,IF($F$2="(blank)",--(F10=""),IF($F$2="(nonblank)",--(F10&lt;&gt;""),--ISNUMBER(SEARCH($F$2,F10)))))</f>
      </c>
      <c r="AR10" s="137">
        <f>IF($G$2="",1,IF($G$2="(blank)",--(G10=""),IF($G$2="(nonblank)",--(G10&lt;&gt;""),--ISNUMBER(SEARCH($G$2,G10)))))</f>
      </c>
      <c r="AS10" s="137">
        <f>IF($H$2="",1,IF($H$2="(blank)",--(H10=""),IF($H$2="(nonblank)",--(H10&lt;&gt;""),--ISNUMBER(SEARCH($H$2,H10)))))</f>
      </c>
      <c r="AT10" s="137">
        <f>IF($I$2="",1,IF($I$2="(blank)",--(I10=""),IF($I$2="(nonblank)",--(I10&lt;&gt;""),--ISNUMBER(SEARCH($I$2,I10)))))</f>
      </c>
      <c r="AU10" s="137">
        <f>IF($J$2="",1,IF($J$2="(blank)",--(J10=""),IF($J$2="(nonblank)",--(J10&lt;&gt;""),--ISNUMBER(SEARCH($J$2,J10)))))</f>
      </c>
      <c r="AV10" s="137">
        <f>IF($K$2="",1,IF($K$2="(blank)",--(K10=""),IF($K$2="(nonblank)",--(K10&lt;&gt;""),--ISNUMBER(SEARCH($K$2,K10)))))</f>
      </c>
      <c r="AW10" s="137">
        <f>IF($L$2="",1,IF($L$2="(blank)",--(L10=""),IF($L$2="(nonblank)",--(L10&lt;&gt;""),--ISNUMBER(SEARCH($L$2,L10)))))</f>
      </c>
      <c r="AX10" s="137">
        <f>IF($M$2="",1,IF($M$2="(blank)",--(M10=""),IF($M$2="(nonblank)",--(M10&lt;&gt;""),--ISNUMBER(SEARCH($M$2,M10)))))</f>
      </c>
      <c r="AY10" s="137">
        <f>IF($N$2="",1,IF($N$2="(blank)",--(N10=""),IF($N$2="(nonblank)",--(N10&lt;&gt;""),--ISNUMBER(SEARCH($N$2,N10)))))</f>
      </c>
      <c r="AZ10" s="137">
        <f>IF($O$2="",1,IF($O$2="(blank)",--(O10=""),IF($O$2="(nonblank)",--(O10&lt;&gt;""),--ISNUMBER(SEARCH($O$2,O10)))))</f>
      </c>
      <c r="BA10" s="137">
        <f>IF($P$2="",1,IF($P$2="(blank)",--(P10=""),IF($P$2="(nonblank)",--(P10&lt;&gt;""),--ISNUMBER(SEARCH($P$2,P10)))))</f>
      </c>
      <c r="BB10" s="137">
        <f>IF($Q$2="",1,IF($Q$2="(blank)",--(Q10=""),IF($Q$2="(nonblank)",--(Q10&lt;&gt;""),--ISNUMBER(SEARCH($Q$2,Q10)))))</f>
      </c>
      <c r="BC10" s="137">
        <f>IF($R$2="",1,IF($R$2="(blank)",--(R10=""),IF($R$2="(nonblank)",--(R10&lt;&gt;""),--ISNUMBER(SEARCH($R$2,R10)))))</f>
      </c>
      <c r="BD10" s="137">
        <f>IF($S$2="",1,IF($S$2="(blank)",--(S10=""),IF($S$2="(nonblank)",--(S10&lt;&gt;""),--ISNUMBER(SEARCH($S$2,S10)))))</f>
      </c>
      <c r="BE10" s="137">
        <f>IF($T$2="",1,IF($T$2="(blank)",--(T10=""),IF($T$2="(nonblank)",--(T10&lt;&gt;""),--ISNUMBER(SEARCH($T$2,T10)))))</f>
      </c>
      <c r="BF10" s="137">
        <f>IF($U$2="",1,IF($U$2="(blank)",--(U10=""),IF($U$2="(nonblank)",--(U10&lt;&gt;""),--ISNUMBER(SEARCH($U$2,U10)))))</f>
      </c>
      <c r="BG10" s="137">
        <f>IF($V$2="",1,IF($V$2="(blank)",--(V10=""),IF($V$2="(nonblank)",--(V10&lt;&gt;""),--ISNUMBER(SEARCH($V$2,V10)))))</f>
      </c>
      <c r="BH10" s="137">
        <f>IF($W$2="",1,IF($W$2="(blank)",--(W10=""),IF($W$2="(nonblank)",--(W10&lt;&gt;""),--ISNUMBER(SEARCH($W$2,W10)))))</f>
      </c>
      <c r="BI10" s="137">
        <f>IF($X$2="",1,IF($X$2="(blank)",--(X10=""),IF($X$2="(nonblank)",--(X10&lt;&gt;""),--ISNUMBER(SEARCH($X$2,X10)))))</f>
      </c>
      <c r="BJ10" s="137">
        <f>IF($Y$2="",1,IF($Y$2="(blank)",--(Y10=""),IF($Y$2="(nonblank)",--(Y10&lt;&gt;""),--ISNUMBER(SEARCH($Y$2,Y10)))))</f>
      </c>
      <c r="BK10" s="137">
        <f>IF($Z$2="",1,IF($Z$2="(blank)",--(Z10=""),IF($Z$2="(nonblank)",--(Z10&lt;&gt;""),--ISNUMBER(SEARCH($Z$2,Z10)))))</f>
      </c>
      <c r="BL10" s="137">
        <f>IF($AA$2="",1,IF($AA$2="(blank)",--(AA10=""),IF($AA$2="(nonblank)",--(AA10&lt;&gt;""),--ISNUMBER(SEARCH($AA$2,AA10)))))</f>
      </c>
      <c r="BM10" s="137">
        <f>IF($AB$2="",1,IF($AB$2="(blank)",--(AB10=""),IF($AB$2="(nonblank)",--(AB10&lt;&gt;""),--ISNUMBER(SEARCH($AB$2,AB10)))))</f>
      </c>
      <c r="BN10" s="137">
        <f>IF($AC$2="",1,IF($AC$2="(blank)",--(AC10=""),IF($AC$2="(nonblank)",--(AC10&lt;&gt;""),--ISNUMBER(SEARCH($AC$2,AC10)))))</f>
      </c>
      <c r="BO10" s="137">
        <f>IF($AD$2="",1,IF($AD$2="(blank)",--(AD10=""),IF($AD$2="(nonblank)",--(AD10&lt;&gt;""),--ISNUMBER(SEARCH($AD$2,AD10)))))</f>
      </c>
      <c r="BP10" s="137">
        <f>IF($AE$2="",1,IF($AE$2="(blank)",--(AE10=""),IF($AE$2="(nonblank)",--(AE10&lt;&gt;""),--ISNUMBER(SEARCH($AE$2,AE10)))))</f>
      </c>
      <c r="BQ10" s="137">
        <f>IF($AF$2="",1,IF($AF$2="(blank)",--(AF10=""),IF($AF$2="(nonblank)",--(AF10&lt;&gt;""),--ISNUMBER(SEARCH($AF$2,AF10)))))</f>
      </c>
      <c r="BR10" s="137">
        <f>IF($AG$2="",1,IF($AG$2="(blank)",--(AG10=""),IF($AG$2="(nonblank)",--(AG10&lt;&gt;""),--ISNUMBER(SEARCH($AG$2,AG10)))))</f>
      </c>
      <c r="BS10" s="137">
        <f>IF($AH$2="",1,IF($AH$2="(blank)",--(AH10=""),IF($AH$2="(nonblank)",--(AH10&lt;&gt;""),--ISNUMBER(SEARCH($AH$2,AH10)))))</f>
      </c>
      <c r="BT10" s="137">
        <f>IF(COUNTIF($AL10:$BS10,0)&gt;0,0,1)</f>
      </c>
    </row>
    <row r="11" ht="14.25" customHeight="1" s="137">
      <c r="A11" s="148" t="n">
        <v>1</v>
      </c>
      <c r="B11" s="149" t="inlineStr">
        <is>
          <t>Scrap of 145 KV CB</t>
        </is>
      </c>
      <c r="C11" s="150" t="n">
        <v>65007</v>
      </c>
      <c r="D11" s="151" t="n">
        <v>21977</v>
      </c>
      <c r="E11" s="151" t="inlineStr">
        <is>
          <t>NO</t>
        </is>
      </c>
      <c r="F11" s="151" t="n">
        <v>2003</v>
      </c>
      <c r="G11" s="149" t="inlineStr">
        <is>
          <t>NATIONAL ENTERPRISES</t>
        </is>
      </c>
      <c r="H11" s="152" t="n">
        <v>65007</v>
      </c>
      <c r="I11" s="152">
        <f>ROUND(H11*18%,0)</f>
        <v/>
      </c>
      <c r="J11" s="152">
        <f>+H11+I11</f>
        <v/>
      </c>
      <c r="K11" s="152">
        <f>ROUND((H11+I11)*2%,0)</f>
        <v/>
      </c>
      <c r="L11" s="153">
        <f>H11*0.1%</f>
        <v/>
      </c>
      <c r="M11" s="153">
        <f>H11*2.25%*118%</f>
        <v/>
      </c>
      <c r="N11" s="154">
        <f>H11*2.25%*2%</f>
        <v/>
      </c>
      <c r="O11" s="153">
        <f>M11-N11</f>
        <v/>
      </c>
      <c r="P11" s="153">
        <f>ROUND(O11+L11,0)</f>
        <v/>
      </c>
      <c r="Q11" s="155" t="n">
        <v>0</v>
      </c>
      <c r="R11" s="153">
        <f>ROUND(H11*Q11,0)</f>
        <v/>
      </c>
      <c r="S11" s="152">
        <f>ROUND(H11*117.65%-R11,0)</f>
        <v/>
      </c>
      <c r="T11" s="153">
        <f>ROUND(H11*25%,0)</f>
        <v/>
      </c>
      <c r="U11" s="156">
        <f>+T11</f>
        <v/>
      </c>
      <c r="V11" s="153" t="inlineStr">
        <is>
          <t>13.08.2026</t>
        </is>
      </c>
      <c r="W11" s="153">
        <f>ROUND(H11*92.65%-R11,0)</f>
        <v/>
      </c>
      <c r="X11" s="153" t="n">
        <v>60229</v>
      </c>
      <c r="Y11" s="153" t="inlineStr">
        <is>
          <t>24.08.2026</t>
        </is>
      </c>
      <c r="Z11" s="153">
        <f>IF(IF(OR(AB11="",AB11=0),TODAY(),DATE(VALUE(RIGHT(AB11,4)),VALUE(MID(AB11,4,2)),VALUE(LEFT(AB11,2))))&lt;=DATE(2026,8,24),0,H11*0.0118*CEILING((IF(OR(AB11="",AB11=0),TODAY(),DATE(VALUE(RIGHT(AB11,4)),VALUE(MID(AB11,4,2)),VALUE(LEFT(AB11,2))))-DATE(2026,8,22))/7,1))</f>
        <v/>
      </c>
      <c r="AA11" s="153" t="n"/>
      <c r="AB11" s="153" t="n"/>
      <c r="AC11" s="157">
        <f>U11+X11+AA11</f>
        <v/>
      </c>
      <c r="AD11" s="157">
        <f>S11-AC11</f>
        <v/>
      </c>
      <c r="AE11" s="153">
        <f>IF(AD11="","",IF(AD11&lt;=5,"SETTLED","OUTSTANDING"))</f>
        <v/>
      </c>
      <c r="AF11" s="153" t="inlineStr">
        <is>
          <t>DR2640100032</t>
        </is>
      </c>
      <c r="AG11" s="158" t="n">
        <v>1800003304</v>
      </c>
      <c r="AH11" s="159" t="inlineStr">
        <is>
          <t>27.08.2026</t>
        </is>
      </c>
      <c r="AL11" s="137">
        <f>IF($A$2="",1,IF($A$2="(blank)",--(A11=""),IF($A$2="(nonblank)",--(A11&lt;&gt;""),--ISNUMBER(SEARCH($A$2,A11)))))</f>
      </c>
      <c r="AM11" s="137">
        <f>IF($B$2="",1,IF($B$2="(blank)",--(B11=""),IF($B$2="(nonblank)",--(B11&lt;&gt;""),--ISNUMBER(SEARCH($B$2,B11)))))</f>
      </c>
      <c r="AN11" s="137">
        <f>IF($C$2="",1,IF($C$2="(blank)",--(C11=""),IF($C$2="(nonblank)",--(C11&lt;&gt;""),--ISNUMBER(SEARCH($C$2,C11)))))</f>
      </c>
      <c r="AO11" s="137">
        <f>IF($D$2="",1,IF($D$2="(blank)",--(D11=""),IF($D$2="(nonblank)",--(D11&lt;&gt;""),--ISNUMBER(SEARCH($D$2,D11)))))</f>
      </c>
      <c r="AP11" s="137">
        <f>IF($E$2="",1,IF($E$2="(blank)",--(E11=""),IF($E$2="(nonblank)",--(E11&lt;&gt;""),--ISNUMBER(SEARCH($E$2,E11)))))</f>
      </c>
      <c r="AQ11" s="137">
        <f>IF($F$2="",1,IF($F$2="(blank)",--(F11=""),IF($F$2="(nonblank)",--(F11&lt;&gt;""),--ISNUMBER(SEARCH($F$2,F11)))))</f>
      </c>
      <c r="AR11" s="137">
        <f>IF($G$2="",1,IF($G$2="(blank)",--(G11=""),IF($G$2="(nonblank)",--(G11&lt;&gt;""),--ISNUMBER(SEARCH($G$2,G11)))))</f>
      </c>
      <c r="AS11" s="137">
        <f>IF($H$2="",1,IF($H$2="(blank)",--(H11=""),IF($H$2="(nonblank)",--(H11&lt;&gt;""),--ISNUMBER(SEARCH($H$2,H11)))))</f>
      </c>
      <c r="AT11" s="137">
        <f>IF($I$2="",1,IF($I$2="(blank)",--(I11=""),IF($I$2="(nonblank)",--(I11&lt;&gt;""),--ISNUMBER(SEARCH($I$2,I11)))))</f>
      </c>
      <c r="AU11" s="137">
        <f>IF($J$2="",1,IF($J$2="(blank)",--(J11=""),IF($J$2="(nonblank)",--(J11&lt;&gt;""),--ISNUMBER(SEARCH($J$2,J11)))))</f>
      </c>
      <c r="AV11" s="137">
        <f>IF($K$2="",1,IF($K$2="(blank)",--(K11=""),IF($K$2="(nonblank)",--(K11&lt;&gt;""),--ISNUMBER(SEARCH($K$2,K11)))))</f>
      </c>
      <c r="AW11" s="137">
        <f>IF($L$2="",1,IF($L$2="(blank)",--(L11=""),IF($L$2="(nonblank)",--(L11&lt;&gt;""),--ISNUMBER(SEARCH($L$2,L11)))))</f>
      </c>
      <c r="AX11" s="137">
        <f>IF($M$2="",1,IF($M$2="(blank)",--(M11=""),IF($M$2="(nonblank)",--(M11&lt;&gt;""),--ISNUMBER(SEARCH($M$2,M11)))))</f>
      </c>
      <c r="AY11" s="137">
        <f>IF($N$2="",1,IF($N$2="(blank)",--(N11=""),IF($N$2="(nonblank)",--(N11&lt;&gt;""),--ISNUMBER(SEARCH($N$2,N11)))))</f>
      </c>
      <c r="AZ11" s="137">
        <f>IF($O$2="",1,IF($O$2="(blank)",--(O11=""),IF($O$2="(nonblank)",--(O11&lt;&gt;""),--ISNUMBER(SEARCH($O$2,O11)))))</f>
      </c>
      <c r="BA11" s="137">
        <f>IF($P$2="",1,IF($P$2="(blank)",--(P11=""),IF($P$2="(nonblank)",--(P11&lt;&gt;""),--ISNUMBER(SEARCH($P$2,P11)))))</f>
      </c>
      <c r="BB11" s="137">
        <f>IF($Q$2="",1,IF($Q$2="(blank)",--(Q11=""),IF($Q$2="(nonblank)",--(Q11&lt;&gt;""),--ISNUMBER(SEARCH($Q$2,Q11)))))</f>
      </c>
      <c r="BC11" s="137">
        <f>IF($R$2="",1,IF($R$2="(blank)",--(R11=""),IF($R$2="(nonblank)",--(R11&lt;&gt;""),--ISNUMBER(SEARCH($R$2,R11)))))</f>
      </c>
      <c r="BD11" s="137">
        <f>IF($S$2="",1,IF($S$2="(blank)",--(S11=""),IF($S$2="(nonblank)",--(S11&lt;&gt;""),--ISNUMBER(SEARCH($S$2,S11)))))</f>
      </c>
      <c r="BE11" s="137">
        <f>IF($T$2="",1,IF($T$2="(blank)",--(T11=""),IF($T$2="(nonblank)",--(T11&lt;&gt;""),--ISNUMBER(SEARCH($T$2,T11)))))</f>
      </c>
      <c r="BF11" s="137">
        <f>IF($U$2="",1,IF($U$2="(blank)",--(U11=""),IF($U$2="(nonblank)",--(U11&lt;&gt;""),--ISNUMBER(SEARCH($U$2,U11)))))</f>
      </c>
      <c r="BG11" s="137">
        <f>IF($V$2="",1,IF($V$2="(blank)",--(V11=""),IF($V$2="(nonblank)",--(V11&lt;&gt;""),--ISNUMBER(SEARCH($V$2,V11)))))</f>
      </c>
      <c r="BH11" s="137">
        <f>IF($W$2="",1,IF($W$2="(blank)",--(W11=""),IF($W$2="(nonblank)",--(W11&lt;&gt;""),--ISNUMBER(SEARCH($W$2,W11)))))</f>
      </c>
      <c r="BI11" s="137">
        <f>IF($X$2="",1,IF($X$2="(blank)",--(X11=""),IF($X$2="(nonblank)",--(X11&lt;&gt;""),--ISNUMBER(SEARCH($X$2,X11)))))</f>
      </c>
      <c r="BJ11" s="137">
        <f>IF($Y$2="",1,IF($Y$2="(blank)",--(Y11=""),IF($Y$2="(nonblank)",--(Y11&lt;&gt;""),--ISNUMBER(SEARCH($Y$2,Y11)))))</f>
      </c>
      <c r="BK11" s="137">
        <f>IF($Z$2="",1,IF($Z$2="(blank)",--(Z11=""),IF($Z$2="(nonblank)",--(Z11&lt;&gt;""),--ISNUMBER(SEARCH($Z$2,Z11)))))</f>
      </c>
      <c r="BL11" s="137">
        <f>IF($AA$2="",1,IF($AA$2="(blank)",--(AA11=""),IF($AA$2="(nonblank)",--(AA11&lt;&gt;""),--ISNUMBER(SEARCH($AA$2,AA11)))))</f>
      </c>
      <c r="BM11" s="137">
        <f>IF($AB$2="",1,IF($AB$2="(blank)",--(AB11=""),IF($AB$2="(nonblank)",--(AB11&lt;&gt;""),--ISNUMBER(SEARCH($AB$2,AB11)))))</f>
      </c>
      <c r="BN11" s="137">
        <f>IF($AC$2="",1,IF($AC$2="(blank)",--(AC11=""),IF($AC$2="(nonblank)",--(AC11&lt;&gt;""),--ISNUMBER(SEARCH($AC$2,AC11)))))</f>
      </c>
      <c r="BO11" s="137">
        <f>IF($AD$2="",1,IF($AD$2="(blank)",--(AD11=""),IF($AD$2="(nonblank)",--(AD11&lt;&gt;""),--ISNUMBER(SEARCH($AD$2,AD11)))))</f>
      </c>
      <c r="BP11" s="137">
        <f>IF($AE$2="",1,IF($AE$2="(blank)",--(AE11=""),IF($AE$2="(nonblank)",--(AE11&lt;&gt;""),--ISNUMBER(SEARCH($AE$2,AE11)))))</f>
      </c>
      <c r="BQ11" s="137">
        <f>IF($AF$2="",1,IF($AF$2="(blank)",--(AF11=""),IF($AF$2="(nonblank)",--(AF11&lt;&gt;""),--ISNUMBER(SEARCH($AF$2,AF11)))))</f>
      </c>
      <c r="BR11" s="137">
        <f>IF($AG$2="",1,IF($AG$2="(blank)",--(AG11=""),IF($AG$2="(nonblank)",--(AG11&lt;&gt;""),--ISNUMBER(SEARCH($AG$2,AG11)))))</f>
      </c>
      <c r="BS11" s="137">
        <f>IF($AH$2="",1,IF($AH$2="(blank)",--(AH11=""),IF($AH$2="(nonblank)",--(AH11&lt;&gt;""),--ISNUMBER(SEARCH($AH$2,AH11)))))</f>
      </c>
      <c r="BT11" s="137">
        <f>IF(COUNTIF($AL11:$BS11,0)&gt;0,0,1)</f>
      </c>
    </row>
    <row r="12" ht="14.25" customHeight="1" s="137">
      <c r="A12" s="23" t="n">
        <v>1</v>
      </c>
      <c r="B12" s="24" t="inlineStr">
        <is>
          <t>Scrap of 220KV CT</t>
        </is>
      </c>
      <c r="C12" s="25" t="n">
        <v>70006</v>
      </c>
      <c r="D12" s="26" t="n">
        <v>21977</v>
      </c>
      <c r="E12" s="26" t="inlineStr">
        <is>
          <t>NO</t>
        </is>
      </c>
      <c r="F12" s="26" t="n">
        <v>2005</v>
      </c>
      <c r="G12" s="24" t="inlineStr">
        <is>
          <t>NATIONAL ENTERPRISES</t>
        </is>
      </c>
      <c r="H12" s="27" t="n">
        <v>70006</v>
      </c>
      <c r="I12" s="27">
        <f>ROUND(H12*18%,0)</f>
        <v/>
      </c>
      <c r="J12" s="27">
        <f>+H12+I12</f>
        <v/>
      </c>
      <c r="K12" s="27">
        <f>ROUND((H12+I12)*2%,0)</f>
        <v/>
      </c>
      <c r="L12" s="28">
        <f>H12*0.1%</f>
        <v/>
      </c>
      <c r="M12" s="28">
        <f>H12*2.25%*118%</f>
        <v/>
      </c>
      <c r="N12" s="29">
        <f>H12*2.25%*2%</f>
        <v/>
      </c>
      <c r="O12" s="28">
        <f>M12-N12</f>
        <v/>
      </c>
      <c r="P12" s="28">
        <f>ROUND(O12+L12,0)</f>
        <v/>
      </c>
      <c r="Q12" s="30" t="n">
        <v>0</v>
      </c>
      <c r="R12" s="28">
        <f>ROUND(H12*Q12,0)</f>
        <v/>
      </c>
      <c r="S12" s="27">
        <f>ROUND(H12*117.65%-R12,0)</f>
        <v/>
      </c>
      <c r="T12" s="28">
        <f>ROUND(H12*25%,0)</f>
        <v/>
      </c>
      <c r="U12" s="31">
        <f>+T12</f>
        <v/>
      </c>
      <c r="V12" s="28" t="inlineStr">
        <is>
          <t>13.08.2026</t>
        </is>
      </c>
      <c r="W12" s="28">
        <f>ROUND(H12*92.65%-R12,0)</f>
        <v/>
      </c>
      <c r="X12" s="28" t="n">
        <v>64859</v>
      </c>
      <c r="Y12" s="28" t="inlineStr">
        <is>
          <t>24.08.2026</t>
        </is>
      </c>
      <c r="Z12" s="28">
        <f>IF(IF(OR(AB12="",AB12=0),TODAY(),DATE(VALUE(RIGHT(AB12,4)),VALUE(MID(AB12,4,2)),VALUE(LEFT(AB12,2))))&lt;=DATE(2026,8,24),0,H12*0.0118*CEILING((IF(OR(AB12="",AB12=0),TODAY(),DATE(VALUE(RIGHT(AB12,4)),VALUE(MID(AB12,4,2)),VALUE(LEFT(AB12,2))))-DATE(2026,8,22))/7,1))</f>
        <v/>
      </c>
      <c r="AA12" s="28" t="n"/>
      <c r="AB12" s="28" t="n"/>
      <c r="AC12" s="15">
        <f>U12+X12+AA12</f>
        <v/>
      </c>
      <c r="AD12" s="19">
        <f>S12-AC12</f>
        <v/>
      </c>
      <c r="AE12" s="20">
        <f>IF(AD12="","",IF(AD12&lt;=5,"SETTLED","OUTSTANDING"))</f>
        <v/>
      </c>
      <c r="AF12" s="20" t="inlineStr">
        <is>
          <t>DR2640100033</t>
        </is>
      </c>
      <c r="AG12" s="21" t="n">
        <v>1800003305</v>
      </c>
      <c r="AH12" s="22" t="inlineStr">
        <is>
          <t>27.08.2026</t>
        </is>
      </c>
      <c r="AL12" s="137">
        <f>IF($A$2="",1,IF($A$2="(blank)",--(A12=""),IF($A$2="(nonblank)",--(A12&lt;&gt;""),--ISNUMBER(SEARCH($A$2,A12)))))</f>
      </c>
      <c r="AM12" s="137">
        <f>IF($B$2="",1,IF($B$2="(blank)",--(B12=""),IF($B$2="(nonblank)",--(B12&lt;&gt;""),--ISNUMBER(SEARCH($B$2,B12)))))</f>
      </c>
      <c r="AN12" s="137">
        <f>IF($C$2="",1,IF($C$2="(blank)",--(C12=""),IF($C$2="(nonblank)",--(C12&lt;&gt;""),--ISNUMBER(SEARCH($C$2,C12)))))</f>
      </c>
      <c r="AO12" s="137">
        <f>IF($D$2="",1,IF($D$2="(blank)",--(D12=""),IF($D$2="(nonblank)",--(D12&lt;&gt;""),--ISNUMBER(SEARCH($D$2,D12)))))</f>
      </c>
      <c r="AP12" s="137">
        <f>IF($E$2="",1,IF($E$2="(blank)",--(E12=""),IF($E$2="(nonblank)",--(E12&lt;&gt;""),--ISNUMBER(SEARCH($E$2,E12)))))</f>
      </c>
      <c r="AQ12" s="137">
        <f>IF($F$2="",1,IF($F$2="(blank)",--(F12=""),IF($F$2="(nonblank)",--(F12&lt;&gt;""),--ISNUMBER(SEARCH($F$2,F12)))))</f>
      </c>
      <c r="AR12" s="137">
        <f>IF($G$2="",1,IF($G$2="(blank)",--(G12=""),IF($G$2="(nonblank)",--(G12&lt;&gt;""),--ISNUMBER(SEARCH($G$2,G12)))))</f>
      </c>
      <c r="AS12" s="137">
        <f>IF($H$2="",1,IF($H$2="(blank)",--(H12=""),IF($H$2="(nonblank)",--(H12&lt;&gt;""),--ISNUMBER(SEARCH($H$2,H12)))))</f>
      </c>
      <c r="AT12" s="137">
        <f>IF($I$2="",1,IF($I$2="(blank)",--(I12=""),IF($I$2="(nonblank)",--(I12&lt;&gt;""),--ISNUMBER(SEARCH($I$2,I12)))))</f>
      </c>
      <c r="AU12" s="137">
        <f>IF($J$2="",1,IF($J$2="(blank)",--(J12=""),IF($J$2="(nonblank)",--(J12&lt;&gt;""),--ISNUMBER(SEARCH($J$2,J12)))))</f>
      </c>
      <c r="AV12" s="137">
        <f>IF($K$2="",1,IF($K$2="(blank)",--(K12=""),IF($K$2="(nonblank)",--(K12&lt;&gt;""),--ISNUMBER(SEARCH($K$2,K12)))))</f>
      </c>
      <c r="AW12" s="137">
        <f>IF($L$2="",1,IF($L$2="(blank)",--(L12=""),IF($L$2="(nonblank)",--(L12&lt;&gt;""),--ISNUMBER(SEARCH($L$2,L12)))))</f>
      </c>
      <c r="AX12" s="137">
        <f>IF($M$2="",1,IF($M$2="(blank)",--(M12=""),IF($M$2="(nonblank)",--(M12&lt;&gt;""),--ISNUMBER(SEARCH($M$2,M12)))))</f>
      </c>
      <c r="AY12" s="137">
        <f>IF($N$2="",1,IF($N$2="(blank)",--(N12=""),IF($N$2="(nonblank)",--(N12&lt;&gt;""),--ISNUMBER(SEARCH($N$2,N12)))))</f>
      </c>
      <c r="AZ12" s="137">
        <f>IF($O$2="",1,IF($O$2="(blank)",--(O12=""),IF($O$2="(nonblank)",--(O12&lt;&gt;""),--ISNUMBER(SEARCH($O$2,O12)))))</f>
      </c>
      <c r="BA12" s="137">
        <f>IF($P$2="",1,IF($P$2="(blank)",--(P12=""),IF($P$2="(nonblank)",--(P12&lt;&gt;""),--ISNUMBER(SEARCH($P$2,P12)))))</f>
      </c>
      <c r="BB12" s="137">
        <f>IF($Q$2="",1,IF($Q$2="(blank)",--(Q12=""),IF($Q$2="(nonblank)",--(Q12&lt;&gt;""),--ISNUMBER(SEARCH($Q$2,Q12)))))</f>
      </c>
      <c r="BC12" s="137">
        <f>IF($R$2="",1,IF($R$2="(blank)",--(R12=""),IF($R$2="(nonblank)",--(R12&lt;&gt;""),--ISNUMBER(SEARCH($R$2,R12)))))</f>
      </c>
      <c r="BD12" s="137">
        <f>IF($S$2="",1,IF($S$2="(blank)",--(S12=""),IF($S$2="(nonblank)",--(S12&lt;&gt;""),--ISNUMBER(SEARCH($S$2,S12)))))</f>
      </c>
      <c r="BE12" s="137">
        <f>IF($T$2="",1,IF($T$2="(blank)",--(T12=""),IF($T$2="(nonblank)",--(T12&lt;&gt;""),--ISNUMBER(SEARCH($T$2,T12)))))</f>
      </c>
      <c r="BF12" s="137">
        <f>IF($U$2="",1,IF($U$2="(blank)",--(U12=""),IF($U$2="(nonblank)",--(U12&lt;&gt;""),--ISNUMBER(SEARCH($U$2,U12)))))</f>
      </c>
      <c r="BG12" s="137">
        <f>IF($V$2="",1,IF($V$2="(blank)",--(V12=""),IF($V$2="(nonblank)",--(V12&lt;&gt;""),--ISNUMBER(SEARCH($V$2,V12)))))</f>
      </c>
      <c r="BH12" s="137">
        <f>IF($W$2="",1,IF($W$2="(blank)",--(W12=""),IF($W$2="(nonblank)",--(W12&lt;&gt;""),--ISNUMBER(SEARCH($W$2,W12)))))</f>
      </c>
      <c r="BI12" s="137">
        <f>IF($X$2="",1,IF($X$2="(blank)",--(X12=""),IF($X$2="(nonblank)",--(X12&lt;&gt;""),--ISNUMBER(SEARCH($X$2,X12)))))</f>
      </c>
      <c r="BJ12" s="137">
        <f>IF($Y$2="",1,IF($Y$2="(blank)",--(Y12=""),IF($Y$2="(nonblank)",--(Y12&lt;&gt;""),--ISNUMBER(SEARCH($Y$2,Y12)))))</f>
      </c>
      <c r="BK12" s="137">
        <f>IF($Z$2="",1,IF($Z$2="(blank)",--(Z12=""),IF($Z$2="(nonblank)",--(Z12&lt;&gt;""),--ISNUMBER(SEARCH($Z$2,Z12)))))</f>
      </c>
      <c r="BL12" s="137">
        <f>IF($AA$2="",1,IF($AA$2="(blank)",--(AA12=""),IF($AA$2="(nonblank)",--(AA12&lt;&gt;""),--ISNUMBER(SEARCH($AA$2,AA12)))))</f>
      </c>
      <c r="BM12" s="137">
        <f>IF($AB$2="",1,IF($AB$2="(blank)",--(AB12=""),IF($AB$2="(nonblank)",--(AB12&lt;&gt;""),--ISNUMBER(SEARCH($AB$2,AB12)))))</f>
      </c>
      <c r="BN12" s="137">
        <f>IF($AC$2="",1,IF($AC$2="(blank)",--(AC12=""),IF($AC$2="(nonblank)",--(AC12&lt;&gt;""),--ISNUMBER(SEARCH($AC$2,AC12)))))</f>
      </c>
      <c r="BO12" s="137">
        <f>IF($AD$2="",1,IF($AD$2="(blank)",--(AD12=""),IF($AD$2="(nonblank)",--(AD12&lt;&gt;""),--ISNUMBER(SEARCH($AD$2,AD12)))))</f>
      </c>
      <c r="BP12" s="137">
        <f>IF($AE$2="",1,IF($AE$2="(blank)",--(AE12=""),IF($AE$2="(nonblank)",--(AE12&lt;&gt;""),--ISNUMBER(SEARCH($AE$2,AE12)))))</f>
      </c>
      <c r="BQ12" s="137">
        <f>IF($AF$2="",1,IF($AF$2="(blank)",--(AF12=""),IF($AF$2="(nonblank)",--(AF12&lt;&gt;""),--ISNUMBER(SEARCH($AF$2,AF12)))))</f>
      </c>
      <c r="BR12" s="137">
        <f>IF($AG$2="",1,IF($AG$2="(blank)",--(AG12=""),IF($AG$2="(nonblank)",--(AG12&lt;&gt;""),--ISNUMBER(SEARCH($AG$2,AG12)))))</f>
      </c>
      <c r="BS12" s="137">
        <f>IF($AH$2="",1,IF($AH$2="(blank)",--(AH12=""),IF($AH$2="(nonblank)",--(AH12&lt;&gt;""),--ISNUMBER(SEARCH($AH$2,AH12)))))</f>
      </c>
      <c r="BT12" s="137">
        <f>IF(COUNTIF($AL12:$BS12,0)&gt;0,0,1)</f>
      </c>
    </row>
    <row r="13" ht="14.25" customHeight="1" s="137">
      <c r="A13" s="148" t="n">
        <v>25</v>
      </c>
      <c r="B13" s="149" t="inlineStr">
        <is>
          <t>Scrap of empty oil drums</t>
        </is>
      </c>
      <c r="C13" s="150" t="n">
        <v>700</v>
      </c>
      <c r="D13" s="151" t="n">
        <v>21977</v>
      </c>
      <c r="E13" s="151" t="inlineStr">
        <is>
          <t>NO</t>
        </is>
      </c>
      <c r="F13" s="151" t="n">
        <v>2006</v>
      </c>
      <c r="G13" s="149" t="inlineStr">
        <is>
          <t>STERLING ENTERPRISES</t>
        </is>
      </c>
      <c r="H13" s="152" t="n">
        <v>17500</v>
      </c>
      <c r="I13" s="152">
        <f>ROUND(H13*18%,0)</f>
        <v/>
      </c>
      <c r="J13" s="152">
        <f>+H13+I13</f>
        <v/>
      </c>
      <c r="K13" s="152">
        <f>ROUND((H13+I13)*2%,0)</f>
        <v/>
      </c>
      <c r="L13" s="153">
        <f>H13*0.1%</f>
        <v/>
      </c>
      <c r="M13" s="153">
        <f>H13*2.25%*118%</f>
        <v/>
      </c>
      <c r="N13" s="154">
        <f>H13*2.25%*2%</f>
        <v/>
      </c>
      <c r="O13" s="153">
        <f>M13-N13</f>
        <v/>
      </c>
      <c r="P13" s="153">
        <f>ROUND(O13+L13,0)</f>
        <v/>
      </c>
      <c r="Q13" s="155" t="n">
        <v>0</v>
      </c>
      <c r="R13" s="153">
        <f>ROUND(H13*Q13,0)</f>
        <v/>
      </c>
      <c r="S13" s="152">
        <f>ROUND(H13*117.65%-R13,0)</f>
        <v/>
      </c>
      <c r="T13" s="153">
        <f>ROUND(H13*25%,0)</f>
        <v/>
      </c>
      <c r="U13" s="156" t="n">
        <v>4375</v>
      </c>
      <c r="V13" s="153" t="inlineStr">
        <is>
          <t>11.08.2026</t>
        </is>
      </c>
      <c r="W13" s="153">
        <f>ROUND(H13*92.65%-R13,0)</f>
        <v/>
      </c>
      <c r="X13" s="153" t="n">
        <v>16214</v>
      </c>
      <c r="Y13" s="153" t="inlineStr">
        <is>
          <t>11.08.2026</t>
        </is>
      </c>
      <c r="Z13" s="153">
        <f>IF(IF(OR(AB13="",AB13=0),TODAY(),DATE(VALUE(RIGHT(AB13,4)),VALUE(MID(AB13,4,2)),VALUE(LEFT(AB13,2))))&lt;=DATE(2026,8,24),0,H13*0.0118*CEILING((IF(OR(AB13="",AB13=0),TODAY(),DATE(VALUE(RIGHT(AB13,4)),VALUE(MID(AB13,4,2)),VALUE(LEFT(AB13,2))))-DATE(2026,8,22))/7,1))</f>
        <v/>
      </c>
      <c r="AA13" s="153" t="n"/>
      <c r="AB13" s="153" t="n"/>
      <c r="AC13" s="157">
        <f>U13+X13+AA13</f>
        <v/>
      </c>
      <c r="AD13" s="157">
        <f>S13-AC13</f>
        <v/>
      </c>
      <c r="AE13" s="153">
        <f>IF(AD13="","",IF(AD13&lt;=5,"SETTLED","OUTSTANDING"))</f>
        <v/>
      </c>
      <c r="AF13" s="153" t="inlineStr">
        <is>
          <t>DR2640100018</t>
        </is>
      </c>
      <c r="AG13" s="158" t="n">
        <v>1800003156</v>
      </c>
      <c r="AH13" s="159" t="inlineStr">
        <is>
          <t>14.08.2026</t>
        </is>
      </c>
      <c r="AL13" s="137">
        <f>IF($A$2="",1,IF($A$2="(blank)",--(A13=""),IF($A$2="(nonblank)",--(A13&lt;&gt;""),--ISNUMBER(SEARCH($A$2,A13)))))</f>
      </c>
      <c r="AM13" s="137">
        <f>IF($B$2="",1,IF($B$2="(blank)",--(B13=""),IF($B$2="(nonblank)",--(B13&lt;&gt;""),--ISNUMBER(SEARCH($B$2,B13)))))</f>
      </c>
      <c r="AN13" s="137">
        <f>IF($C$2="",1,IF($C$2="(blank)",--(C13=""),IF($C$2="(nonblank)",--(C13&lt;&gt;""),--ISNUMBER(SEARCH($C$2,C13)))))</f>
      </c>
      <c r="AO13" s="137">
        <f>IF($D$2="",1,IF($D$2="(blank)",--(D13=""),IF($D$2="(nonblank)",--(D13&lt;&gt;""),--ISNUMBER(SEARCH($D$2,D13)))))</f>
      </c>
      <c r="AP13" s="137">
        <f>IF($E$2="",1,IF($E$2="(blank)",--(E13=""),IF($E$2="(nonblank)",--(E13&lt;&gt;""),--ISNUMBER(SEARCH($E$2,E13)))))</f>
      </c>
      <c r="AQ13" s="137">
        <f>IF($F$2="",1,IF($F$2="(blank)",--(F13=""),IF($F$2="(nonblank)",--(F13&lt;&gt;""),--ISNUMBER(SEARCH($F$2,F13)))))</f>
      </c>
      <c r="AR13" s="137">
        <f>IF($G$2="",1,IF($G$2="(blank)",--(G13=""),IF($G$2="(nonblank)",--(G13&lt;&gt;""),--ISNUMBER(SEARCH($G$2,G13)))))</f>
      </c>
      <c r="AS13" s="137">
        <f>IF($H$2="",1,IF($H$2="(blank)",--(H13=""),IF($H$2="(nonblank)",--(H13&lt;&gt;""),--ISNUMBER(SEARCH($H$2,H13)))))</f>
      </c>
      <c r="AT13" s="137">
        <f>IF($I$2="",1,IF($I$2="(blank)",--(I13=""),IF($I$2="(nonblank)",--(I13&lt;&gt;""),--ISNUMBER(SEARCH($I$2,I13)))))</f>
      </c>
      <c r="AU13" s="137">
        <f>IF($J$2="",1,IF($J$2="(blank)",--(J13=""),IF($J$2="(nonblank)",--(J13&lt;&gt;""),--ISNUMBER(SEARCH($J$2,J13)))))</f>
      </c>
      <c r="AV13" s="137">
        <f>IF($K$2="",1,IF($K$2="(blank)",--(K13=""),IF($K$2="(nonblank)",--(K13&lt;&gt;""),--ISNUMBER(SEARCH($K$2,K13)))))</f>
      </c>
      <c r="AW13" s="137">
        <f>IF($L$2="",1,IF($L$2="(blank)",--(L13=""),IF($L$2="(nonblank)",--(L13&lt;&gt;""),--ISNUMBER(SEARCH($L$2,L13)))))</f>
      </c>
      <c r="AX13" s="137">
        <f>IF($M$2="",1,IF($M$2="(blank)",--(M13=""),IF($M$2="(nonblank)",--(M13&lt;&gt;""),--ISNUMBER(SEARCH($M$2,M13)))))</f>
      </c>
      <c r="AY13" s="137">
        <f>IF($N$2="",1,IF($N$2="(blank)",--(N13=""),IF($N$2="(nonblank)",--(N13&lt;&gt;""),--ISNUMBER(SEARCH($N$2,N13)))))</f>
      </c>
      <c r="AZ13" s="137">
        <f>IF($O$2="",1,IF($O$2="(blank)",--(O13=""),IF($O$2="(nonblank)",--(O13&lt;&gt;""),--ISNUMBER(SEARCH($O$2,O13)))))</f>
      </c>
      <c r="BA13" s="137">
        <f>IF($P$2="",1,IF($P$2="(blank)",--(P13=""),IF($P$2="(nonblank)",--(P13&lt;&gt;""),--ISNUMBER(SEARCH($P$2,P13)))))</f>
      </c>
      <c r="BB13" s="137">
        <f>IF($Q$2="",1,IF($Q$2="(blank)",--(Q13=""),IF($Q$2="(nonblank)",--(Q13&lt;&gt;""),--ISNUMBER(SEARCH($Q$2,Q13)))))</f>
      </c>
      <c r="BC13" s="137">
        <f>IF($R$2="",1,IF($R$2="(blank)",--(R13=""),IF($R$2="(nonblank)",--(R13&lt;&gt;""),--ISNUMBER(SEARCH($R$2,R13)))))</f>
      </c>
      <c r="BD13" s="137">
        <f>IF($S$2="",1,IF($S$2="(blank)",--(S13=""),IF($S$2="(nonblank)",--(S13&lt;&gt;""),--ISNUMBER(SEARCH($S$2,S13)))))</f>
      </c>
      <c r="BE13" s="137">
        <f>IF($T$2="",1,IF($T$2="(blank)",--(T13=""),IF($T$2="(nonblank)",--(T13&lt;&gt;""),--ISNUMBER(SEARCH($T$2,T13)))))</f>
      </c>
      <c r="BF13" s="137">
        <f>IF($U$2="",1,IF($U$2="(blank)",--(U13=""),IF($U$2="(nonblank)",--(U13&lt;&gt;""),--ISNUMBER(SEARCH($U$2,U13)))))</f>
      </c>
      <c r="BG13" s="137">
        <f>IF($V$2="",1,IF($V$2="(blank)",--(V13=""),IF($V$2="(nonblank)",--(V13&lt;&gt;""),--ISNUMBER(SEARCH($V$2,V13)))))</f>
      </c>
      <c r="BH13" s="137">
        <f>IF($W$2="",1,IF($W$2="(blank)",--(W13=""),IF($W$2="(nonblank)",--(W13&lt;&gt;""),--ISNUMBER(SEARCH($W$2,W13)))))</f>
      </c>
      <c r="BI13" s="137">
        <f>IF($X$2="",1,IF($X$2="(blank)",--(X13=""),IF($X$2="(nonblank)",--(X13&lt;&gt;""),--ISNUMBER(SEARCH($X$2,X13)))))</f>
      </c>
      <c r="BJ13" s="137">
        <f>IF($Y$2="",1,IF($Y$2="(blank)",--(Y13=""),IF($Y$2="(nonblank)",--(Y13&lt;&gt;""),--ISNUMBER(SEARCH($Y$2,Y13)))))</f>
      </c>
      <c r="BK13" s="137">
        <f>IF($Z$2="",1,IF($Z$2="(blank)",--(Z13=""),IF($Z$2="(nonblank)",--(Z13&lt;&gt;""),--ISNUMBER(SEARCH($Z$2,Z13)))))</f>
      </c>
      <c r="BL13" s="137">
        <f>IF($AA$2="",1,IF($AA$2="(blank)",--(AA13=""),IF($AA$2="(nonblank)",--(AA13&lt;&gt;""),--ISNUMBER(SEARCH($AA$2,AA13)))))</f>
      </c>
      <c r="BM13" s="137">
        <f>IF($AB$2="",1,IF($AB$2="(blank)",--(AB13=""),IF($AB$2="(nonblank)",--(AB13&lt;&gt;""),--ISNUMBER(SEARCH($AB$2,AB13)))))</f>
      </c>
      <c r="BN13" s="137">
        <f>IF($AC$2="",1,IF($AC$2="(blank)",--(AC13=""),IF($AC$2="(nonblank)",--(AC13&lt;&gt;""),--ISNUMBER(SEARCH($AC$2,AC13)))))</f>
      </c>
      <c r="BO13" s="137">
        <f>IF($AD$2="",1,IF($AD$2="(blank)",--(AD13=""),IF($AD$2="(nonblank)",--(AD13&lt;&gt;""),--ISNUMBER(SEARCH($AD$2,AD13)))))</f>
      </c>
      <c r="BP13" s="137">
        <f>IF($AE$2="",1,IF($AE$2="(blank)",--(AE13=""),IF($AE$2="(nonblank)",--(AE13&lt;&gt;""),--ISNUMBER(SEARCH($AE$2,AE13)))))</f>
      </c>
      <c r="BQ13" s="137">
        <f>IF($AF$2="",1,IF($AF$2="(blank)",--(AF13=""),IF($AF$2="(nonblank)",--(AF13&lt;&gt;""),--ISNUMBER(SEARCH($AF$2,AF13)))))</f>
      </c>
      <c r="BR13" s="137">
        <f>IF($AG$2="",1,IF($AG$2="(blank)",--(AG13=""),IF($AG$2="(nonblank)",--(AG13&lt;&gt;""),--ISNUMBER(SEARCH($AG$2,AG13)))))</f>
      </c>
      <c r="BS13" s="137">
        <f>IF($AH$2="",1,IF($AH$2="(blank)",--(AH13=""),IF($AH$2="(nonblank)",--(AH13&lt;&gt;""),--ISNUMBER(SEARCH($AH$2,AH13)))))</f>
      </c>
      <c r="BT13" s="137">
        <f>IF(COUNTIF($AL13:$BS13,0)&gt;0,0,1)</f>
      </c>
    </row>
    <row r="14" ht="14.25" customHeight="1" s="137">
      <c r="A14" s="23" t="n">
        <v>1</v>
      </c>
      <c r="B14" s="24" t="inlineStr">
        <is>
          <t>SCRAP POWER TRANSFORMER</t>
        </is>
      </c>
      <c r="C14" s="25" t="n">
        <v>3857116</v>
      </c>
      <c r="D14" s="26" t="n">
        <v>21977</v>
      </c>
      <c r="E14" s="26" t="inlineStr">
        <is>
          <t>NO</t>
        </is>
      </c>
      <c r="F14" s="26" t="n">
        <v>2007</v>
      </c>
      <c r="G14" s="24" t="inlineStr">
        <is>
          <t>SHAR JAHAN TRADERS</t>
        </is>
      </c>
      <c r="H14" s="27" t="n">
        <v>3857116</v>
      </c>
      <c r="I14" s="27">
        <f>ROUND(H14*18%,0)</f>
        <v/>
      </c>
      <c r="J14" s="27">
        <f>+H14+I14</f>
        <v/>
      </c>
      <c r="K14" s="27">
        <f>ROUND((H14+I14)*2%,0)</f>
        <v/>
      </c>
      <c r="L14" s="28">
        <f>H14*0.1%</f>
        <v/>
      </c>
      <c r="M14" s="28">
        <f>H14*2.25%*118%</f>
        <v/>
      </c>
      <c r="N14" s="29">
        <f>H14*2.25%*2%</f>
        <v/>
      </c>
      <c r="O14" s="28">
        <f>M14-N14</f>
        <v/>
      </c>
      <c r="P14" s="28">
        <f>ROUND(O14+L14,0)</f>
        <v/>
      </c>
      <c r="Q14" s="30" t="n">
        <v>0</v>
      </c>
      <c r="R14" s="28">
        <f>ROUND(H14*Q14,0)</f>
        <v/>
      </c>
      <c r="S14" s="27">
        <f>ROUND(H14*117.65%-R14,0)</f>
        <v/>
      </c>
      <c r="T14" s="28">
        <f>ROUND(H14*25%,0)</f>
        <v/>
      </c>
      <c r="U14" s="31">
        <f>+T14</f>
        <v/>
      </c>
      <c r="V14" s="28" t="inlineStr">
        <is>
          <t>13.08.2026</t>
        </is>
      </c>
      <c r="W14" s="28">
        <f>ROUND(H14*92.65%-R14,0)</f>
        <v/>
      </c>
      <c r="X14" s="28" t="n">
        <v>3573618.90570839</v>
      </c>
      <c r="Y14" s="28" t="inlineStr">
        <is>
          <t>13.08.2026</t>
        </is>
      </c>
      <c r="Z14" s="28">
        <f>IF(IF(OR(AB14="",AB14=0),TODAY(),DATE(VALUE(RIGHT(AB14,4)),VALUE(MID(AB14,4,2)),VALUE(LEFT(AB14,2))))&lt;=DATE(2026,8,24),0,H14*0.0118*CEILING((IF(OR(AB14="",AB14=0),TODAY(),DATE(VALUE(RIGHT(AB14,4)),VALUE(MID(AB14,4,2)),VALUE(LEFT(AB14,2))))-DATE(2026,8,22))/7,1))</f>
        <v/>
      </c>
      <c r="AA14" s="28" t="n"/>
      <c r="AB14" s="28" t="n"/>
      <c r="AC14" s="15">
        <f>U14+X14+AA14</f>
        <v/>
      </c>
      <c r="AD14" s="19">
        <f>S14-AC14</f>
        <v/>
      </c>
      <c r="AE14" s="20">
        <f>IF(AD14="","",IF(AD14&lt;=5,"SETTLED","OUTSTANDING"))</f>
        <v/>
      </c>
      <c r="AF14" s="20" t="inlineStr">
        <is>
          <t>DR2640100024</t>
        </is>
      </c>
      <c r="AG14" s="21" t="n">
        <v>1800003196</v>
      </c>
      <c r="AH14" s="22" t="inlineStr">
        <is>
          <t>17.08.2026</t>
        </is>
      </c>
      <c r="AL14" s="137">
        <f>IF($A$2="",1,IF($A$2="(blank)",--(A14=""),IF($A$2="(nonblank)",--(A14&lt;&gt;""),--ISNUMBER(SEARCH($A$2,A14)))))</f>
      </c>
      <c r="AM14" s="137">
        <f>IF($B$2="",1,IF($B$2="(blank)",--(B14=""),IF($B$2="(nonblank)",--(B14&lt;&gt;""),--ISNUMBER(SEARCH($B$2,B14)))))</f>
      </c>
      <c r="AN14" s="137">
        <f>IF($C$2="",1,IF($C$2="(blank)",--(C14=""),IF($C$2="(nonblank)",--(C14&lt;&gt;""),--ISNUMBER(SEARCH($C$2,C14)))))</f>
      </c>
      <c r="AO14" s="137">
        <f>IF($D$2="",1,IF($D$2="(blank)",--(D14=""),IF($D$2="(nonblank)",--(D14&lt;&gt;""),--ISNUMBER(SEARCH($D$2,D14)))))</f>
      </c>
      <c r="AP14" s="137">
        <f>IF($E$2="",1,IF($E$2="(blank)",--(E14=""),IF($E$2="(nonblank)",--(E14&lt;&gt;""),--ISNUMBER(SEARCH($E$2,E14)))))</f>
      </c>
      <c r="AQ14" s="137">
        <f>IF($F$2="",1,IF($F$2="(blank)",--(F14=""),IF($F$2="(nonblank)",--(F14&lt;&gt;""),--ISNUMBER(SEARCH($F$2,F14)))))</f>
      </c>
      <c r="AR14" s="137">
        <f>IF($G$2="",1,IF($G$2="(blank)",--(G14=""),IF($G$2="(nonblank)",--(G14&lt;&gt;""),--ISNUMBER(SEARCH($G$2,G14)))))</f>
      </c>
      <c r="AS14" s="137">
        <f>IF($H$2="",1,IF($H$2="(blank)",--(H14=""),IF($H$2="(nonblank)",--(H14&lt;&gt;""),--ISNUMBER(SEARCH($H$2,H14)))))</f>
      </c>
      <c r="AT14" s="137">
        <f>IF($I$2="",1,IF($I$2="(blank)",--(I14=""),IF($I$2="(nonblank)",--(I14&lt;&gt;""),--ISNUMBER(SEARCH($I$2,I14)))))</f>
      </c>
      <c r="AU14" s="137">
        <f>IF($J$2="",1,IF($J$2="(blank)",--(J14=""),IF($J$2="(nonblank)",--(J14&lt;&gt;""),--ISNUMBER(SEARCH($J$2,J14)))))</f>
      </c>
      <c r="AV14" s="137">
        <f>IF($K$2="",1,IF($K$2="(blank)",--(K14=""),IF($K$2="(nonblank)",--(K14&lt;&gt;""),--ISNUMBER(SEARCH($K$2,K14)))))</f>
      </c>
      <c r="AW14" s="137">
        <f>IF($L$2="",1,IF($L$2="(blank)",--(L14=""),IF($L$2="(nonblank)",--(L14&lt;&gt;""),--ISNUMBER(SEARCH($L$2,L14)))))</f>
      </c>
      <c r="AX14" s="137">
        <f>IF($M$2="",1,IF($M$2="(blank)",--(M14=""),IF($M$2="(nonblank)",--(M14&lt;&gt;""),--ISNUMBER(SEARCH($M$2,M14)))))</f>
      </c>
      <c r="AY14" s="137">
        <f>IF($N$2="",1,IF($N$2="(blank)",--(N14=""),IF($N$2="(nonblank)",--(N14&lt;&gt;""),--ISNUMBER(SEARCH($N$2,N14)))))</f>
      </c>
      <c r="AZ14" s="137">
        <f>IF($O$2="",1,IF($O$2="(blank)",--(O14=""),IF($O$2="(nonblank)",--(O14&lt;&gt;""),--ISNUMBER(SEARCH($O$2,O14)))))</f>
      </c>
      <c r="BA14" s="137">
        <f>IF($P$2="",1,IF($P$2="(blank)",--(P14=""),IF($P$2="(nonblank)",--(P14&lt;&gt;""),--ISNUMBER(SEARCH($P$2,P14)))))</f>
      </c>
      <c r="BB14" s="137">
        <f>IF($Q$2="",1,IF($Q$2="(blank)",--(Q14=""),IF($Q$2="(nonblank)",--(Q14&lt;&gt;""),--ISNUMBER(SEARCH($Q$2,Q14)))))</f>
      </c>
      <c r="BC14" s="137">
        <f>IF($R$2="",1,IF($R$2="(blank)",--(R14=""),IF($R$2="(nonblank)",--(R14&lt;&gt;""),--ISNUMBER(SEARCH($R$2,R14)))))</f>
      </c>
      <c r="BD14" s="137">
        <f>IF($S$2="",1,IF($S$2="(blank)",--(S14=""),IF($S$2="(nonblank)",--(S14&lt;&gt;""),--ISNUMBER(SEARCH($S$2,S14)))))</f>
      </c>
      <c r="BE14" s="137">
        <f>IF($T$2="",1,IF($T$2="(blank)",--(T14=""),IF($T$2="(nonblank)",--(T14&lt;&gt;""),--ISNUMBER(SEARCH($T$2,T14)))))</f>
      </c>
      <c r="BF14" s="137">
        <f>IF($U$2="",1,IF($U$2="(blank)",--(U14=""),IF($U$2="(nonblank)",--(U14&lt;&gt;""),--ISNUMBER(SEARCH($U$2,U14)))))</f>
      </c>
      <c r="BG14" s="137">
        <f>IF($V$2="",1,IF($V$2="(blank)",--(V14=""),IF($V$2="(nonblank)",--(V14&lt;&gt;""),--ISNUMBER(SEARCH($V$2,V14)))))</f>
      </c>
      <c r="BH14" s="137">
        <f>IF($W$2="",1,IF($W$2="(blank)",--(W14=""),IF($W$2="(nonblank)",--(W14&lt;&gt;""),--ISNUMBER(SEARCH($W$2,W14)))))</f>
      </c>
      <c r="BI14" s="137">
        <f>IF($X$2="",1,IF($X$2="(blank)",--(X14=""),IF($X$2="(nonblank)",--(X14&lt;&gt;""),--ISNUMBER(SEARCH($X$2,X14)))))</f>
      </c>
      <c r="BJ14" s="137">
        <f>IF($Y$2="",1,IF($Y$2="(blank)",--(Y14=""),IF($Y$2="(nonblank)",--(Y14&lt;&gt;""),--ISNUMBER(SEARCH($Y$2,Y14)))))</f>
      </c>
      <c r="BK14" s="137">
        <f>IF($Z$2="",1,IF($Z$2="(blank)",--(Z14=""),IF($Z$2="(nonblank)",--(Z14&lt;&gt;""),--ISNUMBER(SEARCH($Z$2,Z14)))))</f>
      </c>
      <c r="BL14" s="137">
        <f>IF($AA$2="",1,IF($AA$2="(blank)",--(AA14=""),IF($AA$2="(nonblank)",--(AA14&lt;&gt;""),--ISNUMBER(SEARCH($AA$2,AA14)))))</f>
      </c>
      <c r="BM14" s="137">
        <f>IF($AB$2="",1,IF($AB$2="(blank)",--(AB14=""),IF($AB$2="(nonblank)",--(AB14&lt;&gt;""),--ISNUMBER(SEARCH($AB$2,AB14)))))</f>
      </c>
      <c r="BN14" s="137">
        <f>IF($AC$2="",1,IF($AC$2="(blank)",--(AC14=""),IF($AC$2="(nonblank)",--(AC14&lt;&gt;""),--ISNUMBER(SEARCH($AC$2,AC14)))))</f>
      </c>
      <c r="BO14" s="137">
        <f>IF($AD$2="",1,IF($AD$2="(blank)",--(AD14=""),IF($AD$2="(nonblank)",--(AD14&lt;&gt;""),--ISNUMBER(SEARCH($AD$2,AD14)))))</f>
      </c>
      <c r="BP14" s="137">
        <f>IF($AE$2="",1,IF($AE$2="(blank)",--(AE14=""),IF($AE$2="(nonblank)",--(AE14&lt;&gt;""),--ISNUMBER(SEARCH($AE$2,AE14)))))</f>
      </c>
      <c r="BQ14" s="137">
        <f>IF($AF$2="",1,IF($AF$2="(blank)",--(AF14=""),IF($AF$2="(nonblank)",--(AF14&lt;&gt;""),--ISNUMBER(SEARCH($AF$2,AF14)))))</f>
      </c>
      <c r="BR14" s="137">
        <f>IF($AG$2="",1,IF($AG$2="(blank)",--(AG14=""),IF($AG$2="(nonblank)",--(AG14&lt;&gt;""),--ISNUMBER(SEARCH($AG$2,AG14)))))</f>
      </c>
      <c r="BS14" s="137">
        <f>IF($AH$2="",1,IF($AH$2="(blank)",--(AH14=""),IF($AH$2="(nonblank)",--(AH14&lt;&gt;""),--ISNUMBER(SEARCH($AH$2,AH14)))))</f>
      </c>
      <c r="BT14" s="137">
        <f>IF(COUNTIF($AL14:$BS14,0)&gt;0,0,1)</f>
      </c>
    </row>
    <row r="15" ht="14.25" customHeight="1" s="137">
      <c r="A15" s="148" t="n">
        <v>250</v>
      </c>
      <c r="B15" s="149" t="inlineStr">
        <is>
          <t>Scrap of empty oil Druam</t>
        </is>
      </c>
      <c r="C15" s="150" t="n">
        <v>543</v>
      </c>
      <c r="D15" s="151" t="n">
        <v>21977</v>
      </c>
      <c r="E15" s="151" t="inlineStr">
        <is>
          <t>NO</t>
        </is>
      </c>
      <c r="F15" s="151" t="n">
        <v>2008</v>
      </c>
      <c r="G15" s="149" t="inlineStr">
        <is>
          <t>HIND TRADERS</t>
        </is>
      </c>
      <c r="H15" s="152" t="n">
        <v>135750</v>
      </c>
      <c r="I15" s="152">
        <f>ROUND(H15*18%,0)</f>
        <v/>
      </c>
      <c r="J15" s="152">
        <f>+H15+I15</f>
        <v/>
      </c>
      <c r="K15" s="152">
        <f>ROUND((H15+I15)*2%,0)</f>
        <v/>
      </c>
      <c r="L15" s="153">
        <f>H15*0.1%</f>
        <v/>
      </c>
      <c r="M15" s="153">
        <f>H15*2.25%*118%</f>
        <v/>
      </c>
      <c r="N15" s="154">
        <f>H15*2.25%*2%</f>
        <v/>
      </c>
      <c r="O15" s="153">
        <f>M15-N15</f>
        <v/>
      </c>
      <c r="P15" s="153">
        <f>ROUND(O15+L15,0)</f>
        <v/>
      </c>
      <c r="Q15" s="155" t="n">
        <v>0</v>
      </c>
      <c r="R15" s="153">
        <f>ROUND(H15*Q15,0)</f>
        <v/>
      </c>
      <c r="S15" s="152">
        <f>ROUND(H15*117.65%-R15,0)</f>
        <v/>
      </c>
      <c r="T15" s="153">
        <f>ROUND(H15*25%,0)</f>
        <v/>
      </c>
      <c r="U15" s="156" t="n">
        <v>33938</v>
      </c>
      <c r="V15" s="153" t="inlineStr">
        <is>
          <t>14.08.2026</t>
        </is>
      </c>
      <c r="W15" s="153">
        <f>ROUND(H15*92.65%-R15,0)</f>
        <v/>
      </c>
      <c r="X15" s="153" t="n">
        <v>125772</v>
      </c>
      <c r="Y15" s="153" t="inlineStr">
        <is>
          <t>18.08.2026</t>
        </is>
      </c>
      <c r="Z15" s="153">
        <f>IF(IF(OR(AB15="",AB15=0),TODAY(),DATE(VALUE(RIGHT(AB15,4)),VALUE(MID(AB15,4,2)),VALUE(LEFT(AB15,2))))&lt;=DATE(2026,8,24),0,H15*0.0118*CEILING((IF(OR(AB15="",AB15=0),TODAY(),DATE(VALUE(RIGHT(AB15,4)),VALUE(MID(AB15,4,2)),VALUE(LEFT(AB15,2))))-DATE(2026,8,22))/7,1))</f>
        <v/>
      </c>
      <c r="AA15" s="153" t="n"/>
      <c r="AB15" s="153" t="n"/>
      <c r="AC15" s="157">
        <f>U15+X15+AA15</f>
        <v/>
      </c>
      <c r="AD15" s="157">
        <f>S15-AC15</f>
        <v/>
      </c>
      <c r="AE15" s="153">
        <f>IF(AD15="","",IF(AD15&lt;=5,"SETTLED","OUTSTANDING"))</f>
        <v/>
      </c>
      <c r="AF15" s="153" t="inlineStr">
        <is>
          <t>DR2640100026</t>
        </is>
      </c>
      <c r="AG15" s="158" t="n">
        <v>1800003247</v>
      </c>
      <c r="AH15" s="159" t="inlineStr">
        <is>
          <t>20.08.2026</t>
        </is>
      </c>
      <c r="AL15" s="137">
        <f>IF($A$2="",1,IF($A$2="(blank)",--(A15=""),IF($A$2="(nonblank)",--(A15&lt;&gt;""),--ISNUMBER(SEARCH($A$2,A15)))))</f>
      </c>
      <c r="AM15" s="137">
        <f>IF($B$2="",1,IF($B$2="(blank)",--(B15=""),IF($B$2="(nonblank)",--(B15&lt;&gt;""),--ISNUMBER(SEARCH($B$2,B15)))))</f>
      </c>
      <c r="AN15" s="137">
        <f>IF($C$2="",1,IF($C$2="(blank)",--(C15=""),IF($C$2="(nonblank)",--(C15&lt;&gt;""),--ISNUMBER(SEARCH($C$2,C15)))))</f>
      </c>
      <c r="AO15" s="137">
        <f>IF($D$2="",1,IF($D$2="(blank)",--(D15=""),IF($D$2="(nonblank)",--(D15&lt;&gt;""),--ISNUMBER(SEARCH($D$2,D15)))))</f>
      </c>
      <c r="AP15" s="137">
        <f>IF($E$2="",1,IF($E$2="(blank)",--(E15=""),IF($E$2="(nonblank)",--(E15&lt;&gt;""),--ISNUMBER(SEARCH($E$2,E15)))))</f>
      </c>
      <c r="AQ15" s="137">
        <f>IF($F$2="",1,IF($F$2="(blank)",--(F15=""),IF($F$2="(nonblank)",--(F15&lt;&gt;""),--ISNUMBER(SEARCH($F$2,F15)))))</f>
      </c>
      <c r="AR15" s="137">
        <f>IF($G$2="",1,IF($G$2="(blank)",--(G15=""),IF($G$2="(nonblank)",--(G15&lt;&gt;""),--ISNUMBER(SEARCH($G$2,G15)))))</f>
      </c>
      <c r="AS15" s="137">
        <f>IF($H$2="",1,IF($H$2="(blank)",--(H15=""),IF($H$2="(nonblank)",--(H15&lt;&gt;""),--ISNUMBER(SEARCH($H$2,H15)))))</f>
      </c>
      <c r="AT15" s="137">
        <f>IF($I$2="",1,IF($I$2="(blank)",--(I15=""),IF($I$2="(nonblank)",--(I15&lt;&gt;""),--ISNUMBER(SEARCH($I$2,I15)))))</f>
      </c>
      <c r="AU15" s="137">
        <f>IF($J$2="",1,IF($J$2="(blank)",--(J15=""),IF($J$2="(nonblank)",--(J15&lt;&gt;""),--ISNUMBER(SEARCH($J$2,J15)))))</f>
      </c>
      <c r="AV15" s="137">
        <f>IF($K$2="",1,IF($K$2="(blank)",--(K15=""),IF($K$2="(nonblank)",--(K15&lt;&gt;""),--ISNUMBER(SEARCH($K$2,K15)))))</f>
      </c>
      <c r="AW15" s="137">
        <f>IF($L$2="",1,IF($L$2="(blank)",--(L15=""),IF($L$2="(nonblank)",--(L15&lt;&gt;""),--ISNUMBER(SEARCH($L$2,L15)))))</f>
      </c>
      <c r="AX15" s="137">
        <f>IF($M$2="",1,IF($M$2="(blank)",--(M15=""),IF($M$2="(nonblank)",--(M15&lt;&gt;""),--ISNUMBER(SEARCH($M$2,M15)))))</f>
      </c>
      <c r="AY15" s="137">
        <f>IF($N$2="",1,IF($N$2="(blank)",--(N15=""),IF($N$2="(nonblank)",--(N15&lt;&gt;""),--ISNUMBER(SEARCH($N$2,N15)))))</f>
      </c>
      <c r="AZ15" s="137">
        <f>IF($O$2="",1,IF($O$2="(blank)",--(O15=""),IF($O$2="(nonblank)",--(O15&lt;&gt;""),--ISNUMBER(SEARCH($O$2,O15)))))</f>
      </c>
      <c r="BA15" s="137">
        <f>IF($P$2="",1,IF($P$2="(blank)",--(P15=""),IF($P$2="(nonblank)",--(P15&lt;&gt;""),--ISNUMBER(SEARCH($P$2,P15)))))</f>
      </c>
      <c r="BB15" s="137">
        <f>IF($Q$2="",1,IF($Q$2="(blank)",--(Q15=""),IF($Q$2="(nonblank)",--(Q15&lt;&gt;""),--ISNUMBER(SEARCH($Q$2,Q15)))))</f>
      </c>
      <c r="BC15" s="137">
        <f>IF($R$2="",1,IF($R$2="(blank)",--(R15=""),IF($R$2="(nonblank)",--(R15&lt;&gt;""),--ISNUMBER(SEARCH($R$2,R15)))))</f>
      </c>
      <c r="BD15" s="137">
        <f>IF($S$2="",1,IF($S$2="(blank)",--(S15=""),IF($S$2="(nonblank)",--(S15&lt;&gt;""),--ISNUMBER(SEARCH($S$2,S15)))))</f>
      </c>
      <c r="BE15" s="137">
        <f>IF($T$2="",1,IF($T$2="(blank)",--(T15=""),IF($T$2="(nonblank)",--(T15&lt;&gt;""),--ISNUMBER(SEARCH($T$2,T15)))))</f>
      </c>
      <c r="BF15" s="137">
        <f>IF($U$2="",1,IF($U$2="(blank)",--(U15=""),IF($U$2="(nonblank)",--(U15&lt;&gt;""),--ISNUMBER(SEARCH($U$2,U15)))))</f>
      </c>
      <c r="BG15" s="137">
        <f>IF($V$2="",1,IF($V$2="(blank)",--(V15=""),IF($V$2="(nonblank)",--(V15&lt;&gt;""),--ISNUMBER(SEARCH($V$2,V15)))))</f>
      </c>
      <c r="BH15" s="137">
        <f>IF($W$2="",1,IF($W$2="(blank)",--(W15=""),IF($W$2="(nonblank)",--(W15&lt;&gt;""),--ISNUMBER(SEARCH($W$2,W15)))))</f>
      </c>
      <c r="BI15" s="137">
        <f>IF($X$2="",1,IF($X$2="(blank)",--(X15=""),IF($X$2="(nonblank)",--(X15&lt;&gt;""),--ISNUMBER(SEARCH($X$2,X15)))))</f>
      </c>
      <c r="BJ15" s="137">
        <f>IF($Y$2="",1,IF($Y$2="(blank)",--(Y15=""),IF($Y$2="(nonblank)",--(Y15&lt;&gt;""),--ISNUMBER(SEARCH($Y$2,Y15)))))</f>
      </c>
      <c r="BK15" s="137">
        <f>IF($Z$2="",1,IF($Z$2="(blank)",--(Z15=""),IF($Z$2="(nonblank)",--(Z15&lt;&gt;""),--ISNUMBER(SEARCH($Z$2,Z15)))))</f>
      </c>
      <c r="BL15" s="137">
        <f>IF($AA$2="",1,IF($AA$2="(blank)",--(AA15=""),IF($AA$2="(nonblank)",--(AA15&lt;&gt;""),--ISNUMBER(SEARCH($AA$2,AA15)))))</f>
      </c>
      <c r="BM15" s="137">
        <f>IF($AB$2="",1,IF($AB$2="(blank)",--(AB15=""),IF($AB$2="(nonblank)",--(AB15&lt;&gt;""),--ISNUMBER(SEARCH($AB$2,AB15)))))</f>
      </c>
      <c r="BN15" s="137">
        <f>IF($AC$2="",1,IF($AC$2="(blank)",--(AC15=""),IF($AC$2="(nonblank)",--(AC15&lt;&gt;""),--ISNUMBER(SEARCH($AC$2,AC15)))))</f>
      </c>
      <c r="BO15" s="137">
        <f>IF($AD$2="",1,IF($AD$2="(blank)",--(AD15=""),IF($AD$2="(nonblank)",--(AD15&lt;&gt;""),--ISNUMBER(SEARCH($AD$2,AD15)))))</f>
      </c>
      <c r="BP15" s="137">
        <f>IF($AE$2="",1,IF($AE$2="(blank)",--(AE15=""),IF($AE$2="(nonblank)",--(AE15&lt;&gt;""),--ISNUMBER(SEARCH($AE$2,AE15)))))</f>
      </c>
      <c r="BQ15" s="137">
        <f>IF($AF$2="",1,IF($AF$2="(blank)",--(AF15=""),IF($AF$2="(nonblank)",--(AF15&lt;&gt;""),--ISNUMBER(SEARCH($AF$2,AF15)))))</f>
      </c>
      <c r="BR15" s="137">
        <f>IF($AG$2="",1,IF($AG$2="(blank)",--(AG15=""),IF($AG$2="(nonblank)",--(AG15&lt;&gt;""),--ISNUMBER(SEARCH($AG$2,AG15)))))</f>
      </c>
      <c r="BS15" s="137">
        <f>IF($AH$2="",1,IF($AH$2="(blank)",--(AH15=""),IF($AH$2="(nonblank)",--(AH15&lt;&gt;""),--ISNUMBER(SEARCH($AH$2,AH15)))))</f>
      </c>
      <c r="BT15" s="137">
        <f>IF(COUNTIF($AL15:$BS15,0)&gt;0,0,1)</f>
      </c>
    </row>
    <row r="16" ht="14.25" customHeight="1" s="137">
      <c r="A16" s="23" t="n">
        <v>22</v>
      </c>
      <c r="B16" s="24" t="inlineStr">
        <is>
          <t>Scrap of empty oil Barrel</t>
        </is>
      </c>
      <c r="C16" s="25" t="n">
        <v>700</v>
      </c>
      <c r="D16" s="26" t="n">
        <v>21977</v>
      </c>
      <c r="E16" s="26" t="inlineStr">
        <is>
          <t>NO</t>
        </is>
      </c>
      <c r="F16" s="26" t="n">
        <v>2011</v>
      </c>
      <c r="G16" s="24" t="inlineStr">
        <is>
          <t>STERLING ENTERPRISES</t>
        </is>
      </c>
      <c r="H16" s="27" t="n">
        <v>15400</v>
      </c>
      <c r="I16" s="27">
        <f>ROUND(H16*18%,0)</f>
        <v/>
      </c>
      <c r="J16" s="27">
        <f>+H16+I16</f>
        <v/>
      </c>
      <c r="K16" s="27">
        <f>ROUND((H16+I16)*2%,0)</f>
        <v/>
      </c>
      <c r="L16" s="28">
        <f>H16*0.1%</f>
        <v/>
      </c>
      <c r="M16" s="28">
        <f>H16*2.25%*118%</f>
        <v/>
      </c>
      <c r="N16" s="29">
        <f>H16*2.25%*2%</f>
        <v/>
      </c>
      <c r="O16" s="28">
        <f>M16-N16</f>
        <v/>
      </c>
      <c r="P16" s="28">
        <f>ROUND(O16+L16,0)</f>
        <v/>
      </c>
      <c r="Q16" s="30" t="n">
        <v>0</v>
      </c>
      <c r="R16" s="28">
        <f>ROUND(H16*Q16,0)</f>
        <v/>
      </c>
      <c r="S16" s="27">
        <f>ROUND(H16*117.65%-R16,0)</f>
        <v/>
      </c>
      <c r="T16" s="28">
        <f>ROUND(H16*25%,0)</f>
        <v/>
      </c>
      <c r="U16" s="31" t="n">
        <v>3850</v>
      </c>
      <c r="V16" s="28" t="inlineStr">
        <is>
          <t>11.08.2026</t>
        </is>
      </c>
      <c r="W16" s="28">
        <f>ROUND(H16*92.65%-R16,0)</f>
        <v/>
      </c>
      <c r="X16" s="28" t="n">
        <v>14267</v>
      </c>
      <c r="Y16" s="28" t="inlineStr">
        <is>
          <t>11.08.2026</t>
        </is>
      </c>
      <c r="Z16" s="28">
        <f>IF(IF(OR(AB16="",AB16=0),TODAY(),DATE(VALUE(RIGHT(AB16,4)),VALUE(MID(AB16,4,2)),VALUE(LEFT(AB16,2))))&lt;=DATE(2026,8,24),0,H16*0.0118*CEILING((IF(OR(AB16="",AB16=0),TODAY(),DATE(VALUE(RIGHT(AB16,4)),VALUE(MID(AB16,4,2)),VALUE(LEFT(AB16,2))))-DATE(2026,8,22))/7,1))</f>
        <v/>
      </c>
      <c r="AA16" s="28" t="n"/>
      <c r="AB16" s="28" t="n"/>
      <c r="AC16" s="15">
        <f>U16+X16+AA16</f>
        <v/>
      </c>
      <c r="AD16" s="19">
        <f>S16-AC16</f>
        <v/>
      </c>
      <c r="AE16" s="20">
        <f>IF(AD16="","",IF(AD16&lt;=5,"SETTLED","OUTSTANDING"))</f>
        <v/>
      </c>
      <c r="AF16" s="20" t="inlineStr">
        <is>
          <t>DR2640100019</t>
        </is>
      </c>
      <c r="AG16" s="21" t="n">
        <v>1800003157</v>
      </c>
      <c r="AH16" s="22" t="inlineStr">
        <is>
          <t>14.08.2026</t>
        </is>
      </c>
      <c r="AL16" s="137">
        <f>IF($A$2="",1,IF($A$2="(blank)",--(A16=""),IF($A$2="(nonblank)",--(A16&lt;&gt;""),--ISNUMBER(SEARCH($A$2,A16)))))</f>
      </c>
      <c r="AM16" s="137">
        <f>IF($B$2="",1,IF($B$2="(blank)",--(B16=""),IF($B$2="(nonblank)",--(B16&lt;&gt;""),--ISNUMBER(SEARCH($B$2,B16)))))</f>
      </c>
      <c r="AN16" s="137">
        <f>IF($C$2="",1,IF($C$2="(blank)",--(C16=""),IF($C$2="(nonblank)",--(C16&lt;&gt;""),--ISNUMBER(SEARCH($C$2,C16)))))</f>
      </c>
      <c r="AO16" s="137">
        <f>IF($D$2="",1,IF($D$2="(blank)",--(D16=""),IF($D$2="(nonblank)",--(D16&lt;&gt;""),--ISNUMBER(SEARCH($D$2,D16)))))</f>
      </c>
      <c r="AP16" s="137">
        <f>IF($E$2="",1,IF($E$2="(blank)",--(E16=""),IF($E$2="(nonblank)",--(E16&lt;&gt;""),--ISNUMBER(SEARCH($E$2,E16)))))</f>
      </c>
      <c r="AQ16" s="137">
        <f>IF($F$2="",1,IF($F$2="(blank)",--(F16=""),IF($F$2="(nonblank)",--(F16&lt;&gt;""),--ISNUMBER(SEARCH($F$2,F16)))))</f>
      </c>
      <c r="AR16" s="137">
        <f>IF($G$2="",1,IF($G$2="(blank)",--(G16=""),IF($G$2="(nonblank)",--(G16&lt;&gt;""),--ISNUMBER(SEARCH($G$2,G16)))))</f>
      </c>
      <c r="AS16" s="137">
        <f>IF($H$2="",1,IF($H$2="(blank)",--(H16=""),IF($H$2="(nonblank)",--(H16&lt;&gt;""),--ISNUMBER(SEARCH($H$2,H16)))))</f>
      </c>
      <c r="AT16" s="137">
        <f>IF($I$2="",1,IF($I$2="(blank)",--(I16=""),IF($I$2="(nonblank)",--(I16&lt;&gt;""),--ISNUMBER(SEARCH($I$2,I16)))))</f>
      </c>
      <c r="AU16" s="137">
        <f>IF($J$2="",1,IF($J$2="(blank)",--(J16=""),IF($J$2="(nonblank)",--(J16&lt;&gt;""),--ISNUMBER(SEARCH($J$2,J16)))))</f>
      </c>
      <c r="AV16" s="137">
        <f>IF($K$2="",1,IF($K$2="(blank)",--(K16=""),IF($K$2="(nonblank)",--(K16&lt;&gt;""),--ISNUMBER(SEARCH($K$2,K16)))))</f>
      </c>
      <c r="AW16" s="137">
        <f>IF($L$2="",1,IF($L$2="(blank)",--(L16=""),IF($L$2="(nonblank)",--(L16&lt;&gt;""),--ISNUMBER(SEARCH($L$2,L16)))))</f>
      </c>
      <c r="AX16" s="137">
        <f>IF($M$2="",1,IF($M$2="(blank)",--(M16=""),IF($M$2="(nonblank)",--(M16&lt;&gt;""),--ISNUMBER(SEARCH($M$2,M16)))))</f>
      </c>
      <c r="AY16" s="137">
        <f>IF($N$2="",1,IF($N$2="(blank)",--(N16=""),IF($N$2="(nonblank)",--(N16&lt;&gt;""),--ISNUMBER(SEARCH($N$2,N16)))))</f>
      </c>
      <c r="AZ16" s="137">
        <f>IF($O$2="",1,IF($O$2="(blank)",--(O16=""),IF($O$2="(nonblank)",--(O16&lt;&gt;""),--ISNUMBER(SEARCH($O$2,O16)))))</f>
      </c>
      <c r="BA16" s="137">
        <f>IF($P$2="",1,IF($P$2="(blank)",--(P16=""),IF($P$2="(nonblank)",--(P16&lt;&gt;""),--ISNUMBER(SEARCH($P$2,P16)))))</f>
      </c>
      <c r="BB16" s="137">
        <f>IF($Q$2="",1,IF($Q$2="(blank)",--(Q16=""),IF($Q$2="(nonblank)",--(Q16&lt;&gt;""),--ISNUMBER(SEARCH($Q$2,Q16)))))</f>
      </c>
      <c r="BC16" s="137">
        <f>IF($R$2="",1,IF($R$2="(blank)",--(R16=""),IF($R$2="(nonblank)",--(R16&lt;&gt;""),--ISNUMBER(SEARCH($R$2,R16)))))</f>
      </c>
      <c r="BD16" s="137">
        <f>IF($S$2="",1,IF($S$2="(blank)",--(S16=""),IF($S$2="(nonblank)",--(S16&lt;&gt;""),--ISNUMBER(SEARCH($S$2,S16)))))</f>
      </c>
      <c r="BE16" s="137">
        <f>IF($T$2="",1,IF($T$2="(blank)",--(T16=""),IF($T$2="(nonblank)",--(T16&lt;&gt;""),--ISNUMBER(SEARCH($T$2,T16)))))</f>
      </c>
      <c r="BF16" s="137">
        <f>IF($U$2="",1,IF($U$2="(blank)",--(U16=""),IF($U$2="(nonblank)",--(U16&lt;&gt;""),--ISNUMBER(SEARCH($U$2,U16)))))</f>
      </c>
      <c r="BG16" s="137">
        <f>IF($V$2="",1,IF($V$2="(blank)",--(V16=""),IF($V$2="(nonblank)",--(V16&lt;&gt;""),--ISNUMBER(SEARCH($V$2,V16)))))</f>
      </c>
      <c r="BH16" s="137">
        <f>IF($W$2="",1,IF($W$2="(blank)",--(W16=""),IF($W$2="(nonblank)",--(W16&lt;&gt;""),--ISNUMBER(SEARCH($W$2,W16)))))</f>
      </c>
      <c r="BI16" s="137">
        <f>IF($X$2="",1,IF($X$2="(blank)",--(X16=""),IF($X$2="(nonblank)",--(X16&lt;&gt;""),--ISNUMBER(SEARCH($X$2,X16)))))</f>
      </c>
      <c r="BJ16" s="137">
        <f>IF($Y$2="",1,IF($Y$2="(blank)",--(Y16=""),IF($Y$2="(nonblank)",--(Y16&lt;&gt;""),--ISNUMBER(SEARCH($Y$2,Y16)))))</f>
      </c>
      <c r="BK16" s="137">
        <f>IF($Z$2="",1,IF($Z$2="(blank)",--(Z16=""),IF($Z$2="(nonblank)",--(Z16&lt;&gt;""),--ISNUMBER(SEARCH($Z$2,Z16)))))</f>
      </c>
      <c r="BL16" s="137">
        <f>IF($AA$2="",1,IF($AA$2="(blank)",--(AA16=""),IF($AA$2="(nonblank)",--(AA16&lt;&gt;""),--ISNUMBER(SEARCH($AA$2,AA16)))))</f>
      </c>
      <c r="BM16" s="137">
        <f>IF($AB$2="",1,IF($AB$2="(blank)",--(AB16=""),IF($AB$2="(nonblank)",--(AB16&lt;&gt;""),--ISNUMBER(SEARCH($AB$2,AB16)))))</f>
      </c>
      <c r="BN16" s="137">
        <f>IF($AC$2="",1,IF($AC$2="(blank)",--(AC16=""),IF($AC$2="(nonblank)",--(AC16&lt;&gt;""),--ISNUMBER(SEARCH($AC$2,AC16)))))</f>
      </c>
      <c r="BO16" s="137">
        <f>IF($AD$2="",1,IF($AD$2="(blank)",--(AD16=""),IF($AD$2="(nonblank)",--(AD16&lt;&gt;""),--ISNUMBER(SEARCH($AD$2,AD16)))))</f>
      </c>
      <c r="BP16" s="137">
        <f>IF($AE$2="",1,IF($AE$2="(blank)",--(AE16=""),IF($AE$2="(nonblank)",--(AE16&lt;&gt;""),--ISNUMBER(SEARCH($AE$2,AE16)))))</f>
      </c>
      <c r="BQ16" s="137">
        <f>IF($AF$2="",1,IF($AF$2="(blank)",--(AF16=""),IF($AF$2="(nonblank)",--(AF16&lt;&gt;""),--ISNUMBER(SEARCH($AF$2,AF16)))))</f>
      </c>
      <c r="BR16" s="137">
        <f>IF($AG$2="",1,IF($AG$2="(blank)",--(AG16=""),IF($AG$2="(nonblank)",--(AG16&lt;&gt;""),--ISNUMBER(SEARCH($AG$2,AG16)))))</f>
      </c>
      <c r="BS16" s="137">
        <f>IF($AH$2="",1,IF($AH$2="(blank)",--(AH16=""),IF($AH$2="(nonblank)",--(AH16&lt;&gt;""),--ISNUMBER(SEARCH($AH$2,AH16)))))</f>
      </c>
      <c r="BT16" s="137">
        <f>IF(COUNTIF($AL16:$BS16,0)&gt;0,0,1)</f>
      </c>
    </row>
    <row r="17" ht="14.25" customHeight="1" s="137">
      <c r="A17" s="148" t="n">
        <v>100</v>
      </c>
      <c r="B17" s="149" t="inlineStr">
        <is>
          <t>Scrap of empty oil Barrels</t>
        </is>
      </c>
      <c r="C17" s="150" t="n">
        <v>710</v>
      </c>
      <c r="D17" s="151" t="n">
        <v>21978</v>
      </c>
      <c r="E17" s="151" t="inlineStr">
        <is>
          <t>NO</t>
        </is>
      </c>
      <c r="F17" s="151" t="n">
        <v>2015</v>
      </c>
      <c r="G17" s="149" t="inlineStr">
        <is>
          <t>STERLING ENTERPRISES</t>
        </is>
      </c>
      <c r="H17" s="152" t="n">
        <v>71000</v>
      </c>
      <c r="I17" s="152">
        <f>ROUND(H17*18%,0)</f>
        <v/>
      </c>
      <c r="J17" s="152">
        <f>+H17+I17</f>
        <v/>
      </c>
      <c r="K17" s="152">
        <f>ROUND((H17+I17)*2%,0)</f>
        <v/>
      </c>
      <c r="L17" s="153">
        <f>H17*0.1%</f>
        <v/>
      </c>
      <c r="M17" s="153">
        <f>H17*2.25%*118%</f>
        <v/>
      </c>
      <c r="N17" s="154">
        <f>H17*2.25%*2%</f>
        <v/>
      </c>
      <c r="O17" s="153">
        <f>M17-N17</f>
        <v/>
      </c>
      <c r="P17" s="153">
        <f>ROUND(O17+L17,0)</f>
        <v/>
      </c>
      <c r="Q17" s="155" t="n">
        <v>0</v>
      </c>
      <c r="R17" s="153">
        <f>ROUND(H17*Q17,0)</f>
        <v/>
      </c>
      <c r="S17" s="152">
        <f>ROUND(H17*117.65%-R17,0)</f>
        <v/>
      </c>
      <c r="T17" s="153">
        <f>ROUND(H17*25%,0)</f>
        <v/>
      </c>
      <c r="U17" s="156" t="n">
        <v>17750</v>
      </c>
      <c r="V17" s="153" t="inlineStr">
        <is>
          <t>11.08.2026</t>
        </is>
      </c>
      <c r="W17" s="153">
        <f>ROUND(H17*92.65%-R17,0)</f>
        <v/>
      </c>
      <c r="X17" s="153">
        <f>+W17</f>
        <v/>
      </c>
      <c r="Y17" s="153" t="inlineStr">
        <is>
          <t>11.08.2026</t>
        </is>
      </c>
      <c r="Z17" s="153">
        <f>IF(IF(OR(AB17="",AB17=0),TODAY(),DATE(VALUE(RIGHT(AB17,4)),VALUE(MID(AB17,4,2)),VALUE(LEFT(AB17,2))))&lt;=DATE(2026,8,24),0,H17*0.0118*CEILING((IF(OR(AB17="",AB17=0),TODAY(),DATE(VALUE(RIGHT(AB17,4)),VALUE(MID(AB17,4,2)),VALUE(LEFT(AB17,2))))-DATE(2026,8,22))/7,1))</f>
        <v/>
      </c>
      <c r="AA17" s="153" t="n"/>
      <c r="AB17" s="153" t="n"/>
      <c r="AC17" s="157">
        <f>U17+X17+AA17</f>
        <v/>
      </c>
      <c r="AD17" s="157">
        <f>S17-AC17</f>
        <v/>
      </c>
      <c r="AE17" s="153">
        <f>IF(AD17="","",IF(AD17&lt;=5,"SETTLED","OUTSTANDING"))</f>
        <v/>
      </c>
      <c r="AF17" s="153" t="inlineStr">
        <is>
          <t>DR2640100020</t>
        </is>
      </c>
      <c r="AG17" s="158" t="n">
        <v>1800003158</v>
      </c>
      <c r="AH17" s="159" t="inlineStr">
        <is>
          <t>14.08.2026</t>
        </is>
      </c>
      <c r="AL17" s="137">
        <f>IF($A$2="",1,IF($A$2="(blank)",--(A17=""),IF($A$2="(nonblank)",--(A17&lt;&gt;""),--ISNUMBER(SEARCH($A$2,A17)))))</f>
      </c>
      <c r="AM17" s="137">
        <f>IF($B$2="",1,IF($B$2="(blank)",--(B17=""),IF($B$2="(nonblank)",--(B17&lt;&gt;""),--ISNUMBER(SEARCH($B$2,B17)))))</f>
      </c>
      <c r="AN17" s="137">
        <f>IF($C$2="",1,IF($C$2="(blank)",--(C17=""),IF($C$2="(nonblank)",--(C17&lt;&gt;""),--ISNUMBER(SEARCH($C$2,C17)))))</f>
      </c>
      <c r="AO17" s="137">
        <f>IF($D$2="",1,IF($D$2="(blank)",--(D17=""),IF($D$2="(nonblank)",--(D17&lt;&gt;""),--ISNUMBER(SEARCH($D$2,D17)))))</f>
      </c>
      <c r="AP17" s="137">
        <f>IF($E$2="",1,IF($E$2="(blank)",--(E17=""),IF($E$2="(nonblank)",--(E17&lt;&gt;""),--ISNUMBER(SEARCH($E$2,E17)))))</f>
      </c>
      <c r="AQ17" s="137">
        <f>IF($F$2="",1,IF($F$2="(blank)",--(F17=""),IF($F$2="(nonblank)",--(F17&lt;&gt;""),--ISNUMBER(SEARCH($F$2,F17)))))</f>
      </c>
      <c r="AR17" s="137">
        <f>IF($G$2="",1,IF($G$2="(blank)",--(G17=""),IF($G$2="(nonblank)",--(G17&lt;&gt;""),--ISNUMBER(SEARCH($G$2,G17)))))</f>
      </c>
      <c r="AS17" s="137">
        <f>IF($H$2="",1,IF($H$2="(blank)",--(H17=""),IF($H$2="(nonblank)",--(H17&lt;&gt;""),--ISNUMBER(SEARCH($H$2,H17)))))</f>
      </c>
      <c r="AT17" s="137">
        <f>IF($I$2="",1,IF($I$2="(blank)",--(I17=""),IF($I$2="(nonblank)",--(I17&lt;&gt;""),--ISNUMBER(SEARCH($I$2,I17)))))</f>
      </c>
      <c r="AU17" s="137">
        <f>IF($J$2="",1,IF($J$2="(blank)",--(J17=""),IF($J$2="(nonblank)",--(J17&lt;&gt;""),--ISNUMBER(SEARCH($J$2,J17)))))</f>
      </c>
      <c r="AV17" s="137">
        <f>IF($K$2="",1,IF($K$2="(blank)",--(K17=""),IF($K$2="(nonblank)",--(K17&lt;&gt;""),--ISNUMBER(SEARCH($K$2,K17)))))</f>
      </c>
      <c r="AW17" s="137">
        <f>IF($L$2="",1,IF($L$2="(blank)",--(L17=""),IF($L$2="(nonblank)",--(L17&lt;&gt;""),--ISNUMBER(SEARCH($L$2,L17)))))</f>
      </c>
      <c r="AX17" s="137">
        <f>IF($M$2="",1,IF($M$2="(blank)",--(M17=""),IF($M$2="(nonblank)",--(M17&lt;&gt;""),--ISNUMBER(SEARCH($M$2,M17)))))</f>
      </c>
      <c r="AY17" s="137">
        <f>IF($N$2="",1,IF($N$2="(blank)",--(N17=""),IF($N$2="(nonblank)",--(N17&lt;&gt;""),--ISNUMBER(SEARCH($N$2,N17)))))</f>
      </c>
      <c r="AZ17" s="137">
        <f>IF($O$2="",1,IF($O$2="(blank)",--(O17=""),IF($O$2="(nonblank)",--(O17&lt;&gt;""),--ISNUMBER(SEARCH($O$2,O17)))))</f>
      </c>
      <c r="BA17" s="137">
        <f>IF($P$2="",1,IF($P$2="(blank)",--(P17=""),IF($P$2="(nonblank)",--(P17&lt;&gt;""),--ISNUMBER(SEARCH($P$2,P17)))))</f>
      </c>
      <c r="BB17" s="137">
        <f>IF($Q$2="",1,IF($Q$2="(blank)",--(Q17=""),IF($Q$2="(nonblank)",--(Q17&lt;&gt;""),--ISNUMBER(SEARCH($Q$2,Q17)))))</f>
      </c>
      <c r="BC17" s="137">
        <f>IF($R$2="",1,IF($R$2="(blank)",--(R17=""),IF($R$2="(nonblank)",--(R17&lt;&gt;""),--ISNUMBER(SEARCH($R$2,R17)))))</f>
      </c>
      <c r="BD17" s="137">
        <f>IF($S$2="",1,IF($S$2="(blank)",--(S17=""),IF($S$2="(nonblank)",--(S17&lt;&gt;""),--ISNUMBER(SEARCH($S$2,S17)))))</f>
      </c>
      <c r="BE17" s="137">
        <f>IF($T$2="",1,IF($T$2="(blank)",--(T17=""),IF($T$2="(nonblank)",--(T17&lt;&gt;""),--ISNUMBER(SEARCH($T$2,T17)))))</f>
      </c>
      <c r="BF17" s="137">
        <f>IF($U$2="",1,IF($U$2="(blank)",--(U17=""),IF($U$2="(nonblank)",--(U17&lt;&gt;""),--ISNUMBER(SEARCH($U$2,U17)))))</f>
      </c>
      <c r="BG17" s="137">
        <f>IF($V$2="",1,IF($V$2="(blank)",--(V17=""),IF($V$2="(nonblank)",--(V17&lt;&gt;""),--ISNUMBER(SEARCH($V$2,V17)))))</f>
      </c>
      <c r="BH17" s="137">
        <f>IF($W$2="",1,IF($W$2="(blank)",--(W17=""),IF($W$2="(nonblank)",--(W17&lt;&gt;""),--ISNUMBER(SEARCH($W$2,W17)))))</f>
      </c>
      <c r="BI17" s="137">
        <f>IF($X$2="",1,IF($X$2="(blank)",--(X17=""),IF($X$2="(nonblank)",--(X17&lt;&gt;""),--ISNUMBER(SEARCH($X$2,X17)))))</f>
      </c>
      <c r="BJ17" s="137">
        <f>IF($Y$2="",1,IF($Y$2="(blank)",--(Y17=""),IF($Y$2="(nonblank)",--(Y17&lt;&gt;""),--ISNUMBER(SEARCH($Y$2,Y17)))))</f>
      </c>
      <c r="BK17" s="137">
        <f>IF($Z$2="",1,IF($Z$2="(blank)",--(Z17=""),IF($Z$2="(nonblank)",--(Z17&lt;&gt;""),--ISNUMBER(SEARCH($Z$2,Z17)))))</f>
      </c>
      <c r="BL17" s="137">
        <f>IF($AA$2="",1,IF($AA$2="(blank)",--(AA17=""),IF($AA$2="(nonblank)",--(AA17&lt;&gt;""),--ISNUMBER(SEARCH($AA$2,AA17)))))</f>
      </c>
      <c r="BM17" s="137">
        <f>IF($AB$2="",1,IF($AB$2="(blank)",--(AB17=""),IF($AB$2="(nonblank)",--(AB17&lt;&gt;""),--ISNUMBER(SEARCH($AB$2,AB17)))))</f>
      </c>
      <c r="BN17" s="137">
        <f>IF($AC$2="",1,IF($AC$2="(blank)",--(AC17=""),IF($AC$2="(nonblank)",--(AC17&lt;&gt;""),--ISNUMBER(SEARCH($AC$2,AC17)))))</f>
      </c>
      <c r="BO17" s="137">
        <f>IF($AD$2="",1,IF($AD$2="(blank)",--(AD17=""),IF($AD$2="(nonblank)",--(AD17&lt;&gt;""),--ISNUMBER(SEARCH($AD$2,AD17)))))</f>
      </c>
      <c r="BP17" s="137">
        <f>IF($AE$2="",1,IF($AE$2="(blank)",--(AE17=""),IF($AE$2="(nonblank)",--(AE17&lt;&gt;""),--ISNUMBER(SEARCH($AE$2,AE17)))))</f>
      </c>
      <c r="BQ17" s="137">
        <f>IF($AF$2="",1,IF($AF$2="(blank)",--(AF17=""),IF($AF$2="(nonblank)",--(AF17&lt;&gt;""),--ISNUMBER(SEARCH($AF$2,AF17)))))</f>
      </c>
      <c r="BR17" s="137">
        <f>IF($AG$2="",1,IF($AG$2="(blank)",--(AG17=""),IF($AG$2="(nonblank)",--(AG17&lt;&gt;""),--ISNUMBER(SEARCH($AG$2,AG17)))))</f>
      </c>
      <c r="BS17" s="137">
        <f>IF($AH$2="",1,IF($AH$2="(blank)",--(AH17=""),IF($AH$2="(nonblank)",--(AH17&lt;&gt;""),--ISNUMBER(SEARCH($AH$2,AH17)))))</f>
      </c>
      <c r="BT17" s="137">
        <f>IF(COUNTIF($AL17:$BS17,0)&gt;0,0,1)</f>
      </c>
    </row>
    <row r="18" ht="14.25" customHeight="1" s="137">
      <c r="A18" s="23" t="n">
        <v>1</v>
      </c>
      <c r="B18" s="24" t="inlineStr">
        <is>
          <t>Scrap of 220 KV Circuit Breaker</t>
        </is>
      </c>
      <c r="C18" s="25" t="n">
        <v>220001</v>
      </c>
      <c r="D18" s="26" t="n">
        <v>21978</v>
      </c>
      <c r="E18" s="26" t="inlineStr">
        <is>
          <t>NO</t>
        </is>
      </c>
      <c r="F18" s="26" t="n">
        <v>2018</v>
      </c>
      <c r="G18" s="24" t="inlineStr">
        <is>
          <t>NATIONAL ENTERPRISES</t>
        </is>
      </c>
      <c r="H18" s="27" t="n">
        <v>220001</v>
      </c>
      <c r="I18" s="27">
        <f>ROUND(H18*18%,0)</f>
        <v/>
      </c>
      <c r="J18" s="27">
        <f>+H18+I18</f>
        <v/>
      </c>
      <c r="K18" s="27">
        <f>ROUND((H18+I18)*2%,0)</f>
        <v/>
      </c>
      <c r="L18" s="28">
        <f>H18*0.1%</f>
        <v/>
      </c>
      <c r="M18" s="28">
        <f>H18*2.25%*118%</f>
        <v/>
      </c>
      <c r="N18" s="29">
        <f>H18*2.25%*2%</f>
        <v/>
      </c>
      <c r="O18" s="28">
        <f>M18-N18</f>
        <v/>
      </c>
      <c r="P18" s="28">
        <f>ROUND(O18+L18,0)</f>
        <v/>
      </c>
      <c r="Q18" s="30" t="n">
        <v>0</v>
      </c>
      <c r="R18" s="28">
        <f>ROUND(H18*Q18,0)</f>
        <v/>
      </c>
      <c r="S18" s="27">
        <f>ROUND(H18*117.65%-R18,0)</f>
        <v/>
      </c>
      <c r="T18" s="28">
        <f>ROUND(H18*25%,0)</f>
        <v/>
      </c>
      <c r="U18" s="31">
        <f>+T18</f>
        <v/>
      </c>
      <c r="V18" s="28" t="inlineStr">
        <is>
          <t>13.08.2026</t>
        </is>
      </c>
      <c r="W18" s="28">
        <f>ROUND(H18*92.65%-R18,0)</f>
        <v/>
      </c>
      <c r="X18" s="28" t="n">
        <v>203831</v>
      </c>
      <c r="Y18" s="28" t="inlineStr">
        <is>
          <t>24.08.2026</t>
        </is>
      </c>
      <c r="Z18" s="28">
        <f>IF(IF(OR(AB18="",AB18=0),TODAY(),DATE(VALUE(RIGHT(AB18,4)),VALUE(MID(AB18,4,2)),VALUE(LEFT(AB18,2))))&lt;=DATE(2026,8,24),0,H18*0.0118*CEILING((IF(OR(AB18="",AB18=0),TODAY(),DATE(VALUE(RIGHT(AB18,4)),VALUE(MID(AB18,4,2)),VALUE(LEFT(AB18,2))))-DATE(2026,8,22))/7,1))</f>
        <v/>
      </c>
      <c r="AA18" s="28" t="n"/>
      <c r="AB18" s="28" t="n"/>
      <c r="AC18" s="15">
        <f>U18+X18+AA18</f>
        <v/>
      </c>
      <c r="AD18" s="19">
        <f>S18-AC18</f>
        <v/>
      </c>
      <c r="AE18" s="20">
        <f>IF(AD18="","",IF(AD18&lt;=5,"SETTLED","OUTSTANDING"))</f>
        <v/>
      </c>
      <c r="AF18" s="20" t="inlineStr">
        <is>
          <t>DR2640100034</t>
        </is>
      </c>
      <c r="AG18" s="21" t="n">
        <v>1800003306</v>
      </c>
      <c r="AH18" s="22" t="inlineStr">
        <is>
          <t>27.08.2026</t>
        </is>
      </c>
      <c r="AL18" s="137">
        <f>IF($A$2="",1,IF($A$2="(blank)",--(A18=""),IF($A$2="(nonblank)",--(A18&lt;&gt;""),--ISNUMBER(SEARCH($A$2,A18)))))</f>
      </c>
      <c r="AM18" s="137">
        <f>IF($B$2="",1,IF($B$2="(blank)",--(B18=""),IF($B$2="(nonblank)",--(B18&lt;&gt;""),--ISNUMBER(SEARCH($B$2,B18)))))</f>
      </c>
      <c r="AN18" s="137">
        <f>IF($C$2="",1,IF($C$2="(blank)",--(C18=""),IF($C$2="(nonblank)",--(C18&lt;&gt;""),--ISNUMBER(SEARCH($C$2,C18)))))</f>
      </c>
      <c r="AO18" s="137">
        <f>IF($D$2="",1,IF($D$2="(blank)",--(D18=""),IF($D$2="(nonblank)",--(D18&lt;&gt;""),--ISNUMBER(SEARCH($D$2,D18)))))</f>
      </c>
      <c r="AP18" s="137">
        <f>IF($E$2="",1,IF($E$2="(blank)",--(E18=""),IF($E$2="(nonblank)",--(E18&lt;&gt;""),--ISNUMBER(SEARCH($E$2,E18)))))</f>
      </c>
      <c r="AQ18" s="137">
        <f>IF($F$2="",1,IF($F$2="(blank)",--(F18=""),IF($F$2="(nonblank)",--(F18&lt;&gt;""),--ISNUMBER(SEARCH($F$2,F18)))))</f>
      </c>
      <c r="AR18" s="137">
        <f>IF($G$2="",1,IF($G$2="(blank)",--(G18=""),IF($G$2="(nonblank)",--(G18&lt;&gt;""),--ISNUMBER(SEARCH($G$2,G18)))))</f>
      </c>
      <c r="AS18" s="137">
        <f>IF($H$2="",1,IF($H$2="(blank)",--(H18=""),IF($H$2="(nonblank)",--(H18&lt;&gt;""),--ISNUMBER(SEARCH($H$2,H18)))))</f>
      </c>
      <c r="AT18" s="137">
        <f>IF($I$2="",1,IF($I$2="(blank)",--(I18=""),IF($I$2="(nonblank)",--(I18&lt;&gt;""),--ISNUMBER(SEARCH($I$2,I18)))))</f>
      </c>
      <c r="AU18" s="137">
        <f>IF($J$2="",1,IF($J$2="(blank)",--(J18=""),IF($J$2="(nonblank)",--(J18&lt;&gt;""),--ISNUMBER(SEARCH($J$2,J18)))))</f>
      </c>
      <c r="AV18" s="137">
        <f>IF($K$2="",1,IF($K$2="(blank)",--(K18=""),IF($K$2="(nonblank)",--(K18&lt;&gt;""),--ISNUMBER(SEARCH($K$2,K18)))))</f>
      </c>
      <c r="AW18" s="137">
        <f>IF($L$2="",1,IF($L$2="(blank)",--(L18=""),IF($L$2="(nonblank)",--(L18&lt;&gt;""),--ISNUMBER(SEARCH($L$2,L18)))))</f>
      </c>
      <c r="AX18" s="137">
        <f>IF($M$2="",1,IF($M$2="(blank)",--(M18=""),IF($M$2="(nonblank)",--(M18&lt;&gt;""),--ISNUMBER(SEARCH($M$2,M18)))))</f>
      </c>
      <c r="AY18" s="137">
        <f>IF($N$2="",1,IF($N$2="(blank)",--(N18=""),IF($N$2="(nonblank)",--(N18&lt;&gt;""),--ISNUMBER(SEARCH($N$2,N18)))))</f>
      </c>
      <c r="AZ18" s="137">
        <f>IF($O$2="",1,IF($O$2="(blank)",--(O18=""),IF($O$2="(nonblank)",--(O18&lt;&gt;""),--ISNUMBER(SEARCH($O$2,O18)))))</f>
      </c>
      <c r="BA18" s="137">
        <f>IF($P$2="",1,IF($P$2="(blank)",--(P18=""),IF($P$2="(nonblank)",--(P18&lt;&gt;""),--ISNUMBER(SEARCH($P$2,P18)))))</f>
      </c>
      <c r="BB18" s="137">
        <f>IF($Q$2="",1,IF($Q$2="(blank)",--(Q18=""),IF($Q$2="(nonblank)",--(Q18&lt;&gt;""),--ISNUMBER(SEARCH($Q$2,Q18)))))</f>
      </c>
      <c r="BC18" s="137">
        <f>IF($R$2="",1,IF($R$2="(blank)",--(R18=""),IF($R$2="(nonblank)",--(R18&lt;&gt;""),--ISNUMBER(SEARCH($R$2,R18)))))</f>
      </c>
      <c r="BD18" s="137">
        <f>IF($S$2="",1,IF($S$2="(blank)",--(S18=""),IF($S$2="(nonblank)",--(S18&lt;&gt;""),--ISNUMBER(SEARCH($S$2,S18)))))</f>
      </c>
      <c r="BE18" s="137">
        <f>IF($T$2="",1,IF($T$2="(blank)",--(T18=""),IF($T$2="(nonblank)",--(T18&lt;&gt;""),--ISNUMBER(SEARCH($T$2,T18)))))</f>
      </c>
      <c r="BF18" s="137">
        <f>IF($U$2="",1,IF($U$2="(blank)",--(U18=""),IF($U$2="(nonblank)",--(U18&lt;&gt;""),--ISNUMBER(SEARCH($U$2,U18)))))</f>
      </c>
      <c r="BG18" s="137">
        <f>IF($V$2="",1,IF($V$2="(blank)",--(V18=""),IF($V$2="(nonblank)",--(V18&lt;&gt;""),--ISNUMBER(SEARCH($V$2,V18)))))</f>
      </c>
      <c r="BH18" s="137">
        <f>IF($W$2="",1,IF($W$2="(blank)",--(W18=""),IF($W$2="(nonblank)",--(W18&lt;&gt;""),--ISNUMBER(SEARCH($W$2,W18)))))</f>
      </c>
      <c r="BI18" s="137">
        <f>IF($X$2="",1,IF($X$2="(blank)",--(X18=""),IF($X$2="(nonblank)",--(X18&lt;&gt;""),--ISNUMBER(SEARCH($X$2,X18)))))</f>
      </c>
      <c r="BJ18" s="137">
        <f>IF($Y$2="",1,IF($Y$2="(blank)",--(Y18=""),IF($Y$2="(nonblank)",--(Y18&lt;&gt;""),--ISNUMBER(SEARCH($Y$2,Y18)))))</f>
      </c>
      <c r="BK18" s="137">
        <f>IF($Z$2="",1,IF($Z$2="(blank)",--(Z18=""),IF($Z$2="(nonblank)",--(Z18&lt;&gt;""),--ISNUMBER(SEARCH($Z$2,Z18)))))</f>
      </c>
      <c r="BL18" s="137">
        <f>IF($AA$2="",1,IF($AA$2="(blank)",--(AA18=""),IF($AA$2="(nonblank)",--(AA18&lt;&gt;""),--ISNUMBER(SEARCH($AA$2,AA18)))))</f>
      </c>
      <c r="BM18" s="137">
        <f>IF($AB$2="",1,IF($AB$2="(blank)",--(AB18=""),IF($AB$2="(nonblank)",--(AB18&lt;&gt;""),--ISNUMBER(SEARCH($AB$2,AB18)))))</f>
      </c>
      <c r="BN18" s="137">
        <f>IF($AC$2="",1,IF($AC$2="(blank)",--(AC18=""),IF($AC$2="(nonblank)",--(AC18&lt;&gt;""),--ISNUMBER(SEARCH($AC$2,AC18)))))</f>
      </c>
      <c r="BO18" s="137">
        <f>IF($AD$2="",1,IF($AD$2="(blank)",--(AD18=""),IF($AD$2="(nonblank)",--(AD18&lt;&gt;""),--ISNUMBER(SEARCH($AD$2,AD18)))))</f>
      </c>
      <c r="BP18" s="137">
        <f>IF($AE$2="",1,IF($AE$2="(blank)",--(AE18=""),IF($AE$2="(nonblank)",--(AE18&lt;&gt;""),--ISNUMBER(SEARCH($AE$2,AE18)))))</f>
      </c>
      <c r="BQ18" s="137">
        <f>IF($AF$2="",1,IF($AF$2="(blank)",--(AF18=""),IF($AF$2="(nonblank)",--(AF18&lt;&gt;""),--ISNUMBER(SEARCH($AF$2,AF18)))))</f>
      </c>
      <c r="BR18" s="137">
        <f>IF($AG$2="",1,IF($AG$2="(blank)",--(AG18=""),IF($AG$2="(nonblank)",--(AG18&lt;&gt;""),--ISNUMBER(SEARCH($AG$2,AG18)))))</f>
      </c>
      <c r="BS18" s="137">
        <f>IF($AH$2="",1,IF($AH$2="(blank)",--(AH18=""),IF($AH$2="(nonblank)",--(AH18&lt;&gt;""),--ISNUMBER(SEARCH($AH$2,AH18)))))</f>
      </c>
      <c r="BT18" s="137">
        <f>IF(COUNTIF($AL18:$BS18,0)&gt;0,0,1)</f>
      </c>
    </row>
    <row r="19" ht="14.25" customHeight="1" s="137">
      <c r="A19" s="148" t="n">
        <v>1</v>
      </c>
      <c r="B19" s="149" t="inlineStr">
        <is>
          <t>Scrap of 220 KV Circuit Breaker</t>
        </is>
      </c>
      <c r="C19" s="150" t="n">
        <v>210001</v>
      </c>
      <c r="D19" s="151" t="n">
        <v>21978</v>
      </c>
      <c r="E19" s="151" t="inlineStr">
        <is>
          <t>NO</t>
        </is>
      </c>
      <c r="F19" s="151" t="n">
        <v>2019</v>
      </c>
      <c r="G19" s="149" t="inlineStr">
        <is>
          <t>NATIONAL ENTERPRISES</t>
        </is>
      </c>
      <c r="H19" s="152" t="n">
        <v>210001</v>
      </c>
      <c r="I19" s="152">
        <f>ROUND(H19*18%,0)</f>
        <v/>
      </c>
      <c r="J19" s="152">
        <f>+H19+I19</f>
        <v/>
      </c>
      <c r="K19" s="152">
        <f>ROUND((H19+I19)*2%,0)</f>
        <v/>
      </c>
      <c r="L19" s="153">
        <f>H19*0.1%</f>
        <v/>
      </c>
      <c r="M19" s="153">
        <f>H19*2.25%*118%</f>
        <v/>
      </c>
      <c r="N19" s="154">
        <f>H19*2.25%*2%</f>
        <v/>
      </c>
      <c r="O19" s="153">
        <f>M19-N19</f>
        <v/>
      </c>
      <c r="P19" s="153">
        <f>ROUND(O19+L19,0)</f>
        <v/>
      </c>
      <c r="Q19" s="155" t="n">
        <v>0</v>
      </c>
      <c r="R19" s="153">
        <f>ROUND(H19*Q19,0)</f>
        <v/>
      </c>
      <c r="S19" s="152">
        <f>ROUND(H19*117.65%-R19,0)</f>
        <v/>
      </c>
      <c r="T19" s="153">
        <f>ROUND(H19*25%,0)</f>
        <v/>
      </c>
      <c r="U19" s="156">
        <f>+T19</f>
        <v/>
      </c>
      <c r="V19" s="153" t="inlineStr">
        <is>
          <t>13.08.2026</t>
        </is>
      </c>
      <c r="W19" s="153">
        <f>ROUND(H19*92.65%-R19,0)</f>
        <v/>
      </c>
      <c r="X19" s="153" t="n">
        <v>194566</v>
      </c>
      <c r="Y19" s="153" t="inlineStr">
        <is>
          <t>24.08.2026</t>
        </is>
      </c>
      <c r="Z19" s="153">
        <f>IF(IF(OR(AB19="",AB19=0),TODAY(),DATE(VALUE(RIGHT(AB19,4)),VALUE(MID(AB19,4,2)),VALUE(LEFT(AB19,2))))&lt;=DATE(2026,8,24),0,H19*0.0118*CEILING((IF(OR(AB19="",AB19=0),TODAY(),DATE(VALUE(RIGHT(AB19,4)),VALUE(MID(AB19,4,2)),VALUE(LEFT(AB19,2))))-DATE(2026,8,22))/7,1))</f>
        <v/>
      </c>
      <c r="AA19" s="153" t="n"/>
      <c r="AB19" s="153" t="n"/>
      <c r="AC19" s="157">
        <f>U19+X19+AA19</f>
        <v/>
      </c>
      <c r="AD19" s="157">
        <f>S19-AC19</f>
        <v/>
      </c>
      <c r="AE19" s="153">
        <f>IF(AD19="","",IF(AD19&lt;=5,"SETTLED","OUTSTANDING"))</f>
        <v/>
      </c>
      <c r="AF19" s="153" t="inlineStr">
        <is>
          <t>DR2640100035</t>
        </is>
      </c>
      <c r="AG19" s="158" t="n">
        <v>1800003307</v>
      </c>
      <c r="AH19" s="159" t="inlineStr">
        <is>
          <t>27.08.2026</t>
        </is>
      </c>
      <c r="AL19" s="137">
        <f>IF($A$2="",1,IF($A$2="(blank)",--(A19=""),IF($A$2="(nonblank)",--(A19&lt;&gt;""),--ISNUMBER(SEARCH($A$2,A19)))))</f>
      </c>
      <c r="AM19" s="137">
        <f>IF($B$2="",1,IF($B$2="(blank)",--(B19=""),IF($B$2="(nonblank)",--(B19&lt;&gt;""),--ISNUMBER(SEARCH($B$2,B19)))))</f>
      </c>
      <c r="AN19" s="137">
        <f>IF($C$2="",1,IF($C$2="(blank)",--(C19=""),IF($C$2="(nonblank)",--(C19&lt;&gt;""),--ISNUMBER(SEARCH($C$2,C19)))))</f>
      </c>
      <c r="AO19" s="137">
        <f>IF($D$2="",1,IF($D$2="(blank)",--(D19=""),IF($D$2="(nonblank)",--(D19&lt;&gt;""),--ISNUMBER(SEARCH($D$2,D19)))))</f>
      </c>
      <c r="AP19" s="137">
        <f>IF($E$2="",1,IF($E$2="(blank)",--(E19=""),IF($E$2="(nonblank)",--(E19&lt;&gt;""),--ISNUMBER(SEARCH($E$2,E19)))))</f>
      </c>
      <c r="AQ19" s="137">
        <f>IF($F$2="",1,IF($F$2="(blank)",--(F19=""),IF($F$2="(nonblank)",--(F19&lt;&gt;""),--ISNUMBER(SEARCH($F$2,F19)))))</f>
      </c>
      <c r="AR19" s="137">
        <f>IF($G$2="",1,IF($G$2="(blank)",--(G19=""),IF($G$2="(nonblank)",--(G19&lt;&gt;""),--ISNUMBER(SEARCH($G$2,G19)))))</f>
      </c>
      <c r="AS19" s="137">
        <f>IF($H$2="",1,IF($H$2="(blank)",--(H19=""),IF($H$2="(nonblank)",--(H19&lt;&gt;""),--ISNUMBER(SEARCH($H$2,H19)))))</f>
      </c>
      <c r="AT19" s="137">
        <f>IF($I$2="",1,IF($I$2="(blank)",--(I19=""),IF($I$2="(nonblank)",--(I19&lt;&gt;""),--ISNUMBER(SEARCH($I$2,I19)))))</f>
      </c>
      <c r="AU19" s="137">
        <f>IF($J$2="",1,IF($J$2="(blank)",--(J19=""),IF($J$2="(nonblank)",--(J19&lt;&gt;""),--ISNUMBER(SEARCH($J$2,J19)))))</f>
      </c>
      <c r="AV19" s="137">
        <f>IF($K$2="",1,IF($K$2="(blank)",--(K19=""),IF($K$2="(nonblank)",--(K19&lt;&gt;""),--ISNUMBER(SEARCH($K$2,K19)))))</f>
      </c>
      <c r="AW19" s="137">
        <f>IF($L$2="",1,IF($L$2="(blank)",--(L19=""),IF($L$2="(nonblank)",--(L19&lt;&gt;""),--ISNUMBER(SEARCH($L$2,L19)))))</f>
      </c>
      <c r="AX19" s="137">
        <f>IF($M$2="",1,IF($M$2="(blank)",--(M19=""),IF($M$2="(nonblank)",--(M19&lt;&gt;""),--ISNUMBER(SEARCH($M$2,M19)))))</f>
      </c>
      <c r="AY19" s="137">
        <f>IF($N$2="",1,IF($N$2="(blank)",--(N19=""),IF($N$2="(nonblank)",--(N19&lt;&gt;""),--ISNUMBER(SEARCH($N$2,N19)))))</f>
      </c>
      <c r="AZ19" s="137">
        <f>IF($O$2="",1,IF($O$2="(blank)",--(O19=""),IF($O$2="(nonblank)",--(O19&lt;&gt;""),--ISNUMBER(SEARCH($O$2,O19)))))</f>
      </c>
      <c r="BA19" s="137">
        <f>IF($P$2="",1,IF($P$2="(blank)",--(P19=""),IF($P$2="(nonblank)",--(P19&lt;&gt;""),--ISNUMBER(SEARCH($P$2,P19)))))</f>
      </c>
      <c r="BB19" s="137">
        <f>IF($Q$2="",1,IF($Q$2="(blank)",--(Q19=""),IF($Q$2="(nonblank)",--(Q19&lt;&gt;""),--ISNUMBER(SEARCH($Q$2,Q19)))))</f>
      </c>
      <c r="BC19" s="137">
        <f>IF($R$2="",1,IF($R$2="(blank)",--(R19=""),IF($R$2="(nonblank)",--(R19&lt;&gt;""),--ISNUMBER(SEARCH($R$2,R19)))))</f>
      </c>
      <c r="BD19" s="137">
        <f>IF($S$2="",1,IF($S$2="(blank)",--(S19=""),IF($S$2="(nonblank)",--(S19&lt;&gt;""),--ISNUMBER(SEARCH($S$2,S19)))))</f>
      </c>
      <c r="BE19" s="137">
        <f>IF($T$2="",1,IF($T$2="(blank)",--(T19=""),IF($T$2="(nonblank)",--(T19&lt;&gt;""),--ISNUMBER(SEARCH($T$2,T19)))))</f>
      </c>
      <c r="BF19" s="137">
        <f>IF($U$2="",1,IF($U$2="(blank)",--(U19=""),IF($U$2="(nonblank)",--(U19&lt;&gt;""),--ISNUMBER(SEARCH($U$2,U19)))))</f>
      </c>
      <c r="BG19" s="137">
        <f>IF($V$2="",1,IF($V$2="(blank)",--(V19=""),IF($V$2="(nonblank)",--(V19&lt;&gt;""),--ISNUMBER(SEARCH($V$2,V19)))))</f>
      </c>
      <c r="BH19" s="137">
        <f>IF($W$2="",1,IF($W$2="(blank)",--(W19=""),IF($W$2="(nonblank)",--(W19&lt;&gt;""),--ISNUMBER(SEARCH($W$2,W19)))))</f>
      </c>
      <c r="BI19" s="137">
        <f>IF($X$2="",1,IF($X$2="(blank)",--(X19=""),IF($X$2="(nonblank)",--(X19&lt;&gt;""),--ISNUMBER(SEARCH($X$2,X19)))))</f>
      </c>
      <c r="BJ19" s="137">
        <f>IF($Y$2="",1,IF($Y$2="(blank)",--(Y19=""),IF($Y$2="(nonblank)",--(Y19&lt;&gt;""),--ISNUMBER(SEARCH($Y$2,Y19)))))</f>
      </c>
      <c r="BK19" s="137">
        <f>IF($Z$2="",1,IF($Z$2="(blank)",--(Z19=""),IF($Z$2="(nonblank)",--(Z19&lt;&gt;""),--ISNUMBER(SEARCH($Z$2,Z19)))))</f>
      </c>
      <c r="BL19" s="137">
        <f>IF($AA$2="",1,IF($AA$2="(blank)",--(AA19=""),IF($AA$2="(nonblank)",--(AA19&lt;&gt;""),--ISNUMBER(SEARCH($AA$2,AA19)))))</f>
      </c>
      <c r="BM19" s="137">
        <f>IF($AB$2="",1,IF($AB$2="(blank)",--(AB19=""),IF($AB$2="(nonblank)",--(AB19&lt;&gt;""),--ISNUMBER(SEARCH($AB$2,AB19)))))</f>
      </c>
      <c r="BN19" s="137">
        <f>IF($AC$2="",1,IF($AC$2="(blank)",--(AC19=""),IF($AC$2="(nonblank)",--(AC19&lt;&gt;""),--ISNUMBER(SEARCH($AC$2,AC19)))))</f>
      </c>
      <c r="BO19" s="137">
        <f>IF($AD$2="",1,IF($AD$2="(blank)",--(AD19=""),IF($AD$2="(nonblank)",--(AD19&lt;&gt;""),--ISNUMBER(SEARCH($AD$2,AD19)))))</f>
      </c>
      <c r="BP19" s="137">
        <f>IF($AE$2="",1,IF($AE$2="(blank)",--(AE19=""),IF($AE$2="(nonblank)",--(AE19&lt;&gt;""),--ISNUMBER(SEARCH($AE$2,AE19)))))</f>
      </c>
      <c r="BQ19" s="137">
        <f>IF($AF$2="",1,IF($AF$2="(blank)",--(AF19=""),IF($AF$2="(nonblank)",--(AF19&lt;&gt;""),--ISNUMBER(SEARCH($AF$2,AF19)))))</f>
      </c>
      <c r="BR19" s="137">
        <f>IF($AG$2="",1,IF($AG$2="(blank)",--(AG19=""),IF($AG$2="(nonblank)",--(AG19&lt;&gt;""),--ISNUMBER(SEARCH($AG$2,AG19)))))</f>
      </c>
      <c r="BS19" s="137">
        <f>IF($AH$2="",1,IF($AH$2="(blank)",--(AH19=""),IF($AH$2="(nonblank)",--(AH19&lt;&gt;""),--ISNUMBER(SEARCH($AH$2,AH19)))))</f>
      </c>
      <c r="BT19" s="137">
        <f>IF(COUNTIF($AL19:$BS19,0)&gt;0,0,1)</f>
      </c>
    </row>
    <row r="20" ht="26.25" customHeight="1" s="137">
      <c r="A20" s="23" t="n">
        <v>3500</v>
      </c>
      <c r="B20" s="24" t="inlineStr">
        <is>
          <t>SCRAP 80MM² AAAC EARTHWIRE</t>
        </is>
      </c>
      <c r="C20" s="25" t="n">
        <v>333</v>
      </c>
      <c r="D20" s="26" t="n">
        <v>21978</v>
      </c>
      <c r="E20" s="26" t="inlineStr">
        <is>
          <t>KG</t>
        </is>
      </c>
      <c r="F20" s="26" t="n">
        <v>2020</v>
      </c>
      <c r="G20" s="24" t="inlineStr">
        <is>
          <t>OMKAR STEELS</t>
        </is>
      </c>
      <c r="H20" s="27" t="n">
        <v>1165500</v>
      </c>
      <c r="I20" s="27">
        <f>ROUND(H20*18%,0)</f>
        <v/>
      </c>
      <c r="J20" s="27">
        <f>+H20+I20</f>
        <v/>
      </c>
      <c r="K20" s="27">
        <f>ROUND((H20+I20)*2%,0)</f>
        <v/>
      </c>
      <c r="L20" s="28">
        <f>H20*0.1%</f>
        <v/>
      </c>
      <c r="M20" s="28">
        <f>H20*2.25%*118%</f>
        <v/>
      </c>
      <c r="N20" s="29">
        <f>H20*2.25%*2%</f>
        <v/>
      </c>
      <c r="O20" s="28">
        <f>M20-N20</f>
        <v/>
      </c>
      <c r="P20" s="28">
        <f>ROUND(O20+L20,0)</f>
        <v/>
      </c>
      <c r="Q20" s="30" t="n">
        <v>0.02</v>
      </c>
      <c r="R20" s="28">
        <f>ROUND(H20*Q20,0)</f>
        <v/>
      </c>
      <c r="S20" s="27">
        <f>ROUND(H20*117.65%-R20,0)</f>
        <v/>
      </c>
      <c r="T20" s="28">
        <f>ROUND(H20*25%,0)</f>
        <v/>
      </c>
      <c r="U20" s="31" t="n">
        <v>291375</v>
      </c>
      <c r="V20" s="28" t="inlineStr">
        <is>
          <t>10.08.2026</t>
        </is>
      </c>
      <c r="W20" s="28">
        <f>ROUND(H20*92.65%-R20,0)</f>
        <v/>
      </c>
      <c r="X20" s="28" t="n">
        <v>1056525</v>
      </c>
      <c r="Y20" s="28" t="inlineStr">
        <is>
          <t>10.08.2026</t>
        </is>
      </c>
      <c r="Z20" s="28">
        <f>IF(IF(OR(AB20="",AB20=0),TODAY(),DATE(VALUE(RIGHT(AB20,4)),VALUE(MID(AB20,4,2)),VALUE(LEFT(AB20,2))))&lt;=DATE(2026,8,24),0,H20*0.0118*CEILING((IF(OR(AB20="",AB20=0),TODAY(),DATE(VALUE(RIGHT(AB20,4)),VALUE(MID(AB20,4,2)),VALUE(LEFT(AB20,2))))-DATE(2026,8,22))/7,1))</f>
        <v/>
      </c>
      <c r="AA20" s="28" t="n"/>
      <c r="AB20" s="28" t="n"/>
      <c r="AC20" s="15">
        <f>U20+X20+AA20</f>
        <v/>
      </c>
      <c r="AD20" s="19">
        <f>S20-AC20</f>
        <v/>
      </c>
      <c r="AE20" s="20">
        <f>IF(AD20="","",IF(AD20&lt;=5,"SETTLED","OUTSTANDING"))</f>
        <v/>
      </c>
      <c r="AF20" s="20" t="inlineStr">
        <is>
          <t>DR2640100017</t>
        </is>
      </c>
      <c r="AG20" s="21" t="n">
        <v>1800003065</v>
      </c>
      <c r="AH20" s="22" t="inlineStr">
        <is>
          <t>12.08.2026</t>
        </is>
      </c>
      <c r="AL20" s="137">
        <f>IF($A$2="",1,IF($A$2="(blank)",--(A20=""),IF($A$2="(nonblank)",--(A20&lt;&gt;""),--ISNUMBER(SEARCH($A$2,A20)))))</f>
      </c>
      <c r="AM20" s="137">
        <f>IF($B$2="",1,IF($B$2="(blank)",--(B20=""),IF($B$2="(nonblank)",--(B20&lt;&gt;""),--ISNUMBER(SEARCH($B$2,B20)))))</f>
      </c>
      <c r="AN20" s="137">
        <f>IF($C$2="",1,IF($C$2="(blank)",--(C20=""),IF($C$2="(nonblank)",--(C20&lt;&gt;""),--ISNUMBER(SEARCH($C$2,C20)))))</f>
      </c>
      <c r="AO20" s="137">
        <f>IF($D$2="",1,IF($D$2="(blank)",--(D20=""),IF($D$2="(nonblank)",--(D20&lt;&gt;""),--ISNUMBER(SEARCH($D$2,D20)))))</f>
      </c>
      <c r="AP20" s="137">
        <f>IF($E$2="",1,IF($E$2="(blank)",--(E20=""),IF($E$2="(nonblank)",--(E20&lt;&gt;""),--ISNUMBER(SEARCH($E$2,E20)))))</f>
      </c>
      <c r="AQ20" s="137">
        <f>IF($F$2="",1,IF($F$2="(blank)",--(F20=""),IF($F$2="(nonblank)",--(F20&lt;&gt;""),--ISNUMBER(SEARCH($F$2,F20)))))</f>
      </c>
      <c r="AR20" s="137">
        <f>IF($G$2="",1,IF($G$2="(blank)",--(G20=""),IF($G$2="(nonblank)",--(G20&lt;&gt;""),--ISNUMBER(SEARCH($G$2,G20)))))</f>
      </c>
      <c r="AS20" s="137">
        <f>IF($H$2="",1,IF($H$2="(blank)",--(H20=""),IF($H$2="(nonblank)",--(H20&lt;&gt;""),--ISNUMBER(SEARCH($H$2,H20)))))</f>
      </c>
      <c r="AT20" s="137">
        <f>IF($I$2="",1,IF($I$2="(blank)",--(I20=""),IF($I$2="(nonblank)",--(I20&lt;&gt;""),--ISNUMBER(SEARCH($I$2,I20)))))</f>
      </c>
      <c r="AU20" s="137">
        <f>IF($J$2="",1,IF($J$2="(blank)",--(J20=""),IF($J$2="(nonblank)",--(J20&lt;&gt;""),--ISNUMBER(SEARCH($J$2,J20)))))</f>
      </c>
      <c r="AV20" s="137">
        <f>IF($K$2="",1,IF($K$2="(blank)",--(K20=""),IF($K$2="(nonblank)",--(K20&lt;&gt;""),--ISNUMBER(SEARCH($K$2,K20)))))</f>
      </c>
      <c r="AW20" s="137">
        <f>IF($L$2="",1,IF($L$2="(blank)",--(L20=""),IF($L$2="(nonblank)",--(L20&lt;&gt;""),--ISNUMBER(SEARCH($L$2,L20)))))</f>
      </c>
      <c r="AX20" s="137">
        <f>IF($M$2="",1,IF($M$2="(blank)",--(M20=""),IF($M$2="(nonblank)",--(M20&lt;&gt;""),--ISNUMBER(SEARCH($M$2,M20)))))</f>
      </c>
      <c r="AY20" s="137">
        <f>IF($N$2="",1,IF($N$2="(blank)",--(N20=""),IF($N$2="(nonblank)",--(N20&lt;&gt;""),--ISNUMBER(SEARCH($N$2,N20)))))</f>
      </c>
      <c r="AZ20" s="137">
        <f>IF($O$2="",1,IF($O$2="(blank)",--(O20=""),IF($O$2="(nonblank)",--(O20&lt;&gt;""),--ISNUMBER(SEARCH($O$2,O20)))))</f>
      </c>
      <c r="BA20" s="137">
        <f>IF($P$2="",1,IF($P$2="(blank)",--(P20=""),IF($P$2="(nonblank)",--(P20&lt;&gt;""),--ISNUMBER(SEARCH($P$2,P20)))))</f>
      </c>
      <c r="BB20" s="137">
        <f>IF($Q$2="",1,IF($Q$2="(blank)",--(Q20=""),IF($Q$2="(nonblank)",--(Q20&lt;&gt;""),--ISNUMBER(SEARCH($Q$2,Q20)))))</f>
      </c>
      <c r="BC20" s="137">
        <f>IF($R$2="",1,IF($R$2="(blank)",--(R20=""),IF($R$2="(nonblank)",--(R20&lt;&gt;""),--ISNUMBER(SEARCH($R$2,R20)))))</f>
      </c>
      <c r="BD20" s="137">
        <f>IF($S$2="",1,IF($S$2="(blank)",--(S20=""),IF($S$2="(nonblank)",--(S20&lt;&gt;""),--ISNUMBER(SEARCH($S$2,S20)))))</f>
      </c>
      <c r="BE20" s="137">
        <f>IF($T$2="",1,IF($T$2="(blank)",--(T20=""),IF($T$2="(nonblank)",--(T20&lt;&gt;""),--ISNUMBER(SEARCH($T$2,T20)))))</f>
      </c>
      <c r="BF20" s="137">
        <f>IF($U$2="",1,IF($U$2="(blank)",--(U20=""),IF($U$2="(nonblank)",--(U20&lt;&gt;""),--ISNUMBER(SEARCH($U$2,U20)))))</f>
      </c>
      <c r="BG20" s="137">
        <f>IF($V$2="",1,IF($V$2="(blank)",--(V20=""),IF($V$2="(nonblank)",--(V20&lt;&gt;""),--ISNUMBER(SEARCH($V$2,V20)))))</f>
      </c>
      <c r="BH20" s="137">
        <f>IF($W$2="",1,IF($W$2="(blank)",--(W20=""),IF($W$2="(nonblank)",--(W20&lt;&gt;""),--ISNUMBER(SEARCH($W$2,W20)))))</f>
      </c>
      <c r="BI20" s="137">
        <f>IF($X$2="",1,IF($X$2="(blank)",--(X20=""),IF($X$2="(nonblank)",--(X20&lt;&gt;""),--ISNUMBER(SEARCH($X$2,X20)))))</f>
      </c>
      <c r="BJ20" s="137">
        <f>IF($Y$2="",1,IF($Y$2="(blank)",--(Y20=""),IF($Y$2="(nonblank)",--(Y20&lt;&gt;""),--ISNUMBER(SEARCH($Y$2,Y20)))))</f>
      </c>
      <c r="BK20" s="137">
        <f>IF($Z$2="",1,IF($Z$2="(blank)",--(Z20=""),IF($Z$2="(nonblank)",--(Z20&lt;&gt;""),--ISNUMBER(SEARCH($Z$2,Z20)))))</f>
      </c>
      <c r="BL20" s="137">
        <f>IF($AA$2="",1,IF($AA$2="(blank)",--(AA20=""),IF($AA$2="(nonblank)",--(AA20&lt;&gt;""),--ISNUMBER(SEARCH($AA$2,AA20)))))</f>
      </c>
      <c r="BM20" s="137">
        <f>IF($AB$2="",1,IF($AB$2="(blank)",--(AB20=""),IF($AB$2="(nonblank)",--(AB20&lt;&gt;""),--ISNUMBER(SEARCH($AB$2,AB20)))))</f>
      </c>
      <c r="BN20" s="137">
        <f>IF($AC$2="",1,IF($AC$2="(blank)",--(AC20=""),IF($AC$2="(nonblank)",--(AC20&lt;&gt;""),--ISNUMBER(SEARCH($AC$2,AC20)))))</f>
      </c>
      <c r="BO20" s="137">
        <f>IF($AD$2="",1,IF($AD$2="(blank)",--(AD20=""),IF($AD$2="(nonblank)",--(AD20&lt;&gt;""),--ISNUMBER(SEARCH($AD$2,AD20)))))</f>
      </c>
      <c r="BP20" s="137">
        <f>IF($AE$2="",1,IF($AE$2="(blank)",--(AE20=""),IF($AE$2="(nonblank)",--(AE20&lt;&gt;""),--ISNUMBER(SEARCH($AE$2,AE20)))))</f>
      </c>
      <c r="BQ20" s="137">
        <f>IF($AF$2="",1,IF($AF$2="(blank)",--(AF20=""),IF($AF$2="(nonblank)",--(AF20&lt;&gt;""),--ISNUMBER(SEARCH($AF$2,AF20)))))</f>
      </c>
      <c r="BR20" s="137">
        <f>IF($AG$2="",1,IF($AG$2="(blank)",--(AG20=""),IF($AG$2="(nonblank)",--(AG20&lt;&gt;""),--ISNUMBER(SEARCH($AG$2,AG20)))))</f>
      </c>
      <c r="BS20" s="137">
        <f>IF($AH$2="",1,IF($AH$2="(blank)",--(AH20=""),IF($AH$2="(nonblank)",--(AH20&lt;&gt;""),--ISNUMBER(SEARCH($AH$2,AH20)))))</f>
      </c>
      <c r="BT20" s="137">
        <f>IF(COUNTIF($AL20:$BS20,0)&gt;0,0,1)</f>
      </c>
    </row>
    <row r="21" ht="39" customHeight="1" s="137">
      <c r="A21" s="148" t="n">
        <v>3</v>
      </c>
      <c r="B21" s="149" t="inlineStr">
        <is>
          <t>Scrap of 132 KV CT</t>
        </is>
      </c>
      <c r="C21" s="150" t="n">
        <v>110200</v>
      </c>
      <c r="D21" s="151" t="n">
        <v>21978</v>
      </c>
      <c r="E21" s="151" t="inlineStr">
        <is>
          <t>NO</t>
        </is>
      </c>
      <c r="F21" s="151" t="n">
        <v>2022</v>
      </c>
      <c r="G21" s="149" t="inlineStr">
        <is>
          <t>NATIONAL SCRAP AND BUILDING MATERIAL SUPPLIER</t>
        </is>
      </c>
      <c r="H21" s="152" t="n">
        <v>330600</v>
      </c>
      <c r="I21" s="152">
        <f>ROUND(H21*18%,0)</f>
        <v/>
      </c>
      <c r="J21" s="152">
        <f>+H21+I21</f>
        <v/>
      </c>
      <c r="K21" s="152">
        <f>ROUND((H21+I21)*2%,0)</f>
        <v/>
      </c>
      <c r="L21" s="153">
        <f>H21*0.1%</f>
        <v/>
      </c>
      <c r="M21" s="153">
        <f>H21*2.25%*118%</f>
        <v/>
      </c>
      <c r="N21" s="154">
        <f>H21*2.25%*2%</f>
        <v/>
      </c>
      <c r="O21" s="153">
        <f>M21-N21</f>
        <v/>
      </c>
      <c r="P21" s="153">
        <f>ROUND(O21+L21,0)</f>
        <v/>
      </c>
      <c r="Q21" s="155" t="n">
        <v>0</v>
      </c>
      <c r="R21" s="153">
        <f>ROUND(H21*Q21,0)</f>
        <v/>
      </c>
      <c r="S21" s="152">
        <f>ROUND(H21*117.65%-R21,0)</f>
        <v/>
      </c>
      <c r="T21" s="153">
        <f>ROUND(H21*25%,0)</f>
        <v/>
      </c>
      <c r="U21" s="156">
        <f>+T21</f>
        <v/>
      </c>
      <c r="V21" s="153" t="inlineStr">
        <is>
          <t>14.08.2026</t>
        </is>
      </c>
      <c r="W21" s="153">
        <f>ROUND(H21*92.65%-R21,0)</f>
        <v/>
      </c>
      <c r="X21" s="153" t="n">
        <v>306301</v>
      </c>
      <c r="Y21" s="153" t="inlineStr">
        <is>
          <t>21.08.2026</t>
        </is>
      </c>
      <c r="Z21" s="153">
        <f>IF(IF(OR(AB21="",AB21=0),TODAY(),DATE(VALUE(RIGHT(AB21,4)),VALUE(MID(AB21,4,2)),VALUE(LEFT(AB21,2))))&lt;=DATE(2026,8,24),0,H21*0.0118*CEILING((IF(OR(AB21="",AB21=0),TODAY(),DATE(VALUE(RIGHT(AB21,4)),VALUE(MID(AB21,4,2)),VALUE(LEFT(AB21,2))))-DATE(2026,8,22))/7,1))</f>
        <v/>
      </c>
      <c r="AA21" s="153" t="n"/>
      <c r="AB21" s="153" t="n"/>
      <c r="AC21" s="157">
        <f>U21+X21+AA21</f>
        <v/>
      </c>
      <c r="AD21" s="157">
        <f>S21-AC21</f>
        <v/>
      </c>
      <c r="AE21" s="153">
        <f>IF(AD21="","",IF(AD21&lt;=5,"SETTLED","OUTSTANDING"))</f>
        <v/>
      </c>
      <c r="AF21" s="153" t="inlineStr">
        <is>
          <t>DR2640100028</t>
        </is>
      </c>
      <c r="AG21" s="158" t="n">
        <v>1800003269</v>
      </c>
      <c r="AH21" s="159" t="inlineStr">
        <is>
          <t>24.08.2026</t>
        </is>
      </c>
      <c r="AL21" s="137">
        <f>IF($A$2="",1,IF($A$2="(blank)",--(A21=""),IF($A$2="(nonblank)",--(A21&lt;&gt;""),--ISNUMBER(SEARCH($A$2,A21)))))</f>
      </c>
      <c r="AM21" s="137">
        <f>IF($B$2="",1,IF($B$2="(blank)",--(B21=""),IF($B$2="(nonblank)",--(B21&lt;&gt;""),--ISNUMBER(SEARCH($B$2,B21)))))</f>
      </c>
      <c r="AN21" s="137">
        <f>IF($C$2="",1,IF($C$2="(blank)",--(C21=""),IF($C$2="(nonblank)",--(C21&lt;&gt;""),--ISNUMBER(SEARCH($C$2,C21)))))</f>
      </c>
      <c r="AO21" s="137">
        <f>IF($D$2="",1,IF($D$2="(blank)",--(D21=""),IF($D$2="(nonblank)",--(D21&lt;&gt;""),--ISNUMBER(SEARCH($D$2,D21)))))</f>
      </c>
      <c r="AP21" s="137">
        <f>IF($E$2="",1,IF($E$2="(blank)",--(E21=""),IF($E$2="(nonblank)",--(E21&lt;&gt;""),--ISNUMBER(SEARCH($E$2,E21)))))</f>
      </c>
      <c r="AQ21" s="137">
        <f>IF($F$2="",1,IF($F$2="(blank)",--(F21=""),IF($F$2="(nonblank)",--(F21&lt;&gt;""),--ISNUMBER(SEARCH($F$2,F21)))))</f>
      </c>
      <c r="AR21" s="137">
        <f>IF($G$2="",1,IF($G$2="(blank)",--(G21=""),IF($G$2="(nonblank)",--(G21&lt;&gt;""),--ISNUMBER(SEARCH($G$2,G21)))))</f>
      </c>
      <c r="AS21" s="137">
        <f>IF($H$2="",1,IF($H$2="(blank)",--(H21=""),IF($H$2="(nonblank)",--(H21&lt;&gt;""),--ISNUMBER(SEARCH($H$2,H21)))))</f>
      </c>
      <c r="AT21" s="137">
        <f>IF($I$2="",1,IF($I$2="(blank)",--(I21=""),IF($I$2="(nonblank)",--(I21&lt;&gt;""),--ISNUMBER(SEARCH($I$2,I21)))))</f>
      </c>
      <c r="AU21" s="137">
        <f>IF($J$2="",1,IF($J$2="(blank)",--(J21=""),IF($J$2="(nonblank)",--(J21&lt;&gt;""),--ISNUMBER(SEARCH($J$2,J21)))))</f>
      </c>
      <c r="AV21" s="137">
        <f>IF($K$2="",1,IF($K$2="(blank)",--(K21=""),IF($K$2="(nonblank)",--(K21&lt;&gt;""),--ISNUMBER(SEARCH($K$2,K21)))))</f>
      </c>
      <c r="AW21" s="137">
        <f>IF($L$2="",1,IF($L$2="(blank)",--(L21=""),IF($L$2="(nonblank)",--(L21&lt;&gt;""),--ISNUMBER(SEARCH($L$2,L21)))))</f>
      </c>
      <c r="AX21" s="137">
        <f>IF($M$2="",1,IF($M$2="(blank)",--(M21=""),IF($M$2="(nonblank)",--(M21&lt;&gt;""),--ISNUMBER(SEARCH($M$2,M21)))))</f>
      </c>
      <c r="AY21" s="137">
        <f>IF($N$2="",1,IF($N$2="(blank)",--(N21=""),IF($N$2="(nonblank)",--(N21&lt;&gt;""),--ISNUMBER(SEARCH($N$2,N21)))))</f>
      </c>
      <c r="AZ21" s="137">
        <f>IF($O$2="",1,IF($O$2="(blank)",--(O21=""),IF($O$2="(nonblank)",--(O21&lt;&gt;""),--ISNUMBER(SEARCH($O$2,O21)))))</f>
      </c>
      <c r="BA21" s="137">
        <f>IF($P$2="",1,IF($P$2="(blank)",--(P21=""),IF($P$2="(nonblank)",--(P21&lt;&gt;""),--ISNUMBER(SEARCH($P$2,P21)))))</f>
      </c>
      <c r="BB21" s="137">
        <f>IF($Q$2="",1,IF($Q$2="(blank)",--(Q21=""),IF($Q$2="(nonblank)",--(Q21&lt;&gt;""),--ISNUMBER(SEARCH($Q$2,Q21)))))</f>
      </c>
      <c r="BC21" s="137">
        <f>IF($R$2="",1,IF($R$2="(blank)",--(R21=""),IF($R$2="(nonblank)",--(R21&lt;&gt;""),--ISNUMBER(SEARCH($R$2,R21)))))</f>
      </c>
      <c r="BD21" s="137">
        <f>IF($S$2="",1,IF($S$2="(blank)",--(S21=""),IF($S$2="(nonblank)",--(S21&lt;&gt;""),--ISNUMBER(SEARCH($S$2,S21)))))</f>
      </c>
      <c r="BE21" s="137">
        <f>IF($T$2="",1,IF($T$2="(blank)",--(T21=""),IF($T$2="(nonblank)",--(T21&lt;&gt;""),--ISNUMBER(SEARCH($T$2,T21)))))</f>
      </c>
      <c r="BF21" s="137">
        <f>IF($U$2="",1,IF($U$2="(blank)",--(U21=""),IF($U$2="(nonblank)",--(U21&lt;&gt;""),--ISNUMBER(SEARCH($U$2,U21)))))</f>
      </c>
      <c r="BG21" s="137">
        <f>IF($V$2="",1,IF($V$2="(blank)",--(V21=""),IF($V$2="(nonblank)",--(V21&lt;&gt;""),--ISNUMBER(SEARCH($V$2,V21)))))</f>
      </c>
      <c r="BH21" s="137">
        <f>IF($W$2="",1,IF($W$2="(blank)",--(W21=""),IF($W$2="(nonblank)",--(W21&lt;&gt;""),--ISNUMBER(SEARCH($W$2,W21)))))</f>
      </c>
      <c r="BI21" s="137">
        <f>IF($X$2="",1,IF($X$2="(blank)",--(X21=""),IF($X$2="(nonblank)",--(X21&lt;&gt;""),--ISNUMBER(SEARCH($X$2,X21)))))</f>
      </c>
      <c r="BJ21" s="137">
        <f>IF($Y$2="",1,IF($Y$2="(blank)",--(Y21=""),IF($Y$2="(nonblank)",--(Y21&lt;&gt;""),--ISNUMBER(SEARCH($Y$2,Y21)))))</f>
      </c>
      <c r="BK21" s="137">
        <f>IF($Z$2="",1,IF($Z$2="(blank)",--(Z21=""),IF($Z$2="(nonblank)",--(Z21&lt;&gt;""),--ISNUMBER(SEARCH($Z$2,Z21)))))</f>
      </c>
      <c r="BL21" s="137">
        <f>IF($AA$2="",1,IF($AA$2="(blank)",--(AA21=""),IF($AA$2="(nonblank)",--(AA21&lt;&gt;""),--ISNUMBER(SEARCH($AA$2,AA21)))))</f>
      </c>
      <c r="BM21" s="137">
        <f>IF($AB$2="",1,IF($AB$2="(blank)",--(AB21=""),IF($AB$2="(nonblank)",--(AB21&lt;&gt;""),--ISNUMBER(SEARCH($AB$2,AB21)))))</f>
      </c>
      <c r="BN21" s="137">
        <f>IF($AC$2="",1,IF($AC$2="(blank)",--(AC21=""),IF($AC$2="(nonblank)",--(AC21&lt;&gt;""),--ISNUMBER(SEARCH($AC$2,AC21)))))</f>
      </c>
      <c r="BO21" s="137">
        <f>IF($AD$2="",1,IF($AD$2="(blank)",--(AD21=""),IF($AD$2="(nonblank)",--(AD21&lt;&gt;""),--ISNUMBER(SEARCH($AD$2,AD21)))))</f>
      </c>
      <c r="BP21" s="137">
        <f>IF($AE$2="",1,IF($AE$2="(blank)",--(AE21=""),IF($AE$2="(nonblank)",--(AE21&lt;&gt;""),--ISNUMBER(SEARCH($AE$2,AE21)))))</f>
      </c>
      <c r="BQ21" s="137">
        <f>IF($AF$2="",1,IF($AF$2="(blank)",--(AF21=""),IF($AF$2="(nonblank)",--(AF21&lt;&gt;""),--ISNUMBER(SEARCH($AF$2,AF21)))))</f>
      </c>
      <c r="BR21" s="137">
        <f>IF($AG$2="",1,IF($AG$2="(blank)",--(AG21=""),IF($AG$2="(nonblank)",--(AG21&lt;&gt;""),--ISNUMBER(SEARCH($AG$2,AG21)))))</f>
      </c>
      <c r="BS21" s="137">
        <f>IF($AH$2="",1,IF($AH$2="(blank)",--(AH21=""),IF($AH$2="(nonblank)",--(AH21&lt;&gt;""),--ISNUMBER(SEARCH($AH$2,AH21)))))</f>
      </c>
      <c r="BT21" s="137">
        <f>IF(COUNTIF($AL21:$BS21,0)&gt;0,0,1)</f>
      </c>
    </row>
    <row r="22" ht="14.25" customHeight="1" s="137">
      <c r="A22" s="23" t="n">
        <v>3</v>
      </c>
      <c r="B22" s="24" t="inlineStr">
        <is>
          <t>Scrap of 132 KV CT</t>
        </is>
      </c>
      <c r="C22" s="25" t="n">
        <v>83743</v>
      </c>
      <c r="D22" s="26" t="n">
        <v>21978</v>
      </c>
      <c r="E22" s="26" t="inlineStr">
        <is>
          <t>NO</t>
        </is>
      </c>
      <c r="F22" s="26" t="n">
        <v>2023</v>
      </c>
      <c r="G22" s="24" t="inlineStr">
        <is>
          <t>NATIONAL ENTERPRISES</t>
        </is>
      </c>
      <c r="H22" s="27" t="n">
        <v>251229</v>
      </c>
      <c r="I22" s="27">
        <f>ROUND(H22*18%,0)</f>
        <v/>
      </c>
      <c r="J22" s="27">
        <f>+H22+I22</f>
        <v/>
      </c>
      <c r="K22" s="27">
        <f>ROUND((H22+I22)*2%,0)</f>
        <v/>
      </c>
      <c r="L22" s="28">
        <f>H22*0.1%</f>
        <v/>
      </c>
      <c r="M22" s="28">
        <f>H22*2.25%*118%</f>
        <v/>
      </c>
      <c r="N22" s="29">
        <f>H22*2.25%*2%</f>
        <v/>
      </c>
      <c r="O22" s="28">
        <f>M22-N22</f>
        <v/>
      </c>
      <c r="P22" s="28">
        <f>ROUND(O22+L22,0)</f>
        <v/>
      </c>
      <c r="Q22" s="30" t="n">
        <v>0</v>
      </c>
      <c r="R22" s="28">
        <f>ROUND(H22*Q22,0)</f>
        <v/>
      </c>
      <c r="S22" s="27">
        <f>ROUND(H22*117.65%-R22,0)</f>
        <v/>
      </c>
      <c r="T22" s="28">
        <f>ROUND(H22*25%,0)</f>
        <v/>
      </c>
      <c r="U22" s="31">
        <f>+T22</f>
        <v/>
      </c>
      <c r="V22" s="28" t="inlineStr">
        <is>
          <t>13.08.2026</t>
        </is>
      </c>
      <c r="W22" s="28">
        <f>ROUND(H22*92.65%-R22,0)</f>
        <v/>
      </c>
      <c r="X22" s="28" t="n">
        <v>232764</v>
      </c>
      <c r="Y22" s="28" t="inlineStr">
        <is>
          <t>24.08.2026</t>
        </is>
      </c>
      <c r="Z22" s="28">
        <f>IF(IF(OR(AB22="",AB22=0),TODAY(),DATE(VALUE(RIGHT(AB22,4)),VALUE(MID(AB22,4,2)),VALUE(LEFT(AB22,2))))&lt;=DATE(2026,8,24),0,H22*0.0118*CEILING((IF(OR(AB22="",AB22=0),TODAY(),DATE(VALUE(RIGHT(AB22,4)),VALUE(MID(AB22,4,2)),VALUE(LEFT(AB22,2))))-DATE(2026,8,22))/7,1))</f>
        <v/>
      </c>
      <c r="AA22" s="28" t="n"/>
      <c r="AB22" s="28" t="n"/>
      <c r="AC22" s="15">
        <f>U22+X22+AA22</f>
        <v/>
      </c>
      <c r="AD22" s="19">
        <f>S22-AC22</f>
        <v/>
      </c>
      <c r="AE22" s="20">
        <f>IF(AD22="","",IF(AD22&lt;=5,"SETTLED","OUTSTANDING"))</f>
        <v/>
      </c>
      <c r="AF22" s="20" t="inlineStr">
        <is>
          <t>DR2640100044</t>
        </is>
      </c>
      <c r="AG22" s="21" t="n">
        <v>1800003308</v>
      </c>
      <c r="AH22" s="22" t="inlineStr">
        <is>
          <t>27.08.2026</t>
        </is>
      </c>
      <c r="AL22" s="137">
        <f>IF($A$2="",1,IF($A$2="(blank)",--(A22=""),IF($A$2="(nonblank)",--(A22&lt;&gt;""),--ISNUMBER(SEARCH($A$2,A22)))))</f>
      </c>
      <c r="AM22" s="137">
        <f>IF($B$2="",1,IF($B$2="(blank)",--(B22=""),IF($B$2="(nonblank)",--(B22&lt;&gt;""),--ISNUMBER(SEARCH($B$2,B22)))))</f>
      </c>
      <c r="AN22" s="137">
        <f>IF($C$2="",1,IF($C$2="(blank)",--(C22=""),IF($C$2="(nonblank)",--(C22&lt;&gt;""),--ISNUMBER(SEARCH($C$2,C22)))))</f>
      </c>
      <c r="AO22" s="137">
        <f>IF($D$2="",1,IF($D$2="(blank)",--(D22=""),IF($D$2="(nonblank)",--(D22&lt;&gt;""),--ISNUMBER(SEARCH($D$2,D22)))))</f>
      </c>
      <c r="AP22" s="137">
        <f>IF($E$2="",1,IF($E$2="(blank)",--(E22=""),IF($E$2="(nonblank)",--(E22&lt;&gt;""),--ISNUMBER(SEARCH($E$2,E22)))))</f>
      </c>
      <c r="AQ22" s="137">
        <f>IF($F$2="",1,IF($F$2="(blank)",--(F22=""),IF($F$2="(nonblank)",--(F22&lt;&gt;""),--ISNUMBER(SEARCH($F$2,F22)))))</f>
      </c>
      <c r="AR22" s="137">
        <f>IF($G$2="",1,IF($G$2="(blank)",--(G22=""),IF($G$2="(nonblank)",--(G22&lt;&gt;""),--ISNUMBER(SEARCH($G$2,G22)))))</f>
      </c>
      <c r="AS22" s="137">
        <f>IF($H$2="",1,IF($H$2="(blank)",--(H22=""),IF($H$2="(nonblank)",--(H22&lt;&gt;""),--ISNUMBER(SEARCH($H$2,H22)))))</f>
      </c>
      <c r="AT22" s="137">
        <f>IF($I$2="",1,IF($I$2="(blank)",--(I22=""),IF($I$2="(nonblank)",--(I22&lt;&gt;""),--ISNUMBER(SEARCH($I$2,I22)))))</f>
      </c>
      <c r="AU22" s="137">
        <f>IF($J$2="",1,IF($J$2="(blank)",--(J22=""),IF($J$2="(nonblank)",--(J22&lt;&gt;""),--ISNUMBER(SEARCH($J$2,J22)))))</f>
      </c>
      <c r="AV22" s="137">
        <f>IF($K$2="",1,IF($K$2="(blank)",--(K22=""),IF($K$2="(nonblank)",--(K22&lt;&gt;""),--ISNUMBER(SEARCH($K$2,K22)))))</f>
      </c>
      <c r="AW22" s="137">
        <f>IF($L$2="",1,IF($L$2="(blank)",--(L22=""),IF($L$2="(nonblank)",--(L22&lt;&gt;""),--ISNUMBER(SEARCH($L$2,L22)))))</f>
      </c>
      <c r="AX22" s="137">
        <f>IF($M$2="",1,IF($M$2="(blank)",--(M22=""),IF($M$2="(nonblank)",--(M22&lt;&gt;""),--ISNUMBER(SEARCH($M$2,M22)))))</f>
      </c>
      <c r="AY22" s="137">
        <f>IF($N$2="",1,IF($N$2="(blank)",--(N22=""),IF($N$2="(nonblank)",--(N22&lt;&gt;""),--ISNUMBER(SEARCH($N$2,N22)))))</f>
      </c>
      <c r="AZ22" s="137">
        <f>IF($O$2="",1,IF($O$2="(blank)",--(O22=""),IF($O$2="(nonblank)",--(O22&lt;&gt;""),--ISNUMBER(SEARCH($O$2,O22)))))</f>
      </c>
      <c r="BA22" s="137">
        <f>IF($P$2="",1,IF($P$2="(blank)",--(P22=""),IF($P$2="(nonblank)",--(P22&lt;&gt;""),--ISNUMBER(SEARCH($P$2,P22)))))</f>
      </c>
      <c r="BB22" s="137">
        <f>IF($Q$2="",1,IF($Q$2="(blank)",--(Q22=""),IF($Q$2="(nonblank)",--(Q22&lt;&gt;""),--ISNUMBER(SEARCH($Q$2,Q22)))))</f>
      </c>
      <c r="BC22" s="137">
        <f>IF($R$2="",1,IF($R$2="(blank)",--(R22=""),IF($R$2="(nonblank)",--(R22&lt;&gt;""),--ISNUMBER(SEARCH($R$2,R22)))))</f>
      </c>
      <c r="BD22" s="137">
        <f>IF($S$2="",1,IF($S$2="(blank)",--(S22=""),IF($S$2="(nonblank)",--(S22&lt;&gt;""),--ISNUMBER(SEARCH($S$2,S22)))))</f>
      </c>
      <c r="BE22" s="137">
        <f>IF($T$2="",1,IF($T$2="(blank)",--(T22=""),IF($T$2="(nonblank)",--(T22&lt;&gt;""),--ISNUMBER(SEARCH($T$2,T22)))))</f>
      </c>
      <c r="BF22" s="137">
        <f>IF($U$2="",1,IF($U$2="(blank)",--(U22=""),IF($U$2="(nonblank)",--(U22&lt;&gt;""),--ISNUMBER(SEARCH($U$2,U22)))))</f>
      </c>
      <c r="BG22" s="137">
        <f>IF($V$2="",1,IF($V$2="(blank)",--(V22=""),IF($V$2="(nonblank)",--(V22&lt;&gt;""),--ISNUMBER(SEARCH($V$2,V22)))))</f>
      </c>
      <c r="BH22" s="137">
        <f>IF($W$2="",1,IF($W$2="(blank)",--(W22=""),IF($W$2="(nonblank)",--(W22&lt;&gt;""),--ISNUMBER(SEARCH($W$2,W22)))))</f>
      </c>
      <c r="BI22" s="137">
        <f>IF($X$2="",1,IF($X$2="(blank)",--(X22=""),IF($X$2="(nonblank)",--(X22&lt;&gt;""),--ISNUMBER(SEARCH($X$2,X22)))))</f>
      </c>
      <c r="BJ22" s="137">
        <f>IF($Y$2="",1,IF($Y$2="(blank)",--(Y22=""),IF($Y$2="(nonblank)",--(Y22&lt;&gt;""),--ISNUMBER(SEARCH($Y$2,Y22)))))</f>
      </c>
      <c r="BK22" s="137">
        <f>IF($Z$2="",1,IF($Z$2="(blank)",--(Z22=""),IF($Z$2="(nonblank)",--(Z22&lt;&gt;""),--ISNUMBER(SEARCH($Z$2,Z22)))))</f>
      </c>
      <c r="BL22" s="137">
        <f>IF($AA$2="",1,IF($AA$2="(blank)",--(AA22=""),IF($AA$2="(nonblank)",--(AA22&lt;&gt;""),--ISNUMBER(SEARCH($AA$2,AA22)))))</f>
      </c>
      <c r="BM22" s="137">
        <f>IF($AB$2="",1,IF($AB$2="(blank)",--(AB22=""),IF($AB$2="(nonblank)",--(AB22&lt;&gt;""),--ISNUMBER(SEARCH($AB$2,AB22)))))</f>
      </c>
      <c r="BN22" s="137">
        <f>IF($AC$2="",1,IF($AC$2="(blank)",--(AC22=""),IF($AC$2="(nonblank)",--(AC22&lt;&gt;""),--ISNUMBER(SEARCH($AC$2,AC22)))))</f>
      </c>
      <c r="BO22" s="137">
        <f>IF($AD$2="",1,IF($AD$2="(blank)",--(AD22=""),IF($AD$2="(nonblank)",--(AD22&lt;&gt;""),--ISNUMBER(SEARCH($AD$2,AD22)))))</f>
      </c>
      <c r="BP22" s="137">
        <f>IF($AE$2="",1,IF($AE$2="(blank)",--(AE22=""),IF($AE$2="(nonblank)",--(AE22&lt;&gt;""),--ISNUMBER(SEARCH($AE$2,AE22)))))</f>
      </c>
      <c r="BQ22" s="137">
        <f>IF($AF$2="",1,IF($AF$2="(blank)",--(AF22=""),IF($AF$2="(nonblank)",--(AF22&lt;&gt;""),--ISNUMBER(SEARCH($AF$2,AF22)))))</f>
      </c>
      <c r="BR22" s="137">
        <f>IF($AG$2="",1,IF($AG$2="(blank)",--(AG22=""),IF($AG$2="(nonblank)",--(AG22&lt;&gt;""),--ISNUMBER(SEARCH($AG$2,AG22)))))</f>
      </c>
      <c r="BS22" s="137">
        <f>IF($AH$2="",1,IF($AH$2="(blank)",--(AH22=""),IF($AH$2="(nonblank)",--(AH22&lt;&gt;""),--ISNUMBER(SEARCH($AH$2,AH22)))))</f>
      </c>
      <c r="BT22" s="137">
        <f>IF(COUNTIF($AL22:$BS22,0)&gt;0,0,1)</f>
      </c>
    </row>
    <row r="23" ht="14.25" customHeight="1" s="137">
      <c r="A23" s="148" t="n">
        <v>90</v>
      </c>
      <c r="B23" s="149" t="inlineStr">
        <is>
          <t>Scrap of empty oil Barrels</t>
        </is>
      </c>
      <c r="C23" s="150" t="n">
        <v>700</v>
      </c>
      <c r="D23" s="151" t="n">
        <v>21978</v>
      </c>
      <c r="E23" s="151" t="inlineStr">
        <is>
          <t>NO</t>
        </is>
      </c>
      <c r="F23" s="151" t="n">
        <v>2025</v>
      </c>
      <c r="G23" s="149" t="inlineStr">
        <is>
          <t>STERLING ENTERPRISES</t>
        </is>
      </c>
      <c r="H23" s="152" t="n">
        <v>63000</v>
      </c>
      <c r="I23" s="152">
        <f>ROUND(H23*18%,0)</f>
        <v/>
      </c>
      <c r="J23" s="152">
        <f>+H23+I23</f>
        <v/>
      </c>
      <c r="K23" s="152">
        <f>ROUND((H23+I23)*2%,0)</f>
        <v/>
      </c>
      <c r="L23" s="153">
        <f>H23*0.1%</f>
        <v/>
      </c>
      <c r="M23" s="153">
        <f>H23*2.25%*118%</f>
        <v/>
      </c>
      <c r="N23" s="154">
        <f>H23*2.25%*2%</f>
        <v/>
      </c>
      <c r="O23" s="153">
        <f>M23-N23</f>
        <v/>
      </c>
      <c r="P23" s="153">
        <f>ROUND(O23+L23,0)</f>
        <v/>
      </c>
      <c r="Q23" s="155" t="n">
        <v>0</v>
      </c>
      <c r="R23" s="153">
        <f>ROUND(H23*Q23,0)</f>
        <v/>
      </c>
      <c r="S23" s="152">
        <f>ROUND(H23*117.65%-R23,0)</f>
        <v/>
      </c>
      <c r="T23" s="153">
        <f>ROUND(H23*25%,0)</f>
        <v/>
      </c>
      <c r="U23" s="156" t="n">
        <v>15750</v>
      </c>
      <c r="V23" s="153" t="inlineStr">
        <is>
          <t>11.08.2026</t>
        </is>
      </c>
      <c r="W23" s="153">
        <f>ROUND(H23*92.65%-R23,0)</f>
        <v/>
      </c>
      <c r="X23" s="153" t="n">
        <v>58418</v>
      </c>
      <c r="Y23" s="153" t="inlineStr">
        <is>
          <t>11.08.2026</t>
        </is>
      </c>
      <c r="Z23" s="153">
        <f>IF(IF(OR(AB23="",AB23=0),TODAY(),DATE(VALUE(RIGHT(AB23,4)),VALUE(MID(AB23,4,2)),VALUE(LEFT(AB23,2))))&lt;=DATE(2026,8,24),0,H23*0.0118*CEILING((IF(OR(AB23="",AB23=0),TODAY(),DATE(VALUE(RIGHT(AB23,4)),VALUE(MID(AB23,4,2)),VALUE(LEFT(AB23,2))))-DATE(2026,8,22))/7,1))</f>
        <v/>
      </c>
      <c r="AA23" s="153" t="n"/>
      <c r="AB23" s="153" t="n"/>
      <c r="AC23" s="157">
        <f>U23+X23+AA23</f>
        <v/>
      </c>
      <c r="AD23" s="157">
        <f>S23-AC23</f>
        <v/>
      </c>
      <c r="AE23" s="153">
        <f>IF(AD23="","",IF(AD23&lt;=5,"SETTLED","OUTSTANDING"))</f>
        <v/>
      </c>
      <c r="AF23" s="153" t="inlineStr">
        <is>
          <t>DR2640100021</t>
        </is>
      </c>
      <c r="AG23" s="158" t="n">
        <v>1800003160</v>
      </c>
      <c r="AH23" s="159" t="inlineStr">
        <is>
          <t>14.08.2026</t>
        </is>
      </c>
      <c r="AL23" s="137">
        <f>IF($A$2="",1,IF($A$2="(blank)",--(A23=""),IF($A$2="(nonblank)",--(A23&lt;&gt;""),--ISNUMBER(SEARCH($A$2,A23)))))</f>
      </c>
      <c r="AM23" s="137">
        <f>IF($B$2="",1,IF($B$2="(blank)",--(B23=""),IF($B$2="(nonblank)",--(B23&lt;&gt;""),--ISNUMBER(SEARCH($B$2,B23)))))</f>
      </c>
      <c r="AN23" s="137">
        <f>IF($C$2="",1,IF($C$2="(blank)",--(C23=""),IF($C$2="(nonblank)",--(C23&lt;&gt;""),--ISNUMBER(SEARCH($C$2,C23)))))</f>
      </c>
      <c r="AO23" s="137">
        <f>IF($D$2="",1,IF($D$2="(blank)",--(D23=""),IF($D$2="(nonblank)",--(D23&lt;&gt;""),--ISNUMBER(SEARCH($D$2,D23)))))</f>
      </c>
      <c r="AP23" s="137">
        <f>IF($E$2="",1,IF($E$2="(blank)",--(E23=""),IF($E$2="(nonblank)",--(E23&lt;&gt;""),--ISNUMBER(SEARCH($E$2,E23)))))</f>
      </c>
      <c r="AQ23" s="137">
        <f>IF($F$2="",1,IF($F$2="(blank)",--(F23=""),IF($F$2="(nonblank)",--(F23&lt;&gt;""),--ISNUMBER(SEARCH($F$2,F23)))))</f>
      </c>
      <c r="AR23" s="137">
        <f>IF($G$2="",1,IF($G$2="(blank)",--(G23=""),IF($G$2="(nonblank)",--(G23&lt;&gt;""),--ISNUMBER(SEARCH($G$2,G23)))))</f>
      </c>
      <c r="AS23" s="137">
        <f>IF($H$2="",1,IF($H$2="(blank)",--(H23=""),IF($H$2="(nonblank)",--(H23&lt;&gt;""),--ISNUMBER(SEARCH($H$2,H23)))))</f>
      </c>
      <c r="AT23" s="137">
        <f>IF($I$2="",1,IF($I$2="(blank)",--(I23=""),IF($I$2="(nonblank)",--(I23&lt;&gt;""),--ISNUMBER(SEARCH($I$2,I23)))))</f>
      </c>
      <c r="AU23" s="137">
        <f>IF($J$2="",1,IF($J$2="(blank)",--(J23=""),IF($J$2="(nonblank)",--(J23&lt;&gt;""),--ISNUMBER(SEARCH($J$2,J23)))))</f>
      </c>
      <c r="AV23" s="137">
        <f>IF($K$2="",1,IF($K$2="(blank)",--(K23=""),IF($K$2="(nonblank)",--(K23&lt;&gt;""),--ISNUMBER(SEARCH($K$2,K23)))))</f>
      </c>
      <c r="AW23" s="137">
        <f>IF($L$2="",1,IF($L$2="(blank)",--(L23=""),IF($L$2="(nonblank)",--(L23&lt;&gt;""),--ISNUMBER(SEARCH($L$2,L23)))))</f>
      </c>
      <c r="AX23" s="137">
        <f>IF($M$2="",1,IF($M$2="(blank)",--(M23=""),IF($M$2="(nonblank)",--(M23&lt;&gt;""),--ISNUMBER(SEARCH($M$2,M23)))))</f>
      </c>
      <c r="AY23" s="137">
        <f>IF($N$2="",1,IF($N$2="(blank)",--(N23=""),IF($N$2="(nonblank)",--(N23&lt;&gt;""),--ISNUMBER(SEARCH($N$2,N23)))))</f>
      </c>
      <c r="AZ23" s="137">
        <f>IF($O$2="",1,IF($O$2="(blank)",--(O23=""),IF($O$2="(nonblank)",--(O23&lt;&gt;""),--ISNUMBER(SEARCH($O$2,O23)))))</f>
      </c>
      <c r="BA23" s="137">
        <f>IF($P$2="",1,IF($P$2="(blank)",--(P23=""),IF($P$2="(nonblank)",--(P23&lt;&gt;""),--ISNUMBER(SEARCH($P$2,P23)))))</f>
      </c>
      <c r="BB23" s="137">
        <f>IF($Q$2="",1,IF($Q$2="(blank)",--(Q23=""),IF($Q$2="(nonblank)",--(Q23&lt;&gt;""),--ISNUMBER(SEARCH($Q$2,Q23)))))</f>
      </c>
      <c r="BC23" s="137">
        <f>IF($R$2="",1,IF($R$2="(blank)",--(R23=""),IF($R$2="(nonblank)",--(R23&lt;&gt;""),--ISNUMBER(SEARCH($R$2,R23)))))</f>
      </c>
      <c r="BD23" s="137">
        <f>IF($S$2="",1,IF($S$2="(blank)",--(S23=""),IF($S$2="(nonblank)",--(S23&lt;&gt;""),--ISNUMBER(SEARCH($S$2,S23)))))</f>
      </c>
      <c r="BE23" s="137">
        <f>IF($T$2="",1,IF($T$2="(blank)",--(T23=""),IF($T$2="(nonblank)",--(T23&lt;&gt;""),--ISNUMBER(SEARCH($T$2,T23)))))</f>
      </c>
      <c r="BF23" s="137">
        <f>IF($U$2="",1,IF($U$2="(blank)",--(U23=""),IF($U$2="(nonblank)",--(U23&lt;&gt;""),--ISNUMBER(SEARCH($U$2,U23)))))</f>
      </c>
      <c r="BG23" s="137">
        <f>IF($V$2="",1,IF($V$2="(blank)",--(V23=""),IF($V$2="(nonblank)",--(V23&lt;&gt;""),--ISNUMBER(SEARCH($V$2,V23)))))</f>
      </c>
      <c r="BH23" s="137">
        <f>IF($W$2="",1,IF($W$2="(blank)",--(W23=""),IF($W$2="(nonblank)",--(W23&lt;&gt;""),--ISNUMBER(SEARCH($W$2,W23)))))</f>
      </c>
      <c r="BI23" s="137">
        <f>IF($X$2="",1,IF($X$2="(blank)",--(X23=""),IF($X$2="(nonblank)",--(X23&lt;&gt;""),--ISNUMBER(SEARCH($X$2,X23)))))</f>
      </c>
      <c r="BJ23" s="137">
        <f>IF($Y$2="",1,IF($Y$2="(blank)",--(Y23=""),IF($Y$2="(nonblank)",--(Y23&lt;&gt;""),--ISNUMBER(SEARCH($Y$2,Y23)))))</f>
      </c>
      <c r="BK23" s="137">
        <f>IF($Z$2="",1,IF($Z$2="(blank)",--(Z23=""),IF($Z$2="(nonblank)",--(Z23&lt;&gt;""),--ISNUMBER(SEARCH($Z$2,Z23)))))</f>
      </c>
      <c r="BL23" s="137">
        <f>IF($AA$2="",1,IF($AA$2="(blank)",--(AA23=""),IF($AA$2="(nonblank)",--(AA23&lt;&gt;""),--ISNUMBER(SEARCH($AA$2,AA23)))))</f>
      </c>
      <c r="BM23" s="137">
        <f>IF($AB$2="",1,IF($AB$2="(blank)",--(AB23=""),IF($AB$2="(nonblank)",--(AB23&lt;&gt;""),--ISNUMBER(SEARCH($AB$2,AB23)))))</f>
      </c>
      <c r="BN23" s="137">
        <f>IF($AC$2="",1,IF($AC$2="(blank)",--(AC23=""),IF($AC$2="(nonblank)",--(AC23&lt;&gt;""),--ISNUMBER(SEARCH($AC$2,AC23)))))</f>
      </c>
      <c r="BO23" s="137">
        <f>IF($AD$2="",1,IF($AD$2="(blank)",--(AD23=""),IF($AD$2="(nonblank)",--(AD23&lt;&gt;""),--ISNUMBER(SEARCH($AD$2,AD23)))))</f>
      </c>
      <c r="BP23" s="137">
        <f>IF($AE$2="",1,IF($AE$2="(blank)",--(AE23=""),IF($AE$2="(nonblank)",--(AE23&lt;&gt;""),--ISNUMBER(SEARCH($AE$2,AE23)))))</f>
      </c>
      <c r="BQ23" s="137">
        <f>IF($AF$2="",1,IF($AF$2="(blank)",--(AF23=""),IF($AF$2="(nonblank)",--(AF23&lt;&gt;""),--ISNUMBER(SEARCH($AF$2,AF23)))))</f>
      </c>
      <c r="BR23" s="137">
        <f>IF($AG$2="",1,IF($AG$2="(blank)",--(AG23=""),IF($AG$2="(nonblank)",--(AG23&lt;&gt;""),--ISNUMBER(SEARCH($AG$2,AG23)))))</f>
      </c>
      <c r="BS23" s="137">
        <f>IF($AH$2="",1,IF($AH$2="(blank)",--(AH23=""),IF($AH$2="(nonblank)",--(AH23&lt;&gt;""),--ISNUMBER(SEARCH($AH$2,AH23)))))</f>
      </c>
      <c r="BT23" s="137">
        <f>IF(COUNTIF($AL23:$BS23,0)&gt;0,0,1)</f>
      </c>
    </row>
    <row r="24" ht="14.25" customHeight="1" s="137">
      <c r="A24" s="23" t="n">
        <v>1</v>
      </c>
      <c r="B24" s="24" t="inlineStr">
        <is>
          <t>Scrap of 132 KV CT</t>
        </is>
      </c>
      <c r="C24" s="25" t="n">
        <v>50003</v>
      </c>
      <c r="D24" s="26" t="n">
        <v>21978</v>
      </c>
      <c r="E24" s="26" t="inlineStr">
        <is>
          <t>NO</t>
        </is>
      </c>
      <c r="F24" s="26" t="n">
        <v>2027</v>
      </c>
      <c r="G24" s="24" t="inlineStr">
        <is>
          <t>NATIONAL ENTERPRISES</t>
        </is>
      </c>
      <c r="H24" s="27" t="n">
        <v>50003</v>
      </c>
      <c r="I24" s="27">
        <f>ROUND(H24*18%,0)</f>
        <v/>
      </c>
      <c r="J24" s="27">
        <f>+H24+I24</f>
        <v/>
      </c>
      <c r="K24" s="27">
        <f>ROUND((H24+I24)*2%,0)</f>
        <v/>
      </c>
      <c r="L24" s="28">
        <f>H24*0.1%</f>
        <v/>
      </c>
      <c r="M24" s="28">
        <f>H24*2.25%*118%</f>
        <v/>
      </c>
      <c r="N24" s="29">
        <f>H24*2.25%*2%</f>
        <v/>
      </c>
      <c r="O24" s="28">
        <f>M24-N24</f>
        <v/>
      </c>
      <c r="P24" s="28">
        <f>ROUND(O24+L24,0)</f>
        <v/>
      </c>
      <c r="Q24" s="30" t="n">
        <v>0</v>
      </c>
      <c r="R24" s="28">
        <f>ROUND(H24*Q24,0)</f>
        <v/>
      </c>
      <c r="S24" s="27">
        <f>ROUND(H24*117.65%-R24,0)</f>
        <v/>
      </c>
      <c r="T24" s="28">
        <f>ROUND(H24*25%,0)</f>
        <v/>
      </c>
      <c r="U24" s="31">
        <f>+T24</f>
        <v/>
      </c>
      <c r="V24" s="28" t="inlineStr">
        <is>
          <t>13.08.2026</t>
        </is>
      </c>
      <c r="W24" s="28">
        <f>ROUND(H24*92.65%-R24,0)</f>
        <v/>
      </c>
      <c r="X24" s="28" t="n">
        <v>46328</v>
      </c>
      <c r="Y24" s="28" t="inlineStr">
        <is>
          <t>24.08.2026</t>
        </is>
      </c>
      <c r="Z24" s="28">
        <f>IF(IF(OR(AB24="",AB24=0),TODAY(),DATE(VALUE(RIGHT(AB24,4)),VALUE(MID(AB24,4,2)),VALUE(LEFT(AB24,2))))&lt;=DATE(2026,8,24),0,H24*0.0118*CEILING((IF(OR(AB24="",AB24=0),TODAY(),DATE(VALUE(RIGHT(AB24,4)),VALUE(MID(AB24,4,2)),VALUE(LEFT(AB24,2))))-DATE(2026,8,22))/7,1))</f>
        <v/>
      </c>
      <c r="AA24" s="28" t="n"/>
      <c r="AB24" s="28" t="n"/>
      <c r="AC24" s="15">
        <f>U24+X24+AA24</f>
        <v/>
      </c>
      <c r="AD24" s="19">
        <f>S24-AC24</f>
        <v/>
      </c>
      <c r="AE24" s="20">
        <f>IF(AD24="","",IF(AD24&lt;=5,"SETTLED","OUTSTANDING"))</f>
        <v/>
      </c>
      <c r="AF24" s="20" t="inlineStr">
        <is>
          <t>DR2640100036</t>
        </is>
      </c>
      <c r="AG24" s="21" t="n">
        <v>1800003309</v>
      </c>
      <c r="AH24" s="22" t="inlineStr">
        <is>
          <t>27.08.2026</t>
        </is>
      </c>
      <c r="AL24" s="137">
        <f>IF($A$2="",1,IF($A$2="(blank)",--(A24=""),IF($A$2="(nonblank)",--(A24&lt;&gt;""),--ISNUMBER(SEARCH($A$2,A24)))))</f>
      </c>
      <c r="AM24" s="137">
        <f>IF($B$2="",1,IF($B$2="(blank)",--(B24=""),IF($B$2="(nonblank)",--(B24&lt;&gt;""),--ISNUMBER(SEARCH($B$2,B24)))))</f>
      </c>
      <c r="AN24" s="137">
        <f>IF($C$2="",1,IF($C$2="(blank)",--(C24=""),IF($C$2="(nonblank)",--(C24&lt;&gt;""),--ISNUMBER(SEARCH($C$2,C24)))))</f>
      </c>
      <c r="AO24" s="137">
        <f>IF($D$2="",1,IF($D$2="(blank)",--(D24=""),IF($D$2="(nonblank)",--(D24&lt;&gt;""),--ISNUMBER(SEARCH($D$2,D24)))))</f>
      </c>
      <c r="AP24" s="137">
        <f>IF($E$2="",1,IF($E$2="(blank)",--(E24=""),IF($E$2="(nonblank)",--(E24&lt;&gt;""),--ISNUMBER(SEARCH($E$2,E24)))))</f>
      </c>
      <c r="AQ24" s="137">
        <f>IF($F$2="",1,IF($F$2="(blank)",--(F24=""),IF($F$2="(nonblank)",--(F24&lt;&gt;""),--ISNUMBER(SEARCH($F$2,F24)))))</f>
      </c>
      <c r="AR24" s="137">
        <f>IF($G$2="",1,IF($G$2="(blank)",--(G24=""),IF($G$2="(nonblank)",--(G24&lt;&gt;""),--ISNUMBER(SEARCH($G$2,G24)))))</f>
      </c>
      <c r="AS24" s="137">
        <f>IF($H$2="",1,IF($H$2="(blank)",--(H24=""),IF($H$2="(nonblank)",--(H24&lt;&gt;""),--ISNUMBER(SEARCH($H$2,H24)))))</f>
      </c>
      <c r="AT24" s="137">
        <f>IF($I$2="",1,IF($I$2="(blank)",--(I24=""),IF($I$2="(nonblank)",--(I24&lt;&gt;""),--ISNUMBER(SEARCH($I$2,I24)))))</f>
      </c>
      <c r="AU24" s="137">
        <f>IF($J$2="",1,IF($J$2="(blank)",--(J24=""),IF($J$2="(nonblank)",--(J24&lt;&gt;""),--ISNUMBER(SEARCH($J$2,J24)))))</f>
      </c>
      <c r="AV24" s="137">
        <f>IF($K$2="",1,IF($K$2="(blank)",--(K24=""),IF($K$2="(nonblank)",--(K24&lt;&gt;""),--ISNUMBER(SEARCH($K$2,K24)))))</f>
      </c>
      <c r="AW24" s="137">
        <f>IF($L$2="",1,IF($L$2="(blank)",--(L24=""),IF($L$2="(nonblank)",--(L24&lt;&gt;""),--ISNUMBER(SEARCH($L$2,L24)))))</f>
      </c>
      <c r="AX24" s="137">
        <f>IF($M$2="",1,IF($M$2="(blank)",--(M24=""),IF($M$2="(nonblank)",--(M24&lt;&gt;""),--ISNUMBER(SEARCH($M$2,M24)))))</f>
      </c>
      <c r="AY24" s="137">
        <f>IF($N$2="",1,IF($N$2="(blank)",--(N24=""),IF($N$2="(nonblank)",--(N24&lt;&gt;""),--ISNUMBER(SEARCH($N$2,N24)))))</f>
      </c>
      <c r="AZ24" s="137">
        <f>IF($O$2="",1,IF($O$2="(blank)",--(O24=""),IF($O$2="(nonblank)",--(O24&lt;&gt;""),--ISNUMBER(SEARCH($O$2,O24)))))</f>
      </c>
      <c r="BA24" s="137">
        <f>IF($P$2="",1,IF($P$2="(blank)",--(P24=""),IF($P$2="(nonblank)",--(P24&lt;&gt;""),--ISNUMBER(SEARCH($P$2,P24)))))</f>
      </c>
      <c r="BB24" s="137">
        <f>IF($Q$2="",1,IF($Q$2="(blank)",--(Q24=""),IF($Q$2="(nonblank)",--(Q24&lt;&gt;""),--ISNUMBER(SEARCH($Q$2,Q24)))))</f>
      </c>
      <c r="BC24" s="137">
        <f>IF($R$2="",1,IF($R$2="(blank)",--(R24=""),IF($R$2="(nonblank)",--(R24&lt;&gt;""),--ISNUMBER(SEARCH($R$2,R24)))))</f>
      </c>
      <c r="BD24" s="137">
        <f>IF($S$2="",1,IF($S$2="(blank)",--(S24=""),IF($S$2="(nonblank)",--(S24&lt;&gt;""),--ISNUMBER(SEARCH($S$2,S24)))))</f>
      </c>
      <c r="BE24" s="137">
        <f>IF($T$2="",1,IF($T$2="(blank)",--(T24=""),IF($T$2="(nonblank)",--(T24&lt;&gt;""),--ISNUMBER(SEARCH($T$2,T24)))))</f>
      </c>
      <c r="BF24" s="137">
        <f>IF($U$2="",1,IF($U$2="(blank)",--(U24=""),IF($U$2="(nonblank)",--(U24&lt;&gt;""),--ISNUMBER(SEARCH($U$2,U24)))))</f>
      </c>
      <c r="BG24" s="137">
        <f>IF($V$2="",1,IF($V$2="(blank)",--(V24=""),IF($V$2="(nonblank)",--(V24&lt;&gt;""),--ISNUMBER(SEARCH($V$2,V24)))))</f>
      </c>
      <c r="BH24" s="137">
        <f>IF($W$2="",1,IF($W$2="(blank)",--(W24=""),IF($W$2="(nonblank)",--(W24&lt;&gt;""),--ISNUMBER(SEARCH($W$2,W24)))))</f>
      </c>
      <c r="BI24" s="137">
        <f>IF($X$2="",1,IF($X$2="(blank)",--(X24=""),IF($X$2="(nonblank)",--(X24&lt;&gt;""),--ISNUMBER(SEARCH($X$2,X24)))))</f>
      </c>
      <c r="BJ24" s="137">
        <f>IF($Y$2="",1,IF($Y$2="(blank)",--(Y24=""),IF($Y$2="(nonblank)",--(Y24&lt;&gt;""),--ISNUMBER(SEARCH($Y$2,Y24)))))</f>
      </c>
      <c r="BK24" s="137">
        <f>IF($Z$2="",1,IF($Z$2="(blank)",--(Z24=""),IF($Z$2="(nonblank)",--(Z24&lt;&gt;""),--ISNUMBER(SEARCH($Z$2,Z24)))))</f>
      </c>
      <c r="BL24" s="137">
        <f>IF($AA$2="",1,IF($AA$2="(blank)",--(AA24=""),IF($AA$2="(nonblank)",--(AA24&lt;&gt;""),--ISNUMBER(SEARCH($AA$2,AA24)))))</f>
      </c>
      <c r="BM24" s="137">
        <f>IF($AB$2="",1,IF($AB$2="(blank)",--(AB24=""),IF($AB$2="(nonblank)",--(AB24&lt;&gt;""),--ISNUMBER(SEARCH($AB$2,AB24)))))</f>
      </c>
      <c r="BN24" s="137">
        <f>IF($AC$2="",1,IF($AC$2="(blank)",--(AC24=""),IF($AC$2="(nonblank)",--(AC24&lt;&gt;""),--ISNUMBER(SEARCH($AC$2,AC24)))))</f>
      </c>
      <c r="BO24" s="137">
        <f>IF($AD$2="",1,IF($AD$2="(blank)",--(AD24=""),IF($AD$2="(nonblank)",--(AD24&lt;&gt;""),--ISNUMBER(SEARCH($AD$2,AD24)))))</f>
      </c>
      <c r="BP24" s="137">
        <f>IF($AE$2="",1,IF($AE$2="(blank)",--(AE24=""),IF($AE$2="(nonblank)",--(AE24&lt;&gt;""),--ISNUMBER(SEARCH($AE$2,AE24)))))</f>
      </c>
      <c r="BQ24" s="137">
        <f>IF($AF$2="",1,IF($AF$2="(blank)",--(AF24=""),IF($AF$2="(nonblank)",--(AF24&lt;&gt;""),--ISNUMBER(SEARCH($AF$2,AF24)))))</f>
      </c>
      <c r="BR24" s="137">
        <f>IF($AG$2="",1,IF($AG$2="(blank)",--(AG24=""),IF($AG$2="(nonblank)",--(AG24&lt;&gt;""),--ISNUMBER(SEARCH($AG$2,AG24)))))</f>
      </c>
      <c r="BS24" s="137">
        <f>IF($AH$2="",1,IF($AH$2="(blank)",--(AH24=""),IF($AH$2="(nonblank)",--(AH24&lt;&gt;""),--ISNUMBER(SEARCH($AH$2,AH24)))))</f>
      </c>
      <c r="BT24" s="137">
        <f>IF(COUNTIF($AL24:$BS24,0)&gt;0,0,1)</f>
      </c>
    </row>
    <row r="25" ht="14.25" customHeight="1" s="137">
      <c r="A25" s="148" t="n">
        <v>1000</v>
      </c>
      <c r="B25" s="149" t="inlineStr">
        <is>
          <t>Scrap Empty Oil Drum/ Barrel</t>
        </is>
      </c>
      <c r="C25" s="150" t="n">
        <v>517</v>
      </c>
      <c r="D25" s="151" t="n">
        <v>21978</v>
      </c>
      <c r="E25" s="151" t="inlineStr">
        <is>
          <t>NO</t>
        </is>
      </c>
      <c r="F25" s="151" t="n">
        <v>2033</v>
      </c>
      <c r="G25" s="149" t="inlineStr">
        <is>
          <t>WATAN SCRAP TRADERS</t>
        </is>
      </c>
      <c r="H25" s="152" t="n">
        <v>517000</v>
      </c>
      <c r="I25" s="152">
        <f>ROUND(H25*18%,0)</f>
        <v/>
      </c>
      <c r="J25" s="152">
        <f>+H25+I25</f>
        <v/>
      </c>
      <c r="K25" s="152">
        <f>ROUND((H25+I25)*2%,0)</f>
        <v/>
      </c>
      <c r="L25" s="153">
        <f>H25*0.1%</f>
        <v/>
      </c>
      <c r="M25" s="153">
        <f>H25*2.25%*118%</f>
        <v/>
      </c>
      <c r="N25" s="154">
        <f>H25*2.25%*2%</f>
        <v/>
      </c>
      <c r="O25" s="153">
        <f>M25-N25</f>
        <v/>
      </c>
      <c r="P25" s="153">
        <f>ROUND(O25+L25,0)</f>
        <v/>
      </c>
      <c r="Q25" s="155" t="n">
        <v>0</v>
      </c>
      <c r="R25" s="153">
        <f>ROUND(H25*Q25,0)</f>
        <v/>
      </c>
      <c r="S25" s="152">
        <f>ROUND(H25*117.65%-R25,0)</f>
        <v/>
      </c>
      <c r="T25" s="153">
        <f>ROUND(H25*25%,0)</f>
        <v/>
      </c>
      <c r="U25" s="156" t="n">
        <v>129250</v>
      </c>
      <c r="V25" s="153" t="inlineStr">
        <is>
          <t>14.08.2026</t>
        </is>
      </c>
      <c r="W25" s="153">
        <f>ROUND(H25*92.65%-R25,0)</f>
        <v/>
      </c>
      <c r="X25" s="153" t="n">
        <v>479001</v>
      </c>
      <c r="Y25" s="153" t="inlineStr">
        <is>
          <t>21.08.2026</t>
        </is>
      </c>
      <c r="Z25" s="153">
        <f>IF(IF(OR(AB25="",AB25=0),TODAY(),DATE(VALUE(RIGHT(AB25,4)),VALUE(MID(AB25,4,2)),VALUE(LEFT(AB25,2))))&lt;=DATE(2026,8,24),0,H25*0.0118*CEILING((IF(OR(AB25="",AB25=0),TODAY(),DATE(VALUE(RIGHT(AB25,4)),VALUE(MID(AB25,4,2)),VALUE(LEFT(AB25,2))))-DATE(2026,8,22))/7,1))</f>
        <v/>
      </c>
      <c r="AA25" s="153" t="n"/>
      <c r="AB25" s="153" t="n"/>
      <c r="AC25" s="157">
        <f>U25+X25+AA25</f>
        <v/>
      </c>
      <c r="AD25" s="157">
        <f>S25-AC25</f>
        <v/>
      </c>
      <c r="AE25" s="153">
        <f>IF(AD25="","",IF(AD25&lt;=5,"SETTLED","OUTSTANDING"))</f>
        <v/>
      </c>
      <c r="AF25" s="153" t="inlineStr">
        <is>
          <t>DR2640100042</t>
        </is>
      </c>
      <c r="AG25" s="158" t="n">
        <v>1800003317</v>
      </c>
      <c r="AH25" s="159" t="inlineStr">
        <is>
          <t>27.08.2026</t>
        </is>
      </c>
      <c r="AL25" s="137">
        <f>IF($A$2="",1,IF($A$2="(blank)",--(A25=""),IF($A$2="(nonblank)",--(A25&lt;&gt;""),--ISNUMBER(SEARCH($A$2,A25)))))</f>
      </c>
      <c r="AM25" s="137">
        <f>IF($B$2="",1,IF($B$2="(blank)",--(B25=""),IF($B$2="(nonblank)",--(B25&lt;&gt;""),--ISNUMBER(SEARCH($B$2,B25)))))</f>
      </c>
      <c r="AN25" s="137">
        <f>IF($C$2="",1,IF($C$2="(blank)",--(C25=""),IF($C$2="(nonblank)",--(C25&lt;&gt;""),--ISNUMBER(SEARCH($C$2,C25)))))</f>
      </c>
      <c r="AO25" s="137">
        <f>IF($D$2="",1,IF($D$2="(blank)",--(D25=""),IF($D$2="(nonblank)",--(D25&lt;&gt;""),--ISNUMBER(SEARCH($D$2,D25)))))</f>
      </c>
      <c r="AP25" s="137">
        <f>IF($E$2="",1,IF($E$2="(blank)",--(E25=""),IF($E$2="(nonblank)",--(E25&lt;&gt;""),--ISNUMBER(SEARCH($E$2,E25)))))</f>
      </c>
      <c r="AQ25" s="137">
        <f>IF($F$2="",1,IF($F$2="(blank)",--(F25=""),IF($F$2="(nonblank)",--(F25&lt;&gt;""),--ISNUMBER(SEARCH($F$2,F25)))))</f>
      </c>
      <c r="AR25" s="137">
        <f>IF($G$2="",1,IF($G$2="(blank)",--(G25=""),IF($G$2="(nonblank)",--(G25&lt;&gt;""),--ISNUMBER(SEARCH($G$2,G25)))))</f>
      </c>
      <c r="AS25" s="137">
        <f>IF($H$2="",1,IF($H$2="(blank)",--(H25=""),IF($H$2="(nonblank)",--(H25&lt;&gt;""),--ISNUMBER(SEARCH($H$2,H25)))))</f>
      </c>
      <c r="AT25" s="137">
        <f>IF($I$2="",1,IF($I$2="(blank)",--(I25=""),IF($I$2="(nonblank)",--(I25&lt;&gt;""),--ISNUMBER(SEARCH($I$2,I25)))))</f>
      </c>
      <c r="AU25" s="137">
        <f>IF($J$2="",1,IF($J$2="(blank)",--(J25=""),IF($J$2="(nonblank)",--(J25&lt;&gt;""),--ISNUMBER(SEARCH($J$2,J25)))))</f>
      </c>
      <c r="AV25" s="137">
        <f>IF($K$2="",1,IF($K$2="(blank)",--(K25=""),IF($K$2="(nonblank)",--(K25&lt;&gt;""),--ISNUMBER(SEARCH($K$2,K25)))))</f>
      </c>
      <c r="AW25" s="137">
        <f>IF($L$2="",1,IF($L$2="(blank)",--(L25=""),IF($L$2="(nonblank)",--(L25&lt;&gt;""),--ISNUMBER(SEARCH($L$2,L25)))))</f>
      </c>
      <c r="AX25" s="137">
        <f>IF($M$2="",1,IF($M$2="(blank)",--(M25=""),IF($M$2="(nonblank)",--(M25&lt;&gt;""),--ISNUMBER(SEARCH($M$2,M25)))))</f>
      </c>
      <c r="AY25" s="137">
        <f>IF($N$2="",1,IF($N$2="(blank)",--(N25=""),IF($N$2="(nonblank)",--(N25&lt;&gt;""),--ISNUMBER(SEARCH($N$2,N25)))))</f>
      </c>
      <c r="AZ25" s="137">
        <f>IF($O$2="",1,IF($O$2="(blank)",--(O25=""),IF($O$2="(nonblank)",--(O25&lt;&gt;""),--ISNUMBER(SEARCH($O$2,O25)))))</f>
      </c>
      <c r="BA25" s="137">
        <f>IF($P$2="",1,IF($P$2="(blank)",--(P25=""),IF($P$2="(nonblank)",--(P25&lt;&gt;""),--ISNUMBER(SEARCH($P$2,P25)))))</f>
      </c>
      <c r="BB25" s="137">
        <f>IF($Q$2="",1,IF($Q$2="(blank)",--(Q25=""),IF($Q$2="(nonblank)",--(Q25&lt;&gt;""),--ISNUMBER(SEARCH($Q$2,Q25)))))</f>
      </c>
      <c r="BC25" s="137">
        <f>IF($R$2="",1,IF($R$2="(blank)",--(R25=""),IF($R$2="(nonblank)",--(R25&lt;&gt;""),--ISNUMBER(SEARCH($R$2,R25)))))</f>
      </c>
      <c r="BD25" s="137">
        <f>IF($S$2="",1,IF($S$2="(blank)",--(S25=""),IF($S$2="(nonblank)",--(S25&lt;&gt;""),--ISNUMBER(SEARCH($S$2,S25)))))</f>
      </c>
      <c r="BE25" s="137">
        <f>IF($T$2="",1,IF($T$2="(blank)",--(T25=""),IF($T$2="(nonblank)",--(T25&lt;&gt;""),--ISNUMBER(SEARCH($T$2,T25)))))</f>
      </c>
      <c r="BF25" s="137">
        <f>IF($U$2="",1,IF($U$2="(blank)",--(U25=""),IF($U$2="(nonblank)",--(U25&lt;&gt;""),--ISNUMBER(SEARCH($U$2,U25)))))</f>
      </c>
      <c r="BG25" s="137">
        <f>IF($V$2="",1,IF($V$2="(blank)",--(V25=""),IF($V$2="(nonblank)",--(V25&lt;&gt;""),--ISNUMBER(SEARCH($V$2,V25)))))</f>
      </c>
      <c r="BH25" s="137">
        <f>IF($W$2="",1,IF($W$2="(blank)",--(W25=""),IF($W$2="(nonblank)",--(W25&lt;&gt;""),--ISNUMBER(SEARCH($W$2,W25)))))</f>
      </c>
      <c r="BI25" s="137">
        <f>IF($X$2="",1,IF($X$2="(blank)",--(X25=""),IF($X$2="(nonblank)",--(X25&lt;&gt;""),--ISNUMBER(SEARCH($X$2,X25)))))</f>
      </c>
      <c r="BJ25" s="137">
        <f>IF($Y$2="",1,IF($Y$2="(blank)",--(Y25=""),IF($Y$2="(nonblank)",--(Y25&lt;&gt;""),--ISNUMBER(SEARCH($Y$2,Y25)))))</f>
      </c>
      <c r="BK25" s="137">
        <f>IF($Z$2="",1,IF($Z$2="(blank)",--(Z25=""),IF($Z$2="(nonblank)",--(Z25&lt;&gt;""),--ISNUMBER(SEARCH($Z$2,Z25)))))</f>
      </c>
      <c r="BL25" s="137">
        <f>IF($AA$2="",1,IF($AA$2="(blank)",--(AA25=""),IF($AA$2="(nonblank)",--(AA25&lt;&gt;""),--ISNUMBER(SEARCH($AA$2,AA25)))))</f>
      </c>
      <c r="BM25" s="137">
        <f>IF($AB$2="",1,IF($AB$2="(blank)",--(AB25=""),IF($AB$2="(nonblank)",--(AB25&lt;&gt;""),--ISNUMBER(SEARCH($AB$2,AB25)))))</f>
      </c>
      <c r="BN25" s="137">
        <f>IF($AC$2="",1,IF($AC$2="(blank)",--(AC25=""),IF($AC$2="(nonblank)",--(AC25&lt;&gt;""),--ISNUMBER(SEARCH($AC$2,AC25)))))</f>
      </c>
      <c r="BO25" s="137">
        <f>IF($AD$2="",1,IF($AD$2="(blank)",--(AD25=""),IF($AD$2="(nonblank)",--(AD25&lt;&gt;""),--ISNUMBER(SEARCH($AD$2,AD25)))))</f>
      </c>
      <c r="BP25" s="137">
        <f>IF($AE$2="",1,IF($AE$2="(blank)",--(AE25=""),IF($AE$2="(nonblank)",--(AE25&lt;&gt;""),--ISNUMBER(SEARCH($AE$2,AE25)))))</f>
      </c>
      <c r="BQ25" s="137">
        <f>IF($AF$2="",1,IF($AF$2="(blank)",--(AF25=""),IF($AF$2="(nonblank)",--(AF25&lt;&gt;""),--ISNUMBER(SEARCH($AF$2,AF25)))))</f>
      </c>
      <c r="BR25" s="137">
        <f>IF($AG$2="",1,IF($AG$2="(blank)",--(AG25=""),IF($AG$2="(nonblank)",--(AG25&lt;&gt;""),--ISNUMBER(SEARCH($AG$2,AG25)))))</f>
      </c>
      <c r="BS25" s="137">
        <f>IF($AH$2="",1,IF($AH$2="(blank)",--(AH25=""),IF($AH$2="(nonblank)",--(AH25&lt;&gt;""),--ISNUMBER(SEARCH($AH$2,AH25)))))</f>
      </c>
      <c r="BT25" s="137">
        <f>IF(COUNTIF($AL25:$BS25,0)&gt;0,0,1)</f>
      </c>
    </row>
    <row r="26" ht="14.25" customHeight="1" s="137">
      <c r="A26" s="23" t="n">
        <v>2</v>
      </c>
      <c r="B26" s="24" t="inlineStr">
        <is>
          <t>Scrap of 132 KV Wave Trap</t>
        </is>
      </c>
      <c r="C26" s="25" t="n">
        <v>14001</v>
      </c>
      <c r="D26" s="26" t="n">
        <v>21978</v>
      </c>
      <c r="E26" s="26" t="inlineStr">
        <is>
          <t>NO</t>
        </is>
      </c>
      <c r="F26" s="26" t="n">
        <v>2035</v>
      </c>
      <c r="G26" s="24" t="inlineStr">
        <is>
          <t>NATIONAL ENTERPRISES</t>
        </is>
      </c>
      <c r="H26" s="27" t="n">
        <v>28002</v>
      </c>
      <c r="I26" s="27">
        <f>ROUND(H26*18%,0)</f>
        <v/>
      </c>
      <c r="J26" s="27">
        <f>+H26+I26</f>
        <v/>
      </c>
      <c r="K26" s="27">
        <f>ROUND((H26+I26)*2%,0)</f>
        <v/>
      </c>
      <c r="L26" s="28">
        <f>H26*0.1%</f>
        <v/>
      </c>
      <c r="M26" s="28">
        <f>H26*2.25%*118%</f>
        <v/>
      </c>
      <c r="N26" s="29">
        <f>H26*2.25%*2%</f>
        <v/>
      </c>
      <c r="O26" s="28">
        <f>M26-N26</f>
        <v/>
      </c>
      <c r="P26" s="28">
        <f>ROUND(O26+L26,0)</f>
        <v/>
      </c>
      <c r="Q26" s="30" t="n">
        <v>0</v>
      </c>
      <c r="R26" s="28">
        <f>ROUND(H26*Q26,0)</f>
        <v/>
      </c>
      <c r="S26" s="27">
        <f>ROUND(H26*117.65%-R26,0)</f>
        <v/>
      </c>
      <c r="T26" s="28">
        <f>ROUND(H26*25%,0)</f>
        <v/>
      </c>
      <c r="U26" s="31">
        <f>+T26</f>
        <v/>
      </c>
      <c r="V26" s="28" t="inlineStr">
        <is>
          <t>13.08.2026</t>
        </is>
      </c>
      <c r="W26" s="28">
        <f>ROUND(H26*92.65%-R26,0)</f>
        <v/>
      </c>
      <c r="X26" s="28" t="n">
        <v>25943</v>
      </c>
      <c r="Y26" s="28" t="inlineStr">
        <is>
          <t>24.08.2026</t>
        </is>
      </c>
      <c r="Z26" s="28">
        <f>IF(IF(OR(AB26="",AB26=0),TODAY(),DATE(VALUE(RIGHT(AB26,4)),VALUE(MID(AB26,4,2)),VALUE(LEFT(AB26,2))))&lt;=DATE(2026,8,24),0,H26*0.0118*CEILING((IF(OR(AB26="",AB26=0),TODAY(),DATE(VALUE(RIGHT(AB26,4)),VALUE(MID(AB26,4,2)),VALUE(LEFT(AB26,2))))-DATE(2026,8,22))/7,1))</f>
        <v/>
      </c>
      <c r="AA26" s="28" t="n"/>
      <c r="AB26" s="28" t="n"/>
      <c r="AC26" s="15">
        <f>U26+X26+AA26</f>
        <v/>
      </c>
      <c r="AD26" s="19">
        <f>S26-AC26</f>
        <v/>
      </c>
      <c r="AE26" s="20">
        <f>IF(AD26="","",IF(AD26&lt;=5,"SETTLED","OUTSTANDING"))</f>
        <v/>
      </c>
      <c r="AF26" s="20" t="inlineStr">
        <is>
          <t>DR2640100037</t>
        </is>
      </c>
      <c r="AG26" s="21" t="n">
        <v>1800003310</v>
      </c>
      <c r="AH26" s="22" t="inlineStr">
        <is>
          <t>27.08.2026</t>
        </is>
      </c>
      <c r="AL26" s="137">
        <f>IF($A$2="",1,IF($A$2="(blank)",--(A26=""),IF($A$2="(nonblank)",--(A26&lt;&gt;""),--ISNUMBER(SEARCH($A$2,A26)))))</f>
      </c>
      <c r="AM26" s="137">
        <f>IF($B$2="",1,IF($B$2="(blank)",--(B26=""),IF($B$2="(nonblank)",--(B26&lt;&gt;""),--ISNUMBER(SEARCH($B$2,B26)))))</f>
      </c>
      <c r="AN26" s="137">
        <f>IF($C$2="",1,IF($C$2="(blank)",--(C26=""),IF($C$2="(nonblank)",--(C26&lt;&gt;""),--ISNUMBER(SEARCH($C$2,C26)))))</f>
      </c>
      <c r="AO26" s="137">
        <f>IF($D$2="",1,IF($D$2="(blank)",--(D26=""),IF($D$2="(nonblank)",--(D26&lt;&gt;""),--ISNUMBER(SEARCH($D$2,D26)))))</f>
      </c>
      <c r="AP26" s="137">
        <f>IF($E$2="",1,IF($E$2="(blank)",--(E26=""),IF($E$2="(nonblank)",--(E26&lt;&gt;""),--ISNUMBER(SEARCH($E$2,E26)))))</f>
      </c>
      <c r="AQ26" s="137">
        <f>IF($F$2="",1,IF($F$2="(blank)",--(F26=""),IF($F$2="(nonblank)",--(F26&lt;&gt;""),--ISNUMBER(SEARCH($F$2,F26)))))</f>
      </c>
      <c r="AR26" s="137">
        <f>IF($G$2="",1,IF($G$2="(blank)",--(G26=""),IF($G$2="(nonblank)",--(G26&lt;&gt;""),--ISNUMBER(SEARCH($G$2,G26)))))</f>
      </c>
      <c r="AS26" s="137">
        <f>IF($H$2="",1,IF($H$2="(blank)",--(H26=""),IF($H$2="(nonblank)",--(H26&lt;&gt;""),--ISNUMBER(SEARCH($H$2,H26)))))</f>
      </c>
      <c r="AT26" s="137">
        <f>IF($I$2="",1,IF($I$2="(blank)",--(I26=""),IF($I$2="(nonblank)",--(I26&lt;&gt;""),--ISNUMBER(SEARCH($I$2,I26)))))</f>
      </c>
      <c r="AU26" s="137">
        <f>IF($J$2="",1,IF($J$2="(blank)",--(J26=""),IF($J$2="(nonblank)",--(J26&lt;&gt;""),--ISNUMBER(SEARCH($J$2,J26)))))</f>
      </c>
      <c r="AV26" s="137">
        <f>IF($K$2="",1,IF($K$2="(blank)",--(K26=""),IF($K$2="(nonblank)",--(K26&lt;&gt;""),--ISNUMBER(SEARCH($K$2,K26)))))</f>
      </c>
      <c r="AW26" s="137">
        <f>IF($L$2="",1,IF($L$2="(blank)",--(L26=""),IF($L$2="(nonblank)",--(L26&lt;&gt;""),--ISNUMBER(SEARCH($L$2,L26)))))</f>
      </c>
      <c r="AX26" s="137">
        <f>IF($M$2="",1,IF($M$2="(blank)",--(M26=""),IF($M$2="(nonblank)",--(M26&lt;&gt;""),--ISNUMBER(SEARCH($M$2,M26)))))</f>
      </c>
      <c r="AY26" s="137">
        <f>IF($N$2="",1,IF($N$2="(blank)",--(N26=""),IF($N$2="(nonblank)",--(N26&lt;&gt;""),--ISNUMBER(SEARCH($N$2,N26)))))</f>
      </c>
      <c r="AZ26" s="137">
        <f>IF($O$2="",1,IF($O$2="(blank)",--(O26=""),IF($O$2="(nonblank)",--(O26&lt;&gt;""),--ISNUMBER(SEARCH($O$2,O26)))))</f>
      </c>
      <c r="BA26" s="137">
        <f>IF($P$2="",1,IF($P$2="(blank)",--(P26=""),IF($P$2="(nonblank)",--(P26&lt;&gt;""),--ISNUMBER(SEARCH($P$2,P26)))))</f>
      </c>
      <c r="BB26" s="137">
        <f>IF($Q$2="",1,IF($Q$2="(blank)",--(Q26=""),IF($Q$2="(nonblank)",--(Q26&lt;&gt;""),--ISNUMBER(SEARCH($Q$2,Q26)))))</f>
      </c>
      <c r="BC26" s="137">
        <f>IF($R$2="",1,IF($R$2="(blank)",--(R26=""),IF($R$2="(nonblank)",--(R26&lt;&gt;""),--ISNUMBER(SEARCH($R$2,R26)))))</f>
      </c>
      <c r="BD26" s="137">
        <f>IF($S$2="",1,IF($S$2="(blank)",--(S26=""),IF($S$2="(nonblank)",--(S26&lt;&gt;""),--ISNUMBER(SEARCH($S$2,S26)))))</f>
      </c>
      <c r="BE26" s="137">
        <f>IF($T$2="",1,IF($T$2="(blank)",--(T26=""),IF($T$2="(nonblank)",--(T26&lt;&gt;""),--ISNUMBER(SEARCH($T$2,T26)))))</f>
      </c>
      <c r="BF26" s="137">
        <f>IF($U$2="",1,IF($U$2="(blank)",--(U26=""),IF($U$2="(nonblank)",--(U26&lt;&gt;""),--ISNUMBER(SEARCH($U$2,U26)))))</f>
      </c>
      <c r="BG26" s="137">
        <f>IF($V$2="",1,IF($V$2="(blank)",--(V26=""),IF($V$2="(nonblank)",--(V26&lt;&gt;""),--ISNUMBER(SEARCH($V$2,V26)))))</f>
      </c>
      <c r="BH26" s="137">
        <f>IF($W$2="",1,IF($W$2="(blank)",--(W26=""),IF($W$2="(nonblank)",--(W26&lt;&gt;""),--ISNUMBER(SEARCH($W$2,W26)))))</f>
      </c>
      <c r="BI26" s="137">
        <f>IF($X$2="",1,IF($X$2="(blank)",--(X26=""),IF($X$2="(nonblank)",--(X26&lt;&gt;""),--ISNUMBER(SEARCH($X$2,X26)))))</f>
      </c>
      <c r="BJ26" s="137">
        <f>IF($Y$2="",1,IF($Y$2="(blank)",--(Y26=""),IF($Y$2="(nonblank)",--(Y26&lt;&gt;""),--ISNUMBER(SEARCH($Y$2,Y26)))))</f>
      </c>
      <c r="BK26" s="137">
        <f>IF($Z$2="",1,IF($Z$2="(blank)",--(Z26=""),IF($Z$2="(nonblank)",--(Z26&lt;&gt;""),--ISNUMBER(SEARCH($Z$2,Z26)))))</f>
      </c>
      <c r="BL26" s="137">
        <f>IF($AA$2="",1,IF($AA$2="(blank)",--(AA26=""),IF($AA$2="(nonblank)",--(AA26&lt;&gt;""),--ISNUMBER(SEARCH($AA$2,AA26)))))</f>
      </c>
      <c r="BM26" s="137">
        <f>IF($AB$2="",1,IF($AB$2="(blank)",--(AB26=""),IF($AB$2="(nonblank)",--(AB26&lt;&gt;""),--ISNUMBER(SEARCH($AB$2,AB26)))))</f>
      </c>
      <c r="BN26" s="137">
        <f>IF($AC$2="",1,IF($AC$2="(blank)",--(AC26=""),IF($AC$2="(nonblank)",--(AC26&lt;&gt;""),--ISNUMBER(SEARCH($AC$2,AC26)))))</f>
      </c>
      <c r="BO26" s="137">
        <f>IF($AD$2="",1,IF($AD$2="(blank)",--(AD26=""),IF($AD$2="(nonblank)",--(AD26&lt;&gt;""),--ISNUMBER(SEARCH($AD$2,AD26)))))</f>
      </c>
      <c r="BP26" s="137">
        <f>IF($AE$2="",1,IF($AE$2="(blank)",--(AE26=""),IF($AE$2="(nonblank)",--(AE26&lt;&gt;""),--ISNUMBER(SEARCH($AE$2,AE26)))))</f>
      </c>
      <c r="BQ26" s="137">
        <f>IF($AF$2="",1,IF($AF$2="(blank)",--(AF26=""),IF($AF$2="(nonblank)",--(AF26&lt;&gt;""),--ISNUMBER(SEARCH($AF$2,AF26)))))</f>
      </c>
      <c r="BR26" s="137">
        <f>IF($AG$2="",1,IF($AG$2="(blank)",--(AG26=""),IF($AG$2="(nonblank)",--(AG26&lt;&gt;""),--ISNUMBER(SEARCH($AG$2,AG26)))))</f>
      </c>
      <c r="BS26" s="137">
        <f>IF($AH$2="",1,IF($AH$2="(blank)",--(AH26=""),IF($AH$2="(nonblank)",--(AH26&lt;&gt;""),--ISNUMBER(SEARCH($AH$2,AH26)))))</f>
      </c>
      <c r="BT26" s="137">
        <f>IF(COUNTIF($AL26:$BS26,0)&gt;0,0,1)</f>
      </c>
    </row>
    <row r="27" ht="26.25" customHeight="1" s="137">
      <c r="A27" s="148" t="n">
        <v>8.199999999999999</v>
      </c>
      <c r="B27" s="149" t="inlineStr">
        <is>
          <t>Mix Scrap (Tower angles &amp; 0.2 ACSR Condutor pieces)</t>
        </is>
      </c>
      <c r="C27" s="150" t="n">
        <v>67000</v>
      </c>
      <c r="D27" s="151" t="n">
        <v>21978</v>
      </c>
      <c r="E27" s="151" t="inlineStr">
        <is>
          <t>MT</t>
        </is>
      </c>
      <c r="F27" s="151" t="n">
        <v>2036</v>
      </c>
      <c r="G27" s="149" t="inlineStr">
        <is>
          <t>M I SCRAP TRADERS</t>
        </is>
      </c>
      <c r="H27" s="152" t="n">
        <v>549400</v>
      </c>
      <c r="I27" s="152">
        <f>ROUND(H27*18%,0)</f>
        <v/>
      </c>
      <c r="J27" s="152">
        <f>+H27+I27</f>
        <v/>
      </c>
      <c r="K27" s="152">
        <f>ROUND((H27+I27)*2%,0)</f>
        <v/>
      </c>
      <c r="L27" s="153">
        <f>H27*0.1%</f>
        <v/>
      </c>
      <c r="M27" s="153">
        <f>H27*2.25%*118%</f>
        <v/>
      </c>
      <c r="N27" s="154">
        <f>H27*2.25%*2%</f>
        <v/>
      </c>
      <c r="O27" s="153">
        <f>M27-N27</f>
        <v/>
      </c>
      <c r="P27" s="153">
        <f>ROUND(O27+L27,0)</f>
        <v/>
      </c>
      <c r="Q27" s="155" t="n">
        <v>0.02</v>
      </c>
      <c r="R27" s="153">
        <f>ROUND(H27*Q27,0)</f>
        <v/>
      </c>
      <c r="S27" s="152">
        <f>ROUND(H27*117.65%-R27,0)</f>
        <v/>
      </c>
      <c r="T27" s="153">
        <f>ROUND(H27*25%,0)</f>
        <v/>
      </c>
      <c r="U27" s="156" t="n">
        <v>137350</v>
      </c>
      <c r="V27" s="153" t="inlineStr">
        <is>
          <t>14.08.2026</t>
        </is>
      </c>
      <c r="W27" s="153">
        <f>ROUND(H27*92.65%-R27,0)</f>
        <v/>
      </c>
      <c r="X27" s="153" t="n"/>
      <c r="Y27" s="153" t="n">
        <v>0</v>
      </c>
      <c r="Z27" s="153">
        <f>IF(IF(OR(AB27="",AB27=0),TODAY(),DATE(VALUE(RIGHT(AB27,4)),VALUE(MID(AB27,4,2)),VALUE(LEFT(AB27,2))))&lt;=DATE(2026,8,24),0,H27*0.0118*CEILING((IF(OR(AB27="",AB27=0),TODAY(),DATE(VALUE(RIGHT(AB27,4)),VALUE(MID(AB27,4,2)),VALUE(LEFT(AB27,2))))-DATE(2026,8,22))/7,1))</f>
        <v/>
      </c>
      <c r="AA27" s="153" t="n"/>
      <c r="AB27" s="153" t="n"/>
      <c r="AC27" s="157">
        <f>U27+X27+AA27</f>
        <v/>
      </c>
      <c r="AD27" s="157">
        <f>S27-AC27</f>
        <v/>
      </c>
      <c r="AE27" s="153">
        <f>IF(AD27="","",IF(AD27&lt;=5,"SETTLED","OUTSTANDING"))</f>
        <v/>
      </c>
      <c r="AF27" s="153" t="n"/>
      <c r="AG27" s="158" t="n"/>
      <c r="AH27" s="159" t="n"/>
      <c r="AL27" s="137">
        <f>IF($A$2="",1,IF($A$2="(blank)",--(A27=""),IF($A$2="(nonblank)",--(A27&lt;&gt;""),--ISNUMBER(SEARCH($A$2,A27)))))</f>
      </c>
      <c r="AM27" s="137">
        <f>IF($B$2="",1,IF($B$2="(blank)",--(B27=""),IF($B$2="(nonblank)",--(B27&lt;&gt;""),--ISNUMBER(SEARCH($B$2,B27)))))</f>
      </c>
      <c r="AN27" s="137">
        <f>IF($C$2="",1,IF($C$2="(blank)",--(C27=""),IF($C$2="(nonblank)",--(C27&lt;&gt;""),--ISNUMBER(SEARCH($C$2,C27)))))</f>
      </c>
      <c r="AO27" s="137">
        <f>IF($D$2="",1,IF($D$2="(blank)",--(D27=""),IF($D$2="(nonblank)",--(D27&lt;&gt;""),--ISNUMBER(SEARCH($D$2,D27)))))</f>
      </c>
      <c r="AP27" s="137">
        <f>IF($E$2="",1,IF($E$2="(blank)",--(E27=""),IF($E$2="(nonblank)",--(E27&lt;&gt;""),--ISNUMBER(SEARCH($E$2,E27)))))</f>
      </c>
      <c r="AQ27" s="137">
        <f>IF($F$2="",1,IF($F$2="(blank)",--(F27=""),IF($F$2="(nonblank)",--(F27&lt;&gt;""),--ISNUMBER(SEARCH($F$2,F27)))))</f>
      </c>
      <c r="AR27" s="137">
        <f>IF($G$2="",1,IF($G$2="(blank)",--(G27=""),IF($G$2="(nonblank)",--(G27&lt;&gt;""),--ISNUMBER(SEARCH($G$2,G27)))))</f>
      </c>
      <c r="AS27" s="137">
        <f>IF($H$2="",1,IF($H$2="(blank)",--(H27=""),IF($H$2="(nonblank)",--(H27&lt;&gt;""),--ISNUMBER(SEARCH($H$2,H27)))))</f>
      </c>
      <c r="AT27" s="137">
        <f>IF($I$2="",1,IF($I$2="(blank)",--(I27=""),IF($I$2="(nonblank)",--(I27&lt;&gt;""),--ISNUMBER(SEARCH($I$2,I27)))))</f>
      </c>
      <c r="AU27" s="137">
        <f>IF($J$2="",1,IF($J$2="(blank)",--(J27=""),IF($J$2="(nonblank)",--(J27&lt;&gt;""),--ISNUMBER(SEARCH($J$2,J27)))))</f>
      </c>
      <c r="AV27" s="137">
        <f>IF($K$2="",1,IF($K$2="(blank)",--(K27=""),IF($K$2="(nonblank)",--(K27&lt;&gt;""),--ISNUMBER(SEARCH($K$2,K27)))))</f>
      </c>
      <c r="AW27" s="137">
        <f>IF($L$2="",1,IF($L$2="(blank)",--(L27=""),IF($L$2="(nonblank)",--(L27&lt;&gt;""),--ISNUMBER(SEARCH($L$2,L27)))))</f>
      </c>
      <c r="AX27" s="137">
        <f>IF($M$2="",1,IF($M$2="(blank)",--(M27=""),IF($M$2="(nonblank)",--(M27&lt;&gt;""),--ISNUMBER(SEARCH($M$2,M27)))))</f>
      </c>
      <c r="AY27" s="137">
        <f>IF($N$2="",1,IF($N$2="(blank)",--(N27=""),IF($N$2="(nonblank)",--(N27&lt;&gt;""),--ISNUMBER(SEARCH($N$2,N27)))))</f>
      </c>
      <c r="AZ27" s="137">
        <f>IF($O$2="",1,IF($O$2="(blank)",--(O27=""),IF($O$2="(nonblank)",--(O27&lt;&gt;""),--ISNUMBER(SEARCH($O$2,O27)))))</f>
      </c>
      <c r="BA27" s="137">
        <f>IF($P$2="",1,IF($P$2="(blank)",--(P27=""),IF($P$2="(nonblank)",--(P27&lt;&gt;""),--ISNUMBER(SEARCH($P$2,P27)))))</f>
      </c>
      <c r="BB27" s="137">
        <f>IF($Q$2="",1,IF($Q$2="(blank)",--(Q27=""),IF($Q$2="(nonblank)",--(Q27&lt;&gt;""),--ISNUMBER(SEARCH($Q$2,Q27)))))</f>
      </c>
      <c r="BC27" s="137">
        <f>IF($R$2="",1,IF($R$2="(blank)",--(R27=""),IF($R$2="(nonblank)",--(R27&lt;&gt;""),--ISNUMBER(SEARCH($R$2,R27)))))</f>
      </c>
      <c r="BD27" s="137">
        <f>IF($S$2="",1,IF($S$2="(blank)",--(S27=""),IF($S$2="(nonblank)",--(S27&lt;&gt;""),--ISNUMBER(SEARCH($S$2,S27)))))</f>
      </c>
      <c r="BE27" s="137">
        <f>IF($T$2="",1,IF($T$2="(blank)",--(T27=""),IF($T$2="(nonblank)",--(T27&lt;&gt;""),--ISNUMBER(SEARCH($T$2,T27)))))</f>
      </c>
      <c r="BF27" s="137">
        <f>IF($U$2="",1,IF($U$2="(blank)",--(U27=""),IF($U$2="(nonblank)",--(U27&lt;&gt;""),--ISNUMBER(SEARCH($U$2,U27)))))</f>
      </c>
      <c r="BG27" s="137">
        <f>IF($V$2="",1,IF($V$2="(blank)",--(V27=""),IF($V$2="(nonblank)",--(V27&lt;&gt;""),--ISNUMBER(SEARCH($V$2,V27)))))</f>
      </c>
      <c r="BH27" s="137">
        <f>IF($W$2="",1,IF($W$2="(blank)",--(W27=""),IF($W$2="(nonblank)",--(W27&lt;&gt;""),--ISNUMBER(SEARCH($W$2,W27)))))</f>
      </c>
      <c r="BI27" s="137">
        <f>IF($X$2="",1,IF($X$2="(blank)",--(X27=""),IF($X$2="(nonblank)",--(X27&lt;&gt;""),--ISNUMBER(SEARCH($X$2,X27)))))</f>
      </c>
      <c r="BJ27" s="137">
        <f>IF($Y$2="",1,IF($Y$2="(blank)",--(Y27=""),IF($Y$2="(nonblank)",--(Y27&lt;&gt;""),--ISNUMBER(SEARCH($Y$2,Y27)))))</f>
      </c>
      <c r="BK27" s="137">
        <f>IF($Z$2="",1,IF($Z$2="(blank)",--(Z27=""),IF($Z$2="(nonblank)",--(Z27&lt;&gt;""),--ISNUMBER(SEARCH($Z$2,Z27)))))</f>
      </c>
      <c r="BL27" s="137">
        <f>IF($AA$2="",1,IF($AA$2="(blank)",--(AA27=""),IF($AA$2="(nonblank)",--(AA27&lt;&gt;""),--ISNUMBER(SEARCH($AA$2,AA27)))))</f>
      </c>
      <c r="BM27" s="137">
        <f>IF($AB$2="",1,IF($AB$2="(blank)",--(AB27=""),IF($AB$2="(nonblank)",--(AB27&lt;&gt;""),--ISNUMBER(SEARCH($AB$2,AB27)))))</f>
      </c>
      <c r="BN27" s="137">
        <f>IF($AC$2="",1,IF($AC$2="(blank)",--(AC27=""),IF($AC$2="(nonblank)",--(AC27&lt;&gt;""),--ISNUMBER(SEARCH($AC$2,AC27)))))</f>
      </c>
      <c r="BO27" s="137">
        <f>IF($AD$2="",1,IF($AD$2="(blank)",--(AD27=""),IF($AD$2="(nonblank)",--(AD27&lt;&gt;""),--ISNUMBER(SEARCH($AD$2,AD27)))))</f>
      </c>
      <c r="BP27" s="137">
        <f>IF($AE$2="",1,IF($AE$2="(blank)",--(AE27=""),IF($AE$2="(nonblank)",--(AE27&lt;&gt;""),--ISNUMBER(SEARCH($AE$2,AE27)))))</f>
      </c>
      <c r="BQ27" s="137">
        <f>IF($AF$2="",1,IF($AF$2="(blank)",--(AF27=""),IF($AF$2="(nonblank)",--(AF27&lt;&gt;""),--ISNUMBER(SEARCH($AF$2,AF27)))))</f>
      </c>
      <c r="BR27" s="137">
        <f>IF($AG$2="",1,IF($AG$2="(blank)",--(AG27=""),IF($AG$2="(nonblank)",--(AG27&lt;&gt;""),--ISNUMBER(SEARCH($AG$2,AG27)))))</f>
      </c>
      <c r="BS27" s="137">
        <f>IF($AH$2="",1,IF($AH$2="(blank)",--(AH27=""),IF($AH$2="(nonblank)",--(AH27&lt;&gt;""),--ISNUMBER(SEARCH($AH$2,AH27)))))</f>
      </c>
      <c r="BT27" s="137">
        <f>IF(COUNTIF($AL27:$BS27,0)&gt;0,0,1)</f>
      </c>
    </row>
    <row r="28" ht="14.25" customHeight="1" s="137">
      <c r="A28" s="23" t="n">
        <v>50</v>
      </c>
      <c r="B28" s="24" t="inlineStr">
        <is>
          <t>Scrap of empty oil Barrels</t>
        </is>
      </c>
      <c r="C28" s="25" t="n">
        <v>531</v>
      </c>
      <c r="D28" s="26" t="n">
        <v>21978</v>
      </c>
      <c r="E28" s="26" t="inlineStr">
        <is>
          <t>NO</t>
        </is>
      </c>
      <c r="F28" s="26" t="n">
        <v>2037</v>
      </c>
      <c r="G28" s="24" t="inlineStr">
        <is>
          <t>WATAN SCRAP TRADERS</t>
        </is>
      </c>
      <c r="H28" s="27" t="n">
        <v>26550</v>
      </c>
      <c r="I28" s="27">
        <f>ROUND(H28*18%,0)</f>
        <v/>
      </c>
      <c r="J28" s="27">
        <f>+H28+I28</f>
        <v/>
      </c>
      <c r="K28" s="27">
        <f>ROUND((H28+I28)*2%,0)</f>
        <v/>
      </c>
      <c r="L28" s="28">
        <f>H28*0.1%</f>
        <v/>
      </c>
      <c r="M28" s="28">
        <f>H28*2.25%*118%</f>
        <v/>
      </c>
      <c r="N28" s="29">
        <f>H28*2.25%*2%</f>
        <v/>
      </c>
      <c r="O28" s="28">
        <f>M28-N28</f>
        <v/>
      </c>
      <c r="P28" s="28">
        <f>ROUND(O28+L28,0)</f>
        <v/>
      </c>
      <c r="Q28" s="30" t="n">
        <v>0</v>
      </c>
      <c r="R28" s="28">
        <f>ROUND(H28*Q28,0)</f>
        <v/>
      </c>
      <c r="S28" s="27">
        <f>ROUND(H28*117.65%-R28,0)</f>
        <v/>
      </c>
      <c r="T28" s="28">
        <f>ROUND(H28*25%,0)</f>
        <v/>
      </c>
      <c r="U28" s="31" t="n">
        <v>6638</v>
      </c>
      <c r="V28" s="28" t="inlineStr">
        <is>
          <t>14.08.2026</t>
        </is>
      </c>
      <c r="W28" s="28">
        <f>ROUND(H28*92.65%-R28,0)</f>
        <v/>
      </c>
      <c r="X28" s="28" t="n">
        <v>24598</v>
      </c>
      <c r="Y28" s="28" t="inlineStr">
        <is>
          <t>21.08.2026</t>
        </is>
      </c>
      <c r="Z28" s="28">
        <f>IF(IF(OR(AB28="",AB28=0),TODAY(),DATE(VALUE(RIGHT(AB28,4)),VALUE(MID(AB28,4,2)),VALUE(LEFT(AB28,2))))&lt;=DATE(2026,8,24),0,H28*0.0118*CEILING((IF(OR(AB28="",AB28=0),TODAY(),DATE(VALUE(RIGHT(AB28,4)),VALUE(MID(AB28,4,2)),VALUE(LEFT(AB28,2))))-DATE(2026,8,22))/7,1))</f>
        <v/>
      </c>
      <c r="AA28" s="28" t="n"/>
      <c r="AB28" s="28" t="n"/>
      <c r="AC28" s="15">
        <f>U28+X28+AA28</f>
        <v/>
      </c>
      <c r="AD28" s="19">
        <f>S28-AC28</f>
        <v/>
      </c>
      <c r="AE28" s="20">
        <f>IF(AD28="","",IF(AD28&lt;=5,"SETTLED","OUTSTANDING"))</f>
        <v/>
      </c>
      <c r="AF28" s="20" t="inlineStr">
        <is>
          <t>DR2640100043</t>
        </is>
      </c>
      <c r="AG28" s="21" t="n">
        <v>1800003318</v>
      </c>
      <c r="AH28" s="22" t="inlineStr">
        <is>
          <t>27.08.2026</t>
        </is>
      </c>
      <c r="AL28" s="137">
        <f>IF($A$2="",1,IF($A$2="(blank)",--(A28=""),IF($A$2="(nonblank)",--(A28&lt;&gt;""),--ISNUMBER(SEARCH($A$2,A28)))))</f>
      </c>
      <c r="AM28" s="137">
        <f>IF($B$2="",1,IF($B$2="(blank)",--(B28=""),IF($B$2="(nonblank)",--(B28&lt;&gt;""),--ISNUMBER(SEARCH($B$2,B28)))))</f>
      </c>
      <c r="AN28" s="137">
        <f>IF($C$2="",1,IF($C$2="(blank)",--(C28=""),IF($C$2="(nonblank)",--(C28&lt;&gt;""),--ISNUMBER(SEARCH($C$2,C28)))))</f>
      </c>
      <c r="AO28" s="137">
        <f>IF($D$2="",1,IF($D$2="(blank)",--(D28=""),IF($D$2="(nonblank)",--(D28&lt;&gt;""),--ISNUMBER(SEARCH($D$2,D28)))))</f>
      </c>
      <c r="AP28" s="137">
        <f>IF($E$2="",1,IF($E$2="(blank)",--(E28=""),IF($E$2="(nonblank)",--(E28&lt;&gt;""),--ISNUMBER(SEARCH($E$2,E28)))))</f>
      </c>
      <c r="AQ28" s="137">
        <f>IF($F$2="",1,IF($F$2="(blank)",--(F28=""),IF($F$2="(nonblank)",--(F28&lt;&gt;""),--ISNUMBER(SEARCH($F$2,F28)))))</f>
      </c>
      <c r="AR28" s="137">
        <f>IF($G$2="",1,IF($G$2="(blank)",--(G28=""),IF($G$2="(nonblank)",--(G28&lt;&gt;""),--ISNUMBER(SEARCH($G$2,G28)))))</f>
      </c>
      <c r="AS28" s="137">
        <f>IF($H$2="",1,IF($H$2="(blank)",--(H28=""),IF($H$2="(nonblank)",--(H28&lt;&gt;""),--ISNUMBER(SEARCH($H$2,H28)))))</f>
      </c>
      <c r="AT28" s="137">
        <f>IF($I$2="",1,IF($I$2="(blank)",--(I28=""),IF($I$2="(nonblank)",--(I28&lt;&gt;""),--ISNUMBER(SEARCH($I$2,I28)))))</f>
      </c>
      <c r="AU28" s="137">
        <f>IF($J$2="",1,IF($J$2="(blank)",--(J28=""),IF($J$2="(nonblank)",--(J28&lt;&gt;""),--ISNUMBER(SEARCH($J$2,J28)))))</f>
      </c>
      <c r="AV28" s="137">
        <f>IF($K$2="",1,IF($K$2="(blank)",--(K28=""),IF($K$2="(nonblank)",--(K28&lt;&gt;""),--ISNUMBER(SEARCH($K$2,K28)))))</f>
      </c>
      <c r="AW28" s="137">
        <f>IF($L$2="",1,IF($L$2="(blank)",--(L28=""),IF($L$2="(nonblank)",--(L28&lt;&gt;""),--ISNUMBER(SEARCH($L$2,L28)))))</f>
      </c>
      <c r="AX28" s="137">
        <f>IF($M$2="",1,IF($M$2="(blank)",--(M28=""),IF($M$2="(nonblank)",--(M28&lt;&gt;""),--ISNUMBER(SEARCH($M$2,M28)))))</f>
      </c>
      <c r="AY28" s="137">
        <f>IF($N$2="",1,IF($N$2="(blank)",--(N28=""),IF($N$2="(nonblank)",--(N28&lt;&gt;""),--ISNUMBER(SEARCH($N$2,N28)))))</f>
      </c>
      <c r="AZ28" s="137">
        <f>IF($O$2="",1,IF($O$2="(blank)",--(O28=""),IF($O$2="(nonblank)",--(O28&lt;&gt;""),--ISNUMBER(SEARCH($O$2,O28)))))</f>
      </c>
      <c r="BA28" s="137">
        <f>IF($P$2="",1,IF($P$2="(blank)",--(P28=""),IF($P$2="(nonblank)",--(P28&lt;&gt;""),--ISNUMBER(SEARCH($P$2,P28)))))</f>
      </c>
      <c r="BB28" s="137">
        <f>IF($Q$2="",1,IF($Q$2="(blank)",--(Q28=""),IF($Q$2="(nonblank)",--(Q28&lt;&gt;""),--ISNUMBER(SEARCH($Q$2,Q28)))))</f>
      </c>
      <c r="BC28" s="137">
        <f>IF($R$2="",1,IF($R$2="(blank)",--(R28=""),IF($R$2="(nonblank)",--(R28&lt;&gt;""),--ISNUMBER(SEARCH($R$2,R28)))))</f>
      </c>
      <c r="BD28" s="137">
        <f>IF($S$2="",1,IF($S$2="(blank)",--(S28=""),IF($S$2="(nonblank)",--(S28&lt;&gt;""),--ISNUMBER(SEARCH($S$2,S28)))))</f>
      </c>
      <c r="BE28" s="137">
        <f>IF($T$2="",1,IF($T$2="(blank)",--(T28=""),IF($T$2="(nonblank)",--(T28&lt;&gt;""),--ISNUMBER(SEARCH($T$2,T28)))))</f>
      </c>
      <c r="BF28" s="137">
        <f>IF($U$2="",1,IF($U$2="(blank)",--(U28=""),IF($U$2="(nonblank)",--(U28&lt;&gt;""),--ISNUMBER(SEARCH($U$2,U28)))))</f>
      </c>
      <c r="BG28" s="137">
        <f>IF($V$2="",1,IF($V$2="(blank)",--(V28=""),IF($V$2="(nonblank)",--(V28&lt;&gt;""),--ISNUMBER(SEARCH($V$2,V28)))))</f>
      </c>
      <c r="BH28" s="137">
        <f>IF($W$2="",1,IF($W$2="(blank)",--(W28=""),IF($W$2="(nonblank)",--(W28&lt;&gt;""),--ISNUMBER(SEARCH($W$2,W28)))))</f>
      </c>
      <c r="BI28" s="137">
        <f>IF($X$2="",1,IF($X$2="(blank)",--(X28=""),IF($X$2="(nonblank)",--(X28&lt;&gt;""),--ISNUMBER(SEARCH($X$2,X28)))))</f>
      </c>
      <c r="BJ28" s="137">
        <f>IF($Y$2="",1,IF($Y$2="(blank)",--(Y28=""),IF($Y$2="(nonblank)",--(Y28&lt;&gt;""),--ISNUMBER(SEARCH($Y$2,Y28)))))</f>
      </c>
      <c r="BK28" s="137">
        <f>IF($Z$2="",1,IF($Z$2="(blank)",--(Z28=""),IF($Z$2="(nonblank)",--(Z28&lt;&gt;""),--ISNUMBER(SEARCH($Z$2,Z28)))))</f>
      </c>
      <c r="BL28" s="137">
        <f>IF($AA$2="",1,IF($AA$2="(blank)",--(AA28=""),IF($AA$2="(nonblank)",--(AA28&lt;&gt;""),--ISNUMBER(SEARCH($AA$2,AA28)))))</f>
      </c>
      <c r="BM28" s="137">
        <f>IF($AB$2="",1,IF($AB$2="(blank)",--(AB28=""),IF($AB$2="(nonblank)",--(AB28&lt;&gt;""),--ISNUMBER(SEARCH($AB$2,AB28)))))</f>
      </c>
      <c r="BN28" s="137">
        <f>IF($AC$2="",1,IF($AC$2="(blank)",--(AC28=""),IF($AC$2="(nonblank)",--(AC28&lt;&gt;""),--ISNUMBER(SEARCH($AC$2,AC28)))))</f>
      </c>
      <c r="BO28" s="137">
        <f>IF($AD$2="",1,IF($AD$2="(blank)",--(AD28=""),IF($AD$2="(nonblank)",--(AD28&lt;&gt;""),--ISNUMBER(SEARCH($AD$2,AD28)))))</f>
      </c>
      <c r="BP28" s="137">
        <f>IF($AE$2="",1,IF($AE$2="(blank)",--(AE28=""),IF($AE$2="(nonblank)",--(AE28&lt;&gt;""),--ISNUMBER(SEARCH($AE$2,AE28)))))</f>
      </c>
      <c r="BQ28" s="137">
        <f>IF($AF$2="",1,IF($AF$2="(blank)",--(AF28=""),IF($AF$2="(nonblank)",--(AF28&lt;&gt;""),--ISNUMBER(SEARCH($AF$2,AF28)))))</f>
      </c>
      <c r="BR28" s="137">
        <f>IF($AG$2="",1,IF($AG$2="(blank)",--(AG28=""),IF($AG$2="(nonblank)",--(AG28&lt;&gt;""),--ISNUMBER(SEARCH($AG$2,AG28)))))</f>
      </c>
      <c r="BS28" s="137">
        <f>IF($AH$2="",1,IF($AH$2="(blank)",--(AH28=""),IF($AH$2="(nonblank)",--(AH28&lt;&gt;""),--ISNUMBER(SEARCH($AH$2,AH28)))))</f>
      </c>
      <c r="BT28" s="137">
        <f>IF(COUNTIF($AL28:$BS28,0)&gt;0,0,1)</f>
      </c>
    </row>
    <row r="29" ht="14.25" customHeight="1" s="137">
      <c r="A29" s="148" t="n">
        <v>3</v>
      </c>
      <c r="B29" s="149" t="inlineStr">
        <is>
          <t>Scrap of 33 KV CT</t>
        </is>
      </c>
      <c r="C29" s="150" t="n">
        <v>90002</v>
      </c>
      <c r="D29" s="151" t="n">
        <v>21978</v>
      </c>
      <c r="E29" s="151" t="inlineStr">
        <is>
          <t>NO</t>
        </is>
      </c>
      <c r="F29" s="151" t="n">
        <v>2040</v>
      </c>
      <c r="G29" s="149" t="inlineStr">
        <is>
          <t>STERLING ENTERPRISES</t>
        </is>
      </c>
      <c r="H29" s="152" t="n">
        <v>270006</v>
      </c>
      <c r="I29" s="152">
        <f>ROUND(H29*18%,0)</f>
        <v/>
      </c>
      <c r="J29" s="152">
        <f>+H29+I29</f>
        <v/>
      </c>
      <c r="K29" s="152">
        <f>ROUND((H29+I29)*2%,0)</f>
        <v/>
      </c>
      <c r="L29" s="153">
        <f>H29*0.1%</f>
        <v/>
      </c>
      <c r="M29" s="153">
        <f>H29*2.25%*118%</f>
        <v/>
      </c>
      <c r="N29" s="154">
        <f>H29*2.25%*2%</f>
        <v/>
      </c>
      <c r="O29" s="153">
        <f>M29-N29</f>
        <v/>
      </c>
      <c r="P29" s="153">
        <f>ROUND(O29+L29,0)</f>
        <v/>
      </c>
      <c r="Q29" s="155" t="n">
        <v>0</v>
      </c>
      <c r="R29" s="153">
        <f>ROUND(H29*Q29,0)</f>
        <v/>
      </c>
      <c r="S29" s="152">
        <f>ROUND(H29*117.65%-R29,0)</f>
        <v/>
      </c>
      <c r="T29" s="153">
        <f>ROUND(H29*25%,0)</f>
        <v/>
      </c>
      <c r="U29" s="156" t="n">
        <v>67502</v>
      </c>
      <c r="V29" s="153" t="inlineStr">
        <is>
          <t>11.08.2026</t>
        </is>
      </c>
      <c r="W29" s="153">
        <f>ROUND(H29*92.65%-R29,0)</f>
        <v/>
      </c>
      <c r="X29" s="153" t="n"/>
      <c r="Y29" s="153" t="n">
        <v>0</v>
      </c>
      <c r="Z29" s="153">
        <f>IF(IF(OR(AB29="",AB29=0),TODAY(),DATE(VALUE(RIGHT(AB29,4)),VALUE(MID(AB29,4,2)),VALUE(LEFT(AB29,2))))&lt;=DATE(2026,8,24),0,H29*0.0118*CEILING((IF(OR(AB29="",AB29=0),TODAY(),DATE(VALUE(RIGHT(AB29,4)),VALUE(MID(AB29,4,2)),VALUE(LEFT(AB29,2))))-DATE(2026,8,22))/7,1))</f>
        <v/>
      </c>
      <c r="AA29" s="153" t="n"/>
      <c r="AB29" s="153" t="n"/>
      <c r="AC29" s="157">
        <f>U29+X29+AA29</f>
        <v/>
      </c>
      <c r="AD29" s="157">
        <f>S29-AC29</f>
        <v/>
      </c>
      <c r="AE29" s="153">
        <f>IF(AD29="","",IF(AD29&lt;=5,"SETTLED","OUTSTANDING"))</f>
        <v/>
      </c>
      <c r="AF29" s="153" t="n"/>
      <c r="AG29" s="158" t="n"/>
      <c r="AH29" s="159" t="n"/>
      <c r="AL29" s="137">
        <f>IF($A$2="",1,IF($A$2="(blank)",--(A29=""),IF($A$2="(nonblank)",--(A29&lt;&gt;""),--ISNUMBER(SEARCH($A$2,A29)))))</f>
      </c>
      <c r="AM29" s="137">
        <f>IF($B$2="",1,IF($B$2="(blank)",--(B29=""),IF($B$2="(nonblank)",--(B29&lt;&gt;""),--ISNUMBER(SEARCH($B$2,B29)))))</f>
      </c>
      <c r="AN29" s="137">
        <f>IF($C$2="",1,IF($C$2="(blank)",--(C29=""),IF($C$2="(nonblank)",--(C29&lt;&gt;""),--ISNUMBER(SEARCH($C$2,C29)))))</f>
      </c>
      <c r="AO29" s="137">
        <f>IF($D$2="",1,IF($D$2="(blank)",--(D29=""),IF($D$2="(nonblank)",--(D29&lt;&gt;""),--ISNUMBER(SEARCH($D$2,D29)))))</f>
      </c>
      <c r="AP29" s="137">
        <f>IF($E$2="",1,IF($E$2="(blank)",--(E29=""),IF($E$2="(nonblank)",--(E29&lt;&gt;""),--ISNUMBER(SEARCH($E$2,E29)))))</f>
      </c>
      <c r="AQ29" s="137">
        <f>IF($F$2="",1,IF($F$2="(blank)",--(F29=""),IF($F$2="(nonblank)",--(F29&lt;&gt;""),--ISNUMBER(SEARCH($F$2,F29)))))</f>
      </c>
      <c r="AR29" s="137">
        <f>IF($G$2="",1,IF($G$2="(blank)",--(G29=""),IF($G$2="(nonblank)",--(G29&lt;&gt;""),--ISNUMBER(SEARCH($G$2,G29)))))</f>
      </c>
      <c r="AS29" s="137">
        <f>IF($H$2="",1,IF($H$2="(blank)",--(H29=""),IF($H$2="(nonblank)",--(H29&lt;&gt;""),--ISNUMBER(SEARCH($H$2,H29)))))</f>
      </c>
      <c r="AT29" s="137">
        <f>IF($I$2="",1,IF($I$2="(blank)",--(I29=""),IF($I$2="(nonblank)",--(I29&lt;&gt;""),--ISNUMBER(SEARCH($I$2,I29)))))</f>
      </c>
      <c r="AU29" s="137">
        <f>IF($J$2="",1,IF($J$2="(blank)",--(J29=""),IF($J$2="(nonblank)",--(J29&lt;&gt;""),--ISNUMBER(SEARCH($J$2,J29)))))</f>
      </c>
      <c r="AV29" s="137">
        <f>IF($K$2="",1,IF($K$2="(blank)",--(K29=""),IF($K$2="(nonblank)",--(K29&lt;&gt;""),--ISNUMBER(SEARCH($K$2,K29)))))</f>
      </c>
      <c r="AW29" s="137">
        <f>IF($L$2="",1,IF($L$2="(blank)",--(L29=""),IF($L$2="(nonblank)",--(L29&lt;&gt;""),--ISNUMBER(SEARCH($L$2,L29)))))</f>
      </c>
      <c r="AX29" s="137">
        <f>IF($M$2="",1,IF($M$2="(blank)",--(M29=""),IF($M$2="(nonblank)",--(M29&lt;&gt;""),--ISNUMBER(SEARCH($M$2,M29)))))</f>
      </c>
      <c r="AY29" s="137">
        <f>IF($N$2="",1,IF($N$2="(blank)",--(N29=""),IF($N$2="(nonblank)",--(N29&lt;&gt;""),--ISNUMBER(SEARCH($N$2,N29)))))</f>
      </c>
      <c r="AZ29" s="137">
        <f>IF($O$2="",1,IF($O$2="(blank)",--(O29=""),IF($O$2="(nonblank)",--(O29&lt;&gt;""),--ISNUMBER(SEARCH($O$2,O29)))))</f>
      </c>
      <c r="BA29" s="137">
        <f>IF($P$2="",1,IF($P$2="(blank)",--(P29=""),IF($P$2="(nonblank)",--(P29&lt;&gt;""),--ISNUMBER(SEARCH($P$2,P29)))))</f>
      </c>
      <c r="BB29" s="137">
        <f>IF($Q$2="",1,IF($Q$2="(blank)",--(Q29=""),IF($Q$2="(nonblank)",--(Q29&lt;&gt;""),--ISNUMBER(SEARCH($Q$2,Q29)))))</f>
      </c>
      <c r="BC29" s="137">
        <f>IF($R$2="",1,IF($R$2="(blank)",--(R29=""),IF($R$2="(nonblank)",--(R29&lt;&gt;""),--ISNUMBER(SEARCH($R$2,R29)))))</f>
      </c>
      <c r="BD29" s="137">
        <f>IF($S$2="",1,IF($S$2="(blank)",--(S29=""),IF($S$2="(nonblank)",--(S29&lt;&gt;""),--ISNUMBER(SEARCH($S$2,S29)))))</f>
      </c>
      <c r="BE29" s="137">
        <f>IF($T$2="",1,IF($T$2="(blank)",--(T29=""),IF($T$2="(nonblank)",--(T29&lt;&gt;""),--ISNUMBER(SEARCH($T$2,T29)))))</f>
      </c>
      <c r="BF29" s="137">
        <f>IF($U$2="",1,IF($U$2="(blank)",--(U29=""),IF($U$2="(nonblank)",--(U29&lt;&gt;""),--ISNUMBER(SEARCH($U$2,U29)))))</f>
      </c>
      <c r="BG29" s="137">
        <f>IF($V$2="",1,IF($V$2="(blank)",--(V29=""),IF($V$2="(nonblank)",--(V29&lt;&gt;""),--ISNUMBER(SEARCH($V$2,V29)))))</f>
      </c>
      <c r="BH29" s="137">
        <f>IF($W$2="",1,IF($W$2="(blank)",--(W29=""),IF($W$2="(nonblank)",--(W29&lt;&gt;""),--ISNUMBER(SEARCH($W$2,W29)))))</f>
      </c>
      <c r="BI29" s="137">
        <f>IF($X$2="",1,IF($X$2="(blank)",--(X29=""),IF($X$2="(nonblank)",--(X29&lt;&gt;""),--ISNUMBER(SEARCH($X$2,X29)))))</f>
      </c>
      <c r="BJ29" s="137">
        <f>IF($Y$2="",1,IF($Y$2="(blank)",--(Y29=""),IF($Y$2="(nonblank)",--(Y29&lt;&gt;""),--ISNUMBER(SEARCH($Y$2,Y29)))))</f>
      </c>
      <c r="BK29" s="137">
        <f>IF($Z$2="",1,IF($Z$2="(blank)",--(Z29=""),IF($Z$2="(nonblank)",--(Z29&lt;&gt;""),--ISNUMBER(SEARCH($Z$2,Z29)))))</f>
      </c>
      <c r="BL29" s="137">
        <f>IF($AA$2="",1,IF($AA$2="(blank)",--(AA29=""),IF($AA$2="(nonblank)",--(AA29&lt;&gt;""),--ISNUMBER(SEARCH($AA$2,AA29)))))</f>
      </c>
      <c r="BM29" s="137">
        <f>IF($AB$2="",1,IF($AB$2="(blank)",--(AB29=""),IF($AB$2="(nonblank)",--(AB29&lt;&gt;""),--ISNUMBER(SEARCH($AB$2,AB29)))))</f>
      </c>
      <c r="BN29" s="137">
        <f>IF($AC$2="",1,IF($AC$2="(blank)",--(AC29=""),IF($AC$2="(nonblank)",--(AC29&lt;&gt;""),--ISNUMBER(SEARCH($AC$2,AC29)))))</f>
      </c>
      <c r="BO29" s="137">
        <f>IF($AD$2="",1,IF($AD$2="(blank)",--(AD29=""),IF($AD$2="(nonblank)",--(AD29&lt;&gt;""),--ISNUMBER(SEARCH($AD$2,AD29)))))</f>
      </c>
      <c r="BP29" s="137">
        <f>IF($AE$2="",1,IF($AE$2="(blank)",--(AE29=""),IF($AE$2="(nonblank)",--(AE29&lt;&gt;""),--ISNUMBER(SEARCH($AE$2,AE29)))))</f>
      </c>
      <c r="BQ29" s="137">
        <f>IF($AF$2="",1,IF($AF$2="(blank)",--(AF29=""),IF($AF$2="(nonblank)",--(AF29&lt;&gt;""),--ISNUMBER(SEARCH($AF$2,AF29)))))</f>
      </c>
      <c r="BR29" s="137">
        <f>IF($AG$2="",1,IF($AG$2="(blank)",--(AG29=""),IF($AG$2="(nonblank)",--(AG29&lt;&gt;""),--ISNUMBER(SEARCH($AG$2,AG29)))))</f>
      </c>
      <c r="BS29" s="137">
        <f>IF($AH$2="",1,IF($AH$2="(blank)",--(AH29=""),IF($AH$2="(nonblank)",--(AH29&lt;&gt;""),--ISNUMBER(SEARCH($AH$2,AH29)))))</f>
      </c>
      <c r="BT29" s="137">
        <f>IF(COUNTIF($AL29:$BS29,0)&gt;0,0,1)</f>
      </c>
    </row>
    <row r="30" ht="14.25" customHeight="1" s="137">
      <c r="A30" s="23" t="n">
        <v>5</v>
      </c>
      <c r="B30" s="24" t="inlineStr">
        <is>
          <t>Scrap of 132 KV CT</t>
        </is>
      </c>
      <c r="C30" s="25" t="n">
        <v>80000</v>
      </c>
      <c r="D30" s="26" t="n">
        <v>21979</v>
      </c>
      <c r="E30" s="26" t="inlineStr">
        <is>
          <t>NO</t>
        </is>
      </c>
      <c r="F30" s="26" t="n">
        <v>2043</v>
      </c>
      <c r="G30" s="24" t="inlineStr">
        <is>
          <t>NATIONAL ENTERPRISES</t>
        </is>
      </c>
      <c r="H30" s="27" t="n">
        <v>400000</v>
      </c>
      <c r="I30" s="27">
        <f>ROUND(H30*18%,0)</f>
        <v/>
      </c>
      <c r="J30" s="27">
        <f>+H30+I30</f>
        <v/>
      </c>
      <c r="K30" s="27">
        <f>ROUND((H30+I30)*2%,0)</f>
        <v/>
      </c>
      <c r="L30" s="28">
        <f>H30*0.1%</f>
        <v/>
      </c>
      <c r="M30" s="28">
        <f>H30*2.25%*118%</f>
        <v/>
      </c>
      <c r="N30" s="29">
        <f>H30*2.25%*2%</f>
        <v/>
      </c>
      <c r="O30" s="28">
        <f>M30-N30</f>
        <v/>
      </c>
      <c r="P30" s="28">
        <f>ROUND(O30+L30,0)</f>
        <v/>
      </c>
      <c r="Q30" s="30" t="n">
        <v>0</v>
      </c>
      <c r="R30" s="28">
        <f>ROUND(H30*Q30,0)</f>
        <v/>
      </c>
      <c r="S30" s="27">
        <f>ROUND(H30*117.65%-R30,0)</f>
        <v/>
      </c>
      <c r="T30" s="28">
        <f>ROUND(H30*25%,0)</f>
        <v/>
      </c>
      <c r="U30" s="31">
        <f>+T30</f>
        <v/>
      </c>
      <c r="V30" s="28" t="inlineStr">
        <is>
          <t>13.08.2026</t>
        </is>
      </c>
      <c r="W30" s="28">
        <f>ROUND(H30*92.65%-R30,0)</f>
        <v/>
      </c>
      <c r="X30" s="28" t="n">
        <v>370600</v>
      </c>
      <c r="Y30" s="28" t="inlineStr">
        <is>
          <t>24.08.2026</t>
        </is>
      </c>
      <c r="Z30" s="28">
        <f>IF(IF(OR(AB30="",AB30=0),TODAY(),DATE(VALUE(RIGHT(AB30,4)),VALUE(MID(AB30,4,2)),VALUE(LEFT(AB30,2))))&lt;=DATE(2026,8,24),0,H30*0.0118*CEILING((IF(OR(AB30="",AB30=0),TODAY(),DATE(VALUE(RIGHT(AB30,4)),VALUE(MID(AB30,4,2)),VALUE(LEFT(AB30,2))))-DATE(2026,8,22))/7,1))</f>
        <v/>
      </c>
      <c r="AA30" s="28" t="n"/>
      <c r="AB30" s="28" t="n"/>
      <c r="AC30" s="15">
        <f>U30+X30+AA30</f>
        <v/>
      </c>
      <c r="AD30" s="19">
        <f>S30-AC30</f>
        <v/>
      </c>
      <c r="AE30" s="20">
        <f>IF(AD30="","",IF(AD30&lt;=5,"SETTLED","OUTSTANDING"))</f>
        <v/>
      </c>
      <c r="AF30" s="20" t="inlineStr">
        <is>
          <t>DR2640100038</t>
        </is>
      </c>
      <c r="AG30" s="21" t="n">
        <v>1800003311</v>
      </c>
      <c r="AH30" s="22" t="inlineStr">
        <is>
          <t>27.08.2026</t>
        </is>
      </c>
      <c r="AL30" s="137">
        <f>IF($A$2="",1,IF($A$2="(blank)",--(A30=""),IF($A$2="(nonblank)",--(A30&lt;&gt;""),--ISNUMBER(SEARCH($A$2,A30)))))</f>
      </c>
      <c r="AM30" s="137">
        <f>IF($B$2="",1,IF($B$2="(blank)",--(B30=""),IF($B$2="(nonblank)",--(B30&lt;&gt;""),--ISNUMBER(SEARCH($B$2,B30)))))</f>
      </c>
      <c r="AN30" s="137">
        <f>IF($C$2="",1,IF($C$2="(blank)",--(C30=""),IF($C$2="(nonblank)",--(C30&lt;&gt;""),--ISNUMBER(SEARCH($C$2,C30)))))</f>
      </c>
      <c r="AO30" s="137">
        <f>IF($D$2="",1,IF($D$2="(blank)",--(D30=""),IF($D$2="(nonblank)",--(D30&lt;&gt;""),--ISNUMBER(SEARCH($D$2,D30)))))</f>
      </c>
      <c r="AP30" s="137">
        <f>IF($E$2="",1,IF($E$2="(blank)",--(E30=""),IF($E$2="(nonblank)",--(E30&lt;&gt;""),--ISNUMBER(SEARCH($E$2,E30)))))</f>
      </c>
      <c r="AQ30" s="137">
        <f>IF($F$2="",1,IF($F$2="(blank)",--(F30=""),IF($F$2="(nonblank)",--(F30&lt;&gt;""),--ISNUMBER(SEARCH($F$2,F30)))))</f>
      </c>
      <c r="AR30" s="137">
        <f>IF($G$2="",1,IF($G$2="(blank)",--(G30=""),IF($G$2="(nonblank)",--(G30&lt;&gt;""),--ISNUMBER(SEARCH($G$2,G30)))))</f>
      </c>
      <c r="AS30" s="137">
        <f>IF($H$2="",1,IF($H$2="(blank)",--(H30=""),IF($H$2="(nonblank)",--(H30&lt;&gt;""),--ISNUMBER(SEARCH($H$2,H30)))))</f>
      </c>
      <c r="AT30" s="137">
        <f>IF($I$2="",1,IF($I$2="(blank)",--(I30=""),IF($I$2="(nonblank)",--(I30&lt;&gt;""),--ISNUMBER(SEARCH($I$2,I30)))))</f>
      </c>
      <c r="AU30" s="137">
        <f>IF($J$2="",1,IF($J$2="(blank)",--(J30=""),IF($J$2="(nonblank)",--(J30&lt;&gt;""),--ISNUMBER(SEARCH($J$2,J30)))))</f>
      </c>
      <c r="AV30" s="137">
        <f>IF($K$2="",1,IF($K$2="(blank)",--(K30=""),IF($K$2="(nonblank)",--(K30&lt;&gt;""),--ISNUMBER(SEARCH($K$2,K30)))))</f>
      </c>
      <c r="AW30" s="137">
        <f>IF($L$2="",1,IF($L$2="(blank)",--(L30=""),IF($L$2="(nonblank)",--(L30&lt;&gt;""),--ISNUMBER(SEARCH($L$2,L30)))))</f>
      </c>
      <c r="AX30" s="137">
        <f>IF($M$2="",1,IF($M$2="(blank)",--(M30=""),IF($M$2="(nonblank)",--(M30&lt;&gt;""),--ISNUMBER(SEARCH($M$2,M30)))))</f>
      </c>
      <c r="AY30" s="137">
        <f>IF($N$2="",1,IF($N$2="(blank)",--(N30=""),IF($N$2="(nonblank)",--(N30&lt;&gt;""),--ISNUMBER(SEARCH($N$2,N30)))))</f>
      </c>
      <c r="AZ30" s="137">
        <f>IF($O$2="",1,IF($O$2="(blank)",--(O30=""),IF($O$2="(nonblank)",--(O30&lt;&gt;""),--ISNUMBER(SEARCH($O$2,O30)))))</f>
      </c>
      <c r="BA30" s="137">
        <f>IF($P$2="",1,IF($P$2="(blank)",--(P30=""),IF($P$2="(nonblank)",--(P30&lt;&gt;""),--ISNUMBER(SEARCH($P$2,P30)))))</f>
      </c>
      <c r="BB30" s="137">
        <f>IF($Q$2="",1,IF($Q$2="(blank)",--(Q30=""),IF($Q$2="(nonblank)",--(Q30&lt;&gt;""),--ISNUMBER(SEARCH($Q$2,Q30)))))</f>
      </c>
      <c r="BC30" s="137">
        <f>IF($R$2="",1,IF($R$2="(blank)",--(R30=""),IF($R$2="(nonblank)",--(R30&lt;&gt;""),--ISNUMBER(SEARCH($R$2,R30)))))</f>
      </c>
      <c r="BD30" s="137">
        <f>IF($S$2="",1,IF($S$2="(blank)",--(S30=""),IF($S$2="(nonblank)",--(S30&lt;&gt;""),--ISNUMBER(SEARCH($S$2,S30)))))</f>
      </c>
      <c r="BE30" s="137">
        <f>IF($T$2="",1,IF($T$2="(blank)",--(T30=""),IF($T$2="(nonblank)",--(T30&lt;&gt;""),--ISNUMBER(SEARCH($T$2,T30)))))</f>
      </c>
      <c r="BF30" s="137">
        <f>IF($U$2="",1,IF($U$2="(blank)",--(U30=""),IF($U$2="(nonblank)",--(U30&lt;&gt;""),--ISNUMBER(SEARCH($U$2,U30)))))</f>
      </c>
      <c r="BG30" s="137">
        <f>IF($V$2="",1,IF($V$2="(blank)",--(V30=""),IF($V$2="(nonblank)",--(V30&lt;&gt;""),--ISNUMBER(SEARCH($V$2,V30)))))</f>
      </c>
      <c r="BH30" s="137">
        <f>IF($W$2="",1,IF($W$2="(blank)",--(W30=""),IF($W$2="(nonblank)",--(W30&lt;&gt;""),--ISNUMBER(SEARCH($W$2,W30)))))</f>
      </c>
      <c r="BI30" s="137">
        <f>IF($X$2="",1,IF($X$2="(blank)",--(X30=""),IF($X$2="(nonblank)",--(X30&lt;&gt;""),--ISNUMBER(SEARCH($X$2,X30)))))</f>
      </c>
      <c r="BJ30" s="137">
        <f>IF($Y$2="",1,IF($Y$2="(blank)",--(Y30=""),IF($Y$2="(nonblank)",--(Y30&lt;&gt;""),--ISNUMBER(SEARCH($Y$2,Y30)))))</f>
      </c>
      <c r="BK30" s="137">
        <f>IF($Z$2="",1,IF($Z$2="(blank)",--(Z30=""),IF($Z$2="(nonblank)",--(Z30&lt;&gt;""),--ISNUMBER(SEARCH($Z$2,Z30)))))</f>
      </c>
      <c r="BL30" s="137">
        <f>IF($AA$2="",1,IF($AA$2="(blank)",--(AA30=""),IF($AA$2="(nonblank)",--(AA30&lt;&gt;""),--ISNUMBER(SEARCH($AA$2,AA30)))))</f>
      </c>
      <c r="BM30" s="137">
        <f>IF($AB$2="",1,IF($AB$2="(blank)",--(AB30=""),IF($AB$2="(nonblank)",--(AB30&lt;&gt;""),--ISNUMBER(SEARCH($AB$2,AB30)))))</f>
      </c>
      <c r="BN30" s="137">
        <f>IF($AC$2="",1,IF($AC$2="(blank)",--(AC30=""),IF($AC$2="(nonblank)",--(AC30&lt;&gt;""),--ISNUMBER(SEARCH($AC$2,AC30)))))</f>
      </c>
      <c r="BO30" s="137">
        <f>IF($AD$2="",1,IF($AD$2="(blank)",--(AD30=""),IF($AD$2="(nonblank)",--(AD30&lt;&gt;""),--ISNUMBER(SEARCH($AD$2,AD30)))))</f>
      </c>
      <c r="BP30" s="137">
        <f>IF($AE$2="",1,IF($AE$2="(blank)",--(AE30=""),IF($AE$2="(nonblank)",--(AE30&lt;&gt;""),--ISNUMBER(SEARCH($AE$2,AE30)))))</f>
      </c>
      <c r="BQ30" s="137">
        <f>IF($AF$2="",1,IF($AF$2="(blank)",--(AF30=""),IF($AF$2="(nonblank)",--(AF30&lt;&gt;""),--ISNUMBER(SEARCH($AF$2,AF30)))))</f>
      </c>
      <c r="BR30" s="137">
        <f>IF($AG$2="",1,IF($AG$2="(blank)",--(AG30=""),IF($AG$2="(nonblank)",--(AG30&lt;&gt;""),--ISNUMBER(SEARCH($AG$2,AG30)))))</f>
      </c>
      <c r="BS30" s="137">
        <f>IF($AH$2="",1,IF($AH$2="(blank)",--(AH30=""),IF($AH$2="(nonblank)",--(AH30&lt;&gt;""),--ISNUMBER(SEARCH($AH$2,AH30)))))</f>
      </c>
      <c r="BT30" s="137">
        <f>IF(COUNTIF($AL30:$BS30,0)&gt;0,0,1)</f>
      </c>
    </row>
    <row r="31" ht="14.25" customHeight="1" s="137">
      <c r="A31" s="148" t="n">
        <v>670</v>
      </c>
      <c r="B31" s="149" t="inlineStr">
        <is>
          <t>Scrap of AAAC Earth wire</t>
        </is>
      </c>
      <c r="C31" s="150" t="n">
        <v>309</v>
      </c>
      <c r="D31" s="151" t="n">
        <v>21979</v>
      </c>
      <c r="E31" s="151" t="inlineStr">
        <is>
          <t>KG</t>
        </is>
      </c>
      <c r="F31" s="151" t="n">
        <v>2046</v>
      </c>
      <c r="G31" s="149" t="inlineStr">
        <is>
          <t>SAHARA ENTERPRISES</t>
        </is>
      </c>
      <c r="H31" s="152" t="n">
        <v>207030</v>
      </c>
      <c r="I31" s="152">
        <f>ROUND(H31*18%,0)</f>
        <v/>
      </c>
      <c r="J31" s="152">
        <f>+H31+I31</f>
        <v/>
      </c>
      <c r="K31" s="152">
        <f>ROUND((H31+I31)*2%,0)</f>
        <v/>
      </c>
      <c r="L31" s="153">
        <f>H31*0.1%</f>
        <v/>
      </c>
      <c r="M31" s="153">
        <f>H31*2.25%*118%</f>
        <v/>
      </c>
      <c r="N31" s="154">
        <f>H31*2.25%*2%</f>
        <v/>
      </c>
      <c r="O31" s="153">
        <f>M31-N31</f>
        <v/>
      </c>
      <c r="P31" s="153">
        <f>ROUND(O31+L31,0)</f>
        <v/>
      </c>
      <c r="Q31" s="155" t="n">
        <v>0</v>
      </c>
      <c r="R31" s="153">
        <f>ROUND(H31*Q31,0)</f>
        <v/>
      </c>
      <c r="S31" s="152">
        <f>ROUND(H31*117.65%-R31,0)</f>
        <v/>
      </c>
      <c r="T31" s="153">
        <f>ROUND(H31*25%,0)</f>
        <v/>
      </c>
      <c r="U31" s="156" t="n">
        <v>51758</v>
      </c>
      <c r="V31" s="153" t="inlineStr">
        <is>
          <t>11.08.2026</t>
        </is>
      </c>
      <c r="W31" s="153">
        <f>ROUND(H31*92.65%-R31,0)</f>
        <v/>
      </c>
      <c r="X31" s="153" t="n">
        <v>191812</v>
      </c>
      <c r="Y31" s="153" t="inlineStr">
        <is>
          <t>21.08.2026</t>
        </is>
      </c>
      <c r="Z31" s="153">
        <f>IF(IF(OR(AB31="",AB31=0),TODAY(),DATE(VALUE(RIGHT(AB31,4)),VALUE(MID(AB31,4,2)),VALUE(LEFT(AB31,2))))&lt;=DATE(2026,8,24),0,H31*0.0118*CEILING((IF(OR(AB31="",AB31=0),TODAY(),DATE(VALUE(RIGHT(AB31,4)),VALUE(MID(AB31,4,2)),VALUE(LEFT(AB31,2))))-DATE(2026,8,22))/7,1))</f>
        <v/>
      </c>
      <c r="AA31" s="153" t="n"/>
      <c r="AB31" s="153" t="n"/>
      <c r="AC31" s="157">
        <f>U31+X31+AA31</f>
        <v/>
      </c>
      <c r="AD31" s="157">
        <f>S31-AC31</f>
        <v/>
      </c>
      <c r="AE31" s="153">
        <f>IF(AD31="","",IF(AD31&lt;=5,"SETTLED","OUTSTANDING"))</f>
        <v/>
      </c>
      <c r="AF31" s="153" t="inlineStr">
        <is>
          <t>DR2640100041</t>
        </is>
      </c>
      <c r="AG31" s="158" t="n">
        <v>1800003316</v>
      </c>
      <c r="AH31" s="159" t="inlineStr">
        <is>
          <t>27.08.2026</t>
        </is>
      </c>
      <c r="AL31" s="137">
        <f>IF($A$2="",1,IF($A$2="(blank)",--(A31=""),IF($A$2="(nonblank)",--(A31&lt;&gt;""),--ISNUMBER(SEARCH($A$2,A31)))))</f>
      </c>
      <c r="AM31" s="137">
        <f>IF($B$2="",1,IF($B$2="(blank)",--(B31=""),IF($B$2="(nonblank)",--(B31&lt;&gt;""),--ISNUMBER(SEARCH($B$2,B31)))))</f>
      </c>
      <c r="AN31" s="137">
        <f>IF($C$2="",1,IF($C$2="(blank)",--(C31=""),IF($C$2="(nonblank)",--(C31&lt;&gt;""),--ISNUMBER(SEARCH($C$2,C31)))))</f>
      </c>
      <c r="AO31" s="137">
        <f>IF($D$2="",1,IF($D$2="(blank)",--(D31=""),IF($D$2="(nonblank)",--(D31&lt;&gt;""),--ISNUMBER(SEARCH($D$2,D31)))))</f>
      </c>
      <c r="AP31" s="137">
        <f>IF($E$2="",1,IF($E$2="(blank)",--(E31=""),IF($E$2="(nonblank)",--(E31&lt;&gt;""),--ISNUMBER(SEARCH($E$2,E31)))))</f>
      </c>
      <c r="AQ31" s="137">
        <f>IF($F$2="",1,IF($F$2="(blank)",--(F31=""),IF($F$2="(nonblank)",--(F31&lt;&gt;""),--ISNUMBER(SEARCH($F$2,F31)))))</f>
      </c>
      <c r="AR31" s="137">
        <f>IF($G$2="",1,IF($G$2="(blank)",--(G31=""),IF($G$2="(nonblank)",--(G31&lt;&gt;""),--ISNUMBER(SEARCH($G$2,G31)))))</f>
      </c>
      <c r="AS31" s="137">
        <f>IF($H$2="",1,IF($H$2="(blank)",--(H31=""),IF($H$2="(nonblank)",--(H31&lt;&gt;""),--ISNUMBER(SEARCH($H$2,H31)))))</f>
      </c>
      <c r="AT31" s="137">
        <f>IF($I$2="",1,IF($I$2="(blank)",--(I31=""),IF($I$2="(nonblank)",--(I31&lt;&gt;""),--ISNUMBER(SEARCH($I$2,I31)))))</f>
      </c>
      <c r="AU31" s="137">
        <f>IF($J$2="",1,IF($J$2="(blank)",--(J31=""),IF($J$2="(nonblank)",--(J31&lt;&gt;""),--ISNUMBER(SEARCH($J$2,J31)))))</f>
      </c>
      <c r="AV31" s="137">
        <f>IF($K$2="",1,IF($K$2="(blank)",--(K31=""),IF($K$2="(nonblank)",--(K31&lt;&gt;""),--ISNUMBER(SEARCH($K$2,K31)))))</f>
      </c>
      <c r="AW31" s="137">
        <f>IF($L$2="",1,IF($L$2="(blank)",--(L31=""),IF($L$2="(nonblank)",--(L31&lt;&gt;""),--ISNUMBER(SEARCH($L$2,L31)))))</f>
      </c>
      <c r="AX31" s="137">
        <f>IF($M$2="",1,IF($M$2="(blank)",--(M31=""),IF($M$2="(nonblank)",--(M31&lt;&gt;""),--ISNUMBER(SEARCH($M$2,M31)))))</f>
      </c>
      <c r="AY31" s="137">
        <f>IF($N$2="",1,IF($N$2="(blank)",--(N31=""),IF($N$2="(nonblank)",--(N31&lt;&gt;""),--ISNUMBER(SEARCH($N$2,N31)))))</f>
      </c>
      <c r="AZ31" s="137">
        <f>IF($O$2="",1,IF($O$2="(blank)",--(O31=""),IF($O$2="(nonblank)",--(O31&lt;&gt;""),--ISNUMBER(SEARCH($O$2,O31)))))</f>
      </c>
      <c r="BA31" s="137">
        <f>IF($P$2="",1,IF($P$2="(blank)",--(P31=""),IF($P$2="(nonblank)",--(P31&lt;&gt;""),--ISNUMBER(SEARCH($P$2,P31)))))</f>
      </c>
      <c r="BB31" s="137">
        <f>IF($Q$2="",1,IF($Q$2="(blank)",--(Q31=""),IF($Q$2="(nonblank)",--(Q31&lt;&gt;""),--ISNUMBER(SEARCH($Q$2,Q31)))))</f>
      </c>
      <c r="BC31" s="137">
        <f>IF($R$2="",1,IF($R$2="(blank)",--(R31=""),IF($R$2="(nonblank)",--(R31&lt;&gt;""),--ISNUMBER(SEARCH($R$2,R31)))))</f>
      </c>
      <c r="BD31" s="137">
        <f>IF($S$2="",1,IF($S$2="(blank)",--(S31=""),IF($S$2="(nonblank)",--(S31&lt;&gt;""),--ISNUMBER(SEARCH($S$2,S31)))))</f>
      </c>
      <c r="BE31" s="137">
        <f>IF($T$2="",1,IF($T$2="(blank)",--(T31=""),IF($T$2="(nonblank)",--(T31&lt;&gt;""),--ISNUMBER(SEARCH($T$2,T31)))))</f>
      </c>
      <c r="BF31" s="137">
        <f>IF($U$2="",1,IF($U$2="(blank)",--(U31=""),IF($U$2="(nonblank)",--(U31&lt;&gt;""),--ISNUMBER(SEARCH($U$2,U31)))))</f>
      </c>
      <c r="BG31" s="137">
        <f>IF($V$2="",1,IF($V$2="(blank)",--(V31=""),IF($V$2="(nonblank)",--(V31&lt;&gt;""),--ISNUMBER(SEARCH($V$2,V31)))))</f>
      </c>
      <c r="BH31" s="137">
        <f>IF($W$2="",1,IF($W$2="(blank)",--(W31=""),IF($W$2="(nonblank)",--(W31&lt;&gt;""),--ISNUMBER(SEARCH($W$2,W31)))))</f>
      </c>
      <c r="BI31" s="137">
        <f>IF($X$2="",1,IF($X$2="(blank)",--(X31=""),IF($X$2="(nonblank)",--(X31&lt;&gt;""),--ISNUMBER(SEARCH($X$2,X31)))))</f>
      </c>
      <c r="BJ31" s="137">
        <f>IF($Y$2="",1,IF($Y$2="(blank)",--(Y31=""),IF($Y$2="(nonblank)",--(Y31&lt;&gt;""),--ISNUMBER(SEARCH($Y$2,Y31)))))</f>
      </c>
      <c r="BK31" s="137">
        <f>IF($Z$2="",1,IF($Z$2="(blank)",--(Z31=""),IF($Z$2="(nonblank)",--(Z31&lt;&gt;""),--ISNUMBER(SEARCH($Z$2,Z31)))))</f>
      </c>
      <c r="BL31" s="137">
        <f>IF($AA$2="",1,IF($AA$2="(blank)",--(AA31=""),IF($AA$2="(nonblank)",--(AA31&lt;&gt;""),--ISNUMBER(SEARCH($AA$2,AA31)))))</f>
      </c>
      <c r="BM31" s="137">
        <f>IF($AB$2="",1,IF($AB$2="(blank)",--(AB31=""),IF($AB$2="(nonblank)",--(AB31&lt;&gt;""),--ISNUMBER(SEARCH($AB$2,AB31)))))</f>
      </c>
      <c r="BN31" s="137">
        <f>IF($AC$2="",1,IF($AC$2="(blank)",--(AC31=""),IF($AC$2="(nonblank)",--(AC31&lt;&gt;""),--ISNUMBER(SEARCH($AC$2,AC31)))))</f>
      </c>
      <c r="BO31" s="137">
        <f>IF($AD$2="",1,IF($AD$2="(blank)",--(AD31=""),IF($AD$2="(nonblank)",--(AD31&lt;&gt;""),--ISNUMBER(SEARCH($AD$2,AD31)))))</f>
      </c>
      <c r="BP31" s="137">
        <f>IF($AE$2="",1,IF($AE$2="(blank)",--(AE31=""),IF($AE$2="(nonblank)",--(AE31&lt;&gt;""),--ISNUMBER(SEARCH($AE$2,AE31)))))</f>
      </c>
      <c r="BQ31" s="137">
        <f>IF($AF$2="",1,IF($AF$2="(blank)",--(AF31=""),IF($AF$2="(nonblank)",--(AF31&lt;&gt;""),--ISNUMBER(SEARCH($AF$2,AF31)))))</f>
      </c>
      <c r="BR31" s="137">
        <f>IF($AG$2="",1,IF($AG$2="(blank)",--(AG31=""),IF($AG$2="(nonblank)",--(AG31&lt;&gt;""),--ISNUMBER(SEARCH($AG$2,AG31)))))</f>
      </c>
      <c r="BS31" s="137">
        <f>IF($AH$2="",1,IF($AH$2="(blank)",--(AH31=""),IF($AH$2="(nonblank)",--(AH31&lt;&gt;""),--ISNUMBER(SEARCH($AH$2,AH31)))))</f>
      </c>
      <c r="BT31" s="137">
        <f>IF(COUNTIF($AL31:$BS31,0)&gt;0,0,1)</f>
      </c>
    </row>
    <row r="32" ht="14.25" customHeight="1" s="137">
      <c r="A32" s="23" t="n">
        <v>2</v>
      </c>
      <c r="B32" s="24" t="inlineStr">
        <is>
          <t>Scrap of 220 KV CT</t>
        </is>
      </c>
      <c r="C32" s="25" t="n">
        <v>80006</v>
      </c>
      <c r="D32" s="26" t="n">
        <v>21979</v>
      </c>
      <c r="E32" s="26" t="inlineStr">
        <is>
          <t>NO</t>
        </is>
      </c>
      <c r="F32" s="26" t="n">
        <v>2055</v>
      </c>
      <c r="G32" s="24" t="inlineStr">
        <is>
          <t>NATIONAL ENTERPRISES</t>
        </is>
      </c>
      <c r="H32" s="27" t="n">
        <v>160012</v>
      </c>
      <c r="I32" s="27">
        <f>ROUND(H32*18%,0)</f>
        <v/>
      </c>
      <c r="J32" s="27">
        <f>+H32+I32</f>
        <v/>
      </c>
      <c r="K32" s="27">
        <f>ROUND((H32+I32)*2%,0)</f>
        <v/>
      </c>
      <c r="L32" s="28">
        <f>H32*0.1%</f>
        <v/>
      </c>
      <c r="M32" s="28">
        <f>H32*2.25%*118%</f>
        <v/>
      </c>
      <c r="N32" s="29">
        <f>H32*2.25%*2%</f>
        <v/>
      </c>
      <c r="O32" s="28">
        <f>M32-N32</f>
        <v/>
      </c>
      <c r="P32" s="28">
        <f>ROUND(O32+L32,0)</f>
        <v/>
      </c>
      <c r="Q32" s="30" t="n">
        <v>0</v>
      </c>
      <c r="R32" s="28">
        <f>ROUND(H32*Q32,0)</f>
        <v/>
      </c>
      <c r="S32" s="27">
        <f>ROUND(H32*117.65%-R32,0)</f>
        <v/>
      </c>
      <c r="T32" s="28">
        <f>ROUND(H32*25%,0)</f>
        <v/>
      </c>
      <c r="U32" s="31">
        <f>+T32</f>
        <v/>
      </c>
      <c r="V32" s="28" t="inlineStr">
        <is>
          <t>13.08.2026</t>
        </is>
      </c>
      <c r="W32" s="28">
        <f>ROUND(H32*92.65%-R32,0)</f>
        <v/>
      </c>
      <c r="X32" s="28" t="n">
        <v>148251</v>
      </c>
      <c r="Y32" s="28" t="inlineStr">
        <is>
          <t>24.08.2026</t>
        </is>
      </c>
      <c r="Z32" s="28">
        <f>IF(IF(OR(AB32="",AB32=0),TODAY(),DATE(VALUE(RIGHT(AB32,4)),VALUE(MID(AB32,4,2)),VALUE(LEFT(AB32,2))))&lt;=DATE(2026,8,24),0,H32*0.0118*CEILING((IF(OR(AB32="",AB32=0),TODAY(),DATE(VALUE(RIGHT(AB32,4)),VALUE(MID(AB32,4,2)),VALUE(LEFT(AB32,2))))-DATE(2026,8,22))/7,1))</f>
        <v/>
      </c>
      <c r="AA32" s="28" t="n"/>
      <c r="AB32" s="28" t="n"/>
      <c r="AC32" s="15">
        <f>U32+X32+AA32</f>
        <v/>
      </c>
      <c r="AD32" s="19">
        <f>S32-AC32</f>
        <v/>
      </c>
      <c r="AE32" s="20">
        <f>IF(AD32="","",IF(AD32&lt;=5,"SETTLED","OUTSTANDING"))</f>
        <v/>
      </c>
      <c r="AF32" s="20" t="inlineStr">
        <is>
          <t>DR2640100039</t>
        </is>
      </c>
      <c r="AG32" s="21" t="n">
        <v>1800003312</v>
      </c>
      <c r="AH32" s="22" t="inlineStr">
        <is>
          <t>27.08.2026</t>
        </is>
      </c>
      <c r="AL32" s="137">
        <f>IF($A$2="",1,IF($A$2="(blank)",--(A32=""),IF($A$2="(nonblank)",--(A32&lt;&gt;""),--ISNUMBER(SEARCH($A$2,A32)))))</f>
      </c>
      <c r="AM32" s="137">
        <f>IF($B$2="",1,IF($B$2="(blank)",--(B32=""),IF($B$2="(nonblank)",--(B32&lt;&gt;""),--ISNUMBER(SEARCH($B$2,B32)))))</f>
      </c>
      <c r="AN32" s="137">
        <f>IF($C$2="",1,IF($C$2="(blank)",--(C32=""),IF($C$2="(nonblank)",--(C32&lt;&gt;""),--ISNUMBER(SEARCH($C$2,C32)))))</f>
      </c>
      <c r="AO32" s="137">
        <f>IF($D$2="",1,IF($D$2="(blank)",--(D32=""),IF($D$2="(nonblank)",--(D32&lt;&gt;""),--ISNUMBER(SEARCH($D$2,D32)))))</f>
      </c>
      <c r="AP32" s="137">
        <f>IF($E$2="",1,IF($E$2="(blank)",--(E32=""),IF($E$2="(nonblank)",--(E32&lt;&gt;""),--ISNUMBER(SEARCH($E$2,E32)))))</f>
      </c>
      <c r="AQ32" s="137">
        <f>IF($F$2="",1,IF($F$2="(blank)",--(F32=""),IF($F$2="(nonblank)",--(F32&lt;&gt;""),--ISNUMBER(SEARCH($F$2,F32)))))</f>
      </c>
      <c r="AR32" s="137">
        <f>IF($G$2="",1,IF($G$2="(blank)",--(G32=""),IF($G$2="(nonblank)",--(G32&lt;&gt;""),--ISNUMBER(SEARCH($G$2,G32)))))</f>
      </c>
      <c r="AS32" s="137">
        <f>IF($H$2="",1,IF($H$2="(blank)",--(H32=""),IF($H$2="(nonblank)",--(H32&lt;&gt;""),--ISNUMBER(SEARCH($H$2,H32)))))</f>
      </c>
      <c r="AT32" s="137">
        <f>IF($I$2="",1,IF($I$2="(blank)",--(I32=""),IF($I$2="(nonblank)",--(I32&lt;&gt;""),--ISNUMBER(SEARCH($I$2,I32)))))</f>
      </c>
      <c r="AU32" s="137">
        <f>IF($J$2="",1,IF($J$2="(blank)",--(J32=""),IF($J$2="(nonblank)",--(J32&lt;&gt;""),--ISNUMBER(SEARCH($J$2,J32)))))</f>
      </c>
      <c r="AV32" s="137">
        <f>IF($K$2="",1,IF($K$2="(blank)",--(K32=""),IF($K$2="(nonblank)",--(K32&lt;&gt;""),--ISNUMBER(SEARCH($K$2,K32)))))</f>
      </c>
      <c r="AW32" s="137">
        <f>IF($L$2="",1,IF($L$2="(blank)",--(L32=""),IF($L$2="(nonblank)",--(L32&lt;&gt;""),--ISNUMBER(SEARCH($L$2,L32)))))</f>
      </c>
      <c r="AX32" s="137">
        <f>IF($M$2="",1,IF($M$2="(blank)",--(M32=""),IF($M$2="(nonblank)",--(M32&lt;&gt;""),--ISNUMBER(SEARCH($M$2,M32)))))</f>
      </c>
      <c r="AY32" s="137">
        <f>IF($N$2="",1,IF($N$2="(blank)",--(N32=""),IF($N$2="(nonblank)",--(N32&lt;&gt;""),--ISNUMBER(SEARCH($N$2,N32)))))</f>
      </c>
      <c r="AZ32" s="137">
        <f>IF($O$2="",1,IF($O$2="(blank)",--(O32=""),IF($O$2="(nonblank)",--(O32&lt;&gt;""),--ISNUMBER(SEARCH($O$2,O32)))))</f>
      </c>
      <c r="BA32" s="137">
        <f>IF($P$2="",1,IF($P$2="(blank)",--(P32=""),IF($P$2="(nonblank)",--(P32&lt;&gt;""),--ISNUMBER(SEARCH($P$2,P32)))))</f>
      </c>
      <c r="BB32" s="137">
        <f>IF($Q$2="",1,IF($Q$2="(blank)",--(Q32=""),IF($Q$2="(nonblank)",--(Q32&lt;&gt;""),--ISNUMBER(SEARCH($Q$2,Q32)))))</f>
      </c>
      <c r="BC32" s="137">
        <f>IF($R$2="",1,IF($R$2="(blank)",--(R32=""),IF($R$2="(nonblank)",--(R32&lt;&gt;""),--ISNUMBER(SEARCH($R$2,R32)))))</f>
      </c>
      <c r="BD32" s="137">
        <f>IF($S$2="",1,IF($S$2="(blank)",--(S32=""),IF($S$2="(nonblank)",--(S32&lt;&gt;""),--ISNUMBER(SEARCH($S$2,S32)))))</f>
      </c>
      <c r="BE32" s="137">
        <f>IF($T$2="",1,IF($T$2="(blank)",--(T32=""),IF($T$2="(nonblank)",--(T32&lt;&gt;""),--ISNUMBER(SEARCH($T$2,T32)))))</f>
      </c>
      <c r="BF32" s="137">
        <f>IF($U$2="",1,IF($U$2="(blank)",--(U32=""),IF($U$2="(nonblank)",--(U32&lt;&gt;""),--ISNUMBER(SEARCH($U$2,U32)))))</f>
      </c>
      <c r="BG32" s="137">
        <f>IF($V$2="",1,IF($V$2="(blank)",--(V32=""),IF($V$2="(nonblank)",--(V32&lt;&gt;""),--ISNUMBER(SEARCH($V$2,V32)))))</f>
      </c>
      <c r="BH32" s="137">
        <f>IF($W$2="",1,IF($W$2="(blank)",--(W32=""),IF($W$2="(nonblank)",--(W32&lt;&gt;""),--ISNUMBER(SEARCH($W$2,W32)))))</f>
      </c>
      <c r="BI32" s="137">
        <f>IF($X$2="",1,IF($X$2="(blank)",--(X32=""),IF($X$2="(nonblank)",--(X32&lt;&gt;""),--ISNUMBER(SEARCH($X$2,X32)))))</f>
      </c>
      <c r="BJ32" s="137">
        <f>IF($Y$2="",1,IF($Y$2="(blank)",--(Y32=""),IF($Y$2="(nonblank)",--(Y32&lt;&gt;""),--ISNUMBER(SEARCH($Y$2,Y32)))))</f>
      </c>
      <c r="BK32" s="137">
        <f>IF($Z$2="",1,IF($Z$2="(blank)",--(Z32=""),IF($Z$2="(nonblank)",--(Z32&lt;&gt;""),--ISNUMBER(SEARCH($Z$2,Z32)))))</f>
      </c>
      <c r="BL32" s="137">
        <f>IF($AA$2="",1,IF($AA$2="(blank)",--(AA32=""),IF($AA$2="(nonblank)",--(AA32&lt;&gt;""),--ISNUMBER(SEARCH($AA$2,AA32)))))</f>
      </c>
      <c r="BM32" s="137">
        <f>IF($AB$2="",1,IF($AB$2="(blank)",--(AB32=""),IF($AB$2="(nonblank)",--(AB32&lt;&gt;""),--ISNUMBER(SEARCH($AB$2,AB32)))))</f>
      </c>
      <c r="BN32" s="137">
        <f>IF($AC$2="",1,IF($AC$2="(blank)",--(AC32=""),IF($AC$2="(nonblank)",--(AC32&lt;&gt;""),--ISNUMBER(SEARCH($AC$2,AC32)))))</f>
      </c>
      <c r="BO32" s="137">
        <f>IF($AD$2="",1,IF($AD$2="(blank)",--(AD32=""),IF($AD$2="(nonblank)",--(AD32&lt;&gt;""),--ISNUMBER(SEARCH($AD$2,AD32)))))</f>
      </c>
      <c r="BP32" s="137">
        <f>IF($AE$2="",1,IF($AE$2="(blank)",--(AE32=""),IF($AE$2="(nonblank)",--(AE32&lt;&gt;""),--ISNUMBER(SEARCH($AE$2,AE32)))))</f>
      </c>
      <c r="BQ32" s="137">
        <f>IF($AF$2="",1,IF($AF$2="(blank)",--(AF32=""),IF($AF$2="(nonblank)",--(AF32&lt;&gt;""),--ISNUMBER(SEARCH($AF$2,AF32)))))</f>
      </c>
      <c r="BR32" s="137">
        <f>IF($AG$2="",1,IF($AG$2="(blank)",--(AG32=""),IF($AG$2="(nonblank)",--(AG32&lt;&gt;""),--ISNUMBER(SEARCH($AG$2,AG32)))))</f>
      </c>
      <c r="BS32" s="137">
        <f>IF($AH$2="",1,IF($AH$2="(blank)",--(AH32=""),IF($AH$2="(nonblank)",--(AH32&lt;&gt;""),--ISNUMBER(SEARCH($AH$2,AH32)))))</f>
      </c>
      <c r="BT32" s="137">
        <f>IF(COUNTIF($AL32:$BS32,0)&gt;0,0,1)</f>
      </c>
    </row>
    <row r="33" ht="14.25" customHeight="1" s="137">
      <c r="A33" s="148" t="n">
        <v>1</v>
      </c>
      <c r="B33" s="149" t="inlineStr">
        <is>
          <t>Scrap of 33 KV GCB</t>
        </is>
      </c>
      <c r="C33" s="150" t="n">
        <v>29502</v>
      </c>
      <c r="D33" s="151" t="n">
        <v>21979</v>
      </c>
      <c r="E33" s="151" t="inlineStr">
        <is>
          <t>NO</t>
        </is>
      </c>
      <c r="F33" s="151" t="n">
        <v>2059</v>
      </c>
      <c r="G33" s="149" t="inlineStr">
        <is>
          <t>NATIONAL ENTERPRISES</t>
        </is>
      </c>
      <c r="H33" s="152" t="n">
        <v>29502</v>
      </c>
      <c r="I33" s="152">
        <f>ROUND(H33*18%,0)</f>
        <v/>
      </c>
      <c r="J33" s="152">
        <f>+H33+I33</f>
        <v/>
      </c>
      <c r="K33" s="152">
        <f>ROUND((H33+I33)*2%,0)</f>
        <v/>
      </c>
      <c r="L33" s="153">
        <f>H33*0.1%</f>
        <v/>
      </c>
      <c r="M33" s="153">
        <f>H33*2.25%*118%</f>
        <v/>
      </c>
      <c r="N33" s="154">
        <f>H33*2.25%*2%</f>
        <v/>
      </c>
      <c r="O33" s="153">
        <f>M33-N33</f>
        <v/>
      </c>
      <c r="P33" s="153">
        <f>ROUND(O33+L33,0)</f>
        <v/>
      </c>
      <c r="Q33" s="155" t="n">
        <v>0</v>
      </c>
      <c r="R33" s="153">
        <f>ROUND(H33*Q33,0)</f>
        <v/>
      </c>
      <c r="S33" s="152">
        <f>ROUND(H33*117.65%-R33,0)</f>
        <v/>
      </c>
      <c r="T33" s="153">
        <f>ROUND(H33*25%,0)</f>
        <v/>
      </c>
      <c r="U33" s="156">
        <f>+T33</f>
        <v/>
      </c>
      <c r="V33" s="153" t="inlineStr">
        <is>
          <t>13.08.2026</t>
        </is>
      </c>
      <c r="W33" s="153">
        <f>ROUND(H33*92.65%-R33,0)</f>
        <v/>
      </c>
      <c r="X33" s="153" t="n">
        <v>27332</v>
      </c>
      <c r="Y33" s="153" t="inlineStr">
        <is>
          <t>24.08.2026</t>
        </is>
      </c>
      <c r="Z33" s="153">
        <f>IF(IF(OR(AB33="",AB33=0),TODAY(),DATE(VALUE(RIGHT(AB33,4)),VALUE(MID(AB33,4,2)),VALUE(LEFT(AB33,2))))&lt;=DATE(2026,8,24),0,H33*0.0118*CEILING((IF(OR(AB33="",AB33=0),TODAY(),DATE(VALUE(RIGHT(AB33,4)),VALUE(MID(AB33,4,2)),VALUE(LEFT(AB33,2))))-DATE(2026,8,22))/7,1))</f>
        <v/>
      </c>
      <c r="AA33" s="153" t="n"/>
      <c r="AB33" s="153" t="n"/>
      <c r="AC33" s="157">
        <f>U33+X33+AA33</f>
        <v/>
      </c>
      <c r="AD33" s="157">
        <f>S33-AC33</f>
        <v/>
      </c>
      <c r="AE33" s="153">
        <f>IF(AD33="","",IF(AD33&lt;=5,"SETTLED","OUTSTANDING"))</f>
        <v/>
      </c>
      <c r="AF33" s="153" t="inlineStr">
        <is>
          <t>DR2640100046</t>
        </is>
      </c>
      <c r="AG33" s="158" t="n">
        <v>1800003313</v>
      </c>
      <c r="AH33" s="159" t="inlineStr">
        <is>
          <t>27.08.2026</t>
        </is>
      </c>
      <c r="AL33" s="137">
        <f>IF($A$2="",1,IF($A$2="(blank)",--(A33=""),IF($A$2="(nonblank)",--(A33&lt;&gt;""),--ISNUMBER(SEARCH($A$2,A33)))))</f>
      </c>
      <c r="AM33" s="137">
        <f>IF($B$2="",1,IF($B$2="(blank)",--(B33=""),IF($B$2="(nonblank)",--(B33&lt;&gt;""),--ISNUMBER(SEARCH($B$2,B33)))))</f>
      </c>
      <c r="AN33" s="137">
        <f>IF($C$2="",1,IF($C$2="(blank)",--(C33=""),IF($C$2="(nonblank)",--(C33&lt;&gt;""),--ISNUMBER(SEARCH($C$2,C33)))))</f>
      </c>
      <c r="AO33" s="137">
        <f>IF($D$2="",1,IF($D$2="(blank)",--(D33=""),IF($D$2="(nonblank)",--(D33&lt;&gt;""),--ISNUMBER(SEARCH($D$2,D33)))))</f>
      </c>
      <c r="AP33" s="137">
        <f>IF($E$2="",1,IF($E$2="(blank)",--(E33=""),IF($E$2="(nonblank)",--(E33&lt;&gt;""),--ISNUMBER(SEARCH($E$2,E33)))))</f>
      </c>
      <c r="AQ33" s="137">
        <f>IF($F$2="",1,IF($F$2="(blank)",--(F33=""),IF($F$2="(nonblank)",--(F33&lt;&gt;""),--ISNUMBER(SEARCH($F$2,F33)))))</f>
      </c>
      <c r="AR33" s="137">
        <f>IF($G$2="",1,IF($G$2="(blank)",--(G33=""),IF($G$2="(nonblank)",--(G33&lt;&gt;""),--ISNUMBER(SEARCH($G$2,G33)))))</f>
      </c>
      <c r="AS33" s="137">
        <f>IF($H$2="",1,IF($H$2="(blank)",--(H33=""),IF($H$2="(nonblank)",--(H33&lt;&gt;""),--ISNUMBER(SEARCH($H$2,H33)))))</f>
      </c>
      <c r="AT33" s="137">
        <f>IF($I$2="",1,IF($I$2="(blank)",--(I33=""),IF($I$2="(nonblank)",--(I33&lt;&gt;""),--ISNUMBER(SEARCH($I$2,I33)))))</f>
      </c>
      <c r="AU33" s="137">
        <f>IF($J$2="",1,IF($J$2="(blank)",--(J33=""),IF($J$2="(nonblank)",--(J33&lt;&gt;""),--ISNUMBER(SEARCH($J$2,J33)))))</f>
      </c>
      <c r="AV33" s="137">
        <f>IF($K$2="",1,IF($K$2="(blank)",--(K33=""),IF($K$2="(nonblank)",--(K33&lt;&gt;""),--ISNUMBER(SEARCH($K$2,K33)))))</f>
      </c>
      <c r="AW33" s="137">
        <f>IF($L$2="",1,IF($L$2="(blank)",--(L33=""),IF($L$2="(nonblank)",--(L33&lt;&gt;""),--ISNUMBER(SEARCH($L$2,L33)))))</f>
      </c>
      <c r="AX33" s="137">
        <f>IF($M$2="",1,IF($M$2="(blank)",--(M33=""),IF($M$2="(nonblank)",--(M33&lt;&gt;""),--ISNUMBER(SEARCH($M$2,M33)))))</f>
      </c>
      <c r="AY33" s="137">
        <f>IF($N$2="",1,IF($N$2="(blank)",--(N33=""),IF($N$2="(nonblank)",--(N33&lt;&gt;""),--ISNUMBER(SEARCH($N$2,N33)))))</f>
      </c>
      <c r="AZ33" s="137">
        <f>IF($O$2="",1,IF($O$2="(blank)",--(O33=""),IF($O$2="(nonblank)",--(O33&lt;&gt;""),--ISNUMBER(SEARCH($O$2,O33)))))</f>
      </c>
      <c r="BA33" s="137">
        <f>IF($P$2="",1,IF($P$2="(blank)",--(P33=""),IF($P$2="(nonblank)",--(P33&lt;&gt;""),--ISNUMBER(SEARCH($P$2,P33)))))</f>
      </c>
      <c r="BB33" s="137">
        <f>IF($Q$2="",1,IF($Q$2="(blank)",--(Q33=""),IF($Q$2="(nonblank)",--(Q33&lt;&gt;""),--ISNUMBER(SEARCH($Q$2,Q33)))))</f>
      </c>
      <c r="BC33" s="137">
        <f>IF($R$2="",1,IF($R$2="(blank)",--(R33=""),IF($R$2="(nonblank)",--(R33&lt;&gt;""),--ISNUMBER(SEARCH($R$2,R33)))))</f>
      </c>
      <c r="BD33" s="137">
        <f>IF($S$2="",1,IF($S$2="(blank)",--(S33=""),IF($S$2="(nonblank)",--(S33&lt;&gt;""),--ISNUMBER(SEARCH($S$2,S33)))))</f>
      </c>
      <c r="BE33" s="137">
        <f>IF($T$2="",1,IF($T$2="(blank)",--(T33=""),IF($T$2="(nonblank)",--(T33&lt;&gt;""),--ISNUMBER(SEARCH($T$2,T33)))))</f>
      </c>
      <c r="BF33" s="137">
        <f>IF($U$2="",1,IF($U$2="(blank)",--(U33=""),IF($U$2="(nonblank)",--(U33&lt;&gt;""),--ISNUMBER(SEARCH($U$2,U33)))))</f>
      </c>
      <c r="BG33" s="137">
        <f>IF($V$2="",1,IF($V$2="(blank)",--(V33=""),IF($V$2="(nonblank)",--(V33&lt;&gt;""),--ISNUMBER(SEARCH($V$2,V33)))))</f>
      </c>
      <c r="BH33" s="137">
        <f>IF($W$2="",1,IF($W$2="(blank)",--(W33=""),IF($W$2="(nonblank)",--(W33&lt;&gt;""),--ISNUMBER(SEARCH($W$2,W33)))))</f>
      </c>
      <c r="BI33" s="137">
        <f>IF($X$2="",1,IF($X$2="(blank)",--(X33=""),IF($X$2="(nonblank)",--(X33&lt;&gt;""),--ISNUMBER(SEARCH($X$2,X33)))))</f>
      </c>
      <c r="BJ33" s="137">
        <f>IF($Y$2="",1,IF($Y$2="(blank)",--(Y33=""),IF($Y$2="(nonblank)",--(Y33&lt;&gt;""),--ISNUMBER(SEARCH($Y$2,Y33)))))</f>
      </c>
      <c r="BK33" s="137">
        <f>IF($Z$2="",1,IF($Z$2="(blank)",--(Z33=""),IF($Z$2="(nonblank)",--(Z33&lt;&gt;""),--ISNUMBER(SEARCH($Z$2,Z33)))))</f>
      </c>
      <c r="BL33" s="137">
        <f>IF($AA$2="",1,IF($AA$2="(blank)",--(AA33=""),IF($AA$2="(nonblank)",--(AA33&lt;&gt;""),--ISNUMBER(SEARCH($AA$2,AA33)))))</f>
      </c>
      <c r="BM33" s="137">
        <f>IF($AB$2="",1,IF($AB$2="(blank)",--(AB33=""),IF($AB$2="(nonblank)",--(AB33&lt;&gt;""),--ISNUMBER(SEARCH($AB$2,AB33)))))</f>
      </c>
      <c r="BN33" s="137">
        <f>IF($AC$2="",1,IF($AC$2="(blank)",--(AC33=""),IF($AC$2="(nonblank)",--(AC33&lt;&gt;""),--ISNUMBER(SEARCH($AC$2,AC33)))))</f>
      </c>
      <c r="BO33" s="137">
        <f>IF($AD$2="",1,IF($AD$2="(blank)",--(AD33=""),IF($AD$2="(nonblank)",--(AD33&lt;&gt;""),--ISNUMBER(SEARCH($AD$2,AD33)))))</f>
      </c>
      <c r="BP33" s="137">
        <f>IF($AE$2="",1,IF($AE$2="(blank)",--(AE33=""),IF($AE$2="(nonblank)",--(AE33&lt;&gt;""),--ISNUMBER(SEARCH($AE$2,AE33)))))</f>
      </c>
      <c r="BQ33" s="137">
        <f>IF($AF$2="",1,IF($AF$2="(blank)",--(AF33=""),IF($AF$2="(nonblank)",--(AF33&lt;&gt;""),--ISNUMBER(SEARCH($AF$2,AF33)))))</f>
      </c>
      <c r="BR33" s="137">
        <f>IF($AG$2="",1,IF($AG$2="(blank)",--(AG33=""),IF($AG$2="(nonblank)",--(AG33&lt;&gt;""),--ISNUMBER(SEARCH($AG$2,AG33)))))</f>
      </c>
      <c r="BS33" s="137">
        <f>IF($AH$2="",1,IF($AH$2="(blank)",--(AH33=""),IF($AH$2="(nonblank)",--(AH33&lt;&gt;""),--ISNUMBER(SEARCH($AH$2,AH33)))))</f>
      </c>
      <c r="BT33" s="137">
        <f>IF(COUNTIF($AL33:$BS33,0)&gt;0,0,1)</f>
      </c>
    </row>
    <row r="34" ht="14.25" customHeight="1" s="137">
      <c r="A34" s="23" t="n">
        <v>30</v>
      </c>
      <c r="B34" s="24" t="inlineStr">
        <is>
          <t>Scrap of Empty oil Barrels</t>
        </is>
      </c>
      <c r="C34" s="25" t="n">
        <v>702</v>
      </c>
      <c r="D34" s="26" t="n">
        <v>21979</v>
      </c>
      <c r="E34" s="26" t="inlineStr">
        <is>
          <t>NO</t>
        </is>
      </c>
      <c r="F34" s="26" t="n">
        <v>2062</v>
      </c>
      <c r="G34" s="24" t="inlineStr">
        <is>
          <t>STERLING ENTERPRISES</t>
        </is>
      </c>
      <c r="H34" s="27" t="n">
        <v>21060</v>
      </c>
      <c r="I34" s="27">
        <f>ROUND(H34*18%,0)</f>
        <v/>
      </c>
      <c r="J34" s="27">
        <f>+H34+I34</f>
        <v/>
      </c>
      <c r="K34" s="27">
        <f>ROUND((H34+I34)*2%,0)</f>
        <v/>
      </c>
      <c r="L34" s="28">
        <f>H34*0.1%</f>
        <v/>
      </c>
      <c r="M34" s="28">
        <f>H34*2.25%*118%</f>
        <v/>
      </c>
      <c r="N34" s="29">
        <f>H34*2.25%*2%</f>
        <v/>
      </c>
      <c r="O34" s="28">
        <f>M34-N34</f>
        <v/>
      </c>
      <c r="P34" s="28">
        <f>ROUND(O34+L34,0)</f>
        <v/>
      </c>
      <c r="Q34" s="30" t="n">
        <v>0</v>
      </c>
      <c r="R34" s="28">
        <f>ROUND(H34*Q34,0)</f>
        <v/>
      </c>
      <c r="S34" s="27">
        <f>ROUND(H34*117.65%-R34,0)</f>
        <v/>
      </c>
      <c r="T34" s="28">
        <f>ROUND(H34*25%,0)</f>
        <v/>
      </c>
      <c r="U34" s="31" t="n">
        <v>5265</v>
      </c>
      <c r="V34" s="28" t="inlineStr">
        <is>
          <t>11.08.2026</t>
        </is>
      </c>
      <c r="W34" s="28">
        <f>ROUND(H34*92.65%-R34,0)</f>
        <v/>
      </c>
      <c r="X34" s="28" t="n">
        <v>19512</v>
      </c>
      <c r="Y34" s="28" t="inlineStr">
        <is>
          <t>11.08.2026</t>
        </is>
      </c>
      <c r="Z34" s="28">
        <f>IF(IF(OR(AB34="",AB34=0),TODAY(),DATE(VALUE(RIGHT(AB34,4)),VALUE(MID(AB34,4,2)),VALUE(LEFT(AB34,2))))&lt;=DATE(2026,8,24),0,H34*0.0118*CEILING((IF(OR(AB34="",AB34=0),TODAY(),DATE(VALUE(RIGHT(AB34,4)),VALUE(MID(AB34,4,2)),VALUE(LEFT(AB34,2))))-DATE(2026,8,22))/7,1))</f>
        <v/>
      </c>
      <c r="AA34" s="28" t="n"/>
      <c r="AB34" s="28" t="n"/>
      <c r="AC34" s="15">
        <f>U34+X34+AA34</f>
        <v/>
      </c>
      <c r="AD34" s="19">
        <f>S34-AC34</f>
        <v/>
      </c>
      <c r="AE34" s="20">
        <f>IF(AD34="","",IF(AD34&lt;=5,"SETTLED","OUTSTANDING"))</f>
        <v/>
      </c>
      <c r="AF34" s="20" t="inlineStr">
        <is>
          <t>DR2640100022</t>
        </is>
      </c>
      <c r="AG34" s="21" t="n">
        <v>1800003161</v>
      </c>
      <c r="AH34" s="22" t="inlineStr">
        <is>
          <t>14.08.2026</t>
        </is>
      </c>
      <c r="AL34" s="137">
        <f>IF($A$2="",1,IF($A$2="(blank)",--(A34=""),IF($A$2="(nonblank)",--(A34&lt;&gt;""),--ISNUMBER(SEARCH($A$2,A34)))))</f>
      </c>
      <c r="AM34" s="137">
        <f>IF($B$2="",1,IF($B$2="(blank)",--(B34=""),IF($B$2="(nonblank)",--(B34&lt;&gt;""),--ISNUMBER(SEARCH($B$2,B34)))))</f>
      </c>
      <c r="AN34" s="137">
        <f>IF($C$2="",1,IF($C$2="(blank)",--(C34=""),IF($C$2="(nonblank)",--(C34&lt;&gt;""),--ISNUMBER(SEARCH($C$2,C34)))))</f>
      </c>
      <c r="AO34" s="137">
        <f>IF($D$2="",1,IF($D$2="(blank)",--(D34=""),IF($D$2="(nonblank)",--(D34&lt;&gt;""),--ISNUMBER(SEARCH($D$2,D34)))))</f>
      </c>
      <c r="AP34" s="137">
        <f>IF($E$2="",1,IF($E$2="(blank)",--(E34=""),IF($E$2="(nonblank)",--(E34&lt;&gt;""),--ISNUMBER(SEARCH($E$2,E34)))))</f>
      </c>
      <c r="AQ34" s="137">
        <f>IF($F$2="",1,IF($F$2="(blank)",--(F34=""),IF($F$2="(nonblank)",--(F34&lt;&gt;""),--ISNUMBER(SEARCH($F$2,F34)))))</f>
      </c>
      <c r="AR34" s="137">
        <f>IF($G$2="",1,IF($G$2="(blank)",--(G34=""),IF($G$2="(nonblank)",--(G34&lt;&gt;""),--ISNUMBER(SEARCH($G$2,G34)))))</f>
      </c>
      <c r="AS34" s="137">
        <f>IF($H$2="",1,IF($H$2="(blank)",--(H34=""),IF($H$2="(nonblank)",--(H34&lt;&gt;""),--ISNUMBER(SEARCH($H$2,H34)))))</f>
      </c>
      <c r="AT34" s="137">
        <f>IF($I$2="",1,IF($I$2="(blank)",--(I34=""),IF($I$2="(nonblank)",--(I34&lt;&gt;""),--ISNUMBER(SEARCH($I$2,I34)))))</f>
      </c>
      <c r="AU34" s="137">
        <f>IF($J$2="",1,IF($J$2="(blank)",--(J34=""),IF($J$2="(nonblank)",--(J34&lt;&gt;""),--ISNUMBER(SEARCH($J$2,J34)))))</f>
      </c>
      <c r="AV34" s="137">
        <f>IF($K$2="",1,IF($K$2="(blank)",--(K34=""),IF($K$2="(nonblank)",--(K34&lt;&gt;""),--ISNUMBER(SEARCH($K$2,K34)))))</f>
      </c>
      <c r="AW34" s="137">
        <f>IF($L$2="",1,IF($L$2="(blank)",--(L34=""),IF($L$2="(nonblank)",--(L34&lt;&gt;""),--ISNUMBER(SEARCH($L$2,L34)))))</f>
      </c>
      <c r="AX34" s="137">
        <f>IF($M$2="",1,IF($M$2="(blank)",--(M34=""),IF($M$2="(nonblank)",--(M34&lt;&gt;""),--ISNUMBER(SEARCH($M$2,M34)))))</f>
      </c>
      <c r="AY34" s="137">
        <f>IF($N$2="",1,IF($N$2="(blank)",--(N34=""),IF($N$2="(nonblank)",--(N34&lt;&gt;""),--ISNUMBER(SEARCH($N$2,N34)))))</f>
      </c>
      <c r="AZ34" s="137">
        <f>IF($O$2="",1,IF($O$2="(blank)",--(O34=""),IF($O$2="(nonblank)",--(O34&lt;&gt;""),--ISNUMBER(SEARCH($O$2,O34)))))</f>
      </c>
      <c r="BA34" s="137">
        <f>IF($P$2="",1,IF($P$2="(blank)",--(P34=""),IF($P$2="(nonblank)",--(P34&lt;&gt;""),--ISNUMBER(SEARCH($P$2,P34)))))</f>
      </c>
      <c r="BB34" s="137">
        <f>IF($Q$2="",1,IF($Q$2="(blank)",--(Q34=""),IF($Q$2="(nonblank)",--(Q34&lt;&gt;""),--ISNUMBER(SEARCH($Q$2,Q34)))))</f>
      </c>
      <c r="BC34" s="137">
        <f>IF($R$2="",1,IF($R$2="(blank)",--(R34=""),IF($R$2="(nonblank)",--(R34&lt;&gt;""),--ISNUMBER(SEARCH($R$2,R34)))))</f>
      </c>
      <c r="BD34" s="137">
        <f>IF($S$2="",1,IF($S$2="(blank)",--(S34=""),IF($S$2="(nonblank)",--(S34&lt;&gt;""),--ISNUMBER(SEARCH($S$2,S34)))))</f>
      </c>
      <c r="BE34" s="137">
        <f>IF($T$2="",1,IF($T$2="(blank)",--(T34=""),IF($T$2="(nonblank)",--(T34&lt;&gt;""),--ISNUMBER(SEARCH($T$2,T34)))))</f>
      </c>
      <c r="BF34" s="137">
        <f>IF($U$2="",1,IF($U$2="(blank)",--(U34=""),IF($U$2="(nonblank)",--(U34&lt;&gt;""),--ISNUMBER(SEARCH($U$2,U34)))))</f>
      </c>
      <c r="BG34" s="137">
        <f>IF($V$2="",1,IF($V$2="(blank)",--(V34=""),IF($V$2="(nonblank)",--(V34&lt;&gt;""),--ISNUMBER(SEARCH($V$2,V34)))))</f>
      </c>
      <c r="BH34" s="137">
        <f>IF($W$2="",1,IF($W$2="(blank)",--(W34=""),IF($W$2="(nonblank)",--(W34&lt;&gt;""),--ISNUMBER(SEARCH($W$2,W34)))))</f>
      </c>
      <c r="BI34" s="137">
        <f>IF($X$2="",1,IF($X$2="(blank)",--(X34=""),IF($X$2="(nonblank)",--(X34&lt;&gt;""),--ISNUMBER(SEARCH($X$2,X34)))))</f>
      </c>
      <c r="BJ34" s="137">
        <f>IF($Y$2="",1,IF($Y$2="(blank)",--(Y34=""),IF($Y$2="(nonblank)",--(Y34&lt;&gt;""),--ISNUMBER(SEARCH($Y$2,Y34)))))</f>
      </c>
      <c r="BK34" s="137">
        <f>IF($Z$2="",1,IF($Z$2="(blank)",--(Z34=""),IF($Z$2="(nonblank)",--(Z34&lt;&gt;""),--ISNUMBER(SEARCH($Z$2,Z34)))))</f>
      </c>
      <c r="BL34" s="137">
        <f>IF($AA$2="",1,IF($AA$2="(blank)",--(AA34=""),IF($AA$2="(nonblank)",--(AA34&lt;&gt;""),--ISNUMBER(SEARCH($AA$2,AA34)))))</f>
      </c>
      <c r="BM34" s="137">
        <f>IF($AB$2="",1,IF($AB$2="(blank)",--(AB34=""),IF($AB$2="(nonblank)",--(AB34&lt;&gt;""),--ISNUMBER(SEARCH($AB$2,AB34)))))</f>
      </c>
      <c r="BN34" s="137">
        <f>IF($AC$2="",1,IF($AC$2="(blank)",--(AC34=""),IF($AC$2="(nonblank)",--(AC34&lt;&gt;""),--ISNUMBER(SEARCH($AC$2,AC34)))))</f>
      </c>
      <c r="BO34" s="137">
        <f>IF($AD$2="",1,IF($AD$2="(blank)",--(AD34=""),IF($AD$2="(nonblank)",--(AD34&lt;&gt;""),--ISNUMBER(SEARCH($AD$2,AD34)))))</f>
      </c>
      <c r="BP34" s="137">
        <f>IF($AE$2="",1,IF($AE$2="(blank)",--(AE34=""),IF($AE$2="(nonblank)",--(AE34&lt;&gt;""),--ISNUMBER(SEARCH($AE$2,AE34)))))</f>
      </c>
      <c r="BQ34" s="137">
        <f>IF($AF$2="",1,IF($AF$2="(blank)",--(AF34=""),IF($AF$2="(nonblank)",--(AF34&lt;&gt;""),--ISNUMBER(SEARCH($AF$2,AF34)))))</f>
      </c>
      <c r="BR34" s="137">
        <f>IF($AG$2="",1,IF($AG$2="(blank)",--(AG34=""),IF($AG$2="(nonblank)",--(AG34&lt;&gt;""),--ISNUMBER(SEARCH($AG$2,AG34)))))</f>
      </c>
      <c r="BS34" s="137">
        <f>IF($AH$2="",1,IF($AH$2="(blank)",--(AH34=""),IF($AH$2="(nonblank)",--(AH34&lt;&gt;""),--ISNUMBER(SEARCH($AH$2,AH34)))))</f>
      </c>
      <c r="BT34" s="137">
        <f>IF(COUNTIF($AL34:$BS34,0)&gt;0,0,1)</f>
      </c>
    </row>
    <row r="35" ht="14.25" customHeight="1" s="137">
      <c r="A35" s="148" t="n">
        <v>150</v>
      </c>
      <c r="B35" s="149" t="inlineStr">
        <is>
          <t>Scrap of empty oil drums</t>
        </is>
      </c>
      <c r="C35" s="150" t="n">
        <v>571</v>
      </c>
      <c r="D35" s="151" t="n">
        <v>21980</v>
      </c>
      <c r="E35" s="151" t="inlineStr">
        <is>
          <t>NO</t>
        </is>
      </c>
      <c r="F35" s="151" t="n">
        <v>2067</v>
      </c>
      <c r="G35" s="149" t="inlineStr">
        <is>
          <t>WATAN SCRAP TRADERS</t>
        </is>
      </c>
      <c r="H35" s="152" t="n">
        <v>85650</v>
      </c>
      <c r="I35" s="152">
        <f>ROUND(H35*18%,0)</f>
        <v/>
      </c>
      <c r="J35" s="152">
        <f>+H35+I35</f>
        <v/>
      </c>
      <c r="K35" s="152">
        <f>ROUND((H35+I35)*2%,0)</f>
        <v/>
      </c>
      <c r="L35" s="153">
        <f>H35*0.1%</f>
        <v/>
      </c>
      <c r="M35" s="153">
        <f>H35*2.25%*118%</f>
        <v/>
      </c>
      <c r="N35" s="154">
        <f>H35*2.25%*2%</f>
        <v/>
      </c>
      <c r="O35" s="153">
        <f>M35-N35</f>
        <v/>
      </c>
      <c r="P35" s="153">
        <f>ROUND(O35+L35,0)</f>
        <v/>
      </c>
      <c r="Q35" s="155" t="n">
        <v>0</v>
      </c>
      <c r="R35" s="153">
        <f>ROUND(H35*Q35,0)</f>
        <v/>
      </c>
      <c r="S35" s="152">
        <f>ROUND(H35*117.65%-R35,0)</f>
        <v/>
      </c>
      <c r="T35" s="153">
        <f>ROUND(H35*25%,0)</f>
        <v/>
      </c>
      <c r="U35" s="156" t="n">
        <v>21413</v>
      </c>
      <c r="V35" s="153" t="inlineStr">
        <is>
          <t>14.08.2026</t>
        </is>
      </c>
      <c r="W35" s="153">
        <f>ROUND(H35*92.65%-R35,0)</f>
        <v/>
      </c>
      <c r="X35" s="153" t="n">
        <v>79354</v>
      </c>
      <c r="Y35" s="153" t="inlineStr">
        <is>
          <t>20.08.2026</t>
        </is>
      </c>
      <c r="Z35" s="153">
        <f>IF(IF(OR(AB35="",AB35=0),TODAY(),DATE(VALUE(RIGHT(AB35,4)),VALUE(MID(AB35,4,2)),VALUE(LEFT(AB35,2))))&lt;=DATE(2026,8,24),0,H35*0.0118*CEILING((IF(OR(AB35="",AB35=0),TODAY(),DATE(VALUE(RIGHT(AB35,4)),VALUE(MID(AB35,4,2)),VALUE(LEFT(AB35,2))))-DATE(2026,8,22))/7,1))</f>
        <v/>
      </c>
      <c r="AA35" s="153" t="n"/>
      <c r="AB35" s="153" t="n"/>
      <c r="AC35" s="157">
        <f>U35+X35+AA35</f>
        <v/>
      </c>
      <c r="AD35" s="157">
        <f>S35-AC35</f>
        <v/>
      </c>
      <c r="AE35" s="153">
        <f>IF(AD35="","",IF(AD35&lt;=5,"SETTLED","OUTSTANDING"))</f>
        <v/>
      </c>
      <c r="AF35" s="153" t="inlineStr">
        <is>
          <t>DR2640100027</t>
        </is>
      </c>
      <c r="AG35" s="158" t="n">
        <v>1800003248</v>
      </c>
      <c r="AH35" s="159" t="inlineStr">
        <is>
          <t>20.08.2026</t>
        </is>
      </c>
      <c r="AL35" s="137">
        <f>IF($A$2="",1,IF($A$2="(blank)",--(A35=""),IF($A$2="(nonblank)",--(A35&lt;&gt;""),--ISNUMBER(SEARCH($A$2,A35)))))</f>
      </c>
      <c r="AM35" s="137">
        <f>IF($B$2="",1,IF($B$2="(blank)",--(B35=""),IF($B$2="(nonblank)",--(B35&lt;&gt;""),--ISNUMBER(SEARCH($B$2,B35)))))</f>
      </c>
      <c r="AN35" s="137">
        <f>IF($C$2="",1,IF($C$2="(blank)",--(C35=""),IF($C$2="(nonblank)",--(C35&lt;&gt;""),--ISNUMBER(SEARCH($C$2,C35)))))</f>
      </c>
      <c r="AO35" s="137">
        <f>IF($D$2="",1,IF($D$2="(blank)",--(D35=""),IF($D$2="(nonblank)",--(D35&lt;&gt;""),--ISNUMBER(SEARCH($D$2,D35)))))</f>
      </c>
      <c r="AP35" s="137">
        <f>IF($E$2="",1,IF($E$2="(blank)",--(E35=""),IF($E$2="(nonblank)",--(E35&lt;&gt;""),--ISNUMBER(SEARCH($E$2,E35)))))</f>
      </c>
      <c r="AQ35" s="137">
        <f>IF($F$2="",1,IF($F$2="(blank)",--(F35=""),IF($F$2="(nonblank)",--(F35&lt;&gt;""),--ISNUMBER(SEARCH($F$2,F35)))))</f>
      </c>
      <c r="AR35" s="137">
        <f>IF($G$2="",1,IF($G$2="(blank)",--(G35=""),IF($G$2="(nonblank)",--(G35&lt;&gt;""),--ISNUMBER(SEARCH($G$2,G35)))))</f>
      </c>
      <c r="AS35" s="137">
        <f>IF($H$2="",1,IF($H$2="(blank)",--(H35=""),IF($H$2="(nonblank)",--(H35&lt;&gt;""),--ISNUMBER(SEARCH($H$2,H35)))))</f>
      </c>
      <c r="AT35" s="137">
        <f>IF($I$2="",1,IF($I$2="(blank)",--(I35=""),IF($I$2="(nonblank)",--(I35&lt;&gt;""),--ISNUMBER(SEARCH($I$2,I35)))))</f>
      </c>
      <c r="AU35" s="137">
        <f>IF($J$2="",1,IF($J$2="(blank)",--(J35=""),IF($J$2="(nonblank)",--(J35&lt;&gt;""),--ISNUMBER(SEARCH($J$2,J35)))))</f>
      </c>
      <c r="AV35" s="137">
        <f>IF($K$2="",1,IF($K$2="(blank)",--(K35=""),IF($K$2="(nonblank)",--(K35&lt;&gt;""),--ISNUMBER(SEARCH($K$2,K35)))))</f>
      </c>
      <c r="AW35" s="137">
        <f>IF($L$2="",1,IF($L$2="(blank)",--(L35=""),IF($L$2="(nonblank)",--(L35&lt;&gt;""),--ISNUMBER(SEARCH($L$2,L35)))))</f>
      </c>
      <c r="AX35" s="137">
        <f>IF($M$2="",1,IF($M$2="(blank)",--(M35=""),IF($M$2="(nonblank)",--(M35&lt;&gt;""),--ISNUMBER(SEARCH($M$2,M35)))))</f>
      </c>
      <c r="AY35" s="137">
        <f>IF($N$2="",1,IF($N$2="(blank)",--(N35=""),IF($N$2="(nonblank)",--(N35&lt;&gt;""),--ISNUMBER(SEARCH($N$2,N35)))))</f>
      </c>
      <c r="AZ35" s="137">
        <f>IF($O$2="",1,IF($O$2="(blank)",--(O35=""),IF($O$2="(nonblank)",--(O35&lt;&gt;""),--ISNUMBER(SEARCH($O$2,O35)))))</f>
      </c>
      <c r="BA35" s="137">
        <f>IF($P$2="",1,IF($P$2="(blank)",--(P35=""),IF($P$2="(nonblank)",--(P35&lt;&gt;""),--ISNUMBER(SEARCH($P$2,P35)))))</f>
      </c>
      <c r="BB35" s="137">
        <f>IF($Q$2="",1,IF($Q$2="(blank)",--(Q35=""),IF($Q$2="(nonblank)",--(Q35&lt;&gt;""),--ISNUMBER(SEARCH($Q$2,Q35)))))</f>
      </c>
      <c r="BC35" s="137">
        <f>IF($R$2="",1,IF($R$2="(blank)",--(R35=""),IF($R$2="(nonblank)",--(R35&lt;&gt;""),--ISNUMBER(SEARCH($R$2,R35)))))</f>
      </c>
      <c r="BD35" s="137">
        <f>IF($S$2="",1,IF($S$2="(blank)",--(S35=""),IF($S$2="(nonblank)",--(S35&lt;&gt;""),--ISNUMBER(SEARCH($S$2,S35)))))</f>
      </c>
      <c r="BE35" s="137">
        <f>IF($T$2="",1,IF($T$2="(blank)",--(T35=""),IF($T$2="(nonblank)",--(T35&lt;&gt;""),--ISNUMBER(SEARCH($T$2,T35)))))</f>
      </c>
      <c r="BF35" s="137">
        <f>IF($U$2="",1,IF($U$2="(blank)",--(U35=""),IF($U$2="(nonblank)",--(U35&lt;&gt;""),--ISNUMBER(SEARCH($U$2,U35)))))</f>
      </c>
      <c r="BG35" s="137">
        <f>IF($V$2="",1,IF($V$2="(blank)",--(V35=""),IF($V$2="(nonblank)",--(V35&lt;&gt;""),--ISNUMBER(SEARCH($V$2,V35)))))</f>
      </c>
      <c r="BH35" s="137">
        <f>IF($W$2="",1,IF($W$2="(blank)",--(W35=""),IF($W$2="(nonblank)",--(W35&lt;&gt;""),--ISNUMBER(SEARCH($W$2,W35)))))</f>
      </c>
      <c r="BI35" s="137">
        <f>IF($X$2="",1,IF($X$2="(blank)",--(X35=""),IF($X$2="(nonblank)",--(X35&lt;&gt;""),--ISNUMBER(SEARCH($X$2,X35)))))</f>
      </c>
      <c r="BJ35" s="137">
        <f>IF($Y$2="",1,IF($Y$2="(blank)",--(Y35=""),IF($Y$2="(nonblank)",--(Y35&lt;&gt;""),--ISNUMBER(SEARCH($Y$2,Y35)))))</f>
      </c>
      <c r="BK35" s="137">
        <f>IF($Z$2="",1,IF($Z$2="(blank)",--(Z35=""),IF($Z$2="(nonblank)",--(Z35&lt;&gt;""),--ISNUMBER(SEARCH($Z$2,Z35)))))</f>
      </c>
      <c r="BL35" s="137">
        <f>IF($AA$2="",1,IF($AA$2="(blank)",--(AA35=""),IF($AA$2="(nonblank)",--(AA35&lt;&gt;""),--ISNUMBER(SEARCH($AA$2,AA35)))))</f>
      </c>
      <c r="BM35" s="137">
        <f>IF($AB$2="",1,IF($AB$2="(blank)",--(AB35=""),IF($AB$2="(nonblank)",--(AB35&lt;&gt;""),--ISNUMBER(SEARCH($AB$2,AB35)))))</f>
      </c>
      <c r="BN35" s="137">
        <f>IF($AC$2="",1,IF($AC$2="(blank)",--(AC35=""),IF($AC$2="(nonblank)",--(AC35&lt;&gt;""),--ISNUMBER(SEARCH($AC$2,AC35)))))</f>
      </c>
      <c r="BO35" s="137">
        <f>IF($AD$2="",1,IF($AD$2="(blank)",--(AD35=""),IF($AD$2="(nonblank)",--(AD35&lt;&gt;""),--ISNUMBER(SEARCH($AD$2,AD35)))))</f>
      </c>
      <c r="BP35" s="137">
        <f>IF($AE$2="",1,IF($AE$2="(blank)",--(AE35=""),IF($AE$2="(nonblank)",--(AE35&lt;&gt;""),--ISNUMBER(SEARCH($AE$2,AE35)))))</f>
      </c>
      <c r="BQ35" s="137">
        <f>IF($AF$2="",1,IF($AF$2="(blank)",--(AF35=""),IF($AF$2="(nonblank)",--(AF35&lt;&gt;""),--ISNUMBER(SEARCH($AF$2,AF35)))))</f>
      </c>
      <c r="BR35" s="137">
        <f>IF($AG$2="",1,IF($AG$2="(blank)",--(AG35=""),IF($AG$2="(nonblank)",--(AG35&lt;&gt;""),--ISNUMBER(SEARCH($AG$2,AG35)))))</f>
      </c>
      <c r="BS35" s="137">
        <f>IF($AH$2="",1,IF($AH$2="(blank)",--(AH35=""),IF($AH$2="(nonblank)",--(AH35&lt;&gt;""),--ISNUMBER(SEARCH($AH$2,AH35)))))</f>
      </c>
      <c r="BT35" s="137">
        <f>IF(COUNTIF($AL35:$BS35,0)&gt;0,0,1)</f>
      </c>
    </row>
    <row r="36" ht="14.25" customHeight="1" s="137">
      <c r="A36" s="23" t="n">
        <v>1</v>
      </c>
      <c r="B36" s="24" t="inlineStr">
        <is>
          <t>Scrap of 33 KV CB</t>
        </is>
      </c>
      <c r="C36" s="25" t="n">
        <v>54000</v>
      </c>
      <c r="D36" s="26" t="n">
        <v>21980</v>
      </c>
      <c r="E36" s="26" t="inlineStr">
        <is>
          <t>NO</t>
        </is>
      </c>
      <c r="F36" s="26" t="n">
        <v>2069</v>
      </c>
      <c r="G36" s="24" t="inlineStr">
        <is>
          <t>STERLING ENTERPRISES</t>
        </is>
      </c>
      <c r="H36" s="27" t="n">
        <v>54000</v>
      </c>
      <c r="I36" s="27">
        <f>ROUND(H36*18%,0)</f>
        <v/>
      </c>
      <c r="J36" s="27">
        <f>+H36+I36</f>
        <v/>
      </c>
      <c r="K36" s="27">
        <f>ROUND((H36+I36)*2%,0)</f>
        <v/>
      </c>
      <c r="L36" s="28">
        <f>H36*0.1%</f>
        <v/>
      </c>
      <c r="M36" s="28">
        <f>H36*2.25%*118%</f>
        <v/>
      </c>
      <c r="N36" s="29">
        <f>H36*2.25%*2%</f>
        <v/>
      </c>
      <c r="O36" s="28">
        <f>M36-N36</f>
        <v/>
      </c>
      <c r="P36" s="28">
        <f>ROUND(O36+L36,0)</f>
        <v/>
      </c>
      <c r="Q36" s="30" t="n">
        <v>0</v>
      </c>
      <c r="R36" s="28">
        <f>ROUND(H36*Q36,0)</f>
        <v/>
      </c>
      <c r="S36" s="27">
        <f>ROUND(H36*117.65%-R36,0)</f>
        <v/>
      </c>
      <c r="T36" s="28">
        <f>ROUND(H36*25%,0)</f>
        <v/>
      </c>
      <c r="U36" s="31" t="n">
        <v>13500</v>
      </c>
      <c r="V36" s="28" t="inlineStr">
        <is>
          <t>11.08.2026</t>
        </is>
      </c>
      <c r="W36" s="28">
        <f>ROUND(H36*92.65%-R36,0)</f>
        <v/>
      </c>
      <c r="X36" s="28" t="n"/>
      <c r="Y36" s="28" t="n">
        <v>0</v>
      </c>
      <c r="Z36" s="28">
        <f>IF(IF(OR(AB36="",AB36=0),TODAY(),DATE(VALUE(RIGHT(AB36,4)),VALUE(MID(AB36,4,2)),VALUE(LEFT(AB36,2))))&lt;=DATE(2026,8,24),0,H36*0.0118*CEILING((IF(OR(AB36="",AB36=0),TODAY(),DATE(VALUE(RIGHT(AB36,4)),VALUE(MID(AB36,4,2)),VALUE(LEFT(AB36,2))))-DATE(2026,8,22))/7,1))</f>
        <v/>
      </c>
      <c r="AA36" s="28" t="n"/>
      <c r="AB36" s="28" t="n"/>
      <c r="AC36" s="15">
        <f>U36+X36+AA36</f>
        <v/>
      </c>
      <c r="AD36" s="19">
        <f>S36-AC36</f>
        <v/>
      </c>
      <c r="AE36" s="20">
        <f>IF(AD36="","",IF(AD36&lt;=5,"SETTLED","OUTSTANDING"))</f>
        <v/>
      </c>
      <c r="AF36" s="20" t="n"/>
      <c r="AG36" s="21" t="n"/>
      <c r="AH36" s="22" t="n"/>
      <c r="AL36" s="137">
        <f>IF($A$2="",1,IF($A$2="(blank)",--(A36=""),IF($A$2="(nonblank)",--(A36&lt;&gt;""),--ISNUMBER(SEARCH($A$2,A36)))))</f>
      </c>
      <c r="AM36" s="137">
        <f>IF($B$2="",1,IF($B$2="(blank)",--(B36=""),IF($B$2="(nonblank)",--(B36&lt;&gt;""),--ISNUMBER(SEARCH($B$2,B36)))))</f>
      </c>
      <c r="AN36" s="137">
        <f>IF($C$2="",1,IF($C$2="(blank)",--(C36=""),IF($C$2="(nonblank)",--(C36&lt;&gt;""),--ISNUMBER(SEARCH($C$2,C36)))))</f>
      </c>
      <c r="AO36" s="137">
        <f>IF($D$2="",1,IF($D$2="(blank)",--(D36=""),IF($D$2="(nonblank)",--(D36&lt;&gt;""),--ISNUMBER(SEARCH($D$2,D36)))))</f>
      </c>
      <c r="AP36" s="137">
        <f>IF($E$2="",1,IF($E$2="(blank)",--(E36=""),IF($E$2="(nonblank)",--(E36&lt;&gt;""),--ISNUMBER(SEARCH($E$2,E36)))))</f>
      </c>
      <c r="AQ36" s="137">
        <f>IF($F$2="",1,IF($F$2="(blank)",--(F36=""),IF($F$2="(nonblank)",--(F36&lt;&gt;""),--ISNUMBER(SEARCH($F$2,F36)))))</f>
      </c>
      <c r="AR36" s="137">
        <f>IF($G$2="",1,IF($G$2="(blank)",--(G36=""),IF($G$2="(nonblank)",--(G36&lt;&gt;""),--ISNUMBER(SEARCH($G$2,G36)))))</f>
      </c>
      <c r="AS36" s="137">
        <f>IF($H$2="",1,IF($H$2="(blank)",--(H36=""),IF($H$2="(nonblank)",--(H36&lt;&gt;""),--ISNUMBER(SEARCH($H$2,H36)))))</f>
      </c>
      <c r="AT36" s="137">
        <f>IF($I$2="",1,IF($I$2="(blank)",--(I36=""),IF($I$2="(nonblank)",--(I36&lt;&gt;""),--ISNUMBER(SEARCH($I$2,I36)))))</f>
      </c>
      <c r="AU36" s="137">
        <f>IF($J$2="",1,IF($J$2="(blank)",--(J36=""),IF($J$2="(nonblank)",--(J36&lt;&gt;""),--ISNUMBER(SEARCH($J$2,J36)))))</f>
      </c>
      <c r="AV36" s="137">
        <f>IF($K$2="",1,IF($K$2="(blank)",--(K36=""),IF($K$2="(nonblank)",--(K36&lt;&gt;""),--ISNUMBER(SEARCH($K$2,K36)))))</f>
      </c>
      <c r="AW36" s="137">
        <f>IF($L$2="",1,IF($L$2="(blank)",--(L36=""),IF($L$2="(nonblank)",--(L36&lt;&gt;""),--ISNUMBER(SEARCH($L$2,L36)))))</f>
      </c>
      <c r="AX36" s="137">
        <f>IF($M$2="",1,IF($M$2="(blank)",--(M36=""),IF($M$2="(nonblank)",--(M36&lt;&gt;""),--ISNUMBER(SEARCH($M$2,M36)))))</f>
      </c>
      <c r="AY36" s="137">
        <f>IF($N$2="",1,IF($N$2="(blank)",--(N36=""),IF($N$2="(nonblank)",--(N36&lt;&gt;""),--ISNUMBER(SEARCH($N$2,N36)))))</f>
      </c>
      <c r="AZ36" s="137">
        <f>IF($O$2="",1,IF($O$2="(blank)",--(O36=""),IF($O$2="(nonblank)",--(O36&lt;&gt;""),--ISNUMBER(SEARCH($O$2,O36)))))</f>
      </c>
      <c r="BA36" s="137">
        <f>IF($P$2="",1,IF($P$2="(blank)",--(P36=""),IF($P$2="(nonblank)",--(P36&lt;&gt;""),--ISNUMBER(SEARCH($P$2,P36)))))</f>
      </c>
      <c r="BB36" s="137">
        <f>IF($Q$2="",1,IF($Q$2="(blank)",--(Q36=""),IF($Q$2="(nonblank)",--(Q36&lt;&gt;""),--ISNUMBER(SEARCH($Q$2,Q36)))))</f>
      </c>
      <c r="BC36" s="137">
        <f>IF($R$2="",1,IF($R$2="(blank)",--(R36=""),IF($R$2="(nonblank)",--(R36&lt;&gt;""),--ISNUMBER(SEARCH($R$2,R36)))))</f>
      </c>
      <c r="BD36" s="137">
        <f>IF($S$2="",1,IF($S$2="(blank)",--(S36=""),IF($S$2="(nonblank)",--(S36&lt;&gt;""),--ISNUMBER(SEARCH($S$2,S36)))))</f>
      </c>
      <c r="BE36" s="137">
        <f>IF($T$2="",1,IF($T$2="(blank)",--(T36=""),IF($T$2="(nonblank)",--(T36&lt;&gt;""),--ISNUMBER(SEARCH($T$2,T36)))))</f>
      </c>
      <c r="BF36" s="137">
        <f>IF($U$2="",1,IF($U$2="(blank)",--(U36=""),IF($U$2="(nonblank)",--(U36&lt;&gt;""),--ISNUMBER(SEARCH($U$2,U36)))))</f>
      </c>
      <c r="BG36" s="137">
        <f>IF($V$2="",1,IF($V$2="(blank)",--(V36=""),IF($V$2="(nonblank)",--(V36&lt;&gt;""),--ISNUMBER(SEARCH($V$2,V36)))))</f>
      </c>
      <c r="BH36" s="137">
        <f>IF($W$2="",1,IF($W$2="(blank)",--(W36=""),IF($W$2="(nonblank)",--(W36&lt;&gt;""),--ISNUMBER(SEARCH($W$2,W36)))))</f>
      </c>
      <c r="BI36" s="137">
        <f>IF($X$2="",1,IF($X$2="(blank)",--(X36=""),IF($X$2="(nonblank)",--(X36&lt;&gt;""),--ISNUMBER(SEARCH($X$2,X36)))))</f>
      </c>
      <c r="BJ36" s="137">
        <f>IF($Y$2="",1,IF($Y$2="(blank)",--(Y36=""),IF($Y$2="(nonblank)",--(Y36&lt;&gt;""),--ISNUMBER(SEARCH($Y$2,Y36)))))</f>
      </c>
      <c r="BK36" s="137">
        <f>IF($Z$2="",1,IF($Z$2="(blank)",--(Z36=""),IF($Z$2="(nonblank)",--(Z36&lt;&gt;""),--ISNUMBER(SEARCH($Z$2,Z36)))))</f>
      </c>
      <c r="BL36" s="137">
        <f>IF($AA$2="",1,IF($AA$2="(blank)",--(AA36=""),IF($AA$2="(nonblank)",--(AA36&lt;&gt;""),--ISNUMBER(SEARCH($AA$2,AA36)))))</f>
      </c>
      <c r="BM36" s="137">
        <f>IF($AB$2="",1,IF($AB$2="(blank)",--(AB36=""),IF($AB$2="(nonblank)",--(AB36&lt;&gt;""),--ISNUMBER(SEARCH($AB$2,AB36)))))</f>
      </c>
      <c r="BN36" s="137">
        <f>IF($AC$2="",1,IF($AC$2="(blank)",--(AC36=""),IF($AC$2="(nonblank)",--(AC36&lt;&gt;""),--ISNUMBER(SEARCH($AC$2,AC36)))))</f>
      </c>
      <c r="BO36" s="137">
        <f>IF($AD$2="",1,IF($AD$2="(blank)",--(AD36=""),IF($AD$2="(nonblank)",--(AD36&lt;&gt;""),--ISNUMBER(SEARCH($AD$2,AD36)))))</f>
      </c>
      <c r="BP36" s="137">
        <f>IF($AE$2="",1,IF($AE$2="(blank)",--(AE36=""),IF($AE$2="(nonblank)",--(AE36&lt;&gt;""),--ISNUMBER(SEARCH($AE$2,AE36)))))</f>
      </c>
      <c r="BQ36" s="137">
        <f>IF($AF$2="",1,IF($AF$2="(blank)",--(AF36=""),IF($AF$2="(nonblank)",--(AF36&lt;&gt;""),--ISNUMBER(SEARCH($AF$2,AF36)))))</f>
      </c>
      <c r="BR36" s="137">
        <f>IF($AG$2="",1,IF($AG$2="(blank)",--(AG36=""),IF($AG$2="(nonblank)",--(AG36&lt;&gt;""),--ISNUMBER(SEARCH($AG$2,AG36)))))</f>
      </c>
      <c r="BS36" s="137">
        <f>IF($AH$2="",1,IF($AH$2="(blank)",--(AH36=""),IF($AH$2="(nonblank)",--(AH36&lt;&gt;""),--ISNUMBER(SEARCH($AH$2,AH36)))))</f>
      </c>
      <c r="BT36" s="137">
        <f>IF(COUNTIF($AL36:$BS36,0)&gt;0,0,1)</f>
      </c>
    </row>
    <row r="37" ht="14.25" customHeight="1" s="137">
      <c r="A37" s="148" t="n">
        <v>3</v>
      </c>
      <c r="B37" s="149" t="inlineStr">
        <is>
          <t>Scrap of 66 KV Isolater</t>
        </is>
      </c>
      <c r="C37" s="150" t="n">
        <v>25001</v>
      </c>
      <c r="D37" s="151" t="n">
        <v>21980</v>
      </c>
      <c r="E37" s="151" t="inlineStr">
        <is>
          <t>NO</t>
        </is>
      </c>
      <c r="F37" s="151" t="n">
        <v>2071</v>
      </c>
      <c r="G37" s="149" t="inlineStr">
        <is>
          <t>NATIONAL ENTERPRISES</t>
        </is>
      </c>
      <c r="H37" s="152" t="n">
        <v>75003</v>
      </c>
      <c r="I37" s="152">
        <f>ROUND(H37*18%,0)</f>
        <v/>
      </c>
      <c r="J37" s="152">
        <f>+H37+I37</f>
        <v/>
      </c>
      <c r="K37" s="152">
        <f>ROUND((H37+I37)*2%,0)</f>
        <v/>
      </c>
      <c r="L37" s="153">
        <f>H37*0.1%</f>
        <v/>
      </c>
      <c r="M37" s="153">
        <f>H37*2.25%*118%</f>
        <v/>
      </c>
      <c r="N37" s="154">
        <f>H37*2.25%*2%</f>
        <v/>
      </c>
      <c r="O37" s="153">
        <f>M37-N37</f>
        <v/>
      </c>
      <c r="P37" s="153">
        <f>ROUND(O37+L37,0)</f>
        <v/>
      </c>
      <c r="Q37" s="155" t="n">
        <v>0</v>
      </c>
      <c r="R37" s="153">
        <f>ROUND(H37*Q37,0)</f>
        <v/>
      </c>
      <c r="S37" s="152">
        <f>ROUND(H37*117.65%-R37,0)</f>
        <v/>
      </c>
      <c r="T37" s="153">
        <f>ROUND(H37*25%,0)</f>
        <v/>
      </c>
      <c r="U37" s="156">
        <f>+T37</f>
        <v/>
      </c>
      <c r="V37" s="153" t="inlineStr">
        <is>
          <t>13.08.2026</t>
        </is>
      </c>
      <c r="W37" s="153">
        <f>ROUND(H37*92.65%-R37,0)</f>
        <v/>
      </c>
      <c r="X37" s="153" t="n">
        <v>69491</v>
      </c>
      <c r="Y37" s="153" t="inlineStr">
        <is>
          <t>24.08.2026</t>
        </is>
      </c>
      <c r="Z37" s="153">
        <f>IF(IF(OR(AB37="",AB37=0),TODAY(),DATE(VALUE(RIGHT(AB37,4)),VALUE(MID(AB37,4,2)),VALUE(LEFT(AB37,2))))&lt;=DATE(2026,8,24),0,H37*0.0118*CEILING((IF(OR(AB37="",AB37=0),TODAY(),DATE(VALUE(RIGHT(AB37,4)),VALUE(MID(AB37,4,2)),VALUE(LEFT(AB37,2))))-DATE(2026,8,22))/7,1))</f>
        <v/>
      </c>
      <c r="AA37" s="153" t="n"/>
      <c r="AB37" s="153" t="n"/>
      <c r="AC37" s="157">
        <f>U37+X37+AA37</f>
        <v/>
      </c>
      <c r="AD37" s="157">
        <f>S37-AC37</f>
        <v/>
      </c>
      <c r="AE37" s="153">
        <f>IF(AD37="","",IF(AD37&lt;=5,"SETTLED","OUTSTANDING"))</f>
        <v/>
      </c>
      <c r="AF37" s="153" t="inlineStr">
        <is>
          <t>DR2640100040</t>
        </is>
      </c>
      <c r="AG37" s="158" t="n">
        <v>1800003314</v>
      </c>
      <c r="AH37" s="159" t="inlineStr">
        <is>
          <t>27.08.2026</t>
        </is>
      </c>
      <c r="AL37" s="137">
        <f>IF($A$2="",1,IF($A$2="(blank)",--(A37=""),IF($A$2="(nonblank)",--(A37&lt;&gt;""),--ISNUMBER(SEARCH($A$2,A37)))))</f>
      </c>
      <c r="AM37" s="137">
        <f>IF($B$2="",1,IF($B$2="(blank)",--(B37=""),IF($B$2="(nonblank)",--(B37&lt;&gt;""),--ISNUMBER(SEARCH($B$2,B37)))))</f>
      </c>
      <c r="AN37" s="137">
        <f>IF($C$2="",1,IF($C$2="(blank)",--(C37=""),IF($C$2="(nonblank)",--(C37&lt;&gt;""),--ISNUMBER(SEARCH($C$2,C37)))))</f>
      </c>
      <c r="AO37" s="137">
        <f>IF($D$2="",1,IF($D$2="(blank)",--(D37=""),IF($D$2="(nonblank)",--(D37&lt;&gt;""),--ISNUMBER(SEARCH($D$2,D37)))))</f>
      </c>
      <c r="AP37" s="137">
        <f>IF($E$2="",1,IF($E$2="(blank)",--(E37=""),IF($E$2="(nonblank)",--(E37&lt;&gt;""),--ISNUMBER(SEARCH($E$2,E37)))))</f>
      </c>
      <c r="AQ37" s="137">
        <f>IF($F$2="",1,IF($F$2="(blank)",--(F37=""),IF($F$2="(nonblank)",--(F37&lt;&gt;""),--ISNUMBER(SEARCH($F$2,F37)))))</f>
      </c>
      <c r="AR37" s="137">
        <f>IF($G$2="",1,IF($G$2="(blank)",--(G37=""),IF($G$2="(nonblank)",--(G37&lt;&gt;""),--ISNUMBER(SEARCH($G$2,G37)))))</f>
      </c>
      <c r="AS37" s="137">
        <f>IF($H$2="",1,IF($H$2="(blank)",--(H37=""),IF($H$2="(nonblank)",--(H37&lt;&gt;""),--ISNUMBER(SEARCH($H$2,H37)))))</f>
      </c>
      <c r="AT37" s="137">
        <f>IF($I$2="",1,IF($I$2="(blank)",--(I37=""),IF($I$2="(nonblank)",--(I37&lt;&gt;""),--ISNUMBER(SEARCH($I$2,I37)))))</f>
      </c>
      <c r="AU37" s="137">
        <f>IF($J$2="",1,IF($J$2="(blank)",--(J37=""),IF($J$2="(nonblank)",--(J37&lt;&gt;""),--ISNUMBER(SEARCH($J$2,J37)))))</f>
      </c>
      <c r="AV37" s="137">
        <f>IF($K$2="",1,IF($K$2="(blank)",--(K37=""),IF($K$2="(nonblank)",--(K37&lt;&gt;""),--ISNUMBER(SEARCH($K$2,K37)))))</f>
      </c>
      <c r="AW37" s="137">
        <f>IF($L$2="",1,IF($L$2="(blank)",--(L37=""),IF($L$2="(nonblank)",--(L37&lt;&gt;""),--ISNUMBER(SEARCH($L$2,L37)))))</f>
      </c>
      <c r="AX37" s="137">
        <f>IF($M$2="",1,IF($M$2="(blank)",--(M37=""),IF($M$2="(nonblank)",--(M37&lt;&gt;""),--ISNUMBER(SEARCH($M$2,M37)))))</f>
      </c>
      <c r="AY37" s="137">
        <f>IF($N$2="",1,IF($N$2="(blank)",--(N37=""),IF($N$2="(nonblank)",--(N37&lt;&gt;""),--ISNUMBER(SEARCH($N$2,N37)))))</f>
      </c>
      <c r="AZ37" s="137">
        <f>IF($O$2="",1,IF($O$2="(blank)",--(O37=""),IF($O$2="(nonblank)",--(O37&lt;&gt;""),--ISNUMBER(SEARCH($O$2,O37)))))</f>
      </c>
      <c r="BA37" s="137">
        <f>IF($P$2="",1,IF($P$2="(blank)",--(P37=""),IF($P$2="(nonblank)",--(P37&lt;&gt;""),--ISNUMBER(SEARCH($P$2,P37)))))</f>
      </c>
      <c r="BB37" s="137">
        <f>IF($Q$2="",1,IF($Q$2="(blank)",--(Q37=""),IF($Q$2="(nonblank)",--(Q37&lt;&gt;""),--ISNUMBER(SEARCH($Q$2,Q37)))))</f>
      </c>
      <c r="BC37" s="137">
        <f>IF($R$2="",1,IF($R$2="(blank)",--(R37=""),IF($R$2="(nonblank)",--(R37&lt;&gt;""),--ISNUMBER(SEARCH($R$2,R37)))))</f>
      </c>
      <c r="BD37" s="137">
        <f>IF($S$2="",1,IF($S$2="(blank)",--(S37=""),IF($S$2="(nonblank)",--(S37&lt;&gt;""),--ISNUMBER(SEARCH($S$2,S37)))))</f>
      </c>
      <c r="BE37" s="137">
        <f>IF($T$2="",1,IF($T$2="(blank)",--(T37=""),IF($T$2="(nonblank)",--(T37&lt;&gt;""),--ISNUMBER(SEARCH($T$2,T37)))))</f>
      </c>
      <c r="BF37" s="137">
        <f>IF($U$2="",1,IF($U$2="(blank)",--(U37=""),IF($U$2="(nonblank)",--(U37&lt;&gt;""),--ISNUMBER(SEARCH($U$2,U37)))))</f>
      </c>
      <c r="BG37" s="137">
        <f>IF($V$2="",1,IF($V$2="(blank)",--(V37=""),IF($V$2="(nonblank)",--(V37&lt;&gt;""),--ISNUMBER(SEARCH($V$2,V37)))))</f>
      </c>
      <c r="BH37" s="137">
        <f>IF($W$2="",1,IF($W$2="(blank)",--(W37=""),IF($W$2="(nonblank)",--(W37&lt;&gt;""),--ISNUMBER(SEARCH($W$2,W37)))))</f>
      </c>
      <c r="BI37" s="137">
        <f>IF($X$2="",1,IF($X$2="(blank)",--(X37=""),IF($X$2="(nonblank)",--(X37&lt;&gt;""),--ISNUMBER(SEARCH($X$2,X37)))))</f>
      </c>
      <c r="BJ37" s="137">
        <f>IF($Y$2="",1,IF($Y$2="(blank)",--(Y37=""),IF($Y$2="(nonblank)",--(Y37&lt;&gt;""),--ISNUMBER(SEARCH($Y$2,Y37)))))</f>
      </c>
      <c r="BK37" s="137">
        <f>IF($Z$2="",1,IF($Z$2="(blank)",--(Z37=""),IF($Z$2="(nonblank)",--(Z37&lt;&gt;""),--ISNUMBER(SEARCH($Z$2,Z37)))))</f>
      </c>
      <c r="BL37" s="137">
        <f>IF($AA$2="",1,IF($AA$2="(blank)",--(AA37=""),IF($AA$2="(nonblank)",--(AA37&lt;&gt;""),--ISNUMBER(SEARCH($AA$2,AA37)))))</f>
      </c>
      <c r="BM37" s="137">
        <f>IF($AB$2="",1,IF($AB$2="(blank)",--(AB37=""),IF($AB$2="(nonblank)",--(AB37&lt;&gt;""),--ISNUMBER(SEARCH($AB$2,AB37)))))</f>
      </c>
      <c r="BN37" s="137">
        <f>IF($AC$2="",1,IF($AC$2="(blank)",--(AC37=""),IF($AC$2="(nonblank)",--(AC37&lt;&gt;""),--ISNUMBER(SEARCH($AC$2,AC37)))))</f>
      </c>
      <c r="BO37" s="137">
        <f>IF($AD$2="",1,IF($AD$2="(blank)",--(AD37=""),IF($AD$2="(nonblank)",--(AD37&lt;&gt;""),--ISNUMBER(SEARCH($AD$2,AD37)))))</f>
      </c>
      <c r="BP37" s="137">
        <f>IF($AE$2="",1,IF($AE$2="(blank)",--(AE37=""),IF($AE$2="(nonblank)",--(AE37&lt;&gt;""),--ISNUMBER(SEARCH($AE$2,AE37)))))</f>
      </c>
      <c r="BQ37" s="137">
        <f>IF($AF$2="",1,IF($AF$2="(blank)",--(AF37=""),IF($AF$2="(nonblank)",--(AF37&lt;&gt;""),--ISNUMBER(SEARCH($AF$2,AF37)))))</f>
      </c>
      <c r="BR37" s="137">
        <f>IF($AG$2="",1,IF($AG$2="(blank)",--(AG37=""),IF($AG$2="(nonblank)",--(AG37&lt;&gt;""),--ISNUMBER(SEARCH($AG$2,AG37)))))</f>
      </c>
      <c r="BS37" s="137">
        <f>IF($AH$2="",1,IF($AH$2="(blank)",--(AH37=""),IF($AH$2="(nonblank)",--(AH37&lt;&gt;""),--ISNUMBER(SEARCH($AH$2,AH37)))))</f>
      </c>
      <c r="BT37" s="137">
        <f>IF(COUNTIF($AL37:$BS37,0)&gt;0,0,1)</f>
      </c>
    </row>
    <row r="38" ht="14.25" customHeight="1" s="137">
      <c r="A38" s="23" t="n">
        <v>3</v>
      </c>
      <c r="B38" s="24" t="inlineStr">
        <is>
          <t>Scrap of 132 KV CT</t>
        </is>
      </c>
      <c r="C38" s="25" t="n">
        <v>70001</v>
      </c>
      <c r="D38" s="26" t="n">
        <v>21980</v>
      </c>
      <c r="E38" s="26" t="inlineStr">
        <is>
          <t>NO</t>
        </is>
      </c>
      <c r="F38" s="26" t="n">
        <v>2086</v>
      </c>
      <c r="G38" s="24" t="inlineStr">
        <is>
          <t>KASHYAP TRADING CO</t>
        </is>
      </c>
      <c r="H38" s="27" t="n">
        <v>210003</v>
      </c>
      <c r="I38" s="27">
        <f>ROUND(H38*18%,0)</f>
        <v/>
      </c>
      <c r="J38" s="27">
        <f>+H38+I38</f>
        <v/>
      </c>
      <c r="K38" s="27">
        <f>ROUND((H38+I38)*2%,0)</f>
        <v/>
      </c>
      <c r="L38" s="28">
        <f>H38*0.1%</f>
        <v/>
      </c>
      <c r="M38" s="28">
        <f>H38*2.25%*118%</f>
        <v/>
      </c>
      <c r="N38" s="29">
        <f>H38*2.25%*2%</f>
        <v/>
      </c>
      <c r="O38" s="28">
        <f>M38-N38</f>
        <v/>
      </c>
      <c r="P38" s="28">
        <f>ROUND(O38+L38,0)</f>
        <v/>
      </c>
      <c r="Q38" s="30" t="n">
        <v>0</v>
      </c>
      <c r="R38" s="28">
        <f>ROUND(H38*Q38,0)</f>
        <v/>
      </c>
      <c r="S38" s="27">
        <f>ROUND(H38*117.65%-R38,0)</f>
        <v/>
      </c>
      <c r="T38" s="28">
        <f>ROUND(H38*25%,0)</f>
        <v/>
      </c>
      <c r="U38" s="31" t="n">
        <v>52501</v>
      </c>
      <c r="V38" s="28" t="inlineStr">
        <is>
          <t>17.08.2026</t>
        </is>
      </c>
      <c r="W38" s="28">
        <f>ROUND(H38*92.65%-R38,0)</f>
        <v/>
      </c>
      <c r="X38" s="28" t="n">
        <v>194568</v>
      </c>
      <c r="Y38" s="28" t="inlineStr">
        <is>
          <t>17.08.2026</t>
        </is>
      </c>
      <c r="Z38" s="28">
        <f>IF(IF(OR(AB38="",AB38=0),TODAY(),DATE(VALUE(RIGHT(AB38,4)),VALUE(MID(AB38,4,2)),VALUE(LEFT(AB38,2))))&lt;=DATE(2026,8,24),0,H38*0.0118*CEILING((IF(OR(AB38="",AB38=0),TODAY(),DATE(VALUE(RIGHT(AB38,4)),VALUE(MID(AB38,4,2)),VALUE(LEFT(AB38,2))))-DATE(2026,8,22))/7,1))</f>
        <v/>
      </c>
      <c r="AA38" s="28" t="n"/>
      <c r="AB38" s="28" t="n"/>
      <c r="AC38" s="15">
        <f>U38+X38+AA38</f>
        <v/>
      </c>
      <c r="AD38" s="19">
        <f>S38-AC38</f>
        <v/>
      </c>
      <c r="AE38" s="20">
        <f>IF(AD38="","",IF(AD38&lt;=5,"SETTLED","OUTSTANDING"))</f>
        <v/>
      </c>
      <c r="AF38" s="20" t="inlineStr">
        <is>
          <t>DR2640100025</t>
        </is>
      </c>
      <c r="AG38" s="21" t="n">
        <v>1800003226</v>
      </c>
      <c r="AH38" s="22" t="inlineStr">
        <is>
          <t>19.08.2026</t>
        </is>
      </c>
      <c r="AL38" s="137">
        <f>IF($A$2="",1,IF($A$2="(blank)",--(A38=""),IF($A$2="(nonblank)",--(A38&lt;&gt;""),--ISNUMBER(SEARCH($A$2,A38)))))</f>
      </c>
      <c r="AM38" s="137">
        <f>IF($B$2="",1,IF($B$2="(blank)",--(B38=""),IF($B$2="(nonblank)",--(B38&lt;&gt;""),--ISNUMBER(SEARCH($B$2,B38)))))</f>
      </c>
      <c r="AN38" s="137">
        <f>IF($C$2="",1,IF($C$2="(blank)",--(C38=""),IF($C$2="(nonblank)",--(C38&lt;&gt;""),--ISNUMBER(SEARCH($C$2,C38)))))</f>
      </c>
      <c r="AO38" s="137">
        <f>IF($D$2="",1,IF($D$2="(blank)",--(D38=""),IF($D$2="(nonblank)",--(D38&lt;&gt;""),--ISNUMBER(SEARCH($D$2,D38)))))</f>
      </c>
      <c r="AP38" s="137">
        <f>IF($E$2="",1,IF($E$2="(blank)",--(E38=""),IF($E$2="(nonblank)",--(E38&lt;&gt;""),--ISNUMBER(SEARCH($E$2,E38)))))</f>
      </c>
      <c r="AQ38" s="137">
        <f>IF($F$2="",1,IF($F$2="(blank)",--(F38=""),IF($F$2="(nonblank)",--(F38&lt;&gt;""),--ISNUMBER(SEARCH($F$2,F38)))))</f>
      </c>
      <c r="AR38" s="137">
        <f>IF($G$2="",1,IF($G$2="(blank)",--(G38=""),IF($G$2="(nonblank)",--(G38&lt;&gt;""),--ISNUMBER(SEARCH($G$2,G38)))))</f>
      </c>
      <c r="AS38" s="137">
        <f>IF($H$2="",1,IF($H$2="(blank)",--(H38=""),IF($H$2="(nonblank)",--(H38&lt;&gt;""),--ISNUMBER(SEARCH($H$2,H38)))))</f>
      </c>
      <c r="AT38" s="137">
        <f>IF($I$2="",1,IF($I$2="(blank)",--(I38=""),IF($I$2="(nonblank)",--(I38&lt;&gt;""),--ISNUMBER(SEARCH($I$2,I38)))))</f>
      </c>
      <c r="AU38" s="137">
        <f>IF($J$2="",1,IF($J$2="(blank)",--(J38=""),IF($J$2="(nonblank)",--(J38&lt;&gt;""),--ISNUMBER(SEARCH($J$2,J38)))))</f>
      </c>
      <c r="AV38" s="137">
        <f>IF($K$2="",1,IF($K$2="(blank)",--(K38=""),IF($K$2="(nonblank)",--(K38&lt;&gt;""),--ISNUMBER(SEARCH($K$2,K38)))))</f>
      </c>
      <c r="AW38" s="137">
        <f>IF($L$2="",1,IF($L$2="(blank)",--(L38=""),IF($L$2="(nonblank)",--(L38&lt;&gt;""),--ISNUMBER(SEARCH($L$2,L38)))))</f>
      </c>
      <c r="AX38" s="137">
        <f>IF($M$2="",1,IF($M$2="(blank)",--(M38=""),IF($M$2="(nonblank)",--(M38&lt;&gt;""),--ISNUMBER(SEARCH($M$2,M38)))))</f>
      </c>
      <c r="AY38" s="137">
        <f>IF($N$2="",1,IF($N$2="(blank)",--(N38=""),IF($N$2="(nonblank)",--(N38&lt;&gt;""),--ISNUMBER(SEARCH($N$2,N38)))))</f>
      </c>
      <c r="AZ38" s="137">
        <f>IF($O$2="",1,IF($O$2="(blank)",--(O38=""),IF($O$2="(nonblank)",--(O38&lt;&gt;""),--ISNUMBER(SEARCH($O$2,O38)))))</f>
      </c>
      <c r="BA38" s="137">
        <f>IF($P$2="",1,IF($P$2="(blank)",--(P38=""),IF($P$2="(nonblank)",--(P38&lt;&gt;""),--ISNUMBER(SEARCH($P$2,P38)))))</f>
      </c>
      <c r="BB38" s="137">
        <f>IF($Q$2="",1,IF($Q$2="(blank)",--(Q38=""),IF($Q$2="(nonblank)",--(Q38&lt;&gt;""),--ISNUMBER(SEARCH($Q$2,Q38)))))</f>
      </c>
      <c r="BC38" s="137">
        <f>IF($R$2="",1,IF($R$2="(blank)",--(R38=""),IF($R$2="(nonblank)",--(R38&lt;&gt;""),--ISNUMBER(SEARCH($R$2,R38)))))</f>
      </c>
      <c r="BD38" s="137">
        <f>IF($S$2="",1,IF($S$2="(blank)",--(S38=""),IF($S$2="(nonblank)",--(S38&lt;&gt;""),--ISNUMBER(SEARCH($S$2,S38)))))</f>
      </c>
      <c r="BE38" s="137">
        <f>IF($T$2="",1,IF($T$2="(blank)",--(T38=""),IF($T$2="(nonblank)",--(T38&lt;&gt;""),--ISNUMBER(SEARCH($T$2,T38)))))</f>
      </c>
      <c r="BF38" s="137">
        <f>IF($U$2="",1,IF($U$2="(blank)",--(U38=""),IF($U$2="(nonblank)",--(U38&lt;&gt;""),--ISNUMBER(SEARCH($U$2,U38)))))</f>
      </c>
      <c r="BG38" s="137">
        <f>IF($V$2="",1,IF($V$2="(blank)",--(V38=""),IF($V$2="(nonblank)",--(V38&lt;&gt;""),--ISNUMBER(SEARCH($V$2,V38)))))</f>
      </c>
      <c r="BH38" s="137">
        <f>IF($W$2="",1,IF($W$2="(blank)",--(W38=""),IF($W$2="(nonblank)",--(W38&lt;&gt;""),--ISNUMBER(SEARCH($W$2,W38)))))</f>
      </c>
      <c r="BI38" s="137">
        <f>IF($X$2="",1,IF($X$2="(blank)",--(X38=""),IF($X$2="(nonblank)",--(X38&lt;&gt;""),--ISNUMBER(SEARCH($X$2,X38)))))</f>
      </c>
      <c r="BJ38" s="137">
        <f>IF($Y$2="",1,IF($Y$2="(blank)",--(Y38=""),IF($Y$2="(nonblank)",--(Y38&lt;&gt;""),--ISNUMBER(SEARCH($Y$2,Y38)))))</f>
      </c>
      <c r="BK38" s="137">
        <f>IF($Z$2="",1,IF($Z$2="(blank)",--(Z38=""),IF($Z$2="(nonblank)",--(Z38&lt;&gt;""),--ISNUMBER(SEARCH($Z$2,Z38)))))</f>
      </c>
      <c r="BL38" s="137">
        <f>IF($AA$2="",1,IF($AA$2="(blank)",--(AA38=""),IF($AA$2="(nonblank)",--(AA38&lt;&gt;""),--ISNUMBER(SEARCH($AA$2,AA38)))))</f>
      </c>
      <c r="BM38" s="137">
        <f>IF($AB$2="",1,IF($AB$2="(blank)",--(AB38=""),IF($AB$2="(nonblank)",--(AB38&lt;&gt;""),--ISNUMBER(SEARCH($AB$2,AB38)))))</f>
      </c>
      <c r="BN38" s="137">
        <f>IF($AC$2="",1,IF($AC$2="(blank)",--(AC38=""),IF($AC$2="(nonblank)",--(AC38&lt;&gt;""),--ISNUMBER(SEARCH($AC$2,AC38)))))</f>
      </c>
      <c r="BO38" s="137">
        <f>IF($AD$2="",1,IF($AD$2="(blank)",--(AD38=""),IF($AD$2="(nonblank)",--(AD38&lt;&gt;""),--ISNUMBER(SEARCH($AD$2,AD38)))))</f>
      </c>
      <c r="BP38" s="137">
        <f>IF($AE$2="",1,IF($AE$2="(blank)",--(AE38=""),IF($AE$2="(nonblank)",--(AE38&lt;&gt;""),--ISNUMBER(SEARCH($AE$2,AE38)))))</f>
      </c>
      <c r="BQ38" s="137">
        <f>IF($AF$2="",1,IF($AF$2="(blank)",--(AF38=""),IF($AF$2="(nonblank)",--(AF38&lt;&gt;""),--ISNUMBER(SEARCH($AF$2,AF38)))))</f>
      </c>
      <c r="BR38" s="137">
        <f>IF($AG$2="",1,IF($AG$2="(blank)",--(AG38=""),IF($AG$2="(nonblank)",--(AG38&lt;&gt;""),--ISNUMBER(SEARCH($AG$2,AG38)))))</f>
      </c>
      <c r="BS38" s="137">
        <f>IF($AH$2="",1,IF($AH$2="(blank)",--(AH38=""),IF($AH$2="(nonblank)",--(AH38&lt;&gt;""),--ISNUMBER(SEARCH($AH$2,AH38)))))</f>
      </c>
      <c r="BT38" s="137">
        <f>IF(COUNTIF($AL38:$BS38,0)&gt;0,0,1)</f>
      </c>
    </row>
    <row r="39" ht="14.25" customHeight="1" s="137">
      <c r="A39" s="148" t="n">
        <v>2</v>
      </c>
      <c r="B39" s="149" t="inlineStr">
        <is>
          <t>Scrap of 66 kv TBC C &amp; R Panel</t>
        </is>
      </c>
      <c r="C39" s="150" t="n">
        <v>15006</v>
      </c>
      <c r="D39" s="151" t="n">
        <v>21980</v>
      </c>
      <c r="E39" s="151" t="inlineStr">
        <is>
          <t>NO</t>
        </is>
      </c>
      <c r="F39" s="151" t="n">
        <v>2089</v>
      </c>
      <c r="G39" s="149" t="inlineStr">
        <is>
          <t>S M ENTERPRISES</t>
        </is>
      </c>
      <c r="H39" s="152" t="n">
        <v>30012</v>
      </c>
      <c r="I39" s="152">
        <f>ROUND(H39*18%,0)</f>
        <v/>
      </c>
      <c r="J39" s="152">
        <f>+H39+I39</f>
        <v/>
      </c>
      <c r="K39" s="152">
        <f>ROUND((H39+I39)*2%,0)</f>
        <v/>
      </c>
      <c r="L39" s="153">
        <f>H39*0.1%</f>
        <v/>
      </c>
      <c r="M39" s="153">
        <f>H39*2.25%*118%</f>
        <v/>
      </c>
      <c r="N39" s="154">
        <f>H39*2.25%*2%</f>
        <v/>
      </c>
      <c r="O39" s="153">
        <f>M39-N39</f>
        <v/>
      </c>
      <c r="P39" s="153">
        <f>ROUND(O39+L39,0)</f>
        <v/>
      </c>
      <c r="Q39" s="155" t="n">
        <v>0</v>
      </c>
      <c r="R39" s="153">
        <f>ROUND(H39*Q39,0)</f>
        <v/>
      </c>
      <c r="S39" s="152">
        <f>ROUND(H39*117.65%-R39,0)</f>
        <v/>
      </c>
      <c r="T39" s="153">
        <f>ROUND(H39*25%,0)</f>
        <v/>
      </c>
      <c r="U39" s="156" t="n">
        <v>7503</v>
      </c>
      <c r="V39" s="153" t="inlineStr">
        <is>
          <t>14.08.2026</t>
        </is>
      </c>
      <c r="W39" s="153">
        <f>ROUND(H39*92.65%-R39,0)</f>
        <v/>
      </c>
      <c r="X39" s="153" t="n">
        <v>27806</v>
      </c>
      <c r="Y39" s="153" t="inlineStr">
        <is>
          <t>01.09.2026</t>
        </is>
      </c>
      <c r="Z39" s="153">
        <f>IF(IF(OR(AB39="",AB39=0),TODAY(),DATE(VALUE(RIGHT(AB39,4)),VALUE(MID(AB39,4,2)),VALUE(LEFT(AB39,2))))&lt;=DATE(2026,8,24),0,H39*0.0118*CEILING((IF(OR(AB39="",AB39=0),TODAY(),DATE(VALUE(RIGHT(AB39,4)),VALUE(MID(AB39,4,2)),VALUE(LEFT(AB39,2))))-DATE(2026,8,22))/7,1))</f>
        <v/>
      </c>
      <c r="AA39" s="153" t="n">
        <v>708</v>
      </c>
      <c r="AB39" s="153" t="inlineStr">
        <is>
          <t>01.09.2026</t>
        </is>
      </c>
      <c r="AC39" s="157">
        <f>U39+X39+AA39</f>
        <v/>
      </c>
      <c r="AD39" s="157">
        <f>S39-AC39</f>
        <v/>
      </c>
      <c r="AE39" s="153">
        <f>IF(AD39="","",IF(AD39&lt;=5,"SETTLED","OUTSTANDING"))</f>
        <v/>
      </c>
      <c r="AF39" s="153" t="n"/>
      <c r="AG39" s="158" t="n"/>
      <c r="AH39" s="159" t="n"/>
      <c r="AL39" s="137">
        <f>IF($A$2="",1,IF($A$2="(blank)",--(A39=""),IF($A$2="(nonblank)",--(A39&lt;&gt;""),--ISNUMBER(SEARCH($A$2,A39)))))</f>
      </c>
      <c r="AM39" s="137">
        <f>IF($B$2="",1,IF($B$2="(blank)",--(B39=""),IF($B$2="(nonblank)",--(B39&lt;&gt;""),--ISNUMBER(SEARCH($B$2,B39)))))</f>
      </c>
      <c r="AN39" s="137">
        <f>IF($C$2="",1,IF($C$2="(blank)",--(C39=""),IF($C$2="(nonblank)",--(C39&lt;&gt;""),--ISNUMBER(SEARCH($C$2,C39)))))</f>
      </c>
      <c r="AO39" s="137">
        <f>IF($D$2="",1,IF($D$2="(blank)",--(D39=""),IF($D$2="(nonblank)",--(D39&lt;&gt;""),--ISNUMBER(SEARCH($D$2,D39)))))</f>
      </c>
      <c r="AP39" s="137">
        <f>IF($E$2="",1,IF($E$2="(blank)",--(E39=""),IF($E$2="(nonblank)",--(E39&lt;&gt;""),--ISNUMBER(SEARCH($E$2,E39)))))</f>
      </c>
      <c r="AQ39" s="137">
        <f>IF($F$2="",1,IF($F$2="(blank)",--(F39=""),IF($F$2="(nonblank)",--(F39&lt;&gt;""),--ISNUMBER(SEARCH($F$2,F39)))))</f>
      </c>
      <c r="AR39" s="137">
        <f>IF($G$2="",1,IF($G$2="(blank)",--(G39=""),IF($G$2="(nonblank)",--(G39&lt;&gt;""),--ISNUMBER(SEARCH($G$2,G39)))))</f>
      </c>
      <c r="AS39" s="137">
        <f>IF($H$2="",1,IF($H$2="(blank)",--(H39=""),IF($H$2="(nonblank)",--(H39&lt;&gt;""),--ISNUMBER(SEARCH($H$2,H39)))))</f>
      </c>
      <c r="AT39" s="137">
        <f>IF($I$2="",1,IF($I$2="(blank)",--(I39=""),IF($I$2="(nonblank)",--(I39&lt;&gt;""),--ISNUMBER(SEARCH($I$2,I39)))))</f>
      </c>
      <c r="AU39" s="137">
        <f>IF($J$2="",1,IF($J$2="(blank)",--(J39=""),IF($J$2="(nonblank)",--(J39&lt;&gt;""),--ISNUMBER(SEARCH($J$2,J39)))))</f>
      </c>
      <c r="AV39" s="137">
        <f>IF($K$2="",1,IF($K$2="(blank)",--(K39=""),IF($K$2="(nonblank)",--(K39&lt;&gt;""),--ISNUMBER(SEARCH($K$2,K39)))))</f>
      </c>
      <c r="AW39" s="137">
        <f>IF($L$2="",1,IF($L$2="(blank)",--(L39=""),IF($L$2="(nonblank)",--(L39&lt;&gt;""),--ISNUMBER(SEARCH($L$2,L39)))))</f>
      </c>
      <c r="AX39" s="137">
        <f>IF($M$2="",1,IF($M$2="(blank)",--(M39=""),IF($M$2="(nonblank)",--(M39&lt;&gt;""),--ISNUMBER(SEARCH($M$2,M39)))))</f>
      </c>
      <c r="AY39" s="137">
        <f>IF($N$2="",1,IF($N$2="(blank)",--(N39=""),IF($N$2="(nonblank)",--(N39&lt;&gt;""),--ISNUMBER(SEARCH($N$2,N39)))))</f>
      </c>
      <c r="AZ39" s="137">
        <f>IF($O$2="",1,IF($O$2="(blank)",--(O39=""),IF($O$2="(nonblank)",--(O39&lt;&gt;""),--ISNUMBER(SEARCH($O$2,O39)))))</f>
      </c>
      <c r="BA39" s="137">
        <f>IF($P$2="",1,IF($P$2="(blank)",--(P39=""),IF($P$2="(nonblank)",--(P39&lt;&gt;""),--ISNUMBER(SEARCH($P$2,P39)))))</f>
      </c>
      <c r="BB39" s="137">
        <f>IF($Q$2="",1,IF($Q$2="(blank)",--(Q39=""),IF($Q$2="(nonblank)",--(Q39&lt;&gt;""),--ISNUMBER(SEARCH($Q$2,Q39)))))</f>
      </c>
      <c r="BC39" s="137">
        <f>IF($R$2="",1,IF($R$2="(blank)",--(R39=""),IF($R$2="(nonblank)",--(R39&lt;&gt;""),--ISNUMBER(SEARCH($R$2,R39)))))</f>
      </c>
      <c r="BD39" s="137">
        <f>IF($S$2="",1,IF($S$2="(blank)",--(S39=""),IF($S$2="(nonblank)",--(S39&lt;&gt;""),--ISNUMBER(SEARCH($S$2,S39)))))</f>
      </c>
      <c r="BE39" s="137">
        <f>IF($T$2="",1,IF($T$2="(blank)",--(T39=""),IF($T$2="(nonblank)",--(T39&lt;&gt;""),--ISNUMBER(SEARCH($T$2,T39)))))</f>
      </c>
      <c r="BF39" s="137">
        <f>IF($U$2="",1,IF($U$2="(blank)",--(U39=""),IF($U$2="(nonblank)",--(U39&lt;&gt;""),--ISNUMBER(SEARCH($U$2,U39)))))</f>
      </c>
      <c r="BG39" s="137">
        <f>IF($V$2="",1,IF($V$2="(blank)",--(V39=""),IF($V$2="(nonblank)",--(V39&lt;&gt;""),--ISNUMBER(SEARCH($V$2,V39)))))</f>
      </c>
      <c r="BH39" s="137">
        <f>IF($W$2="",1,IF($W$2="(blank)",--(W39=""),IF($W$2="(nonblank)",--(W39&lt;&gt;""),--ISNUMBER(SEARCH($W$2,W39)))))</f>
      </c>
      <c r="BI39" s="137">
        <f>IF($X$2="",1,IF($X$2="(blank)",--(X39=""),IF($X$2="(nonblank)",--(X39&lt;&gt;""),--ISNUMBER(SEARCH($X$2,X39)))))</f>
      </c>
      <c r="BJ39" s="137">
        <f>IF($Y$2="",1,IF($Y$2="(blank)",--(Y39=""),IF($Y$2="(nonblank)",--(Y39&lt;&gt;""),--ISNUMBER(SEARCH($Y$2,Y39)))))</f>
      </c>
      <c r="BK39" s="137">
        <f>IF($Z$2="",1,IF($Z$2="(blank)",--(Z39=""),IF($Z$2="(nonblank)",--(Z39&lt;&gt;""),--ISNUMBER(SEARCH($Z$2,Z39)))))</f>
      </c>
      <c r="BL39" s="137">
        <f>IF($AA$2="",1,IF($AA$2="(blank)",--(AA39=""),IF($AA$2="(nonblank)",--(AA39&lt;&gt;""),--ISNUMBER(SEARCH($AA$2,AA39)))))</f>
      </c>
      <c r="BM39" s="137">
        <f>IF($AB$2="",1,IF($AB$2="(blank)",--(AB39=""),IF($AB$2="(nonblank)",--(AB39&lt;&gt;""),--ISNUMBER(SEARCH($AB$2,AB39)))))</f>
      </c>
      <c r="BN39" s="137">
        <f>IF($AC$2="",1,IF($AC$2="(blank)",--(AC39=""),IF($AC$2="(nonblank)",--(AC39&lt;&gt;""),--ISNUMBER(SEARCH($AC$2,AC39)))))</f>
      </c>
      <c r="BO39" s="137">
        <f>IF($AD$2="",1,IF($AD$2="(blank)",--(AD39=""),IF($AD$2="(nonblank)",--(AD39&lt;&gt;""),--ISNUMBER(SEARCH($AD$2,AD39)))))</f>
      </c>
      <c r="BP39" s="137">
        <f>IF($AE$2="",1,IF($AE$2="(blank)",--(AE39=""),IF($AE$2="(nonblank)",--(AE39&lt;&gt;""),--ISNUMBER(SEARCH($AE$2,AE39)))))</f>
      </c>
      <c r="BQ39" s="137">
        <f>IF($AF$2="",1,IF($AF$2="(blank)",--(AF39=""),IF($AF$2="(nonblank)",--(AF39&lt;&gt;""),--ISNUMBER(SEARCH($AF$2,AF39)))))</f>
      </c>
      <c r="BR39" s="137">
        <f>IF($AG$2="",1,IF($AG$2="(blank)",--(AG39=""),IF($AG$2="(nonblank)",--(AG39&lt;&gt;""),--ISNUMBER(SEARCH($AG$2,AG39)))))</f>
      </c>
      <c r="BS39" s="137">
        <f>IF($AH$2="",1,IF($AH$2="(blank)",--(AH39=""),IF($AH$2="(nonblank)",--(AH39&lt;&gt;""),--ISNUMBER(SEARCH($AH$2,AH39)))))</f>
      </c>
      <c r="BT39" s="137">
        <f>IF(COUNTIF($AL39:$BS39,0)&gt;0,0,1)</f>
      </c>
    </row>
    <row r="40" ht="15" customHeight="1" s="137">
      <c r="A40" s="32" t="n">
        <v>3</v>
      </c>
      <c r="B40" s="33" t="inlineStr">
        <is>
          <t>Scrap of 132 KV CT</t>
        </is>
      </c>
      <c r="C40" s="34" t="n">
        <v>40003</v>
      </c>
      <c r="D40" s="35" t="n">
        <v>21980</v>
      </c>
      <c r="E40" s="35" t="inlineStr">
        <is>
          <t>NO</t>
        </is>
      </c>
      <c r="F40" s="35" t="n">
        <v>2091</v>
      </c>
      <c r="G40" s="33" t="inlineStr">
        <is>
          <t>S M ENTERPRISES</t>
        </is>
      </c>
      <c r="H40" s="36" t="n">
        <v>120009</v>
      </c>
      <c r="I40" s="36">
        <f>ROUND(H40*18%,0)</f>
        <v/>
      </c>
      <c r="J40" s="36">
        <f>+H40+I40</f>
        <v/>
      </c>
      <c r="K40" s="36">
        <f>ROUND((H40+I40)*2%,0)</f>
        <v/>
      </c>
      <c r="L40" s="37">
        <f>H40*0.1%</f>
        <v/>
      </c>
      <c r="M40" s="37">
        <f>H40*2.25%*118%</f>
        <v/>
      </c>
      <c r="N40" s="38">
        <f>H40*2.25%*2%</f>
        <v/>
      </c>
      <c r="O40" s="37">
        <f>M40-N40</f>
        <v/>
      </c>
      <c r="P40" s="37">
        <f>ROUND(O40+L40,0)</f>
        <v/>
      </c>
      <c r="Q40" s="39" t="n">
        <v>0</v>
      </c>
      <c r="R40" s="37">
        <f>ROUND(H40*Q40,0)</f>
        <v/>
      </c>
      <c r="S40" s="36">
        <f>ROUND(H40*117.65%-R40,0)</f>
        <v/>
      </c>
      <c r="T40" s="37">
        <f>ROUND(H40*25%,0)</f>
        <v/>
      </c>
      <c r="U40" s="40" t="n">
        <v>30002</v>
      </c>
      <c r="V40" s="37" t="inlineStr">
        <is>
          <t>14.08.2026</t>
        </is>
      </c>
      <c r="W40" s="37">
        <f>ROUND(H40*92.65%-R40,0)</f>
        <v/>
      </c>
      <c r="X40" s="37" t="n">
        <v>111189</v>
      </c>
      <c r="Y40" s="37" t="inlineStr">
        <is>
          <t>01.09.2026</t>
        </is>
      </c>
      <c r="Z40" s="37">
        <f>IF(IF(OR(AB40="",AB40=0),TODAY(),DATE(VALUE(RIGHT(AB40,4)),VALUE(MID(AB40,4,2)),VALUE(LEFT(AB40,2))))&lt;=DATE(2026,8,24),0,H40*0.0118*CEILING((IF(OR(AB40="",AB40=0),TODAY(),DATE(VALUE(RIGHT(AB40,4)),VALUE(MID(AB40,4,2)),VALUE(LEFT(AB40,2))))-DATE(2026,8,22))/7,1))</f>
        <v/>
      </c>
      <c r="AA40" s="37" t="n">
        <v>2832</v>
      </c>
      <c r="AB40" s="37" t="inlineStr">
        <is>
          <t>01.09.2026</t>
        </is>
      </c>
      <c r="AC40" s="15">
        <f>U40+X40+AA40</f>
        <v/>
      </c>
      <c r="AD40" s="19">
        <f>S40-AC40</f>
        <v/>
      </c>
      <c r="AE40" s="20">
        <f>IF(AD40="","",IF(AD40&lt;=5,"SETTLED","OUTSTANDING"))</f>
        <v/>
      </c>
      <c r="AF40" s="20" t="n"/>
      <c r="AG40" s="21" t="n"/>
      <c r="AH40" s="22" t="n"/>
      <c r="AL40" s="137">
        <f>IF($A$2="",1,IF($A$2="(blank)",--(A40=""),IF($A$2="(nonblank)",--(A40&lt;&gt;""),--ISNUMBER(SEARCH($A$2,A40)))))</f>
      </c>
      <c r="AM40" s="137">
        <f>IF($B$2="",1,IF($B$2="(blank)",--(B40=""),IF($B$2="(nonblank)",--(B40&lt;&gt;""),--ISNUMBER(SEARCH($B$2,B40)))))</f>
      </c>
      <c r="AN40" s="137">
        <f>IF($C$2="",1,IF($C$2="(blank)",--(C40=""),IF($C$2="(nonblank)",--(C40&lt;&gt;""),--ISNUMBER(SEARCH($C$2,C40)))))</f>
      </c>
      <c r="AO40" s="137">
        <f>IF($D$2="",1,IF($D$2="(blank)",--(D40=""),IF($D$2="(nonblank)",--(D40&lt;&gt;""),--ISNUMBER(SEARCH($D$2,D40)))))</f>
      </c>
      <c r="AP40" s="137">
        <f>IF($E$2="",1,IF($E$2="(blank)",--(E40=""),IF($E$2="(nonblank)",--(E40&lt;&gt;""),--ISNUMBER(SEARCH($E$2,E40)))))</f>
      </c>
      <c r="AQ40" s="137">
        <f>IF($F$2="",1,IF($F$2="(blank)",--(F40=""),IF($F$2="(nonblank)",--(F40&lt;&gt;""),--ISNUMBER(SEARCH($F$2,F40)))))</f>
      </c>
      <c r="AR40" s="137">
        <f>IF($G$2="",1,IF($G$2="(blank)",--(G40=""),IF($G$2="(nonblank)",--(G40&lt;&gt;""),--ISNUMBER(SEARCH($G$2,G40)))))</f>
      </c>
      <c r="AS40" s="137">
        <f>IF($H$2="",1,IF($H$2="(blank)",--(H40=""),IF($H$2="(nonblank)",--(H40&lt;&gt;""),--ISNUMBER(SEARCH($H$2,H40)))))</f>
      </c>
      <c r="AT40" s="137">
        <f>IF($I$2="",1,IF($I$2="(blank)",--(I40=""),IF($I$2="(nonblank)",--(I40&lt;&gt;""),--ISNUMBER(SEARCH($I$2,I40)))))</f>
      </c>
      <c r="AU40" s="137">
        <f>IF($J$2="",1,IF($J$2="(blank)",--(J40=""),IF($J$2="(nonblank)",--(J40&lt;&gt;""),--ISNUMBER(SEARCH($J$2,J40)))))</f>
      </c>
      <c r="AV40" s="137">
        <f>IF($K$2="",1,IF($K$2="(blank)",--(K40=""),IF($K$2="(nonblank)",--(K40&lt;&gt;""),--ISNUMBER(SEARCH($K$2,K40)))))</f>
      </c>
      <c r="AW40" s="137">
        <f>IF($L$2="",1,IF($L$2="(blank)",--(L40=""),IF($L$2="(nonblank)",--(L40&lt;&gt;""),--ISNUMBER(SEARCH($L$2,L40)))))</f>
      </c>
      <c r="AX40" s="137">
        <f>IF($M$2="",1,IF($M$2="(blank)",--(M40=""),IF($M$2="(nonblank)",--(M40&lt;&gt;""),--ISNUMBER(SEARCH($M$2,M40)))))</f>
      </c>
      <c r="AY40" s="137">
        <f>IF($N$2="",1,IF($N$2="(blank)",--(N40=""),IF($N$2="(nonblank)",--(N40&lt;&gt;""),--ISNUMBER(SEARCH($N$2,N40)))))</f>
      </c>
      <c r="AZ40" s="137">
        <f>IF($O$2="",1,IF($O$2="(blank)",--(O40=""),IF($O$2="(nonblank)",--(O40&lt;&gt;""),--ISNUMBER(SEARCH($O$2,O40)))))</f>
      </c>
      <c r="BA40" s="137">
        <f>IF($P$2="",1,IF($P$2="(blank)",--(P40=""),IF($P$2="(nonblank)",--(P40&lt;&gt;""),--ISNUMBER(SEARCH($P$2,P40)))))</f>
      </c>
      <c r="BB40" s="137">
        <f>IF($Q$2="",1,IF($Q$2="(blank)",--(Q40=""),IF($Q$2="(nonblank)",--(Q40&lt;&gt;""),--ISNUMBER(SEARCH($Q$2,Q40)))))</f>
      </c>
      <c r="BC40" s="137">
        <f>IF($R$2="",1,IF($R$2="(blank)",--(R40=""),IF($R$2="(nonblank)",--(R40&lt;&gt;""),--ISNUMBER(SEARCH($R$2,R40)))))</f>
      </c>
      <c r="BD40" s="137">
        <f>IF($S$2="",1,IF($S$2="(blank)",--(S40=""),IF($S$2="(nonblank)",--(S40&lt;&gt;""),--ISNUMBER(SEARCH($S$2,S40)))))</f>
      </c>
      <c r="BE40" s="137">
        <f>IF($T$2="",1,IF($T$2="(blank)",--(T40=""),IF($T$2="(nonblank)",--(T40&lt;&gt;""),--ISNUMBER(SEARCH($T$2,T40)))))</f>
      </c>
      <c r="BF40" s="137">
        <f>IF($U$2="",1,IF($U$2="(blank)",--(U40=""),IF($U$2="(nonblank)",--(U40&lt;&gt;""),--ISNUMBER(SEARCH($U$2,U40)))))</f>
      </c>
      <c r="BG40" s="137">
        <f>IF($V$2="",1,IF($V$2="(blank)",--(V40=""),IF($V$2="(nonblank)",--(V40&lt;&gt;""),--ISNUMBER(SEARCH($V$2,V40)))))</f>
      </c>
      <c r="BH40" s="137">
        <f>IF($W$2="",1,IF($W$2="(blank)",--(W40=""),IF($W$2="(nonblank)",--(W40&lt;&gt;""),--ISNUMBER(SEARCH($W$2,W40)))))</f>
      </c>
      <c r="BI40" s="137">
        <f>IF($X$2="",1,IF($X$2="(blank)",--(X40=""),IF($X$2="(nonblank)",--(X40&lt;&gt;""),--ISNUMBER(SEARCH($X$2,X40)))))</f>
      </c>
      <c r="BJ40" s="137">
        <f>IF($Y$2="",1,IF($Y$2="(blank)",--(Y40=""),IF($Y$2="(nonblank)",--(Y40&lt;&gt;""),--ISNUMBER(SEARCH($Y$2,Y40)))))</f>
      </c>
      <c r="BK40" s="137">
        <f>IF($Z$2="",1,IF($Z$2="(blank)",--(Z40=""),IF($Z$2="(nonblank)",--(Z40&lt;&gt;""),--ISNUMBER(SEARCH($Z$2,Z40)))))</f>
      </c>
      <c r="BL40" s="137">
        <f>IF($AA$2="",1,IF($AA$2="(blank)",--(AA40=""),IF($AA$2="(nonblank)",--(AA40&lt;&gt;""),--ISNUMBER(SEARCH($AA$2,AA40)))))</f>
      </c>
      <c r="BM40" s="137">
        <f>IF($AB$2="",1,IF($AB$2="(blank)",--(AB40=""),IF($AB$2="(nonblank)",--(AB40&lt;&gt;""),--ISNUMBER(SEARCH($AB$2,AB40)))))</f>
      </c>
      <c r="BN40" s="137">
        <f>IF($AC$2="",1,IF($AC$2="(blank)",--(AC40=""),IF($AC$2="(nonblank)",--(AC40&lt;&gt;""),--ISNUMBER(SEARCH($AC$2,AC40)))))</f>
      </c>
      <c r="BO40" s="137">
        <f>IF($AD$2="",1,IF($AD$2="(blank)",--(AD40=""),IF($AD$2="(nonblank)",--(AD40&lt;&gt;""),--ISNUMBER(SEARCH($AD$2,AD40)))))</f>
      </c>
      <c r="BP40" s="137">
        <f>IF($AE$2="",1,IF($AE$2="(blank)",--(AE40=""),IF($AE$2="(nonblank)",--(AE40&lt;&gt;""),--ISNUMBER(SEARCH($AE$2,AE40)))))</f>
      </c>
      <c r="BQ40" s="137">
        <f>IF($AF$2="",1,IF($AF$2="(blank)",--(AF40=""),IF($AF$2="(nonblank)",--(AF40&lt;&gt;""),--ISNUMBER(SEARCH($AF$2,AF40)))))</f>
      </c>
      <c r="BR40" s="137">
        <f>IF($AG$2="",1,IF($AG$2="(blank)",--(AG40=""),IF($AG$2="(nonblank)",--(AG40&lt;&gt;""),--ISNUMBER(SEARCH($AG$2,AG40)))))</f>
      </c>
      <c r="BS40" s="137">
        <f>IF($AH$2="",1,IF($AH$2="(blank)",--(AH40=""),IF($AH$2="(nonblank)",--(AH40&lt;&gt;""),--ISNUMBER(SEARCH($AH$2,AH40)))))</f>
      </c>
      <c r="BT40" s="137">
        <f>IF(COUNTIF($AL40:$BS40,0)&gt;0,0,1)</f>
      </c>
    </row>
    <row r="41" ht="14.25" customHeight="1" s="137">
      <c r="A41" s="160" t="n"/>
      <c r="B41" s="161" t="n"/>
      <c r="C41" s="161" t="n"/>
      <c r="D41" s="161" t="n"/>
      <c r="E41" s="161" t="n"/>
      <c r="F41" s="161" t="n"/>
      <c r="G41" s="161" t="n"/>
      <c r="H41" s="162">
        <f>SUM(H4:H40)</f>
        <v/>
      </c>
      <c r="I41" s="162">
        <f>SUM(I4:I40)</f>
        <v/>
      </c>
      <c r="J41" s="162">
        <f>SUM(J4:J40)</f>
        <v/>
      </c>
      <c r="K41" s="162">
        <f>SUM(K4:K40)</f>
        <v/>
      </c>
      <c r="L41" s="162">
        <f>SUM(L4:L40)</f>
        <v/>
      </c>
      <c r="M41" s="162">
        <f>SUM(M4:M40)</f>
        <v/>
      </c>
      <c r="N41" s="162">
        <f>SUM(N4:N40)</f>
        <v/>
      </c>
      <c r="O41" s="162">
        <f>SUM(O4:O40)</f>
        <v/>
      </c>
      <c r="P41" s="162">
        <f>SUM(P4:P40)</f>
        <v/>
      </c>
      <c r="Q41" s="163" t="n"/>
      <c r="R41" s="163">
        <f>SUM(R4:R40)</f>
        <v/>
      </c>
      <c r="S41" s="162">
        <f>SUM(S4:S40)</f>
        <v/>
      </c>
      <c r="T41" s="162">
        <f>SUM(T4:T40)</f>
        <v/>
      </c>
      <c r="U41" s="162">
        <f>SUM(U4:U40)</f>
        <v/>
      </c>
      <c r="V41" s="163" t="n"/>
      <c r="W41" s="162">
        <f>SUM(W4:W40)</f>
        <v/>
      </c>
      <c r="X41" s="162">
        <f>SUM(X4:X40)</f>
        <v/>
      </c>
      <c r="Y41" s="163" t="n"/>
      <c r="Z41" s="163">
        <f>SUM(Z4:Z40)</f>
        <v/>
      </c>
      <c r="AA41" s="163">
        <f>SUM(AA4:AA40)</f>
        <v/>
      </c>
      <c r="AB41" s="163" t="n"/>
      <c r="AC41" s="163">
        <f>SUM(AC4:AC40)</f>
        <v/>
      </c>
      <c r="AD41" s="162">
        <f>SUM(AD4:AD40)</f>
        <v/>
      </c>
      <c r="AE41" s="162">
        <f>IF(AD41="","",IF(AD41&lt;=5,"SETTLED","OUTSTANDING"))</f>
        <v/>
      </c>
      <c r="AF41" s="161" t="n"/>
      <c r="AG41" s="161" t="n"/>
      <c r="AH41" s="164" t="n"/>
    </row>
    <row r="42" ht="15" customHeight="1" s="137">
      <c r="A42" s="46" t="n"/>
      <c r="B42" s="47" t="n"/>
      <c r="C42" s="47" t="n"/>
      <c r="D42" s="47" t="n"/>
      <c r="E42" s="47" t="n"/>
      <c r="F42" s="47" t="n"/>
      <c r="G42" s="47" t="n"/>
      <c r="H42" s="48">
        <f>+H41</f>
        <v/>
      </c>
      <c r="I42" s="48">
        <f>ROUND(H42*18%,0)</f>
        <v/>
      </c>
      <c r="J42" s="48">
        <f>+H42+I42</f>
        <v/>
      </c>
      <c r="K42" s="48">
        <f>ROUND((H42+I42)*2%,0)</f>
        <v/>
      </c>
      <c r="L42" s="49">
        <f>ROUND(H42*0.1%,0)</f>
        <v/>
      </c>
      <c r="M42" s="49">
        <f>ROUND(H42*2.25%*118%,0)</f>
        <v/>
      </c>
      <c r="N42" s="50">
        <f>ROUND(H42*2.25%*2%,0)</f>
        <v/>
      </c>
      <c r="O42" s="49">
        <f>ROUND(M42-N42,0)</f>
        <v/>
      </c>
      <c r="P42" s="49">
        <f>ROUND(O42+L42,0)</f>
        <v/>
      </c>
      <c r="Q42" s="49" t="n"/>
      <c r="R42" s="49">
        <f>+R41</f>
        <v/>
      </c>
      <c r="S42" s="48">
        <f>H42*117.65%-R42</f>
        <v/>
      </c>
      <c r="T42" s="51" t="n"/>
      <c r="U42" s="51">
        <f>+T41-U41</f>
        <v/>
      </c>
      <c r="V42" s="52" t="n"/>
      <c r="W42" s="53" t="n"/>
      <c r="X42" s="53">
        <f>+W41-X41</f>
        <v/>
      </c>
      <c r="Y42" s="52" t="n"/>
      <c r="Z42" s="52" t="n"/>
      <c r="AA42" s="52" t="n"/>
      <c r="AB42" s="52" t="n"/>
      <c r="AC42" s="52" t="n"/>
      <c r="AD42" s="52" t="n"/>
      <c r="AE42" s="47" t="n"/>
      <c r="AF42" s="47" t="n"/>
      <c r="AG42" s="47" t="n"/>
      <c r="AH42" s="54" t="n"/>
    </row>
    <row r="43" ht="14.25" customHeight="1" s="137">
      <c r="I43" s="55" t="n"/>
      <c r="J43" s="55" t="n"/>
      <c r="U43" s="56" t="inlineStr">
        <is>
          <t>Bal SD O/s</t>
        </is>
      </c>
      <c r="X43" s="57" t="inlineStr">
        <is>
          <t>Bal FP O/s</t>
        </is>
      </c>
    </row>
    <row r="44" ht="14.25" customHeight="1" s="137">
      <c r="U44" s="58" t="n"/>
    </row>
    <row r="46" ht="14.25" customHeight="1" s="137">
      <c r="K46" s="55" t="n"/>
    </row>
  </sheetData>
  <autoFilter ref="A3:AH43">
    <sortState ref="A4:AG43">
      <sortCondition ref="A4:A43"/>
    </sortState>
  </autoFilter>
  <conditionalFormatting sqref="A4:AH40">
    <cfRule type="expression" priority="1" dxfId="50">
      <formula>AND(COUNTIF($A$2:$AH$2,"&lt;&gt;")&gt;0,$BT4=0)</formula>
    </cfRule>
  </conditionalFormatting>
  <conditionalFormatting sqref="A4:A40">
    <cfRule type="expression" priority="2" dxfId="3">
      <formula>AND($A$2&lt;&gt;"",$AL4=1)</formula>
    </cfRule>
  </conditionalFormatting>
  <conditionalFormatting sqref="B4:B40">
    <cfRule type="expression" priority="3" dxfId="3">
      <formula>AND($B$2&lt;&gt;"",$AM4=1)</formula>
    </cfRule>
  </conditionalFormatting>
  <conditionalFormatting sqref="C4:C40">
    <cfRule type="expression" priority="4" dxfId="3">
      <formula>AND($C$2&lt;&gt;"",$AN4=1)</formula>
    </cfRule>
  </conditionalFormatting>
  <conditionalFormatting sqref="D4:D40">
    <cfRule type="expression" priority="5" dxfId="3">
      <formula>AND($D$2&lt;&gt;"",$AO4=1)</formula>
    </cfRule>
  </conditionalFormatting>
  <conditionalFormatting sqref="E4:E40">
    <cfRule type="expression" priority="6" dxfId="3">
      <formula>AND($E$2&lt;&gt;"",$AP4=1)</formula>
    </cfRule>
  </conditionalFormatting>
  <conditionalFormatting sqref="F4:F40">
    <cfRule type="expression" priority="7" dxfId="3">
      <formula>AND($F$2&lt;&gt;"",$AQ4=1)</formula>
    </cfRule>
  </conditionalFormatting>
  <conditionalFormatting sqref="G4:G40">
    <cfRule type="expression" priority="8" dxfId="3">
      <formula>AND($G$2&lt;&gt;"",$AR4=1)</formula>
    </cfRule>
  </conditionalFormatting>
  <conditionalFormatting sqref="H4:H40">
    <cfRule type="expression" priority="9" dxfId="3">
      <formula>AND($H$2&lt;&gt;"",$AS4=1)</formula>
    </cfRule>
  </conditionalFormatting>
  <conditionalFormatting sqref="I4:I40">
    <cfRule type="expression" priority="10" dxfId="3">
      <formula>AND($I$2&lt;&gt;"",$AT4=1)</formula>
    </cfRule>
  </conditionalFormatting>
  <conditionalFormatting sqref="J4:J40">
    <cfRule type="expression" priority="11" dxfId="3">
      <formula>AND($J$2&lt;&gt;"",$AU4=1)</formula>
    </cfRule>
  </conditionalFormatting>
  <conditionalFormatting sqref="K4:K40">
    <cfRule type="expression" priority="12" dxfId="3">
      <formula>AND($K$2&lt;&gt;"",$AV4=1)</formula>
    </cfRule>
  </conditionalFormatting>
  <conditionalFormatting sqref="L4:L40">
    <cfRule type="expression" priority="13" dxfId="3">
      <formula>AND($L$2&lt;&gt;"",$AW4=1)</formula>
    </cfRule>
  </conditionalFormatting>
  <conditionalFormatting sqref="M4:M40">
    <cfRule type="expression" priority="14" dxfId="3">
      <formula>AND($M$2&lt;&gt;"",$AX4=1)</formula>
    </cfRule>
  </conditionalFormatting>
  <conditionalFormatting sqref="N4:N40">
    <cfRule type="expression" priority="15" dxfId="3">
      <formula>AND($N$2&lt;&gt;"",$AY4=1)</formula>
    </cfRule>
  </conditionalFormatting>
  <conditionalFormatting sqref="O4:O40">
    <cfRule type="expression" priority="16" dxfId="3">
      <formula>AND($O$2&lt;&gt;"",$AZ4=1)</formula>
    </cfRule>
  </conditionalFormatting>
  <conditionalFormatting sqref="P4:P40">
    <cfRule type="expression" priority="17" dxfId="3">
      <formula>AND($P$2&lt;&gt;"",$BA4=1)</formula>
    </cfRule>
  </conditionalFormatting>
  <conditionalFormatting sqref="Q4:Q40">
    <cfRule type="expression" priority="18" dxfId="3">
      <formula>AND($Q$2&lt;&gt;"",$BB4=1)</formula>
    </cfRule>
  </conditionalFormatting>
  <conditionalFormatting sqref="R4:R40">
    <cfRule type="expression" priority="19" dxfId="3">
      <formula>AND($R$2&lt;&gt;"",$BC4=1)</formula>
    </cfRule>
  </conditionalFormatting>
  <conditionalFormatting sqref="S4:S40">
    <cfRule type="expression" priority="20" dxfId="3">
      <formula>AND($S$2&lt;&gt;"",$BD4=1)</formula>
    </cfRule>
  </conditionalFormatting>
  <conditionalFormatting sqref="T4:T40">
    <cfRule type="expression" priority="21" dxfId="3">
      <formula>AND($T$2&lt;&gt;"",$BE4=1)</formula>
    </cfRule>
  </conditionalFormatting>
  <conditionalFormatting sqref="U4:U40">
    <cfRule type="expression" priority="22" dxfId="3">
      <formula>AND($U$2&lt;&gt;"",$BF4=1)</formula>
    </cfRule>
  </conditionalFormatting>
  <conditionalFormatting sqref="V4:V40">
    <cfRule type="expression" priority="23" dxfId="3">
      <formula>AND($V$2&lt;&gt;"",$BG4=1)</formula>
    </cfRule>
  </conditionalFormatting>
  <conditionalFormatting sqref="W4:W40">
    <cfRule type="expression" priority="24" dxfId="3">
      <formula>AND($W$2&lt;&gt;"",$BH4=1)</formula>
    </cfRule>
  </conditionalFormatting>
  <conditionalFormatting sqref="X4:X40">
    <cfRule type="expression" priority="25" dxfId="3">
      <formula>AND($X$2&lt;&gt;"",$BI4=1)</formula>
    </cfRule>
  </conditionalFormatting>
  <conditionalFormatting sqref="Y4:Y40">
    <cfRule type="expression" priority="26" dxfId="3">
      <formula>AND($Y$2&lt;&gt;"",$BJ4=1)</formula>
    </cfRule>
  </conditionalFormatting>
  <conditionalFormatting sqref="Z4:Z40">
    <cfRule type="expression" priority="27" dxfId="3">
      <formula>AND($Z$2&lt;&gt;"",$BK4=1)</formula>
    </cfRule>
  </conditionalFormatting>
  <conditionalFormatting sqref="AA4:AA40">
    <cfRule type="expression" priority="28" dxfId="3">
      <formula>AND($AA$2&lt;&gt;"",$BL4=1)</formula>
    </cfRule>
  </conditionalFormatting>
  <conditionalFormatting sqref="AB4:AB40">
    <cfRule type="expression" priority="29" dxfId="3">
      <formula>AND($AB$2&lt;&gt;"",$BM4=1)</formula>
    </cfRule>
  </conditionalFormatting>
  <conditionalFormatting sqref="AC4:AC40">
    <cfRule type="expression" priority="30" dxfId="3">
      <formula>AND($AC$2&lt;&gt;"",$BN4=1)</formula>
    </cfRule>
  </conditionalFormatting>
  <conditionalFormatting sqref="AD4:AD40">
    <cfRule type="expression" priority="31" dxfId="3">
      <formula>AND($AD$2&lt;&gt;"",$BO4=1)</formula>
    </cfRule>
  </conditionalFormatting>
  <conditionalFormatting sqref="AE4:AE40">
    <cfRule type="expression" priority="32" dxfId="3">
      <formula>AND($AE$2&lt;&gt;"",$BP4=1)</formula>
    </cfRule>
  </conditionalFormatting>
  <conditionalFormatting sqref="AF4:AF40">
    <cfRule type="expression" priority="33" dxfId="3">
      <formula>AND($AF$2&lt;&gt;"",$BQ4=1)</formula>
    </cfRule>
  </conditionalFormatting>
  <conditionalFormatting sqref="AG4:AG40">
    <cfRule type="expression" priority="34" dxfId="3">
      <formula>AND($AG$2&lt;&gt;"",$BR4=1)</formula>
    </cfRule>
  </conditionalFormatting>
  <conditionalFormatting sqref="AH4:AH40">
    <cfRule type="expression" priority="35" dxfId="3">
      <formula>AND($AH$2&lt;&gt;"",$BS4=1)</formula>
    </cfRule>
  </conditionalFormatting>
  <conditionalFormatting sqref="AE4:AE41">
    <cfRule type="cellIs" priority="36" operator="equal" dxfId="51">
      <formula>"SETTLED"</formula>
    </cfRule>
    <cfRule type="cellIs" priority="37" operator="equal" dxfId="52">
      <formula>"OUTSTANDING"</formula>
    </cfRule>
  </conditionalFormatting>
  <conditionalFormatting sqref="AD4:AD41">
    <cfRule type="cellIs" priority="38" operator="greaterThan" dxfId="52">
      <formula>5</formula>
    </cfRule>
  </conditionalFormatting>
  <dataValidations count="34">
    <dataValidation sqref="A2" showDropDown="0" showInputMessage="0" showErrorMessage="0" allowBlank="0" type="list">
      <formula1>SUGF_A</formula1>
      <formula2>0</formula2>
    </dataValidation>
    <dataValidation sqref="B2" showDropDown="0" showInputMessage="0" showErrorMessage="0" allowBlank="0" type="list">
      <formula1>SUGF_B</formula1>
      <formula2>0</formula2>
    </dataValidation>
    <dataValidation sqref="C2" showDropDown="0" showInputMessage="0" showErrorMessage="0" allowBlank="0" type="list">
      <formula1>SUGF_C</formula1>
      <formula2>0</formula2>
    </dataValidation>
    <dataValidation sqref="D2" showDropDown="0" showInputMessage="0" showErrorMessage="0" allowBlank="0" type="list">
      <formula1>SUGF_D</formula1>
      <formula2>0</formula2>
    </dataValidation>
    <dataValidation sqref="E2" showDropDown="0" showInputMessage="0" showErrorMessage="0" allowBlank="0" type="list">
      <formula1>SUGF_E</formula1>
      <formula2>0</formula2>
    </dataValidation>
    <dataValidation sqref="F2" showDropDown="0" showInputMessage="0" showErrorMessage="0" allowBlank="0" type="list">
      <formula1>SUGF_F</formula1>
      <formula2>0</formula2>
    </dataValidation>
    <dataValidation sqref="G2" showDropDown="0" showInputMessage="0" showErrorMessage="0" allowBlank="0" type="list">
      <formula1>SUGF_G</formula1>
      <formula2>0</formula2>
    </dataValidation>
    <dataValidation sqref="H2" showDropDown="0" showInputMessage="0" showErrorMessage="0" allowBlank="0" type="list">
      <formula1>SUGF_H</formula1>
      <formula2>0</formula2>
    </dataValidation>
    <dataValidation sqref="I2" showDropDown="0" showInputMessage="0" showErrorMessage="0" allowBlank="0" type="list">
      <formula1>SUGF_I</formula1>
      <formula2>0</formula2>
    </dataValidation>
    <dataValidation sqref="J2" showDropDown="0" showInputMessage="0" showErrorMessage="0" allowBlank="0" type="list">
      <formula1>SUGF_J</formula1>
      <formula2>0</formula2>
    </dataValidation>
    <dataValidation sqref="K2" showDropDown="0" showInputMessage="0" showErrorMessage="0" allowBlank="0" type="list">
      <formula1>SUGF_K</formula1>
      <formula2>0</formula2>
    </dataValidation>
    <dataValidation sqref="L2" showDropDown="0" showInputMessage="0" showErrorMessage="0" allowBlank="0" type="list">
      <formula1>SUGF_L</formula1>
      <formula2>0</formula2>
    </dataValidation>
    <dataValidation sqref="M2" showDropDown="0" showInputMessage="0" showErrorMessage="0" allowBlank="0" type="list">
      <formula1>SUGF_M</formula1>
      <formula2>0</formula2>
    </dataValidation>
    <dataValidation sqref="N2" showDropDown="0" showInputMessage="0" showErrorMessage="0" allowBlank="0" type="list">
      <formula1>SUGF_N</formula1>
      <formula2>0</formula2>
    </dataValidation>
    <dataValidation sqref="O2" showDropDown="0" showInputMessage="0" showErrorMessage="0" allowBlank="0" type="list">
      <formula1>SUGF_O</formula1>
      <formula2>0</formula2>
    </dataValidation>
    <dataValidation sqref="P2" showDropDown="0" showInputMessage="0" showErrorMessage="0" allowBlank="0" type="list">
      <formula1>SUGF_P</formula1>
      <formula2>0</formula2>
    </dataValidation>
    <dataValidation sqref="Q2" showDropDown="0" showInputMessage="0" showErrorMessage="0" allowBlank="0" type="list">
      <formula1>SUGF_Q</formula1>
      <formula2>0</formula2>
    </dataValidation>
    <dataValidation sqref="R2" showDropDown="0" showInputMessage="0" showErrorMessage="0" allowBlank="0" type="list">
      <formula1>SUGF_R</formula1>
      <formula2>0</formula2>
    </dataValidation>
    <dataValidation sqref="S2" showDropDown="0" showInputMessage="0" showErrorMessage="0" allowBlank="0" type="list">
      <formula1>SUGF_S</formula1>
      <formula2>0</formula2>
    </dataValidation>
    <dataValidation sqref="T2" showDropDown="0" showInputMessage="0" showErrorMessage="0" allowBlank="0" type="list">
      <formula1>SUGF_T</formula1>
      <formula2>0</formula2>
    </dataValidation>
    <dataValidation sqref="U2" showDropDown="0" showInputMessage="0" showErrorMessage="0" allowBlank="0" type="list">
      <formula1>SUGF_U</formula1>
      <formula2>0</formula2>
    </dataValidation>
    <dataValidation sqref="V2" showDropDown="0" showInputMessage="0" showErrorMessage="0" allowBlank="0" type="list">
      <formula1>SUGF_V</formula1>
      <formula2>0</formula2>
    </dataValidation>
    <dataValidation sqref="W2" showDropDown="0" showInputMessage="0" showErrorMessage="0" allowBlank="0" type="list">
      <formula1>SUGF_W</formula1>
      <formula2>0</formula2>
    </dataValidation>
    <dataValidation sqref="X2" showDropDown="0" showInputMessage="0" showErrorMessage="0" allowBlank="0" type="list">
      <formula1>SUGF_X</formula1>
      <formula2>0</formula2>
    </dataValidation>
    <dataValidation sqref="Y2" showDropDown="0" showInputMessage="0" showErrorMessage="0" allowBlank="0" type="list">
      <formula1>SUGF_Y</formula1>
      <formula2>0</formula2>
    </dataValidation>
    <dataValidation sqref="Z2" showDropDown="0" showInputMessage="0" showErrorMessage="0" allowBlank="0" type="list">
      <formula1>SUGF_Z</formula1>
      <formula2>0</formula2>
    </dataValidation>
    <dataValidation sqref="AA2" showDropDown="0" showInputMessage="0" showErrorMessage="0" allowBlank="0" type="list">
      <formula1>SUGF_AA</formula1>
      <formula2>0</formula2>
    </dataValidation>
    <dataValidation sqref="AB2" showDropDown="0" showInputMessage="0" showErrorMessage="0" allowBlank="0" type="list">
      <formula1>SUGF_AB</formula1>
      <formula2>0</formula2>
    </dataValidation>
    <dataValidation sqref="AC2" showDropDown="0" showInputMessage="0" showErrorMessage="0" allowBlank="0" type="list">
      <formula1>SUGF_AC</formula1>
      <formula2>0</formula2>
    </dataValidation>
    <dataValidation sqref="AD2" showDropDown="0" showInputMessage="0" showErrorMessage="0" allowBlank="0" type="list">
      <formula1>SUGF_AD</formula1>
      <formula2>0</formula2>
    </dataValidation>
    <dataValidation sqref="AE2" showDropDown="0" showInputMessage="0" showErrorMessage="0" allowBlank="0" type="list">
      <formula1>SUGF_AE</formula1>
      <formula2>0</formula2>
    </dataValidation>
    <dataValidation sqref="AF2" showDropDown="0" showInputMessage="0" showErrorMessage="0" allowBlank="0" type="list">
      <formula1>SUGF_AF</formula1>
      <formula2>0</formula2>
    </dataValidation>
    <dataValidation sqref="AG2" showDropDown="0" showInputMessage="0" showErrorMessage="0" allowBlank="0" type="list">
      <formula1>SUGF_AG</formula1>
      <formula2>0</formula2>
    </dataValidation>
    <dataValidation sqref="AH2" showDropDown="0" showInputMessage="0" showErrorMessage="0" allowBlank="0" type="list">
      <formula1>SUGF_AH</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tabColor rgb="FF00B0F0"/>
    <outlinePr summaryBelow="1" summaryRight="1"/>
    <pageSetUpPr fitToPage="1"/>
  </sheetPr>
  <dimension ref="A1:CU54"/>
  <sheetViews>
    <sheetView showGridLines="0" tabSelected="1" zoomScaleNormal="100" workbookViewId="0">
      <pane xSplit="2" ySplit="5" topLeftCell="C6" activePane="bottomRight" state="frozen"/>
      <selection pane="topRight" activeCell="C1" sqref="C1"/>
      <selection pane="bottomLeft" activeCell="A6" sqref="A6"/>
      <selection pane="bottomRight" activeCell="D18" sqref="D18"/>
    </sheetView>
  </sheetViews>
  <sheetFormatPr baseColWidth="8" defaultColWidth="8.7109375" defaultRowHeight="15"/>
  <cols>
    <col hidden="1" width="14.85546875" customWidth="1" style="137" min="1" max="1"/>
    <col width="10" customWidth="1" style="137" min="2" max="2"/>
    <col width="30" customWidth="1" style="137" min="3" max="3"/>
    <col outlineLevel="1" width="42" customWidth="1" style="137" min="4" max="4"/>
    <col outlineLevel="1" width="11.7109375" customWidth="1" style="137" min="5" max="5"/>
    <col outlineLevel="1" width="12" customWidth="1" style="137" min="6" max="6"/>
    <col outlineLevel="1" width="11" customWidth="1" style="137" min="7" max="7"/>
    <col outlineLevel="1" width="8.85546875" customWidth="1" style="137" min="8" max="8"/>
    <col width="10.28515625" customWidth="1" style="137" min="9" max="9"/>
    <col outlineLevel="1" width="8.85546875" customWidth="1" style="137" min="10" max="10"/>
    <col outlineLevel="1" width="13.42578125" customWidth="1" style="137" min="11" max="16"/>
    <col width="13.42578125" customWidth="1" style="137" min="17" max="17"/>
    <col outlineLevel="1" width="13.42578125" customWidth="1" style="137" min="18" max="18"/>
    <col width="13.42578125" customWidth="1" style="137" min="19" max="20"/>
    <col outlineLevel="1" width="13.42578125" customWidth="1" style="137" min="21" max="21"/>
    <col width="13.42578125" customWidth="1" style="137" min="22" max="34"/>
    <col width="13" customWidth="1" style="137" min="32" max="32"/>
    <col width="13" customWidth="1" style="137" min="33" max="33"/>
    <col width="13" customWidth="1" style="137" min="34" max="34"/>
    <col width="13" customWidth="1" style="137" min="35" max="35"/>
    <col width="38" customWidth="1" style="137" min="36" max="36"/>
    <col hidden="1" width="12" customWidth="1" style="137" min="37" max="99"/>
  </cols>
  <sheetData>
    <row r="1" ht="30" customHeight="1" s="137">
      <c r="A1" s="142" t="inlineStr">
        <is>
          <t>MSTC LIMITED  •  LIVE SEARCH   (results grouped by the value you typed, each group totalled, TOTAL MATCHED beneath them, the misses greyed in a REMAINING block, a GRAND TOTAL of both at the foot)</t>
        </is>
      </c>
    </row>
    <row r="2" ht="43.5" customHeight="1" s="137">
      <c r="A2" s="143" t="inlineStr">
        <is>
          <t>HOW TO USE  ▶  click the yellow box B3 and type - a lot number (1874), part of one (187), a buyer (NATIONAL), part of a buyer name, a lot name (COPPER).   •   WILDCARD / MATCH ANY - separate values with a comma or a slash:   1874, 1923, OMKAR   or   1874 / 1923    - and every lot containing ANY of them lights up.   •   COLUMN SEARCHES - type above any column header in row 4; comma or slash means ANY value in that column, * matches any text and ? matches one character.  Filters entered in different columns are combined as ALL.   •   FACETED / FILTERED - separate them with + or &amp;:   NATIONAL + COPPER   - and a lot lights up only if it matches EVERY facet.   •   the two mix:   OMKAR, STERLING + COPPER   = (OMKAR or STERLING) and COPPER.   Up to 8 values, empty ones ignored, spaces around a separator are fine.  •   THE RESULT IS GROUPED BY THE VALUE YOU TYPED: every value gets its own block of lots with a shaded ∑ total row beneath it, then a blue TOTAL MATCHED row adds every group up at once - the grand total of the rows your search actually hit, sitting right beneath them.  Under that a greyed REMAINING block holds the lots that did not match, with its own total, and the green GRAND TOTAL of both sits at the foot.  A lot matching two values is counted under the first one only, so TOTAL MATCHED + REMAINING always equals GRAND TOTAL, and with nothing typed the matched row is the whole list.   •   clear the box and all 37 come back in one ALL LOTS block.   •   cell F3 narrows what the text is looked for in (lot no. + buyer + name by default).   •   matching is contains, not case sensitive.   •   nothing here is typed in: every figure is a live link to Final Calculation Sheet.   •   columns AK..CU are hidden helpers.   •   use the +/- outline control above columns D:H to expand/collapse Lot Name through Rate under Buyer.   •   BLANK CELLS - type blank (or just press the spacebar) in the yellow cell above any column to show only the rows where that column is empty (brackets are optional, (blank) works the same; e.g. above LPP Received to list the lots with nothing received yet); nonblank or &lt;&gt; shows only the rows where it is filled. Case does not matter. Combines with other columns as ALL, and with comma-separated values in the same cell as ANY.   •   Also see the Buyer Groups sheet for the same lots grouped by buyer with subtotals.   •   AUTO-SUGGEST - every yellow search cell has a dropdown arrow with values already in the sheet: click it to pick, or just type - newer Excel filters the list as you type, like Google; every list is sorted ascending so values are easy to find. Typing stays completely free: comma lists, + facets, blank / spacebar and nonblank all still work. Live matches for the B3 box also appear in column AJ.  •  the (Expected) columns of Security Deposit, Final Payment and LPP each collapse via their own +/- button above the column.   •   SETTLED TOLERANCE - a lot received short by up to Rs. 5 counts as SETTLED (rounding tolerance); only shortfalls above Rs. 5 show OUTSTANDING. CASCADING DROPDOWNS — every yellow column dropdown (A4:AI4) narrows to values still possible given your other search cells and the search box; pick a buyer and Lot No. only shows that buyer’s lots, and so on. Clear a cell to widen its list again. Buyer Groups has the same cascading behaviour on its SEARCH row.</t>
        </is>
      </c>
    </row>
    <row r="3" ht="30" customHeight="1" s="137">
      <c r="A3" s="59" t="inlineStr">
        <is>
          <t>🔍  SEARCH  ▸</t>
        </is>
      </c>
      <c r="B3" s="144" t="n"/>
      <c r="C3" s="60" t="inlineStr">
        <is>
          <t>BUYER 2  ▸</t>
        </is>
      </c>
      <c r="D3" s="61"/>
      <c r="E3" s="60" t="inlineStr">
        <is>
          <t>SEARCH IN  ▸</t>
        </is>
      </c>
      <c r="F3" s="61" t="inlineStr">
        <is>
          <t>Lot No. + Buyer + Name</t>
        </is>
      </c>
      <c r="G3" s="60" t="inlineStr">
        <is>
          <t>MATCHES  ▸</t>
        </is>
      </c>
      <c r="H3" s="62">
        <f>SUM($AM$5:$AM$41)&amp;" of 37"</f>
        <v/>
      </c>
      <c r="I3" s="145">
        <f>IF(AND($B$3="",COUNTIF($A$4:$AI$4,"&lt;&gt;")=0),"◀ type in the yellow box B3 or a yellow cell above any header - a lot no., a buyer, a lot name... several values: comma or / = ANY of them, + or &amp; = ALL of them","matching "&amp;SUM($AM$5:$AM$41)&amp;" of 37 lots   •   search: "&amp;IF($B$3="","(column fields)",$B$3)&amp;"   •   in: "&amp;$F$3&amp;"   •   column fields are AND filters; grouped by the value typed, the misses greyed in REMAINING, TOTAL MATCHED totals the hits")</f>
        <v/>
      </c>
      <c r="AJ3" s="59" t="inlineStr">
        <is>
          <t>SUGGESTIONS ▸</t>
        </is>
      </c>
      <c r="AK3" s="63" t="inlineStr">
        <is>
          <t>the text this lot is searched in</t>
        </is>
      </c>
      <c r="AM3" s="63" t="inlineStr">
        <is>
          <t>1 = this lot matches the search box</t>
        </is>
      </c>
      <c r="AO3" s="63" t="inlineStr">
        <is>
          <t>the 'search in' list</t>
        </is>
      </c>
      <c r="AQ3" s="63" t="inlineStr">
        <is>
          <t>the box with &amp; -&gt; + and / -&gt; ,</t>
        </is>
      </c>
      <c r="AR3" t="inlineStr">
        <is>
          <t>term 1 - rows 4..9: text left, delimiter pos, the term, delimiter, running facet, facet no.</t>
        </is>
      </c>
      <c r="CW3">
        <f>$C$4&amp;IF($D$3&lt;&gt;"",",","")&amp;$D$3</f>
      </c>
    </row>
    <row r="4" ht="30" customHeight="1" s="137">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c r="AA4" s="61" t="n"/>
      <c r="AB4" s="61" t="n"/>
      <c r="AC4" s="61" t="n"/>
      <c r="AD4" s="61" t="n"/>
      <c r="AE4" s="61" t="n"/>
      <c r="AF4" s="61" t="n"/>
      <c r="AG4" s="61" t="n"/>
      <c r="AH4" s="61" t="n"/>
      <c r="AI4" s="61" t="n"/>
      <c r="AJ4" s="62">
        <f>IF($B$3="","type in B3…",AL$41&amp;" match(es)")</f>
        <v/>
      </c>
      <c r="AO4" t="inlineStr">
        <is>
          <t>Lot No. + Buyer + Name</t>
        </is>
      </c>
      <c r="AQ4">
        <f>SUBSTITUTE(SUBSTITUTE($B$3,"&amp;","+"),"/",",")</f>
        <v/>
      </c>
      <c r="AR4">
        <f>$AQ$4</f>
        <v/>
      </c>
      <c r="AS4">
        <f>IF(OR($AR$4="",$AR$5=99999),"",MID($AR$4,$AR$5+1,99999))</f>
        <v/>
      </c>
      <c r="AT4">
        <f>IF(OR($AS$4="",$AS$5=99999),"",MID($AS$4,$AS$5+1,99999))</f>
        <v/>
      </c>
      <c r="AU4">
        <f>IF(OR($AT$4="",$AT$5=99999),"",MID($AT$4,$AT$5+1,99999))</f>
        <v/>
      </c>
      <c r="AV4">
        <f>IF(OR($AU$4="",$AU$5=99999),"",MID($AU$4,$AU$5+1,99999))</f>
        <v/>
      </c>
      <c r="AW4">
        <f>IF(OR($AV$4="",$AV$5=99999),"",MID($AV$4,$AV$5+1,99999))</f>
        <v/>
      </c>
      <c r="AX4">
        <f>IF(OR($AW$4="",$AW$5=99999),"",MID($AW$4,$AW$5+1,99999))</f>
        <v/>
      </c>
      <c r="AY4">
        <f>IF(OR($AX$4="",$AX$5=99999),"",MID($AX$4,$AX$5+1,99999))</f>
        <v/>
      </c>
      <c r="BD4">
        <f>COUNTIF($AZ$5:$AZ$41,1)</f>
        <v/>
      </c>
      <c r="BE4" t="n">
        <v>5</v>
      </c>
      <c r="BF4">
        <f>IF($BD4=0,0,$BE4+$BD4)</f>
        <v/>
      </c>
      <c r="BG4">
        <f>IF($BD12=0,$BE12,$BF12+1)</f>
        <v/>
      </c>
    </row>
    <row r="5" ht="43.5" customHeight="1" s="137">
      <c r="A5" s="64" t="inlineStr">
        <is>
          <t>#</t>
        </is>
      </c>
      <c r="B5" s="64" t="inlineStr">
        <is>
          <t>Lot No.</t>
        </is>
      </c>
      <c r="C5" s="64" t="inlineStr">
        <is>
          <t>Buyer</t>
        </is>
      </c>
      <c r="D5" s="64" t="inlineStr">
        <is>
          <t>Lot Name</t>
        </is>
      </c>
      <c r="E5" s="64" t="inlineStr">
        <is>
          <t>Bid Sheet</t>
        </is>
      </c>
      <c r="F5" s="64" t="inlineStr">
        <is>
          <t>Quantity</t>
        </is>
      </c>
      <c r="G5" s="64" t="inlineStr">
        <is>
          <t>Unit</t>
        </is>
      </c>
      <c r="H5" s="64" t="inlineStr">
        <is>
          <t>Rate</t>
        </is>
      </c>
      <c r="I5" s="64" t="inlineStr">
        <is>
          <t>Mat. Value</t>
        </is>
      </c>
      <c r="J5" s="64" t="inlineStr">
        <is>
          <t>GST</t>
        </is>
      </c>
      <c r="K5" s="64" t="inlineStr">
        <is>
          <t>Mat. Value + GST</t>
        </is>
      </c>
      <c r="L5" s="64" t="inlineStr">
        <is>
          <t>TCS</t>
        </is>
      </c>
      <c r="M5" s="64" t="inlineStr">
        <is>
          <t>TDS u/s 194(O)</t>
        </is>
      </c>
      <c r="N5" s="64" t="inlineStr">
        <is>
          <t>Service Charge to MSTC</t>
        </is>
      </c>
      <c r="O5" s="64" t="inlineStr">
        <is>
          <t>TDS u/s 194(H)</t>
        </is>
      </c>
      <c r="P5" s="64" t="inlineStr">
        <is>
          <t>Net Service Charge (post TDS 194H)</t>
        </is>
      </c>
      <c r="Q5" s="64" t="inlineStr">
        <is>
          <t>Service charge to MSTC</t>
        </is>
      </c>
      <c r="R5" s="64" t="inlineStr">
        <is>
          <t>GST TDS Rate</t>
        </is>
      </c>
      <c r="S5" s="64" t="inlineStr">
        <is>
          <t>GST TDS</t>
        </is>
      </c>
      <c r="T5" s="64" t="inlineStr">
        <is>
          <t>Total Receivables in Cash</t>
        </is>
      </c>
      <c r="U5" s="64" t="inlineStr">
        <is>
          <t>Security Deposit (Expected)</t>
        </is>
      </c>
      <c r="V5" s="64" t="inlineStr">
        <is>
          <t>Security Deposit (Received)</t>
        </is>
      </c>
      <c r="W5" s="64" t="inlineStr">
        <is>
          <t>Date of Receipt (col V)</t>
        </is>
      </c>
      <c r="X5" s="64" t="inlineStr">
        <is>
          <t>Final Payment (Expected)</t>
        </is>
      </c>
      <c r="Y5" s="64" t="inlineStr">
        <is>
          <t>Final Payment (Received)</t>
        </is>
      </c>
      <c r="Z5" s="64" t="inlineStr">
        <is>
          <t>Date of Receipt (col Y)</t>
        </is>
      </c>
      <c r="AA5" s="64" t="inlineStr">
        <is>
          <t>LPP Expected</t>
        </is>
      </c>
      <c r="AB5" s="64" t="inlineStr">
        <is>
          <t>LPP Received</t>
        </is>
      </c>
      <c r="AC5" s="64" t="inlineStr">
        <is>
          <t>Date of Recepit of LPP</t>
        </is>
      </c>
      <c r="AD5" s="64" t="inlineStr">
        <is>
          <t>Total Received</t>
        </is>
      </c>
      <c r="AE5" s="64" t="inlineStr">
        <is>
          <t>Outstanding</t>
        </is>
      </c>
      <c r="AF5" s="64" t="inlineStr">
        <is>
          <t>Payment Status</t>
        </is>
      </c>
      <c r="AG5" s="64" t="inlineStr">
        <is>
          <t>Invoice No.</t>
        </is>
      </c>
      <c r="AH5" s="64" t="inlineStr">
        <is>
          <t>SAP Document</t>
        </is>
      </c>
      <c r="AI5" s="64" t="inlineStr">
        <is>
          <t>Doc./Invoice Date</t>
        </is>
      </c>
      <c r="AJ5" s="65">
        <f>IF($B$3="",IF(ROW()=5,"— type above —",""),IF(ROW()-4&gt;AL$41,"",INDEX('Final Calculation Sheet'!$F$4:$F$40,MATCH(ROW()-4,$AL$5:$AL$41,0))&amp;" — "&amp;INDEX('Final Calculation Sheet'!$G$4:$G$40,MATCH(ROW()-4,$AL$5:$AL$41,0))))</f>
        <v/>
      </c>
      <c r="AK5" s="66">
        <f>IF($F$3="Lot No.",'Final Calculation Sheet'!$F$4,IF($F$3="Buyer",'Final Calculation Sheet'!$G$4,IF($F$3="Lot Name",'Final Calculation Sheet'!$B$4,IF($F$3="Bid Sheet",'Final Calculation Sheet'!$D$4,IF($F$3="Unit",'Final Calculation Sheet'!$E$4,'Final Calculation Sheet'!$F$4&amp;" "&amp;'Final Calculation Sheet'!$G$4&amp;" "&amp;'Final Calculation Sheet'!$B$4)))))</f>
        <v/>
      </c>
      <c r="AL5" s="66">
        <f>IF($B$3="",0,--(SUMPRODUCT(--($AR$6:$AY$6&lt;&gt;""),--ISNUMBER(SEARCH($AR$6:$AY$6,$AK5)))&gt;0))</f>
        <v/>
      </c>
      <c r="AM5" s="66">
        <f>IF(COUNTIF($BM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AN5" s="66" t="n"/>
      <c r="AO5" s="66" t="inlineStr">
        <is>
          <t>Lot No.</t>
        </is>
      </c>
      <c r="AP5" s="66" t="n"/>
      <c r="AQ5" s="66" t="n"/>
      <c r="AR5" s="66">
        <f>IF($AR$4="",99999,MIN(IFERROR(FIND(",",$AR$4),99999),IFERROR(FIND("+",$AR$4),99999)))</f>
        <v/>
      </c>
      <c r="AS5" s="66">
        <f>IF($AS$4="",99999,MIN(IFERROR(FIND(",",$AS$4),99999),IFERROR(FIND("+",$AS$4),99999)))</f>
        <v/>
      </c>
      <c r="AT5" s="66">
        <f>IF($AT$4="",99999,MIN(IFERROR(FIND(",",$AT$4),99999),IFERROR(FIND("+",$AT$4),99999)))</f>
        <v/>
      </c>
      <c r="AU5" s="66">
        <f>IF($AU$4="",99999,MIN(IFERROR(FIND(",",$AU$4),99999),IFERROR(FIND("+",$AU$4),99999)))</f>
        <v/>
      </c>
      <c r="AV5" s="66">
        <f>IF($AV$4="",99999,MIN(IFERROR(FIND(",",$AV$4),99999),IFERROR(FIND("+",$AV$4),99999)))</f>
        <v/>
      </c>
      <c r="AW5" s="66">
        <f>IF($AW$4="",99999,MIN(IFERROR(FIND(",",$AW$4),99999),IFERROR(FIND("+",$AW$4),99999)))</f>
        <v/>
      </c>
      <c r="AX5" s="66">
        <f>IF($AX$4="",99999,MIN(IFERROR(FIND(",",$AX$4),99999),IFERROR(FIND("+",$AX$4),99999)))</f>
        <v/>
      </c>
      <c r="AY5" s="66">
        <f>IF($AY$4="",99999,MIN(IFERROR(FIND(",",$AY$4),99999),IFERROR(FIND("+",$AY$4),99999)))</f>
        <v/>
      </c>
      <c r="AZ5" s="66">
        <f>IF($B$3="",IF(COUNTIF($A$4:$AI$4,"&lt;&gt;")=0,9,IF($AM5=1,9,10)),IF($AM5=0,10,IF(AND($AR$6&lt;&gt;"",ISNUMBER(SEARCH($AR$6,$AK5))),1,IF(AND($AS$6&lt;&gt;"",ISNUMBER(SEARCH($AS$6,$AK5))),2,IF(AND($AT$6&lt;&gt;"",ISNUMBER(SEARCH($AT$6,$AK5))),3,IF(AND($AU$6&lt;&gt;"",ISNUMBER(SEARCH($AU$6,$AK5))),4,IF(AND($AV$6&lt;&gt;"",ISNUMBER(SEARCH($AV$6,$AK5))),5,IF(AND($AW$6&lt;&gt;"",ISNUMBER(SEARCH($AW$6,$AK5))),6,IF(AND($AX$6&lt;&gt;"",ISNUMBER(SEARCH($AX$6,$AK5))),7,IF(AND($AY$6&lt;&gt;"",ISNUMBER(SEARCH($AY$6,$AK5))),8,0))))))))))</f>
        <v/>
      </c>
      <c r="BA5" s="66">
        <f>SUMPRODUCT(($AZ$5:$AZ$41=$AZ5)*($BC$5:$BC$41&lt;$BC5))+1</f>
        <v/>
      </c>
      <c r="BB5" s="66">
        <f>IF(INDEX($BF$4:$BF$13,$AZ5)=0,0,INDEX($BE$4:$BE$13,$AZ5)+$BA5-1)</f>
        <v/>
      </c>
      <c r="BC5" s="66" t="n">
        <v>4</v>
      </c>
      <c r="BD5" s="66">
        <f>COUNTIF($AZ$5:$AZ$41,2)</f>
        <v/>
      </c>
      <c r="BE5" s="66">
        <f>IF($BD4=0,$BE4,$BF4+1)</f>
        <v/>
      </c>
      <c r="BF5" s="66">
        <f>IF($BD5=0,0,$BE5+$BD5)</f>
        <v/>
      </c>
      <c r="BG5" s="66">
        <f>IF($BD13=0,$BE13,$BF13+1)</f>
        <v/>
      </c>
      <c r="BH5" s="66">
        <f>IFERROR(MATCH(5,$BF$4:$BF$13,0),0)</f>
        <v/>
      </c>
      <c r="BI5" s="66">
        <f>IF(5=$BG$5,1,0)</f>
        <v/>
      </c>
      <c r="BJ5" s="66">
        <f>IF(OR($BH5&gt;0,$BI5=1,$BL5=1),0,IFERROR(INDEX($BC$5:$BC$41,MATCH(5,$BB$5:$BB$41,0)),0))</f>
        <v/>
      </c>
      <c r="BK5" s="66">
        <f>IF($BJ5&gt;0,IF(INDEX($AZ$5:$AZ$41,MATCH(5,$BB$5:$BB$41,0))=10,1,0),IF($BH5=10,1,0))</f>
        <v/>
      </c>
      <c r="BL5" s="66">
        <f>IF(5=$BG$4,1,0)</f>
        <v/>
      </c>
      <c r="BM5" s="6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5" s="66">
        <f>IF($B$4="",1,--(OR(SUMPRODUCT(--(TRIM(MID(SUBSTITUTE(SUBSTITUTE($B$4,"/",","),",",REPT(" ",99)),(ROW($1:$8)-1)*99+1,99))&lt;&gt;""),--ISNUMBER(SEARCH(TRIM(MID(SUBSTITUTE(SUBSTITUTE($B$4,"/",","),",",REPT(" ",99)),(ROW($1:$8)-1)*99+1,99)),IFERROR(('Final Calculation Sheet'!$F$4)&amp;"",""))))&gt;0,AND(ISNUMBER(SEARCH("blank",$B$4)),NOT(ISNUMBER(SEARCH("nonblank",$B$4))),IFERROR(('Final Calculation Sheet'!$F$4)&amp;"","")=""),AND(OR(ISNUMBER(SEARCH("nonblank",$B$4)),ISNUMBER(SEARCH("&lt;&gt;",$B$4))),IFERROR(('Final Calculation Sheet'!$F$4)&amp;"","")&lt;&gt;""),AND(TRIM($B$4)="",IFERROR(('Final Calculation Sheet'!$F$4)&amp;"","")=""))))</f>
        <v/>
      </c>
      <c r="BO5" s="66">
        <f>IF($CW$3="",1,--(OR(SUMPRODUCT(--(TRIM(MID(SUBSTITUTE(SUBSTITUTE($CW$3,"/",","),",",REPT(" ",99)),(ROW($1:$8)-1)*99+1,99))&lt;&gt;""),--ISNUMBER(SEARCH(TRIM(MID(SUBSTITUTE(SUBSTITUTE($CW$3,"/",","),",",REPT(" ",99)),(ROW($1:$8)-1)*99+1,99)),IFERROR(('Final Calculation Sheet'!$G$4)&amp;"",""))))&gt;0,AND(ISNUMBER(SEARCH("blank",$CW$3)),NOT(ISNUMBER(SEARCH("nonblank",$CW$3))),IFERROR(('Final Calculation Sheet'!$G$4)&amp;"","")=""),AND(OR(ISNUMBER(SEARCH("nonblank",$CW$3)),ISNUMBER(SEARCH("&lt;&gt;",$CW$3))),IFERROR(('Final Calculation Sheet'!$G$4)&amp;"","")&lt;&gt;""),AND(TRIM($CW$3)="",IFERROR(('Final Calculation Sheet'!$G$4)&amp;"","")=""))))</f>
        <v/>
      </c>
      <c r="BP5" s="66">
        <f>IF($D$4="",1,--(OR(SUMPRODUCT(--(TRIM(MID(SUBSTITUTE(SUBSTITUTE($D$4,"/",","),",",REPT(" ",99)),(ROW($1:$8)-1)*99+1,99))&lt;&gt;""),--ISNUMBER(SEARCH(TRIM(MID(SUBSTITUTE(SUBSTITUTE($D$4,"/",","),",",REPT(" ",99)),(ROW($1:$8)-1)*99+1,99)),IFERROR(('Final Calculation Sheet'!$B$4)&amp;"",""))))&gt;0,AND(ISNUMBER(SEARCH("blank",$D$4)),NOT(ISNUMBER(SEARCH("nonblank",$D$4))),IFERROR(('Final Calculation Sheet'!$B$4)&amp;"","")=""),AND(OR(ISNUMBER(SEARCH("nonblank",$D$4)),ISNUMBER(SEARCH("&lt;&gt;",$D$4))),IFERROR(('Final Calculation Sheet'!$B$4)&amp;"","")&lt;&gt;""),AND(TRIM($D$4)="",IFERROR(('Final Calculation Sheet'!$B$4)&amp;"","")=""))))</f>
        <v/>
      </c>
      <c r="BQ5" s="66">
        <f>IF($E$4="",1,--(OR(SUMPRODUCT(--(TRIM(MID(SUBSTITUTE(SUBSTITUTE($E$4,"/",","),",",REPT(" ",99)),(ROW($1:$8)-1)*99+1,99))&lt;&gt;""),--ISNUMBER(SEARCH(TRIM(MID(SUBSTITUTE(SUBSTITUTE($E$4,"/",","),",",REPT(" ",99)),(ROW($1:$8)-1)*99+1,99)),IFERROR(('Final Calculation Sheet'!$D$4)&amp;"",""))))&gt;0,AND(ISNUMBER(SEARCH("blank",$E$4)),NOT(ISNUMBER(SEARCH("nonblank",$E$4))),IFERROR(('Final Calculation Sheet'!$D$4)&amp;"","")=""),AND(OR(ISNUMBER(SEARCH("nonblank",$E$4)),ISNUMBER(SEARCH("&lt;&gt;",$E$4))),IFERROR(('Final Calculation Sheet'!$D$4)&amp;"","")&lt;&gt;""),AND(TRIM($E$4)="",IFERROR(('Final Calculation Sheet'!$D$4)&amp;"","")=""))))</f>
        <v/>
      </c>
      <c r="BR5" s="66">
        <f>IF($F$4="",1,--(OR(SUMPRODUCT(--(TRIM(MID(SUBSTITUTE(SUBSTITUTE($F$4,"/",","),",",REPT(" ",99)),(ROW($1:$8)-1)*99+1,99))&lt;&gt;""),--ISNUMBER(SEARCH(TRIM(MID(SUBSTITUTE(SUBSTITUTE($F$4,"/",","),",",REPT(" ",99)),(ROW($1:$8)-1)*99+1,99)),IFERROR(('Final Calculation Sheet'!$A$4)&amp;"",""))))&gt;0,AND(ISNUMBER(SEARCH("blank",$F$4)),NOT(ISNUMBER(SEARCH("nonblank",$F$4))),IFERROR(('Final Calculation Sheet'!$A$4)&amp;"","")=""),AND(OR(ISNUMBER(SEARCH("nonblank",$F$4)),ISNUMBER(SEARCH("&lt;&gt;",$F$4))),IFERROR(('Final Calculation Sheet'!$A$4)&amp;"","")&lt;&gt;""),AND(TRIM($F$4)="",IFERROR(('Final Calculation Sheet'!$A$4)&amp;"","")=""))))</f>
        <v/>
      </c>
      <c r="BS5" s="66">
        <f>IF($G$4="",1,--(OR(SUMPRODUCT(--(TRIM(MID(SUBSTITUTE(SUBSTITUTE($G$4,"/",","),",",REPT(" ",99)),(ROW($1:$8)-1)*99+1,99))&lt;&gt;""),--ISNUMBER(SEARCH(TRIM(MID(SUBSTITUTE(SUBSTITUTE($G$4,"/",","),",",REPT(" ",99)),(ROW($1:$8)-1)*99+1,99)),IFERROR(('Final Calculation Sheet'!$E$4)&amp;"",""))))&gt;0,AND(ISNUMBER(SEARCH("blank",$G$4)),NOT(ISNUMBER(SEARCH("nonblank",$G$4))),IFERROR(('Final Calculation Sheet'!$E$4)&amp;"","")=""),AND(OR(ISNUMBER(SEARCH("nonblank",$G$4)),ISNUMBER(SEARCH("&lt;&gt;",$G$4))),IFERROR(('Final Calculation Sheet'!$E$4)&amp;"","")&lt;&gt;""),AND(TRIM($G$4)="",IFERROR(('Final Calculation Sheet'!$E$4)&amp;"","")=""))))</f>
        <v/>
      </c>
      <c r="BT5" s="66">
        <f>IF($H$4="",1,--(OR(SUMPRODUCT(--(TRIM(MID(SUBSTITUTE(SUBSTITUTE($H$4,"/",","),",",REPT(" ",99)),(ROW($1:$8)-1)*99+1,99))&lt;&gt;""),--ISNUMBER(SEARCH(TRIM(MID(SUBSTITUTE(SUBSTITUTE($H$4,"/",","),",",REPT(" ",99)),(ROW($1:$8)-1)*99+1,99)),IFERROR(('Final Calculation Sheet'!$C$4)&amp;"",""))))&gt;0,AND(ISNUMBER(SEARCH("blank",$H$4)),NOT(ISNUMBER(SEARCH("nonblank",$H$4))),IFERROR(('Final Calculation Sheet'!$C$4)&amp;"","")=""),AND(OR(ISNUMBER(SEARCH("nonblank",$H$4)),ISNUMBER(SEARCH("&lt;&gt;",$H$4))),IFERROR(('Final Calculation Sheet'!$C$4)&amp;"","")&lt;&gt;""),AND(TRIM($H$4)="",IFERROR(('Final Calculation Sheet'!$C$4)&amp;"","")=""))))</f>
        <v/>
      </c>
      <c r="BU5" s="66">
        <f>IF($I$4="",1,--(OR(SUMPRODUCT(--(TRIM(MID(SUBSTITUTE(SUBSTITUTE($I$4,"/",","),",",REPT(" ",99)),(ROW($1:$8)-1)*99+1,99))&lt;&gt;""),--ISNUMBER(SEARCH(TRIM(MID(SUBSTITUTE(SUBSTITUTE($I$4,"/",","),",",REPT(" ",99)),(ROW($1:$8)-1)*99+1,99)),IFERROR(('Final Calculation Sheet'!$H$4)&amp;"",""))))&gt;0,AND(ISNUMBER(SEARCH("blank",$I$4)),NOT(ISNUMBER(SEARCH("nonblank",$I$4))),IFERROR(('Final Calculation Sheet'!$H$4)&amp;"","")=""),AND(OR(ISNUMBER(SEARCH("nonblank",$I$4)),ISNUMBER(SEARCH("&lt;&gt;",$I$4))),IFERROR(('Final Calculation Sheet'!$H$4)&amp;"","")&lt;&gt;""),AND(TRIM($I$4)="",IFERROR(('Final Calculation Sheet'!$H$4)&amp;"","")=""))))</f>
        <v/>
      </c>
      <c r="BV5" s="66">
        <f>IF($J$4="",1,--(OR(SUMPRODUCT(--(TRIM(MID(SUBSTITUTE(SUBSTITUTE($J$4,"/",","),",",REPT(" ",99)),(ROW($1:$8)-1)*99+1,99))&lt;&gt;""),--ISNUMBER(SEARCH(TRIM(MID(SUBSTITUTE(SUBSTITUTE($J$4,"/",","),",",REPT(" ",99)),(ROW($1:$8)-1)*99+1,99)),IFERROR(('Final Calculation Sheet'!$I$4)&amp;"",""))))&gt;0,AND(ISNUMBER(SEARCH("blank",$J$4)),NOT(ISNUMBER(SEARCH("nonblank",$J$4))),IFERROR(('Final Calculation Sheet'!$I$4)&amp;"","")=""),AND(OR(ISNUMBER(SEARCH("nonblank",$J$4)),ISNUMBER(SEARCH("&lt;&gt;",$J$4))),IFERROR(('Final Calculation Sheet'!$I$4)&amp;"","")&lt;&gt;""),AND(TRIM($J$4)="",IFERROR(('Final Calculation Sheet'!$I$4)&amp;"","")=""))))</f>
        <v/>
      </c>
      <c r="BW5" s="66">
        <f>IF($K$4="",1,--(OR(SUMPRODUCT(--(TRIM(MID(SUBSTITUTE(SUBSTITUTE($K$4,"/",","),",",REPT(" ",99)),(ROW($1:$8)-1)*99+1,99))&lt;&gt;""),--ISNUMBER(SEARCH(TRIM(MID(SUBSTITUTE(SUBSTITUTE($K$4,"/",","),",",REPT(" ",99)),(ROW($1:$8)-1)*99+1,99)),IFERROR(('Final Calculation Sheet'!$J$4)&amp;"",""))))&gt;0,AND(ISNUMBER(SEARCH("blank",$K$4)),NOT(ISNUMBER(SEARCH("nonblank",$K$4))),IFERROR(('Final Calculation Sheet'!$J$4)&amp;"","")=""),AND(OR(ISNUMBER(SEARCH("nonblank",$K$4)),ISNUMBER(SEARCH("&lt;&gt;",$K$4))),IFERROR(('Final Calculation Sheet'!$J$4)&amp;"","")&lt;&gt;""),AND(TRIM($K$4)="",IFERROR(('Final Calculation Sheet'!$J$4)&amp;"","")=""))))</f>
        <v/>
      </c>
      <c r="BX5" s="66">
        <f>IF($L$4="",1,--(OR(SUMPRODUCT(--(TRIM(MID(SUBSTITUTE(SUBSTITUTE($L$4,"/",","),",",REPT(" ",99)),(ROW($1:$8)-1)*99+1,99))&lt;&gt;""),--ISNUMBER(SEARCH(TRIM(MID(SUBSTITUTE(SUBSTITUTE($L$4,"/",","),",",REPT(" ",99)),(ROW($1:$8)-1)*99+1,99)),IFERROR(('Final Calculation Sheet'!$K$4)&amp;"",""))))&gt;0,AND(ISNUMBER(SEARCH("blank",$L$4)),NOT(ISNUMBER(SEARCH("nonblank",$L$4))),IFERROR(('Final Calculation Sheet'!$K$4)&amp;"","")=""),AND(OR(ISNUMBER(SEARCH("nonblank",$L$4)),ISNUMBER(SEARCH("&lt;&gt;",$L$4))),IFERROR(('Final Calculation Sheet'!$K$4)&amp;"","")&lt;&gt;""),AND(TRIM($L$4)="",IFERROR(('Final Calculation Sheet'!$K$4)&amp;"","")=""))))</f>
        <v/>
      </c>
      <c r="BY5" s="66">
        <f>IF($M$4="",1,--(OR(SUMPRODUCT(--(TRIM(MID(SUBSTITUTE(SUBSTITUTE($M$4,"/",","),",",REPT(" ",99)),(ROW($1:$8)-1)*99+1,99))&lt;&gt;""),--ISNUMBER(SEARCH(TRIM(MID(SUBSTITUTE(SUBSTITUTE($M$4,"/",","),",",REPT(" ",99)),(ROW($1:$8)-1)*99+1,99)),IFERROR(('Final Calculation Sheet'!$L$4)&amp;"",""))))&gt;0,AND(ISNUMBER(SEARCH("blank",$M$4)),NOT(ISNUMBER(SEARCH("nonblank",$M$4))),IFERROR(('Final Calculation Sheet'!$L$4)&amp;"","")=""),AND(OR(ISNUMBER(SEARCH("nonblank",$M$4)),ISNUMBER(SEARCH("&lt;&gt;",$M$4))),IFERROR(('Final Calculation Sheet'!$L$4)&amp;"","")&lt;&gt;""),AND(TRIM($M$4)="",IFERROR(('Final Calculation Sheet'!$L$4)&amp;"","")=""))))</f>
        <v/>
      </c>
      <c r="BZ5" s="66">
        <f>IF($N$4="",1,--(OR(SUMPRODUCT(--(TRIM(MID(SUBSTITUTE(SUBSTITUTE($N$4,"/",","),",",REPT(" ",99)),(ROW($1:$8)-1)*99+1,99))&lt;&gt;""),--ISNUMBER(SEARCH(TRIM(MID(SUBSTITUTE(SUBSTITUTE($N$4,"/",","),",",REPT(" ",99)),(ROW($1:$8)-1)*99+1,99)),IFERROR(('Final Calculation Sheet'!$M$4)&amp;"",""))))&gt;0,AND(ISNUMBER(SEARCH("blank",$N$4)),NOT(ISNUMBER(SEARCH("nonblank",$N$4))),IFERROR(('Final Calculation Sheet'!$M$4)&amp;"","")=""),AND(OR(ISNUMBER(SEARCH("nonblank",$N$4)),ISNUMBER(SEARCH("&lt;&gt;",$N$4))),IFERROR(('Final Calculation Sheet'!$M$4)&amp;"","")&lt;&gt;""),AND(TRIM($N$4)="",IFERROR(('Final Calculation Sheet'!$M$4)&amp;"","")=""))))</f>
        <v/>
      </c>
      <c r="CA5" s="66">
        <f>IF($O$4="",1,--(OR(SUMPRODUCT(--(TRIM(MID(SUBSTITUTE(SUBSTITUTE($O$4,"/",","),",",REPT(" ",99)),(ROW($1:$8)-1)*99+1,99))&lt;&gt;""),--ISNUMBER(SEARCH(TRIM(MID(SUBSTITUTE(SUBSTITUTE($O$4,"/",","),",",REPT(" ",99)),(ROW($1:$8)-1)*99+1,99)),IFERROR(('Final Calculation Sheet'!$N$4)&amp;"",""))))&gt;0,AND(ISNUMBER(SEARCH("blank",$O$4)),NOT(ISNUMBER(SEARCH("nonblank",$O$4))),IFERROR(('Final Calculation Sheet'!$N$4)&amp;"","")=""),AND(OR(ISNUMBER(SEARCH("nonblank",$O$4)),ISNUMBER(SEARCH("&lt;&gt;",$O$4))),IFERROR(('Final Calculation Sheet'!$N$4)&amp;"","")&lt;&gt;""),AND(TRIM($O$4)="",IFERROR(('Final Calculation Sheet'!$N$4)&amp;"","")=""))))</f>
        <v/>
      </c>
      <c r="CB5" s="66">
        <f>IF($P$4="",1,--(OR(SUMPRODUCT(--(TRIM(MID(SUBSTITUTE(SUBSTITUTE($P$4,"/",","),",",REPT(" ",99)),(ROW($1:$8)-1)*99+1,99))&lt;&gt;""),--ISNUMBER(SEARCH(TRIM(MID(SUBSTITUTE(SUBSTITUTE($P$4,"/",","),",",REPT(" ",99)),(ROW($1:$8)-1)*99+1,99)),IFERROR(('Final Calculation Sheet'!$O$4)&amp;"",""))))&gt;0,AND(ISNUMBER(SEARCH("blank",$P$4)),NOT(ISNUMBER(SEARCH("nonblank",$P$4))),IFERROR(('Final Calculation Sheet'!$O$4)&amp;"","")=""),AND(OR(ISNUMBER(SEARCH("nonblank",$P$4)),ISNUMBER(SEARCH("&lt;&gt;",$P$4))),IFERROR(('Final Calculation Sheet'!$O$4)&amp;"","")&lt;&gt;""),AND(TRIM($P$4)="",IFERROR(('Final Calculation Sheet'!$O$4)&amp;"","")=""))))</f>
        <v/>
      </c>
      <c r="CC5" s="66">
        <f>IF($Q$4="",1,--(OR(SUMPRODUCT(--(TRIM(MID(SUBSTITUTE(SUBSTITUTE($Q$4,"/",","),",",REPT(" ",99)),(ROW($1:$8)-1)*99+1,99))&lt;&gt;""),--ISNUMBER(SEARCH(TRIM(MID(SUBSTITUTE(SUBSTITUTE($Q$4,"/",","),",",REPT(" ",99)),(ROW($1:$8)-1)*99+1,99)),IFERROR(('Final Calculation Sheet'!$P$4)&amp;"",""))))&gt;0,AND(ISNUMBER(SEARCH("blank",$Q$4)),NOT(ISNUMBER(SEARCH("nonblank",$Q$4))),IFERROR(('Final Calculation Sheet'!$P$4)&amp;"","")=""),AND(OR(ISNUMBER(SEARCH("nonblank",$Q$4)),ISNUMBER(SEARCH("&lt;&gt;",$Q$4))),IFERROR(('Final Calculation Sheet'!$P$4)&amp;"","")&lt;&gt;""),AND(TRIM($Q$4)="",IFERROR(('Final Calculation Sheet'!$P$4)&amp;"","")=""))))</f>
        <v/>
      </c>
      <c r="CD5" s="66">
        <f>IF($R$4="",1,--(OR(SUMPRODUCT(--(TRIM(MID(SUBSTITUTE(SUBSTITUTE($R$4,"/",","),",",REPT(" ",99)),(ROW($1:$8)-1)*99+1,99))&lt;&gt;""),--ISNUMBER(SEARCH(TRIM(MID(SUBSTITUTE(SUBSTITUTE($R$4,"/",","),",",REPT(" ",99)),(ROW($1:$8)-1)*99+1,99)),IFERROR(('Final Calculation Sheet'!$Q$4)&amp;"",""))))&gt;0,AND(ISNUMBER(SEARCH("blank",$R$4)),NOT(ISNUMBER(SEARCH("nonblank",$R$4))),IFERROR(('Final Calculation Sheet'!$Q$4)&amp;"","")=""),AND(OR(ISNUMBER(SEARCH("nonblank",$R$4)),ISNUMBER(SEARCH("&lt;&gt;",$R$4))),IFERROR(('Final Calculation Sheet'!$Q$4)&amp;"","")&lt;&gt;""),AND(TRIM($R$4)="",IFERROR(('Final Calculation Sheet'!$Q$4)&amp;"","")=""))))</f>
        <v/>
      </c>
      <c r="CE5" s="66">
        <f>IF($S$4="",1,--(OR(SUMPRODUCT(--(TRIM(MID(SUBSTITUTE(SUBSTITUTE($S$4,"/",","),",",REPT(" ",99)),(ROW($1:$8)-1)*99+1,99))&lt;&gt;""),--ISNUMBER(SEARCH(TRIM(MID(SUBSTITUTE(SUBSTITUTE($S$4,"/",","),",",REPT(" ",99)),(ROW($1:$8)-1)*99+1,99)),IFERROR(('Final Calculation Sheet'!$R$4)&amp;"",""))))&gt;0,AND(ISNUMBER(SEARCH("blank",$S$4)),NOT(ISNUMBER(SEARCH("nonblank",$S$4))),IFERROR(('Final Calculation Sheet'!$R$4)&amp;"","")=""),AND(OR(ISNUMBER(SEARCH("nonblank",$S$4)),ISNUMBER(SEARCH("&lt;&gt;",$S$4))),IFERROR(('Final Calculation Sheet'!$R$4)&amp;"","")&lt;&gt;""),AND(TRIM($S$4)="",IFERROR(('Final Calculation Sheet'!$R$4)&amp;"","")=""))))</f>
        <v/>
      </c>
      <c r="CF5" s="66">
        <f>IF($T$4="",1,--(OR(SUMPRODUCT(--(TRIM(MID(SUBSTITUTE(SUBSTITUTE($T$4,"/",","),",",REPT(" ",99)),(ROW($1:$8)-1)*99+1,99))&lt;&gt;""),--ISNUMBER(SEARCH(TRIM(MID(SUBSTITUTE(SUBSTITUTE($T$4,"/",","),",",REPT(" ",99)),(ROW($1:$8)-1)*99+1,99)),IFERROR(('Final Calculation Sheet'!$S$4)&amp;"",""))))&gt;0,AND(ISNUMBER(SEARCH("blank",$T$4)),NOT(ISNUMBER(SEARCH("nonblank",$T$4))),IFERROR(('Final Calculation Sheet'!$S$4)&amp;"","")=""),AND(OR(ISNUMBER(SEARCH("nonblank",$T$4)),ISNUMBER(SEARCH("&lt;&gt;",$T$4))),IFERROR(('Final Calculation Sheet'!$S$4)&amp;"","")&lt;&gt;""),AND(TRIM($T$4)="",IFERROR(('Final Calculation Sheet'!$S$4)&amp;"","")=""))))</f>
        <v/>
      </c>
      <c r="CG5" s="66">
        <f>IF($U$4="",1,--(OR(SUMPRODUCT(--(TRIM(MID(SUBSTITUTE(SUBSTITUTE($U$4,"/",","),",",REPT(" ",99)),(ROW($1:$8)-1)*99+1,99))&lt;&gt;""),--ISNUMBER(SEARCH(TRIM(MID(SUBSTITUTE(SUBSTITUTE($U$4,"/",","),",",REPT(" ",99)),(ROW($1:$8)-1)*99+1,99)),IFERROR(('Final Calculation Sheet'!$T$4)&amp;"",""))))&gt;0,AND(ISNUMBER(SEARCH("blank",$U$4)),NOT(ISNUMBER(SEARCH("nonblank",$U$4))),IFERROR(('Final Calculation Sheet'!$T$4)&amp;"","")=""),AND(OR(ISNUMBER(SEARCH("nonblank",$U$4)),ISNUMBER(SEARCH("&lt;&gt;",$U$4))),IFERROR(('Final Calculation Sheet'!$T$4)&amp;"","")&lt;&gt;""),AND(TRIM($U$4)="",IFERROR(('Final Calculation Sheet'!$T$4)&amp;"","")=""))))</f>
        <v/>
      </c>
      <c r="CH5" s="66">
        <f>IF($V$4="",1,--(OR(SUMPRODUCT(--(TRIM(MID(SUBSTITUTE(SUBSTITUTE($V$4,"/",","),",",REPT(" ",99)),(ROW($1:$8)-1)*99+1,99))&lt;&gt;""),--ISNUMBER(SEARCH(TRIM(MID(SUBSTITUTE(SUBSTITUTE($V$4,"/",","),",",REPT(" ",99)),(ROW($1:$8)-1)*99+1,99)),IFERROR(('Final Calculation Sheet'!$U$4)&amp;"",""))))&gt;0,AND(ISNUMBER(SEARCH("blank",$V$4)),NOT(ISNUMBER(SEARCH("nonblank",$V$4))),IFERROR(('Final Calculation Sheet'!$U$4)&amp;"","")=""),AND(OR(ISNUMBER(SEARCH("nonblank",$V$4)),ISNUMBER(SEARCH("&lt;&gt;",$V$4))),IFERROR(('Final Calculation Sheet'!$U$4)&amp;"","")&lt;&gt;""),AND(TRIM($V$4)="",IFERROR(('Final Calculation Sheet'!$U$4)&amp;"","")=""))))</f>
        <v/>
      </c>
      <c r="CI5" s="66">
        <f>IF($W$4="",1,--(OR(SUMPRODUCT(--(TRIM(MID(SUBSTITUTE(SUBSTITUTE($W$4,"/",","),",",REPT(" ",99)),(ROW($1:$8)-1)*99+1,99))&lt;&gt;""),--ISNUMBER(SEARCH(TRIM(MID(SUBSTITUTE(SUBSTITUTE($W$4,"/",","),",",REPT(" ",99)),(ROW($1:$8)-1)*99+1,99)),IFERROR(('Final Calculation Sheet'!$V$4)&amp;"",""))))&gt;0,AND(ISNUMBER(SEARCH("blank",$W$4)),NOT(ISNUMBER(SEARCH("nonblank",$W$4))),IFERROR(('Final Calculation Sheet'!$V$4)&amp;"","")=""),AND(OR(ISNUMBER(SEARCH("nonblank",$W$4)),ISNUMBER(SEARCH("&lt;&gt;",$W$4))),IFERROR(('Final Calculation Sheet'!$V$4)&amp;"","")&lt;&gt;""),AND(TRIM($W$4)="",IFERROR(('Final Calculation Sheet'!$V$4)&amp;"","")=""))))</f>
        <v/>
      </c>
      <c r="CJ5" s="66">
        <f>IF($X$4="",1,--(OR(SUMPRODUCT(--(TRIM(MID(SUBSTITUTE(SUBSTITUTE($X$4,"/",","),",",REPT(" ",99)),(ROW($1:$8)-1)*99+1,99))&lt;&gt;""),--ISNUMBER(SEARCH(TRIM(MID(SUBSTITUTE(SUBSTITUTE($X$4,"/",","),",",REPT(" ",99)),(ROW($1:$8)-1)*99+1,99)),IFERROR(('Final Calculation Sheet'!$W$4)&amp;"",""))))&gt;0,AND(ISNUMBER(SEARCH("blank",$X$4)),NOT(ISNUMBER(SEARCH("nonblank",$X$4))),IFERROR(('Final Calculation Sheet'!$W$4)&amp;"","")=""),AND(OR(ISNUMBER(SEARCH("nonblank",$X$4)),ISNUMBER(SEARCH("&lt;&gt;",$X$4))),IFERROR(('Final Calculation Sheet'!$W$4)&amp;"","")&lt;&gt;""),AND(TRIM($X$4)="",IFERROR(('Final Calculation Sheet'!$W$4)&amp;"","")=""))))</f>
        <v/>
      </c>
      <c r="CK5" s="66">
        <f>IF($Y$4="",1,--(OR(SUMPRODUCT(--(TRIM(MID(SUBSTITUTE(SUBSTITUTE($Y$4,"/",","),",",REPT(" ",99)),(ROW($1:$8)-1)*99+1,99))&lt;&gt;""),--ISNUMBER(SEARCH(TRIM(MID(SUBSTITUTE(SUBSTITUTE($Y$4,"/",","),",",REPT(" ",99)),(ROW($1:$8)-1)*99+1,99)),IFERROR(('Final Calculation Sheet'!$X$4)&amp;"",""))))&gt;0,AND(ISNUMBER(SEARCH("blank",$Y$4)),NOT(ISNUMBER(SEARCH("nonblank",$Y$4))),IFERROR(('Final Calculation Sheet'!$X$4)&amp;"","")=""),AND(OR(ISNUMBER(SEARCH("nonblank",$Y$4)),ISNUMBER(SEARCH("&lt;&gt;",$Y$4))),IFERROR(('Final Calculation Sheet'!$X$4)&amp;"","")&lt;&gt;""),AND(TRIM($Y$4)="",IFERROR(('Final Calculation Sheet'!$X$4)&amp;"","")=""))))</f>
        <v/>
      </c>
      <c r="CL5" s="66">
        <f>IF($Z$4="",1,--(OR(SUMPRODUCT(--(TRIM(MID(SUBSTITUTE(SUBSTITUTE($Z$4,"/",","),",",REPT(" ",99)),(ROW($1:$8)-1)*99+1,99))&lt;&gt;""),--ISNUMBER(SEARCH(TRIM(MID(SUBSTITUTE(SUBSTITUTE($Z$4,"/",","),",",REPT(" ",99)),(ROW($1:$8)-1)*99+1,99)),IFERROR(('Final Calculation Sheet'!$Y$4)&amp;"",""))))&gt;0,AND(ISNUMBER(SEARCH("blank",$Z$4)),NOT(ISNUMBER(SEARCH("nonblank",$Z$4))),IFERROR(('Final Calculation Sheet'!$Y$4)&amp;"","")=""),AND(OR(ISNUMBER(SEARCH("nonblank",$Z$4)),ISNUMBER(SEARCH("&lt;&gt;",$Z$4))),IFERROR(('Final Calculation Sheet'!$Y$4)&amp;"","")&lt;&gt;""),AND(TRIM($Z$4)="",IFERROR(('Final Calculation Sheet'!$Y$4)&amp;"","")=""))))</f>
        <v/>
      </c>
      <c r="CM5" s="66">
        <f>IF($AA$4="",1,--(OR(SUMPRODUCT(--(TRIM(MID(SUBSTITUTE(SUBSTITUTE($AA$4,"/",","),",",REPT(" ",99)),(ROW($1:$8)-1)*99+1,99))&lt;&gt;""),--ISNUMBER(SEARCH(TRIM(MID(SUBSTITUTE(SUBSTITUTE($AA$4,"/",","),",",REPT(" ",99)),(ROW($1:$8)-1)*99+1,99)),IFERROR(('Final Calculation Sheet'!$Z$4)&amp;"",""))))&gt;0,AND(ISNUMBER(SEARCH("blank",$AA$4)),NOT(ISNUMBER(SEARCH("nonblank",$AA$4))),IFERROR(('Final Calculation Sheet'!$Z$4)&amp;"","")=""),AND(OR(ISNUMBER(SEARCH("nonblank",$AA$4)),ISNUMBER(SEARCH("&lt;&gt;",$AA$4))),IFERROR(('Final Calculation Sheet'!$Z$4)&amp;"","")&lt;&gt;""),AND(TRIM($AA$4)="",IFERROR(('Final Calculation Sheet'!$Z$4)&amp;"","")=""))))</f>
        <v/>
      </c>
      <c r="CN5" s="66">
        <f>IF($AB$4="",1,--(OR(SUMPRODUCT(--(TRIM(MID(SUBSTITUTE(SUBSTITUTE($AB$4,"/",","),",",REPT(" ",99)),(ROW($1:$8)-1)*99+1,99))&lt;&gt;""),--ISNUMBER(SEARCH(TRIM(MID(SUBSTITUTE(SUBSTITUTE($AB$4,"/",","),",",REPT(" ",99)),(ROW($1:$8)-1)*99+1,99)),IFERROR(('Final Calculation Sheet'!$AA$4)&amp;"",""))))&gt;0,AND(ISNUMBER(SEARCH("blank",$AB$4)),NOT(ISNUMBER(SEARCH("nonblank",$AB$4))),IFERROR(('Final Calculation Sheet'!$AA$4)&amp;"","")=""),AND(OR(ISNUMBER(SEARCH("nonblank",$AB$4)),ISNUMBER(SEARCH("&lt;&gt;",$AB$4))),IFERROR(('Final Calculation Sheet'!$AA$4)&amp;"","")&lt;&gt;""),AND(TRIM($AB$4)="",IFERROR(('Final Calculation Sheet'!$AA$4)&amp;"","")=""))))</f>
        <v/>
      </c>
      <c r="CO5" s="66">
        <f>IF($AC$4="",1,--(OR(SUMPRODUCT(--(TRIM(MID(SUBSTITUTE(SUBSTITUTE($AC$4,"/",","),",",REPT(" ",99)),(ROW($1:$8)-1)*99+1,99))&lt;&gt;""),--ISNUMBER(SEARCH(TRIM(MID(SUBSTITUTE(SUBSTITUTE($AC$4,"/",","),",",REPT(" ",99)),(ROW($1:$8)-1)*99+1,99)),IFERROR(('Final Calculation Sheet'!$AB$4)&amp;"",""))))&gt;0,AND(ISNUMBER(SEARCH("blank",$AC$4)),NOT(ISNUMBER(SEARCH("nonblank",$AC$4))),IFERROR(('Final Calculation Sheet'!$AB$4)&amp;"","")=""),AND(OR(ISNUMBER(SEARCH("nonblank",$AC$4)),ISNUMBER(SEARCH("&lt;&gt;",$AC$4))),IFERROR(('Final Calculation Sheet'!$AB$4)&amp;"","")&lt;&gt;""),AND(TRIM($AC$4)="",IFERROR(('Final Calculation Sheet'!$AB$4)&amp;"","")=""))))</f>
        <v/>
      </c>
      <c r="CP5" s="66">
        <f>IF($AD$4="",1,--(OR(SUMPRODUCT(--(TRIM(MID(SUBSTITUTE(SUBSTITUTE($AD$4,"/",","),",",REPT(" ",99)),(ROW($1:$8)-1)*99+1,99))&lt;&gt;""),--ISNUMBER(SEARCH(TRIM(MID(SUBSTITUTE(SUBSTITUTE($AD$4,"/",","),",",REPT(" ",99)),(ROW($1:$8)-1)*99+1,99)),IFERROR(('Final Calculation Sheet'!$AC$4)&amp;"",""))))&gt;0,AND(ISNUMBER(SEARCH("blank",$AD$4)),NOT(ISNUMBER(SEARCH("nonblank",$AD$4))),IFERROR(('Final Calculation Sheet'!$AC$4)&amp;"","")=""),AND(OR(ISNUMBER(SEARCH("nonblank",$AD$4)),ISNUMBER(SEARCH("&lt;&gt;",$AD$4))),IFERROR(('Final Calculation Sheet'!$AC$4)&amp;"","")&lt;&gt;""),AND(TRIM($AD$4)="",IFERROR(('Final Calculation Sheet'!$AC$4)&amp;"","")=""))))</f>
        <v/>
      </c>
      <c r="CQ5" s="66">
        <f>IF($AE$4="",1,--(OR(SUMPRODUCT(--(TRIM(MID(SUBSTITUTE(SUBSTITUTE($AE$4,"/",","),",",REPT(" ",99)),(ROW($1:$8)-1)*99+1,99))&lt;&gt;""),--ISNUMBER(SEARCH(TRIM(MID(SUBSTITUTE(SUBSTITUTE($AE$4,"/",","),",",REPT(" ",99)),(ROW($1:$8)-1)*99+1,99)),IFERROR(('Final Calculation Sheet'!$AD$4)&amp;"",""))))&gt;0,AND(ISNUMBER(SEARCH("blank",$AE$4)),NOT(ISNUMBER(SEARCH("nonblank",$AE$4))),IFERROR(('Final Calculation Sheet'!$AD$4)&amp;"","")=""),AND(OR(ISNUMBER(SEARCH("nonblank",$AE$4)),ISNUMBER(SEARCH("&lt;&gt;",$AE$4))),IFERROR(('Final Calculation Sheet'!$AD$4)&amp;"","")&lt;&gt;""),AND(TRIM($AE$4)="",IFERROR(('Final Calculation Sheet'!$AD$4)&amp;"","")=""))))</f>
        <v/>
      </c>
      <c r="CR5" s="66">
        <f>IF($AG$4="",1,--(OR(SUMPRODUCT(--(TRIM(MID(SUBSTITUTE(SUBSTITUTE($AG$4,"/",","),",",REPT(" ",99)),(ROW($1:$8)-1)*99+1,99))&lt;&gt;""),--ISNUMBER(SEARCH(TRIM(MID(SUBSTITUTE(SUBSTITUTE($AG$4,"/",","),",",REPT(" ",99)),(ROW($1:$8)-1)*99+1,99)),IFERROR(('Final Calculation Sheet'!$AF$4)&amp;"",""))))&gt;0,AND(ISNUMBER(SEARCH("blank",$AG$4)),NOT(ISNUMBER(SEARCH("nonblank",$AG$4))),IFERROR(('Final Calculation Sheet'!$AF$4)&amp;"","")=""),AND(OR(ISNUMBER(SEARCH("nonblank",$AG$4)),ISNUMBER(SEARCH("&lt;&gt;",$AG$4))),IFERROR(('Final Calculation Sheet'!$AF$4)&amp;"","")&lt;&gt;""),AND(TRIM($AG$4)="",IFERROR(('Final Calculation Sheet'!$AF$4)&amp;"","")=""))))</f>
        <v/>
      </c>
      <c r="CS5" s="66">
        <f>IF($AH$4="",1,--(OR(SUMPRODUCT(--(TRIM(MID(SUBSTITUTE(SUBSTITUTE($AH$4,"/",","),",",REPT(" ",99)),(ROW($1:$8)-1)*99+1,99))&lt;&gt;""),--ISNUMBER(SEARCH(TRIM(MID(SUBSTITUTE(SUBSTITUTE($AH$4,"/",","),",",REPT(" ",99)),(ROW($1:$8)-1)*99+1,99)),IFERROR(('Final Calculation Sheet'!$AG$4)&amp;"",""))))&gt;0,AND(ISNUMBER(SEARCH("blank",$AH$4)),NOT(ISNUMBER(SEARCH("nonblank",$AH$4))),IFERROR(('Final Calculation Sheet'!$AG$4)&amp;"","")=""),AND(OR(ISNUMBER(SEARCH("nonblank",$AH$4)),ISNUMBER(SEARCH("&lt;&gt;",$AH$4))),IFERROR(('Final Calculation Sheet'!$AG$4)&amp;"","")&lt;&gt;""),AND(TRIM($AH$4)="",IFERROR(('Final Calculation Sheet'!$AG$4)&amp;"","")=""))))</f>
        <v/>
      </c>
      <c r="CT5" s="66">
        <f>IF($AI$4="",1,--(OR(SUMPRODUCT(--(TRIM(MID(SUBSTITUTE(SUBSTITUTE($AI$4,"/",","),",",REPT(" ",99)),(ROW($1:$8)-1)*99+1,99))&lt;&gt;""),--ISNUMBER(SEARCH(TRIM(MID(SUBSTITUTE(SUBSTITUTE($AI$4,"/",","),",",REPT(" ",99)),(ROW($1:$8)-1)*99+1,99)),IFERROR(('Final Calculation Sheet'!$AH$4)&amp;"",""))))&gt;0,AND(ISNUMBER(SEARCH("blank",$AI$4)),NOT(ISNUMBER(SEARCH("nonblank",$AI$4))),IFERROR(('Final Calculation Sheet'!$AH$4)&amp;"","")=""),AND(OR(ISNUMBER(SEARCH("nonblank",$AI$4)),ISNUMBER(SEARCH("&lt;&gt;",$AI$4))),IFERROR(('Final Calculation Sheet'!$AH$4)&amp;"","")&lt;&gt;""),AND(TRIM($AI$4)="",IFERROR(('Final Calculation Sheet'!$AH$4)&amp;"","")=""))))</f>
        <v/>
      </c>
      <c r="CU5" s="66">
        <f>IF($AF$4="",1,--(OR(SUMPRODUCT(--(TRIM(MID(SUBSTITUTE(SUBSTITUTE($AF$4,"/",","),",",REPT(" ",99)),(ROW($1:$8)-1)*99+1,99))&lt;&gt;""),--ISNUMBER(SEARCH(TRIM(MID(SUBSTITUTE(SUBSTITUTE($AF$4,"/",","),",",REPT(" ",99)),(ROW($1:$8)-1)*99+1,99)),IFERROR((IF('Final Calculation Sheet'!$AD$4&lt;=5,"SETTLED","OUTSTANDING"))&amp;"",""))))&gt;0,AND(ISNUMBER(SEARCH("blank",$AF$4)),NOT(ISNUMBER(SEARCH("nonblank",$AF$4))),IFERROR((IF('Final Calculation Sheet'!$AD$4&lt;=5,"SETTLED","OUTSTANDING"))&amp;"","")=""),AND(OR(ISNUMBER(SEARCH("nonblank",$AF$4)),ISNUMBER(SEARCH("&lt;&gt;",$AF$4))),IFERROR((IF('Final Calculation Sheet'!$AD$4&lt;=5,"SETTLED","OUTSTANDING"))&amp;"","")&lt;&gt;""),AND(TRIM($AF$4)="",IFERROR((IF('Final Calculation Sheet'!$AD$4&lt;=5,"SETTLED","OUTSTANDING"))&amp;"","")=""))))</f>
        <v/>
      </c>
    </row>
    <row r="6" ht="15" customHeight="1" s="137">
      <c r="A6" s="67">
        <f>IF($BJ5&gt;0,INDEX($BA$5:$BA$41,MATCH(5,$BB$5:$BB$41,0)),IF(OR($BI5=1,$BL5=1,$BH5&gt;0),"∑",""))</f>
        <v/>
      </c>
      <c r="B6" s="76">
        <f>IF($BJ5&gt;0,IF(INDEX('Final Calculation Sheet'!$F$4:$F$40,$BJ5-3)="","",INDEX('Final Calculation Sheet'!$F$4:$F$40,$BJ5-3)),"")</f>
        <v/>
      </c>
      <c r="C6" s="76">
        <f>IF($BJ5&gt;0,IF(INDEX('Final Calculation Sheet'!$G$4:$G$40,$BJ5-3)="","",INDEX('Final Calculation Sheet'!$G$4:$G$40,$BJ5-3)),IF(OR($BI5=1,$BL5=1,$BH5&gt;0),IF($BI5=1,37,IF($BL5=1,37-INDEX($BD$4:$BD$13,10),INDEX($BD$4:$BD$13,$BH5)))&amp;" lot(s)",""))</f>
        <v/>
      </c>
      <c r="D6" s="80">
        <f>IF($BJ5&gt;0,IF(INDEX('Final Calculation Sheet'!$B$4:$B$40,$BJ5-3)="","",INDEX('Final Calculation Sheet'!$B$4:$B$40,$BJ5-3)),IF(OR($BI5=1,$BL5=1,$BH5&gt;0),IF($BI5=1,"GRAND TOTAL  —  matching + remaining",IF($BL5=1,"TOTAL MATCHED  —  every group together",IF($BH5=10,"REMAINING  —  did not match the search",IF($BH5=9,IF(COUNTIF($A$4:$AI$4,"&lt;&gt;")&gt;0,"FILTERED LOTS  —  column fields","ALL LOTS  —  nothing typed in the box"),"GROUP "&amp;$BH5&amp;" TOTAL  —  lots matching  "&amp;INDEX($AR$6:$AY$6,$BH5))))),""))</f>
        <v/>
      </c>
      <c r="E6" s="80">
        <f>IF($BJ5&gt;0,IF(INDEX('Final Calculation Sheet'!$D$4:$D$40,$BJ5-3)="","",INDEX('Final Calculation Sheet'!$D$4:$D$40,$BJ5-3)),IF(OR($BI5=1,$BL5=1,$BH5&gt;0),"–",""))</f>
        <v/>
      </c>
      <c r="F6" s="80">
        <f>IF($BJ5&gt;0,IF(INDEX('Final Calculation Sheet'!$A$4:$A$40,$BJ5-3)="","",INDEX('Final Calculation Sheet'!$A$4:$A$40,$BJ5-3)),IF(OR($BI5=1,$BL5=1,$BH5&gt;0),IF($BI5=1,SUM('Final Calculation Sheet'!$A$4:$A$40),IF($BL5=1,SUM('Final Calculation Sheet'!$A$4:$A$40)-SUMIFS('Final Calculation Sheet'!$A$4:$A$40,$AZ$5:$AZ$41,10),SUMIFS('Final Calculation Sheet'!$A$4:$A$40,$AZ$5:$AZ$41,$BH5))),""))</f>
        <v/>
      </c>
      <c r="G6" s="80">
        <f>IF($BJ5&gt;0,IF(INDEX('Final Calculation Sheet'!$E$4:$E$40,$BJ5-3)="","",INDEX('Final Calculation Sheet'!$E$4:$E$40,$BJ5-3)),IF(OR($BI5=1,$BL5=1,$BH5&gt;0),"–",""))</f>
        <v/>
      </c>
      <c r="H6" s="70">
        <f>IF($BJ5&gt;0,IF(INDEX('Final Calculation Sheet'!$C$4:$C$40,$BJ5-3)="","",INDEX('Final Calculation Sheet'!$C$4:$C$40,$BJ5-3)),IF(OR($BI5=1,$BL5=1,$BH5&gt;0),"–",""))</f>
        <v/>
      </c>
      <c r="I6" s="70">
        <f>IF($BJ5&gt;0,IF(INDEX('Final Calculation Sheet'!$H$4:$H$40,$BJ5-3)="","",INDEX('Final Calculation Sheet'!$H$4:$H$40,$BJ5-3)),IF(OR($BI5=1,$BL5=1,$BH5&gt;0),IF($BI5=1,SUM('Final Calculation Sheet'!$H$4:$H$40),IF($BL5=1,SUM('Final Calculation Sheet'!$H$4:$H$40)-SUMIFS('Final Calculation Sheet'!$H$4:$H$40,$AZ$5:$AZ$41,10),SUMIFS('Final Calculation Sheet'!$H$4:$H$40,$AZ$5:$AZ$41,$BH5))),""))</f>
        <v/>
      </c>
      <c r="J6" s="70">
        <f>IF($BJ5&gt;0,IF(INDEX('Final Calculation Sheet'!$I$4:$I$40,$BJ5-3)="","",INDEX('Final Calculation Sheet'!$I$4:$I$40,$BJ5-3)),IF(OR($BI5=1,$BL5=1,$BH5&gt;0),IF($BI5=1,SUM('Final Calculation Sheet'!$I$4:$I$40),IF($BL5=1,SUM('Final Calculation Sheet'!$I$4:$I$40)-SUMIFS('Final Calculation Sheet'!$I$4:$I$40,$AZ$5:$AZ$41,10),SUMIFS('Final Calculation Sheet'!$I$4:$I$40,$AZ$5:$AZ$41,$BH5))),""))</f>
        <v/>
      </c>
      <c r="K6" s="70">
        <f>IF($BJ5&gt;0,IF(INDEX('Final Calculation Sheet'!$J$4:$J$40,$BJ5-3)="","",INDEX('Final Calculation Sheet'!$J$4:$J$40,$BJ5-3)),IF(OR($BI5=1,$BL5=1,$BH5&gt;0),IF($BI5=1,SUM('Final Calculation Sheet'!$J$4:$J$40),IF($BL5=1,SUM('Final Calculation Sheet'!$J$4:$J$40)-SUMIFS('Final Calculation Sheet'!$J$4:$J$40,$AZ$5:$AZ$41,10),SUMIFS('Final Calculation Sheet'!$J$4:$J$40,$AZ$5:$AZ$41,$BH5))),""))</f>
        <v/>
      </c>
      <c r="L6" s="70">
        <f>IF($BJ5&gt;0,IF(INDEX('Final Calculation Sheet'!$K$4:$K$40,$BJ5-3)="","",INDEX('Final Calculation Sheet'!$K$4:$K$40,$BJ5-3)),IF(OR($BI5=1,$BL5=1,$BH5&gt;0),IF($BI5=1,SUM('Final Calculation Sheet'!$K$4:$K$40),IF($BL5=1,SUM('Final Calculation Sheet'!$K$4:$K$40)-SUMIFS('Final Calculation Sheet'!$K$4:$K$40,$AZ$5:$AZ$41,10),SUMIFS('Final Calculation Sheet'!$K$4:$K$40,$AZ$5:$AZ$41,$BH5))),""))</f>
        <v/>
      </c>
      <c r="M6" s="70">
        <f>IF($BJ5&gt;0,IF(INDEX('Final Calculation Sheet'!$L$4:$L$40,$BJ5-3)="","",INDEX('Final Calculation Sheet'!$L$4:$L$40,$BJ5-3)),IF(OR($BI5=1,$BL5=1,$BH5&gt;0),IF($BI5=1,SUM('Final Calculation Sheet'!$L$4:$L$40),IF($BL5=1,SUM('Final Calculation Sheet'!$L$4:$L$40)-SUMIFS('Final Calculation Sheet'!$L$4:$L$40,$AZ$5:$AZ$41,10),SUMIFS('Final Calculation Sheet'!$L$4:$L$40,$AZ$5:$AZ$41,$BH5))),""))</f>
        <v/>
      </c>
      <c r="N6" s="70">
        <f>IF($BJ5&gt;0,IF(INDEX('Final Calculation Sheet'!$M$4:$M$40,$BJ5-3)="","",INDEX('Final Calculation Sheet'!$M$4:$M$40,$BJ5-3)),IF(OR($BI5=1,$BL5=1,$BH5&gt;0),IF($BI5=1,SUM('Final Calculation Sheet'!$M$4:$M$40),IF($BL5=1,SUM('Final Calculation Sheet'!$M$4:$M$40)-SUMIFS('Final Calculation Sheet'!$M$4:$M$40,$AZ$5:$AZ$41,10),SUMIFS('Final Calculation Sheet'!$M$4:$M$40,$AZ$5:$AZ$41,$BH5))),""))</f>
        <v/>
      </c>
      <c r="O6" s="71">
        <f>IF($BJ5&gt;0,IF(INDEX('Final Calculation Sheet'!$N$4:$N$40,$BJ5-3)="","",INDEX('Final Calculation Sheet'!$N$4:$N$40,$BJ5-3)),IF(OR($BI5=1,$BL5=1,$BH5&gt;0),IF($BI5=1,SUM('Final Calculation Sheet'!$N$4:$N$40),IF($BL5=1,SUM('Final Calculation Sheet'!$N$4:$N$40)-SUMIFS('Final Calculation Sheet'!$N$4:$N$40,$AZ$5:$AZ$41,10),SUMIFS('Final Calculation Sheet'!$N$4:$N$40,$AZ$5:$AZ$41,$BH5))),""))</f>
        <v/>
      </c>
      <c r="P6" s="70">
        <f>IF($BJ5&gt;0,IF(INDEX('Final Calculation Sheet'!$O$4:$O$40,$BJ5-3)="","",INDEX('Final Calculation Sheet'!$O$4:$O$40,$BJ5-3)),IF(OR($BI5=1,$BL5=1,$BH5&gt;0),IF($BI5=1,SUM('Final Calculation Sheet'!$O$4:$O$40),IF($BL5=1,SUM('Final Calculation Sheet'!$O$4:$O$40)-SUMIFS('Final Calculation Sheet'!$O$4:$O$40,$AZ$5:$AZ$41,10),SUMIFS('Final Calculation Sheet'!$O$4:$O$40,$AZ$5:$AZ$41,$BH5))),""))</f>
        <v/>
      </c>
      <c r="Q6" s="70">
        <f>IF($BJ5&gt;0,IF(INDEX('Final Calculation Sheet'!$P$4:$P$40,$BJ5-3)="","",INDEX('Final Calculation Sheet'!$P$4:$P$40,$BJ5-3)),IF(OR($BI5=1,$BL5=1,$BH5&gt;0),IF($BI5=1,SUM('Final Calculation Sheet'!$P$4:$P$40),IF($BL5=1,SUM('Final Calculation Sheet'!$P$4:$P$40)-SUMIFS('Final Calculation Sheet'!$P$4:$P$40,$AZ$5:$AZ$41,10),SUMIFS('Final Calculation Sheet'!$P$4:$P$40,$AZ$5:$AZ$41,$BH5))),""))</f>
        <v/>
      </c>
      <c r="R6" s="72">
        <f>IF($BJ5&gt;0,IF(INDEX('Final Calculation Sheet'!$Q$4:$Q$40,$BJ5-3)="","",INDEX('Final Calculation Sheet'!$Q$4:$Q$40,$BJ5-3)),IF(OR($BI5=1,$BL5=1,$BH5&gt;0),"–",""))</f>
        <v/>
      </c>
      <c r="S6" s="70">
        <f>IF($BJ5&gt;0,IF(INDEX('Final Calculation Sheet'!$R$4:$R$40,$BJ5-3)="","",INDEX('Final Calculation Sheet'!$R$4:$R$40,$BJ5-3)),IF(OR($BI5=1,$BL5=1,$BH5&gt;0),IF($BI5=1,SUM('Final Calculation Sheet'!$R$4:$R$40),IF($BL5=1,SUM('Final Calculation Sheet'!$R$4:$R$40)-SUMIFS('Final Calculation Sheet'!$R$4:$R$40,$AZ$5:$AZ$41,10),SUMIFS('Final Calculation Sheet'!$R$4:$R$40,$AZ$5:$AZ$41,$BH5))),""))</f>
        <v/>
      </c>
      <c r="T6" s="70">
        <f>IF($BJ5&gt;0,IF(INDEX('Final Calculation Sheet'!$S$4:$S$40,$BJ5-3)="","",INDEX('Final Calculation Sheet'!$S$4:$S$40,$BJ5-3)),IF(OR($BI5=1,$BL5=1,$BH5&gt;0),IF($BI5=1,SUM('Final Calculation Sheet'!$S$4:$S$40),IF($BL5=1,SUM('Final Calculation Sheet'!$S$4:$S$40)-SUMIFS('Final Calculation Sheet'!$S$4:$S$40,$AZ$5:$AZ$41,10),SUMIFS('Final Calculation Sheet'!$S$4:$S$40,$AZ$5:$AZ$41,$BH5))),""))</f>
        <v/>
      </c>
      <c r="U6" s="70">
        <f>IF($BJ5&gt;0,IF(INDEX('Final Calculation Sheet'!$T$4:$T$40,$BJ5-3)="","",INDEX('Final Calculation Sheet'!$T$4:$T$40,$BJ5-3)),IF(OR($BI5=1,$BL5=1,$BH5&gt;0),IF($BI5=1,SUM('Final Calculation Sheet'!$T$4:$T$40),IF($BL5=1,SUM('Final Calculation Sheet'!$T$4:$T$40)-SUMIFS('Final Calculation Sheet'!$T$4:$T$40,$AZ$5:$AZ$41,10),SUMIFS('Final Calculation Sheet'!$T$4:$T$40,$AZ$5:$AZ$41,$BH5))),""))</f>
        <v/>
      </c>
      <c r="V6" s="73">
        <f>IF($BJ5&gt;0,IF(INDEX('Final Calculation Sheet'!$U$4:$U$40,$BJ5-3)="","",INDEX('Final Calculation Sheet'!$U$4:$U$40,$BJ5-3)),IF(OR($BI5=1,$BL5=1,$BH5&gt;0),IF($BI5=1,SUM('Final Calculation Sheet'!$U$4:$U$40),IF($BL5=1,SUM('Final Calculation Sheet'!$U$4:$U$40)-SUMIFS('Final Calculation Sheet'!$U$4:$U$40,$AZ$5:$AZ$41,10),SUMIFS('Final Calculation Sheet'!$U$4:$U$40,$AZ$5:$AZ$41,$BH5))),""))</f>
        <v/>
      </c>
      <c r="W6" s="70">
        <f>IF($BJ5&gt;0,IF(INDEX('Final Calculation Sheet'!$V$4:$V$40,$BJ5-3)="","",INDEX('Final Calculation Sheet'!$V$4:$V$40,$BJ5-3)),IF(OR($BI5=1,$BL5=1,$BH5&gt;0),"–",""))</f>
        <v/>
      </c>
      <c r="X6" s="70">
        <f>IF($BJ5&gt;0,IF(INDEX('Final Calculation Sheet'!$W$4:$W$40,$BJ5-3)="","",INDEX('Final Calculation Sheet'!$W$4:$W$40,$BJ5-3)),IF(OR($BI5=1,$BL5=1,$BH5&gt;0),IF($BI5=1,SUM('Final Calculation Sheet'!$W$4:$W$40),IF($BL5=1,SUM('Final Calculation Sheet'!$W$4:$W$40)-SUMIFS('Final Calculation Sheet'!$W$4:$W$40,$AZ$5:$AZ$41,10),SUMIFS('Final Calculation Sheet'!$W$4:$W$40,$AZ$5:$AZ$41,$BH5))),""))</f>
        <v/>
      </c>
      <c r="Y6" s="70">
        <f>IF($BJ5&gt;0,IF(INDEX('Final Calculation Sheet'!$X$4:$X$40,$BJ5-3)="","",INDEX('Final Calculation Sheet'!$X$4:$X$40,$BJ5-3)),IF(OR($BI5=1,$BL5=1,$BH5&gt;0),IF($BI5=1,SUM('Final Calculation Sheet'!$X$4:$X$40),IF($BL5=1,SUM('Final Calculation Sheet'!$X$4:$X$40)-SUMIFS('Final Calculation Sheet'!$X$4:$X$40,$AZ$5:$AZ$41,10),SUMIFS('Final Calculation Sheet'!$X$4:$X$40,$AZ$5:$AZ$41,$BH5))),""))</f>
        <v/>
      </c>
      <c r="Z6" s="70">
        <f>IF($BJ5&gt;0,IF(INDEX('Final Calculation Sheet'!$Y$4:$Y$40,$BJ5-3)="","",INDEX('Final Calculation Sheet'!$Y$4:$Y$40,$BJ5-3)),IF(OR($BI5=1,$BL5=1,$BH5&gt;0),"–",""))</f>
        <v/>
      </c>
      <c r="AA6" s="70">
        <f>IF($BJ5&gt;0,IF(INDEX('Final Calculation Sheet'!$Z$4:$Z$40,$BJ5-3)="","",INDEX('Final Calculation Sheet'!$Z$4:$Z$40,$BJ5-3)),IF(OR($BI5=1,$BL5=1,$BH5&gt;0),IF($BI5=1,SUM('Final Calculation Sheet'!$Z$4:$Z$40),IF($BL5=1,SUM('Final Calculation Sheet'!$Z$4:$Z$40)-SUMIFS('Final Calculation Sheet'!$Z$4:$Z$40,$AZ$5:$AZ$41,10),SUMIFS('Final Calculation Sheet'!$Z$4:$Z$40,$AZ$5:$AZ$41,$BH5))),""))</f>
        <v/>
      </c>
      <c r="AB6" s="70">
        <f>IF($BJ5&gt;0,IF(INDEX('Final Calculation Sheet'!$AA$4:$AA$40,$BJ5-3)="","",INDEX('Final Calculation Sheet'!$AA$4:$AA$40,$BJ5-3)),IF(OR($BI5=1,$BL5=1,$BH5&gt;0),IF($BI5=1,SUM('Final Calculation Sheet'!$AA$4:$AA$40),IF($BL5=1,SUM('Final Calculation Sheet'!$AA$4:$AA$40)-SUMIFS('Final Calculation Sheet'!$AA$4:$AA$40,$AZ$5:$AZ$41,10),SUMIFS('Final Calculation Sheet'!$AA$4:$AA$40,$AZ$5:$AZ$41,$BH5))),""))</f>
        <v/>
      </c>
      <c r="AC6" s="70">
        <f>IF($BJ5&gt;0,IF(INDEX('Final Calculation Sheet'!$AB$4:$AB$40,$BJ5-3)="","",INDEX('Final Calculation Sheet'!$AB$4:$AB$40,$BJ5-3)),IF(OR($BI5=1,$BL5=1,$BH5&gt;0),"–",""))</f>
        <v/>
      </c>
      <c r="AD6" s="70">
        <f>IF($BJ5&gt;0,IF(INDEX('Final Calculation Sheet'!$AC$4:$AC$40,$BJ5-3)="","",INDEX('Final Calculation Sheet'!$AC$4:$AC$40,$BJ5-3)),IF(OR($BI5=1,$BL5=1,$BH5&gt;0),IF($BI5=1,SUM('Final Calculation Sheet'!$AC$4:$AC$40),IF($BL5=1,SUM('Final Calculation Sheet'!$AC$4:$AC$40)-SUMIFS('Final Calculation Sheet'!$AC$4:$AC$40,$AZ$5:$AZ$41,10),SUMIFS('Final Calculation Sheet'!$AC$4:$AC$40,$AZ$5:$AZ$41,$BH5))),""))</f>
        <v/>
      </c>
      <c r="AE6" s="70">
        <f>IF($BJ5&gt;0,IF(INDEX('Final Calculation Sheet'!$AD$4:$AD$40,$BJ5-3)="","",INDEX('Final Calculation Sheet'!$AD$4:$AD$40,$BJ5-3)),IF(OR($BI5=1,$BL5=1,$BH5&gt;0),IF($BI5=1,SUM('Final Calculation Sheet'!$AD$4:$AD$40),IF($BL5=1,SUM('Final Calculation Sheet'!$AD$4:$AD$40)-SUMIFS('Final Calculation Sheet'!$AD$4:$AD$40,$AZ$5:$AZ$41,10),SUMIFS('Final Calculation Sheet'!$AD$4:$AD$40,$AZ$5:$AZ$41,$BH5))),""))</f>
        <v/>
      </c>
      <c r="AF6" s="75">
        <f>IF($BJ5&gt;0,IF(INDEX('Final Calculation Sheet'!$AD$4:$AD$40,$BJ5-3)="","",IF(INDEX('Final Calculation Sheet'!$AD$4:$AD$40,$BJ5-3)&lt;=5,"SETTLED","OUTSTANDING")),IF(OR($BI5=1,$BL5=1,$BH5&gt;0),IF(IF($BI5=1,SUM('Final Calculation Sheet'!$AD$4:$AD$40),IF($BL5=1,SUM('Final Calculation Sheet'!$AD$4:$AD$40)-SUMIFS('Final Calculation Sheet'!$AD$4:$AD$40,$AZ$5:$AZ$41,10),SUMIFS('Final Calculation Sheet'!$AD$4:$AD$40,$AZ$5:$AZ$41,$BH5)))&lt;=5,"ALL SETTLED","OUTSTANDING"),""))</f>
        <v/>
      </c>
      <c r="AG6" s="70">
        <f>IF($BJ5&gt;0,IF(INDEX('Final Calculation Sheet'!$AF$4:$AF$40,$BJ5-3)="","",INDEX('Final Calculation Sheet'!$AF$4:$AF$40,$BJ5-3)),IF(OR($BI5=1,$BL5=1,$BH5&gt;0),"–",""))</f>
        <v/>
      </c>
      <c r="AH6" s="74">
        <f>IF($BJ5&gt;0,IF(INDEX('Final Calculation Sheet'!$AG$4:$AG$40,$BJ5-3)="","",INDEX('Final Calculation Sheet'!$AG$4:$AG$40,$BJ5-3)),IF(OR($BI5=1,$BL5=1,$BH5&gt;0),"–",""))</f>
        <v/>
      </c>
      <c r="AI6" s="70">
        <f>IF($BJ5&gt;0,IF(INDEX('Final Calculation Sheet'!$AH$4:$AH$40,$BJ5-3)="","",INDEX('Final Calculation Sheet'!$AH$4:$AH$40,$BJ5-3)),IF(OR($BI5=1,$BL5=1,$BH5&gt;0),"–",""))</f>
        <v/>
      </c>
      <c r="AJ6" s="76">
        <f>IF($B$3="",IF(ROW()=5,"— type above —",""),IF(ROW()-4&gt;AL$41,"",INDEX('Final Calculation Sheet'!$F$4:$F$40,MATCH(ROW()-4,$AL$5:$AL$41,0))&amp;" — "&amp;INDEX('Final Calculation Sheet'!$G$4:$G$40,MATCH(ROW()-4,$AL$5:$AL$41,0))))</f>
        <v/>
      </c>
      <c r="AK6">
        <f>IF($F$3="Lot No.",'Final Calculation Sheet'!$F$5,IF($F$3="Buyer",'Final Calculation Sheet'!$G$5,IF($F$3="Lot Name",'Final Calculation Sheet'!$B$5,IF($F$3="Bid Sheet",'Final Calculation Sheet'!$D$5,IF($F$3="Unit",'Final Calculation Sheet'!$E$5,'Final Calculation Sheet'!$F$5&amp;" "&amp;'Final Calculation Sheet'!$G$5&amp;" "&amp;'Final Calculation Sheet'!$B$5)))))</f>
        <v/>
      </c>
      <c r="AL6">
        <f>AL5+IF($B$3="",0,--(SUMPRODUCT(--($AR$6:$AY$6&lt;&gt;""),--ISNUMBER(SEARCH($AR$6:$AY$6,$AK6)))&gt;0))</f>
        <v/>
      </c>
      <c r="AM6">
        <f>IF(COUNTIF($BM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AO6" t="inlineStr">
        <is>
          <t>Buyer</t>
        </is>
      </c>
      <c r="AR6">
        <f>IF($AR$4="","",IF($AR$5=99999,TRIM($AR$4),TRIM(LEFT($AR$4,$AR$5-1))))</f>
        <v/>
      </c>
      <c r="AS6">
        <f>IF($AS$4="","",IF($AS$5=99999,TRIM($AS$4),TRIM(LEFT($AS$4,$AS$5-1))))</f>
        <v/>
      </c>
      <c r="AT6">
        <f>IF($AT$4="","",IF($AT$5=99999,TRIM($AT$4),TRIM(LEFT($AT$4,$AT$5-1))))</f>
        <v/>
      </c>
      <c r="AU6">
        <f>IF($AU$4="","",IF($AU$5=99999,TRIM($AU$4),TRIM(LEFT($AU$4,$AU$5-1))))</f>
        <v/>
      </c>
      <c r="AV6">
        <f>IF($AV$4="","",IF($AV$5=99999,TRIM($AV$4),TRIM(LEFT($AV$4,$AV$5-1))))</f>
        <v/>
      </c>
      <c r="AW6">
        <f>IF($AW$4="","",IF($AW$5=99999,TRIM($AW$4),TRIM(LEFT($AW$4,$AW$5-1))))</f>
        <v/>
      </c>
      <c r="AX6">
        <f>IF($AX$4="","",IF($AX$5=99999,TRIM($AX$4),TRIM(LEFT($AX$4,$AX$5-1))))</f>
        <v/>
      </c>
      <c r="AY6">
        <f>IF($AY$4="","",IF($AY$5=99999,TRIM($AY$4),TRIM(LEFT($AY$4,$AY$5-1))))</f>
        <v/>
      </c>
      <c r="AZ6">
        <f>IF($B$3="",IF(COUNTIF($A$4:$AI$4,"&lt;&gt;")=0,9,IF($AM6=1,9,10)),IF($AM6=0,10,IF(AND($AR$6&lt;&gt;"",ISNUMBER(SEARCH($AR$6,$AK6))),1,IF(AND($AS$6&lt;&gt;"",ISNUMBER(SEARCH($AS$6,$AK6))),2,IF(AND($AT$6&lt;&gt;"",ISNUMBER(SEARCH($AT$6,$AK6))),3,IF(AND($AU$6&lt;&gt;"",ISNUMBER(SEARCH($AU$6,$AK6))),4,IF(AND($AV$6&lt;&gt;"",ISNUMBER(SEARCH($AV$6,$AK6))),5,IF(AND($AW$6&lt;&gt;"",ISNUMBER(SEARCH($AW$6,$AK6))),6,IF(AND($AX$6&lt;&gt;"",ISNUMBER(SEARCH($AX$6,$AK6))),7,IF(AND($AY$6&lt;&gt;"",ISNUMBER(SEARCH($AY$6,$AK6))),8,0))))))))))</f>
        <v/>
      </c>
      <c r="BA6">
        <f>SUMPRODUCT(($AZ$5:$AZ$41=$AZ6)*($BC$5:$BC$41&lt;$BC6))+1</f>
        <v/>
      </c>
      <c r="BB6">
        <f>IF(INDEX($BF$4:$BF$13,$AZ6)=0,0,INDEX($BE$4:$BE$13,$AZ6)+$BA6-1)</f>
        <v/>
      </c>
      <c r="BC6" t="n">
        <v>5</v>
      </c>
      <c r="BD6">
        <f>COUNTIF($AZ$5:$AZ$41,3)</f>
        <v/>
      </c>
      <c r="BE6">
        <f>IF($BD5=0,$BE5,$BF5+1)</f>
        <v/>
      </c>
      <c r="BF6">
        <f>IF($BD6=0,0,$BE6+$BD6)</f>
        <v/>
      </c>
      <c r="BH6">
        <f>IFERROR(MATCH(6,$BF$4:$BF$13,0),0)</f>
        <v/>
      </c>
      <c r="BI6">
        <f>IF(6=$BG$5,1,0)</f>
        <v/>
      </c>
      <c r="BJ6">
        <f>IF(OR($BH6&gt;0,$BI6=1,$BL6=1),0,IFERROR(INDEX($BC$5:$BC$41,MATCH(6,$BB$5:$BB$41,0)),0))</f>
        <v/>
      </c>
      <c r="BK6">
        <f>IF($BJ6&gt;0,IF(INDEX($AZ$5:$AZ$41,MATCH(6,$BB$5:$BB$41,0))=10,1,0),IF($BH6=10,1,0))</f>
        <v/>
      </c>
      <c r="BL6">
        <f>IF(6=$BG$4,1,0)</f>
        <v/>
      </c>
      <c r="BM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6">
        <f>IF($B$4="",1,--(OR(SUMPRODUCT(--(TRIM(MID(SUBSTITUTE(SUBSTITUTE($B$4,"/",","),",",REPT(" ",99)),(ROW($1:$8)-1)*99+1,99))&lt;&gt;""),--ISNUMBER(SEARCH(TRIM(MID(SUBSTITUTE(SUBSTITUTE($B$4,"/",","),",",REPT(" ",99)),(ROW($1:$8)-1)*99+1,99)),IFERROR(('Final Calculation Sheet'!$F$5)&amp;"",""))))&gt;0,AND(ISNUMBER(SEARCH("blank",$B$4)),NOT(ISNUMBER(SEARCH("nonblank",$B$4))),IFERROR(('Final Calculation Sheet'!$F$5)&amp;"","")=""),AND(OR(ISNUMBER(SEARCH("nonblank",$B$4)),ISNUMBER(SEARCH("&lt;&gt;",$B$4))),IFERROR(('Final Calculation Sheet'!$F$5)&amp;"","")&lt;&gt;""),AND(TRIM($B$4)="",IFERROR(('Final Calculation Sheet'!$F$5)&amp;"","")=""))))</f>
        <v/>
      </c>
      <c r="BO6">
        <f>IF($CW$3="",1,--(OR(SUMPRODUCT(--(TRIM(MID(SUBSTITUTE(SUBSTITUTE($CW$3,"/",","),",",REPT(" ",99)),(ROW($1:$8)-1)*99+1,99))&lt;&gt;""),--ISNUMBER(SEARCH(TRIM(MID(SUBSTITUTE(SUBSTITUTE($CW$3,"/",","),",",REPT(" ",99)),(ROW($1:$8)-1)*99+1,99)),IFERROR(('Final Calculation Sheet'!$G$5)&amp;"",""))))&gt;0,AND(ISNUMBER(SEARCH("blank",$CW$3)),NOT(ISNUMBER(SEARCH("nonblank",$CW$3))),IFERROR(('Final Calculation Sheet'!$G$5)&amp;"","")=""),AND(OR(ISNUMBER(SEARCH("nonblank",$CW$3)),ISNUMBER(SEARCH("&lt;&gt;",$CW$3))),IFERROR(('Final Calculation Sheet'!$G$5)&amp;"","")&lt;&gt;""),AND(TRIM($CW$3)="",IFERROR(('Final Calculation Sheet'!$G$5)&amp;"","")=""))))</f>
        <v/>
      </c>
      <c r="BP6">
        <f>IF($D$4="",1,--(OR(SUMPRODUCT(--(TRIM(MID(SUBSTITUTE(SUBSTITUTE($D$4,"/",","),",",REPT(" ",99)),(ROW($1:$8)-1)*99+1,99))&lt;&gt;""),--ISNUMBER(SEARCH(TRIM(MID(SUBSTITUTE(SUBSTITUTE($D$4,"/",","),",",REPT(" ",99)),(ROW($1:$8)-1)*99+1,99)),IFERROR(('Final Calculation Sheet'!$B$5)&amp;"",""))))&gt;0,AND(ISNUMBER(SEARCH("blank",$D$4)),NOT(ISNUMBER(SEARCH("nonblank",$D$4))),IFERROR(('Final Calculation Sheet'!$B$5)&amp;"","")=""),AND(OR(ISNUMBER(SEARCH("nonblank",$D$4)),ISNUMBER(SEARCH("&lt;&gt;",$D$4))),IFERROR(('Final Calculation Sheet'!$B$5)&amp;"","")&lt;&gt;""),AND(TRIM($D$4)="",IFERROR(('Final Calculation Sheet'!$B$5)&amp;"","")=""))))</f>
        <v/>
      </c>
      <c r="BQ6">
        <f>IF($E$4="",1,--(OR(SUMPRODUCT(--(TRIM(MID(SUBSTITUTE(SUBSTITUTE($E$4,"/",","),",",REPT(" ",99)),(ROW($1:$8)-1)*99+1,99))&lt;&gt;""),--ISNUMBER(SEARCH(TRIM(MID(SUBSTITUTE(SUBSTITUTE($E$4,"/",","),",",REPT(" ",99)),(ROW($1:$8)-1)*99+1,99)),IFERROR(('Final Calculation Sheet'!$D$5)&amp;"",""))))&gt;0,AND(ISNUMBER(SEARCH("blank",$E$4)),NOT(ISNUMBER(SEARCH("nonblank",$E$4))),IFERROR(('Final Calculation Sheet'!$D$5)&amp;"","")=""),AND(OR(ISNUMBER(SEARCH("nonblank",$E$4)),ISNUMBER(SEARCH("&lt;&gt;",$E$4))),IFERROR(('Final Calculation Sheet'!$D$5)&amp;"","")&lt;&gt;""),AND(TRIM($E$4)="",IFERROR(('Final Calculation Sheet'!$D$5)&amp;"","")=""))))</f>
        <v/>
      </c>
      <c r="BR6">
        <f>IF($F$4="",1,--(OR(SUMPRODUCT(--(TRIM(MID(SUBSTITUTE(SUBSTITUTE($F$4,"/",","),",",REPT(" ",99)),(ROW($1:$8)-1)*99+1,99))&lt;&gt;""),--ISNUMBER(SEARCH(TRIM(MID(SUBSTITUTE(SUBSTITUTE($F$4,"/",","),",",REPT(" ",99)),(ROW($1:$8)-1)*99+1,99)),IFERROR(('Final Calculation Sheet'!$A$5)&amp;"",""))))&gt;0,AND(ISNUMBER(SEARCH("blank",$F$4)),NOT(ISNUMBER(SEARCH("nonblank",$F$4))),IFERROR(('Final Calculation Sheet'!$A$5)&amp;"","")=""),AND(OR(ISNUMBER(SEARCH("nonblank",$F$4)),ISNUMBER(SEARCH("&lt;&gt;",$F$4))),IFERROR(('Final Calculation Sheet'!$A$5)&amp;"","")&lt;&gt;""),AND(TRIM($F$4)="",IFERROR(('Final Calculation Sheet'!$A$5)&amp;"","")=""))))</f>
        <v/>
      </c>
      <c r="BS6">
        <f>IF($G$4="",1,--(OR(SUMPRODUCT(--(TRIM(MID(SUBSTITUTE(SUBSTITUTE($G$4,"/",","),",",REPT(" ",99)),(ROW($1:$8)-1)*99+1,99))&lt;&gt;""),--ISNUMBER(SEARCH(TRIM(MID(SUBSTITUTE(SUBSTITUTE($G$4,"/",","),",",REPT(" ",99)),(ROW($1:$8)-1)*99+1,99)),IFERROR(('Final Calculation Sheet'!$E$5)&amp;"",""))))&gt;0,AND(ISNUMBER(SEARCH("blank",$G$4)),NOT(ISNUMBER(SEARCH("nonblank",$G$4))),IFERROR(('Final Calculation Sheet'!$E$5)&amp;"","")=""),AND(OR(ISNUMBER(SEARCH("nonblank",$G$4)),ISNUMBER(SEARCH("&lt;&gt;",$G$4))),IFERROR(('Final Calculation Sheet'!$E$5)&amp;"","")&lt;&gt;""),AND(TRIM($G$4)="",IFERROR(('Final Calculation Sheet'!$E$5)&amp;"","")=""))))</f>
        <v/>
      </c>
      <c r="BT6">
        <f>IF($H$4="",1,--(OR(SUMPRODUCT(--(TRIM(MID(SUBSTITUTE(SUBSTITUTE($H$4,"/",","),",",REPT(" ",99)),(ROW($1:$8)-1)*99+1,99))&lt;&gt;""),--ISNUMBER(SEARCH(TRIM(MID(SUBSTITUTE(SUBSTITUTE($H$4,"/",","),",",REPT(" ",99)),(ROW($1:$8)-1)*99+1,99)),IFERROR(('Final Calculation Sheet'!$C$5)&amp;"",""))))&gt;0,AND(ISNUMBER(SEARCH("blank",$H$4)),NOT(ISNUMBER(SEARCH("nonblank",$H$4))),IFERROR(('Final Calculation Sheet'!$C$5)&amp;"","")=""),AND(OR(ISNUMBER(SEARCH("nonblank",$H$4)),ISNUMBER(SEARCH("&lt;&gt;",$H$4))),IFERROR(('Final Calculation Sheet'!$C$5)&amp;"","")&lt;&gt;""),AND(TRIM($H$4)="",IFERROR(('Final Calculation Sheet'!$C$5)&amp;"","")=""))))</f>
        <v/>
      </c>
      <c r="BU6">
        <f>IF($I$4="",1,--(OR(SUMPRODUCT(--(TRIM(MID(SUBSTITUTE(SUBSTITUTE($I$4,"/",","),",",REPT(" ",99)),(ROW($1:$8)-1)*99+1,99))&lt;&gt;""),--ISNUMBER(SEARCH(TRIM(MID(SUBSTITUTE(SUBSTITUTE($I$4,"/",","),",",REPT(" ",99)),(ROW($1:$8)-1)*99+1,99)),IFERROR(('Final Calculation Sheet'!$H$5)&amp;"",""))))&gt;0,AND(ISNUMBER(SEARCH("blank",$I$4)),NOT(ISNUMBER(SEARCH("nonblank",$I$4))),IFERROR(('Final Calculation Sheet'!$H$5)&amp;"","")=""),AND(OR(ISNUMBER(SEARCH("nonblank",$I$4)),ISNUMBER(SEARCH("&lt;&gt;",$I$4))),IFERROR(('Final Calculation Sheet'!$H$5)&amp;"","")&lt;&gt;""),AND(TRIM($I$4)="",IFERROR(('Final Calculation Sheet'!$H$5)&amp;"","")=""))))</f>
        <v/>
      </c>
      <c r="BV6">
        <f>IF($J$4="",1,--(OR(SUMPRODUCT(--(TRIM(MID(SUBSTITUTE(SUBSTITUTE($J$4,"/",","),",",REPT(" ",99)),(ROW($1:$8)-1)*99+1,99))&lt;&gt;""),--ISNUMBER(SEARCH(TRIM(MID(SUBSTITUTE(SUBSTITUTE($J$4,"/",","),",",REPT(" ",99)),(ROW($1:$8)-1)*99+1,99)),IFERROR(('Final Calculation Sheet'!$I$5)&amp;"",""))))&gt;0,AND(ISNUMBER(SEARCH("blank",$J$4)),NOT(ISNUMBER(SEARCH("nonblank",$J$4))),IFERROR(('Final Calculation Sheet'!$I$5)&amp;"","")=""),AND(OR(ISNUMBER(SEARCH("nonblank",$J$4)),ISNUMBER(SEARCH("&lt;&gt;",$J$4))),IFERROR(('Final Calculation Sheet'!$I$5)&amp;"","")&lt;&gt;""),AND(TRIM($J$4)="",IFERROR(('Final Calculation Sheet'!$I$5)&amp;"","")=""))))</f>
        <v/>
      </c>
      <c r="BW6">
        <f>IF($K$4="",1,--(OR(SUMPRODUCT(--(TRIM(MID(SUBSTITUTE(SUBSTITUTE($K$4,"/",","),",",REPT(" ",99)),(ROW($1:$8)-1)*99+1,99))&lt;&gt;""),--ISNUMBER(SEARCH(TRIM(MID(SUBSTITUTE(SUBSTITUTE($K$4,"/",","),",",REPT(" ",99)),(ROW($1:$8)-1)*99+1,99)),IFERROR(('Final Calculation Sheet'!$J$5)&amp;"",""))))&gt;0,AND(ISNUMBER(SEARCH("blank",$K$4)),NOT(ISNUMBER(SEARCH("nonblank",$K$4))),IFERROR(('Final Calculation Sheet'!$J$5)&amp;"","")=""),AND(OR(ISNUMBER(SEARCH("nonblank",$K$4)),ISNUMBER(SEARCH("&lt;&gt;",$K$4))),IFERROR(('Final Calculation Sheet'!$J$5)&amp;"","")&lt;&gt;""),AND(TRIM($K$4)="",IFERROR(('Final Calculation Sheet'!$J$5)&amp;"","")=""))))</f>
        <v/>
      </c>
      <c r="BX6">
        <f>IF($L$4="",1,--(OR(SUMPRODUCT(--(TRIM(MID(SUBSTITUTE(SUBSTITUTE($L$4,"/",","),",",REPT(" ",99)),(ROW($1:$8)-1)*99+1,99))&lt;&gt;""),--ISNUMBER(SEARCH(TRIM(MID(SUBSTITUTE(SUBSTITUTE($L$4,"/",","),",",REPT(" ",99)),(ROW($1:$8)-1)*99+1,99)),IFERROR(('Final Calculation Sheet'!$K$5)&amp;"",""))))&gt;0,AND(ISNUMBER(SEARCH("blank",$L$4)),NOT(ISNUMBER(SEARCH("nonblank",$L$4))),IFERROR(('Final Calculation Sheet'!$K$5)&amp;"","")=""),AND(OR(ISNUMBER(SEARCH("nonblank",$L$4)),ISNUMBER(SEARCH("&lt;&gt;",$L$4))),IFERROR(('Final Calculation Sheet'!$K$5)&amp;"","")&lt;&gt;""),AND(TRIM($L$4)="",IFERROR(('Final Calculation Sheet'!$K$5)&amp;"","")=""))))</f>
        <v/>
      </c>
      <c r="BY6">
        <f>IF($M$4="",1,--(OR(SUMPRODUCT(--(TRIM(MID(SUBSTITUTE(SUBSTITUTE($M$4,"/",","),",",REPT(" ",99)),(ROW($1:$8)-1)*99+1,99))&lt;&gt;""),--ISNUMBER(SEARCH(TRIM(MID(SUBSTITUTE(SUBSTITUTE($M$4,"/",","),",",REPT(" ",99)),(ROW($1:$8)-1)*99+1,99)),IFERROR(('Final Calculation Sheet'!$L$5)&amp;"",""))))&gt;0,AND(ISNUMBER(SEARCH("blank",$M$4)),NOT(ISNUMBER(SEARCH("nonblank",$M$4))),IFERROR(('Final Calculation Sheet'!$L$5)&amp;"","")=""),AND(OR(ISNUMBER(SEARCH("nonblank",$M$4)),ISNUMBER(SEARCH("&lt;&gt;",$M$4))),IFERROR(('Final Calculation Sheet'!$L$5)&amp;"","")&lt;&gt;""),AND(TRIM($M$4)="",IFERROR(('Final Calculation Sheet'!$L$5)&amp;"","")=""))))</f>
        <v/>
      </c>
      <c r="BZ6">
        <f>IF($N$4="",1,--(OR(SUMPRODUCT(--(TRIM(MID(SUBSTITUTE(SUBSTITUTE($N$4,"/",","),",",REPT(" ",99)),(ROW($1:$8)-1)*99+1,99))&lt;&gt;""),--ISNUMBER(SEARCH(TRIM(MID(SUBSTITUTE(SUBSTITUTE($N$4,"/",","),",",REPT(" ",99)),(ROW($1:$8)-1)*99+1,99)),IFERROR(('Final Calculation Sheet'!$M$5)&amp;"",""))))&gt;0,AND(ISNUMBER(SEARCH("blank",$N$4)),NOT(ISNUMBER(SEARCH("nonblank",$N$4))),IFERROR(('Final Calculation Sheet'!$M$5)&amp;"","")=""),AND(OR(ISNUMBER(SEARCH("nonblank",$N$4)),ISNUMBER(SEARCH("&lt;&gt;",$N$4))),IFERROR(('Final Calculation Sheet'!$M$5)&amp;"","")&lt;&gt;""),AND(TRIM($N$4)="",IFERROR(('Final Calculation Sheet'!$M$5)&amp;"","")=""))))</f>
        <v/>
      </c>
      <c r="CA6">
        <f>IF($O$4="",1,--(OR(SUMPRODUCT(--(TRIM(MID(SUBSTITUTE(SUBSTITUTE($O$4,"/",","),",",REPT(" ",99)),(ROW($1:$8)-1)*99+1,99))&lt;&gt;""),--ISNUMBER(SEARCH(TRIM(MID(SUBSTITUTE(SUBSTITUTE($O$4,"/",","),",",REPT(" ",99)),(ROW($1:$8)-1)*99+1,99)),IFERROR(('Final Calculation Sheet'!$N$5)&amp;"",""))))&gt;0,AND(ISNUMBER(SEARCH("blank",$O$4)),NOT(ISNUMBER(SEARCH("nonblank",$O$4))),IFERROR(('Final Calculation Sheet'!$N$5)&amp;"","")=""),AND(OR(ISNUMBER(SEARCH("nonblank",$O$4)),ISNUMBER(SEARCH("&lt;&gt;",$O$4))),IFERROR(('Final Calculation Sheet'!$N$5)&amp;"","")&lt;&gt;""),AND(TRIM($O$4)="",IFERROR(('Final Calculation Sheet'!$N$5)&amp;"","")=""))))</f>
        <v/>
      </c>
      <c r="CB6">
        <f>IF($P$4="",1,--(OR(SUMPRODUCT(--(TRIM(MID(SUBSTITUTE(SUBSTITUTE($P$4,"/",","),",",REPT(" ",99)),(ROW($1:$8)-1)*99+1,99))&lt;&gt;""),--ISNUMBER(SEARCH(TRIM(MID(SUBSTITUTE(SUBSTITUTE($P$4,"/",","),",",REPT(" ",99)),(ROW($1:$8)-1)*99+1,99)),IFERROR(('Final Calculation Sheet'!$O$5)&amp;"",""))))&gt;0,AND(ISNUMBER(SEARCH("blank",$P$4)),NOT(ISNUMBER(SEARCH("nonblank",$P$4))),IFERROR(('Final Calculation Sheet'!$O$5)&amp;"","")=""),AND(OR(ISNUMBER(SEARCH("nonblank",$P$4)),ISNUMBER(SEARCH("&lt;&gt;",$P$4))),IFERROR(('Final Calculation Sheet'!$O$5)&amp;"","")&lt;&gt;""),AND(TRIM($P$4)="",IFERROR(('Final Calculation Sheet'!$O$5)&amp;"","")=""))))</f>
        <v/>
      </c>
      <c r="CC6">
        <f>IF($Q$4="",1,--(OR(SUMPRODUCT(--(TRIM(MID(SUBSTITUTE(SUBSTITUTE($Q$4,"/",","),",",REPT(" ",99)),(ROW($1:$8)-1)*99+1,99))&lt;&gt;""),--ISNUMBER(SEARCH(TRIM(MID(SUBSTITUTE(SUBSTITUTE($Q$4,"/",","),",",REPT(" ",99)),(ROW($1:$8)-1)*99+1,99)),IFERROR(('Final Calculation Sheet'!$P$5)&amp;"",""))))&gt;0,AND(ISNUMBER(SEARCH("blank",$Q$4)),NOT(ISNUMBER(SEARCH("nonblank",$Q$4))),IFERROR(('Final Calculation Sheet'!$P$5)&amp;"","")=""),AND(OR(ISNUMBER(SEARCH("nonblank",$Q$4)),ISNUMBER(SEARCH("&lt;&gt;",$Q$4))),IFERROR(('Final Calculation Sheet'!$P$5)&amp;"","")&lt;&gt;""),AND(TRIM($Q$4)="",IFERROR(('Final Calculation Sheet'!$P$5)&amp;"","")=""))))</f>
        <v/>
      </c>
      <c r="CD6">
        <f>IF($R$4="",1,--(OR(SUMPRODUCT(--(TRIM(MID(SUBSTITUTE(SUBSTITUTE($R$4,"/",","),",",REPT(" ",99)),(ROW($1:$8)-1)*99+1,99))&lt;&gt;""),--ISNUMBER(SEARCH(TRIM(MID(SUBSTITUTE(SUBSTITUTE($R$4,"/",","),",",REPT(" ",99)),(ROW($1:$8)-1)*99+1,99)),IFERROR(('Final Calculation Sheet'!$Q$5)&amp;"",""))))&gt;0,AND(ISNUMBER(SEARCH("blank",$R$4)),NOT(ISNUMBER(SEARCH("nonblank",$R$4))),IFERROR(('Final Calculation Sheet'!$Q$5)&amp;"","")=""),AND(OR(ISNUMBER(SEARCH("nonblank",$R$4)),ISNUMBER(SEARCH("&lt;&gt;",$R$4))),IFERROR(('Final Calculation Sheet'!$Q$5)&amp;"","")&lt;&gt;""),AND(TRIM($R$4)="",IFERROR(('Final Calculation Sheet'!$Q$5)&amp;"","")=""))))</f>
        <v/>
      </c>
      <c r="CE6">
        <f>IF($S$4="",1,--(OR(SUMPRODUCT(--(TRIM(MID(SUBSTITUTE(SUBSTITUTE($S$4,"/",","),",",REPT(" ",99)),(ROW($1:$8)-1)*99+1,99))&lt;&gt;""),--ISNUMBER(SEARCH(TRIM(MID(SUBSTITUTE(SUBSTITUTE($S$4,"/",","),",",REPT(" ",99)),(ROW($1:$8)-1)*99+1,99)),IFERROR(('Final Calculation Sheet'!$R$5)&amp;"",""))))&gt;0,AND(ISNUMBER(SEARCH("blank",$S$4)),NOT(ISNUMBER(SEARCH("nonblank",$S$4))),IFERROR(('Final Calculation Sheet'!$R$5)&amp;"","")=""),AND(OR(ISNUMBER(SEARCH("nonblank",$S$4)),ISNUMBER(SEARCH("&lt;&gt;",$S$4))),IFERROR(('Final Calculation Sheet'!$R$5)&amp;"","")&lt;&gt;""),AND(TRIM($S$4)="",IFERROR(('Final Calculation Sheet'!$R$5)&amp;"","")=""))))</f>
        <v/>
      </c>
      <c r="CF6">
        <f>IF($T$4="",1,--(OR(SUMPRODUCT(--(TRIM(MID(SUBSTITUTE(SUBSTITUTE($T$4,"/",","),",",REPT(" ",99)),(ROW($1:$8)-1)*99+1,99))&lt;&gt;""),--ISNUMBER(SEARCH(TRIM(MID(SUBSTITUTE(SUBSTITUTE($T$4,"/",","),",",REPT(" ",99)),(ROW($1:$8)-1)*99+1,99)),IFERROR(('Final Calculation Sheet'!$S$5)&amp;"",""))))&gt;0,AND(ISNUMBER(SEARCH("blank",$T$4)),NOT(ISNUMBER(SEARCH("nonblank",$T$4))),IFERROR(('Final Calculation Sheet'!$S$5)&amp;"","")=""),AND(OR(ISNUMBER(SEARCH("nonblank",$T$4)),ISNUMBER(SEARCH("&lt;&gt;",$T$4))),IFERROR(('Final Calculation Sheet'!$S$5)&amp;"","")&lt;&gt;""),AND(TRIM($T$4)="",IFERROR(('Final Calculation Sheet'!$S$5)&amp;"","")=""))))</f>
        <v/>
      </c>
      <c r="CG6">
        <f>IF($U$4="",1,--(OR(SUMPRODUCT(--(TRIM(MID(SUBSTITUTE(SUBSTITUTE($U$4,"/",","),",",REPT(" ",99)),(ROW($1:$8)-1)*99+1,99))&lt;&gt;""),--ISNUMBER(SEARCH(TRIM(MID(SUBSTITUTE(SUBSTITUTE($U$4,"/",","),",",REPT(" ",99)),(ROW($1:$8)-1)*99+1,99)),IFERROR(('Final Calculation Sheet'!$T$5)&amp;"",""))))&gt;0,AND(ISNUMBER(SEARCH("blank",$U$4)),NOT(ISNUMBER(SEARCH("nonblank",$U$4))),IFERROR(('Final Calculation Sheet'!$T$5)&amp;"","")=""),AND(OR(ISNUMBER(SEARCH("nonblank",$U$4)),ISNUMBER(SEARCH("&lt;&gt;",$U$4))),IFERROR(('Final Calculation Sheet'!$T$5)&amp;"","")&lt;&gt;""),AND(TRIM($U$4)="",IFERROR(('Final Calculation Sheet'!$T$5)&amp;"","")=""))))</f>
        <v/>
      </c>
      <c r="CH6">
        <f>IF($V$4="",1,--(OR(SUMPRODUCT(--(TRIM(MID(SUBSTITUTE(SUBSTITUTE($V$4,"/",","),",",REPT(" ",99)),(ROW($1:$8)-1)*99+1,99))&lt;&gt;""),--ISNUMBER(SEARCH(TRIM(MID(SUBSTITUTE(SUBSTITUTE($V$4,"/",","),",",REPT(" ",99)),(ROW($1:$8)-1)*99+1,99)),IFERROR(('Final Calculation Sheet'!$U$5)&amp;"",""))))&gt;0,AND(ISNUMBER(SEARCH("blank",$V$4)),NOT(ISNUMBER(SEARCH("nonblank",$V$4))),IFERROR(('Final Calculation Sheet'!$U$5)&amp;"","")=""),AND(OR(ISNUMBER(SEARCH("nonblank",$V$4)),ISNUMBER(SEARCH("&lt;&gt;",$V$4))),IFERROR(('Final Calculation Sheet'!$U$5)&amp;"","")&lt;&gt;""),AND(TRIM($V$4)="",IFERROR(('Final Calculation Sheet'!$U$5)&amp;"","")=""))))</f>
        <v/>
      </c>
      <c r="CI6">
        <f>IF($W$4="",1,--(OR(SUMPRODUCT(--(TRIM(MID(SUBSTITUTE(SUBSTITUTE($W$4,"/",","),",",REPT(" ",99)),(ROW($1:$8)-1)*99+1,99))&lt;&gt;""),--ISNUMBER(SEARCH(TRIM(MID(SUBSTITUTE(SUBSTITUTE($W$4,"/",","),",",REPT(" ",99)),(ROW($1:$8)-1)*99+1,99)),IFERROR(('Final Calculation Sheet'!$V$5)&amp;"",""))))&gt;0,AND(ISNUMBER(SEARCH("blank",$W$4)),NOT(ISNUMBER(SEARCH("nonblank",$W$4))),IFERROR(('Final Calculation Sheet'!$V$5)&amp;"","")=""),AND(OR(ISNUMBER(SEARCH("nonblank",$W$4)),ISNUMBER(SEARCH("&lt;&gt;",$W$4))),IFERROR(('Final Calculation Sheet'!$V$5)&amp;"","")&lt;&gt;""),AND(TRIM($W$4)="",IFERROR(('Final Calculation Sheet'!$V$5)&amp;"","")=""))))</f>
        <v/>
      </c>
      <c r="CJ6">
        <f>IF($X$4="",1,--(OR(SUMPRODUCT(--(TRIM(MID(SUBSTITUTE(SUBSTITUTE($X$4,"/",","),",",REPT(" ",99)),(ROW($1:$8)-1)*99+1,99))&lt;&gt;""),--ISNUMBER(SEARCH(TRIM(MID(SUBSTITUTE(SUBSTITUTE($X$4,"/",","),",",REPT(" ",99)),(ROW($1:$8)-1)*99+1,99)),IFERROR(('Final Calculation Sheet'!$W$5)&amp;"",""))))&gt;0,AND(ISNUMBER(SEARCH("blank",$X$4)),NOT(ISNUMBER(SEARCH("nonblank",$X$4))),IFERROR(('Final Calculation Sheet'!$W$5)&amp;"","")=""),AND(OR(ISNUMBER(SEARCH("nonblank",$X$4)),ISNUMBER(SEARCH("&lt;&gt;",$X$4))),IFERROR(('Final Calculation Sheet'!$W$5)&amp;"","")&lt;&gt;""),AND(TRIM($X$4)="",IFERROR(('Final Calculation Sheet'!$W$5)&amp;"","")=""))))</f>
        <v/>
      </c>
      <c r="CK6">
        <f>IF($Y$4="",1,--(OR(SUMPRODUCT(--(TRIM(MID(SUBSTITUTE(SUBSTITUTE($Y$4,"/",","),",",REPT(" ",99)),(ROW($1:$8)-1)*99+1,99))&lt;&gt;""),--ISNUMBER(SEARCH(TRIM(MID(SUBSTITUTE(SUBSTITUTE($Y$4,"/",","),",",REPT(" ",99)),(ROW($1:$8)-1)*99+1,99)),IFERROR(('Final Calculation Sheet'!$X$5)&amp;"",""))))&gt;0,AND(ISNUMBER(SEARCH("blank",$Y$4)),NOT(ISNUMBER(SEARCH("nonblank",$Y$4))),IFERROR(('Final Calculation Sheet'!$X$5)&amp;"","")=""),AND(OR(ISNUMBER(SEARCH("nonblank",$Y$4)),ISNUMBER(SEARCH("&lt;&gt;",$Y$4))),IFERROR(('Final Calculation Sheet'!$X$5)&amp;"","")&lt;&gt;""),AND(TRIM($Y$4)="",IFERROR(('Final Calculation Sheet'!$X$5)&amp;"","")=""))))</f>
        <v/>
      </c>
      <c r="CL6">
        <f>IF($Z$4="",1,--(OR(SUMPRODUCT(--(TRIM(MID(SUBSTITUTE(SUBSTITUTE($Z$4,"/",","),",",REPT(" ",99)),(ROW($1:$8)-1)*99+1,99))&lt;&gt;""),--ISNUMBER(SEARCH(TRIM(MID(SUBSTITUTE(SUBSTITUTE($Z$4,"/",","),",",REPT(" ",99)),(ROW($1:$8)-1)*99+1,99)),IFERROR(('Final Calculation Sheet'!$Y$5)&amp;"",""))))&gt;0,AND(ISNUMBER(SEARCH("blank",$Z$4)),NOT(ISNUMBER(SEARCH("nonblank",$Z$4))),IFERROR(('Final Calculation Sheet'!$Y$5)&amp;"","")=""),AND(OR(ISNUMBER(SEARCH("nonblank",$Z$4)),ISNUMBER(SEARCH("&lt;&gt;",$Z$4))),IFERROR(('Final Calculation Sheet'!$Y$5)&amp;"","")&lt;&gt;""),AND(TRIM($Z$4)="",IFERROR(('Final Calculation Sheet'!$Y$5)&amp;"","")=""))))</f>
        <v/>
      </c>
      <c r="CM6">
        <f>IF($AA$4="",1,--(OR(SUMPRODUCT(--(TRIM(MID(SUBSTITUTE(SUBSTITUTE($AA$4,"/",","),",",REPT(" ",99)),(ROW($1:$8)-1)*99+1,99))&lt;&gt;""),--ISNUMBER(SEARCH(TRIM(MID(SUBSTITUTE(SUBSTITUTE($AA$4,"/",","),",",REPT(" ",99)),(ROW($1:$8)-1)*99+1,99)),IFERROR(('Final Calculation Sheet'!$Z$5)&amp;"",""))))&gt;0,AND(ISNUMBER(SEARCH("blank",$AA$4)),NOT(ISNUMBER(SEARCH("nonblank",$AA$4))),IFERROR(('Final Calculation Sheet'!$Z$5)&amp;"","")=""),AND(OR(ISNUMBER(SEARCH("nonblank",$AA$4)),ISNUMBER(SEARCH("&lt;&gt;",$AA$4))),IFERROR(('Final Calculation Sheet'!$Z$5)&amp;"","")&lt;&gt;""),AND(TRIM($AA$4)="",IFERROR(('Final Calculation Sheet'!$Z$5)&amp;"","")=""))))</f>
        <v/>
      </c>
      <c r="CN6">
        <f>IF($AB$4="",1,--(OR(SUMPRODUCT(--(TRIM(MID(SUBSTITUTE(SUBSTITUTE($AB$4,"/",","),",",REPT(" ",99)),(ROW($1:$8)-1)*99+1,99))&lt;&gt;""),--ISNUMBER(SEARCH(TRIM(MID(SUBSTITUTE(SUBSTITUTE($AB$4,"/",","),",",REPT(" ",99)),(ROW($1:$8)-1)*99+1,99)),IFERROR(('Final Calculation Sheet'!$AA$5)&amp;"",""))))&gt;0,AND(ISNUMBER(SEARCH("blank",$AB$4)),NOT(ISNUMBER(SEARCH("nonblank",$AB$4))),IFERROR(('Final Calculation Sheet'!$AA$5)&amp;"","")=""),AND(OR(ISNUMBER(SEARCH("nonblank",$AB$4)),ISNUMBER(SEARCH("&lt;&gt;",$AB$4))),IFERROR(('Final Calculation Sheet'!$AA$5)&amp;"","")&lt;&gt;""),AND(TRIM($AB$4)="",IFERROR(('Final Calculation Sheet'!$AA$5)&amp;"","")=""))))</f>
        <v/>
      </c>
      <c r="CO6">
        <f>IF($AC$4="",1,--(OR(SUMPRODUCT(--(TRIM(MID(SUBSTITUTE(SUBSTITUTE($AC$4,"/",","),",",REPT(" ",99)),(ROW($1:$8)-1)*99+1,99))&lt;&gt;""),--ISNUMBER(SEARCH(TRIM(MID(SUBSTITUTE(SUBSTITUTE($AC$4,"/",","),",",REPT(" ",99)),(ROW($1:$8)-1)*99+1,99)),IFERROR(('Final Calculation Sheet'!$AB$5)&amp;"",""))))&gt;0,AND(ISNUMBER(SEARCH("blank",$AC$4)),NOT(ISNUMBER(SEARCH("nonblank",$AC$4))),IFERROR(('Final Calculation Sheet'!$AB$5)&amp;"","")=""),AND(OR(ISNUMBER(SEARCH("nonblank",$AC$4)),ISNUMBER(SEARCH("&lt;&gt;",$AC$4))),IFERROR(('Final Calculation Sheet'!$AB$5)&amp;"","")&lt;&gt;""),AND(TRIM($AC$4)="",IFERROR(('Final Calculation Sheet'!$AB$5)&amp;"","")=""))))</f>
        <v/>
      </c>
      <c r="CP6">
        <f>IF($AD$4="",1,--(OR(SUMPRODUCT(--(TRIM(MID(SUBSTITUTE(SUBSTITUTE($AD$4,"/",","),",",REPT(" ",99)),(ROW($1:$8)-1)*99+1,99))&lt;&gt;""),--ISNUMBER(SEARCH(TRIM(MID(SUBSTITUTE(SUBSTITUTE($AD$4,"/",","),",",REPT(" ",99)),(ROW($1:$8)-1)*99+1,99)),IFERROR(('Final Calculation Sheet'!$AC$5)&amp;"",""))))&gt;0,AND(ISNUMBER(SEARCH("blank",$AD$4)),NOT(ISNUMBER(SEARCH("nonblank",$AD$4))),IFERROR(('Final Calculation Sheet'!$AC$5)&amp;"","")=""),AND(OR(ISNUMBER(SEARCH("nonblank",$AD$4)),ISNUMBER(SEARCH("&lt;&gt;",$AD$4))),IFERROR(('Final Calculation Sheet'!$AC$5)&amp;"","")&lt;&gt;""),AND(TRIM($AD$4)="",IFERROR(('Final Calculation Sheet'!$AC$5)&amp;"","")=""))))</f>
        <v/>
      </c>
      <c r="CQ6">
        <f>IF($AE$4="",1,--(OR(SUMPRODUCT(--(TRIM(MID(SUBSTITUTE(SUBSTITUTE($AE$4,"/",","),",",REPT(" ",99)),(ROW($1:$8)-1)*99+1,99))&lt;&gt;""),--ISNUMBER(SEARCH(TRIM(MID(SUBSTITUTE(SUBSTITUTE($AE$4,"/",","),",",REPT(" ",99)),(ROW($1:$8)-1)*99+1,99)),IFERROR(('Final Calculation Sheet'!$AD$5)&amp;"",""))))&gt;0,AND(ISNUMBER(SEARCH("blank",$AE$4)),NOT(ISNUMBER(SEARCH("nonblank",$AE$4))),IFERROR(('Final Calculation Sheet'!$AD$5)&amp;"","")=""),AND(OR(ISNUMBER(SEARCH("nonblank",$AE$4)),ISNUMBER(SEARCH("&lt;&gt;",$AE$4))),IFERROR(('Final Calculation Sheet'!$AD$5)&amp;"","")&lt;&gt;""),AND(TRIM($AE$4)="",IFERROR(('Final Calculation Sheet'!$AD$5)&amp;"","")=""))))</f>
        <v/>
      </c>
      <c r="CR6">
        <f>IF($AG$4="",1,--(OR(SUMPRODUCT(--(TRIM(MID(SUBSTITUTE(SUBSTITUTE($AG$4,"/",","),",",REPT(" ",99)),(ROW($1:$8)-1)*99+1,99))&lt;&gt;""),--ISNUMBER(SEARCH(TRIM(MID(SUBSTITUTE(SUBSTITUTE($AG$4,"/",","),",",REPT(" ",99)),(ROW($1:$8)-1)*99+1,99)),IFERROR(('Final Calculation Sheet'!$AF$5)&amp;"",""))))&gt;0,AND(ISNUMBER(SEARCH("blank",$AG$4)),NOT(ISNUMBER(SEARCH("nonblank",$AG$4))),IFERROR(('Final Calculation Sheet'!$AF$5)&amp;"","")=""),AND(OR(ISNUMBER(SEARCH("nonblank",$AG$4)),ISNUMBER(SEARCH("&lt;&gt;",$AG$4))),IFERROR(('Final Calculation Sheet'!$AF$5)&amp;"","")&lt;&gt;""),AND(TRIM($AG$4)="",IFERROR(('Final Calculation Sheet'!$AF$5)&amp;"","")=""))))</f>
        <v/>
      </c>
      <c r="CS6">
        <f>IF($AH$4="",1,--(OR(SUMPRODUCT(--(TRIM(MID(SUBSTITUTE(SUBSTITUTE($AH$4,"/",","),",",REPT(" ",99)),(ROW($1:$8)-1)*99+1,99))&lt;&gt;""),--ISNUMBER(SEARCH(TRIM(MID(SUBSTITUTE(SUBSTITUTE($AH$4,"/",","),",",REPT(" ",99)),(ROW($1:$8)-1)*99+1,99)),IFERROR(('Final Calculation Sheet'!$AG$5)&amp;"",""))))&gt;0,AND(ISNUMBER(SEARCH("blank",$AH$4)),NOT(ISNUMBER(SEARCH("nonblank",$AH$4))),IFERROR(('Final Calculation Sheet'!$AG$5)&amp;"","")=""),AND(OR(ISNUMBER(SEARCH("nonblank",$AH$4)),ISNUMBER(SEARCH("&lt;&gt;",$AH$4))),IFERROR(('Final Calculation Sheet'!$AG$5)&amp;"","")&lt;&gt;""),AND(TRIM($AH$4)="",IFERROR(('Final Calculation Sheet'!$AG$5)&amp;"","")=""))))</f>
        <v/>
      </c>
      <c r="CT6">
        <f>IF($AI$4="",1,--(OR(SUMPRODUCT(--(TRIM(MID(SUBSTITUTE(SUBSTITUTE($AI$4,"/",","),",",REPT(" ",99)),(ROW($1:$8)-1)*99+1,99))&lt;&gt;""),--ISNUMBER(SEARCH(TRIM(MID(SUBSTITUTE(SUBSTITUTE($AI$4,"/",","),",",REPT(" ",99)),(ROW($1:$8)-1)*99+1,99)),IFERROR(('Final Calculation Sheet'!$AH$5)&amp;"",""))))&gt;0,AND(ISNUMBER(SEARCH("blank",$AI$4)),NOT(ISNUMBER(SEARCH("nonblank",$AI$4))),IFERROR(('Final Calculation Sheet'!$AH$5)&amp;"","")=""),AND(OR(ISNUMBER(SEARCH("nonblank",$AI$4)),ISNUMBER(SEARCH("&lt;&gt;",$AI$4))),IFERROR(('Final Calculation Sheet'!$AH$5)&amp;"","")&lt;&gt;""),AND(TRIM($AI$4)="",IFERROR(('Final Calculation Sheet'!$AH$5)&amp;"","")=""))))</f>
        <v/>
      </c>
      <c r="CU6">
        <f>IF($AF$4="",1,--(OR(SUMPRODUCT(--(TRIM(MID(SUBSTITUTE(SUBSTITUTE($AF$4,"/",","),",",REPT(" ",99)),(ROW($1:$8)-1)*99+1,99))&lt;&gt;""),--ISNUMBER(SEARCH(TRIM(MID(SUBSTITUTE(SUBSTITUTE($AF$4,"/",","),",",REPT(" ",99)),(ROW($1:$8)-1)*99+1,99)),IFERROR((IF('Final Calculation Sheet'!$AD$5&lt;=5,"SETTLED","OUTSTANDING"))&amp;"",""))))&gt;0,AND(ISNUMBER(SEARCH("blank",$AF$4)),NOT(ISNUMBER(SEARCH("nonblank",$AF$4))),IFERROR((IF('Final Calculation Sheet'!$AD$5&lt;=5,"SETTLED","OUTSTANDING"))&amp;"","")=""),AND(OR(ISNUMBER(SEARCH("nonblank",$AF$4)),ISNUMBER(SEARCH("&lt;&gt;",$AF$4))),IFERROR((IF('Final Calculation Sheet'!$AD$5&lt;=5,"SETTLED","OUTSTANDING"))&amp;"","")&lt;&gt;""),AND(TRIM($AF$4)="",IFERROR((IF('Final Calculation Sheet'!$AD$5&lt;=5,"SETTLED","OUTSTANDING"))&amp;"","")=""))))</f>
        <v/>
      </c>
    </row>
    <row r="7" ht="15" customHeight="1" s="137">
      <c r="A7" s="67">
        <f>IF($BJ6&gt;0,INDEX($BA$5:$BA$41,MATCH(6,$BB$5:$BB$41,0)),IF(OR($BI6=1,$BL6=1,$BH6&gt;0),"∑",""))</f>
        <v/>
      </c>
      <c r="B7" s="76">
        <f>IF($BJ6&gt;0,IF(INDEX('Final Calculation Sheet'!$F$4:$F$40,$BJ6-3)="","",INDEX('Final Calculation Sheet'!$F$4:$F$40,$BJ6-3)),"")</f>
        <v/>
      </c>
      <c r="C7" s="76">
        <f>IF($BJ6&gt;0,IF(INDEX('Final Calculation Sheet'!$G$4:$G$40,$BJ6-3)="","",INDEX('Final Calculation Sheet'!$G$4:$G$40,$BJ6-3)),IF(OR($BI6=1,$BL6=1,$BH6&gt;0),IF($BI6=1,37,IF($BL6=1,37-INDEX($BD$4:$BD$13,10),INDEX($BD$4:$BD$13,$BH6)))&amp;" lot(s)",""))</f>
        <v/>
      </c>
      <c r="D7" s="80">
        <f>IF($BJ6&gt;0,IF(INDEX('Final Calculation Sheet'!$B$4:$B$40,$BJ6-3)="","",INDEX('Final Calculation Sheet'!$B$4:$B$40,$BJ6-3)),IF(OR($BI6=1,$BL6=1,$BH6&gt;0),IF($BI6=1,"GRAND TOTAL  —  matching + remaining",IF($BL6=1,"TOTAL MATCHED  —  every group together",IF($BH6=10,"REMAINING  —  did not match the search",IF($BH6=9,IF(COUNTIF($A$4:$AI$4,"&lt;&gt;")&gt;0,"FILTERED LOTS  —  column fields","ALL LOTS  —  nothing typed in the box"),"GROUP "&amp;$BH6&amp;" TOTAL  —  lots matching  "&amp;INDEX($AR$6:$AY$6,$BH6))))),""))</f>
        <v/>
      </c>
      <c r="E7" s="80">
        <f>IF($BJ6&gt;0,IF(INDEX('Final Calculation Sheet'!$D$4:$D$40,$BJ6-3)="","",INDEX('Final Calculation Sheet'!$D$4:$D$40,$BJ6-3)),IF(OR($BI6=1,$BL6=1,$BH6&gt;0),"–",""))</f>
        <v/>
      </c>
      <c r="F7" s="80">
        <f>IF($BJ6&gt;0,IF(INDEX('Final Calculation Sheet'!$A$4:$A$40,$BJ6-3)="","",INDEX('Final Calculation Sheet'!$A$4:$A$40,$BJ6-3)),IF(OR($BI6=1,$BL6=1,$BH6&gt;0),IF($BI6=1,SUM('Final Calculation Sheet'!$A$4:$A$40),IF($BL6=1,SUM('Final Calculation Sheet'!$A$4:$A$40)-SUMIFS('Final Calculation Sheet'!$A$4:$A$40,$AZ$5:$AZ$41,10),SUMIFS('Final Calculation Sheet'!$A$4:$A$40,$AZ$5:$AZ$41,$BH6))),""))</f>
        <v/>
      </c>
      <c r="G7" s="80">
        <f>IF($BJ6&gt;0,IF(INDEX('Final Calculation Sheet'!$E$4:$E$40,$BJ6-3)="","",INDEX('Final Calculation Sheet'!$E$4:$E$40,$BJ6-3)),IF(OR($BI6=1,$BL6=1,$BH6&gt;0),"–",""))</f>
        <v/>
      </c>
      <c r="H7" s="70">
        <f>IF($BJ6&gt;0,IF(INDEX('Final Calculation Sheet'!$C$4:$C$40,$BJ6-3)="","",INDEX('Final Calculation Sheet'!$C$4:$C$40,$BJ6-3)),IF(OR($BI6=1,$BL6=1,$BH6&gt;0),"–",""))</f>
        <v/>
      </c>
      <c r="I7" s="70">
        <f>IF($BJ6&gt;0,IF(INDEX('Final Calculation Sheet'!$H$4:$H$40,$BJ6-3)="","",INDEX('Final Calculation Sheet'!$H$4:$H$40,$BJ6-3)),IF(OR($BI6=1,$BL6=1,$BH6&gt;0),IF($BI6=1,SUM('Final Calculation Sheet'!$H$4:$H$40),IF($BL6=1,SUM('Final Calculation Sheet'!$H$4:$H$40)-SUMIFS('Final Calculation Sheet'!$H$4:$H$40,$AZ$5:$AZ$41,10),SUMIFS('Final Calculation Sheet'!$H$4:$H$40,$AZ$5:$AZ$41,$BH6))),""))</f>
        <v/>
      </c>
      <c r="J7" s="70">
        <f>IF($BJ6&gt;0,IF(INDEX('Final Calculation Sheet'!$I$4:$I$40,$BJ6-3)="","",INDEX('Final Calculation Sheet'!$I$4:$I$40,$BJ6-3)),IF(OR($BI6=1,$BL6=1,$BH6&gt;0),IF($BI6=1,SUM('Final Calculation Sheet'!$I$4:$I$40),IF($BL6=1,SUM('Final Calculation Sheet'!$I$4:$I$40)-SUMIFS('Final Calculation Sheet'!$I$4:$I$40,$AZ$5:$AZ$41,10),SUMIFS('Final Calculation Sheet'!$I$4:$I$40,$AZ$5:$AZ$41,$BH6))),""))</f>
        <v/>
      </c>
      <c r="K7" s="70">
        <f>IF($BJ6&gt;0,IF(INDEX('Final Calculation Sheet'!$J$4:$J$40,$BJ6-3)="","",INDEX('Final Calculation Sheet'!$J$4:$J$40,$BJ6-3)),IF(OR($BI6=1,$BL6=1,$BH6&gt;0),IF($BI6=1,SUM('Final Calculation Sheet'!$J$4:$J$40),IF($BL6=1,SUM('Final Calculation Sheet'!$J$4:$J$40)-SUMIFS('Final Calculation Sheet'!$J$4:$J$40,$AZ$5:$AZ$41,10),SUMIFS('Final Calculation Sheet'!$J$4:$J$40,$AZ$5:$AZ$41,$BH6))),""))</f>
        <v/>
      </c>
      <c r="L7" s="70">
        <f>IF($BJ6&gt;0,IF(INDEX('Final Calculation Sheet'!$K$4:$K$40,$BJ6-3)="","",INDEX('Final Calculation Sheet'!$K$4:$K$40,$BJ6-3)),IF(OR($BI6=1,$BL6=1,$BH6&gt;0),IF($BI6=1,SUM('Final Calculation Sheet'!$K$4:$K$40),IF($BL6=1,SUM('Final Calculation Sheet'!$K$4:$K$40)-SUMIFS('Final Calculation Sheet'!$K$4:$K$40,$AZ$5:$AZ$41,10),SUMIFS('Final Calculation Sheet'!$K$4:$K$40,$AZ$5:$AZ$41,$BH6))),""))</f>
        <v/>
      </c>
      <c r="M7" s="70">
        <f>IF($BJ6&gt;0,IF(INDEX('Final Calculation Sheet'!$L$4:$L$40,$BJ6-3)="","",INDEX('Final Calculation Sheet'!$L$4:$L$40,$BJ6-3)),IF(OR($BI6=1,$BL6=1,$BH6&gt;0),IF($BI6=1,SUM('Final Calculation Sheet'!$L$4:$L$40),IF($BL6=1,SUM('Final Calculation Sheet'!$L$4:$L$40)-SUMIFS('Final Calculation Sheet'!$L$4:$L$40,$AZ$5:$AZ$41,10),SUMIFS('Final Calculation Sheet'!$L$4:$L$40,$AZ$5:$AZ$41,$BH6))),""))</f>
        <v/>
      </c>
      <c r="N7" s="70">
        <f>IF($BJ6&gt;0,IF(INDEX('Final Calculation Sheet'!$M$4:$M$40,$BJ6-3)="","",INDEX('Final Calculation Sheet'!$M$4:$M$40,$BJ6-3)),IF(OR($BI6=1,$BL6=1,$BH6&gt;0),IF($BI6=1,SUM('Final Calculation Sheet'!$M$4:$M$40),IF($BL6=1,SUM('Final Calculation Sheet'!$M$4:$M$40)-SUMIFS('Final Calculation Sheet'!$M$4:$M$40,$AZ$5:$AZ$41,10),SUMIFS('Final Calculation Sheet'!$M$4:$M$40,$AZ$5:$AZ$41,$BH6))),""))</f>
        <v/>
      </c>
      <c r="O7" s="71">
        <f>IF($BJ6&gt;0,IF(INDEX('Final Calculation Sheet'!$N$4:$N$40,$BJ6-3)="","",INDEX('Final Calculation Sheet'!$N$4:$N$40,$BJ6-3)),IF(OR($BI6=1,$BL6=1,$BH6&gt;0),IF($BI6=1,SUM('Final Calculation Sheet'!$N$4:$N$40),IF($BL6=1,SUM('Final Calculation Sheet'!$N$4:$N$40)-SUMIFS('Final Calculation Sheet'!$N$4:$N$40,$AZ$5:$AZ$41,10),SUMIFS('Final Calculation Sheet'!$N$4:$N$40,$AZ$5:$AZ$41,$BH6))),""))</f>
        <v/>
      </c>
      <c r="P7" s="70">
        <f>IF($BJ6&gt;0,IF(INDEX('Final Calculation Sheet'!$O$4:$O$40,$BJ6-3)="","",INDEX('Final Calculation Sheet'!$O$4:$O$40,$BJ6-3)),IF(OR($BI6=1,$BL6=1,$BH6&gt;0),IF($BI6=1,SUM('Final Calculation Sheet'!$O$4:$O$40),IF($BL6=1,SUM('Final Calculation Sheet'!$O$4:$O$40)-SUMIFS('Final Calculation Sheet'!$O$4:$O$40,$AZ$5:$AZ$41,10),SUMIFS('Final Calculation Sheet'!$O$4:$O$40,$AZ$5:$AZ$41,$BH6))),""))</f>
        <v/>
      </c>
      <c r="Q7" s="70">
        <f>IF($BJ6&gt;0,IF(INDEX('Final Calculation Sheet'!$P$4:$P$40,$BJ6-3)="","",INDEX('Final Calculation Sheet'!$P$4:$P$40,$BJ6-3)),IF(OR($BI6=1,$BL6=1,$BH6&gt;0),IF($BI6=1,SUM('Final Calculation Sheet'!$P$4:$P$40),IF($BL6=1,SUM('Final Calculation Sheet'!$P$4:$P$40)-SUMIFS('Final Calculation Sheet'!$P$4:$P$40,$AZ$5:$AZ$41,10),SUMIFS('Final Calculation Sheet'!$P$4:$P$40,$AZ$5:$AZ$41,$BH6))),""))</f>
        <v/>
      </c>
      <c r="R7" s="72">
        <f>IF($BJ6&gt;0,IF(INDEX('Final Calculation Sheet'!$Q$4:$Q$40,$BJ6-3)="","",INDEX('Final Calculation Sheet'!$Q$4:$Q$40,$BJ6-3)),IF(OR($BI6=1,$BL6=1,$BH6&gt;0),"–",""))</f>
        <v/>
      </c>
      <c r="S7" s="70">
        <f>IF($BJ6&gt;0,IF(INDEX('Final Calculation Sheet'!$R$4:$R$40,$BJ6-3)="","",INDEX('Final Calculation Sheet'!$R$4:$R$40,$BJ6-3)),IF(OR($BI6=1,$BL6=1,$BH6&gt;0),IF($BI6=1,SUM('Final Calculation Sheet'!$R$4:$R$40),IF($BL6=1,SUM('Final Calculation Sheet'!$R$4:$R$40)-SUMIFS('Final Calculation Sheet'!$R$4:$R$40,$AZ$5:$AZ$41,10),SUMIFS('Final Calculation Sheet'!$R$4:$R$40,$AZ$5:$AZ$41,$BH6))),""))</f>
        <v/>
      </c>
      <c r="T7" s="70">
        <f>IF($BJ6&gt;0,IF(INDEX('Final Calculation Sheet'!$S$4:$S$40,$BJ6-3)="","",INDEX('Final Calculation Sheet'!$S$4:$S$40,$BJ6-3)),IF(OR($BI6=1,$BL6=1,$BH6&gt;0),IF($BI6=1,SUM('Final Calculation Sheet'!$S$4:$S$40),IF($BL6=1,SUM('Final Calculation Sheet'!$S$4:$S$40)-SUMIFS('Final Calculation Sheet'!$S$4:$S$40,$AZ$5:$AZ$41,10),SUMIFS('Final Calculation Sheet'!$S$4:$S$40,$AZ$5:$AZ$41,$BH6))),""))</f>
        <v/>
      </c>
      <c r="U7" s="70">
        <f>IF($BJ6&gt;0,IF(INDEX('Final Calculation Sheet'!$T$4:$T$40,$BJ6-3)="","",INDEX('Final Calculation Sheet'!$T$4:$T$40,$BJ6-3)),IF(OR($BI6=1,$BL6=1,$BH6&gt;0),IF($BI6=1,SUM('Final Calculation Sheet'!$T$4:$T$40),IF($BL6=1,SUM('Final Calculation Sheet'!$T$4:$T$40)-SUMIFS('Final Calculation Sheet'!$T$4:$T$40,$AZ$5:$AZ$41,10),SUMIFS('Final Calculation Sheet'!$T$4:$T$40,$AZ$5:$AZ$41,$BH6))),""))</f>
        <v/>
      </c>
      <c r="V7" s="73">
        <f>IF($BJ6&gt;0,IF(INDEX('Final Calculation Sheet'!$U$4:$U$40,$BJ6-3)="","",INDEX('Final Calculation Sheet'!$U$4:$U$40,$BJ6-3)),IF(OR($BI6=1,$BL6=1,$BH6&gt;0),IF($BI6=1,SUM('Final Calculation Sheet'!$U$4:$U$40),IF($BL6=1,SUM('Final Calculation Sheet'!$U$4:$U$40)-SUMIFS('Final Calculation Sheet'!$U$4:$U$40,$AZ$5:$AZ$41,10),SUMIFS('Final Calculation Sheet'!$U$4:$U$40,$AZ$5:$AZ$41,$BH6))),""))</f>
        <v/>
      </c>
      <c r="W7" s="70">
        <f>IF($BJ6&gt;0,IF(INDEX('Final Calculation Sheet'!$V$4:$V$40,$BJ6-3)="","",INDEX('Final Calculation Sheet'!$V$4:$V$40,$BJ6-3)),IF(OR($BI6=1,$BL6=1,$BH6&gt;0),"–",""))</f>
        <v/>
      </c>
      <c r="X7" s="70">
        <f>IF($BJ6&gt;0,IF(INDEX('Final Calculation Sheet'!$W$4:$W$40,$BJ6-3)="","",INDEX('Final Calculation Sheet'!$W$4:$W$40,$BJ6-3)),IF(OR($BI6=1,$BL6=1,$BH6&gt;0),IF($BI6=1,SUM('Final Calculation Sheet'!$W$4:$W$40),IF($BL6=1,SUM('Final Calculation Sheet'!$W$4:$W$40)-SUMIFS('Final Calculation Sheet'!$W$4:$W$40,$AZ$5:$AZ$41,10),SUMIFS('Final Calculation Sheet'!$W$4:$W$40,$AZ$5:$AZ$41,$BH6))),""))</f>
        <v/>
      </c>
      <c r="Y7" s="70">
        <f>IF($BJ6&gt;0,IF(INDEX('Final Calculation Sheet'!$X$4:$X$40,$BJ6-3)="","",INDEX('Final Calculation Sheet'!$X$4:$X$40,$BJ6-3)),IF(OR($BI6=1,$BL6=1,$BH6&gt;0),IF($BI6=1,SUM('Final Calculation Sheet'!$X$4:$X$40),IF($BL6=1,SUM('Final Calculation Sheet'!$X$4:$X$40)-SUMIFS('Final Calculation Sheet'!$X$4:$X$40,$AZ$5:$AZ$41,10),SUMIFS('Final Calculation Sheet'!$X$4:$X$40,$AZ$5:$AZ$41,$BH6))),""))</f>
        <v/>
      </c>
      <c r="Z7" s="70">
        <f>IF($BJ6&gt;0,IF(INDEX('Final Calculation Sheet'!$Y$4:$Y$40,$BJ6-3)="","",INDEX('Final Calculation Sheet'!$Y$4:$Y$40,$BJ6-3)),IF(OR($BI6=1,$BL6=1,$BH6&gt;0),"–",""))</f>
        <v/>
      </c>
      <c r="AA7" s="70">
        <f>IF($BJ6&gt;0,IF(INDEX('Final Calculation Sheet'!$Z$4:$Z$40,$BJ6-3)="","",INDEX('Final Calculation Sheet'!$Z$4:$Z$40,$BJ6-3)),IF(OR($BI6=1,$BL6=1,$BH6&gt;0),IF($BI6=1,SUM('Final Calculation Sheet'!$Z$4:$Z$40),IF($BL6=1,SUM('Final Calculation Sheet'!$Z$4:$Z$40)-SUMIFS('Final Calculation Sheet'!$Z$4:$Z$40,$AZ$5:$AZ$41,10),SUMIFS('Final Calculation Sheet'!$Z$4:$Z$40,$AZ$5:$AZ$41,$BH6))),""))</f>
        <v/>
      </c>
      <c r="AB7" s="70">
        <f>IF($BJ6&gt;0,IF(INDEX('Final Calculation Sheet'!$AA$4:$AA$40,$BJ6-3)="","",INDEX('Final Calculation Sheet'!$AA$4:$AA$40,$BJ6-3)),IF(OR($BI6=1,$BL6=1,$BH6&gt;0),IF($BI6=1,SUM('Final Calculation Sheet'!$AA$4:$AA$40),IF($BL6=1,SUM('Final Calculation Sheet'!$AA$4:$AA$40)-SUMIFS('Final Calculation Sheet'!$AA$4:$AA$40,$AZ$5:$AZ$41,10),SUMIFS('Final Calculation Sheet'!$AA$4:$AA$40,$AZ$5:$AZ$41,$BH6))),""))</f>
        <v/>
      </c>
      <c r="AC7" s="70">
        <f>IF($BJ6&gt;0,IF(INDEX('Final Calculation Sheet'!$AB$4:$AB$40,$BJ6-3)="","",INDEX('Final Calculation Sheet'!$AB$4:$AB$40,$BJ6-3)),IF(OR($BI6=1,$BL6=1,$BH6&gt;0),"–",""))</f>
        <v/>
      </c>
      <c r="AD7" s="70">
        <f>IF($BJ6&gt;0,IF(INDEX('Final Calculation Sheet'!$AC$4:$AC$40,$BJ6-3)="","",INDEX('Final Calculation Sheet'!$AC$4:$AC$40,$BJ6-3)),IF(OR($BI6=1,$BL6=1,$BH6&gt;0),IF($BI6=1,SUM('Final Calculation Sheet'!$AC$4:$AC$40),IF($BL6=1,SUM('Final Calculation Sheet'!$AC$4:$AC$40)-SUMIFS('Final Calculation Sheet'!$AC$4:$AC$40,$AZ$5:$AZ$41,10),SUMIFS('Final Calculation Sheet'!$AC$4:$AC$40,$AZ$5:$AZ$41,$BH6))),""))</f>
        <v/>
      </c>
      <c r="AE7" s="70">
        <f>IF($BJ6&gt;0,IF(INDEX('Final Calculation Sheet'!$AD$4:$AD$40,$BJ6-3)="","",INDEX('Final Calculation Sheet'!$AD$4:$AD$40,$BJ6-3)),IF(OR($BI6=1,$BL6=1,$BH6&gt;0),IF($BI6=1,SUM('Final Calculation Sheet'!$AD$4:$AD$40),IF($BL6=1,SUM('Final Calculation Sheet'!$AD$4:$AD$40)-SUMIFS('Final Calculation Sheet'!$AD$4:$AD$40,$AZ$5:$AZ$41,10),SUMIFS('Final Calculation Sheet'!$AD$4:$AD$40,$AZ$5:$AZ$41,$BH6))),""))</f>
        <v/>
      </c>
      <c r="AF7" s="75">
        <f>IF($BJ6&gt;0,IF(INDEX('Final Calculation Sheet'!$AD$4:$AD$40,$BJ6-3)="","",IF(INDEX('Final Calculation Sheet'!$AD$4:$AD$40,$BJ6-3)&lt;=5,"SETTLED","OUTSTANDING")),IF(OR($BI6=1,$BL6=1,$BH6&gt;0),IF(IF($BI6=1,SUM('Final Calculation Sheet'!$AD$4:$AD$40),IF($BL6=1,SUM('Final Calculation Sheet'!$AD$4:$AD$40)-SUMIFS('Final Calculation Sheet'!$AD$4:$AD$40,$AZ$5:$AZ$41,10),SUMIFS('Final Calculation Sheet'!$AD$4:$AD$40,$AZ$5:$AZ$41,$BH6)))&lt;=5,"ALL SETTLED","OUTSTANDING"),""))</f>
        <v/>
      </c>
      <c r="AG7" s="70">
        <f>IF($BJ6&gt;0,IF(INDEX('Final Calculation Sheet'!$AF$4:$AF$40,$BJ6-3)="","",INDEX('Final Calculation Sheet'!$AF$4:$AF$40,$BJ6-3)),IF(OR($BI6=1,$BL6=1,$BH6&gt;0),"–",""))</f>
        <v/>
      </c>
      <c r="AH7" s="74">
        <f>IF($BJ6&gt;0,IF(INDEX('Final Calculation Sheet'!$AG$4:$AG$40,$BJ6-3)="","",INDEX('Final Calculation Sheet'!$AG$4:$AG$40,$BJ6-3)),IF(OR($BI6=1,$BL6=1,$BH6&gt;0),"–",""))</f>
        <v/>
      </c>
      <c r="AI7" s="70">
        <f>IF($BJ6&gt;0,IF(INDEX('Final Calculation Sheet'!$AH$4:$AH$40,$BJ6-3)="","",INDEX('Final Calculation Sheet'!$AH$4:$AH$40,$BJ6-3)),IF(OR($BI6=1,$BL6=1,$BH6&gt;0),"–",""))</f>
        <v/>
      </c>
      <c r="AJ7" s="76">
        <f>IF($B$3="",IF(ROW()=5,"— type above —",""),IF(ROW()-4&gt;AL$41,"",INDEX('Final Calculation Sheet'!$F$4:$F$40,MATCH(ROW()-4,$AL$5:$AL$41,0))&amp;" — "&amp;INDEX('Final Calculation Sheet'!$G$4:$G$40,MATCH(ROW()-4,$AL$5:$AL$41,0))))</f>
        <v/>
      </c>
      <c r="AK7">
        <f>IF($F$3="Lot No.",'Final Calculation Sheet'!$F$6,IF($F$3="Buyer",'Final Calculation Sheet'!$G$6,IF($F$3="Lot Name",'Final Calculation Sheet'!$B$6,IF($F$3="Bid Sheet",'Final Calculation Sheet'!$D$6,IF($F$3="Unit",'Final Calculation Sheet'!$E$6,'Final Calculation Sheet'!$F$6&amp;" "&amp;'Final Calculation Sheet'!$G$6&amp;" "&amp;'Final Calculation Sheet'!$B$6)))))</f>
        <v/>
      </c>
      <c r="AL7">
        <f>AL6+IF($B$3="",0,--(SUMPRODUCT(--($AR$6:$AY$6&lt;&gt;""),--ISNUMBER(SEARCH($AR$6:$AY$6,$AK7)))&gt;0))</f>
        <v/>
      </c>
      <c r="AM7">
        <f>IF(COUNTIF($BM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AO7" t="inlineStr">
        <is>
          <t>Lot Name</t>
        </is>
      </c>
      <c r="AR7">
        <f>IF($AR$4="","",IF($AR$5=99999,"",MID($AR$4,$AR$5,1)))</f>
        <v/>
      </c>
      <c r="AS7">
        <f>IF($AS$4="","",IF($AS$5=99999,"",MID($AS$4,$AS$5,1)))</f>
        <v/>
      </c>
      <c r="AT7">
        <f>IF($AT$4="","",IF($AT$5=99999,"",MID($AT$4,$AT$5,1)))</f>
        <v/>
      </c>
      <c r="AU7">
        <f>IF($AU$4="","",IF($AU$5=99999,"",MID($AU$4,$AU$5,1)))</f>
        <v/>
      </c>
      <c r="AV7">
        <f>IF($AV$4="","",IF($AV$5=99999,"",MID($AV$4,$AV$5,1)))</f>
        <v/>
      </c>
      <c r="AW7">
        <f>IF($AW$4="","",IF($AW$5=99999,"",MID($AW$4,$AW$5,1)))</f>
        <v/>
      </c>
      <c r="AX7">
        <f>IF($AX$4="","",IF($AX$5=99999,"",MID($AX$4,$AX$5,1)))</f>
        <v/>
      </c>
      <c r="AY7">
        <f>IF($AY$4="","",IF($AY$5=99999,"",MID($AY$4,$AY$5,1)))</f>
        <v/>
      </c>
      <c r="AZ7">
        <f>IF($B$3="",IF(COUNTIF($A$4:$AI$4,"&lt;&gt;")=0,9,IF($AM7=1,9,10)),IF($AM7=0,10,IF(AND($AR$6&lt;&gt;"",ISNUMBER(SEARCH($AR$6,$AK7))),1,IF(AND($AS$6&lt;&gt;"",ISNUMBER(SEARCH($AS$6,$AK7))),2,IF(AND($AT$6&lt;&gt;"",ISNUMBER(SEARCH($AT$6,$AK7))),3,IF(AND($AU$6&lt;&gt;"",ISNUMBER(SEARCH($AU$6,$AK7))),4,IF(AND($AV$6&lt;&gt;"",ISNUMBER(SEARCH($AV$6,$AK7))),5,IF(AND($AW$6&lt;&gt;"",ISNUMBER(SEARCH($AW$6,$AK7))),6,IF(AND($AX$6&lt;&gt;"",ISNUMBER(SEARCH($AX$6,$AK7))),7,IF(AND($AY$6&lt;&gt;"",ISNUMBER(SEARCH($AY$6,$AK7))),8,0))))))))))</f>
        <v/>
      </c>
      <c r="BA7">
        <f>SUMPRODUCT(($AZ$5:$AZ$41=$AZ7)*($BC$5:$BC$41&lt;$BC7))+1</f>
        <v/>
      </c>
      <c r="BB7">
        <f>IF(INDEX($BF$4:$BF$13,$AZ7)=0,0,INDEX($BE$4:$BE$13,$AZ7)+$BA7-1)</f>
        <v/>
      </c>
      <c r="BC7" t="n">
        <v>6</v>
      </c>
      <c r="BD7">
        <f>COUNTIF($AZ$5:$AZ$41,4)</f>
        <v/>
      </c>
      <c r="BE7">
        <f>IF($BD6=0,$BE6,$BF6+1)</f>
        <v/>
      </c>
      <c r="BF7">
        <f>IF($BD7=0,0,$BE7+$BD7)</f>
        <v/>
      </c>
      <c r="BH7">
        <f>IFERROR(MATCH(7,$BF$4:$BF$13,0),0)</f>
        <v/>
      </c>
      <c r="BI7">
        <f>IF(7=$BG$5,1,0)</f>
        <v/>
      </c>
      <c r="BJ7">
        <f>IF(OR($BH7&gt;0,$BI7=1,$BL7=1),0,IFERROR(INDEX($BC$5:$BC$41,MATCH(7,$BB$5:$BB$41,0)),0))</f>
        <v/>
      </c>
      <c r="BK7">
        <f>IF($BJ7&gt;0,IF(INDEX($AZ$5:$AZ$41,MATCH(7,$BB$5:$BB$41,0))=10,1,0),IF($BH7=10,1,0))</f>
        <v/>
      </c>
      <c r="BL7">
        <f>IF(7=$BG$4,1,0)</f>
        <v/>
      </c>
      <c r="BM7">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7">
        <f>IF($B$4="",1,--(OR(SUMPRODUCT(--(TRIM(MID(SUBSTITUTE(SUBSTITUTE($B$4,"/",","),",",REPT(" ",99)),(ROW($1:$8)-1)*99+1,99))&lt;&gt;""),--ISNUMBER(SEARCH(TRIM(MID(SUBSTITUTE(SUBSTITUTE($B$4,"/",","),",",REPT(" ",99)),(ROW($1:$8)-1)*99+1,99)),IFERROR(('Final Calculation Sheet'!$F$6)&amp;"",""))))&gt;0,AND(ISNUMBER(SEARCH("blank",$B$4)),NOT(ISNUMBER(SEARCH("nonblank",$B$4))),IFERROR(('Final Calculation Sheet'!$F$6)&amp;"","")=""),AND(OR(ISNUMBER(SEARCH("nonblank",$B$4)),ISNUMBER(SEARCH("&lt;&gt;",$B$4))),IFERROR(('Final Calculation Sheet'!$F$6)&amp;"","")&lt;&gt;""),AND(TRIM($B$4)="",IFERROR(('Final Calculation Sheet'!$F$6)&amp;"","")=""))))</f>
        <v/>
      </c>
      <c r="BO7">
        <f>IF($CW$3="",1,--(OR(SUMPRODUCT(--(TRIM(MID(SUBSTITUTE(SUBSTITUTE($CW$3,"/",","),",",REPT(" ",99)),(ROW($1:$8)-1)*99+1,99))&lt;&gt;""),--ISNUMBER(SEARCH(TRIM(MID(SUBSTITUTE(SUBSTITUTE($CW$3,"/",","),",",REPT(" ",99)),(ROW($1:$8)-1)*99+1,99)),IFERROR(('Final Calculation Sheet'!$G$6)&amp;"",""))))&gt;0,AND(ISNUMBER(SEARCH("blank",$CW$3)),NOT(ISNUMBER(SEARCH("nonblank",$CW$3))),IFERROR(('Final Calculation Sheet'!$G$6)&amp;"","")=""),AND(OR(ISNUMBER(SEARCH("nonblank",$CW$3)),ISNUMBER(SEARCH("&lt;&gt;",$CW$3))),IFERROR(('Final Calculation Sheet'!$G$6)&amp;"","")&lt;&gt;""),AND(TRIM($CW$3)="",IFERROR(('Final Calculation Sheet'!$G$6)&amp;"","")=""))))</f>
        <v/>
      </c>
      <c r="BP7">
        <f>IF($D$4="",1,--(OR(SUMPRODUCT(--(TRIM(MID(SUBSTITUTE(SUBSTITUTE($D$4,"/",","),",",REPT(" ",99)),(ROW($1:$8)-1)*99+1,99))&lt;&gt;""),--ISNUMBER(SEARCH(TRIM(MID(SUBSTITUTE(SUBSTITUTE($D$4,"/",","),",",REPT(" ",99)),(ROW($1:$8)-1)*99+1,99)),IFERROR(('Final Calculation Sheet'!$B$6)&amp;"",""))))&gt;0,AND(ISNUMBER(SEARCH("blank",$D$4)),NOT(ISNUMBER(SEARCH("nonblank",$D$4))),IFERROR(('Final Calculation Sheet'!$B$6)&amp;"","")=""),AND(OR(ISNUMBER(SEARCH("nonblank",$D$4)),ISNUMBER(SEARCH("&lt;&gt;",$D$4))),IFERROR(('Final Calculation Sheet'!$B$6)&amp;"","")&lt;&gt;""),AND(TRIM($D$4)="",IFERROR(('Final Calculation Sheet'!$B$6)&amp;"","")=""))))</f>
        <v/>
      </c>
      <c r="BQ7">
        <f>IF($E$4="",1,--(OR(SUMPRODUCT(--(TRIM(MID(SUBSTITUTE(SUBSTITUTE($E$4,"/",","),",",REPT(" ",99)),(ROW($1:$8)-1)*99+1,99))&lt;&gt;""),--ISNUMBER(SEARCH(TRIM(MID(SUBSTITUTE(SUBSTITUTE($E$4,"/",","),",",REPT(" ",99)),(ROW($1:$8)-1)*99+1,99)),IFERROR(('Final Calculation Sheet'!$D$6)&amp;"",""))))&gt;0,AND(ISNUMBER(SEARCH("blank",$E$4)),NOT(ISNUMBER(SEARCH("nonblank",$E$4))),IFERROR(('Final Calculation Sheet'!$D$6)&amp;"","")=""),AND(OR(ISNUMBER(SEARCH("nonblank",$E$4)),ISNUMBER(SEARCH("&lt;&gt;",$E$4))),IFERROR(('Final Calculation Sheet'!$D$6)&amp;"","")&lt;&gt;""),AND(TRIM($E$4)="",IFERROR(('Final Calculation Sheet'!$D$6)&amp;"","")=""))))</f>
        <v/>
      </c>
      <c r="BR7">
        <f>IF($F$4="",1,--(OR(SUMPRODUCT(--(TRIM(MID(SUBSTITUTE(SUBSTITUTE($F$4,"/",","),",",REPT(" ",99)),(ROW($1:$8)-1)*99+1,99))&lt;&gt;""),--ISNUMBER(SEARCH(TRIM(MID(SUBSTITUTE(SUBSTITUTE($F$4,"/",","),",",REPT(" ",99)),(ROW($1:$8)-1)*99+1,99)),IFERROR(('Final Calculation Sheet'!$A$6)&amp;"",""))))&gt;0,AND(ISNUMBER(SEARCH("blank",$F$4)),NOT(ISNUMBER(SEARCH("nonblank",$F$4))),IFERROR(('Final Calculation Sheet'!$A$6)&amp;"","")=""),AND(OR(ISNUMBER(SEARCH("nonblank",$F$4)),ISNUMBER(SEARCH("&lt;&gt;",$F$4))),IFERROR(('Final Calculation Sheet'!$A$6)&amp;"","")&lt;&gt;""),AND(TRIM($F$4)="",IFERROR(('Final Calculation Sheet'!$A$6)&amp;"","")=""))))</f>
        <v/>
      </c>
      <c r="BS7">
        <f>IF($G$4="",1,--(OR(SUMPRODUCT(--(TRIM(MID(SUBSTITUTE(SUBSTITUTE($G$4,"/",","),",",REPT(" ",99)),(ROW($1:$8)-1)*99+1,99))&lt;&gt;""),--ISNUMBER(SEARCH(TRIM(MID(SUBSTITUTE(SUBSTITUTE($G$4,"/",","),",",REPT(" ",99)),(ROW($1:$8)-1)*99+1,99)),IFERROR(('Final Calculation Sheet'!$E$6)&amp;"",""))))&gt;0,AND(ISNUMBER(SEARCH("blank",$G$4)),NOT(ISNUMBER(SEARCH("nonblank",$G$4))),IFERROR(('Final Calculation Sheet'!$E$6)&amp;"","")=""),AND(OR(ISNUMBER(SEARCH("nonblank",$G$4)),ISNUMBER(SEARCH("&lt;&gt;",$G$4))),IFERROR(('Final Calculation Sheet'!$E$6)&amp;"","")&lt;&gt;""),AND(TRIM($G$4)="",IFERROR(('Final Calculation Sheet'!$E$6)&amp;"","")=""))))</f>
        <v/>
      </c>
      <c r="BT7">
        <f>IF($H$4="",1,--(OR(SUMPRODUCT(--(TRIM(MID(SUBSTITUTE(SUBSTITUTE($H$4,"/",","),",",REPT(" ",99)),(ROW($1:$8)-1)*99+1,99))&lt;&gt;""),--ISNUMBER(SEARCH(TRIM(MID(SUBSTITUTE(SUBSTITUTE($H$4,"/",","),",",REPT(" ",99)),(ROW($1:$8)-1)*99+1,99)),IFERROR(('Final Calculation Sheet'!$C$6)&amp;"",""))))&gt;0,AND(ISNUMBER(SEARCH("blank",$H$4)),NOT(ISNUMBER(SEARCH("nonblank",$H$4))),IFERROR(('Final Calculation Sheet'!$C$6)&amp;"","")=""),AND(OR(ISNUMBER(SEARCH("nonblank",$H$4)),ISNUMBER(SEARCH("&lt;&gt;",$H$4))),IFERROR(('Final Calculation Sheet'!$C$6)&amp;"","")&lt;&gt;""),AND(TRIM($H$4)="",IFERROR(('Final Calculation Sheet'!$C$6)&amp;"","")=""))))</f>
        <v/>
      </c>
      <c r="BU7">
        <f>IF($I$4="",1,--(OR(SUMPRODUCT(--(TRIM(MID(SUBSTITUTE(SUBSTITUTE($I$4,"/",","),",",REPT(" ",99)),(ROW($1:$8)-1)*99+1,99))&lt;&gt;""),--ISNUMBER(SEARCH(TRIM(MID(SUBSTITUTE(SUBSTITUTE($I$4,"/",","),",",REPT(" ",99)),(ROW($1:$8)-1)*99+1,99)),IFERROR(('Final Calculation Sheet'!$H$6)&amp;"",""))))&gt;0,AND(ISNUMBER(SEARCH("blank",$I$4)),NOT(ISNUMBER(SEARCH("nonblank",$I$4))),IFERROR(('Final Calculation Sheet'!$H$6)&amp;"","")=""),AND(OR(ISNUMBER(SEARCH("nonblank",$I$4)),ISNUMBER(SEARCH("&lt;&gt;",$I$4))),IFERROR(('Final Calculation Sheet'!$H$6)&amp;"","")&lt;&gt;""),AND(TRIM($I$4)="",IFERROR(('Final Calculation Sheet'!$H$6)&amp;"","")=""))))</f>
        <v/>
      </c>
      <c r="BV7">
        <f>IF($J$4="",1,--(OR(SUMPRODUCT(--(TRIM(MID(SUBSTITUTE(SUBSTITUTE($J$4,"/",","),",",REPT(" ",99)),(ROW($1:$8)-1)*99+1,99))&lt;&gt;""),--ISNUMBER(SEARCH(TRIM(MID(SUBSTITUTE(SUBSTITUTE($J$4,"/",","),",",REPT(" ",99)),(ROW($1:$8)-1)*99+1,99)),IFERROR(('Final Calculation Sheet'!$I$6)&amp;"",""))))&gt;0,AND(ISNUMBER(SEARCH("blank",$J$4)),NOT(ISNUMBER(SEARCH("nonblank",$J$4))),IFERROR(('Final Calculation Sheet'!$I$6)&amp;"","")=""),AND(OR(ISNUMBER(SEARCH("nonblank",$J$4)),ISNUMBER(SEARCH("&lt;&gt;",$J$4))),IFERROR(('Final Calculation Sheet'!$I$6)&amp;"","")&lt;&gt;""),AND(TRIM($J$4)="",IFERROR(('Final Calculation Sheet'!$I$6)&amp;"","")=""))))</f>
        <v/>
      </c>
      <c r="BW7">
        <f>IF($K$4="",1,--(OR(SUMPRODUCT(--(TRIM(MID(SUBSTITUTE(SUBSTITUTE($K$4,"/",","),",",REPT(" ",99)),(ROW($1:$8)-1)*99+1,99))&lt;&gt;""),--ISNUMBER(SEARCH(TRIM(MID(SUBSTITUTE(SUBSTITUTE($K$4,"/",","),",",REPT(" ",99)),(ROW($1:$8)-1)*99+1,99)),IFERROR(('Final Calculation Sheet'!$J$6)&amp;"",""))))&gt;0,AND(ISNUMBER(SEARCH("blank",$K$4)),NOT(ISNUMBER(SEARCH("nonblank",$K$4))),IFERROR(('Final Calculation Sheet'!$J$6)&amp;"","")=""),AND(OR(ISNUMBER(SEARCH("nonblank",$K$4)),ISNUMBER(SEARCH("&lt;&gt;",$K$4))),IFERROR(('Final Calculation Sheet'!$J$6)&amp;"","")&lt;&gt;""),AND(TRIM($K$4)="",IFERROR(('Final Calculation Sheet'!$J$6)&amp;"","")=""))))</f>
        <v/>
      </c>
      <c r="BX7">
        <f>IF($L$4="",1,--(OR(SUMPRODUCT(--(TRIM(MID(SUBSTITUTE(SUBSTITUTE($L$4,"/",","),",",REPT(" ",99)),(ROW($1:$8)-1)*99+1,99))&lt;&gt;""),--ISNUMBER(SEARCH(TRIM(MID(SUBSTITUTE(SUBSTITUTE($L$4,"/",","),",",REPT(" ",99)),(ROW($1:$8)-1)*99+1,99)),IFERROR(('Final Calculation Sheet'!$K$6)&amp;"",""))))&gt;0,AND(ISNUMBER(SEARCH("blank",$L$4)),NOT(ISNUMBER(SEARCH("nonblank",$L$4))),IFERROR(('Final Calculation Sheet'!$K$6)&amp;"","")=""),AND(OR(ISNUMBER(SEARCH("nonblank",$L$4)),ISNUMBER(SEARCH("&lt;&gt;",$L$4))),IFERROR(('Final Calculation Sheet'!$K$6)&amp;"","")&lt;&gt;""),AND(TRIM($L$4)="",IFERROR(('Final Calculation Sheet'!$K$6)&amp;"","")=""))))</f>
        <v/>
      </c>
      <c r="BY7">
        <f>IF($M$4="",1,--(OR(SUMPRODUCT(--(TRIM(MID(SUBSTITUTE(SUBSTITUTE($M$4,"/",","),",",REPT(" ",99)),(ROW($1:$8)-1)*99+1,99))&lt;&gt;""),--ISNUMBER(SEARCH(TRIM(MID(SUBSTITUTE(SUBSTITUTE($M$4,"/",","),",",REPT(" ",99)),(ROW($1:$8)-1)*99+1,99)),IFERROR(('Final Calculation Sheet'!$L$6)&amp;"",""))))&gt;0,AND(ISNUMBER(SEARCH("blank",$M$4)),NOT(ISNUMBER(SEARCH("nonblank",$M$4))),IFERROR(('Final Calculation Sheet'!$L$6)&amp;"","")=""),AND(OR(ISNUMBER(SEARCH("nonblank",$M$4)),ISNUMBER(SEARCH("&lt;&gt;",$M$4))),IFERROR(('Final Calculation Sheet'!$L$6)&amp;"","")&lt;&gt;""),AND(TRIM($M$4)="",IFERROR(('Final Calculation Sheet'!$L$6)&amp;"","")=""))))</f>
        <v/>
      </c>
      <c r="BZ7">
        <f>IF($N$4="",1,--(OR(SUMPRODUCT(--(TRIM(MID(SUBSTITUTE(SUBSTITUTE($N$4,"/",","),",",REPT(" ",99)),(ROW($1:$8)-1)*99+1,99))&lt;&gt;""),--ISNUMBER(SEARCH(TRIM(MID(SUBSTITUTE(SUBSTITUTE($N$4,"/",","),",",REPT(" ",99)),(ROW($1:$8)-1)*99+1,99)),IFERROR(('Final Calculation Sheet'!$M$6)&amp;"",""))))&gt;0,AND(ISNUMBER(SEARCH("blank",$N$4)),NOT(ISNUMBER(SEARCH("nonblank",$N$4))),IFERROR(('Final Calculation Sheet'!$M$6)&amp;"","")=""),AND(OR(ISNUMBER(SEARCH("nonblank",$N$4)),ISNUMBER(SEARCH("&lt;&gt;",$N$4))),IFERROR(('Final Calculation Sheet'!$M$6)&amp;"","")&lt;&gt;""),AND(TRIM($N$4)="",IFERROR(('Final Calculation Sheet'!$M$6)&amp;"","")=""))))</f>
        <v/>
      </c>
      <c r="CA7">
        <f>IF($O$4="",1,--(OR(SUMPRODUCT(--(TRIM(MID(SUBSTITUTE(SUBSTITUTE($O$4,"/",","),",",REPT(" ",99)),(ROW($1:$8)-1)*99+1,99))&lt;&gt;""),--ISNUMBER(SEARCH(TRIM(MID(SUBSTITUTE(SUBSTITUTE($O$4,"/",","),",",REPT(" ",99)),(ROW($1:$8)-1)*99+1,99)),IFERROR(('Final Calculation Sheet'!$N$6)&amp;"",""))))&gt;0,AND(ISNUMBER(SEARCH("blank",$O$4)),NOT(ISNUMBER(SEARCH("nonblank",$O$4))),IFERROR(('Final Calculation Sheet'!$N$6)&amp;"","")=""),AND(OR(ISNUMBER(SEARCH("nonblank",$O$4)),ISNUMBER(SEARCH("&lt;&gt;",$O$4))),IFERROR(('Final Calculation Sheet'!$N$6)&amp;"","")&lt;&gt;""),AND(TRIM($O$4)="",IFERROR(('Final Calculation Sheet'!$N$6)&amp;"","")=""))))</f>
        <v/>
      </c>
      <c r="CB7">
        <f>IF($P$4="",1,--(OR(SUMPRODUCT(--(TRIM(MID(SUBSTITUTE(SUBSTITUTE($P$4,"/",","),",",REPT(" ",99)),(ROW($1:$8)-1)*99+1,99))&lt;&gt;""),--ISNUMBER(SEARCH(TRIM(MID(SUBSTITUTE(SUBSTITUTE($P$4,"/",","),",",REPT(" ",99)),(ROW($1:$8)-1)*99+1,99)),IFERROR(('Final Calculation Sheet'!$O$6)&amp;"",""))))&gt;0,AND(ISNUMBER(SEARCH("blank",$P$4)),NOT(ISNUMBER(SEARCH("nonblank",$P$4))),IFERROR(('Final Calculation Sheet'!$O$6)&amp;"","")=""),AND(OR(ISNUMBER(SEARCH("nonblank",$P$4)),ISNUMBER(SEARCH("&lt;&gt;",$P$4))),IFERROR(('Final Calculation Sheet'!$O$6)&amp;"","")&lt;&gt;""),AND(TRIM($P$4)="",IFERROR(('Final Calculation Sheet'!$O$6)&amp;"","")=""))))</f>
        <v/>
      </c>
      <c r="CC7">
        <f>IF($Q$4="",1,--(OR(SUMPRODUCT(--(TRIM(MID(SUBSTITUTE(SUBSTITUTE($Q$4,"/",","),",",REPT(" ",99)),(ROW($1:$8)-1)*99+1,99))&lt;&gt;""),--ISNUMBER(SEARCH(TRIM(MID(SUBSTITUTE(SUBSTITUTE($Q$4,"/",","),",",REPT(" ",99)),(ROW($1:$8)-1)*99+1,99)),IFERROR(('Final Calculation Sheet'!$P$6)&amp;"",""))))&gt;0,AND(ISNUMBER(SEARCH("blank",$Q$4)),NOT(ISNUMBER(SEARCH("nonblank",$Q$4))),IFERROR(('Final Calculation Sheet'!$P$6)&amp;"","")=""),AND(OR(ISNUMBER(SEARCH("nonblank",$Q$4)),ISNUMBER(SEARCH("&lt;&gt;",$Q$4))),IFERROR(('Final Calculation Sheet'!$P$6)&amp;"","")&lt;&gt;""),AND(TRIM($Q$4)="",IFERROR(('Final Calculation Sheet'!$P$6)&amp;"","")=""))))</f>
        <v/>
      </c>
      <c r="CD7">
        <f>IF($R$4="",1,--(OR(SUMPRODUCT(--(TRIM(MID(SUBSTITUTE(SUBSTITUTE($R$4,"/",","),",",REPT(" ",99)),(ROW($1:$8)-1)*99+1,99))&lt;&gt;""),--ISNUMBER(SEARCH(TRIM(MID(SUBSTITUTE(SUBSTITUTE($R$4,"/",","),",",REPT(" ",99)),(ROW($1:$8)-1)*99+1,99)),IFERROR(('Final Calculation Sheet'!$Q$6)&amp;"",""))))&gt;0,AND(ISNUMBER(SEARCH("blank",$R$4)),NOT(ISNUMBER(SEARCH("nonblank",$R$4))),IFERROR(('Final Calculation Sheet'!$Q$6)&amp;"","")=""),AND(OR(ISNUMBER(SEARCH("nonblank",$R$4)),ISNUMBER(SEARCH("&lt;&gt;",$R$4))),IFERROR(('Final Calculation Sheet'!$Q$6)&amp;"","")&lt;&gt;""),AND(TRIM($R$4)="",IFERROR(('Final Calculation Sheet'!$Q$6)&amp;"","")=""))))</f>
        <v/>
      </c>
      <c r="CE7">
        <f>IF($S$4="",1,--(OR(SUMPRODUCT(--(TRIM(MID(SUBSTITUTE(SUBSTITUTE($S$4,"/",","),",",REPT(" ",99)),(ROW($1:$8)-1)*99+1,99))&lt;&gt;""),--ISNUMBER(SEARCH(TRIM(MID(SUBSTITUTE(SUBSTITUTE($S$4,"/",","),",",REPT(" ",99)),(ROW($1:$8)-1)*99+1,99)),IFERROR(('Final Calculation Sheet'!$R$6)&amp;"",""))))&gt;0,AND(ISNUMBER(SEARCH("blank",$S$4)),NOT(ISNUMBER(SEARCH("nonblank",$S$4))),IFERROR(('Final Calculation Sheet'!$R$6)&amp;"","")=""),AND(OR(ISNUMBER(SEARCH("nonblank",$S$4)),ISNUMBER(SEARCH("&lt;&gt;",$S$4))),IFERROR(('Final Calculation Sheet'!$R$6)&amp;"","")&lt;&gt;""),AND(TRIM($S$4)="",IFERROR(('Final Calculation Sheet'!$R$6)&amp;"","")=""))))</f>
        <v/>
      </c>
      <c r="CF7">
        <f>IF($T$4="",1,--(OR(SUMPRODUCT(--(TRIM(MID(SUBSTITUTE(SUBSTITUTE($T$4,"/",","),",",REPT(" ",99)),(ROW($1:$8)-1)*99+1,99))&lt;&gt;""),--ISNUMBER(SEARCH(TRIM(MID(SUBSTITUTE(SUBSTITUTE($T$4,"/",","),",",REPT(" ",99)),(ROW($1:$8)-1)*99+1,99)),IFERROR(('Final Calculation Sheet'!$S$6)&amp;"",""))))&gt;0,AND(ISNUMBER(SEARCH("blank",$T$4)),NOT(ISNUMBER(SEARCH("nonblank",$T$4))),IFERROR(('Final Calculation Sheet'!$S$6)&amp;"","")=""),AND(OR(ISNUMBER(SEARCH("nonblank",$T$4)),ISNUMBER(SEARCH("&lt;&gt;",$T$4))),IFERROR(('Final Calculation Sheet'!$S$6)&amp;"","")&lt;&gt;""),AND(TRIM($T$4)="",IFERROR(('Final Calculation Sheet'!$S$6)&amp;"","")=""))))</f>
        <v/>
      </c>
      <c r="CG7">
        <f>IF($U$4="",1,--(OR(SUMPRODUCT(--(TRIM(MID(SUBSTITUTE(SUBSTITUTE($U$4,"/",","),",",REPT(" ",99)),(ROW($1:$8)-1)*99+1,99))&lt;&gt;""),--ISNUMBER(SEARCH(TRIM(MID(SUBSTITUTE(SUBSTITUTE($U$4,"/",","),",",REPT(" ",99)),(ROW($1:$8)-1)*99+1,99)),IFERROR(('Final Calculation Sheet'!$T$6)&amp;"",""))))&gt;0,AND(ISNUMBER(SEARCH("blank",$U$4)),NOT(ISNUMBER(SEARCH("nonblank",$U$4))),IFERROR(('Final Calculation Sheet'!$T$6)&amp;"","")=""),AND(OR(ISNUMBER(SEARCH("nonblank",$U$4)),ISNUMBER(SEARCH("&lt;&gt;",$U$4))),IFERROR(('Final Calculation Sheet'!$T$6)&amp;"","")&lt;&gt;""),AND(TRIM($U$4)="",IFERROR(('Final Calculation Sheet'!$T$6)&amp;"","")=""))))</f>
        <v/>
      </c>
      <c r="CH7">
        <f>IF($V$4="",1,--(OR(SUMPRODUCT(--(TRIM(MID(SUBSTITUTE(SUBSTITUTE($V$4,"/",","),",",REPT(" ",99)),(ROW($1:$8)-1)*99+1,99))&lt;&gt;""),--ISNUMBER(SEARCH(TRIM(MID(SUBSTITUTE(SUBSTITUTE($V$4,"/",","),",",REPT(" ",99)),(ROW($1:$8)-1)*99+1,99)),IFERROR(('Final Calculation Sheet'!$U$6)&amp;"",""))))&gt;0,AND(ISNUMBER(SEARCH("blank",$V$4)),NOT(ISNUMBER(SEARCH("nonblank",$V$4))),IFERROR(('Final Calculation Sheet'!$U$6)&amp;"","")=""),AND(OR(ISNUMBER(SEARCH("nonblank",$V$4)),ISNUMBER(SEARCH("&lt;&gt;",$V$4))),IFERROR(('Final Calculation Sheet'!$U$6)&amp;"","")&lt;&gt;""),AND(TRIM($V$4)="",IFERROR(('Final Calculation Sheet'!$U$6)&amp;"","")=""))))</f>
        <v/>
      </c>
      <c r="CI7">
        <f>IF($W$4="",1,--(OR(SUMPRODUCT(--(TRIM(MID(SUBSTITUTE(SUBSTITUTE($W$4,"/",","),",",REPT(" ",99)),(ROW($1:$8)-1)*99+1,99))&lt;&gt;""),--ISNUMBER(SEARCH(TRIM(MID(SUBSTITUTE(SUBSTITUTE($W$4,"/",","),",",REPT(" ",99)),(ROW($1:$8)-1)*99+1,99)),IFERROR(('Final Calculation Sheet'!$V$6)&amp;"",""))))&gt;0,AND(ISNUMBER(SEARCH("blank",$W$4)),NOT(ISNUMBER(SEARCH("nonblank",$W$4))),IFERROR(('Final Calculation Sheet'!$V$6)&amp;"","")=""),AND(OR(ISNUMBER(SEARCH("nonblank",$W$4)),ISNUMBER(SEARCH("&lt;&gt;",$W$4))),IFERROR(('Final Calculation Sheet'!$V$6)&amp;"","")&lt;&gt;""),AND(TRIM($W$4)="",IFERROR(('Final Calculation Sheet'!$V$6)&amp;"","")=""))))</f>
        <v/>
      </c>
      <c r="CJ7">
        <f>IF($X$4="",1,--(OR(SUMPRODUCT(--(TRIM(MID(SUBSTITUTE(SUBSTITUTE($X$4,"/",","),",",REPT(" ",99)),(ROW($1:$8)-1)*99+1,99))&lt;&gt;""),--ISNUMBER(SEARCH(TRIM(MID(SUBSTITUTE(SUBSTITUTE($X$4,"/",","),",",REPT(" ",99)),(ROW($1:$8)-1)*99+1,99)),IFERROR(('Final Calculation Sheet'!$W$6)&amp;"",""))))&gt;0,AND(ISNUMBER(SEARCH("blank",$X$4)),NOT(ISNUMBER(SEARCH("nonblank",$X$4))),IFERROR(('Final Calculation Sheet'!$W$6)&amp;"","")=""),AND(OR(ISNUMBER(SEARCH("nonblank",$X$4)),ISNUMBER(SEARCH("&lt;&gt;",$X$4))),IFERROR(('Final Calculation Sheet'!$W$6)&amp;"","")&lt;&gt;""),AND(TRIM($X$4)="",IFERROR(('Final Calculation Sheet'!$W$6)&amp;"","")=""))))</f>
        <v/>
      </c>
      <c r="CK7">
        <f>IF($Y$4="",1,--(OR(SUMPRODUCT(--(TRIM(MID(SUBSTITUTE(SUBSTITUTE($Y$4,"/",","),",",REPT(" ",99)),(ROW($1:$8)-1)*99+1,99))&lt;&gt;""),--ISNUMBER(SEARCH(TRIM(MID(SUBSTITUTE(SUBSTITUTE($Y$4,"/",","),",",REPT(" ",99)),(ROW($1:$8)-1)*99+1,99)),IFERROR(('Final Calculation Sheet'!$X$6)&amp;"",""))))&gt;0,AND(ISNUMBER(SEARCH("blank",$Y$4)),NOT(ISNUMBER(SEARCH("nonblank",$Y$4))),IFERROR(('Final Calculation Sheet'!$X$6)&amp;"","")=""),AND(OR(ISNUMBER(SEARCH("nonblank",$Y$4)),ISNUMBER(SEARCH("&lt;&gt;",$Y$4))),IFERROR(('Final Calculation Sheet'!$X$6)&amp;"","")&lt;&gt;""),AND(TRIM($Y$4)="",IFERROR(('Final Calculation Sheet'!$X$6)&amp;"","")=""))))</f>
        <v/>
      </c>
      <c r="CL7">
        <f>IF($Z$4="",1,--(OR(SUMPRODUCT(--(TRIM(MID(SUBSTITUTE(SUBSTITUTE($Z$4,"/",","),",",REPT(" ",99)),(ROW($1:$8)-1)*99+1,99))&lt;&gt;""),--ISNUMBER(SEARCH(TRIM(MID(SUBSTITUTE(SUBSTITUTE($Z$4,"/",","),",",REPT(" ",99)),(ROW($1:$8)-1)*99+1,99)),IFERROR(('Final Calculation Sheet'!$Y$6)&amp;"",""))))&gt;0,AND(ISNUMBER(SEARCH("blank",$Z$4)),NOT(ISNUMBER(SEARCH("nonblank",$Z$4))),IFERROR(('Final Calculation Sheet'!$Y$6)&amp;"","")=""),AND(OR(ISNUMBER(SEARCH("nonblank",$Z$4)),ISNUMBER(SEARCH("&lt;&gt;",$Z$4))),IFERROR(('Final Calculation Sheet'!$Y$6)&amp;"","")&lt;&gt;""),AND(TRIM($Z$4)="",IFERROR(('Final Calculation Sheet'!$Y$6)&amp;"","")=""))))</f>
        <v/>
      </c>
      <c r="CM7">
        <f>IF($AA$4="",1,--(OR(SUMPRODUCT(--(TRIM(MID(SUBSTITUTE(SUBSTITUTE($AA$4,"/",","),",",REPT(" ",99)),(ROW($1:$8)-1)*99+1,99))&lt;&gt;""),--ISNUMBER(SEARCH(TRIM(MID(SUBSTITUTE(SUBSTITUTE($AA$4,"/",","),",",REPT(" ",99)),(ROW($1:$8)-1)*99+1,99)),IFERROR(('Final Calculation Sheet'!$Z$6)&amp;"",""))))&gt;0,AND(ISNUMBER(SEARCH("blank",$AA$4)),NOT(ISNUMBER(SEARCH("nonblank",$AA$4))),IFERROR(('Final Calculation Sheet'!$Z$6)&amp;"","")=""),AND(OR(ISNUMBER(SEARCH("nonblank",$AA$4)),ISNUMBER(SEARCH("&lt;&gt;",$AA$4))),IFERROR(('Final Calculation Sheet'!$Z$6)&amp;"","")&lt;&gt;""),AND(TRIM($AA$4)="",IFERROR(('Final Calculation Sheet'!$Z$6)&amp;"","")=""))))</f>
        <v/>
      </c>
      <c r="CN7">
        <f>IF($AB$4="",1,--(OR(SUMPRODUCT(--(TRIM(MID(SUBSTITUTE(SUBSTITUTE($AB$4,"/",","),",",REPT(" ",99)),(ROW($1:$8)-1)*99+1,99))&lt;&gt;""),--ISNUMBER(SEARCH(TRIM(MID(SUBSTITUTE(SUBSTITUTE($AB$4,"/",","),",",REPT(" ",99)),(ROW($1:$8)-1)*99+1,99)),IFERROR(('Final Calculation Sheet'!$AA$6)&amp;"",""))))&gt;0,AND(ISNUMBER(SEARCH("blank",$AB$4)),NOT(ISNUMBER(SEARCH("nonblank",$AB$4))),IFERROR(('Final Calculation Sheet'!$AA$6)&amp;"","")=""),AND(OR(ISNUMBER(SEARCH("nonblank",$AB$4)),ISNUMBER(SEARCH("&lt;&gt;",$AB$4))),IFERROR(('Final Calculation Sheet'!$AA$6)&amp;"","")&lt;&gt;""),AND(TRIM($AB$4)="",IFERROR(('Final Calculation Sheet'!$AA$6)&amp;"","")=""))))</f>
        <v/>
      </c>
      <c r="CO7">
        <f>IF($AC$4="",1,--(OR(SUMPRODUCT(--(TRIM(MID(SUBSTITUTE(SUBSTITUTE($AC$4,"/",","),",",REPT(" ",99)),(ROW($1:$8)-1)*99+1,99))&lt;&gt;""),--ISNUMBER(SEARCH(TRIM(MID(SUBSTITUTE(SUBSTITUTE($AC$4,"/",","),",",REPT(" ",99)),(ROW($1:$8)-1)*99+1,99)),IFERROR(('Final Calculation Sheet'!$AB$6)&amp;"",""))))&gt;0,AND(ISNUMBER(SEARCH("blank",$AC$4)),NOT(ISNUMBER(SEARCH("nonblank",$AC$4))),IFERROR(('Final Calculation Sheet'!$AB$6)&amp;"","")=""),AND(OR(ISNUMBER(SEARCH("nonblank",$AC$4)),ISNUMBER(SEARCH("&lt;&gt;",$AC$4))),IFERROR(('Final Calculation Sheet'!$AB$6)&amp;"","")&lt;&gt;""),AND(TRIM($AC$4)="",IFERROR(('Final Calculation Sheet'!$AB$6)&amp;"","")=""))))</f>
        <v/>
      </c>
      <c r="CP7">
        <f>IF($AD$4="",1,--(OR(SUMPRODUCT(--(TRIM(MID(SUBSTITUTE(SUBSTITUTE($AD$4,"/",","),",",REPT(" ",99)),(ROW($1:$8)-1)*99+1,99))&lt;&gt;""),--ISNUMBER(SEARCH(TRIM(MID(SUBSTITUTE(SUBSTITUTE($AD$4,"/",","),",",REPT(" ",99)),(ROW($1:$8)-1)*99+1,99)),IFERROR(('Final Calculation Sheet'!$AC$6)&amp;"",""))))&gt;0,AND(ISNUMBER(SEARCH("blank",$AD$4)),NOT(ISNUMBER(SEARCH("nonblank",$AD$4))),IFERROR(('Final Calculation Sheet'!$AC$6)&amp;"","")=""),AND(OR(ISNUMBER(SEARCH("nonblank",$AD$4)),ISNUMBER(SEARCH("&lt;&gt;",$AD$4))),IFERROR(('Final Calculation Sheet'!$AC$6)&amp;"","")&lt;&gt;""),AND(TRIM($AD$4)="",IFERROR(('Final Calculation Sheet'!$AC$6)&amp;"","")=""))))</f>
        <v/>
      </c>
      <c r="CQ7">
        <f>IF($AE$4="",1,--(OR(SUMPRODUCT(--(TRIM(MID(SUBSTITUTE(SUBSTITUTE($AE$4,"/",","),",",REPT(" ",99)),(ROW($1:$8)-1)*99+1,99))&lt;&gt;""),--ISNUMBER(SEARCH(TRIM(MID(SUBSTITUTE(SUBSTITUTE($AE$4,"/",","),",",REPT(" ",99)),(ROW($1:$8)-1)*99+1,99)),IFERROR(('Final Calculation Sheet'!$AD$6)&amp;"",""))))&gt;0,AND(ISNUMBER(SEARCH("blank",$AE$4)),NOT(ISNUMBER(SEARCH("nonblank",$AE$4))),IFERROR(('Final Calculation Sheet'!$AD$6)&amp;"","")=""),AND(OR(ISNUMBER(SEARCH("nonblank",$AE$4)),ISNUMBER(SEARCH("&lt;&gt;",$AE$4))),IFERROR(('Final Calculation Sheet'!$AD$6)&amp;"","")&lt;&gt;""),AND(TRIM($AE$4)="",IFERROR(('Final Calculation Sheet'!$AD$6)&amp;"","")=""))))</f>
        <v/>
      </c>
      <c r="CR7">
        <f>IF($AG$4="",1,--(OR(SUMPRODUCT(--(TRIM(MID(SUBSTITUTE(SUBSTITUTE($AG$4,"/",","),",",REPT(" ",99)),(ROW($1:$8)-1)*99+1,99))&lt;&gt;""),--ISNUMBER(SEARCH(TRIM(MID(SUBSTITUTE(SUBSTITUTE($AG$4,"/",","),",",REPT(" ",99)),(ROW($1:$8)-1)*99+1,99)),IFERROR(('Final Calculation Sheet'!$AF$6)&amp;"",""))))&gt;0,AND(ISNUMBER(SEARCH("blank",$AG$4)),NOT(ISNUMBER(SEARCH("nonblank",$AG$4))),IFERROR(('Final Calculation Sheet'!$AF$6)&amp;"","")=""),AND(OR(ISNUMBER(SEARCH("nonblank",$AG$4)),ISNUMBER(SEARCH("&lt;&gt;",$AG$4))),IFERROR(('Final Calculation Sheet'!$AF$6)&amp;"","")&lt;&gt;""),AND(TRIM($AG$4)="",IFERROR(('Final Calculation Sheet'!$AF$6)&amp;"","")=""))))</f>
        <v/>
      </c>
      <c r="CS7">
        <f>IF($AH$4="",1,--(OR(SUMPRODUCT(--(TRIM(MID(SUBSTITUTE(SUBSTITUTE($AH$4,"/",","),",",REPT(" ",99)),(ROW($1:$8)-1)*99+1,99))&lt;&gt;""),--ISNUMBER(SEARCH(TRIM(MID(SUBSTITUTE(SUBSTITUTE($AH$4,"/",","),",",REPT(" ",99)),(ROW($1:$8)-1)*99+1,99)),IFERROR(('Final Calculation Sheet'!$AG$6)&amp;"",""))))&gt;0,AND(ISNUMBER(SEARCH("blank",$AH$4)),NOT(ISNUMBER(SEARCH("nonblank",$AH$4))),IFERROR(('Final Calculation Sheet'!$AG$6)&amp;"","")=""),AND(OR(ISNUMBER(SEARCH("nonblank",$AH$4)),ISNUMBER(SEARCH("&lt;&gt;",$AH$4))),IFERROR(('Final Calculation Sheet'!$AG$6)&amp;"","")&lt;&gt;""),AND(TRIM($AH$4)="",IFERROR(('Final Calculation Sheet'!$AG$6)&amp;"","")=""))))</f>
        <v/>
      </c>
      <c r="CT7">
        <f>IF($AI$4="",1,--(OR(SUMPRODUCT(--(TRIM(MID(SUBSTITUTE(SUBSTITUTE($AI$4,"/",","),",",REPT(" ",99)),(ROW($1:$8)-1)*99+1,99))&lt;&gt;""),--ISNUMBER(SEARCH(TRIM(MID(SUBSTITUTE(SUBSTITUTE($AI$4,"/",","),",",REPT(" ",99)),(ROW($1:$8)-1)*99+1,99)),IFERROR(('Final Calculation Sheet'!$AH$6)&amp;"",""))))&gt;0,AND(ISNUMBER(SEARCH("blank",$AI$4)),NOT(ISNUMBER(SEARCH("nonblank",$AI$4))),IFERROR(('Final Calculation Sheet'!$AH$6)&amp;"","")=""),AND(OR(ISNUMBER(SEARCH("nonblank",$AI$4)),ISNUMBER(SEARCH("&lt;&gt;",$AI$4))),IFERROR(('Final Calculation Sheet'!$AH$6)&amp;"","")&lt;&gt;""),AND(TRIM($AI$4)="",IFERROR(('Final Calculation Sheet'!$AH$6)&amp;"","")=""))))</f>
        <v/>
      </c>
      <c r="CU7">
        <f>IF($AF$4="",1,--(OR(SUMPRODUCT(--(TRIM(MID(SUBSTITUTE(SUBSTITUTE($AF$4,"/",","),",",REPT(" ",99)),(ROW($1:$8)-1)*99+1,99))&lt;&gt;""),--ISNUMBER(SEARCH(TRIM(MID(SUBSTITUTE(SUBSTITUTE($AF$4,"/",","),",",REPT(" ",99)),(ROW($1:$8)-1)*99+1,99)),IFERROR((IF('Final Calculation Sheet'!$AD$6&lt;=5,"SETTLED","OUTSTANDING"))&amp;"",""))))&gt;0,AND(ISNUMBER(SEARCH("blank",$AF$4)),NOT(ISNUMBER(SEARCH("nonblank",$AF$4))),IFERROR((IF('Final Calculation Sheet'!$AD$6&lt;=5,"SETTLED","OUTSTANDING"))&amp;"","")=""),AND(OR(ISNUMBER(SEARCH("nonblank",$AF$4)),ISNUMBER(SEARCH("&lt;&gt;",$AF$4))),IFERROR((IF('Final Calculation Sheet'!$AD$6&lt;=5,"SETTLED","OUTSTANDING"))&amp;"","")&lt;&gt;""),AND(TRIM($AF$4)="",IFERROR((IF('Final Calculation Sheet'!$AD$6&lt;=5,"SETTLED","OUTSTANDING"))&amp;"","")=""))))</f>
        <v/>
      </c>
    </row>
    <row r="8" ht="15" customHeight="1" s="137">
      <c r="A8" s="67">
        <f>IF($BJ7&gt;0,INDEX($BA$5:$BA$41,MATCH(7,$BB$5:$BB$41,0)),IF(OR($BI7=1,$BL7=1,$BH7&gt;0),"∑",""))</f>
        <v/>
      </c>
      <c r="B8" s="76">
        <f>IF($BJ7&gt;0,IF(INDEX('Final Calculation Sheet'!$F$4:$F$40,$BJ7-3)="","",INDEX('Final Calculation Sheet'!$F$4:$F$40,$BJ7-3)),"")</f>
        <v/>
      </c>
      <c r="C8" s="76">
        <f>IF($BJ7&gt;0,IF(INDEX('Final Calculation Sheet'!$G$4:$G$40,$BJ7-3)="","",INDEX('Final Calculation Sheet'!$G$4:$G$40,$BJ7-3)),IF(OR($BI7=1,$BL7=1,$BH7&gt;0),IF($BI7=1,37,IF($BL7=1,37-INDEX($BD$4:$BD$13,10),INDEX($BD$4:$BD$13,$BH7)))&amp;" lot(s)",""))</f>
        <v/>
      </c>
      <c r="D8" s="80">
        <f>IF($BJ7&gt;0,IF(INDEX('Final Calculation Sheet'!$B$4:$B$40,$BJ7-3)="","",INDEX('Final Calculation Sheet'!$B$4:$B$40,$BJ7-3)),IF(OR($BI7=1,$BL7=1,$BH7&gt;0),IF($BI7=1,"GRAND TOTAL  —  matching + remaining",IF($BL7=1,"TOTAL MATCHED  —  every group together",IF($BH7=10,"REMAINING  —  did not match the search",IF($BH7=9,IF(COUNTIF($A$4:$AI$4,"&lt;&gt;")&gt;0,"FILTERED LOTS  —  column fields","ALL LOTS  —  nothing typed in the box"),"GROUP "&amp;$BH7&amp;" TOTAL  —  lots matching  "&amp;INDEX($AR$6:$AY$6,$BH7))))),""))</f>
        <v/>
      </c>
      <c r="E8" s="80">
        <f>IF($BJ7&gt;0,IF(INDEX('Final Calculation Sheet'!$D$4:$D$40,$BJ7-3)="","",INDEX('Final Calculation Sheet'!$D$4:$D$40,$BJ7-3)),IF(OR($BI7=1,$BL7=1,$BH7&gt;0),"–",""))</f>
        <v/>
      </c>
      <c r="F8" s="80">
        <f>IF($BJ7&gt;0,IF(INDEX('Final Calculation Sheet'!$A$4:$A$40,$BJ7-3)="","",INDEX('Final Calculation Sheet'!$A$4:$A$40,$BJ7-3)),IF(OR($BI7=1,$BL7=1,$BH7&gt;0),IF($BI7=1,SUM('Final Calculation Sheet'!$A$4:$A$40),IF($BL7=1,SUM('Final Calculation Sheet'!$A$4:$A$40)-SUMIFS('Final Calculation Sheet'!$A$4:$A$40,$AZ$5:$AZ$41,10),SUMIFS('Final Calculation Sheet'!$A$4:$A$40,$AZ$5:$AZ$41,$BH7))),""))</f>
        <v/>
      </c>
      <c r="G8" s="80">
        <f>IF($BJ7&gt;0,IF(INDEX('Final Calculation Sheet'!$E$4:$E$40,$BJ7-3)="","",INDEX('Final Calculation Sheet'!$E$4:$E$40,$BJ7-3)),IF(OR($BI7=1,$BL7=1,$BH7&gt;0),"–",""))</f>
        <v/>
      </c>
      <c r="H8" s="70">
        <f>IF($BJ7&gt;0,IF(INDEX('Final Calculation Sheet'!$C$4:$C$40,$BJ7-3)="","",INDEX('Final Calculation Sheet'!$C$4:$C$40,$BJ7-3)),IF(OR($BI7=1,$BL7=1,$BH7&gt;0),"–",""))</f>
        <v/>
      </c>
      <c r="I8" s="70">
        <f>IF($BJ7&gt;0,IF(INDEX('Final Calculation Sheet'!$H$4:$H$40,$BJ7-3)="","",INDEX('Final Calculation Sheet'!$H$4:$H$40,$BJ7-3)),IF(OR($BI7=1,$BL7=1,$BH7&gt;0),IF($BI7=1,SUM('Final Calculation Sheet'!$H$4:$H$40),IF($BL7=1,SUM('Final Calculation Sheet'!$H$4:$H$40)-SUMIFS('Final Calculation Sheet'!$H$4:$H$40,$AZ$5:$AZ$41,10),SUMIFS('Final Calculation Sheet'!$H$4:$H$40,$AZ$5:$AZ$41,$BH7))),""))</f>
        <v/>
      </c>
      <c r="J8" s="70">
        <f>IF($BJ7&gt;0,IF(INDEX('Final Calculation Sheet'!$I$4:$I$40,$BJ7-3)="","",INDEX('Final Calculation Sheet'!$I$4:$I$40,$BJ7-3)),IF(OR($BI7=1,$BL7=1,$BH7&gt;0),IF($BI7=1,SUM('Final Calculation Sheet'!$I$4:$I$40),IF($BL7=1,SUM('Final Calculation Sheet'!$I$4:$I$40)-SUMIFS('Final Calculation Sheet'!$I$4:$I$40,$AZ$5:$AZ$41,10),SUMIFS('Final Calculation Sheet'!$I$4:$I$40,$AZ$5:$AZ$41,$BH7))),""))</f>
        <v/>
      </c>
      <c r="K8" s="70">
        <f>IF($BJ7&gt;0,IF(INDEX('Final Calculation Sheet'!$J$4:$J$40,$BJ7-3)="","",INDEX('Final Calculation Sheet'!$J$4:$J$40,$BJ7-3)),IF(OR($BI7=1,$BL7=1,$BH7&gt;0),IF($BI7=1,SUM('Final Calculation Sheet'!$J$4:$J$40),IF($BL7=1,SUM('Final Calculation Sheet'!$J$4:$J$40)-SUMIFS('Final Calculation Sheet'!$J$4:$J$40,$AZ$5:$AZ$41,10),SUMIFS('Final Calculation Sheet'!$J$4:$J$40,$AZ$5:$AZ$41,$BH7))),""))</f>
        <v/>
      </c>
      <c r="L8" s="70">
        <f>IF($BJ7&gt;0,IF(INDEX('Final Calculation Sheet'!$K$4:$K$40,$BJ7-3)="","",INDEX('Final Calculation Sheet'!$K$4:$K$40,$BJ7-3)),IF(OR($BI7=1,$BL7=1,$BH7&gt;0),IF($BI7=1,SUM('Final Calculation Sheet'!$K$4:$K$40),IF($BL7=1,SUM('Final Calculation Sheet'!$K$4:$K$40)-SUMIFS('Final Calculation Sheet'!$K$4:$K$40,$AZ$5:$AZ$41,10),SUMIFS('Final Calculation Sheet'!$K$4:$K$40,$AZ$5:$AZ$41,$BH7))),""))</f>
        <v/>
      </c>
      <c r="M8" s="70">
        <f>IF($BJ7&gt;0,IF(INDEX('Final Calculation Sheet'!$L$4:$L$40,$BJ7-3)="","",INDEX('Final Calculation Sheet'!$L$4:$L$40,$BJ7-3)),IF(OR($BI7=1,$BL7=1,$BH7&gt;0),IF($BI7=1,SUM('Final Calculation Sheet'!$L$4:$L$40),IF($BL7=1,SUM('Final Calculation Sheet'!$L$4:$L$40)-SUMIFS('Final Calculation Sheet'!$L$4:$L$40,$AZ$5:$AZ$41,10),SUMIFS('Final Calculation Sheet'!$L$4:$L$40,$AZ$5:$AZ$41,$BH7))),""))</f>
        <v/>
      </c>
      <c r="N8" s="70">
        <f>IF($BJ7&gt;0,IF(INDEX('Final Calculation Sheet'!$M$4:$M$40,$BJ7-3)="","",INDEX('Final Calculation Sheet'!$M$4:$M$40,$BJ7-3)),IF(OR($BI7=1,$BL7=1,$BH7&gt;0),IF($BI7=1,SUM('Final Calculation Sheet'!$M$4:$M$40),IF($BL7=1,SUM('Final Calculation Sheet'!$M$4:$M$40)-SUMIFS('Final Calculation Sheet'!$M$4:$M$40,$AZ$5:$AZ$41,10),SUMIFS('Final Calculation Sheet'!$M$4:$M$40,$AZ$5:$AZ$41,$BH7))),""))</f>
        <v/>
      </c>
      <c r="O8" s="71">
        <f>IF($BJ7&gt;0,IF(INDEX('Final Calculation Sheet'!$N$4:$N$40,$BJ7-3)="","",INDEX('Final Calculation Sheet'!$N$4:$N$40,$BJ7-3)),IF(OR($BI7=1,$BL7=1,$BH7&gt;0),IF($BI7=1,SUM('Final Calculation Sheet'!$N$4:$N$40),IF($BL7=1,SUM('Final Calculation Sheet'!$N$4:$N$40)-SUMIFS('Final Calculation Sheet'!$N$4:$N$40,$AZ$5:$AZ$41,10),SUMIFS('Final Calculation Sheet'!$N$4:$N$40,$AZ$5:$AZ$41,$BH7))),""))</f>
        <v/>
      </c>
      <c r="P8" s="70">
        <f>IF($BJ7&gt;0,IF(INDEX('Final Calculation Sheet'!$O$4:$O$40,$BJ7-3)="","",INDEX('Final Calculation Sheet'!$O$4:$O$40,$BJ7-3)),IF(OR($BI7=1,$BL7=1,$BH7&gt;0),IF($BI7=1,SUM('Final Calculation Sheet'!$O$4:$O$40),IF($BL7=1,SUM('Final Calculation Sheet'!$O$4:$O$40)-SUMIFS('Final Calculation Sheet'!$O$4:$O$40,$AZ$5:$AZ$41,10),SUMIFS('Final Calculation Sheet'!$O$4:$O$40,$AZ$5:$AZ$41,$BH7))),""))</f>
        <v/>
      </c>
      <c r="Q8" s="70">
        <f>IF($BJ7&gt;0,IF(INDEX('Final Calculation Sheet'!$P$4:$P$40,$BJ7-3)="","",INDEX('Final Calculation Sheet'!$P$4:$P$40,$BJ7-3)),IF(OR($BI7=1,$BL7=1,$BH7&gt;0),IF($BI7=1,SUM('Final Calculation Sheet'!$P$4:$P$40),IF($BL7=1,SUM('Final Calculation Sheet'!$P$4:$P$40)-SUMIFS('Final Calculation Sheet'!$P$4:$P$40,$AZ$5:$AZ$41,10),SUMIFS('Final Calculation Sheet'!$P$4:$P$40,$AZ$5:$AZ$41,$BH7))),""))</f>
        <v/>
      </c>
      <c r="R8" s="72">
        <f>IF($BJ7&gt;0,IF(INDEX('Final Calculation Sheet'!$Q$4:$Q$40,$BJ7-3)="","",INDEX('Final Calculation Sheet'!$Q$4:$Q$40,$BJ7-3)),IF(OR($BI7=1,$BL7=1,$BH7&gt;0),"–",""))</f>
        <v/>
      </c>
      <c r="S8" s="70">
        <f>IF($BJ7&gt;0,IF(INDEX('Final Calculation Sheet'!$R$4:$R$40,$BJ7-3)="","",INDEX('Final Calculation Sheet'!$R$4:$R$40,$BJ7-3)),IF(OR($BI7=1,$BL7=1,$BH7&gt;0),IF($BI7=1,SUM('Final Calculation Sheet'!$R$4:$R$40),IF($BL7=1,SUM('Final Calculation Sheet'!$R$4:$R$40)-SUMIFS('Final Calculation Sheet'!$R$4:$R$40,$AZ$5:$AZ$41,10),SUMIFS('Final Calculation Sheet'!$R$4:$R$40,$AZ$5:$AZ$41,$BH7))),""))</f>
        <v/>
      </c>
      <c r="T8" s="70">
        <f>IF($BJ7&gt;0,IF(INDEX('Final Calculation Sheet'!$S$4:$S$40,$BJ7-3)="","",INDEX('Final Calculation Sheet'!$S$4:$S$40,$BJ7-3)),IF(OR($BI7=1,$BL7=1,$BH7&gt;0),IF($BI7=1,SUM('Final Calculation Sheet'!$S$4:$S$40),IF($BL7=1,SUM('Final Calculation Sheet'!$S$4:$S$40)-SUMIFS('Final Calculation Sheet'!$S$4:$S$40,$AZ$5:$AZ$41,10),SUMIFS('Final Calculation Sheet'!$S$4:$S$40,$AZ$5:$AZ$41,$BH7))),""))</f>
        <v/>
      </c>
      <c r="U8" s="70">
        <f>IF($BJ7&gt;0,IF(INDEX('Final Calculation Sheet'!$T$4:$T$40,$BJ7-3)="","",INDEX('Final Calculation Sheet'!$T$4:$T$40,$BJ7-3)),IF(OR($BI7=1,$BL7=1,$BH7&gt;0),IF($BI7=1,SUM('Final Calculation Sheet'!$T$4:$T$40),IF($BL7=1,SUM('Final Calculation Sheet'!$T$4:$T$40)-SUMIFS('Final Calculation Sheet'!$T$4:$T$40,$AZ$5:$AZ$41,10),SUMIFS('Final Calculation Sheet'!$T$4:$T$40,$AZ$5:$AZ$41,$BH7))),""))</f>
        <v/>
      </c>
      <c r="V8" s="73">
        <f>IF($BJ7&gt;0,IF(INDEX('Final Calculation Sheet'!$U$4:$U$40,$BJ7-3)="","",INDEX('Final Calculation Sheet'!$U$4:$U$40,$BJ7-3)),IF(OR($BI7=1,$BL7=1,$BH7&gt;0),IF($BI7=1,SUM('Final Calculation Sheet'!$U$4:$U$40),IF($BL7=1,SUM('Final Calculation Sheet'!$U$4:$U$40)-SUMIFS('Final Calculation Sheet'!$U$4:$U$40,$AZ$5:$AZ$41,10),SUMIFS('Final Calculation Sheet'!$U$4:$U$40,$AZ$5:$AZ$41,$BH7))),""))</f>
        <v/>
      </c>
      <c r="W8" s="70">
        <f>IF($BJ7&gt;0,IF(INDEX('Final Calculation Sheet'!$V$4:$V$40,$BJ7-3)="","",INDEX('Final Calculation Sheet'!$V$4:$V$40,$BJ7-3)),IF(OR($BI7=1,$BL7=1,$BH7&gt;0),"–",""))</f>
        <v/>
      </c>
      <c r="X8" s="70">
        <f>IF($BJ7&gt;0,IF(INDEX('Final Calculation Sheet'!$W$4:$W$40,$BJ7-3)="","",INDEX('Final Calculation Sheet'!$W$4:$W$40,$BJ7-3)),IF(OR($BI7=1,$BL7=1,$BH7&gt;0),IF($BI7=1,SUM('Final Calculation Sheet'!$W$4:$W$40),IF($BL7=1,SUM('Final Calculation Sheet'!$W$4:$W$40)-SUMIFS('Final Calculation Sheet'!$W$4:$W$40,$AZ$5:$AZ$41,10),SUMIFS('Final Calculation Sheet'!$W$4:$W$40,$AZ$5:$AZ$41,$BH7))),""))</f>
        <v/>
      </c>
      <c r="Y8" s="70">
        <f>IF($BJ7&gt;0,IF(INDEX('Final Calculation Sheet'!$X$4:$X$40,$BJ7-3)="","",INDEX('Final Calculation Sheet'!$X$4:$X$40,$BJ7-3)),IF(OR($BI7=1,$BL7=1,$BH7&gt;0),IF($BI7=1,SUM('Final Calculation Sheet'!$X$4:$X$40),IF($BL7=1,SUM('Final Calculation Sheet'!$X$4:$X$40)-SUMIFS('Final Calculation Sheet'!$X$4:$X$40,$AZ$5:$AZ$41,10),SUMIFS('Final Calculation Sheet'!$X$4:$X$40,$AZ$5:$AZ$41,$BH7))),""))</f>
        <v/>
      </c>
      <c r="Z8" s="70">
        <f>IF($BJ7&gt;0,IF(INDEX('Final Calculation Sheet'!$Y$4:$Y$40,$BJ7-3)="","",INDEX('Final Calculation Sheet'!$Y$4:$Y$40,$BJ7-3)),IF(OR($BI7=1,$BL7=1,$BH7&gt;0),"–",""))</f>
        <v/>
      </c>
      <c r="AA8" s="70">
        <f>IF($BJ7&gt;0,IF(INDEX('Final Calculation Sheet'!$Z$4:$Z$40,$BJ7-3)="","",INDEX('Final Calculation Sheet'!$Z$4:$Z$40,$BJ7-3)),IF(OR($BI7=1,$BL7=1,$BH7&gt;0),IF($BI7=1,SUM('Final Calculation Sheet'!$Z$4:$Z$40),IF($BL7=1,SUM('Final Calculation Sheet'!$Z$4:$Z$40)-SUMIFS('Final Calculation Sheet'!$Z$4:$Z$40,$AZ$5:$AZ$41,10),SUMIFS('Final Calculation Sheet'!$Z$4:$Z$40,$AZ$5:$AZ$41,$BH7))),""))</f>
        <v/>
      </c>
      <c r="AB8" s="70">
        <f>IF($BJ7&gt;0,IF(INDEX('Final Calculation Sheet'!$AA$4:$AA$40,$BJ7-3)="","",INDEX('Final Calculation Sheet'!$AA$4:$AA$40,$BJ7-3)),IF(OR($BI7=1,$BL7=1,$BH7&gt;0),IF($BI7=1,SUM('Final Calculation Sheet'!$AA$4:$AA$40),IF($BL7=1,SUM('Final Calculation Sheet'!$AA$4:$AA$40)-SUMIFS('Final Calculation Sheet'!$AA$4:$AA$40,$AZ$5:$AZ$41,10),SUMIFS('Final Calculation Sheet'!$AA$4:$AA$40,$AZ$5:$AZ$41,$BH7))),""))</f>
        <v/>
      </c>
      <c r="AC8" s="70">
        <f>IF($BJ7&gt;0,IF(INDEX('Final Calculation Sheet'!$AB$4:$AB$40,$BJ7-3)="","",INDEX('Final Calculation Sheet'!$AB$4:$AB$40,$BJ7-3)),IF(OR($BI7=1,$BL7=1,$BH7&gt;0),"–",""))</f>
        <v/>
      </c>
      <c r="AD8" s="70">
        <f>IF($BJ7&gt;0,IF(INDEX('Final Calculation Sheet'!$AC$4:$AC$40,$BJ7-3)="","",INDEX('Final Calculation Sheet'!$AC$4:$AC$40,$BJ7-3)),IF(OR($BI7=1,$BL7=1,$BH7&gt;0),IF($BI7=1,SUM('Final Calculation Sheet'!$AC$4:$AC$40),IF($BL7=1,SUM('Final Calculation Sheet'!$AC$4:$AC$40)-SUMIFS('Final Calculation Sheet'!$AC$4:$AC$40,$AZ$5:$AZ$41,10),SUMIFS('Final Calculation Sheet'!$AC$4:$AC$40,$AZ$5:$AZ$41,$BH7))),""))</f>
        <v/>
      </c>
      <c r="AE8" s="70">
        <f>IF($BJ7&gt;0,IF(INDEX('Final Calculation Sheet'!$AD$4:$AD$40,$BJ7-3)="","",INDEX('Final Calculation Sheet'!$AD$4:$AD$40,$BJ7-3)),IF(OR($BI7=1,$BL7=1,$BH7&gt;0),IF($BI7=1,SUM('Final Calculation Sheet'!$AD$4:$AD$40),IF($BL7=1,SUM('Final Calculation Sheet'!$AD$4:$AD$40)-SUMIFS('Final Calculation Sheet'!$AD$4:$AD$40,$AZ$5:$AZ$41,10),SUMIFS('Final Calculation Sheet'!$AD$4:$AD$40,$AZ$5:$AZ$41,$BH7))),""))</f>
        <v/>
      </c>
      <c r="AF8" s="75">
        <f>IF($BJ7&gt;0,IF(INDEX('Final Calculation Sheet'!$AD$4:$AD$40,$BJ7-3)="","",IF(INDEX('Final Calculation Sheet'!$AD$4:$AD$40,$BJ7-3)&lt;=5,"SETTLED","OUTSTANDING")),IF(OR($BI7=1,$BL7=1,$BH7&gt;0),IF(IF($BI7=1,SUM('Final Calculation Sheet'!$AD$4:$AD$40),IF($BL7=1,SUM('Final Calculation Sheet'!$AD$4:$AD$40)-SUMIFS('Final Calculation Sheet'!$AD$4:$AD$40,$AZ$5:$AZ$41,10),SUMIFS('Final Calculation Sheet'!$AD$4:$AD$40,$AZ$5:$AZ$41,$BH7)))&lt;=5,"ALL SETTLED","OUTSTANDING"),""))</f>
        <v/>
      </c>
      <c r="AG8" s="70">
        <f>IF($BJ7&gt;0,IF(INDEX('Final Calculation Sheet'!$AF$4:$AF$40,$BJ7-3)="","",INDEX('Final Calculation Sheet'!$AF$4:$AF$40,$BJ7-3)),IF(OR($BI7=1,$BL7=1,$BH7&gt;0),"–",""))</f>
        <v/>
      </c>
      <c r="AH8" s="74">
        <f>IF($BJ7&gt;0,IF(INDEX('Final Calculation Sheet'!$AG$4:$AG$40,$BJ7-3)="","",INDEX('Final Calculation Sheet'!$AG$4:$AG$40,$BJ7-3)),IF(OR($BI7=1,$BL7=1,$BH7&gt;0),"–",""))</f>
        <v/>
      </c>
      <c r="AI8" s="70">
        <f>IF($BJ7&gt;0,IF(INDEX('Final Calculation Sheet'!$AH$4:$AH$40,$BJ7-3)="","",INDEX('Final Calculation Sheet'!$AH$4:$AH$40,$BJ7-3)),IF(OR($BI7=1,$BL7=1,$BH7&gt;0),"–",""))</f>
        <v/>
      </c>
      <c r="AJ8" s="76">
        <f>IF($B$3="",IF(ROW()=5,"— type above —",""),IF(ROW()-4&gt;AL$41,"",INDEX('Final Calculation Sheet'!$F$4:$F$40,MATCH(ROW()-4,$AL$5:$AL$41,0))&amp;" — "&amp;INDEX('Final Calculation Sheet'!$G$4:$G$40,MATCH(ROW()-4,$AL$5:$AL$41,0))))</f>
        <v/>
      </c>
      <c r="AK8">
        <f>IF($F$3="Lot No.",'Final Calculation Sheet'!$F$7,IF($F$3="Buyer",'Final Calculation Sheet'!$G$7,IF($F$3="Lot Name",'Final Calculation Sheet'!$B$7,IF($F$3="Bid Sheet",'Final Calculation Sheet'!$D$7,IF($F$3="Unit",'Final Calculation Sheet'!$E$7,'Final Calculation Sheet'!$F$7&amp;" "&amp;'Final Calculation Sheet'!$G$7&amp;" "&amp;'Final Calculation Sheet'!$B$7)))))</f>
        <v/>
      </c>
      <c r="AL8">
        <f>AL7+IF($B$3="",0,--(SUMPRODUCT(--($AR$6:$AY$6&lt;&gt;""),--ISNUMBER(SEARCH($AR$6:$AY$6,$AK8)))&gt;0))</f>
        <v/>
      </c>
      <c r="AM8">
        <f>IF(COUNTIF($BM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AO8" t="inlineStr">
        <is>
          <t>Bid Sheet</t>
        </is>
      </c>
      <c r="AR8" t="n">
        <v>1</v>
      </c>
      <c r="AS8">
        <f>IF($AR$7="+",$AR$8+1,$AR$8)</f>
        <v/>
      </c>
      <c r="AT8">
        <f>IF($AS$7="+",$AS$8+1,$AS$8)</f>
        <v/>
      </c>
      <c r="AU8">
        <f>IF($AT$7="+",$AT$8+1,$AT$8)</f>
        <v/>
      </c>
      <c r="AV8">
        <f>IF($AU$7="+",$AU$8+1,$AU$8)</f>
        <v/>
      </c>
      <c r="AW8">
        <f>IF($AV$7="+",$AV$8+1,$AV$8)</f>
        <v/>
      </c>
      <c r="AX8">
        <f>IF($AW$7="+",$AW$8+1,$AW$8)</f>
        <v/>
      </c>
      <c r="AY8">
        <f>IF($AX$7="+",$AX$8+1,$AX$8)</f>
        <v/>
      </c>
      <c r="AZ8">
        <f>IF($B$3="",IF(COUNTIF($A$4:$AI$4,"&lt;&gt;")=0,9,IF($AM8=1,9,10)),IF($AM8=0,10,IF(AND($AR$6&lt;&gt;"",ISNUMBER(SEARCH($AR$6,$AK8))),1,IF(AND($AS$6&lt;&gt;"",ISNUMBER(SEARCH($AS$6,$AK8))),2,IF(AND($AT$6&lt;&gt;"",ISNUMBER(SEARCH($AT$6,$AK8))),3,IF(AND($AU$6&lt;&gt;"",ISNUMBER(SEARCH($AU$6,$AK8))),4,IF(AND($AV$6&lt;&gt;"",ISNUMBER(SEARCH($AV$6,$AK8))),5,IF(AND($AW$6&lt;&gt;"",ISNUMBER(SEARCH($AW$6,$AK8))),6,IF(AND($AX$6&lt;&gt;"",ISNUMBER(SEARCH($AX$6,$AK8))),7,IF(AND($AY$6&lt;&gt;"",ISNUMBER(SEARCH($AY$6,$AK8))),8,0))))))))))</f>
        <v/>
      </c>
      <c r="BA8">
        <f>SUMPRODUCT(($AZ$5:$AZ$41=$AZ8)*($BC$5:$BC$41&lt;$BC8))+1</f>
        <v/>
      </c>
      <c r="BB8">
        <f>IF(INDEX($BF$4:$BF$13,$AZ8)=0,0,INDEX($BE$4:$BE$13,$AZ8)+$BA8-1)</f>
        <v/>
      </c>
      <c r="BC8" t="n">
        <v>7</v>
      </c>
      <c r="BD8">
        <f>COUNTIF($AZ$5:$AZ$41,5)</f>
        <v/>
      </c>
      <c r="BE8">
        <f>IF($BD7=0,$BE7,$BF7+1)</f>
        <v/>
      </c>
      <c r="BF8">
        <f>IF($BD8=0,0,$BE8+$BD8)</f>
        <v/>
      </c>
      <c r="BH8">
        <f>IFERROR(MATCH(8,$BF$4:$BF$13,0),0)</f>
        <v/>
      </c>
      <c r="BI8">
        <f>IF(8=$BG$5,1,0)</f>
        <v/>
      </c>
      <c r="BJ8">
        <f>IF(OR($BH8&gt;0,$BI8=1,$BL8=1),0,IFERROR(INDEX($BC$5:$BC$41,MATCH(8,$BB$5:$BB$41,0)),0))</f>
        <v/>
      </c>
      <c r="BK8">
        <f>IF($BJ8&gt;0,IF(INDEX($AZ$5:$AZ$41,MATCH(8,$BB$5:$BB$41,0))=10,1,0),IF($BH8=10,1,0))</f>
        <v/>
      </c>
      <c r="BL8">
        <f>IF(8=$BG$4,1,0)</f>
        <v/>
      </c>
      <c r="BM8">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8">
        <f>IF($B$4="",1,--(OR(SUMPRODUCT(--(TRIM(MID(SUBSTITUTE(SUBSTITUTE($B$4,"/",","),",",REPT(" ",99)),(ROW($1:$8)-1)*99+1,99))&lt;&gt;""),--ISNUMBER(SEARCH(TRIM(MID(SUBSTITUTE(SUBSTITUTE($B$4,"/",","),",",REPT(" ",99)),(ROW($1:$8)-1)*99+1,99)),IFERROR(('Final Calculation Sheet'!$F$7)&amp;"",""))))&gt;0,AND(ISNUMBER(SEARCH("blank",$B$4)),NOT(ISNUMBER(SEARCH("nonblank",$B$4))),IFERROR(('Final Calculation Sheet'!$F$7)&amp;"","")=""),AND(OR(ISNUMBER(SEARCH("nonblank",$B$4)),ISNUMBER(SEARCH("&lt;&gt;",$B$4))),IFERROR(('Final Calculation Sheet'!$F$7)&amp;"","")&lt;&gt;""),AND(TRIM($B$4)="",IFERROR(('Final Calculation Sheet'!$F$7)&amp;"","")=""))))</f>
        <v/>
      </c>
      <c r="BO8">
        <f>IF($CW$3="",1,--(OR(SUMPRODUCT(--(TRIM(MID(SUBSTITUTE(SUBSTITUTE($CW$3,"/",","),",",REPT(" ",99)),(ROW($1:$8)-1)*99+1,99))&lt;&gt;""),--ISNUMBER(SEARCH(TRIM(MID(SUBSTITUTE(SUBSTITUTE($CW$3,"/",","),",",REPT(" ",99)),(ROW($1:$8)-1)*99+1,99)),IFERROR(('Final Calculation Sheet'!$G$7)&amp;"",""))))&gt;0,AND(ISNUMBER(SEARCH("blank",$CW$3)),NOT(ISNUMBER(SEARCH("nonblank",$CW$3))),IFERROR(('Final Calculation Sheet'!$G$7)&amp;"","")=""),AND(OR(ISNUMBER(SEARCH("nonblank",$CW$3)),ISNUMBER(SEARCH("&lt;&gt;",$CW$3))),IFERROR(('Final Calculation Sheet'!$G$7)&amp;"","")&lt;&gt;""),AND(TRIM($CW$3)="",IFERROR(('Final Calculation Sheet'!$G$7)&amp;"","")=""))))</f>
        <v/>
      </c>
      <c r="BP8">
        <f>IF($D$4="",1,--(OR(SUMPRODUCT(--(TRIM(MID(SUBSTITUTE(SUBSTITUTE($D$4,"/",","),",",REPT(" ",99)),(ROW($1:$8)-1)*99+1,99))&lt;&gt;""),--ISNUMBER(SEARCH(TRIM(MID(SUBSTITUTE(SUBSTITUTE($D$4,"/",","),",",REPT(" ",99)),(ROW($1:$8)-1)*99+1,99)),IFERROR(('Final Calculation Sheet'!$B$7)&amp;"",""))))&gt;0,AND(ISNUMBER(SEARCH("blank",$D$4)),NOT(ISNUMBER(SEARCH("nonblank",$D$4))),IFERROR(('Final Calculation Sheet'!$B$7)&amp;"","")=""),AND(OR(ISNUMBER(SEARCH("nonblank",$D$4)),ISNUMBER(SEARCH("&lt;&gt;",$D$4))),IFERROR(('Final Calculation Sheet'!$B$7)&amp;"","")&lt;&gt;""),AND(TRIM($D$4)="",IFERROR(('Final Calculation Sheet'!$B$7)&amp;"","")=""))))</f>
        <v/>
      </c>
      <c r="BQ8">
        <f>IF($E$4="",1,--(OR(SUMPRODUCT(--(TRIM(MID(SUBSTITUTE(SUBSTITUTE($E$4,"/",","),",",REPT(" ",99)),(ROW($1:$8)-1)*99+1,99))&lt;&gt;""),--ISNUMBER(SEARCH(TRIM(MID(SUBSTITUTE(SUBSTITUTE($E$4,"/",","),",",REPT(" ",99)),(ROW($1:$8)-1)*99+1,99)),IFERROR(('Final Calculation Sheet'!$D$7)&amp;"",""))))&gt;0,AND(ISNUMBER(SEARCH("blank",$E$4)),NOT(ISNUMBER(SEARCH("nonblank",$E$4))),IFERROR(('Final Calculation Sheet'!$D$7)&amp;"","")=""),AND(OR(ISNUMBER(SEARCH("nonblank",$E$4)),ISNUMBER(SEARCH("&lt;&gt;",$E$4))),IFERROR(('Final Calculation Sheet'!$D$7)&amp;"","")&lt;&gt;""),AND(TRIM($E$4)="",IFERROR(('Final Calculation Sheet'!$D$7)&amp;"","")=""))))</f>
        <v/>
      </c>
      <c r="BR8">
        <f>IF($F$4="",1,--(OR(SUMPRODUCT(--(TRIM(MID(SUBSTITUTE(SUBSTITUTE($F$4,"/",","),",",REPT(" ",99)),(ROW($1:$8)-1)*99+1,99))&lt;&gt;""),--ISNUMBER(SEARCH(TRIM(MID(SUBSTITUTE(SUBSTITUTE($F$4,"/",","),",",REPT(" ",99)),(ROW($1:$8)-1)*99+1,99)),IFERROR(('Final Calculation Sheet'!$A$7)&amp;"",""))))&gt;0,AND(ISNUMBER(SEARCH("blank",$F$4)),NOT(ISNUMBER(SEARCH("nonblank",$F$4))),IFERROR(('Final Calculation Sheet'!$A$7)&amp;"","")=""),AND(OR(ISNUMBER(SEARCH("nonblank",$F$4)),ISNUMBER(SEARCH("&lt;&gt;",$F$4))),IFERROR(('Final Calculation Sheet'!$A$7)&amp;"","")&lt;&gt;""),AND(TRIM($F$4)="",IFERROR(('Final Calculation Sheet'!$A$7)&amp;"","")=""))))</f>
        <v/>
      </c>
      <c r="BS8">
        <f>IF($G$4="",1,--(OR(SUMPRODUCT(--(TRIM(MID(SUBSTITUTE(SUBSTITUTE($G$4,"/",","),",",REPT(" ",99)),(ROW($1:$8)-1)*99+1,99))&lt;&gt;""),--ISNUMBER(SEARCH(TRIM(MID(SUBSTITUTE(SUBSTITUTE($G$4,"/",","),",",REPT(" ",99)),(ROW($1:$8)-1)*99+1,99)),IFERROR(('Final Calculation Sheet'!$E$7)&amp;"",""))))&gt;0,AND(ISNUMBER(SEARCH("blank",$G$4)),NOT(ISNUMBER(SEARCH("nonblank",$G$4))),IFERROR(('Final Calculation Sheet'!$E$7)&amp;"","")=""),AND(OR(ISNUMBER(SEARCH("nonblank",$G$4)),ISNUMBER(SEARCH("&lt;&gt;",$G$4))),IFERROR(('Final Calculation Sheet'!$E$7)&amp;"","")&lt;&gt;""),AND(TRIM($G$4)="",IFERROR(('Final Calculation Sheet'!$E$7)&amp;"","")=""))))</f>
        <v/>
      </c>
      <c r="BT8">
        <f>IF($H$4="",1,--(OR(SUMPRODUCT(--(TRIM(MID(SUBSTITUTE(SUBSTITUTE($H$4,"/",","),",",REPT(" ",99)),(ROW($1:$8)-1)*99+1,99))&lt;&gt;""),--ISNUMBER(SEARCH(TRIM(MID(SUBSTITUTE(SUBSTITUTE($H$4,"/",","),",",REPT(" ",99)),(ROW($1:$8)-1)*99+1,99)),IFERROR(('Final Calculation Sheet'!$C$7)&amp;"",""))))&gt;0,AND(ISNUMBER(SEARCH("blank",$H$4)),NOT(ISNUMBER(SEARCH("nonblank",$H$4))),IFERROR(('Final Calculation Sheet'!$C$7)&amp;"","")=""),AND(OR(ISNUMBER(SEARCH("nonblank",$H$4)),ISNUMBER(SEARCH("&lt;&gt;",$H$4))),IFERROR(('Final Calculation Sheet'!$C$7)&amp;"","")&lt;&gt;""),AND(TRIM($H$4)="",IFERROR(('Final Calculation Sheet'!$C$7)&amp;"","")=""))))</f>
        <v/>
      </c>
      <c r="BU8">
        <f>IF($I$4="",1,--(OR(SUMPRODUCT(--(TRIM(MID(SUBSTITUTE(SUBSTITUTE($I$4,"/",","),",",REPT(" ",99)),(ROW($1:$8)-1)*99+1,99))&lt;&gt;""),--ISNUMBER(SEARCH(TRIM(MID(SUBSTITUTE(SUBSTITUTE($I$4,"/",","),",",REPT(" ",99)),(ROW($1:$8)-1)*99+1,99)),IFERROR(('Final Calculation Sheet'!$H$7)&amp;"",""))))&gt;0,AND(ISNUMBER(SEARCH("blank",$I$4)),NOT(ISNUMBER(SEARCH("nonblank",$I$4))),IFERROR(('Final Calculation Sheet'!$H$7)&amp;"","")=""),AND(OR(ISNUMBER(SEARCH("nonblank",$I$4)),ISNUMBER(SEARCH("&lt;&gt;",$I$4))),IFERROR(('Final Calculation Sheet'!$H$7)&amp;"","")&lt;&gt;""),AND(TRIM($I$4)="",IFERROR(('Final Calculation Sheet'!$H$7)&amp;"","")=""))))</f>
        <v/>
      </c>
      <c r="BV8">
        <f>IF($J$4="",1,--(OR(SUMPRODUCT(--(TRIM(MID(SUBSTITUTE(SUBSTITUTE($J$4,"/",","),",",REPT(" ",99)),(ROW($1:$8)-1)*99+1,99))&lt;&gt;""),--ISNUMBER(SEARCH(TRIM(MID(SUBSTITUTE(SUBSTITUTE($J$4,"/",","),",",REPT(" ",99)),(ROW($1:$8)-1)*99+1,99)),IFERROR(('Final Calculation Sheet'!$I$7)&amp;"",""))))&gt;0,AND(ISNUMBER(SEARCH("blank",$J$4)),NOT(ISNUMBER(SEARCH("nonblank",$J$4))),IFERROR(('Final Calculation Sheet'!$I$7)&amp;"","")=""),AND(OR(ISNUMBER(SEARCH("nonblank",$J$4)),ISNUMBER(SEARCH("&lt;&gt;",$J$4))),IFERROR(('Final Calculation Sheet'!$I$7)&amp;"","")&lt;&gt;""),AND(TRIM($J$4)="",IFERROR(('Final Calculation Sheet'!$I$7)&amp;"","")=""))))</f>
        <v/>
      </c>
      <c r="BW8">
        <f>IF($K$4="",1,--(OR(SUMPRODUCT(--(TRIM(MID(SUBSTITUTE(SUBSTITUTE($K$4,"/",","),",",REPT(" ",99)),(ROW($1:$8)-1)*99+1,99))&lt;&gt;""),--ISNUMBER(SEARCH(TRIM(MID(SUBSTITUTE(SUBSTITUTE($K$4,"/",","),",",REPT(" ",99)),(ROW($1:$8)-1)*99+1,99)),IFERROR(('Final Calculation Sheet'!$J$7)&amp;"",""))))&gt;0,AND(ISNUMBER(SEARCH("blank",$K$4)),NOT(ISNUMBER(SEARCH("nonblank",$K$4))),IFERROR(('Final Calculation Sheet'!$J$7)&amp;"","")=""),AND(OR(ISNUMBER(SEARCH("nonblank",$K$4)),ISNUMBER(SEARCH("&lt;&gt;",$K$4))),IFERROR(('Final Calculation Sheet'!$J$7)&amp;"","")&lt;&gt;""),AND(TRIM($K$4)="",IFERROR(('Final Calculation Sheet'!$J$7)&amp;"","")=""))))</f>
        <v/>
      </c>
      <c r="BX8">
        <f>IF($L$4="",1,--(OR(SUMPRODUCT(--(TRIM(MID(SUBSTITUTE(SUBSTITUTE($L$4,"/",","),",",REPT(" ",99)),(ROW($1:$8)-1)*99+1,99))&lt;&gt;""),--ISNUMBER(SEARCH(TRIM(MID(SUBSTITUTE(SUBSTITUTE($L$4,"/",","),",",REPT(" ",99)),(ROW($1:$8)-1)*99+1,99)),IFERROR(('Final Calculation Sheet'!$K$7)&amp;"",""))))&gt;0,AND(ISNUMBER(SEARCH("blank",$L$4)),NOT(ISNUMBER(SEARCH("nonblank",$L$4))),IFERROR(('Final Calculation Sheet'!$K$7)&amp;"","")=""),AND(OR(ISNUMBER(SEARCH("nonblank",$L$4)),ISNUMBER(SEARCH("&lt;&gt;",$L$4))),IFERROR(('Final Calculation Sheet'!$K$7)&amp;"","")&lt;&gt;""),AND(TRIM($L$4)="",IFERROR(('Final Calculation Sheet'!$K$7)&amp;"","")=""))))</f>
        <v/>
      </c>
      <c r="BY8">
        <f>IF($M$4="",1,--(OR(SUMPRODUCT(--(TRIM(MID(SUBSTITUTE(SUBSTITUTE($M$4,"/",","),",",REPT(" ",99)),(ROW($1:$8)-1)*99+1,99))&lt;&gt;""),--ISNUMBER(SEARCH(TRIM(MID(SUBSTITUTE(SUBSTITUTE($M$4,"/",","),",",REPT(" ",99)),(ROW($1:$8)-1)*99+1,99)),IFERROR(('Final Calculation Sheet'!$L$7)&amp;"",""))))&gt;0,AND(ISNUMBER(SEARCH("blank",$M$4)),NOT(ISNUMBER(SEARCH("nonblank",$M$4))),IFERROR(('Final Calculation Sheet'!$L$7)&amp;"","")=""),AND(OR(ISNUMBER(SEARCH("nonblank",$M$4)),ISNUMBER(SEARCH("&lt;&gt;",$M$4))),IFERROR(('Final Calculation Sheet'!$L$7)&amp;"","")&lt;&gt;""),AND(TRIM($M$4)="",IFERROR(('Final Calculation Sheet'!$L$7)&amp;"","")=""))))</f>
        <v/>
      </c>
      <c r="BZ8">
        <f>IF($N$4="",1,--(OR(SUMPRODUCT(--(TRIM(MID(SUBSTITUTE(SUBSTITUTE($N$4,"/",","),",",REPT(" ",99)),(ROW($1:$8)-1)*99+1,99))&lt;&gt;""),--ISNUMBER(SEARCH(TRIM(MID(SUBSTITUTE(SUBSTITUTE($N$4,"/",","),",",REPT(" ",99)),(ROW($1:$8)-1)*99+1,99)),IFERROR(('Final Calculation Sheet'!$M$7)&amp;"",""))))&gt;0,AND(ISNUMBER(SEARCH("blank",$N$4)),NOT(ISNUMBER(SEARCH("nonblank",$N$4))),IFERROR(('Final Calculation Sheet'!$M$7)&amp;"","")=""),AND(OR(ISNUMBER(SEARCH("nonblank",$N$4)),ISNUMBER(SEARCH("&lt;&gt;",$N$4))),IFERROR(('Final Calculation Sheet'!$M$7)&amp;"","")&lt;&gt;""),AND(TRIM($N$4)="",IFERROR(('Final Calculation Sheet'!$M$7)&amp;"","")=""))))</f>
        <v/>
      </c>
      <c r="CA8">
        <f>IF($O$4="",1,--(OR(SUMPRODUCT(--(TRIM(MID(SUBSTITUTE(SUBSTITUTE($O$4,"/",","),",",REPT(" ",99)),(ROW($1:$8)-1)*99+1,99))&lt;&gt;""),--ISNUMBER(SEARCH(TRIM(MID(SUBSTITUTE(SUBSTITUTE($O$4,"/",","),",",REPT(" ",99)),(ROW($1:$8)-1)*99+1,99)),IFERROR(('Final Calculation Sheet'!$N$7)&amp;"",""))))&gt;0,AND(ISNUMBER(SEARCH("blank",$O$4)),NOT(ISNUMBER(SEARCH("nonblank",$O$4))),IFERROR(('Final Calculation Sheet'!$N$7)&amp;"","")=""),AND(OR(ISNUMBER(SEARCH("nonblank",$O$4)),ISNUMBER(SEARCH("&lt;&gt;",$O$4))),IFERROR(('Final Calculation Sheet'!$N$7)&amp;"","")&lt;&gt;""),AND(TRIM($O$4)="",IFERROR(('Final Calculation Sheet'!$N$7)&amp;"","")=""))))</f>
        <v/>
      </c>
      <c r="CB8">
        <f>IF($P$4="",1,--(OR(SUMPRODUCT(--(TRIM(MID(SUBSTITUTE(SUBSTITUTE($P$4,"/",","),",",REPT(" ",99)),(ROW($1:$8)-1)*99+1,99))&lt;&gt;""),--ISNUMBER(SEARCH(TRIM(MID(SUBSTITUTE(SUBSTITUTE($P$4,"/",","),",",REPT(" ",99)),(ROW($1:$8)-1)*99+1,99)),IFERROR(('Final Calculation Sheet'!$O$7)&amp;"",""))))&gt;0,AND(ISNUMBER(SEARCH("blank",$P$4)),NOT(ISNUMBER(SEARCH("nonblank",$P$4))),IFERROR(('Final Calculation Sheet'!$O$7)&amp;"","")=""),AND(OR(ISNUMBER(SEARCH("nonblank",$P$4)),ISNUMBER(SEARCH("&lt;&gt;",$P$4))),IFERROR(('Final Calculation Sheet'!$O$7)&amp;"","")&lt;&gt;""),AND(TRIM($P$4)="",IFERROR(('Final Calculation Sheet'!$O$7)&amp;"","")=""))))</f>
        <v/>
      </c>
      <c r="CC8">
        <f>IF($Q$4="",1,--(OR(SUMPRODUCT(--(TRIM(MID(SUBSTITUTE(SUBSTITUTE($Q$4,"/",","),",",REPT(" ",99)),(ROW($1:$8)-1)*99+1,99))&lt;&gt;""),--ISNUMBER(SEARCH(TRIM(MID(SUBSTITUTE(SUBSTITUTE($Q$4,"/",","),",",REPT(" ",99)),(ROW($1:$8)-1)*99+1,99)),IFERROR(('Final Calculation Sheet'!$P$7)&amp;"",""))))&gt;0,AND(ISNUMBER(SEARCH("blank",$Q$4)),NOT(ISNUMBER(SEARCH("nonblank",$Q$4))),IFERROR(('Final Calculation Sheet'!$P$7)&amp;"","")=""),AND(OR(ISNUMBER(SEARCH("nonblank",$Q$4)),ISNUMBER(SEARCH("&lt;&gt;",$Q$4))),IFERROR(('Final Calculation Sheet'!$P$7)&amp;"","")&lt;&gt;""),AND(TRIM($Q$4)="",IFERROR(('Final Calculation Sheet'!$P$7)&amp;"","")=""))))</f>
        <v/>
      </c>
      <c r="CD8">
        <f>IF($R$4="",1,--(OR(SUMPRODUCT(--(TRIM(MID(SUBSTITUTE(SUBSTITUTE($R$4,"/",","),",",REPT(" ",99)),(ROW($1:$8)-1)*99+1,99))&lt;&gt;""),--ISNUMBER(SEARCH(TRIM(MID(SUBSTITUTE(SUBSTITUTE($R$4,"/",","),",",REPT(" ",99)),(ROW($1:$8)-1)*99+1,99)),IFERROR(('Final Calculation Sheet'!$Q$7)&amp;"",""))))&gt;0,AND(ISNUMBER(SEARCH("blank",$R$4)),NOT(ISNUMBER(SEARCH("nonblank",$R$4))),IFERROR(('Final Calculation Sheet'!$Q$7)&amp;"","")=""),AND(OR(ISNUMBER(SEARCH("nonblank",$R$4)),ISNUMBER(SEARCH("&lt;&gt;",$R$4))),IFERROR(('Final Calculation Sheet'!$Q$7)&amp;"","")&lt;&gt;""),AND(TRIM($R$4)="",IFERROR(('Final Calculation Sheet'!$Q$7)&amp;"","")=""))))</f>
        <v/>
      </c>
      <c r="CE8">
        <f>IF($S$4="",1,--(OR(SUMPRODUCT(--(TRIM(MID(SUBSTITUTE(SUBSTITUTE($S$4,"/",","),",",REPT(" ",99)),(ROW($1:$8)-1)*99+1,99))&lt;&gt;""),--ISNUMBER(SEARCH(TRIM(MID(SUBSTITUTE(SUBSTITUTE($S$4,"/",","),",",REPT(" ",99)),(ROW($1:$8)-1)*99+1,99)),IFERROR(('Final Calculation Sheet'!$R$7)&amp;"",""))))&gt;0,AND(ISNUMBER(SEARCH("blank",$S$4)),NOT(ISNUMBER(SEARCH("nonblank",$S$4))),IFERROR(('Final Calculation Sheet'!$R$7)&amp;"","")=""),AND(OR(ISNUMBER(SEARCH("nonblank",$S$4)),ISNUMBER(SEARCH("&lt;&gt;",$S$4))),IFERROR(('Final Calculation Sheet'!$R$7)&amp;"","")&lt;&gt;""),AND(TRIM($S$4)="",IFERROR(('Final Calculation Sheet'!$R$7)&amp;"","")=""))))</f>
        <v/>
      </c>
      <c r="CF8">
        <f>IF($T$4="",1,--(OR(SUMPRODUCT(--(TRIM(MID(SUBSTITUTE(SUBSTITUTE($T$4,"/",","),",",REPT(" ",99)),(ROW($1:$8)-1)*99+1,99))&lt;&gt;""),--ISNUMBER(SEARCH(TRIM(MID(SUBSTITUTE(SUBSTITUTE($T$4,"/",","),",",REPT(" ",99)),(ROW($1:$8)-1)*99+1,99)),IFERROR(('Final Calculation Sheet'!$S$7)&amp;"",""))))&gt;0,AND(ISNUMBER(SEARCH("blank",$T$4)),NOT(ISNUMBER(SEARCH("nonblank",$T$4))),IFERROR(('Final Calculation Sheet'!$S$7)&amp;"","")=""),AND(OR(ISNUMBER(SEARCH("nonblank",$T$4)),ISNUMBER(SEARCH("&lt;&gt;",$T$4))),IFERROR(('Final Calculation Sheet'!$S$7)&amp;"","")&lt;&gt;""),AND(TRIM($T$4)="",IFERROR(('Final Calculation Sheet'!$S$7)&amp;"","")=""))))</f>
        <v/>
      </c>
      <c r="CG8">
        <f>IF($U$4="",1,--(OR(SUMPRODUCT(--(TRIM(MID(SUBSTITUTE(SUBSTITUTE($U$4,"/",","),",",REPT(" ",99)),(ROW($1:$8)-1)*99+1,99))&lt;&gt;""),--ISNUMBER(SEARCH(TRIM(MID(SUBSTITUTE(SUBSTITUTE($U$4,"/",","),",",REPT(" ",99)),(ROW($1:$8)-1)*99+1,99)),IFERROR(('Final Calculation Sheet'!$T$7)&amp;"",""))))&gt;0,AND(ISNUMBER(SEARCH("blank",$U$4)),NOT(ISNUMBER(SEARCH("nonblank",$U$4))),IFERROR(('Final Calculation Sheet'!$T$7)&amp;"","")=""),AND(OR(ISNUMBER(SEARCH("nonblank",$U$4)),ISNUMBER(SEARCH("&lt;&gt;",$U$4))),IFERROR(('Final Calculation Sheet'!$T$7)&amp;"","")&lt;&gt;""),AND(TRIM($U$4)="",IFERROR(('Final Calculation Sheet'!$T$7)&amp;"","")=""))))</f>
        <v/>
      </c>
      <c r="CH8">
        <f>IF($V$4="",1,--(OR(SUMPRODUCT(--(TRIM(MID(SUBSTITUTE(SUBSTITUTE($V$4,"/",","),",",REPT(" ",99)),(ROW($1:$8)-1)*99+1,99))&lt;&gt;""),--ISNUMBER(SEARCH(TRIM(MID(SUBSTITUTE(SUBSTITUTE($V$4,"/",","),",",REPT(" ",99)),(ROW($1:$8)-1)*99+1,99)),IFERROR(('Final Calculation Sheet'!$U$7)&amp;"",""))))&gt;0,AND(ISNUMBER(SEARCH("blank",$V$4)),NOT(ISNUMBER(SEARCH("nonblank",$V$4))),IFERROR(('Final Calculation Sheet'!$U$7)&amp;"","")=""),AND(OR(ISNUMBER(SEARCH("nonblank",$V$4)),ISNUMBER(SEARCH("&lt;&gt;",$V$4))),IFERROR(('Final Calculation Sheet'!$U$7)&amp;"","")&lt;&gt;""),AND(TRIM($V$4)="",IFERROR(('Final Calculation Sheet'!$U$7)&amp;"","")=""))))</f>
        <v/>
      </c>
      <c r="CI8">
        <f>IF($W$4="",1,--(OR(SUMPRODUCT(--(TRIM(MID(SUBSTITUTE(SUBSTITUTE($W$4,"/",","),",",REPT(" ",99)),(ROW($1:$8)-1)*99+1,99))&lt;&gt;""),--ISNUMBER(SEARCH(TRIM(MID(SUBSTITUTE(SUBSTITUTE($W$4,"/",","),",",REPT(" ",99)),(ROW($1:$8)-1)*99+1,99)),IFERROR(('Final Calculation Sheet'!$V$7)&amp;"",""))))&gt;0,AND(ISNUMBER(SEARCH("blank",$W$4)),NOT(ISNUMBER(SEARCH("nonblank",$W$4))),IFERROR(('Final Calculation Sheet'!$V$7)&amp;"","")=""),AND(OR(ISNUMBER(SEARCH("nonblank",$W$4)),ISNUMBER(SEARCH("&lt;&gt;",$W$4))),IFERROR(('Final Calculation Sheet'!$V$7)&amp;"","")&lt;&gt;""),AND(TRIM($W$4)="",IFERROR(('Final Calculation Sheet'!$V$7)&amp;"","")=""))))</f>
        <v/>
      </c>
      <c r="CJ8">
        <f>IF($X$4="",1,--(OR(SUMPRODUCT(--(TRIM(MID(SUBSTITUTE(SUBSTITUTE($X$4,"/",","),",",REPT(" ",99)),(ROW($1:$8)-1)*99+1,99))&lt;&gt;""),--ISNUMBER(SEARCH(TRIM(MID(SUBSTITUTE(SUBSTITUTE($X$4,"/",","),",",REPT(" ",99)),(ROW($1:$8)-1)*99+1,99)),IFERROR(('Final Calculation Sheet'!$W$7)&amp;"",""))))&gt;0,AND(ISNUMBER(SEARCH("blank",$X$4)),NOT(ISNUMBER(SEARCH("nonblank",$X$4))),IFERROR(('Final Calculation Sheet'!$W$7)&amp;"","")=""),AND(OR(ISNUMBER(SEARCH("nonblank",$X$4)),ISNUMBER(SEARCH("&lt;&gt;",$X$4))),IFERROR(('Final Calculation Sheet'!$W$7)&amp;"","")&lt;&gt;""),AND(TRIM($X$4)="",IFERROR(('Final Calculation Sheet'!$W$7)&amp;"","")=""))))</f>
        <v/>
      </c>
      <c r="CK8">
        <f>IF($Y$4="",1,--(OR(SUMPRODUCT(--(TRIM(MID(SUBSTITUTE(SUBSTITUTE($Y$4,"/",","),",",REPT(" ",99)),(ROW($1:$8)-1)*99+1,99))&lt;&gt;""),--ISNUMBER(SEARCH(TRIM(MID(SUBSTITUTE(SUBSTITUTE($Y$4,"/",","),",",REPT(" ",99)),(ROW($1:$8)-1)*99+1,99)),IFERROR(('Final Calculation Sheet'!$X$7)&amp;"",""))))&gt;0,AND(ISNUMBER(SEARCH("blank",$Y$4)),NOT(ISNUMBER(SEARCH("nonblank",$Y$4))),IFERROR(('Final Calculation Sheet'!$X$7)&amp;"","")=""),AND(OR(ISNUMBER(SEARCH("nonblank",$Y$4)),ISNUMBER(SEARCH("&lt;&gt;",$Y$4))),IFERROR(('Final Calculation Sheet'!$X$7)&amp;"","")&lt;&gt;""),AND(TRIM($Y$4)="",IFERROR(('Final Calculation Sheet'!$X$7)&amp;"","")=""))))</f>
        <v/>
      </c>
      <c r="CL8">
        <f>IF($Z$4="",1,--(OR(SUMPRODUCT(--(TRIM(MID(SUBSTITUTE(SUBSTITUTE($Z$4,"/",","),",",REPT(" ",99)),(ROW($1:$8)-1)*99+1,99))&lt;&gt;""),--ISNUMBER(SEARCH(TRIM(MID(SUBSTITUTE(SUBSTITUTE($Z$4,"/",","),",",REPT(" ",99)),(ROW($1:$8)-1)*99+1,99)),IFERROR(('Final Calculation Sheet'!$Y$7)&amp;"",""))))&gt;0,AND(ISNUMBER(SEARCH("blank",$Z$4)),NOT(ISNUMBER(SEARCH("nonblank",$Z$4))),IFERROR(('Final Calculation Sheet'!$Y$7)&amp;"","")=""),AND(OR(ISNUMBER(SEARCH("nonblank",$Z$4)),ISNUMBER(SEARCH("&lt;&gt;",$Z$4))),IFERROR(('Final Calculation Sheet'!$Y$7)&amp;"","")&lt;&gt;""),AND(TRIM($Z$4)="",IFERROR(('Final Calculation Sheet'!$Y$7)&amp;"","")=""))))</f>
        <v/>
      </c>
      <c r="CM8">
        <f>IF($AA$4="",1,--(OR(SUMPRODUCT(--(TRIM(MID(SUBSTITUTE(SUBSTITUTE($AA$4,"/",","),",",REPT(" ",99)),(ROW($1:$8)-1)*99+1,99))&lt;&gt;""),--ISNUMBER(SEARCH(TRIM(MID(SUBSTITUTE(SUBSTITUTE($AA$4,"/",","),",",REPT(" ",99)),(ROW($1:$8)-1)*99+1,99)),IFERROR(('Final Calculation Sheet'!$Z$7)&amp;"",""))))&gt;0,AND(ISNUMBER(SEARCH("blank",$AA$4)),NOT(ISNUMBER(SEARCH("nonblank",$AA$4))),IFERROR(('Final Calculation Sheet'!$Z$7)&amp;"","")=""),AND(OR(ISNUMBER(SEARCH("nonblank",$AA$4)),ISNUMBER(SEARCH("&lt;&gt;",$AA$4))),IFERROR(('Final Calculation Sheet'!$Z$7)&amp;"","")&lt;&gt;""),AND(TRIM($AA$4)="",IFERROR(('Final Calculation Sheet'!$Z$7)&amp;"","")=""))))</f>
        <v/>
      </c>
      <c r="CN8">
        <f>IF($AB$4="",1,--(OR(SUMPRODUCT(--(TRIM(MID(SUBSTITUTE(SUBSTITUTE($AB$4,"/",","),",",REPT(" ",99)),(ROW($1:$8)-1)*99+1,99))&lt;&gt;""),--ISNUMBER(SEARCH(TRIM(MID(SUBSTITUTE(SUBSTITUTE($AB$4,"/",","),",",REPT(" ",99)),(ROW($1:$8)-1)*99+1,99)),IFERROR(('Final Calculation Sheet'!$AA$7)&amp;"",""))))&gt;0,AND(ISNUMBER(SEARCH("blank",$AB$4)),NOT(ISNUMBER(SEARCH("nonblank",$AB$4))),IFERROR(('Final Calculation Sheet'!$AA$7)&amp;"","")=""),AND(OR(ISNUMBER(SEARCH("nonblank",$AB$4)),ISNUMBER(SEARCH("&lt;&gt;",$AB$4))),IFERROR(('Final Calculation Sheet'!$AA$7)&amp;"","")&lt;&gt;""),AND(TRIM($AB$4)="",IFERROR(('Final Calculation Sheet'!$AA$7)&amp;"","")=""))))</f>
        <v/>
      </c>
      <c r="CO8">
        <f>IF($AC$4="",1,--(OR(SUMPRODUCT(--(TRIM(MID(SUBSTITUTE(SUBSTITUTE($AC$4,"/",","),",",REPT(" ",99)),(ROW($1:$8)-1)*99+1,99))&lt;&gt;""),--ISNUMBER(SEARCH(TRIM(MID(SUBSTITUTE(SUBSTITUTE($AC$4,"/",","),",",REPT(" ",99)),(ROW($1:$8)-1)*99+1,99)),IFERROR(('Final Calculation Sheet'!$AB$7)&amp;"",""))))&gt;0,AND(ISNUMBER(SEARCH("blank",$AC$4)),NOT(ISNUMBER(SEARCH("nonblank",$AC$4))),IFERROR(('Final Calculation Sheet'!$AB$7)&amp;"","")=""),AND(OR(ISNUMBER(SEARCH("nonblank",$AC$4)),ISNUMBER(SEARCH("&lt;&gt;",$AC$4))),IFERROR(('Final Calculation Sheet'!$AB$7)&amp;"","")&lt;&gt;""),AND(TRIM($AC$4)="",IFERROR(('Final Calculation Sheet'!$AB$7)&amp;"","")=""))))</f>
        <v/>
      </c>
      <c r="CP8">
        <f>IF($AD$4="",1,--(OR(SUMPRODUCT(--(TRIM(MID(SUBSTITUTE(SUBSTITUTE($AD$4,"/",","),",",REPT(" ",99)),(ROW($1:$8)-1)*99+1,99))&lt;&gt;""),--ISNUMBER(SEARCH(TRIM(MID(SUBSTITUTE(SUBSTITUTE($AD$4,"/",","),",",REPT(" ",99)),(ROW($1:$8)-1)*99+1,99)),IFERROR(('Final Calculation Sheet'!$AC$7)&amp;"",""))))&gt;0,AND(ISNUMBER(SEARCH("blank",$AD$4)),NOT(ISNUMBER(SEARCH("nonblank",$AD$4))),IFERROR(('Final Calculation Sheet'!$AC$7)&amp;"","")=""),AND(OR(ISNUMBER(SEARCH("nonblank",$AD$4)),ISNUMBER(SEARCH("&lt;&gt;",$AD$4))),IFERROR(('Final Calculation Sheet'!$AC$7)&amp;"","")&lt;&gt;""),AND(TRIM($AD$4)="",IFERROR(('Final Calculation Sheet'!$AC$7)&amp;"","")=""))))</f>
        <v/>
      </c>
      <c r="CQ8">
        <f>IF($AE$4="",1,--(OR(SUMPRODUCT(--(TRIM(MID(SUBSTITUTE(SUBSTITUTE($AE$4,"/",","),",",REPT(" ",99)),(ROW($1:$8)-1)*99+1,99))&lt;&gt;""),--ISNUMBER(SEARCH(TRIM(MID(SUBSTITUTE(SUBSTITUTE($AE$4,"/",","),",",REPT(" ",99)),(ROW($1:$8)-1)*99+1,99)),IFERROR(('Final Calculation Sheet'!$AD$7)&amp;"",""))))&gt;0,AND(ISNUMBER(SEARCH("blank",$AE$4)),NOT(ISNUMBER(SEARCH("nonblank",$AE$4))),IFERROR(('Final Calculation Sheet'!$AD$7)&amp;"","")=""),AND(OR(ISNUMBER(SEARCH("nonblank",$AE$4)),ISNUMBER(SEARCH("&lt;&gt;",$AE$4))),IFERROR(('Final Calculation Sheet'!$AD$7)&amp;"","")&lt;&gt;""),AND(TRIM($AE$4)="",IFERROR(('Final Calculation Sheet'!$AD$7)&amp;"","")=""))))</f>
        <v/>
      </c>
      <c r="CR8">
        <f>IF($AG$4="",1,--(OR(SUMPRODUCT(--(TRIM(MID(SUBSTITUTE(SUBSTITUTE($AG$4,"/",","),",",REPT(" ",99)),(ROW($1:$8)-1)*99+1,99))&lt;&gt;""),--ISNUMBER(SEARCH(TRIM(MID(SUBSTITUTE(SUBSTITUTE($AG$4,"/",","),",",REPT(" ",99)),(ROW($1:$8)-1)*99+1,99)),IFERROR(('Final Calculation Sheet'!$AF$7)&amp;"",""))))&gt;0,AND(ISNUMBER(SEARCH("blank",$AG$4)),NOT(ISNUMBER(SEARCH("nonblank",$AG$4))),IFERROR(('Final Calculation Sheet'!$AF$7)&amp;"","")=""),AND(OR(ISNUMBER(SEARCH("nonblank",$AG$4)),ISNUMBER(SEARCH("&lt;&gt;",$AG$4))),IFERROR(('Final Calculation Sheet'!$AF$7)&amp;"","")&lt;&gt;""),AND(TRIM($AG$4)="",IFERROR(('Final Calculation Sheet'!$AF$7)&amp;"","")=""))))</f>
        <v/>
      </c>
      <c r="CS8">
        <f>IF($AH$4="",1,--(OR(SUMPRODUCT(--(TRIM(MID(SUBSTITUTE(SUBSTITUTE($AH$4,"/",","),",",REPT(" ",99)),(ROW($1:$8)-1)*99+1,99))&lt;&gt;""),--ISNUMBER(SEARCH(TRIM(MID(SUBSTITUTE(SUBSTITUTE($AH$4,"/",","),",",REPT(" ",99)),(ROW($1:$8)-1)*99+1,99)),IFERROR(('Final Calculation Sheet'!$AG$7)&amp;"",""))))&gt;0,AND(ISNUMBER(SEARCH("blank",$AH$4)),NOT(ISNUMBER(SEARCH("nonblank",$AH$4))),IFERROR(('Final Calculation Sheet'!$AG$7)&amp;"","")=""),AND(OR(ISNUMBER(SEARCH("nonblank",$AH$4)),ISNUMBER(SEARCH("&lt;&gt;",$AH$4))),IFERROR(('Final Calculation Sheet'!$AG$7)&amp;"","")&lt;&gt;""),AND(TRIM($AH$4)="",IFERROR(('Final Calculation Sheet'!$AG$7)&amp;"","")=""))))</f>
        <v/>
      </c>
      <c r="CT8">
        <f>IF($AI$4="",1,--(OR(SUMPRODUCT(--(TRIM(MID(SUBSTITUTE(SUBSTITUTE($AI$4,"/",","),",",REPT(" ",99)),(ROW($1:$8)-1)*99+1,99))&lt;&gt;""),--ISNUMBER(SEARCH(TRIM(MID(SUBSTITUTE(SUBSTITUTE($AI$4,"/",","),",",REPT(" ",99)),(ROW($1:$8)-1)*99+1,99)),IFERROR(('Final Calculation Sheet'!$AH$7)&amp;"",""))))&gt;0,AND(ISNUMBER(SEARCH("blank",$AI$4)),NOT(ISNUMBER(SEARCH("nonblank",$AI$4))),IFERROR(('Final Calculation Sheet'!$AH$7)&amp;"","")=""),AND(OR(ISNUMBER(SEARCH("nonblank",$AI$4)),ISNUMBER(SEARCH("&lt;&gt;",$AI$4))),IFERROR(('Final Calculation Sheet'!$AH$7)&amp;"","")&lt;&gt;""),AND(TRIM($AI$4)="",IFERROR(('Final Calculation Sheet'!$AH$7)&amp;"","")=""))))</f>
        <v/>
      </c>
      <c r="CU8">
        <f>IF($AF$4="",1,--(OR(SUMPRODUCT(--(TRIM(MID(SUBSTITUTE(SUBSTITUTE($AF$4,"/",","),",",REPT(" ",99)),(ROW($1:$8)-1)*99+1,99))&lt;&gt;""),--ISNUMBER(SEARCH(TRIM(MID(SUBSTITUTE(SUBSTITUTE($AF$4,"/",","),",",REPT(" ",99)),(ROW($1:$8)-1)*99+1,99)),IFERROR((IF('Final Calculation Sheet'!$AD$7&lt;=5,"SETTLED","OUTSTANDING"))&amp;"",""))))&gt;0,AND(ISNUMBER(SEARCH("blank",$AF$4)),NOT(ISNUMBER(SEARCH("nonblank",$AF$4))),IFERROR((IF('Final Calculation Sheet'!$AD$7&lt;=5,"SETTLED","OUTSTANDING"))&amp;"","")=""),AND(OR(ISNUMBER(SEARCH("nonblank",$AF$4)),ISNUMBER(SEARCH("&lt;&gt;",$AF$4))),IFERROR((IF('Final Calculation Sheet'!$AD$7&lt;=5,"SETTLED","OUTSTANDING"))&amp;"","")&lt;&gt;""),AND(TRIM($AF$4)="",IFERROR((IF('Final Calculation Sheet'!$AD$7&lt;=5,"SETTLED","OUTSTANDING"))&amp;"","")=""))))</f>
        <v/>
      </c>
    </row>
    <row r="9" ht="15" customHeight="1" s="137">
      <c r="A9" s="67">
        <f>IF($BJ8&gt;0,INDEX($BA$5:$BA$41,MATCH(8,$BB$5:$BB$41,0)),IF(OR($BI8=1,$BL8=1,$BH8&gt;0),"∑",""))</f>
        <v/>
      </c>
      <c r="B9" s="76">
        <f>IF($BJ8&gt;0,IF(INDEX('Final Calculation Sheet'!$F$4:$F$40,$BJ8-3)="","",INDEX('Final Calculation Sheet'!$F$4:$F$40,$BJ8-3)),"")</f>
        <v/>
      </c>
      <c r="C9" s="76">
        <f>IF($BJ8&gt;0,IF(INDEX('Final Calculation Sheet'!$G$4:$G$40,$BJ8-3)="","",INDEX('Final Calculation Sheet'!$G$4:$G$40,$BJ8-3)),IF(OR($BI8=1,$BL8=1,$BH8&gt;0),IF($BI8=1,37,IF($BL8=1,37-INDEX($BD$4:$BD$13,10),INDEX($BD$4:$BD$13,$BH8)))&amp;" lot(s)",""))</f>
        <v/>
      </c>
      <c r="D9" s="80">
        <f>IF($BJ8&gt;0,IF(INDEX('Final Calculation Sheet'!$B$4:$B$40,$BJ8-3)="","",INDEX('Final Calculation Sheet'!$B$4:$B$40,$BJ8-3)),IF(OR($BI8=1,$BL8=1,$BH8&gt;0),IF($BI8=1,"GRAND TOTAL  —  matching + remaining",IF($BL8=1,"TOTAL MATCHED  —  every group together",IF($BH8=10,"REMAINING  —  did not match the search",IF($BH8=9,IF(COUNTIF($A$4:$AI$4,"&lt;&gt;")&gt;0,"FILTERED LOTS  —  column fields","ALL LOTS  —  nothing typed in the box"),"GROUP "&amp;$BH8&amp;" TOTAL  —  lots matching  "&amp;INDEX($AR$6:$AY$6,$BH8))))),""))</f>
        <v/>
      </c>
      <c r="E9" s="80">
        <f>IF($BJ8&gt;0,IF(INDEX('Final Calculation Sheet'!$D$4:$D$40,$BJ8-3)="","",INDEX('Final Calculation Sheet'!$D$4:$D$40,$BJ8-3)),IF(OR($BI8=1,$BL8=1,$BH8&gt;0),"–",""))</f>
        <v/>
      </c>
      <c r="F9" s="80">
        <f>IF($BJ8&gt;0,IF(INDEX('Final Calculation Sheet'!$A$4:$A$40,$BJ8-3)="","",INDEX('Final Calculation Sheet'!$A$4:$A$40,$BJ8-3)),IF(OR($BI8=1,$BL8=1,$BH8&gt;0),IF($BI8=1,SUM('Final Calculation Sheet'!$A$4:$A$40),IF($BL8=1,SUM('Final Calculation Sheet'!$A$4:$A$40)-SUMIFS('Final Calculation Sheet'!$A$4:$A$40,$AZ$5:$AZ$41,10),SUMIFS('Final Calculation Sheet'!$A$4:$A$40,$AZ$5:$AZ$41,$BH8))),""))</f>
        <v/>
      </c>
      <c r="G9" s="80">
        <f>IF($BJ8&gt;0,IF(INDEX('Final Calculation Sheet'!$E$4:$E$40,$BJ8-3)="","",INDEX('Final Calculation Sheet'!$E$4:$E$40,$BJ8-3)),IF(OR($BI8=1,$BL8=1,$BH8&gt;0),"–",""))</f>
        <v/>
      </c>
      <c r="H9" s="70">
        <f>IF($BJ8&gt;0,IF(INDEX('Final Calculation Sheet'!$C$4:$C$40,$BJ8-3)="","",INDEX('Final Calculation Sheet'!$C$4:$C$40,$BJ8-3)),IF(OR($BI8=1,$BL8=1,$BH8&gt;0),"–",""))</f>
        <v/>
      </c>
      <c r="I9" s="70">
        <f>IF($BJ8&gt;0,IF(INDEX('Final Calculation Sheet'!$H$4:$H$40,$BJ8-3)="","",INDEX('Final Calculation Sheet'!$H$4:$H$40,$BJ8-3)),IF(OR($BI8=1,$BL8=1,$BH8&gt;0),IF($BI8=1,SUM('Final Calculation Sheet'!$H$4:$H$40),IF($BL8=1,SUM('Final Calculation Sheet'!$H$4:$H$40)-SUMIFS('Final Calculation Sheet'!$H$4:$H$40,$AZ$5:$AZ$41,10),SUMIFS('Final Calculation Sheet'!$H$4:$H$40,$AZ$5:$AZ$41,$BH8))),""))</f>
        <v/>
      </c>
      <c r="J9" s="70">
        <f>IF($BJ8&gt;0,IF(INDEX('Final Calculation Sheet'!$I$4:$I$40,$BJ8-3)="","",INDEX('Final Calculation Sheet'!$I$4:$I$40,$BJ8-3)),IF(OR($BI8=1,$BL8=1,$BH8&gt;0),IF($BI8=1,SUM('Final Calculation Sheet'!$I$4:$I$40),IF($BL8=1,SUM('Final Calculation Sheet'!$I$4:$I$40)-SUMIFS('Final Calculation Sheet'!$I$4:$I$40,$AZ$5:$AZ$41,10),SUMIFS('Final Calculation Sheet'!$I$4:$I$40,$AZ$5:$AZ$41,$BH8))),""))</f>
        <v/>
      </c>
      <c r="K9" s="70">
        <f>IF($BJ8&gt;0,IF(INDEX('Final Calculation Sheet'!$J$4:$J$40,$BJ8-3)="","",INDEX('Final Calculation Sheet'!$J$4:$J$40,$BJ8-3)),IF(OR($BI8=1,$BL8=1,$BH8&gt;0),IF($BI8=1,SUM('Final Calculation Sheet'!$J$4:$J$40),IF($BL8=1,SUM('Final Calculation Sheet'!$J$4:$J$40)-SUMIFS('Final Calculation Sheet'!$J$4:$J$40,$AZ$5:$AZ$41,10),SUMIFS('Final Calculation Sheet'!$J$4:$J$40,$AZ$5:$AZ$41,$BH8))),""))</f>
        <v/>
      </c>
      <c r="L9" s="70">
        <f>IF($BJ8&gt;0,IF(INDEX('Final Calculation Sheet'!$K$4:$K$40,$BJ8-3)="","",INDEX('Final Calculation Sheet'!$K$4:$K$40,$BJ8-3)),IF(OR($BI8=1,$BL8=1,$BH8&gt;0),IF($BI8=1,SUM('Final Calculation Sheet'!$K$4:$K$40),IF($BL8=1,SUM('Final Calculation Sheet'!$K$4:$K$40)-SUMIFS('Final Calculation Sheet'!$K$4:$K$40,$AZ$5:$AZ$41,10),SUMIFS('Final Calculation Sheet'!$K$4:$K$40,$AZ$5:$AZ$41,$BH8))),""))</f>
        <v/>
      </c>
      <c r="M9" s="70">
        <f>IF($BJ8&gt;0,IF(INDEX('Final Calculation Sheet'!$L$4:$L$40,$BJ8-3)="","",INDEX('Final Calculation Sheet'!$L$4:$L$40,$BJ8-3)),IF(OR($BI8=1,$BL8=1,$BH8&gt;0),IF($BI8=1,SUM('Final Calculation Sheet'!$L$4:$L$40),IF($BL8=1,SUM('Final Calculation Sheet'!$L$4:$L$40)-SUMIFS('Final Calculation Sheet'!$L$4:$L$40,$AZ$5:$AZ$41,10),SUMIFS('Final Calculation Sheet'!$L$4:$L$40,$AZ$5:$AZ$41,$BH8))),""))</f>
        <v/>
      </c>
      <c r="N9" s="70">
        <f>IF($BJ8&gt;0,IF(INDEX('Final Calculation Sheet'!$M$4:$M$40,$BJ8-3)="","",INDEX('Final Calculation Sheet'!$M$4:$M$40,$BJ8-3)),IF(OR($BI8=1,$BL8=1,$BH8&gt;0),IF($BI8=1,SUM('Final Calculation Sheet'!$M$4:$M$40),IF($BL8=1,SUM('Final Calculation Sheet'!$M$4:$M$40)-SUMIFS('Final Calculation Sheet'!$M$4:$M$40,$AZ$5:$AZ$41,10),SUMIFS('Final Calculation Sheet'!$M$4:$M$40,$AZ$5:$AZ$41,$BH8))),""))</f>
        <v/>
      </c>
      <c r="O9" s="71">
        <f>IF($BJ8&gt;0,IF(INDEX('Final Calculation Sheet'!$N$4:$N$40,$BJ8-3)="","",INDEX('Final Calculation Sheet'!$N$4:$N$40,$BJ8-3)),IF(OR($BI8=1,$BL8=1,$BH8&gt;0),IF($BI8=1,SUM('Final Calculation Sheet'!$N$4:$N$40),IF($BL8=1,SUM('Final Calculation Sheet'!$N$4:$N$40)-SUMIFS('Final Calculation Sheet'!$N$4:$N$40,$AZ$5:$AZ$41,10),SUMIFS('Final Calculation Sheet'!$N$4:$N$40,$AZ$5:$AZ$41,$BH8))),""))</f>
        <v/>
      </c>
      <c r="P9" s="70">
        <f>IF($BJ8&gt;0,IF(INDEX('Final Calculation Sheet'!$O$4:$O$40,$BJ8-3)="","",INDEX('Final Calculation Sheet'!$O$4:$O$40,$BJ8-3)),IF(OR($BI8=1,$BL8=1,$BH8&gt;0),IF($BI8=1,SUM('Final Calculation Sheet'!$O$4:$O$40),IF($BL8=1,SUM('Final Calculation Sheet'!$O$4:$O$40)-SUMIFS('Final Calculation Sheet'!$O$4:$O$40,$AZ$5:$AZ$41,10),SUMIFS('Final Calculation Sheet'!$O$4:$O$40,$AZ$5:$AZ$41,$BH8))),""))</f>
        <v/>
      </c>
      <c r="Q9" s="70">
        <f>IF($BJ8&gt;0,IF(INDEX('Final Calculation Sheet'!$P$4:$P$40,$BJ8-3)="","",INDEX('Final Calculation Sheet'!$P$4:$P$40,$BJ8-3)),IF(OR($BI8=1,$BL8=1,$BH8&gt;0),IF($BI8=1,SUM('Final Calculation Sheet'!$P$4:$P$40),IF($BL8=1,SUM('Final Calculation Sheet'!$P$4:$P$40)-SUMIFS('Final Calculation Sheet'!$P$4:$P$40,$AZ$5:$AZ$41,10),SUMIFS('Final Calculation Sheet'!$P$4:$P$40,$AZ$5:$AZ$41,$BH8))),""))</f>
        <v/>
      </c>
      <c r="R9" s="72">
        <f>IF($BJ8&gt;0,IF(INDEX('Final Calculation Sheet'!$Q$4:$Q$40,$BJ8-3)="","",INDEX('Final Calculation Sheet'!$Q$4:$Q$40,$BJ8-3)),IF(OR($BI8=1,$BL8=1,$BH8&gt;0),"–",""))</f>
        <v/>
      </c>
      <c r="S9" s="70">
        <f>IF($BJ8&gt;0,IF(INDEX('Final Calculation Sheet'!$R$4:$R$40,$BJ8-3)="","",INDEX('Final Calculation Sheet'!$R$4:$R$40,$BJ8-3)),IF(OR($BI8=1,$BL8=1,$BH8&gt;0),IF($BI8=1,SUM('Final Calculation Sheet'!$R$4:$R$40),IF($BL8=1,SUM('Final Calculation Sheet'!$R$4:$R$40)-SUMIFS('Final Calculation Sheet'!$R$4:$R$40,$AZ$5:$AZ$41,10),SUMIFS('Final Calculation Sheet'!$R$4:$R$40,$AZ$5:$AZ$41,$BH8))),""))</f>
        <v/>
      </c>
      <c r="T9" s="70">
        <f>IF($BJ8&gt;0,IF(INDEX('Final Calculation Sheet'!$S$4:$S$40,$BJ8-3)="","",INDEX('Final Calculation Sheet'!$S$4:$S$40,$BJ8-3)),IF(OR($BI8=1,$BL8=1,$BH8&gt;0),IF($BI8=1,SUM('Final Calculation Sheet'!$S$4:$S$40),IF($BL8=1,SUM('Final Calculation Sheet'!$S$4:$S$40)-SUMIFS('Final Calculation Sheet'!$S$4:$S$40,$AZ$5:$AZ$41,10),SUMIFS('Final Calculation Sheet'!$S$4:$S$40,$AZ$5:$AZ$41,$BH8))),""))</f>
        <v/>
      </c>
      <c r="U9" s="70">
        <f>IF($BJ8&gt;0,IF(INDEX('Final Calculation Sheet'!$T$4:$T$40,$BJ8-3)="","",INDEX('Final Calculation Sheet'!$T$4:$T$40,$BJ8-3)),IF(OR($BI8=1,$BL8=1,$BH8&gt;0),IF($BI8=1,SUM('Final Calculation Sheet'!$T$4:$T$40),IF($BL8=1,SUM('Final Calculation Sheet'!$T$4:$T$40)-SUMIFS('Final Calculation Sheet'!$T$4:$T$40,$AZ$5:$AZ$41,10),SUMIFS('Final Calculation Sheet'!$T$4:$T$40,$AZ$5:$AZ$41,$BH8))),""))</f>
        <v/>
      </c>
      <c r="V9" s="73">
        <f>IF($BJ8&gt;0,IF(INDEX('Final Calculation Sheet'!$U$4:$U$40,$BJ8-3)="","",INDEX('Final Calculation Sheet'!$U$4:$U$40,$BJ8-3)),IF(OR($BI8=1,$BL8=1,$BH8&gt;0),IF($BI8=1,SUM('Final Calculation Sheet'!$U$4:$U$40),IF($BL8=1,SUM('Final Calculation Sheet'!$U$4:$U$40)-SUMIFS('Final Calculation Sheet'!$U$4:$U$40,$AZ$5:$AZ$41,10),SUMIFS('Final Calculation Sheet'!$U$4:$U$40,$AZ$5:$AZ$41,$BH8))),""))</f>
        <v/>
      </c>
      <c r="W9" s="70">
        <f>IF($BJ8&gt;0,IF(INDEX('Final Calculation Sheet'!$V$4:$V$40,$BJ8-3)="","",INDEX('Final Calculation Sheet'!$V$4:$V$40,$BJ8-3)),IF(OR($BI8=1,$BL8=1,$BH8&gt;0),"–",""))</f>
        <v/>
      </c>
      <c r="X9" s="70">
        <f>IF($BJ8&gt;0,IF(INDEX('Final Calculation Sheet'!$W$4:$W$40,$BJ8-3)="","",INDEX('Final Calculation Sheet'!$W$4:$W$40,$BJ8-3)),IF(OR($BI8=1,$BL8=1,$BH8&gt;0),IF($BI8=1,SUM('Final Calculation Sheet'!$W$4:$W$40),IF($BL8=1,SUM('Final Calculation Sheet'!$W$4:$W$40)-SUMIFS('Final Calculation Sheet'!$W$4:$W$40,$AZ$5:$AZ$41,10),SUMIFS('Final Calculation Sheet'!$W$4:$W$40,$AZ$5:$AZ$41,$BH8))),""))</f>
        <v/>
      </c>
      <c r="Y9" s="70">
        <f>IF($BJ8&gt;0,IF(INDEX('Final Calculation Sheet'!$X$4:$X$40,$BJ8-3)="","",INDEX('Final Calculation Sheet'!$X$4:$X$40,$BJ8-3)),IF(OR($BI8=1,$BL8=1,$BH8&gt;0),IF($BI8=1,SUM('Final Calculation Sheet'!$X$4:$X$40),IF($BL8=1,SUM('Final Calculation Sheet'!$X$4:$X$40)-SUMIFS('Final Calculation Sheet'!$X$4:$X$40,$AZ$5:$AZ$41,10),SUMIFS('Final Calculation Sheet'!$X$4:$X$40,$AZ$5:$AZ$41,$BH8))),""))</f>
        <v/>
      </c>
      <c r="Z9" s="70">
        <f>IF($BJ8&gt;0,IF(INDEX('Final Calculation Sheet'!$Y$4:$Y$40,$BJ8-3)="","",INDEX('Final Calculation Sheet'!$Y$4:$Y$40,$BJ8-3)),IF(OR($BI8=1,$BL8=1,$BH8&gt;0),"–",""))</f>
        <v/>
      </c>
      <c r="AA9" s="70">
        <f>IF($BJ8&gt;0,IF(INDEX('Final Calculation Sheet'!$Z$4:$Z$40,$BJ8-3)="","",INDEX('Final Calculation Sheet'!$Z$4:$Z$40,$BJ8-3)),IF(OR($BI8=1,$BL8=1,$BH8&gt;0),IF($BI8=1,SUM('Final Calculation Sheet'!$Z$4:$Z$40),IF($BL8=1,SUM('Final Calculation Sheet'!$Z$4:$Z$40)-SUMIFS('Final Calculation Sheet'!$Z$4:$Z$40,$AZ$5:$AZ$41,10),SUMIFS('Final Calculation Sheet'!$Z$4:$Z$40,$AZ$5:$AZ$41,$BH8))),""))</f>
        <v/>
      </c>
      <c r="AB9" s="70">
        <f>IF($BJ8&gt;0,IF(INDEX('Final Calculation Sheet'!$AA$4:$AA$40,$BJ8-3)="","",INDEX('Final Calculation Sheet'!$AA$4:$AA$40,$BJ8-3)),IF(OR($BI8=1,$BL8=1,$BH8&gt;0),IF($BI8=1,SUM('Final Calculation Sheet'!$AA$4:$AA$40),IF($BL8=1,SUM('Final Calculation Sheet'!$AA$4:$AA$40)-SUMIFS('Final Calculation Sheet'!$AA$4:$AA$40,$AZ$5:$AZ$41,10),SUMIFS('Final Calculation Sheet'!$AA$4:$AA$40,$AZ$5:$AZ$41,$BH8))),""))</f>
        <v/>
      </c>
      <c r="AC9" s="70">
        <f>IF($BJ8&gt;0,IF(INDEX('Final Calculation Sheet'!$AB$4:$AB$40,$BJ8-3)="","",INDEX('Final Calculation Sheet'!$AB$4:$AB$40,$BJ8-3)),IF(OR($BI8=1,$BL8=1,$BH8&gt;0),"–",""))</f>
        <v/>
      </c>
      <c r="AD9" s="70">
        <f>IF($BJ8&gt;0,IF(INDEX('Final Calculation Sheet'!$AC$4:$AC$40,$BJ8-3)="","",INDEX('Final Calculation Sheet'!$AC$4:$AC$40,$BJ8-3)),IF(OR($BI8=1,$BL8=1,$BH8&gt;0),IF($BI8=1,SUM('Final Calculation Sheet'!$AC$4:$AC$40),IF($BL8=1,SUM('Final Calculation Sheet'!$AC$4:$AC$40)-SUMIFS('Final Calculation Sheet'!$AC$4:$AC$40,$AZ$5:$AZ$41,10),SUMIFS('Final Calculation Sheet'!$AC$4:$AC$40,$AZ$5:$AZ$41,$BH8))),""))</f>
        <v/>
      </c>
      <c r="AE9" s="70">
        <f>IF($BJ8&gt;0,IF(INDEX('Final Calculation Sheet'!$AD$4:$AD$40,$BJ8-3)="","",INDEX('Final Calculation Sheet'!$AD$4:$AD$40,$BJ8-3)),IF(OR($BI8=1,$BL8=1,$BH8&gt;0),IF($BI8=1,SUM('Final Calculation Sheet'!$AD$4:$AD$40),IF($BL8=1,SUM('Final Calculation Sheet'!$AD$4:$AD$40)-SUMIFS('Final Calculation Sheet'!$AD$4:$AD$40,$AZ$5:$AZ$41,10),SUMIFS('Final Calculation Sheet'!$AD$4:$AD$40,$AZ$5:$AZ$41,$BH8))),""))</f>
        <v/>
      </c>
      <c r="AF9" s="75">
        <f>IF($BJ8&gt;0,IF(INDEX('Final Calculation Sheet'!$AD$4:$AD$40,$BJ8-3)="","",IF(INDEX('Final Calculation Sheet'!$AD$4:$AD$40,$BJ8-3)&lt;=5,"SETTLED","OUTSTANDING")),IF(OR($BI8=1,$BL8=1,$BH8&gt;0),IF(IF($BI8=1,SUM('Final Calculation Sheet'!$AD$4:$AD$40),IF($BL8=1,SUM('Final Calculation Sheet'!$AD$4:$AD$40)-SUMIFS('Final Calculation Sheet'!$AD$4:$AD$40,$AZ$5:$AZ$41,10),SUMIFS('Final Calculation Sheet'!$AD$4:$AD$40,$AZ$5:$AZ$41,$BH8)))&lt;=5,"ALL SETTLED","OUTSTANDING"),""))</f>
        <v/>
      </c>
      <c r="AG9" s="70">
        <f>IF($BJ8&gt;0,IF(INDEX('Final Calculation Sheet'!$AF$4:$AF$40,$BJ8-3)="","",INDEX('Final Calculation Sheet'!$AF$4:$AF$40,$BJ8-3)),IF(OR($BI8=1,$BL8=1,$BH8&gt;0),"–",""))</f>
        <v/>
      </c>
      <c r="AH9" s="74">
        <f>IF($BJ8&gt;0,IF(INDEX('Final Calculation Sheet'!$AG$4:$AG$40,$BJ8-3)="","",INDEX('Final Calculation Sheet'!$AG$4:$AG$40,$BJ8-3)),IF(OR($BI8=1,$BL8=1,$BH8&gt;0),"–",""))</f>
        <v/>
      </c>
      <c r="AI9" s="70">
        <f>IF($BJ8&gt;0,IF(INDEX('Final Calculation Sheet'!$AH$4:$AH$40,$BJ8-3)="","",INDEX('Final Calculation Sheet'!$AH$4:$AH$40,$BJ8-3)),IF(OR($BI8=1,$BL8=1,$BH8&gt;0),"–",""))</f>
        <v/>
      </c>
      <c r="AJ9" s="76">
        <f>IF($B$3="",IF(ROW()=5,"— type above —",""),IF(ROW()-4&gt;AL$41,"",INDEX('Final Calculation Sheet'!$F$4:$F$40,MATCH(ROW()-4,$AL$5:$AL$41,0))&amp;" — "&amp;INDEX('Final Calculation Sheet'!$G$4:$G$40,MATCH(ROW()-4,$AL$5:$AL$41,0))))</f>
        <v/>
      </c>
      <c r="AK9">
        <f>IF($F$3="Lot No.",'Final Calculation Sheet'!$F$8,IF($F$3="Buyer",'Final Calculation Sheet'!$G$8,IF($F$3="Lot Name",'Final Calculation Sheet'!$B$8,IF($F$3="Bid Sheet",'Final Calculation Sheet'!$D$8,IF($F$3="Unit",'Final Calculation Sheet'!$E$8,'Final Calculation Sheet'!$F$8&amp;" "&amp;'Final Calculation Sheet'!$G$8&amp;" "&amp;'Final Calculation Sheet'!$B$8)))))</f>
        <v/>
      </c>
      <c r="AL9">
        <f>AL8+IF($B$3="",0,--(SUMPRODUCT(--($AR$6:$AY$6&lt;&gt;""),--ISNUMBER(SEARCH($AR$6:$AY$6,$AK9)))&gt;0))</f>
        <v/>
      </c>
      <c r="AM9">
        <f>IF(COUNTIF($BM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AO9" t="inlineStr">
        <is>
          <t>Unit</t>
        </is>
      </c>
      <c r="AR9">
        <f>IF($AR$6="",0,$AR$8)</f>
        <v/>
      </c>
      <c r="AS9">
        <f>IF($AS$6="",0,$AS$8)</f>
        <v/>
      </c>
      <c r="AT9">
        <f>IF($AT$6="",0,$AT$8)</f>
        <v/>
      </c>
      <c r="AU9">
        <f>IF($AU$6="",0,$AU$8)</f>
        <v/>
      </c>
      <c r="AV9">
        <f>IF($AV$6="",0,$AV$8)</f>
        <v/>
      </c>
      <c r="AW9">
        <f>IF($AW$6="",0,$AW$8)</f>
        <v/>
      </c>
      <c r="AX9">
        <f>IF($AX$6="",0,$AX$8)</f>
        <v/>
      </c>
      <c r="AY9">
        <f>IF($AY$6="",0,$AY$8)</f>
        <v/>
      </c>
      <c r="AZ9">
        <f>IF($B$3="",IF(COUNTIF($A$4:$AI$4,"&lt;&gt;")=0,9,IF($AM9=1,9,10)),IF($AM9=0,10,IF(AND($AR$6&lt;&gt;"",ISNUMBER(SEARCH($AR$6,$AK9))),1,IF(AND($AS$6&lt;&gt;"",ISNUMBER(SEARCH($AS$6,$AK9))),2,IF(AND($AT$6&lt;&gt;"",ISNUMBER(SEARCH($AT$6,$AK9))),3,IF(AND($AU$6&lt;&gt;"",ISNUMBER(SEARCH($AU$6,$AK9))),4,IF(AND($AV$6&lt;&gt;"",ISNUMBER(SEARCH($AV$6,$AK9))),5,IF(AND($AW$6&lt;&gt;"",ISNUMBER(SEARCH($AW$6,$AK9))),6,IF(AND($AX$6&lt;&gt;"",ISNUMBER(SEARCH($AX$6,$AK9))),7,IF(AND($AY$6&lt;&gt;"",ISNUMBER(SEARCH($AY$6,$AK9))),8,0))))))))))</f>
        <v/>
      </c>
      <c r="BA9">
        <f>SUMPRODUCT(($AZ$5:$AZ$41=$AZ9)*($BC$5:$BC$41&lt;$BC9))+1</f>
        <v/>
      </c>
      <c r="BB9">
        <f>IF(INDEX($BF$4:$BF$13,$AZ9)=0,0,INDEX($BE$4:$BE$13,$AZ9)+$BA9-1)</f>
        <v/>
      </c>
      <c r="BC9" t="n">
        <v>8</v>
      </c>
      <c r="BD9">
        <f>COUNTIF($AZ$5:$AZ$41,6)</f>
        <v/>
      </c>
      <c r="BE9">
        <f>IF($BD8=0,$BE8,$BF8+1)</f>
        <v/>
      </c>
      <c r="BF9">
        <f>IF($BD9=0,0,$BE9+$BD9)</f>
        <v/>
      </c>
      <c r="BH9">
        <f>IFERROR(MATCH(9,$BF$4:$BF$13,0),0)</f>
        <v/>
      </c>
      <c r="BI9">
        <f>IF(9=$BG$5,1,0)</f>
        <v/>
      </c>
      <c r="BJ9">
        <f>IF(OR($BH9&gt;0,$BI9=1,$BL9=1),0,IFERROR(INDEX($BC$5:$BC$41,MATCH(9,$BB$5:$BB$41,0)),0))</f>
        <v/>
      </c>
      <c r="BK9">
        <f>IF($BJ9&gt;0,IF(INDEX($AZ$5:$AZ$41,MATCH(9,$BB$5:$BB$41,0))=10,1,0),IF($BH9=10,1,0))</f>
        <v/>
      </c>
      <c r="BL9">
        <f>IF(9=$BG$4,1,0)</f>
        <v/>
      </c>
      <c r="BM9">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9">
        <f>IF($B$4="",1,--(OR(SUMPRODUCT(--(TRIM(MID(SUBSTITUTE(SUBSTITUTE($B$4,"/",","),",",REPT(" ",99)),(ROW($1:$8)-1)*99+1,99))&lt;&gt;""),--ISNUMBER(SEARCH(TRIM(MID(SUBSTITUTE(SUBSTITUTE($B$4,"/",","),",",REPT(" ",99)),(ROW($1:$8)-1)*99+1,99)),IFERROR(('Final Calculation Sheet'!$F$8)&amp;"",""))))&gt;0,AND(ISNUMBER(SEARCH("blank",$B$4)),NOT(ISNUMBER(SEARCH("nonblank",$B$4))),IFERROR(('Final Calculation Sheet'!$F$8)&amp;"","")=""),AND(OR(ISNUMBER(SEARCH("nonblank",$B$4)),ISNUMBER(SEARCH("&lt;&gt;",$B$4))),IFERROR(('Final Calculation Sheet'!$F$8)&amp;"","")&lt;&gt;""),AND(TRIM($B$4)="",IFERROR(('Final Calculation Sheet'!$F$8)&amp;"","")=""))))</f>
        <v/>
      </c>
      <c r="BO9">
        <f>IF($CW$3="",1,--(OR(SUMPRODUCT(--(TRIM(MID(SUBSTITUTE(SUBSTITUTE($CW$3,"/",","),",",REPT(" ",99)),(ROW($1:$8)-1)*99+1,99))&lt;&gt;""),--ISNUMBER(SEARCH(TRIM(MID(SUBSTITUTE(SUBSTITUTE($CW$3,"/",","),",",REPT(" ",99)),(ROW($1:$8)-1)*99+1,99)),IFERROR(('Final Calculation Sheet'!$G$8)&amp;"",""))))&gt;0,AND(ISNUMBER(SEARCH("blank",$CW$3)),NOT(ISNUMBER(SEARCH("nonblank",$CW$3))),IFERROR(('Final Calculation Sheet'!$G$8)&amp;"","")=""),AND(OR(ISNUMBER(SEARCH("nonblank",$CW$3)),ISNUMBER(SEARCH("&lt;&gt;",$CW$3))),IFERROR(('Final Calculation Sheet'!$G$8)&amp;"","")&lt;&gt;""),AND(TRIM($CW$3)="",IFERROR(('Final Calculation Sheet'!$G$8)&amp;"","")=""))))</f>
        <v/>
      </c>
      <c r="BP9">
        <f>IF($D$4="",1,--(OR(SUMPRODUCT(--(TRIM(MID(SUBSTITUTE(SUBSTITUTE($D$4,"/",","),",",REPT(" ",99)),(ROW($1:$8)-1)*99+1,99))&lt;&gt;""),--ISNUMBER(SEARCH(TRIM(MID(SUBSTITUTE(SUBSTITUTE($D$4,"/",","),",",REPT(" ",99)),(ROW($1:$8)-1)*99+1,99)),IFERROR(('Final Calculation Sheet'!$B$8)&amp;"",""))))&gt;0,AND(ISNUMBER(SEARCH("blank",$D$4)),NOT(ISNUMBER(SEARCH("nonblank",$D$4))),IFERROR(('Final Calculation Sheet'!$B$8)&amp;"","")=""),AND(OR(ISNUMBER(SEARCH("nonblank",$D$4)),ISNUMBER(SEARCH("&lt;&gt;",$D$4))),IFERROR(('Final Calculation Sheet'!$B$8)&amp;"","")&lt;&gt;""),AND(TRIM($D$4)="",IFERROR(('Final Calculation Sheet'!$B$8)&amp;"","")=""))))</f>
        <v/>
      </c>
      <c r="BQ9">
        <f>IF($E$4="",1,--(OR(SUMPRODUCT(--(TRIM(MID(SUBSTITUTE(SUBSTITUTE($E$4,"/",","),",",REPT(" ",99)),(ROW($1:$8)-1)*99+1,99))&lt;&gt;""),--ISNUMBER(SEARCH(TRIM(MID(SUBSTITUTE(SUBSTITUTE($E$4,"/",","),",",REPT(" ",99)),(ROW($1:$8)-1)*99+1,99)),IFERROR(('Final Calculation Sheet'!$D$8)&amp;"",""))))&gt;0,AND(ISNUMBER(SEARCH("blank",$E$4)),NOT(ISNUMBER(SEARCH("nonblank",$E$4))),IFERROR(('Final Calculation Sheet'!$D$8)&amp;"","")=""),AND(OR(ISNUMBER(SEARCH("nonblank",$E$4)),ISNUMBER(SEARCH("&lt;&gt;",$E$4))),IFERROR(('Final Calculation Sheet'!$D$8)&amp;"","")&lt;&gt;""),AND(TRIM($E$4)="",IFERROR(('Final Calculation Sheet'!$D$8)&amp;"","")=""))))</f>
        <v/>
      </c>
      <c r="BR9">
        <f>IF($F$4="",1,--(OR(SUMPRODUCT(--(TRIM(MID(SUBSTITUTE(SUBSTITUTE($F$4,"/",","),",",REPT(" ",99)),(ROW($1:$8)-1)*99+1,99))&lt;&gt;""),--ISNUMBER(SEARCH(TRIM(MID(SUBSTITUTE(SUBSTITUTE($F$4,"/",","),",",REPT(" ",99)),(ROW($1:$8)-1)*99+1,99)),IFERROR(('Final Calculation Sheet'!$A$8)&amp;"",""))))&gt;0,AND(ISNUMBER(SEARCH("blank",$F$4)),NOT(ISNUMBER(SEARCH("nonblank",$F$4))),IFERROR(('Final Calculation Sheet'!$A$8)&amp;"","")=""),AND(OR(ISNUMBER(SEARCH("nonblank",$F$4)),ISNUMBER(SEARCH("&lt;&gt;",$F$4))),IFERROR(('Final Calculation Sheet'!$A$8)&amp;"","")&lt;&gt;""),AND(TRIM($F$4)="",IFERROR(('Final Calculation Sheet'!$A$8)&amp;"","")=""))))</f>
        <v/>
      </c>
      <c r="BS9">
        <f>IF($G$4="",1,--(OR(SUMPRODUCT(--(TRIM(MID(SUBSTITUTE(SUBSTITUTE($G$4,"/",","),",",REPT(" ",99)),(ROW($1:$8)-1)*99+1,99))&lt;&gt;""),--ISNUMBER(SEARCH(TRIM(MID(SUBSTITUTE(SUBSTITUTE($G$4,"/",","),",",REPT(" ",99)),(ROW($1:$8)-1)*99+1,99)),IFERROR(('Final Calculation Sheet'!$E$8)&amp;"",""))))&gt;0,AND(ISNUMBER(SEARCH("blank",$G$4)),NOT(ISNUMBER(SEARCH("nonblank",$G$4))),IFERROR(('Final Calculation Sheet'!$E$8)&amp;"","")=""),AND(OR(ISNUMBER(SEARCH("nonblank",$G$4)),ISNUMBER(SEARCH("&lt;&gt;",$G$4))),IFERROR(('Final Calculation Sheet'!$E$8)&amp;"","")&lt;&gt;""),AND(TRIM($G$4)="",IFERROR(('Final Calculation Sheet'!$E$8)&amp;"","")=""))))</f>
        <v/>
      </c>
      <c r="BT9">
        <f>IF($H$4="",1,--(OR(SUMPRODUCT(--(TRIM(MID(SUBSTITUTE(SUBSTITUTE($H$4,"/",","),",",REPT(" ",99)),(ROW($1:$8)-1)*99+1,99))&lt;&gt;""),--ISNUMBER(SEARCH(TRIM(MID(SUBSTITUTE(SUBSTITUTE($H$4,"/",","),",",REPT(" ",99)),(ROW($1:$8)-1)*99+1,99)),IFERROR(('Final Calculation Sheet'!$C$8)&amp;"",""))))&gt;0,AND(ISNUMBER(SEARCH("blank",$H$4)),NOT(ISNUMBER(SEARCH("nonblank",$H$4))),IFERROR(('Final Calculation Sheet'!$C$8)&amp;"","")=""),AND(OR(ISNUMBER(SEARCH("nonblank",$H$4)),ISNUMBER(SEARCH("&lt;&gt;",$H$4))),IFERROR(('Final Calculation Sheet'!$C$8)&amp;"","")&lt;&gt;""),AND(TRIM($H$4)="",IFERROR(('Final Calculation Sheet'!$C$8)&amp;"","")=""))))</f>
        <v/>
      </c>
      <c r="BU9">
        <f>IF($I$4="",1,--(OR(SUMPRODUCT(--(TRIM(MID(SUBSTITUTE(SUBSTITUTE($I$4,"/",","),",",REPT(" ",99)),(ROW($1:$8)-1)*99+1,99))&lt;&gt;""),--ISNUMBER(SEARCH(TRIM(MID(SUBSTITUTE(SUBSTITUTE($I$4,"/",","),",",REPT(" ",99)),(ROW($1:$8)-1)*99+1,99)),IFERROR(('Final Calculation Sheet'!$H$8)&amp;"",""))))&gt;0,AND(ISNUMBER(SEARCH("blank",$I$4)),NOT(ISNUMBER(SEARCH("nonblank",$I$4))),IFERROR(('Final Calculation Sheet'!$H$8)&amp;"","")=""),AND(OR(ISNUMBER(SEARCH("nonblank",$I$4)),ISNUMBER(SEARCH("&lt;&gt;",$I$4))),IFERROR(('Final Calculation Sheet'!$H$8)&amp;"","")&lt;&gt;""),AND(TRIM($I$4)="",IFERROR(('Final Calculation Sheet'!$H$8)&amp;"","")=""))))</f>
        <v/>
      </c>
      <c r="BV9">
        <f>IF($J$4="",1,--(OR(SUMPRODUCT(--(TRIM(MID(SUBSTITUTE(SUBSTITUTE($J$4,"/",","),",",REPT(" ",99)),(ROW($1:$8)-1)*99+1,99))&lt;&gt;""),--ISNUMBER(SEARCH(TRIM(MID(SUBSTITUTE(SUBSTITUTE($J$4,"/",","),",",REPT(" ",99)),(ROW($1:$8)-1)*99+1,99)),IFERROR(('Final Calculation Sheet'!$I$8)&amp;"",""))))&gt;0,AND(ISNUMBER(SEARCH("blank",$J$4)),NOT(ISNUMBER(SEARCH("nonblank",$J$4))),IFERROR(('Final Calculation Sheet'!$I$8)&amp;"","")=""),AND(OR(ISNUMBER(SEARCH("nonblank",$J$4)),ISNUMBER(SEARCH("&lt;&gt;",$J$4))),IFERROR(('Final Calculation Sheet'!$I$8)&amp;"","")&lt;&gt;""),AND(TRIM($J$4)="",IFERROR(('Final Calculation Sheet'!$I$8)&amp;"","")=""))))</f>
        <v/>
      </c>
      <c r="BW9">
        <f>IF($K$4="",1,--(OR(SUMPRODUCT(--(TRIM(MID(SUBSTITUTE(SUBSTITUTE($K$4,"/",","),",",REPT(" ",99)),(ROW($1:$8)-1)*99+1,99))&lt;&gt;""),--ISNUMBER(SEARCH(TRIM(MID(SUBSTITUTE(SUBSTITUTE($K$4,"/",","),",",REPT(" ",99)),(ROW($1:$8)-1)*99+1,99)),IFERROR(('Final Calculation Sheet'!$J$8)&amp;"",""))))&gt;0,AND(ISNUMBER(SEARCH("blank",$K$4)),NOT(ISNUMBER(SEARCH("nonblank",$K$4))),IFERROR(('Final Calculation Sheet'!$J$8)&amp;"","")=""),AND(OR(ISNUMBER(SEARCH("nonblank",$K$4)),ISNUMBER(SEARCH("&lt;&gt;",$K$4))),IFERROR(('Final Calculation Sheet'!$J$8)&amp;"","")&lt;&gt;""),AND(TRIM($K$4)="",IFERROR(('Final Calculation Sheet'!$J$8)&amp;"","")=""))))</f>
        <v/>
      </c>
      <c r="BX9">
        <f>IF($L$4="",1,--(OR(SUMPRODUCT(--(TRIM(MID(SUBSTITUTE(SUBSTITUTE($L$4,"/",","),",",REPT(" ",99)),(ROW($1:$8)-1)*99+1,99))&lt;&gt;""),--ISNUMBER(SEARCH(TRIM(MID(SUBSTITUTE(SUBSTITUTE($L$4,"/",","),",",REPT(" ",99)),(ROW($1:$8)-1)*99+1,99)),IFERROR(('Final Calculation Sheet'!$K$8)&amp;"",""))))&gt;0,AND(ISNUMBER(SEARCH("blank",$L$4)),NOT(ISNUMBER(SEARCH("nonblank",$L$4))),IFERROR(('Final Calculation Sheet'!$K$8)&amp;"","")=""),AND(OR(ISNUMBER(SEARCH("nonblank",$L$4)),ISNUMBER(SEARCH("&lt;&gt;",$L$4))),IFERROR(('Final Calculation Sheet'!$K$8)&amp;"","")&lt;&gt;""),AND(TRIM($L$4)="",IFERROR(('Final Calculation Sheet'!$K$8)&amp;"","")=""))))</f>
        <v/>
      </c>
      <c r="BY9">
        <f>IF($M$4="",1,--(OR(SUMPRODUCT(--(TRIM(MID(SUBSTITUTE(SUBSTITUTE($M$4,"/",","),",",REPT(" ",99)),(ROW($1:$8)-1)*99+1,99))&lt;&gt;""),--ISNUMBER(SEARCH(TRIM(MID(SUBSTITUTE(SUBSTITUTE($M$4,"/",","),",",REPT(" ",99)),(ROW($1:$8)-1)*99+1,99)),IFERROR(('Final Calculation Sheet'!$L$8)&amp;"",""))))&gt;0,AND(ISNUMBER(SEARCH("blank",$M$4)),NOT(ISNUMBER(SEARCH("nonblank",$M$4))),IFERROR(('Final Calculation Sheet'!$L$8)&amp;"","")=""),AND(OR(ISNUMBER(SEARCH("nonblank",$M$4)),ISNUMBER(SEARCH("&lt;&gt;",$M$4))),IFERROR(('Final Calculation Sheet'!$L$8)&amp;"","")&lt;&gt;""),AND(TRIM($M$4)="",IFERROR(('Final Calculation Sheet'!$L$8)&amp;"","")=""))))</f>
        <v/>
      </c>
      <c r="BZ9">
        <f>IF($N$4="",1,--(OR(SUMPRODUCT(--(TRIM(MID(SUBSTITUTE(SUBSTITUTE($N$4,"/",","),",",REPT(" ",99)),(ROW($1:$8)-1)*99+1,99))&lt;&gt;""),--ISNUMBER(SEARCH(TRIM(MID(SUBSTITUTE(SUBSTITUTE($N$4,"/",","),",",REPT(" ",99)),(ROW($1:$8)-1)*99+1,99)),IFERROR(('Final Calculation Sheet'!$M$8)&amp;"",""))))&gt;0,AND(ISNUMBER(SEARCH("blank",$N$4)),NOT(ISNUMBER(SEARCH("nonblank",$N$4))),IFERROR(('Final Calculation Sheet'!$M$8)&amp;"","")=""),AND(OR(ISNUMBER(SEARCH("nonblank",$N$4)),ISNUMBER(SEARCH("&lt;&gt;",$N$4))),IFERROR(('Final Calculation Sheet'!$M$8)&amp;"","")&lt;&gt;""),AND(TRIM($N$4)="",IFERROR(('Final Calculation Sheet'!$M$8)&amp;"","")=""))))</f>
        <v/>
      </c>
      <c r="CA9">
        <f>IF($O$4="",1,--(OR(SUMPRODUCT(--(TRIM(MID(SUBSTITUTE(SUBSTITUTE($O$4,"/",","),",",REPT(" ",99)),(ROW($1:$8)-1)*99+1,99))&lt;&gt;""),--ISNUMBER(SEARCH(TRIM(MID(SUBSTITUTE(SUBSTITUTE($O$4,"/",","),",",REPT(" ",99)),(ROW($1:$8)-1)*99+1,99)),IFERROR(('Final Calculation Sheet'!$N$8)&amp;"",""))))&gt;0,AND(ISNUMBER(SEARCH("blank",$O$4)),NOT(ISNUMBER(SEARCH("nonblank",$O$4))),IFERROR(('Final Calculation Sheet'!$N$8)&amp;"","")=""),AND(OR(ISNUMBER(SEARCH("nonblank",$O$4)),ISNUMBER(SEARCH("&lt;&gt;",$O$4))),IFERROR(('Final Calculation Sheet'!$N$8)&amp;"","")&lt;&gt;""),AND(TRIM($O$4)="",IFERROR(('Final Calculation Sheet'!$N$8)&amp;"","")=""))))</f>
        <v/>
      </c>
      <c r="CB9">
        <f>IF($P$4="",1,--(OR(SUMPRODUCT(--(TRIM(MID(SUBSTITUTE(SUBSTITUTE($P$4,"/",","),",",REPT(" ",99)),(ROW($1:$8)-1)*99+1,99))&lt;&gt;""),--ISNUMBER(SEARCH(TRIM(MID(SUBSTITUTE(SUBSTITUTE($P$4,"/",","),",",REPT(" ",99)),(ROW($1:$8)-1)*99+1,99)),IFERROR(('Final Calculation Sheet'!$O$8)&amp;"",""))))&gt;0,AND(ISNUMBER(SEARCH("blank",$P$4)),NOT(ISNUMBER(SEARCH("nonblank",$P$4))),IFERROR(('Final Calculation Sheet'!$O$8)&amp;"","")=""),AND(OR(ISNUMBER(SEARCH("nonblank",$P$4)),ISNUMBER(SEARCH("&lt;&gt;",$P$4))),IFERROR(('Final Calculation Sheet'!$O$8)&amp;"","")&lt;&gt;""),AND(TRIM($P$4)="",IFERROR(('Final Calculation Sheet'!$O$8)&amp;"","")=""))))</f>
        <v/>
      </c>
      <c r="CC9">
        <f>IF($Q$4="",1,--(OR(SUMPRODUCT(--(TRIM(MID(SUBSTITUTE(SUBSTITUTE($Q$4,"/",","),",",REPT(" ",99)),(ROW($1:$8)-1)*99+1,99))&lt;&gt;""),--ISNUMBER(SEARCH(TRIM(MID(SUBSTITUTE(SUBSTITUTE($Q$4,"/",","),",",REPT(" ",99)),(ROW($1:$8)-1)*99+1,99)),IFERROR(('Final Calculation Sheet'!$P$8)&amp;"",""))))&gt;0,AND(ISNUMBER(SEARCH("blank",$Q$4)),NOT(ISNUMBER(SEARCH("nonblank",$Q$4))),IFERROR(('Final Calculation Sheet'!$P$8)&amp;"","")=""),AND(OR(ISNUMBER(SEARCH("nonblank",$Q$4)),ISNUMBER(SEARCH("&lt;&gt;",$Q$4))),IFERROR(('Final Calculation Sheet'!$P$8)&amp;"","")&lt;&gt;""),AND(TRIM($Q$4)="",IFERROR(('Final Calculation Sheet'!$P$8)&amp;"","")=""))))</f>
        <v/>
      </c>
      <c r="CD9">
        <f>IF($R$4="",1,--(OR(SUMPRODUCT(--(TRIM(MID(SUBSTITUTE(SUBSTITUTE($R$4,"/",","),",",REPT(" ",99)),(ROW($1:$8)-1)*99+1,99))&lt;&gt;""),--ISNUMBER(SEARCH(TRIM(MID(SUBSTITUTE(SUBSTITUTE($R$4,"/",","),",",REPT(" ",99)),(ROW($1:$8)-1)*99+1,99)),IFERROR(('Final Calculation Sheet'!$Q$8)&amp;"",""))))&gt;0,AND(ISNUMBER(SEARCH("blank",$R$4)),NOT(ISNUMBER(SEARCH("nonblank",$R$4))),IFERROR(('Final Calculation Sheet'!$Q$8)&amp;"","")=""),AND(OR(ISNUMBER(SEARCH("nonblank",$R$4)),ISNUMBER(SEARCH("&lt;&gt;",$R$4))),IFERROR(('Final Calculation Sheet'!$Q$8)&amp;"","")&lt;&gt;""),AND(TRIM($R$4)="",IFERROR(('Final Calculation Sheet'!$Q$8)&amp;"","")=""))))</f>
        <v/>
      </c>
      <c r="CE9">
        <f>IF($S$4="",1,--(OR(SUMPRODUCT(--(TRIM(MID(SUBSTITUTE(SUBSTITUTE($S$4,"/",","),",",REPT(" ",99)),(ROW($1:$8)-1)*99+1,99))&lt;&gt;""),--ISNUMBER(SEARCH(TRIM(MID(SUBSTITUTE(SUBSTITUTE($S$4,"/",","),",",REPT(" ",99)),(ROW($1:$8)-1)*99+1,99)),IFERROR(('Final Calculation Sheet'!$R$8)&amp;"",""))))&gt;0,AND(ISNUMBER(SEARCH("blank",$S$4)),NOT(ISNUMBER(SEARCH("nonblank",$S$4))),IFERROR(('Final Calculation Sheet'!$R$8)&amp;"","")=""),AND(OR(ISNUMBER(SEARCH("nonblank",$S$4)),ISNUMBER(SEARCH("&lt;&gt;",$S$4))),IFERROR(('Final Calculation Sheet'!$R$8)&amp;"","")&lt;&gt;""),AND(TRIM($S$4)="",IFERROR(('Final Calculation Sheet'!$R$8)&amp;"","")=""))))</f>
        <v/>
      </c>
      <c r="CF9">
        <f>IF($T$4="",1,--(OR(SUMPRODUCT(--(TRIM(MID(SUBSTITUTE(SUBSTITUTE($T$4,"/",","),",",REPT(" ",99)),(ROW($1:$8)-1)*99+1,99))&lt;&gt;""),--ISNUMBER(SEARCH(TRIM(MID(SUBSTITUTE(SUBSTITUTE($T$4,"/",","),",",REPT(" ",99)),(ROW($1:$8)-1)*99+1,99)),IFERROR(('Final Calculation Sheet'!$S$8)&amp;"",""))))&gt;0,AND(ISNUMBER(SEARCH("blank",$T$4)),NOT(ISNUMBER(SEARCH("nonblank",$T$4))),IFERROR(('Final Calculation Sheet'!$S$8)&amp;"","")=""),AND(OR(ISNUMBER(SEARCH("nonblank",$T$4)),ISNUMBER(SEARCH("&lt;&gt;",$T$4))),IFERROR(('Final Calculation Sheet'!$S$8)&amp;"","")&lt;&gt;""),AND(TRIM($T$4)="",IFERROR(('Final Calculation Sheet'!$S$8)&amp;"","")=""))))</f>
        <v/>
      </c>
      <c r="CG9">
        <f>IF($U$4="",1,--(OR(SUMPRODUCT(--(TRIM(MID(SUBSTITUTE(SUBSTITUTE($U$4,"/",","),",",REPT(" ",99)),(ROW($1:$8)-1)*99+1,99))&lt;&gt;""),--ISNUMBER(SEARCH(TRIM(MID(SUBSTITUTE(SUBSTITUTE($U$4,"/",","),",",REPT(" ",99)),(ROW($1:$8)-1)*99+1,99)),IFERROR(('Final Calculation Sheet'!$T$8)&amp;"",""))))&gt;0,AND(ISNUMBER(SEARCH("blank",$U$4)),NOT(ISNUMBER(SEARCH("nonblank",$U$4))),IFERROR(('Final Calculation Sheet'!$T$8)&amp;"","")=""),AND(OR(ISNUMBER(SEARCH("nonblank",$U$4)),ISNUMBER(SEARCH("&lt;&gt;",$U$4))),IFERROR(('Final Calculation Sheet'!$T$8)&amp;"","")&lt;&gt;""),AND(TRIM($U$4)="",IFERROR(('Final Calculation Sheet'!$T$8)&amp;"","")=""))))</f>
        <v/>
      </c>
      <c r="CH9">
        <f>IF($V$4="",1,--(OR(SUMPRODUCT(--(TRIM(MID(SUBSTITUTE(SUBSTITUTE($V$4,"/",","),",",REPT(" ",99)),(ROW($1:$8)-1)*99+1,99))&lt;&gt;""),--ISNUMBER(SEARCH(TRIM(MID(SUBSTITUTE(SUBSTITUTE($V$4,"/",","),",",REPT(" ",99)),(ROW($1:$8)-1)*99+1,99)),IFERROR(('Final Calculation Sheet'!$U$8)&amp;"",""))))&gt;0,AND(ISNUMBER(SEARCH("blank",$V$4)),NOT(ISNUMBER(SEARCH("nonblank",$V$4))),IFERROR(('Final Calculation Sheet'!$U$8)&amp;"","")=""),AND(OR(ISNUMBER(SEARCH("nonblank",$V$4)),ISNUMBER(SEARCH("&lt;&gt;",$V$4))),IFERROR(('Final Calculation Sheet'!$U$8)&amp;"","")&lt;&gt;""),AND(TRIM($V$4)="",IFERROR(('Final Calculation Sheet'!$U$8)&amp;"","")=""))))</f>
        <v/>
      </c>
      <c r="CI9">
        <f>IF($W$4="",1,--(OR(SUMPRODUCT(--(TRIM(MID(SUBSTITUTE(SUBSTITUTE($W$4,"/",","),",",REPT(" ",99)),(ROW($1:$8)-1)*99+1,99))&lt;&gt;""),--ISNUMBER(SEARCH(TRIM(MID(SUBSTITUTE(SUBSTITUTE($W$4,"/",","),",",REPT(" ",99)),(ROW($1:$8)-1)*99+1,99)),IFERROR(('Final Calculation Sheet'!$V$8)&amp;"",""))))&gt;0,AND(ISNUMBER(SEARCH("blank",$W$4)),NOT(ISNUMBER(SEARCH("nonblank",$W$4))),IFERROR(('Final Calculation Sheet'!$V$8)&amp;"","")=""),AND(OR(ISNUMBER(SEARCH("nonblank",$W$4)),ISNUMBER(SEARCH("&lt;&gt;",$W$4))),IFERROR(('Final Calculation Sheet'!$V$8)&amp;"","")&lt;&gt;""),AND(TRIM($W$4)="",IFERROR(('Final Calculation Sheet'!$V$8)&amp;"","")=""))))</f>
        <v/>
      </c>
      <c r="CJ9">
        <f>IF($X$4="",1,--(OR(SUMPRODUCT(--(TRIM(MID(SUBSTITUTE(SUBSTITUTE($X$4,"/",","),",",REPT(" ",99)),(ROW($1:$8)-1)*99+1,99))&lt;&gt;""),--ISNUMBER(SEARCH(TRIM(MID(SUBSTITUTE(SUBSTITUTE($X$4,"/",","),",",REPT(" ",99)),(ROW($1:$8)-1)*99+1,99)),IFERROR(('Final Calculation Sheet'!$W$8)&amp;"",""))))&gt;0,AND(ISNUMBER(SEARCH("blank",$X$4)),NOT(ISNUMBER(SEARCH("nonblank",$X$4))),IFERROR(('Final Calculation Sheet'!$W$8)&amp;"","")=""),AND(OR(ISNUMBER(SEARCH("nonblank",$X$4)),ISNUMBER(SEARCH("&lt;&gt;",$X$4))),IFERROR(('Final Calculation Sheet'!$W$8)&amp;"","")&lt;&gt;""),AND(TRIM($X$4)="",IFERROR(('Final Calculation Sheet'!$W$8)&amp;"","")=""))))</f>
        <v/>
      </c>
      <c r="CK9">
        <f>IF($Y$4="",1,--(OR(SUMPRODUCT(--(TRIM(MID(SUBSTITUTE(SUBSTITUTE($Y$4,"/",","),",",REPT(" ",99)),(ROW($1:$8)-1)*99+1,99))&lt;&gt;""),--ISNUMBER(SEARCH(TRIM(MID(SUBSTITUTE(SUBSTITUTE($Y$4,"/",","),",",REPT(" ",99)),(ROW($1:$8)-1)*99+1,99)),IFERROR(('Final Calculation Sheet'!$X$8)&amp;"",""))))&gt;0,AND(ISNUMBER(SEARCH("blank",$Y$4)),NOT(ISNUMBER(SEARCH("nonblank",$Y$4))),IFERROR(('Final Calculation Sheet'!$X$8)&amp;"","")=""),AND(OR(ISNUMBER(SEARCH("nonblank",$Y$4)),ISNUMBER(SEARCH("&lt;&gt;",$Y$4))),IFERROR(('Final Calculation Sheet'!$X$8)&amp;"","")&lt;&gt;""),AND(TRIM($Y$4)="",IFERROR(('Final Calculation Sheet'!$X$8)&amp;"","")=""))))</f>
        <v/>
      </c>
      <c r="CL9">
        <f>IF($Z$4="",1,--(OR(SUMPRODUCT(--(TRIM(MID(SUBSTITUTE(SUBSTITUTE($Z$4,"/",","),",",REPT(" ",99)),(ROW($1:$8)-1)*99+1,99))&lt;&gt;""),--ISNUMBER(SEARCH(TRIM(MID(SUBSTITUTE(SUBSTITUTE($Z$4,"/",","),",",REPT(" ",99)),(ROW($1:$8)-1)*99+1,99)),IFERROR(('Final Calculation Sheet'!$Y$8)&amp;"",""))))&gt;0,AND(ISNUMBER(SEARCH("blank",$Z$4)),NOT(ISNUMBER(SEARCH("nonblank",$Z$4))),IFERROR(('Final Calculation Sheet'!$Y$8)&amp;"","")=""),AND(OR(ISNUMBER(SEARCH("nonblank",$Z$4)),ISNUMBER(SEARCH("&lt;&gt;",$Z$4))),IFERROR(('Final Calculation Sheet'!$Y$8)&amp;"","")&lt;&gt;""),AND(TRIM($Z$4)="",IFERROR(('Final Calculation Sheet'!$Y$8)&amp;"","")=""))))</f>
        <v/>
      </c>
      <c r="CM9">
        <f>IF($AA$4="",1,--(OR(SUMPRODUCT(--(TRIM(MID(SUBSTITUTE(SUBSTITUTE($AA$4,"/",","),",",REPT(" ",99)),(ROW($1:$8)-1)*99+1,99))&lt;&gt;""),--ISNUMBER(SEARCH(TRIM(MID(SUBSTITUTE(SUBSTITUTE($AA$4,"/",","),",",REPT(" ",99)),(ROW($1:$8)-1)*99+1,99)),IFERROR(('Final Calculation Sheet'!$Z$8)&amp;"",""))))&gt;0,AND(ISNUMBER(SEARCH("blank",$AA$4)),NOT(ISNUMBER(SEARCH("nonblank",$AA$4))),IFERROR(('Final Calculation Sheet'!$Z$8)&amp;"","")=""),AND(OR(ISNUMBER(SEARCH("nonblank",$AA$4)),ISNUMBER(SEARCH("&lt;&gt;",$AA$4))),IFERROR(('Final Calculation Sheet'!$Z$8)&amp;"","")&lt;&gt;""),AND(TRIM($AA$4)="",IFERROR(('Final Calculation Sheet'!$Z$8)&amp;"","")=""))))</f>
        <v/>
      </c>
      <c r="CN9">
        <f>IF($AB$4="",1,--(OR(SUMPRODUCT(--(TRIM(MID(SUBSTITUTE(SUBSTITUTE($AB$4,"/",","),",",REPT(" ",99)),(ROW($1:$8)-1)*99+1,99))&lt;&gt;""),--ISNUMBER(SEARCH(TRIM(MID(SUBSTITUTE(SUBSTITUTE($AB$4,"/",","),",",REPT(" ",99)),(ROW($1:$8)-1)*99+1,99)),IFERROR(('Final Calculation Sheet'!$AA$8)&amp;"",""))))&gt;0,AND(ISNUMBER(SEARCH("blank",$AB$4)),NOT(ISNUMBER(SEARCH("nonblank",$AB$4))),IFERROR(('Final Calculation Sheet'!$AA$8)&amp;"","")=""),AND(OR(ISNUMBER(SEARCH("nonblank",$AB$4)),ISNUMBER(SEARCH("&lt;&gt;",$AB$4))),IFERROR(('Final Calculation Sheet'!$AA$8)&amp;"","")&lt;&gt;""),AND(TRIM($AB$4)="",IFERROR(('Final Calculation Sheet'!$AA$8)&amp;"","")=""))))</f>
        <v/>
      </c>
      <c r="CO9">
        <f>IF($AC$4="",1,--(OR(SUMPRODUCT(--(TRIM(MID(SUBSTITUTE(SUBSTITUTE($AC$4,"/",","),",",REPT(" ",99)),(ROW($1:$8)-1)*99+1,99))&lt;&gt;""),--ISNUMBER(SEARCH(TRIM(MID(SUBSTITUTE(SUBSTITUTE($AC$4,"/",","),",",REPT(" ",99)),(ROW($1:$8)-1)*99+1,99)),IFERROR(('Final Calculation Sheet'!$AB$8)&amp;"",""))))&gt;0,AND(ISNUMBER(SEARCH("blank",$AC$4)),NOT(ISNUMBER(SEARCH("nonblank",$AC$4))),IFERROR(('Final Calculation Sheet'!$AB$8)&amp;"","")=""),AND(OR(ISNUMBER(SEARCH("nonblank",$AC$4)),ISNUMBER(SEARCH("&lt;&gt;",$AC$4))),IFERROR(('Final Calculation Sheet'!$AB$8)&amp;"","")&lt;&gt;""),AND(TRIM($AC$4)="",IFERROR(('Final Calculation Sheet'!$AB$8)&amp;"","")=""))))</f>
        <v/>
      </c>
      <c r="CP9">
        <f>IF($AD$4="",1,--(OR(SUMPRODUCT(--(TRIM(MID(SUBSTITUTE(SUBSTITUTE($AD$4,"/",","),",",REPT(" ",99)),(ROW($1:$8)-1)*99+1,99))&lt;&gt;""),--ISNUMBER(SEARCH(TRIM(MID(SUBSTITUTE(SUBSTITUTE($AD$4,"/",","),",",REPT(" ",99)),(ROW($1:$8)-1)*99+1,99)),IFERROR(('Final Calculation Sheet'!$AC$8)&amp;"",""))))&gt;0,AND(ISNUMBER(SEARCH("blank",$AD$4)),NOT(ISNUMBER(SEARCH("nonblank",$AD$4))),IFERROR(('Final Calculation Sheet'!$AC$8)&amp;"","")=""),AND(OR(ISNUMBER(SEARCH("nonblank",$AD$4)),ISNUMBER(SEARCH("&lt;&gt;",$AD$4))),IFERROR(('Final Calculation Sheet'!$AC$8)&amp;"","")&lt;&gt;""),AND(TRIM($AD$4)="",IFERROR(('Final Calculation Sheet'!$AC$8)&amp;"","")=""))))</f>
        <v/>
      </c>
      <c r="CQ9">
        <f>IF($AE$4="",1,--(OR(SUMPRODUCT(--(TRIM(MID(SUBSTITUTE(SUBSTITUTE($AE$4,"/",","),",",REPT(" ",99)),(ROW($1:$8)-1)*99+1,99))&lt;&gt;""),--ISNUMBER(SEARCH(TRIM(MID(SUBSTITUTE(SUBSTITUTE($AE$4,"/",","),",",REPT(" ",99)),(ROW($1:$8)-1)*99+1,99)),IFERROR(('Final Calculation Sheet'!$AD$8)&amp;"",""))))&gt;0,AND(ISNUMBER(SEARCH("blank",$AE$4)),NOT(ISNUMBER(SEARCH("nonblank",$AE$4))),IFERROR(('Final Calculation Sheet'!$AD$8)&amp;"","")=""),AND(OR(ISNUMBER(SEARCH("nonblank",$AE$4)),ISNUMBER(SEARCH("&lt;&gt;",$AE$4))),IFERROR(('Final Calculation Sheet'!$AD$8)&amp;"","")&lt;&gt;""),AND(TRIM($AE$4)="",IFERROR(('Final Calculation Sheet'!$AD$8)&amp;"","")=""))))</f>
        <v/>
      </c>
      <c r="CR9">
        <f>IF($AG$4="",1,--(OR(SUMPRODUCT(--(TRIM(MID(SUBSTITUTE(SUBSTITUTE($AG$4,"/",","),",",REPT(" ",99)),(ROW($1:$8)-1)*99+1,99))&lt;&gt;""),--ISNUMBER(SEARCH(TRIM(MID(SUBSTITUTE(SUBSTITUTE($AG$4,"/",","),",",REPT(" ",99)),(ROW($1:$8)-1)*99+1,99)),IFERROR(('Final Calculation Sheet'!$AF$8)&amp;"",""))))&gt;0,AND(ISNUMBER(SEARCH("blank",$AG$4)),NOT(ISNUMBER(SEARCH("nonblank",$AG$4))),IFERROR(('Final Calculation Sheet'!$AF$8)&amp;"","")=""),AND(OR(ISNUMBER(SEARCH("nonblank",$AG$4)),ISNUMBER(SEARCH("&lt;&gt;",$AG$4))),IFERROR(('Final Calculation Sheet'!$AF$8)&amp;"","")&lt;&gt;""),AND(TRIM($AG$4)="",IFERROR(('Final Calculation Sheet'!$AF$8)&amp;"","")=""))))</f>
        <v/>
      </c>
      <c r="CS9">
        <f>IF($AH$4="",1,--(OR(SUMPRODUCT(--(TRIM(MID(SUBSTITUTE(SUBSTITUTE($AH$4,"/",","),",",REPT(" ",99)),(ROW($1:$8)-1)*99+1,99))&lt;&gt;""),--ISNUMBER(SEARCH(TRIM(MID(SUBSTITUTE(SUBSTITUTE($AH$4,"/",","),",",REPT(" ",99)),(ROW($1:$8)-1)*99+1,99)),IFERROR(('Final Calculation Sheet'!$AG$8)&amp;"",""))))&gt;0,AND(ISNUMBER(SEARCH("blank",$AH$4)),NOT(ISNUMBER(SEARCH("nonblank",$AH$4))),IFERROR(('Final Calculation Sheet'!$AG$8)&amp;"","")=""),AND(OR(ISNUMBER(SEARCH("nonblank",$AH$4)),ISNUMBER(SEARCH("&lt;&gt;",$AH$4))),IFERROR(('Final Calculation Sheet'!$AG$8)&amp;"","")&lt;&gt;""),AND(TRIM($AH$4)="",IFERROR(('Final Calculation Sheet'!$AG$8)&amp;"","")=""))))</f>
        <v/>
      </c>
      <c r="CT9">
        <f>IF($AI$4="",1,--(OR(SUMPRODUCT(--(TRIM(MID(SUBSTITUTE(SUBSTITUTE($AI$4,"/",","),",",REPT(" ",99)),(ROW($1:$8)-1)*99+1,99))&lt;&gt;""),--ISNUMBER(SEARCH(TRIM(MID(SUBSTITUTE(SUBSTITUTE($AI$4,"/",","),",",REPT(" ",99)),(ROW($1:$8)-1)*99+1,99)),IFERROR(('Final Calculation Sheet'!$AH$8)&amp;"",""))))&gt;0,AND(ISNUMBER(SEARCH("blank",$AI$4)),NOT(ISNUMBER(SEARCH("nonblank",$AI$4))),IFERROR(('Final Calculation Sheet'!$AH$8)&amp;"","")=""),AND(OR(ISNUMBER(SEARCH("nonblank",$AI$4)),ISNUMBER(SEARCH("&lt;&gt;",$AI$4))),IFERROR(('Final Calculation Sheet'!$AH$8)&amp;"","")&lt;&gt;""),AND(TRIM($AI$4)="",IFERROR(('Final Calculation Sheet'!$AH$8)&amp;"","")=""))))</f>
        <v/>
      </c>
      <c r="CU9">
        <f>IF($AF$4="",1,--(OR(SUMPRODUCT(--(TRIM(MID(SUBSTITUTE(SUBSTITUTE($AF$4,"/",","),",",REPT(" ",99)),(ROW($1:$8)-1)*99+1,99))&lt;&gt;""),--ISNUMBER(SEARCH(TRIM(MID(SUBSTITUTE(SUBSTITUTE($AF$4,"/",","),",",REPT(" ",99)),(ROW($1:$8)-1)*99+1,99)),IFERROR((IF('Final Calculation Sheet'!$AD$8&lt;=5,"SETTLED","OUTSTANDING"))&amp;"",""))))&gt;0,AND(ISNUMBER(SEARCH("blank",$AF$4)),NOT(ISNUMBER(SEARCH("nonblank",$AF$4))),IFERROR((IF('Final Calculation Sheet'!$AD$8&lt;=5,"SETTLED","OUTSTANDING"))&amp;"","")=""),AND(OR(ISNUMBER(SEARCH("nonblank",$AF$4)),ISNUMBER(SEARCH("&lt;&gt;",$AF$4))),IFERROR((IF('Final Calculation Sheet'!$AD$8&lt;=5,"SETTLED","OUTSTANDING"))&amp;"","")&lt;&gt;""),AND(TRIM($AF$4)="",IFERROR((IF('Final Calculation Sheet'!$AD$8&lt;=5,"SETTLED","OUTSTANDING"))&amp;"","")=""))))</f>
        <v/>
      </c>
    </row>
    <row r="10" ht="15" customHeight="1" s="137">
      <c r="A10" s="67">
        <f>IF($BJ9&gt;0,INDEX($BA$5:$BA$41,MATCH(9,$BB$5:$BB$41,0)),IF(OR($BI9=1,$BL9=1,$BH9&gt;0),"∑",""))</f>
        <v/>
      </c>
      <c r="B10" s="76">
        <f>IF($BJ9&gt;0,IF(INDEX('Final Calculation Sheet'!$F$4:$F$40,$BJ9-3)="","",INDEX('Final Calculation Sheet'!$F$4:$F$40,$BJ9-3)),"")</f>
        <v/>
      </c>
      <c r="C10" s="76">
        <f>IF($BJ9&gt;0,IF(INDEX('Final Calculation Sheet'!$G$4:$G$40,$BJ9-3)="","",INDEX('Final Calculation Sheet'!$G$4:$G$40,$BJ9-3)),IF(OR($BI9=1,$BL9=1,$BH9&gt;0),IF($BI9=1,37,IF($BL9=1,37-INDEX($BD$4:$BD$13,10),INDEX($BD$4:$BD$13,$BH9)))&amp;" lot(s)",""))</f>
        <v/>
      </c>
      <c r="D10" s="80">
        <f>IF($BJ9&gt;0,IF(INDEX('Final Calculation Sheet'!$B$4:$B$40,$BJ9-3)="","",INDEX('Final Calculation Sheet'!$B$4:$B$40,$BJ9-3)),IF(OR($BI9=1,$BL9=1,$BH9&gt;0),IF($BI9=1,"GRAND TOTAL  —  matching + remaining",IF($BL9=1,"TOTAL MATCHED  —  every group together",IF($BH9=10,"REMAINING  —  did not match the search",IF($BH9=9,IF(COUNTIF($A$4:$AI$4,"&lt;&gt;")&gt;0,"FILTERED LOTS  —  column fields","ALL LOTS  —  nothing typed in the box"),"GROUP "&amp;$BH9&amp;" TOTAL  —  lots matching  "&amp;INDEX($AR$6:$AY$6,$BH9))))),""))</f>
        <v/>
      </c>
      <c r="E10" s="80">
        <f>IF($BJ9&gt;0,IF(INDEX('Final Calculation Sheet'!$D$4:$D$40,$BJ9-3)="","",INDEX('Final Calculation Sheet'!$D$4:$D$40,$BJ9-3)),IF(OR($BI9=1,$BL9=1,$BH9&gt;0),"–",""))</f>
        <v/>
      </c>
      <c r="F10" s="80">
        <f>IF($BJ9&gt;0,IF(INDEX('Final Calculation Sheet'!$A$4:$A$40,$BJ9-3)="","",INDEX('Final Calculation Sheet'!$A$4:$A$40,$BJ9-3)),IF(OR($BI9=1,$BL9=1,$BH9&gt;0),IF($BI9=1,SUM('Final Calculation Sheet'!$A$4:$A$40),IF($BL9=1,SUM('Final Calculation Sheet'!$A$4:$A$40)-SUMIFS('Final Calculation Sheet'!$A$4:$A$40,$AZ$5:$AZ$41,10),SUMIFS('Final Calculation Sheet'!$A$4:$A$40,$AZ$5:$AZ$41,$BH9))),""))</f>
        <v/>
      </c>
      <c r="G10" s="80">
        <f>IF($BJ9&gt;0,IF(INDEX('Final Calculation Sheet'!$E$4:$E$40,$BJ9-3)="","",INDEX('Final Calculation Sheet'!$E$4:$E$40,$BJ9-3)),IF(OR($BI9=1,$BL9=1,$BH9&gt;0),"–",""))</f>
        <v/>
      </c>
      <c r="H10" s="70">
        <f>IF($BJ9&gt;0,IF(INDEX('Final Calculation Sheet'!$C$4:$C$40,$BJ9-3)="","",INDEX('Final Calculation Sheet'!$C$4:$C$40,$BJ9-3)),IF(OR($BI9=1,$BL9=1,$BH9&gt;0),"–",""))</f>
        <v/>
      </c>
      <c r="I10" s="70">
        <f>IF($BJ9&gt;0,IF(INDEX('Final Calculation Sheet'!$H$4:$H$40,$BJ9-3)="","",INDEX('Final Calculation Sheet'!$H$4:$H$40,$BJ9-3)),IF(OR($BI9=1,$BL9=1,$BH9&gt;0),IF($BI9=1,SUM('Final Calculation Sheet'!$H$4:$H$40),IF($BL9=1,SUM('Final Calculation Sheet'!$H$4:$H$40)-SUMIFS('Final Calculation Sheet'!$H$4:$H$40,$AZ$5:$AZ$41,10),SUMIFS('Final Calculation Sheet'!$H$4:$H$40,$AZ$5:$AZ$41,$BH9))),""))</f>
        <v/>
      </c>
      <c r="J10" s="70">
        <f>IF($BJ9&gt;0,IF(INDEX('Final Calculation Sheet'!$I$4:$I$40,$BJ9-3)="","",INDEX('Final Calculation Sheet'!$I$4:$I$40,$BJ9-3)),IF(OR($BI9=1,$BL9=1,$BH9&gt;0),IF($BI9=1,SUM('Final Calculation Sheet'!$I$4:$I$40),IF($BL9=1,SUM('Final Calculation Sheet'!$I$4:$I$40)-SUMIFS('Final Calculation Sheet'!$I$4:$I$40,$AZ$5:$AZ$41,10),SUMIFS('Final Calculation Sheet'!$I$4:$I$40,$AZ$5:$AZ$41,$BH9))),""))</f>
        <v/>
      </c>
      <c r="K10" s="70">
        <f>IF($BJ9&gt;0,IF(INDEX('Final Calculation Sheet'!$J$4:$J$40,$BJ9-3)="","",INDEX('Final Calculation Sheet'!$J$4:$J$40,$BJ9-3)),IF(OR($BI9=1,$BL9=1,$BH9&gt;0),IF($BI9=1,SUM('Final Calculation Sheet'!$J$4:$J$40),IF($BL9=1,SUM('Final Calculation Sheet'!$J$4:$J$40)-SUMIFS('Final Calculation Sheet'!$J$4:$J$40,$AZ$5:$AZ$41,10),SUMIFS('Final Calculation Sheet'!$J$4:$J$40,$AZ$5:$AZ$41,$BH9))),""))</f>
        <v/>
      </c>
      <c r="L10" s="70">
        <f>IF($BJ9&gt;0,IF(INDEX('Final Calculation Sheet'!$K$4:$K$40,$BJ9-3)="","",INDEX('Final Calculation Sheet'!$K$4:$K$40,$BJ9-3)),IF(OR($BI9=1,$BL9=1,$BH9&gt;0),IF($BI9=1,SUM('Final Calculation Sheet'!$K$4:$K$40),IF($BL9=1,SUM('Final Calculation Sheet'!$K$4:$K$40)-SUMIFS('Final Calculation Sheet'!$K$4:$K$40,$AZ$5:$AZ$41,10),SUMIFS('Final Calculation Sheet'!$K$4:$K$40,$AZ$5:$AZ$41,$BH9))),""))</f>
        <v/>
      </c>
      <c r="M10" s="70">
        <f>IF($BJ9&gt;0,IF(INDEX('Final Calculation Sheet'!$L$4:$L$40,$BJ9-3)="","",INDEX('Final Calculation Sheet'!$L$4:$L$40,$BJ9-3)),IF(OR($BI9=1,$BL9=1,$BH9&gt;0),IF($BI9=1,SUM('Final Calculation Sheet'!$L$4:$L$40),IF($BL9=1,SUM('Final Calculation Sheet'!$L$4:$L$40)-SUMIFS('Final Calculation Sheet'!$L$4:$L$40,$AZ$5:$AZ$41,10),SUMIFS('Final Calculation Sheet'!$L$4:$L$40,$AZ$5:$AZ$41,$BH9))),""))</f>
        <v/>
      </c>
      <c r="N10" s="70">
        <f>IF($BJ9&gt;0,IF(INDEX('Final Calculation Sheet'!$M$4:$M$40,$BJ9-3)="","",INDEX('Final Calculation Sheet'!$M$4:$M$40,$BJ9-3)),IF(OR($BI9=1,$BL9=1,$BH9&gt;0),IF($BI9=1,SUM('Final Calculation Sheet'!$M$4:$M$40),IF($BL9=1,SUM('Final Calculation Sheet'!$M$4:$M$40)-SUMIFS('Final Calculation Sheet'!$M$4:$M$40,$AZ$5:$AZ$41,10),SUMIFS('Final Calculation Sheet'!$M$4:$M$40,$AZ$5:$AZ$41,$BH9))),""))</f>
        <v/>
      </c>
      <c r="O10" s="71">
        <f>IF($BJ9&gt;0,IF(INDEX('Final Calculation Sheet'!$N$4:$N$40,$BJ9-3)="","",INDEX('Final Calculation Sheet'!$N$4:$N$40,$BJ9-3)),IF(OR($BI9=1,$BL9=1,$BH9&gt;0),IF($BI9=1,SUM('Final Calculation Sheet'!$N$4:$N$40),IF($BL9=1,SUM('Final Calculation Sheet'!$N$4:$N$40)-SUMIFS('Final Calculation Sheet'!$N$4:$N$40,$AZ$5:$AZ$41,10),SUMIFS('Final Calculation Sheet'!$N$4:$N$40,$AZ$5:$AZ$41,$BH9))),""))</f>
        <v/>
      </c>
      <c r="P10" s="70">
        <f>IF($BJ9&gt;0,IF(INDEX('Final Calculation Sheet'!$O$4:$O$40,$BJ9-3)="","",INDEX('Final Calculation Sheet'!$O$4:$O$40,$BJ9-3)),IF(OR($BI9=1,$BL9=1,$BH9&gt;0),IF($BI9=1,SUM('Final Calculation Sheet'!$O$4:$O$40),IF($BL9=1,SUM('Final Calculation Sheet'!$O$4:$O$40)-SUMIFS('Final Calculation Sheet'!$O$4:$O$40,$AZ$5:$AZ$41,10),SUMIFS('Final Calculation Sheet'!$O$4:$O$40,$AZ$5:$AZ$41,$BH9))),""))</f>
        <v/>
      </c>
      <c r="Q10" s="70">
        <f>IF($BJ9&gt;0,IF(INDEX('Final Calculation Sheet'!$P$4:$P$40,$BJ9-3)="","",INDEX('Final Calculation Sheet'!$P$4:$P$40,$BJ9-3)),IF(OR($BI9=1,$BL9=1,$BH9&gt;0),IF($BI9=1,SUM('Final Calculation Sheet'!$P$4:$P$40),IF($BL9=1,SUM('Final Calculation Sheet'!$P$4:$P$40)-SUMIFS('Final Calculation Sheet'!$P$4:$P$40,$AZ$5:$AZ$41,10),SUMIFS('Final Calculation Sheet'!$P$4:$P$40,$AZ$5:$AZ$41,$BH9))),""))</f>
        <v/>
      </c>
      <c r="R10" s="72">
        <f>IF($BJ9&gt;0,IF(INDEX('Final Calculation Sheet'!$Q$4:$Q$40,$BJ9-3)="","",INDEX('Final Calculation Sheet'!$Q$4:$Q$40,$BJ9-3)),IF(OR($BI9=1,$BL9=1,$BH9&gt;0),"–",""))</f>
        <v/>
      </c>
      <c r="S10" s="70">
        <f>IF($BJ9&gt;0,IF(INDEX('Final Calculation Sheet'!$R$4:$R$40,$BJ9-3)="","",INDEX('Final Calculation Sheet'!$R$4:$R$40,$BJ9-3)),IF(OR($BI9=1,$BL9=1,$BH9&gt;0),IF($BI9=1,SUM('Final Calculation Sheet'!$R$4:$R$40),IF($BL9=1,SUM('Final Calculation Sheet'!$R$4:$R$40)-SUMIFS('Final Calculation Sheet'!$R$4:$R$40,$AZ$5:$AZ$41,10),SUMIFS('Final Calculation Sheet'!$R$4:$R$40,$AZ$5:$AZ$41,$BH9))),""))</f>
        <v/>
      </c>
      <c r="T10" s="70">
        <f>IF($BJ9&gt;0,IF(INDEX('Final Calculation Sheet'!$S$4:$S$40,$BJ9-3)="","",INDEX('Final Calculation Sheet'!$S$4:$S$40,$BJ9-3)),IF(OR($BI9=1,$BL9=1,$BH9&gt;0),IF($BI9=1,SUM('Final Calculation Sheet'!$S$4:$S$40),IF($BL9=1,SUM('Final Calculation Sheet'!$S$4:$S$40)-SUMIFS('Final Calculation Sheet'!$S$4:$S$40,$AZ$5:$AZ$41,10),SUMIFS('Final Calculation Sheet'!$S$4:$S$40,$AZ$5:$AZ$41,$BH9))),""))</f>
        <v/>
      </c>
      <c r="U10" s="70">
        <f>IF($BJ9&gt;0,IF(INDEX('Final Calculation Sheet'!$T$4:$T$40,$BJ9-3)="","",INDEX('Final Calculation Sheet'!$T$4:$T$40,$BJ9-3)),IF(OR($BI9=1,$BL9=1,$BH9&gt;0),IF($BI9=1,SUM('Final Calculation Sheet'!$T$4:$T$40),IF($BL9=1,SUM('Final Calculation Sheet'!$T$4:$T$40)-SUMIFS('Final Calculation Sheet'!$T$4:$T$40,$AZ$5:$AZ$41,10),SUMIFS('Final Calculation Sheet'!$T$4:$T$40,$AZ$5:$AZ$41,$BH9))),""))</f>
        <v/>
      </c>
      <c r="V10" s="73">
        <f>IF($BJ9&gt;0,IF(INDEX('Final Calculation Sheet'!$U$4:$U$40,$BJ9-3)="","",INDEX('Final Calculation Sheet'!$U$4:$U$40,$BJ9-3)),IF(OR($BI9=1,$BL9=1,$BH9&gt;0),IF($BI9=1,SUM('Final Calculation Sheet'!$U$4:$U$40),IF($BL9=1,SUM('Final Calculation Sheet'!$U$4:$U$40)-SUMIFS('Final Calculation Sheet'!$U$4:$U$40,$AZ$5:$AZ$41,10),SUMIFS('Final Calculation Sheet'!$U$4:$U$40,$AZ$5:$AZ$41,$BH9))),""))</f>
        <v/>
      </c>
      <c r="W10" s="70">
        <f>IF($BJ9&gt;0,IF(INDEX('Final Calculation Sheet'!$V$4:$V$40,$BJ9-3)="","",INDEX('Final Calculation Sheet'!$V$4:$V$40,$BJ9-3)),IF(OR($BI9=1,$BL9=1,$BH9&gt;0),"–",""))</f>
        <v/>
      </c>
      <c r="X10" s="70">
        <f>IF($BJ9&gt;0,IF(INDEX('Final Calculation Sheet'!$W$4:$W$40,$BJ9-3)="","",INDEX('Final Calculation Sheet'!$W$4:$W$40,$BJ9-3)),IF(OR($BI9=1,$BL9=1,$BH9&gt;0),IF($BI9=1,SUM('Final Calculation Sheet'!$W$4:$W$40),IF($BL9=1,SUM('Final Calculation Sheet'!$W$4:$W$40)-SUMIFS('Final Calculation Sheet'!$W$4:$W$40,$AZ$5:$AZ$41,10),SUMIFS('Final Calculation Sheet'!$W$4:$W$40,$AZ$5:$AZ$41,$BH9))),""))</f>
        <v/>
      </c>
      <c r="Y10" s="70">
        <f>IF($BJ9&gt;0,IF(INDEX('Final Calculation Sheet'!$X$4:$X$40,$BJ9-3)="","",INDEX('Final Calculation Sheet'!$X$4:$X$40,$BJ9-3)),IF(OR($BI9=1,$BL9=1,$BH9&gt;0),IF($BI9=1,SUM('Final Calculation Sheet'!$X$4:$X$40),IF($BL9=1,SUM('Final Calculation Sheet'!$X$4:$X$40)-SUMIFS('Final Calculation Sheet'!$X$4:$X$40,$AZ$5:$AZ$41,10),SUMIFS('Final Calculation Sheet'!$X$4:$X$40,$AZ$5:$AZ$41,$BH9))),""))</f>
        <v/>
      </c>
      <c r="Z10" s="70">
        <f>IF($BJ9&gt;0,IF(INDEX('Final Calculation Sheet'!$Y$4:$Y$40,$BJ9-3)="","",INDEX('Final Calculation Sheet'!$Y$4:$Y$40,$BJ9-3)),IF(OR($BI9=1,$BL9=1,$BH9&gt;0),"–",""))</f>
        <v/>
      </c>
      <c r="AA10" s="70">
        <f>IF($BJ9&gt;0,IF(INDEX('Final Calculation Sheet'!$Z$4:$Z$40,$BJ9-3)="","",INDEX('Final Calculation Sheet'!$Z$4:$Z$40,$BJ9-3)),IF(OR($BI9=1,$BL9=1,$BH9&gt;0),IF($BI9=1,SUM('Final Calculation Sheet'!$Z$4:$Z$40),IF($BL9=1,SUM('Final Calculation Sheet'!$Z$4:$Z$40)-SUMIFS('Final Calculation Sheet'!$Z$4:$Z$40,$AZ$5:$AZ$41,10),SUMIFS('Final Calculation Sheet'!$Z$4:$Z$40,$AZ$5:$AZ$41,$BH9))),""))</f>
        <v/>
      </c>
      <c r="AB10" s="70">
        <f>IF($BJ9&gt;0,IF(INDEX('Final Calculation Sheet'!$AA$4:$AA$40,$BJ9-3)="","",INDEX('Final Calculation Sheet'!$AA$4:$AA$40,$BJ9-3)),IF(OR($BI9=1,$BL9=1,$BH9&gt;0),IF($BI9=1,SUM('Final Calculation Sheet'!$AA$4:$AA$40),IF($BL9=1,SUM('Final Calculation Sheet'!$AA$4:$AA$40)-SUMIFS('Final Calculation Sheet'!$AA$4:$AA$40,$AZ$5:$AZ$41,10),SUMIFS('Final Calculation Sheet'!$AA$4:$AA$40,$AZ$5:$AZ$41,$BH9))),""))</f>
        <v/>
      </c>
      <c r="AC10" s="70">
        <f>IF($BJ9&gt;0,IF(INDEX('Final Calculation Sheet'!$AB$4:$AB$40,$BJ9-3)="","",INDEX('Final Calculation Sheet'!$AB$4:$AB$40,$BJ9-3)),IF(OR($BI9=1,$BL9=1,$BH9&gt;0),"–",""))</f>
        <v/>
      </c>
      <c r="AD10" s="70">
        <f>IF($BJ9&gt;0,IF(INDEX('Final Calculation Sheet'!$AC$4:$AC$40,$BJ9-3)="","",INDEX('Final Calculation Sheet'!$AC$4:$AC$40,$BJ9-3)),IF(OR($BI9=1,$BL9=1,$BH9&gt;0),IF($BI9=1,SUM('Final Calculation Sheet'!$AC$4:$AC$40),IF($BL9=1,SUM('Final Calculation Sheet'!$AC$4:$AC$40)-SUMIFS('Final Calculation Sheet'!$AC$4:$AC$40,$AZ$5:$AZ$41,10),SUMIFS('Final Calculation Sheet'!$AC$4:$AC$40,$AZ$5:$AZ$41,$BH9))),""))</f>
        <v/>
      </c>
      <c r="AE10" s="70">
        <f>IF($BJ9&gt;0,IF(INDEX('Final Calculation Sheet'!$AD$4:$AD$40,$BJ9-3)="","",INDEX('Final Calculation Sheet'!$AD$4:$AD$40,$BJ9-3)),IF(OR($BI9=1,$BL9=1,$BH9&gt;0),IF($BI9=1,SUM('Final Calculation Sheet'!$AD$4:$AD$40),IF($BL9=1,SUM('Final Calculation Sheet'!$AD$4:$AD$40)-SUMIFS('Final Calculation Sheet'!$AD$4:$AD$40,$AZ$5:$AZ$41,10),SUMIFS('Final Calculation Sheet'!$AD$4:$AD$40,$AZ$5:$AZ$41,$BH9))),""))</f>
        <v/>
      </c>
      <c r="AF10" s="75">
        <f>IF($BJ9&gt;0,IF(INDEX('Final Calculation Sheet'!$AD$4:$AD$40,$BJ9-3)="","",IF(INDEX('Final Calculation Sheet'!$AD$4:$AD$40,$BJ9-3)&lt;=5,"SETTLED","OUTSTANDING")),IF(OR($BI9=1,$BL9=1,$BH9&gt;0),IF(IF($BI9=1,SUM('Final Calculation Sheet'!$AD$4:$AD$40),IF($BL9=1,SUM('Final Calculation Sheet'!$AD$4:$AD$40)-SUMIFS('Final Calculation Sheet'!$AD$4:$AD$40,$AZ$5:$AZ$41,10),SUMIFS('Final Calculation Sheet'!$AD$4:$AD$40,$AZ$5:$AZ$41,$BH9)))&lt;=5,"ALL SETTLED","OUTSTANDING"),""))</f>
        <v/>
      </c>
      <c r="AG10" s="70">
        <f>IF($BJ9&gt;0,IF(INDEX('Final Calculation Sheet'!$AF$4:$AF$40,$BJ9-3)="","",INDEX('Final Calculation Sheet'!$AF$4:$AF$40,$BJ9-3)),IF(OR($BI9=1,$BL9=1,$BH9&gt;0),"–",""))</f>
        <v/>
      </c>
      <c r="AH10" s="74">
        <f>IF($BJ9&gt;0,IF(INDEX('Final Calculation Sheet'!$AG$4:$AG$40,$BJ9-3)="","",INDEX('Final Calculation Sheet'!$AG$4:$AG$40,$BJ9-3)),IF(OR($BI9=1,$BL9=1,$BH9&gt;0),"–",""))</f>
        <v/>
      </c>
      <c r="AI10" s="70">
        <f>IF($BJ9&gt;0,IF(INDEX('Final Calculation Sheet'!$AH$4:$AH$40,$BJ9-3)="","",INDEX('Final Calculation Sheet'!$AH$4:$AH$40,$BJ9-3)),IF(OR($BI9=1,$BL9=1,$BH9&gt;0),"–",""))</f>
        <v/>
      </c>
      <c r="AJ10" s="76">
        <f>IF($B$3="",IF(ROW()=5,"— type above —",""),IF(ROW()-4&gt;AL$41,"",INDEX('Final Calculation Sheet'!$F$4:$F$40,MATCH(ROW()-4,$AL$5:$AL$41,0))&amp;" — "&amp;INDEX('Final Calculation Sheet'!$G$4:$G$40,MATCH(ROW()-4,$AL$5:$AL$41,0))))</f>
        <v/>
      </c>
      <c r="AK10">
        <f>IF($F$3="Lot No.",'Final Calculation Sheet'!$F$9,IF($F$3="Buyer",'Final Calculation Sheet'!$G$9,IF($F$3="Lot Name",'Final Calculation Sheet'!$B$9,IF($F$3="Bid Sheet",'Final Calculation Sheet'!$D$9,IF($F$3="Unit",'Final Calculation Sheet'!$E$9,'Final Calculation Sheet'!$F$9&amp;" "&amp;'Final Calculation Sheet'!$G$9&amp;" "&amp;'Final Calculation Sheet'!$B$9)))))</f>
        <v/>
      </c>
      <c r="AL10">
        <f>AL9+IF($B$3="",0,--(SUMPRODUCT(--($AR$6:$AY$6&lt;&gt;""),--ISNUMBER(SEARCH($AR$6:$AY$6,$AK10)))&gt;0))</f>
        <v/>
      </c>
      <c r="AM10">
        <f>IF(COUNTIF($BM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AZ10">
        <f>IF($B$3="",IF(COUNTIF($A$4:$AI$4,"&lt;&gt;")=0,9,IF($AM10=1,9,10)),IF($AM10=0,10,IF(AND($AR$6&lt;&gt;"",ISNUMBER(SEARCH($AR$6,$AK10))),1,IF(AND($AS$6&lt;&gt;"",ISNUMBER(SEARCH($AS$6,$AK10))),2,IF(AND($AT$6&lt;&gt;"",ISNUMBER(SEARCH($AT$6,$AK10))),3,IF(AND($AU$6&lt;&gt;"",ISNUMBER(SEARCH($AU$6,$AK10))),4,IF(AND($AV$6&lt;&gt;"",ISNUMBER(SEARCH($AV$6,$AK10))),5,IF(AND($AW$6&lt;&gt;"",ISNUMBER(SEARCH($AW$6,$AK10))),6,IF(AND($AX$6&lt;&gt;"",ISNUMBER(SEARCH($AX$6,$AK10))),7,IF(AND($AY$6&lt;&gt;"",ISNUMBER(SEARCH($AY$6,$AK10))),8,0))))))))))</f>
        <v/>
      </c>
      <c r="BA10">
        <f>SUMPRODUCT(($AZ$5:$AZ$41=$AZ10)*($BC$5:$BC$41&lt;$BC10))+1</f>
        <v/>
      </c>
      <c r="BB10">
        <f>IF(INDEX($BF$4:$BF$13,$AZ10)=0,0,INDEX($BE$4:$BE$13,$AZ10)+$BA10-1)</f>
        <v/>
      </c>
      <c r="BC10" t="n">
        <v>9</v>
      </c>
      <c r="BD10">
        <f>COUNTIF($AZ$5:$AZ$41,7)</f>
        <v/>
      </c>
      <c r="BE10">
        <f>IF($BD9=0,$BE9,$BF9+1)</f>
        <v/>
      </c>
      <c r="BF10">
        <f>IF($BD10=0,0,$BE10+$BD10)</f>
        <v/>
      </c>
      <c r="BH10">
        <f>IFERROR(MATCH(10,$BF$4:$BF$13,0),0)</f>
        <v/>
      </c>
      <c r="BI10">
        <f>IF(10=$BG$5,1,0)</f>
        <v/>
      </c>
      <c r="BJ10">
        <f>IF(OR($BH10&gt;0,$BI10=1,$BL10=1),0,IFERROR(INDEX($BC$5:$BC$41,MATCH(10,$BB$5:$BB$41,0)),0))</f>
        <v/>
      </c>
      <c r="BK10">
        <f>IF($BJ10&gt;0,IF(INDEX($AZ$5:$AZ$41,MATCH(10,$BB$5:$BB$41,0))=10,1,0),IF($BH10=10,1,0))</f>
        <v/>
      </c>
      <c r="BL10">
        <f>IF(10=$BG$4,1,0)</f>
        <v/>
      </c>
      <c r="BM10">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0">
        <f>IF($B$4="",1,--(OR(SUMPRODUCT(--(TRIM(MID(SUBSTITUTE(SUBSTITUTE($B$4,"/",","),",",REPT(" ",99)),(ROW($1:$8)-1)*99+1,99))&lt;&gt;""),--ISNUMBER(SEARCH(TRIM(MID(SUBSTITUTE(SUBSTITUTE($B$4,"/",","),",",REPT(" ",99)),(ROW($1:$8)-1)*99+1,99)),IFERROR(('Final Calculation Sheet'!$F$9)&amp;"",""))))&gt;0,AND(ISNUMBER(SEARCH("blank",$B$4)),NOT(ISNUMBER(SEARCH("nonblank",$B$4))),IFERROR(('Final Calculation Sheet'!$F$9)&amp;"","")=""),AND(OR(ISNUMBER(SEARCH("nonblank",$B$4)),ISNUMBER(SEARCH("&lt;&gt;",$B$4))),IFERROR(('Final Calculation Sheet'!$F$9)&amp;"","")&lt;&gt;""),AND(TRIM($B$4)="",IFERROR(('Final Calculation Sheet'!$F$9)&amp;"","")=""))))</f>
        <v/>
      </c>
      <c r="BO10">
        <f>IF($CW$3="",1,--(OR(SUMPRODUCT(--(TRIM(MID(SUBSTITUTE(SUBSTITUTE($CW$3,"/",","),",",REPT(" ",99)),(ROW($1:$8)-1)*99+1,99))&lt;&gt;""),--ISNUMBER(SEARCH(TRIM(MID(SUBSTITUTE(SUBSTITUTE($CW$3,"/",","),",",REPT(" ",99)),(ROW($1:$8)-1)*99+1,99)),IFERROR(('Final Calculation Sheet'!$G$9)&amp;"",""))))&gt;0,AND(ISNUMBER(SEARCH("blank",$CW$3)),NOT(ISNUMBER(SEARCH("nonblank",$CW$3))),IFERROR(('Final Calculation Sheet'!$G$9)&amp;"","")=""),AND(OR(ISNUMBER(SEARCH("nonblank",$CW$3)),ISNUMBER(SEARCH("&lt;&gt;",$CW$3))),IFERROR(('Final Calculation Sheet'!$G$9)&amp;"","")&lt;&gt;""),AND(TRIM($CW$3)="",IFERROR(('Final Calculation Sheet'!$G$9)&amp;"","")=""))))</f>
        <v/>
      </c>
      <c r="BP10">
        <f>IF($D$4="",1,--(OR(SUMPRODUCT(--(TRIM(MID(SUBSTITUTE(SUBSTITUTE($D$4,"/",","),",",REPT(" ",99)),(ROW($1:$8)-1)*99+1,99))&lt;&gt;""),--ISNUMBER(SEARCH(TRIM(MID(SUBSTITUTE(SUBSTITUTE($D$4,"/",","),",",REPT(" ",99)),(ROW($1:$8)-1)*99+1,99)),IFERROR(('Final Calculation Sheet'!$B$9)&amp;"",""))))&gt;0,AND(ISNUMBER(SEARCH("blank",$D$4)),NOT(ISNUMBER(SEARCH("nonblank",$D$4))),IFERROR(('Final Calculation Sheet'!$B$9)&amp;"","")=""),AND(OR(ISNUMBER(SEARCH("nonblank",$D$4)),ISNUMBER(SEARCH("&lt;&gt;",$D$4))),IFERROR(('Final Calculation Sheet'!$B$9)&amp;"","")&lt;&gt;""),AND(TRIM($D$4)="",IFERROR(('Final Calculation Sheet'!$B$9)&amp;"","")=""))))</f>
        <v/>
      </c>
      <c r="BQ10">
        <f>IF($E$4="",1,--(OR(SUMPRODUCT(--(TRIM(MID(SUBSTITUTE(SUBSTITUTE($E$4,"/",","),",",REPT(" ",99)),(ROW($1:$8)-1)*99+1,99))&lt;&gt;""),--ISNUMBER(SEARCH(TRIM(MID(SUBSTITUTE(SUBSTITUTE($E$4,"/",","),",",REPT(" ",99)),(ROW($1:$8)-1)*99+1,99)),IFERROR(('Final Calculation Sheet'!$D$9)&amp;"",""))))&gt;0,AND(ISNUMBER(SEARCH("blank",$E$4)),NOT(ISNUMBER(SEARCH("nonblank",$E$4))),IFERROR(('Final Calculation Sheet'!$D$9)&amp;"","")=""),AND(OR(ISNUMBER(SEARCH("nonblank",$E$4)),ISNUMBER(SEARCH("&lt;&gt;",$E$4))),IFERROR(('Final Calculation Sheet'!$D$9)&amp;"","")&lt;&gt;""),AND(TRIM($E$4)="",IFERROR(('Final Calculation Sheet'!$D$9)&amp;"","")=""))))</f>
        <v/>
      </c>
      <c r="BR10">
        <f>IF($F$4="",1,--(OR(SUMPRODUCT(--(TRIM(MID(SUBSTITUTE(SUBSTITUTE($F$4,"/",","),",",REPT(" ",99)),(ROW($1:$8)-1)*99+1,99))&lt;&gt;""),--ISNUMBER(SEARCH(TRIM(MID(SUBSTITUTE(SUBSTITUTE($F$4,"/",","),",",REPT(" ",99)),(ROW($1:$8)-1)*99+1,99)),IFERROR(('Final Calculation Sheet'!$A$9)&amp;"",""))))&gt;0,AND(ISNUMBER(SEARCH("blank",$F$4)),NOT(ISNUMBER(SEARCH("nonblank",$F$4))),IFERROR(('Final Calculation Sheet'!$A$9)&amp;"","")=""),AND(OR(ISNUMBER(SEARCH("nonblank",$F$4)),ISNUMBER(SEARCH("&lt;&gt;",$F$4))),IFERROR(('Final Calculation Sheet'!$A$9)&amp;"","")&lt;&gt;""),AND(TRIM($F$4)="",IFERROR(('Final Calculation Sheet'!$A$9)&amp;"","")=""))))</f>
        <v/>
      </c>
      <c r="BS10">
        <f>IF($G$4="",1,--(OR(SUMPRODUCT(--(TRIM(MID(SUBSTITUTE(SUBSTITUTE($G$4,"/",","),",",REPT(" ",99)),(ROW($1:$8)-1)*99+1,99))&lt;&gt;""),--ISNUMBER(SEARCH(TRIM(MID(SUBSTITUTE(SUBSTITUTE($G$4,"/",","),",",REPT(" ",99)),(ROW($1:$8)-1)*99+1,99)),IFERROR(('Final Calculation Sheet'!$E$9)&amp;"",""))))&gt;0,AND(ISNUMBER(SEARCH("blank",$G$4)),NOT(ISNUMBER(SEARCH("nonblank",$G$4))),IFERROR(('Final Calculation Sheet'!$E$9)&amp;"","")=""),AND(OR(ISNUMBER(SEARCH("nonblank",$G$4)),ISNUMBER(SEARCH("&lt;&gt;",$G$4))),IFERROR(('Final Calculation Sheet'!$E$9)&amp;"","")&lt;&gt;""),AND(TRIM($G$4)="",IFERROR(('Final Calculation Sheet'!$E$9)&amp;"","")=""))))</f>
        <v/>
      </c>
      <c r="BT10">
        <f>IF($H$4="",1,--(OR(SUMPRODUCT(--(TRIM(MID(SUBSTITUTE(SUBSTITUTE($H$4,"/",","),",",REPT(" ",99)),(ROW($1:$8)-1)*99+1,99))&lt;&gt;""),--ISNUMBER(SEARCH(TRIM(MID(SUBSTITUTE(SUBSTITUTE($H$4,"/",","),",",REPT(" ",99)),(ROW($1:$8)-1)*99+1,99)),IFERROR(('Final Calculation Sheet'!$C$9)&amp;"",""))))&gt;0,AND(ISNUMBER(SEARCH("blank",$H$4)),NOT(ISNUMBER(SEARCH("nonblank",$H$4))),IFERROR(('Final Calculation Sheet'!$C$9)&amp;"","")=""),AND(OR(ISNUMBER(SEARCH("nonblank",$H$4)),ISNUMBER(SEARCH("&lt;&gt;",$H$4))),IFERROR(('Final Calculation Sheet'!$C$9)&amp;"","")&lt;&gt;""),AND(TRIM($H$4)="",IFERROR(('Final Calculation Sheet'!$C$9)&amp;"","")=""))))</f>
        <v/>
      </c>
      <c r="BU10">
        <f>IF($I$4="",1,--(OR(SUMPRODUCT(--(TRIM(MID(SUBSTITUTE(SUBSTITUTE($I$4,"/",","),",",REPT(" ",99)),(ROW($1:$8)-1)*99+1,99))&lt;&gt;""),--ISNUMBER(SEARCH(TRIM(MID(SUBSTITUTE(SUBSTITUTE($I$4,"/",","),",",REPT(" ",99)),(ROW($1:$8)-1)*99+1,99)),IFERROR(('Final Calculation Sheet'!$H$9)&amp;"",""))))&gt;0,AND(ISNUMBER(SEARCH("blank",$I$4)),NOT(ISNUMBER(SEARCH("nonblank",$I$4))),IFERROR(('Final Calculation Sheet'!$H$9)&amp;"","")=""),AND(OR(ISNUMBER(SEARCH("nonblank",$I$4)),ISNUMBER(SEARCH("&lt;&gt;",$I$4))),IFERROR(('Final Calculation Sheet'!$H$9)&amp;"","")&lt;&gt;""),AND(TRIM($I$4)="",IFERROR(('Final Calculation Sheet'!$H$9)&amp;"","")=""))))</f>
        <v/>
      </c>
      <c r="BV10">
        <f>IF($J$4="",1,--(OR(SUMPRODUCT(--(TRIM(MID(SUBSTITUTE(SUBSTITUTE($J$4,"/",","),",",REPT(" ",99)),(ROW($1:$8)-1)*99+1,99))&lt;&gt;""),--ISNUMBER(SEARCH(TRIM(MID(SUBSTITUTE(SUBSTITUTE($J$4,"/",","),",",REPT(" ",99)),(ROW($1:$8)-1)*99+1,99)),IFERROR(('Final Calculation Sheet'!$I$9)&amp;"",""))))&gt;0,AND(ISNUMBER(SEARCH("blank",$J$4)),NOT(ISNUMBER(SEARCH("nonblank",$J$4))),IFERROR(('Final Calculation Sheet'!$I$9)&amp;"","")=""),AND(OR(ISNUMBER(SEARCH("nonblank",$J$4)),ISNUMBER(SEARCH("&lt;&gt;",$J$4))),IFERROR(('Final Calculation Sheet'!$I$9)&amp;"","")&lt;&gt;""),AND(TRIM($J$4)="",IFERROR(('Final Calculation Sheet'!$I$9)&amp;"","")=""))))</f>
        <v/>
      </c>
      <c r="BW10">
        <f>IF($K$4="",1,--(OR(SUMPRODUCT(--(TRIM(MID(SUBSTITUTE(SUBSTITUTE($K$4,"/",","),",",REPT(" ",99)),(ROW($1:$8)-1)*99+1,99))&lt;&gt;""),--ISNUMBER(SEARCH(TRIM(MID(SUBSTITUTE(SUBSTITUTE($K$4,"/",","),",",REPT(" ",99)),(ROW($1:$8)-1)*99+1,99)),IFERROR(('Final Calculation Sheet'!$J$9)&amp;"",""))))&gt;0,AND(ISNUMBER(SEARCH("blank",$K$4)),NOT(ISNUMBER(SEARCH("nonblank",$K$4))),IFERROR(('Final Calculation Sheet'!$J$9)&amp;"","")=""),AND(OR(ISNUMBER(SEARCH("nonblank",$K$4)),ISNUMBER(SEARCH("&lt;&gt;",$K$4))),IFERROR(('Final Calculation Sheet'!$J$9)&amp;"","")&lt;&gt;""),AND(TRIM($K$4)="",IFERROR(('Final Calculation Sheet'!$J$9)&amp;"","")=""))))</f>
        <v/>
      </c>
      <c r="BX10">
        <f>IF($L$4="",1,--(OR(SUMPRODUCT(--(TRIM(MID(SUBSTITUTE(SUBSTITUTE($L$4,"/",","),",",REPT(" ",99)),(ROW($1:$8)-1)*99+1,99))&lt;&gt;""),--ISNUMBER(SEARCH(TRIM(MID(SUBSTITUTE(SUBSTITUTE($L$4,"/",","),",",REPT(" ",99)),(ROW($1:$8)-1)*99+1,99)),IFERROR(('Final Calculation Sheet'!$K$9)&amp;"",""))))&gt;0,AND(ISNUMBER(SEARCH("blank",$L$4)),NOT(ISNUMBER(SEARCH("nonblank",$L$4))),IFERROR(('Final Calculation Sheet'!$K$9)&amp;"","")=""),AND(OR(ISNUMBER(SEARCH("nonblank",$L$4)),ISNUMBER(SEARCH("&lt;&gt;",$L$4))),IFERROR(('Final Calculation Sheet'!$K$9)&amp;"","")&lt;&gt;""),AND(TRIM($L$4)="",IFERROR(('Final Calculation Sheet'!$K$9)&amp;"","")=""))))</f>
        <v/>
      </c>
      <c r="BY10">
        <f>IF($M$4="",1,--(OR(SUMPRODUCT(--(TRIM(MID(SUBSTITUTE(SUBSTITUTE($M$4,"/",","),",",REPT(" ",99)),(ROW($1:$8)-1)*99+1,99))&lt;&gt;""),--ISNUMBER(SEARCH(TRIM(MID(SUBSTITUTE(SUBSTITUTE($M$4,"/",","),",",REPT(" ",99)),(ROW($1:$8)-1)*99+1,99)),IFERROR(('Final Calculation Sheet'!$L$9)&amp;"",""))))&gt;0,AND(ISNUMBER(SEARCH("blank",$M$4)),NOT(ISNUMBER(SEARCH("nonblank",$M$4))),IFERROR(('Final Calculation Sheet'!$L$9)&amp;"","")=""),AND(OR(ISNUMBER(SEARCH("nonblank",$M$4)),ISNUMBER(SEARCH("&lt;&gt;",$M$4))),IFERROR(('Final Calculation Sheet'!$L$9)&amp;"","")&lt;&gt;""),AND(TRIM($M$4)="",IFERROR(('Final Calculation Sheet'!$L$9)&amp;"","")=""))))</f>
        <v/>
      </c>
      <c r="BZ10">
        <f>IF($N$4="",1,--(OR(SUMPRODUCT(--(TRIM(MID(SUBSTITUTE(SUBSTITUTE($N$4,"/",","),",",REPT(" ",99)),(ROW($1:$8)-1)*99+1,99))&lt;&gt;""),--ISNUMBER(SEARCH(TRIM(MID(SUBSTITUTE(SUBSTITUTE($N$4,"/",","),",",REPT(" ",99)),(ROW($1:$8)-1)*99+1,99)),IFERROR(('Final Calculation Sheet'!$M$9)&amp;"",""))))&gt;0,AND(ISNUMBER(SEARCH("blank",$N$4)),NOT(ISNUMBER(SEARCH("nonblank",$N$4))),IFERROR(('Final Calculation Sheet'!$M$9)&amp;"","")=""),AND(OR(ISNUMBER(SEARCH("nonblank",$N$4)),ISNUMBER(SEARCH("&lt;&gt;",$N$4))),IFERROR(('Final Calculation Sheet'!$M$9)&amp;"","")&lt;&gt;""),AND(TRIM($N$4)="",IFERROR(('Final Calculation Sheet'!$M$9)&amp;"","")=""))))</f>
        <v/>
      </c>
      <c r="CA10">
        <f>IF($O$4="",1,--(OR(SUMPRODUCT(--(TRIM(MID(SUBSTITUTE(SUBSTITUTE($O$4,"/",","),",",REPT(" ",99)),(ROW($1:$8)-1)*99+1,99))&lt;&gt;""),--ISNUMBER(SEARCH(TRIM(MID(SUBSTITUTE(SUBSTITUTE($O$4,"/",","),",",REPT(" ",99)),(ROW($1:$8)-1)*99+1,99)),IFERROR(('Final Calculation Sheet'!$N$9)&amp;"",""))))&gt;0,AND(ISNUMBER(SEARCH("blank",$O$4)),NOT(ISNUMBER(SEARCH("nonblank",$O$4))),IFERROR(('Final Calculation Sheet'!$N$9)&amp;"","")=""),AND(OR(ISNUMBER(SEARCH("nonblank",$O$4)),ISNUMBER(SEARCH("&lt;&gt;",$O$4))),IFERROR(('Final Calculation Sheet'!$N$9)&amp;"","")&lt;&gt;""),AND(TRIM($O$4)="",IFERROR(('Final Calculation Sheet'!$N$9)&amp;"","")=""))))</f>
        <v/>
      </c>
      <c r="CB10">
        <f>IF($P$4="",1,--(OR(SUMPRODUCT(--(TRIM(MID(SUBSTITUTE(SUBSTITUTE($P$4,"/",","),",",REPT(" ",99)),(ROW($1:$8)-1)*99+1,99))&lt;&gt;""),--ISNUMBER(SEARCH(TRIM(MID(SUBSTITUTE(SUBSTITUTE($P$4,"/",","),",",REPT(" ",99)),(ROW($1:$8)-1)*99+1,99)),IFERROR(('Final Calculation Sheet'!$O$9)&amp;"",""))))&gt;0,AND(ISNUMBER(SEARCH("blank",$P$4)),NOT(ISNUMBER(SEARCH("nonblank",$P$4))),IFERROR(('Final Calculation Sheet'!$O$9)&amp;"","")=""),AND(OR(ISNUMBER(SEARCH("nonblank",$P$4)),ISNUMBER(SEARCH("&lt;&gt;",$P$4))),IFERROR(('Final Calculation Sheet'!$O$9)&amp;"","")&lt;&gt;""),AND(TRIM($P$4)="",IFERROR(('Final Calculation Sheet'!$O$9)&amp;"","")=""))))</f>
        <v/>
      </c>
      <c r="CC10">
        <f>IF($Q$4="",1,--(OR(SUMPRODUCT(--(TRIM(MID(SUBSTITUTE(SUBSTITUTE($Q$4,"/",","),",",REPT(" ",99)),(ROW($1:$8)-1)*99+1,99))&lt;&gt;""),--ISNUMBER(SEARCH(TRIM(MID(SUBSTITUTE(SUBSTITUTE($Q$4,"/",","),",",REPT(" ",99)),(ROW($1:$8)-1)*99+1,99)),IFERROR(('Final Calculation Sheet'!$P$9)&amp;"",""))))&gt;0,AND(ISNUMBER(SEARCH("blank",$Q$4)),NOT(ISNUMBER(SEARCH("nonblank",$Q$4))),IFERROR(('Final Calculation Sheet'!$P$9)&amp;"","")=""),AND(OR(ISNUMBER(SEARCH("nonblank",$Q$4)),ISNUMBER(SEARCH("&lt;&gt;",$Q$4))),IFERROR(('Final Calculation Sheet'!$P$9)&amp;"","")&lt;&gt;""),AND(TRIM($Q$4)="",IFERROR(('Final Calculation Sheet'!$P$9)&amp;"","")=""))))</f>
        <v/>
      </c>
      <c r="CD10">
        <f>IF($R$4="",1,--(OR(SUMPRODUCT(--(TRIM(MID(SUBSTITUTE(SUBSTITUTE($R$4,"/",","),",",REPT(" ",99)),(ROW($1:$8)-1)*99+1,99))&lt;&gt;""),--ISNUMBER(SEARCH(TRIM(MID(SUBSTITUTE(SUBSTITUTE($R$4,"/",","),",",REPT(" ",99)),(ROW($1:$8)-1)*99+1,99)),IFERROR(('Final Calculation Sheet'!$Q$9)&amp;"",""))))&gt;0,AND(ISNUMBER(SEARCH("blank",$R$4)),NOT(ISNUMBER(SEARCH("nonblank",$R$4))),IFERROR(('Final Calculation Sheet'!$Q$9)&amp;"","")=""),AND(OR(ISNUMBER(SEARCH("nonblank",$R$4)),ISNUMBER(SEARCH("&lt;&gt;",$R$4))),IFERROR(('Final Calculation Sheet'!$Q$9)&amp;"","")&lt;&gt;""),AND(TRIM($R$4)="",IFERROR(('Final Calculation Sheet'!$Q$9)&amp;"","")=""))))</f>
        <v/>
      </c>
      <c r="CE10">
        <f>IF($S$4="",1,--(OR(SUMPRODUCT(--(TRIM(MID(SUBSTITUTE(SUBSTITUTE($S$4,"/",","),",",REPT(" ",99)),(ROW($1:$8)-1)*99+1,99))&lt;&gt;""),--ISNUMBER(SEARCH(TRIM(MID(SUBSTITUTE(SUBSTITUTE($S$4,"/",","),",",REPT(" ",99)),(ROW($1:$8)-1)*99+1,99)),IFERROR(('Final Calculation Sheet'!$R$9)&amp;"",""))))&gt;0,AND(ISNUMBER(SEARCH("blank",$S$4)),NOT(ISNUMBER(SEARCH("nonblank",$S$4))),IFERROR(('Final Calculation Sheet'!$R$9)&amp;"","")=""),AND(OR(ISNUMBER(SEARCH("nonblank",$S$4)),ISNUMBER(SEARCH("&lt;&gt;",$S$4))),IFERROR(('Final Calculation Sheet'!$R$9)&amp;"","")&lt;&gt;""),AND(TRIM($S$4)="",IFERROR(('Final Calculation Sheet'!$R$9)&amp;"","")=""))))</f>
        <v/>
      </c>
      <c r="CF10">
        <f>IF($T$4="",1,--(OR(SUMPRODUCT(--(TRIM(MID(SUBSTITUTE(SUBSTITUTE($T$4,"/",","),",",REPT(" ",99)),(ROW($1:$8)-1)*99+1,99))&lt;&gt;""),--ISNUMBER(SEARCH(TRIM(MID(SUBSTITUTE(SUBSTITUTE($T$4,"/",","),",",REPT(" ",99)),(ROW($1:$8)-1)*99+1,99)),IFERROR(('Final Calculation Sheet'!$S$9)&amp;"",""))))&gt;0,AND(ISNUMBER(SEARCH("blank",$T$4)),NOT(ISNUMBER(SEARCH("nonblank",$T$4))),IFERROR(('Final Calculation Sheet'!$S$9)&amp;"","")=""),AND(OR(ISNUMBER(SEARCH("nonblank",$T$4)),ISNUMBER(SEARCH("&lt;&gt;",$T$4))),IFERROR(('Final Calculation Sheet'!$S$9)&amp;"","")&lt;&gt;""),AND(TRIM($T$4)="",IFERROR(('Final Calculation Sheet'!$S$9)&amp;"","")=""))))</f>
        <v/>
      </c>
      <c r="CG10">
        <f>IF($U$4="",1,--(OR(SUMPRODUCT(--(TRIM(MID(SUBSTITUTE(SUBSTITUTE($U$4,"/",","),",",REPT(" ",99)),(ROW($1:$8)-1)*99+1,99))&lt;&gt;""),--ISNUMBER(SEARCH(TRIM(MID(SUBSTITUTE(SUBSTITUTE($U$4,"/",","),",",REPT(" ",99)),(ROW($1:$8)-1)*99+1,99)),IFERROR(('Final Calculation Sheet'!$T$9)&amp;"",""))))&gt;0,AND(ISNUMBER(SEARCH("blank",$U$4)),NOT(ISNUMBER(SEARCH("nonblank",$U$4))),IFERROR(('Final Calculation Sheet'!$T$9)&amp;"","")=""),AND(OR(ISNUMBER(SEARCH("nonblank",$U$4)),ISNUMBER(SEARCH("&lt;&gt;",$U$4))),IFERROR(('Final Calculation Sheet'!$T$9)&amp;"","")&lt;&gt;""),AND(TRIM($U$4)="",IFERROR(('Final Calculation Sheet'!$T$9)&amp;"","")=""))))</f>
        <v/>
      </c>
      <c r="CH10">
        <f>IF($V$4="",1,--(OR(SUMPRODUCT(--(TRIM(MID(SUBSTITUTE(SUBSTITUTE($V$4,"/",","),",",REPT(" ",99)),(ROW($1:$8)-1)*99+1,99))&lt;&gt;""),--ISNUMBER(SEARCH(TRIM(MID(SUBSTITUTE(SUBSTITUTE($V$4,"/",","),",",REPT(" ",99)),(ROW($1:$8)-1)*99+1,99)),IFERROR(('Final Calculation Sheet'!$U$9)&amp;"",""))))&gt;0,AND(ISNUMBER(SEARCH("blank",$V$4)),NOT(ISNUMBER(SEARCH("nonblank",$V$4))),IFERROR(('Final Calculation Sheet'!$U$9)&amp;"","")=""),AND(OR(ISNUMBER(SEARCH("nonblank",$V$4)),ISNUMBER(SEARCH("&lt;&gt;",$V$4))),IFERROR(('Final Calculation Sheet'!$U$9)&amp;"","")&lt;&gt;""),AND(TRIM($V$4)="",IFERROR(('Final Calculation Sheet'!$U$9)&amp;"","")=""))))</f>
        <v/>
      </c>
      <c r="CI10">
        <f>IF($W$4="",1,--(OR(SUMPRODUCT(--(TRIM(MID(SUBSTITUTE(SUBSTITUTE($W$4,"/",","),",",REPT(" ",99)),(ROW($1:$8)-1)*99+1,99))&lt;&gt;""),--ISNUMBER(SEARCH(TRIM(MID(SUBSTITUTE(SUBSTITUTE($W$4,"/",","),",",REPT(" ",99)),(ROW($1:$8)-1)*99+1,99)),IFERROR(('Final Calculation Sheet'!$V$9)&amp;"",""))))&gt;0,AND(ISNUMBER(SEARCH("blank",$W$4)),NOT(ISNUMBER(SEARCH("nonblank",$W$4))),IFERROR(('Final Calculation Sheet'!$V$9)&amp;"","")=""),AND(OR(ISNUMBER(SEARCH("nonblank",$W$4)),ISNUMBER(SEARCH("&lt;&gt;",$W$4))),IFERROR(('Final Calculation Sheet'!$V$9)&amp;"","")&lt;&gt;""),AND(TRIM($W$4)="",IFERROR(('Final Calculation Sheet'!$V$9)&amp;"","")=""))))</f>
        <v/>
      </c>
      <c r="CJ10">
        <f>IF($X$4="",1,--(OR(SUMPRODUCT(--(TRIM(MID(SUBSTITUTE(SUBSTITUTE($X$4,"/",","),",",REPT(" ",99)),(ROW($1:$8)-1)*99+1,99))&lt;&gt;""),--ISNUMBER(SEARCH(TRIM(MID(SUBSTITUTE(SUBSTITUTE($X$4,"/",","),",",REPT(" ",99)),(ROW($1:$8)-1)*99+1,99)),IFERROR(('Final Calculation Sheet'!$W$9)&amp;"",""))))&gt;0,AND(ISNUMBER(SEARCH("blank",$X$4)),NOT(ISNUMBER(SEARCH("nonblank",$X$4))),IFERROR(('Final Calculation Sheet'!$W$9)&amp;"","")=""),AND(OR(ISNUMBER(SEARCH("nonblank",$X$4)),ISNUMBER(SEARCH("&lt;&gt;",$X$4))),IFERROR(('Final Calculation Sheet'!$W$9)&amp;"","")&lt;&gt;""),AND(TRIM($X$4)="",IFERROR(('Final Calculation Sheet'!$W$9)&amp;"","")=""))))</f>
        <v/>
      </c>
      <c r="CK10">
        <f>IF($Y$4="",1,--(OR(SUMPRODUCT(--(TRIM(MID(SUBSTITUTE(SUBSTITUTE($Y$4,"/",","),",",REPT(" ",99)),(ROW($1:$8)-1)*99+1,99))&lt;&gt;""),--ISNUMBER(SEARCH(TRIM(MID(SUBSTITUTE(SUBSTITUTE($Y$4,"/",","),",",REPT(" ",99)),(ROW($1:$8)-1)*99+1,99)),IFERROR(('Final Calculation Sheet'!$X$9)&amp;"",""))))&gt;0,AND(ISNUMBER(SEARCH("blank",$Y$4)),NOT(ISNUMBER(SEARCH("nonblank",$Y$4))),IFERROR(('Final Calculation Sheet'!$X$9)&amp;"","")=""),AND(OR(ISNUMBER(SEARCH("nonblank",$Y$4)),ISNUMBER(SEARCH("&lt;&gt;",$Y$4))),IFERROR(('Final Calculation Sheet'!$X$9)&amp;"","")&lt;&gt;""),AND(TRIM($Y$4)="",IFERROR(('Final Calculation Sheet'!$X$9)&amp;"","")=""))))</f>
        <v/>
      </c>
      <c r="CL10">
        <f>IF($Z$4="",1,--(OR(SUMPRODUCT(--(TRIM(MID(SUBSTITUTE(SUBSTITUTE($Z$4,"/",","),",",REPT(" ",99)),(ROW($1:$8)-1)*99+1,99))&lt;&gt;""),--ISNUMBER(SEARCH(TRIM(MID(SUBSTITUTE(SUBSTITUTE($Z$4,"/",","),",",REPT(" ",99)),(ROW($1:$8)-1)*99+1,99)),IFERROR(('Final Calculation Sheet'!$Y$9)&amp;"",""))))&gt;0,AND(ISNUMBER(SEARCH("blank",$Z$4)),NOT(ISNUMBER(SEARCH("nonblank",$Z$4))),IFERROR(('Final Calculation Sheet'!$Y$9)&amp;"","")=""),AND(OR(ISNUMBER(SEARCH("nonblank",$Z$4)),ISNUMBER(SEARCH("&lt;&gt;",$Z$4))),IFERROR(('Final Calculation Sheet'!$Y$9)&amp;"","")&lt;&gt;""),AND(TRIM($Z$4)="",IFERROR(('Final Calculation Sheet'!$Y$9)&amp;"","")=""))))</f>
        <v/>
      </c>
      <c r="CM10">
        <f>IF($AA$4="",1,--(OR(SUMPRODUCT(--(TRIM(MID(SUBSTITUTE(SUBSTITUTE($AA$4,"/",","),",",REPT(" ",99)),(ROW($1:$8)-1)*99+1,99))&lt;&gt;""),--ISNUMBER(SEARCH(TRIM(MID(SUBSTITUTE(SUBSTITUTE($AA$4,"/",","),",",REPT(" ",99)),(ROW($1:$8)-1)*99+1,99)),IFERROR(('Final Calculation Sheet'!$Z$9)&amp;"",""))))&gt;0,AND(ISNUMBER(SEARCH("blank",$AA$4)),NOT(ISNUMBER(SEARCH("nonblank",$AA$4))),IFERROR(('Final Calculation Sheet'!$Z$9)&amp;"","")=""),AND(OR(ISNUMBER(SEARCH("nonblank",$AA$4)),ISNUMBER(SEARCH("&lt;&gt;",$AA$4))),IFERROR(('Final Calculation Sheet'!$Z$9)&amp;"","")&lt;&gt;""),AND(TRIM($AA$4)="",IFERROR(('Final Calculation Sheet'!$Z$9)&amp;"","")=""))))</f>
        <v/>
      </c>
      <c r="CN10">
        <f>IF($AB$4="",1,--(OR(SUMPRODUCT(--(TRIM(MID(SUBSTITUTE(SUBSTITUTE($AB$4,"/",","),",",REPT(" ",99)),(ROW($1:$8)-1)*99+1,99))&lt;&gt;""),--ISNUMBER(SEARCH(TRIM(MID(SUBSTITUTE(SUBSTITUTE($AB$4,"/",","),",",REPT(" ",99)),(ROW($1:$8)-1)*99+1,99)),IFERROR(('Final Calculation Sheet'!$AA$9)&amp;"",""))))&gt;0,AND(ISNUMBER(SEARCH("blank",$AB$4)),NOT(ISNUMBER(SEARCH("nonblank",$AB$4))),IFERROR(('Final Calculation Sheet'!$AA$9)&amp;"","")=""),AND(OR(ISNUMBER(SEARCH("nonblank",$AB$4)),ISNUMBER(SEARCH("&lt;&gt;",$AB$4))),IFERROR(('Final Calculation Sheet'!$AA$9)&amp;"","")&lt;&gt;""),AND(TRIM($AB$4)="",IFERROR(('Final Calculation Sheet'!$AA$9)&amp;"","")=""))))</f>
        <v/>
      </c>
      <c r="CO10">
        <f>IF($AC$4="",1,--(OR(SUMPRODUCT(--(TRIM(MID(SUBSTITUTE(SUBSTITUTE($AC$4,"/",","),",",REPT(" ",99)),(ROW($1:$8)-1)*99+1,99))&lt;&gt;""),--ISNUMBER(SEARCH(TRIM(MID(SUBSTITUTE(SUBSTITUTE($AC$4,"/",","),",",REPT(" ",99)),(ROW($1:$8)-1)*99+1,99)),IFERROR(('Final Calculation Sheet'!$AB$9)&amp;"",""))))&gt;0,AND(ISNUMBER(SEARCH("blank",$AC$4)),NOT(ISNUMBER(SEARCH("nonblank",$AC$4))),IFERROR(('Final Calculation Sheet'!$AB$9)&amp;"","")=""),AND(OR(ISNUMBER(SEARCH("nonblank",$AC$4)),ISNUMBER(SEARCH("&lt;&gt;",$AC$4))),IFERROR(('Final Calculation Sheet'!$AB$9)&amp;"","")&lt;&gt;""),AND(TRIM($AC$4)="",IFERROR(('Final Calculation Sheet'!$AB$9)&amp;"","")=""))))</f>
        <v/>
      </c>
      <c r="CP10">
        <f>IF($AD$4="",1,--(OR(SUMPRODUCT(--(TRIM(MID(SUBSTITUTE(SUBSTITUTE($AD$4,"/",","),",",REPT(" ",99)),(ROW($1:$8)-1)*99+1,99))&lt;&gt;""),--ISNUMBER(SEARCH(TRIM(MID(SUBSTITUTE(SUBSTITUTE($AD$4,"/",","),",",REPT(" ",99)),(ROW($1:$8)-1)*99+1,99)),IFERROR(('Final Calculation Sheet'!$AC$9)&amp;"",""))))&gt;0,AND(ISNUMBER(SEARCH("blank",$AD$4)),NOT(ISNUMBER(SEARCH("nonblank",$AD$4))),IFERROR(('Final Calculation Sheet'!$AC$9)&amp;"","")=""),AND(OR(ISNUMBER(SEARCH("nonblank",$AD$4)),ISNUMBER(SEARCH("&lt;&gt;",$AD$4))),IFERROR(('Final Calculation Sheet'!$AC$9)&amp;"","")&lt;&gt;""),AND(TRIM($AD$4)="",IFERROR(('Final Calculation Sheet'!$AC$9)&amp;"","")=""))))</f>
        <v/>
      </c>
      <c r="CQ10">
        <f>IF($AE$4="",1,--(OR(SUMPRODUCT(--(TRIM(MID(SUBSTITUTE(SUBSTITUTE($AE$4,"/",","),",",REPT(" ",99)),(ROW($1:$8)-1)*99+1,99))&lt;&gt;""),--ISNUMBER(SEARCH(TRIM(MID(SUBSTITUTE(SUBSTITUTE($AE$4,"/",","),",",REPT(" ",99)),(ROW($1:$8)-1)*99+1,99)),IFERROR(('Final Calculation Sheet'!$AD$9)&amp;"",""))))&gt;0,AND(ISNUMBER(SEARCH("blank",$AE$4)),NOT(ISNUMBER(SEARCH("nonblank",$AE$4))),IFERROR(('Final Calculation Sheet'!$AD$9)&amp;"","")=""),AND(OR(ISNUMBER(SEARCH("nonblank",$AE$4)),ISNUMBER(SEARCH("&lt;&gt;",$AE$4))),IFERROR(('Final Calculation Sheet'!$AD$9)&amp;"","")&lt;&gt;""),AND(TRIM($AE$4)="",IFERROR(('Final Calculation Sheet'!$AD$9)&amp;"","")=""))))</f>
        <v/>
      </c>
      <c r="CR10">
        <f>IF($AG$4="",1,--(OR(SUMPRODUCT(--(TRIM(MID(SUBSTITUTE(SUBSTITUTE($AG$4,"/",","),",",REPT(" ",99)),(ROW($1:$8)-1)*99+1,99))&lt;&gt;""),--ISNUMBER(SEARCH(TRIM(MID(SUBSTITUTE(SUBSTITUTE($AG$4,"/",","),",",REPT(" ",99)),(ROW($1:$8)-1)*99+1,99)),IFERROR(('Final Calculation Sheet'!$AF$9)&amp;"",""))))&gt;0,AND(ISNUMBER(SEARCH("blank",$AG$4)),NOT(ISNUMBER(SEARCH("nonblank",$AG$4))),IFERROR(('Final Calculation Sheet'!$AF$9)&amp;"","")=""),AND(OR(ISNUMBER(SEARCH("nonblank",$AG$4)),ISNUMBER(SEARCH("&lt;&gt;",$AG$4))),IFERROR(('Final Calculation Sheet'!$AF$9)&amp;"","")&lt;&gt;""),AND(TRIM($AG$4)="",IFERROR(('Final Calculation Sheet'!$AF$9)&amp;"","")=""))))</f>
        <v/>
      </c>
      <c r="CS10">
        <f>IF($AH$4="",1,--(OR(SUMPRODUCT(--(TRIM(MID(SUBSTITUTE(SUBSTITUTE($AH$4,"/",","),",",REPT(" ",99)),(ROW($1:$8)-1)*99+1,99))&lt;&gt;""),--ISNUMBER(SEARCH(TRIM(MID(SUBSTITUTE(SUBSTITUTE($AH$4,"/",","),",",REPT(" ",99)),(ROW($1:$8)-1)*99+1,99)),IFERROR(('Final Calculation Sheet'!$AG$9)&amp;"",""))))&gt;0,AND(ISNUMBER(SEARCH("blank",$AH$4)),NOT(ISNUMBER(SEARCH("nonblank",$AH$4))),IFERROR(('Final Calculation Sheet'!$AG$9)&amp;"","")=""),AND(OR(ISNUMBER(SEARCH("nonblank",$AH$4)),ISNUMBER(SEARCH("&lt;&gt;",$AH$4))),IFERROR(('Final Calculation Sheet'!$AG$9)&amp;"","")&lt;&gt;""),AND(TRIM($AH$4)="",IFERROR(('Final Calculation Sheet'!$AG$9)&amp;"","")=""))))</f>
        <v/>
      </c>
      <c r="CT10">
        <f>IF($AI$4="",1,--(OR(SUMPRODUCT(--(TRIM(MID(SUBSTITUTE(SUBSTITUTE($AI$4,"/",","),",",REPT(" ",99)),(ROW($1:$8)-1)*99+1,99))&lt;&gt;""),--ISNUMBER(SEARCH(TRIM(MID(SUBSTITUTE(SUBSTITUTE($AI$4,"/",","),",",REPT(" ",99)),(ROW($1:$8)-1)*99+1,99)),IFERROR(('Final Calculation Sheet'!$AH$9)&amp;"",""))))&gt;0,AND(ISNUMBER(SEARCH("blank",$AI$4)),NOT(ISNUMBER(SEARCH("nonblank",$AI$4))),IFERROR(('Final Calculation Sheet'!$AH$9)&amp;"","")=""),AND(OR(ISNUMBER(SEARCH("nonblank",$AI$4)),ISNUMBER(SEARCH("&lt;&gt;",$AI$4))),IFERROR(('Final Calculation Sheet'!$AH$9)&amp;"","")&lt;&gt;""),AND(TRIM($AI$4)="",IFERROR(('Final Calculation Sheet'!$AH$9)&amp;"","")=""))))</f>
        <v/>
      </c>
      <c r="CU10">
        <f>IF($AF$4="",1,--(OR(SUMPRODUCT(--(TRIM(MID(SUBSTITUTE(SUBSTITUTE($AF$4,"/",","),",",REPT(" ",99)),(ROW($1:$8)-1)*99+1,99))&lt;&gt;""),--ISNUMBER(SEARCH(TRIM(MID(SUBSTITUTE(SUBSTITUTE($AF$4,"/",","),",",REPT(" ",99)),(ROW($1:$8)-1)*99+1,99)),IFERROR((IF('Final Calculation Sheet'!$AD$9&lt;=5,"SETTLED","OUTSTANDING"))&amp;"",""))))&gt;0,AND(ISNUMBER(SEARCH("blank",$AF$4)),NOT(ISNUMBER(SEARCH("nonblank",$AF$4))),IFERROR((IF('Final Calculation Sheet'!$AD$9&lt;=5,"SETTLED","OUTSTANDING"))&amp;"","")=""),AND(OR(ISNUMBER(SEARCH("nonblank",$AF$4)),ISNUMBER(SEARCH("&lt;&gt;",$AF$4))),IFERROR((IF('Final Calculation Sheet'!$AD$9&lt;=5,"SETTLED","OUTSTANDING"))&amp;"","")&lt;&gt;""),AND(TRIM($AF$4)="",IFERROR((IF('Final Calculation Sheet'!$AD$9&lt;=5,"SETTLED","OUTSTANDING"))&amp;"","")=""))))</f>
        <v/>
      </c>
    </row>
    <row r="11" ht="15" customHeight="1" s="137">
      <c r="A11" s="67">
        <f>IF($BJ10&gt;0,INDEX($BA$5:$BA$41,MATCH(10,$BB$5:$BB$41,0)),IF(OR($BI10=1,$BL10=1,$BH10&gt;0),"∑",""))</f>
        <v/>
      </c>
      <c r="B11" s="76">
        <f>IF($BJ10&gt;0,IF(INDEX('Final Calculation Sheet'!$F$4:$F$40,$BJ10-3)="","",INDEX('Final Calculation Sheet'!$F$4:$F$40,$BJ10-3)),"")</f>
        <v/>
      </c>
      <c r="C11" s="76">
        <f>IF($BJ10&gt;0,IF(INDEX('Final Calculation Sheet'!$G$4:$G$40,$BJ10-3)="","",INDEX('Final Calculation Sheet'!$G$4:$G$40,$BJ10-3)),IF(OR($BI10=1,$BL10=1,$BH10&gt;0),IF($BI10=1,37,IF($BL10=1,37-INDEX($BD$4:$BD$13,10),INDEX($BD$4:$BD$13,$BH10)))&amp;" lot(s)",""))</f>
        <v/>
      </c>
      <c r="D11" s="80">
        <f>IF($BJ10&gt;0,IF(INDEX('Final Calculation Sheet'!$B$4:$B$40,$BJ10-3)="","",INDEX('Final Calculation Sheet'!$B$4:$B$40,$BJ10-3)),IF(OR($BI10=1,$BL10=1,$BH10&gt;0),IF($BI10=1,"GRAND TOTAL  —  matching + remaining",IF($BL10=1,"TOTAL MATCHED  —  every group together",IF($BH10=10,"REMAINING  —  did not match the search",IF($BH10=9,IF(COUNTIF($A$4:$AI$4,"&lt;&gt;")&gt;0,"FILTERED LOTS  —  column fields","ALL LOTS  —  nothing typed in the box"),"GROUP "&amp;$BH10&amp;" TOTAL  —  lots matching  "&amp;INDEX($AR$6:$AY$6,$BH10))))),""))</f>
        <v/>
      </c>
      <c r="E11" s="80">
        <f>IF($BJ10&gt;0,IF(INDEX('Final Calculation Sheet'!$D$4:$D$40,$BJ10-3)="","",INDEX('Final Calculation Sheet'!$D$4:$D$40,$BJ10-3)),IF(OR($BI10=1,$BL10=1,$BH10&gt;0),"–",""))</f>
        <v/>
      </c>
      <c r="F11" s="80">
        <f>IF($BJ10&gt;0,IF(INDEX('Final Calculation Sheet'!$A$4:$A$40,$BJ10-3)="","",INDEX('Final Calculation Sheet'!$A$4:$A$40,$BJ10-3)),IF(OR($BI10=1,$BL10=1,$BH10&gt;0),IF($BI10=1,SUM('Final Calculation Sheet'!$A$4:$A$40),IF($BL10=1,SUM('Final Calculation Sheet'!$A$4:$A$40)-SUMIFS('Final Calculation Sheet'!$A$4:$A$40,$AZ$5:$AZ$41,10),SUMIFS('Final Calculation Sheet'!$A$4:$A$40,$AZ$5:$AZ$41,$BH10))),""))</f>
        <v/>
      </c>
      <c r="G11" s="80">
        <f>IF($BJ10&gt;0,IF(INDEX('Final Calculation Sheet'!$E$4:$E$40,$BJ10-3)="","",INDEX('Final Calculation Sheet'!$E$4:$E$40,$BJ10-3)),IF(OR($BI10=1,$BL10=1,$BH10&gt;0),"–",""))</f>
        <v/>
      </c>
      <c r="H11" s="70">
        <f>IF($BJ10&gt;0,IF(INDEX('Final Calculation Sheet'!$C$4:$C$40,$BJ10-3)="","",INDEX('Final Calculation Sheet'!$C$4:$C$40,$BJ10-3)),IF(OR($BI10=1,$BL10=1,$BH10&gt;0),"–",""))</f>
        <v/>
      </c>
      <c r="I11" s="70">
        <f>IF($BJ10&gt;0,IF(INDEX('Final Calculation Sheet'!$H$4:$H$40,$BJ10-3)="","",INDEX('Final Calculation Sheet'!$H$4:$H$40,$BJ10-3)),IF(OR($BI10=1,$BL10=1,$BH10&gt;0),IF($BI10=1,SUM('Final Calculation Sheet'!$H$4:$H$40),IF($BL10=1,SUM('Final Calculation Sheet'!$H$4:$H$40)-SUMIFS('Final Calculation Sheet'!$H$4:$H$40,$AZ$5:$AZ$41,10),SUMIFS('Final Calculation Sheet'!$H$4:$H$40,$AZ$5:$AZ$41,$BH10))),""))</f>
        <v/>
      </c>
      <c r="J11" s="70">
        <f>IF($BJ10&gt;0,IF(INDEX('Final Calculation Sheet'!$I$4:$I$40,$BJ10-3)="","",INDEX('Final Calculation Sheet'!$I$4:$I$40,$BJ10-3)),IF(OR($BI10=1,$BL10=1,$BH10&gt;0),IF($BI10=1,SUM('Final Calculation Sheet'!$I$4:$I$40),IF($BL10=1,SUM('Final Calculation Sheet'!$I$4:$I$40)-SUMIFS('Final Calculation Sheet'!$I$4:$I$40,$AZ$5:$AZ$41,10),SUMIFS('Final Calculation Sheet'!$I$4:$I$40,$AZ$5:$AZ$41,$BH10))),""))</f>
        <v/>
      </c>
      <c r="K11" s="70">
        <f>IF($BJ10&gt;0,IF(INDEX('Final Calculation Sheet'!$J$4:$J$40,$BJ10-3)="","",INDEX('Final Calculation Sheet'!$J$4:$J$40,$BJ10-3)),IF(OR($BI10=1,$BL10=1,$BH10&gt;0),IF($BI10=1,SUM('Final Calculation Sheet'!$J$4:$J$40),IF($BL10=1,SUM('Final Calculation Sheet'!$J$4:$J$40)-SUMIFS('Final Calculation Sheet'!$J$4:$J$40,$AZ$5:$AZ$41,10),SUMIFS('Final Calculation Sheet'!$J$4:$J$40,$AZ$5:$AZ$41,$BH10))),""))</f>
        <v/>
      </c>
      <c r="L11" s="70">
        <f>IF($BJ10&gt;0,IF(INDEX('Final Calculation Sheet'!$K$4:$K$40,$BJ10-3)="","",INDEX('Final Calculation Sheet'!$K$4:$K$40,$BJ10-3)),IF(OR($BI10=1,$BL10=1,$BH10&gt;0),IF($BI10=1,SUM('Final Calculation Sheet'!$K$4:$K$40),IF($BL10=1,SUM('Final Calculation Sheet'!$K$4:$K$40)-SUMIFS('Final Calculation Sheet'!$K$4:$K$40,$AZ$5:$AZ$41,10),SUMIFS('Final Calculation Sheet'!$K$4:$K$40,$AZ$5:$AZ$41,$BH10))),""))</f>
        <v/>
      </c>
      <c r="M11" s="70">
        <f>IF($BJ10&gt;0,IF(INDEX('Final Calculation Sheet'!$L$4:$L$40,$BJ10-3)="","",INDEX('Final Calculation Sheet'!$L$4:$L$40,$BJ10-3)),IF(OR($BI10=1,$BL10=1,$BH10&gt;0),IF($BI10=1,SUM('Final Calculation Sheet'!$L$4:$L$40),IF($BL10=1,SUM('Final Calculation Sheet'!$L$4:$L$40)-SUMIFS('Final Calculation Sheet'!$L$4:$L$40,$AZ$5:$AZ$41,10),SUMIFS('Final Calculation Sheet'!$L$4:$L$40,$AZ$5:$AZ$41,$BH10))),""))</f>
        <v/>
      </c>
      <c r="N11" s="70">
        <f>IF($BJ10&gt;0,IF(INDEX('Final Calculation Sheet'!$M$4:$M$40,$BJ10-3)="","",INDEX('Final Calculation Sheet'!$M$4:$M$40,$BJ10-3)),IF(OR($BI10=1,$BL10=1,$BH10&gt;0),IF($BI10=1,SUM('Final Calculation Sheet'!$M$4:$M$40),IF($BL10=1,SUM('Final Calculation Sheet'!$M$4:$M$40)-SUMIFS('Final Calculation Sheet'!$M$4:$M$40,$AZ$5:$AZ$41,10),SUMIFS('Final Calculation Sheet'!$M$4:$M$40,$AZ$5:$AZ$41,$BH10))),""))</f>
        <v/>
      </c>
      <c r="O11" s="71">
        <f>IF($BJ10&gt;0,IF(INDEX('Final Calculation Sheet'!$N$4:$N$40,$BJ10-3)="","",INDEX('Final Calculation Sheet'!$N$4:$N$40,$BJ10-3)),IF(OR($BI10=1,$BL10=1,$BH10&gt;0),IF($BI10=1,SUM('Final Calculation Sheet'!$N$4:$N$40),IF($BL10=1,SUM('Final Calculation Sheet'!$N$4:$N$40)-SUMIFS('Final Calculation Sheet'!$N$4:$N$40,$AZ$5:$AZ$41,10),SUMIFS('Final Calculation Sheet'!$N$4:$N$40,$AZ$5:$AZ$41,$BH10))),""))</f>
        <v/>
      </c>
      <c r="P11" s="70">
        <f>IF($BJ10&gt;0,IF(INDEX('Final Calculation Sheet'!$O$4:$O$40,$BJ10-3)="","",INDEX('Final Calculation Sheet'!$O$4:$O$40,$BJ10-3)),IF(OR($BI10=1,$BL10=1,$BH10&gt;0),IF($BI10=1,SUM('Final Calculation Sheet'!$O$4:$O$40),IF($BL10=1,SUM('Final Calculation Sheet'!$O$4:$O$40)-SUMIFS('Final Calculation Sheet'!$O$4:$O$40,$AZ$5:$AZ$41,10),SUMIFS('Final Calculation Sheet'!$O$4:$O$40,$AZ$5:$AZ$41,$BH10))),""))</f>
        <v/>
      </c>
      <c r="Q11" s="70">
        <f>IF($BJ10&gt;0,IF(INDEX('Final Calculation Sheet'!$P$4:$P$40,$BJ10-3)="","",INDEX('Final Calculation Sheet'!$P$4:$P$40,$BJ10-3)),IF(OR($BI10=1,$BL10=1,$BH10&gt;0),IF($BI10=1,SUM('Final Calculation Sheet'!$P$4:$P$40),IF($BL10=1,SUM('Final Calculation Sheet'!$P$4:$P$40)-SUMIFS('Final Calculation Sheet'!$P$4:$P$40,$AZ$5:$AZ$41,10),SUMIFS('Final Calculation Sheet'!$P$4:$P$40,$AZ$5:$AZ$41,$BH10))),""))</f>
        <v/>
      </c>
      <c r="R11" s="72">
        <f>IF($BJ10&gt;0,IF(INDEX('Final Calculation Sheet'!$Q$4:$Q$40,$BJ10-3)="","",INDEX('Final Calculation Sheet'!$Q$4:$Q$40,$BJ10-3)),IF(OR($BI10=1,$BL10=1,$BH10&gt;0),"–",""))</f>
        <v/>
      </c>
      <c r="S11" s="70">
        <f>IF($BJ10&gt;0,IF(INDEX('Final Calculation Sheet'!$R$4:$R$40,$BJ10-3)="","",INDEX('Final Calculation Sheet'!$R$4:$R$40,$BJ10-3)),IF(OR($BI10=1,$BL10=1,$BH10&gt;0),IF($BI10=1,SUM('Final Calculation Sheet'!$R$4:$R$40),IF($BL10=1,SUM('Final Calculation Sheet'!$R$4:$R$40)-SUMIFS('Final Calculation Sheet'!$R$4:$R$40,$AZ$5:$AZ$41,10),SUMIFS('Final Calculation Sheet'!$R$4:$R$40,$AZ$5:$AZ$41,$BH10))),""))</f>
        <v/>
      </c>
      <c r="T11" s="70">
        <f>IF($BJ10&gt;0,IF(INDEX('Final Calculation Sheet'!$S$4:$S$40,$BJ10-3)="","",INDEX('Final Calculation Sheet'!$S$4:$S$40,$BJ10-3)),IF(OR($BI10=1,$BL10=1,$BH10&gt;0),IF($BI10=1,SUM('Final Calculation Sheet'!$S$4:$S$40),IF($BL10=1,SUM('Final Calculation Sheet'!$S$4:$S$40)-SUMIFS('Final Calculation Sheet'!$S$4:$S$40,$AZ$5:$AZ$41,10),SUMIFS('Final Calculation Sheet'!$S$4:$S$40,$AZ$5:$AZ$41,$BH10))),""))</f>
        <v/>
      </c>
      <c r="U11" s="70">
        <f>IF($BJ10&gt;0,IF(INDEX('Final Calculation Sheet'!$T$4:$T$40,$BJ10-3)="","",INDEX('Final Calculation Sheet'!$T$4:$T$40,$BJ10-3)),IF(OR($BI10=1,$BL10=1,$BH10&gt;0),IF($BI10=1,SUM('Final Calculation Sheet'!$T$4:$T$40),IF($BL10=1,SUM('Final Calculation Sheet'!$T$4:$T$40)-SUMIFS('Final Calculation Sheet'!$T$4:$T$40,$AZ$5:$AZ$41,10),SUMIFS('Final Calculation Sheet'!$T$4:$T$40,$AZ$5:$AZ$41,$BH10))),""))</f>
        <v/>
      </c>
      <c r="V11" s="73">
        <f>IF($BJ10&gt;0,IF(INDEX('Final Calculation Sheet'!$U$4:$U$40,$BJ10-3)="","",INDEX('Final Calculation Sheet'!$U$4:$U$40,$BJ10-3)),IF(OR($BI10=1,$BL10=1,$BH10&gt;0),IF($BI10=1,SUM('Final Calculation Sheet'!$U$4:$U$40),IF($BL10=1,SUM('Final Calculation Sheet'!$U$4:$U$40)-SUMIFS('Final Calculation Sheet'!$U$4:$U$40,$AZ$5:$AZ$41,10),SUMIFS('Final Calculation Sheet'!$U$4:$U$40,$AZ$5:$AZ$41,$BH10))),""))</f>
        <v/>
      </c>
      <c r="W11" s="70">
        <f>IF($BJ10&gt;0,IF(INDEX('Final Calculation Sheet'!$V$4:$V$40,$BJ10-3)="","",INDEX('Final Calculation Sheet'!$V$4:$V$40,$BJ10-3)),IF(OR($BI10=1,$BL10=1,$BH10&gt;0),"–",""))</f>
        <v/>
      </c>
      <c r="X11" s="70">
        <f>IF($BJ10&gt;0,IF(INDEX('Final Calculation Sheet'!$W$4:$W$40,$BJ10-3)="","",INDEX('Final Calculation Sheet'!$W$4:$W$40,$BJ10-3)),IF(OR($BI10=1,$BL10=1,$BH10&gt;0),IF($BI10=1,SUM('Final Calculation Sheet'!$W$4:$W$40),IF($BL10=1,SUM('Final Calculation Sheet'!$W$4:$W$40)-SUMIFS('Final Calculation Sheet'!$W$4:$W$40,$AZ$5:$AZ$41,10),SUMIFS('Final Calculation Sheet'!$W$4:$W$40,$AZ$5:$AZ$41,$BH10))),""))</f>
        <v/>
      </c>
      <c r="Y11" s="70">
        <f>IF($BJ10&gt;0,IF(INDEX('Final Calculation Sheet'!$X$4:$X$40,$BJ10-3)="","",INDEX('Final Calculation Sheet'!$X$4:$X$40,$BJ10-3)),IF(OR($BI10=1,$BL10=1,$BH10&gt;0),IF($BI10=1,SUM('Final Calculation Sheet'!$X$4:$X$40),IF($BL10=1,SUM('Final Calculation Sheet'!$X$4:$X$40)-SUMIFS('Final Calculation Sheet'!$X$4:$X$40,$AZ$5:$AZ$41,10),SUMIFS('Final Calculation Sheet'!$X$4:$X$40,$AZ$5:$AZ$41,$BH10))),""))</f>
        <v/>
      </c>
      <c r="Z11" s="70">
        <f>IF($BJ10&gt;0,IF(INDEX('Final Calculation Sheet'!$Y$4:$Y$40,$BJ10-3)="","",INDEX('Final Calculation Sheet'!$Y$4:$Y$40,$BJ10-3)),IF(OR($BI10=1,$BL10=1,$BH10&gt;0),"–",""))</f>
        <v/>
      </c>
      <c r="AA11" s="70">
        <f>IF($BJ10&gt;0,IF(INDEX('Final Calculation Sheet'!$Z$4:$Z$40,$BJ10-3)="","",INDEX('Final Calculation Sheet'!$Z$4:$Z$40,$BJ10-3)),IF(OR($BI10=1,$BL10=1,$BH10&gt;0),IF($BI10=1,SUM('Final Calculation Sheet'!$Z$4:$Z$40),IF($BL10=1,SUM('Final Calculation Sheet'!$Z$4:$Z$40)-SUMIFS('Final Calculation Sheet'!$Z$4:$Z$40,$AZ$5:$AZ$41,10),SUMIFS('Final Calculation Sheet'!$Z$4:$Z$40,$AZ$5:$AZ$41,$BH10))),""))</f>
        <v/>
      </c>
      <c r="AB11" s="70">
        <f>IF($BJ10&gt;0,IF(INDEX('Final Calculation Sheet'!$AA$4:$AA$40,$BJ10-3)="","",INDEX('Final Calculation Sheet'!$AA$4:$AA$40,$BJ10-3)),IF(OR($BI10=1,$BL10=1,$BH10&gt;0),IF($BI10=1,SUM('Final Calculation Sheet'!$AA$4:$AA$40),IF($BL10=1,SUM('Final Calculation Sheet'!$AA$4:$AA$40)-SUMIFS('Final Calculation Sheet'!$AA$4:$AA$40,$AZ$5:$AZ$41,10),SUMIFS('Final Calculation Sheet'!$AA$4:$AA$40,$AZ$5:$AZ$41,$BH10))),""))</f>
        <v/>
      </c>
      <c r="AC11" s="70">
        <f>IF($BJ10&gt;0,IF(INDEX('Final Calculation Sheet'!$AB$4:$AB$40,$BJ10-3)="","",INDEX('Final Calculation Sheet'!$AB$4:$AB$40,$BJ10-3)),IF(OR($BI10=1,$BL10=1,$BH10&gt;0),"–",""))</f>
        <v/>
      </c>
      <c r="AD11" s="70">
        <f>IF($BJ10&gt;0,IF(INDEX('Final Calculation Sheet'!$AC$4:$AC$40,$BJ10-3)="","",INDEX('Final Calculation Sheet'!$AC$4:$AC$40,$BJ10-3)),IF(OR($BI10=1,$BL10=1,$BH10&gt;0),IF($BI10=1,SUM('Final Calculation Sheet'!$AC$4:$AC$40),IF($BL10=1,SUM('Final Calculation Sheet'!$AC$4:$AC$40)-SUMIFS('Final Calculation Sheet'!$AC$4:$AC$40,$AZ$5:$AZ$41,10),SUMIFS('Final Calculation Sheet'!$AC$4:$AC$40,$AZ$5:$AZ$41,$BH10))),""))</f>
        <v/>
      </c>
      <c r="AE11" s="70">
        <f>IF($BJ10&gt;0,IF(INDEX('Final Calculation Sheet'!$AD$4:$AD$40,$BJ10-3)="","",INDEX('Final Calculation Sheet'!$AD$4:$AD$40,$BJ10-3)),IF(OR($BI10=1,$BL10=1,$BH10&gt;0),IF($BI10=1,SUM('Final Calculation Sheet'!$AD$4:$AD$40),IF($BL10=1,SUM('Final Calculation Sheet'!$AD$4:$AD$40)-SUMIFS('Final Calculation Sheet'!$AD$4:$AD$40,$AZ$5:$AZ$41,10),SUMIFS('Final Calculation Sheet'!$AD$4:$AD$40,$AZ$5:$AZ$41,$BH10))),""))</f>
        <v/>
      </c>
      <c r="AF11" s="75">
        <f>IF($BJ10&gt;0,IF(INDEX('Final Calculation Sheet'!$AD$4:$AD$40,$BJ10-3)="","",IF(INDEX('Final Calculation Sheet'!$AD$4:$AD$40,$BJ10-3)&lt;=5,"SETTLED","OUTSTANDING")),IF(OR($BI10=1,$BL10=1,$BH10&gt;0),IF(IF($BI10=1,SUM('Final Calculation Sheet'!$AD$4:$AD$40),IF($BL10=1,SUM('Final Calculation Sheet'!$AD$4:$AD$40)-SUMIFS('Final Calculation Sheet'!$AD$4:$AD$40,$AZ$5:$AZ$41,10),SUMIFS('Final Calculation Sheet'!$AD$4:$AD$40,$AZ$5:$AZ$41,$BH10)))&lt;=5,"ALL SETTLED","OUTSTANDING"),""))</f>
        <v/>
      </c>
      <c r="AG11" s="70">
        <f>IF($BJ10&gt;0,IF(INDEX('Final Calculation Sheet'!$AF$4:$AF$40,$BJ10-3)="","",INDEX('Final Calculation Sheet'!$AF$4:$AF$40,$BJ10-3)),IF(OR($BI10=1,$BL10=1,$BH10&gt;0),"–",""))</f>
        <v/>
      </c>
      <c r="AH11" s="74">
        <f>IF($BJ10&gt;0,IF(INDEX('Final Calculation Sheet'!$AG$4:$AG$40,$BJ10-3)="","",INDEX('Final Calculation Sheet'!$AG$4:$AG$40,$BJ10-3)),IF(OR($BI10=1,$BL10=1,$BH10&gt;0),"–",""))</f>
        <v/>
      </c>
      <c r="AI11" s="70">
        <f>IF($BJ10&gt;0,IF(INDEX('Final Calculation Sheet'!$AH$4:$AH$40,$BJ10-3)="","",INDEX('Final Calculation Sheet'!$AH$4:$AH$40,$BJ10-3)),IF(OR($BI10=1,$BL10=1,$BH10&gt;0),"–",""))</f>
        <v/>
      </c>
      <c r="AJ11" s="76">
        <f>IF($B$3="",IF(ROW()=5,"— type above —",""),IF(ROW()-4&gt;AL$41,"",INDEX('Final Calculation Sheet'!$F$4:$F$40,MATCH(ROW()-4,$AL$5:$AL$41,0))&amp;" — "&amp;INDEX('Final Calculation Sheet'!$G$4:$G$40,MATCH(ROW()-4,$AL$5:$AL$41,0))))</f>
        <v/>
      </c>
      <c r="AK11">
        <f>IF($F$3="Lot No.",'Final Calculation Sheet'!$F$10,IF($F$3="Buyer",'Final Calculation Sheet'!$G$10,IF($F$3="Lot Name",'Final Calculation Sheet'!$B$10,IF($F$3="Bid Sheet",'Final Calculation Sheet'!$D$10,IF($F$3="Unit",'Final Calculation Sheet'!$E$10,'Final Calculation Sheet'!$F$10&amp;" "&amp;'Final Calculation Sheet'!$G$10&amp;" "&amp;'Final Calculation Sheet'!$B$10)))))</f>
        <v/>
      </c>
      <c r="AL11">
        <f>AL10+IF($B$3="",0,--(SUMPRODUCT(--($AR$6:$AY$6&lt;&gt;""),--ISNUMBER(SEARCH($AR$6:$AY$6,$AK11)))&gt;0))</f>
        <v/>
      </c>
      <c r="AM11">
        <f>IF(COUNTIF($BM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AZ11">
        <f>IF($B$3="",IF(COUNTIF($A$4:$AI$4,"&lt;&gt;")=0,9,IF($AM11=1,9,10)),IF($AM11=0,10,IF(AND($AR$6&lt;&gt;"",ISNUMBER(SEARCH($AR$6,$AK11))),1,IF(AND($AS$6&lt;&gt;"",ISNUMBER(SEARCH($AS$6,$AK11))),2,IF(AND($AT$6&lt;&gt;"",ISNUMBER(SEARCH($AT$6,$AK11))),3,IF(AND($AU$6&lt;&gt;"",ISNUMBER(SEARCH($AU$6,$AK11))),4,IF(AND($AV$6&lt;&gt;"",ISNUMBER(SEARCH($AV$6,$AK11))),5,IF(AND($AW$6&lt;&gt;"",ISNUMBER(SEARCH($AW$6,$AK11))),6,IF(AND($AX$6&lt;&gt;"",ISNUMBER(SEARCH($AX$6,$AK11))),7,IF(AND($AY$6&lt;&gt;"",ISNUMBER(SEARCH($AY$6,$AK11))),8,0))))))))))</f>
        <v/>
      </c>
      <c r="BA11">
        <f>SUMPRODUCT(($AZ$5:$AZ$41=$AZ11)*($BC$5:$BC$41&lt;$BC11))+1</f>
        <v/>
      </c>
      <c r="BB11">
        <f>IF(INDEX($BF$4:$BF$13,$AZ11)=0,0,INDEX($BE$4:$BE$13,$AZ11)+$BA11-1)</f>
        <v/>
      </c>
      <c r="BC11" t="n">
        <v>10</v>
      </c>
      <c r="BD11">
        <f>COUNTIF($AZ$5:$AZ$41,8)</f>
        <v/>
      </c>
      <c r="BE11">
        <f>IF($BD10=0,$BE10,$BF10+1)</f>
        <v/>
      </c>
      <c r="BF11">
        <f>IF($BD11=0,0,$BE11+$BD11)</f>
        <v/>
      </c>
      <c r="BH11">
        <f>IFERROR(MATCH(11,$BF$4:$BF$13,0),0)</f>
        <v/>
      </c>
      <c r="BI11">
        <f>IF(11=$BG$5,1,0)</f>
        <v/>
      </c>
      <c r="BJ11">
        <f>IF(OR($BH11&gt;0,$BI11=1,$BL11=1),0,IFERROR(INDEX($BC$5:$BC$41,MATCH(11,$BB$5:$BB$41,0)),0))</f>
        <v/>
      </c>
      <c r="BK11">
        <f>IF($BJ11&gt;0,IF(INDEX($AZ$5:$AZ$41,MATCH(11,$BB$5:$BB$41,0))=10,1,0),IF($BH11=10,1,0))</f>
        <v/>
      </c>
      <c r="BL11">
        <f>IF(11=$BG$4,1,0)</f>
        <v/>
      </c>
      <c r="BM11">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1">
        <f>IF($B$4="",1,--(OR(SUMPRODUCT(--(TRIM(MID(SUBSTITUTE(SUBSTITUTE($B$4,"/",","),",",REPT(" ",99)),(ROW($1:$8)-1)*99+1,99))&lt;&gt;""),--ISNUMBER(SEARCH(TRIM(MID(SUBSTITUTE(SUBSTITUTE($B$4,"/",","),",",REPT(" ",99)),(ROW($1:$8)-1)*99+1,99)),IFERROR(('Final Calculation Sheet'!$F$10)&amp;"",""))))&gt;0,AND(ISNUMBER(SEARCH("blank",$B$4)),NOT(ISNUMBER(SEARCH("nonblank",$B$4))),IFERROR(('Final Calculation Sheet'!$F$10)&amp;"","")=""),AND(OR(ISNUMBER(SEARCH("nonblank",$B$4)),ISNUMBER(SEARCH("&lt;&gt;",$B$4))),IFERROR(('Final Calculation Sheet'!$F$10)&amp;"","")&lt;&gt;""),AND(TRIM($B$4)="",IFERROR(('Final Calculation Sheet'!$F$10)&amp;"","")=""))))</f>
        <v/>
      </c>
      <c r="BO11">
        <f>IF($CW$3="",1,--(OR(SUMPRODUCT(--(TRIM(MID(SUBSTITUTE(SUBSTITUTE($CW$3,"/",","),",",REPT(" ",99)),(ROW($1:$8)-1)*99+1,99))&lt;&gt;""),--ISNUMBER(SEARCH(TRIM(MID(SUBSTITUTE(SUBSTITUTE($CW$3,"/",","),",",REPT(" ",99)),(ROW($1:$8)-1)*99+1,99)),IFERROR(('Final Calculation Sheet'!$G$10)&amp;"",""))))&gt;0,AND(ISNUMBER(SEARCH("blank",$CW$3)),NOT(ISNUMBER(SEARCH("nonblank",$CW$3))),IFERROR(('Final Calculation Sheet'!$G$10)&amp;"","")=""),AND(OR(ISNUMBER(SEARCH("nonblank",$CW$3)),ISNUMBER(SEARCH("&lt;&gt;",$CW$3))),IFERROR(('Final Calculation Sheet'!$G$10)&amp;"","")&lt;&gt;""),AND(TRIM($CW$3)="",IFERROR(('Final Calculation Sheet'!$G$10)&amp;"","")=""))))</f>
        <v/>
      </c>
      <c r="BP11">
        <f>IF($D$4="",1,--(OR(SUMPRODUCT(--(TRIM(MID(SUBSTITUTE(SUBSTITUTE($D$4,"/",","),",",REPT(" ",99)),(ROW($1:$8)-1)*99+1,99))&lt;&gt;""),--ISNUMBER(SEARCH(TRIM(MID(SUBSTITUTE(SUBSTITUTE($D$4,"/",","),",",REPT(" ",99)),(ROW($1:$8)-1)*99+1,99)),IFERROR(('Final Calculation Sheet'!$B$10)&amp;"",""))))&gt;0,AND(ISNUMBER(SEARCH("blank",$D$4)),NOT(ISNUMBER(SEARCH("nonblank",$D$4))),IFERROR(('Final Calculation Sheet'!$B$10)&amp;"","")=""),AND(OR(ISNUMBER(SEARCH("nonblank",$D$4)),ISNUMBER(SEARCH("&lt;&gt;",$D$4))),IFERROR(('Final Calculation Sheet'!$B$10)&amp;"","")&lt;&gt;""),AND(TRIM($D$4)="",IFERROR(('Final Calculation Sheet'!$B$10)&amp;"","")=""))))</f>
        <v/>
      </c>
      <c r="BQ11">
        <f>IF($E$4="",1,--(OR(SUMPRODUCT(--(TRIM(MID(SUBSTITUTE(SUBSTITUTE($E$4,"/",","),",",REPT(" ",99)),(ROW($1:$8)-1)*99+1,99))&lt;&gt;""),--ISNUMBER(SEARCH(TRIM(MID(SUBSTITUTE(SUBSTITUTE($E$4,"/",","),",",REPT(" ",99)),(ROW($1:$8)-1)*99+1,99)),IFERROR(('Final Calculation Sheet'!$D$10)&amp;"",""))))&gt;0,AND(ISNUMBER(SEARCH("blank",$E$4)),NOT(ISNUMBER(SEARCH("nonblank",$E$4))),IFERROR(('Final Calculation Sheet'!$D$10)&amp;"","")=""),AND(OR(ISNUMBER(SEARCH("nonblank",$E$4)),ISNUMBER(SEARCH("&lt;&gt;",$E$4))),IFERROR(('Final Calculation Sheet'!$D$10)&amp;"","")&lt;&gt;""),AND(TRIM($E$4)="",IFERROR(('Final Calculation Sheet'!$D$10)&amp;"","")=""))))</f>
        <v/>
      </c>
      <c r="BR11">
        <f>IF($F$4="",1,--(OR(SUMPRODUCT(--(TRIM(MID(SUBSTITUTE(SUBSTITUTE($F$4,"/",","),",",REPT(" ",99)),(ROW($1:$8)-1)*99+1,99))&lt;&gt;""),--ISNUMBER(SEARCH(TRIM(MID(SUBSTITUTE(SUBSTITUTE($F$4,"/",","),",",REPT(" ",99)),(ROW($1:$8)-1)*99+1,99)),IFERROR(('Final Calculation Sheet'!$A$10)&amp;"",""))))&gt;0,AND(ISNUMBER(SEARCH("blank",$F$4)),NOT(ISNUMBER(SEARCH("nonblank",$F$4))),IFERROR(('Final Calculation Sheet'!$A$10)&amp;"","")=""),AND(OR(ISNUMBER(SEARCH("nonblank",$F$4)),ISNUMBER(SEARCH("&lt;&gt;",$F$4))),IFERROR(('Final Calculation Sheet'!$A$10)&amp;"","")&lt;&gt;""),AND(TRIM($F$4)="",IFERROR(('Final Calculation Sheet'!$A$10)&amp;"","")=""))))</f>
        <v/>
      </c>
      <c r="BS11">
        <f>IF($G$4="",1,--(OR(SUMPRODUCT(--(TRIM(MID(SUBSTITUTE(SUBSTITUTE($G$4,"/",","),",",REPT(" ",99)),(ROW($1:$8)-1)*99+1,99))&lt;&gt;""),--ISNUMBER(SEARCH(TRIM(MID(SUBSTITUTE(SUBSTITUTE($G$4,"/",","),",",REPT(" ",99)),(ROW($1:$8)-1)*99+1,99)),IFERROR(('Final Calculation Sheet'!$E$10)&amp;"",""))))&gt;0,AND(ISNUMBER(SEARCH("blank",$G$4)),NOT(ISNUMBER(SEARCH("nonblank",$G$4))),IFERROR(('Final Calculation Sheet'!$E$10)&amp;"","")=""),AND(OR(ISNUMBER(SEARCH("nonblank",$G$4)),ISNUMBER(SEARCH("&lt;&gt;",$G$4))),IFERROR(('Final Calculation Sheet'!$E$10)&amp;"","")&lt;&gt;""),AND(TRIM($G$4)="",IFERROR(('Final Calculation Sheet'!$E$10)&amp;"","")=""))))</f>
        <v/>
      </c>
      <c r="BT11">
        <f>IF($H$4="",1,--(OR(SUMPRODUCT(--(TRIM(MID(SUBSTITUTE(SUBSTITUTE($H$4,"/",","),",",REPT(" ",99)),(ROW($1:$8)-1)*99+1,99))&lt;&gt;""),--ISNUMBER(SEARCH(TRIM(MID(SUBSTITUTE(SUBSTITUTE($H$4,"/",","),",",REPT(" ",99)),(ROW($1:$8)-1)*99+1,99)),IFERROR(('Final Calculation Sheet'!$C$10)&amp;"",""))))&gt;0,AND(ISNUMBER(SEARCH("blank",$H$4)),NOT(ISNUMBER(SEARCH("nonblank",$H$4))),IFERROR(('Final Calculation Sheet'!$C$10)&amp;"","")=""),AND(OR(ISNUMBER(SEARCH("nonblank",$H$4)),ISNUMBER(SEARCH("&lt;&gt;",$H$4))),IFERROR(('Final Calculation Sheet'!$C$10)&amp;"","")&lt;&gt;""),AND(TRIM($H$4)="",IFERROR(('Final Calculation Sheet'!$C$10)&amp;"","")=""))))</f>
        <v/>
      </c>
      <c r="BU11">
        <f>IF($I$4="",1,--(OR(SUMPRODUCT(--(TRIM(MID(SUBSTITUTE(SUBSTITUTE($I$4,"/",","),",",REPT(" ",99)),(ROW($1:$8)-1)*99+1,99))&lt;&gt;""),--ISNUMBER(SEARCH(TRIM(MID(SUBSTITUTE(SUBSTITUTE($I$4,"/",","),",",REPT(" ",99)),(ROW($1:$8)-1)*99+1,99)),IFERROR(('Final Calculation Sheet'!$H$10)&amp;"",""))))&gt;0,AND(ISNUMBER(SEARCH("blank",$I$4)),NOT(ISNUMBER(SEARCH("nonblank",$I$4))),IFERROR(('Final Calculation Sheet'!$H$10)&amp;"","")=""),AND(OR(ISNUMBER(SEARCH("nonblank",$I$4)),ISNUMBER(SEARCH("&lt;&gt;",$I$4))),IFERROR(('Final Calculation Sheet'!$H$10)&amp;"","")&lt;&gt;""),AND(TRIM($I$4)="",IFERROR(('Final Calculation Sheet'!$H$10)&amp;"","")=""))))</f>
        <v/>
      </c>
      <c r="BV11">
        <f>IF($J$4="",1,--(OR(SUMPRODUCT(--(TRIM(MID(SUBSTITUTE(SUBSTITUTE($J$4,"/",","),",",REPT(" ",99)),(ROW($1:$8)-1)*99+1,99))&lt;&gt;""),--ISNUMBER(SEARCH(TRIM(MID(SUBSTITUTE(SUBSTITUTE($J$4,"/",","),",",REPT(" ",99)),(ROW($1:$8)-1)*99+1,99)),IFERROR(('Final Calculation Sheet'!$I$10)&amp;"",""))))&gt;0,AND(ISNUMBER(SEARCH("blank",$J$4)),NOT(ISNUMBER(SEARCH("nonblank",$J$4))),IFERROR(('Final Calculation Sheet'!$I$10)&amp;"","")=""),AND(OR(ISNUMBER(SEARCH("nonblank",$J$4)),ISNUMBER(SEARCH("&lt;&gt;",$J$4))),IFERROR(('Final Calculation Sheet'!$I$10)&amp;"","")&lt;&gt;""),AND(TRIM($J$4)="",IFERROR(('Final Calculation Sheet'!$I$10)&amp;"","")=""))))</f>
        <v/>
      </c>
      <c r="BW11">
        <f>IF($K$4="",1,--(OR(SUMPRODUCT(--(TRIM(MID(SUBSTITUTE(SUBSTITUTE($K$4,"/",","),",",REPT(" ",99)),(ROW($1:$8)-1)*99+1,99))&lt;&gt;""),--ISNUMBER(SEARCH(TRIM(MID(SUBSTITUTE(SUBSTITUTE($K$4,"/",","),",",REPT(" ",99)),(ROW($1:$8)-1)*99+1,99)),IFERROR(('Final Calculation Sheet'!$J$10)&amp;"",""))))&gt;0,AND(ISNUMBER(SEARCH("blank",$K$4)),NOT(ISNUMBER(SEARCH("nonblank",$K$4))),IFERROR(('Final Calculation Sheet'!$J$10)&amp;"","")=""),AND(OR(ISNUMBER(SEARCH("nonblank",$K$4)),ISNUMBER(SEARCH("&lt;&gt;",$K$4))),IFERROR(('Final Calculation Sheet'!$J$10)&amp;"","")&lt;&gt;""),AND(TRIM($K$4)="",IFERROR(('Final Calculation Sheet'!$J$10)&amp;"","")=""))))</f>
        <v/>
      </c>
      <c r="BX11">
        <f>IF($L$4="",1,--(OR(SUMPRODUCT(--(TRIM(MID(SUBSTITUTE(SUBSTITUTE($L$4,"/",","),",",REPT(" ",99)),(ROW($1:$8)-1)*99+1,99))&lt;&gt;""),--ISNUMBER(SEARCH(TRIM(MID(SUBSTITUTE(SUBSTITUTE($L$4,"/",","),",",REPT(" ",99)),(ROW($1:$8)-1)*99+1,99)),IFERROR(('Final Calculation Sheet'!$K$10)&amp;"",""))))&gt;0,AND(ISNUMBER(SEARCH("blank",$L$4)),NOT(ISNUMBER(SEARCH("nonblank",$L$4))),IFERROR(('Final Calculation Sheet'!$K$10)&amp;"","")=""),AND(OR(ISNUMBER(SEARCH("nonblank",$L$4)),ISNUMBER(SEARCH("&lt;&gt;",$L$4))),IFERROR(('Final Calculation Sheet'!$K$10)&amp;"","")&lt;&gt;""),AND(TRIM($L$4)="",IFERROR(('Final Calculation Sheet'!$K$10)&amp;"","")=""))))</f>
        <v/>
      </c>
      <c r="BY11">
        <f>IF($M$4="",1,--(OR(SUMPRODUCT(--(TRIM(MID(SUBSTITUTE(SUBSTITUTE($M$4,"/",","),",",REPT(" ",99)),(ROW($1:$8)-1)*99+1,99))&lt;&gt;""),--ISNUMBER(SEARCH(TRIM(MID(SUBSTITUTE(SUBSTITUTE($M$4,"/",","),",",REPT(" ",99)),(ROW($1:$8)-1)*99+1,99)),IFERROR(('Final Calculation Sheet'!$L$10)&amp;"",""))))&gt;0,AND(ISNUMBER(SEARCH("blank",$M$4)),NOT(ISNUMBER(SEARCH("nonblank",$M$4))),IFERROR(('Final Calculation Sheet'!$L$10)&amp;"","")=""),AND(OR(ISNUMBER(SEARCH("nonblank",$M$4)),ISNUMBER(SEARCH("&lt;&gt;",$M$4))),IFERROR(('Final Calculation Sheet'!$L$10)&amp;"","")&lt;&gt;""),AND(TRIM($M$4)="",IFERROR(('Final Calculation Sheet'!$L$10)&amp;"","")=""))))</f>
        <v/>
      </c>
      <c r="BZ11">
        <f>IF($N$4="",1,--(OR(SUMPRODUCT(--(TRIM(MID(SUBSTITUTE(SUBSTITUTE($N$4,"/",","),",",REPT(" ",99)),(ROW($1:$8)-1)*99+1,99))&lt;&gt;""),--ISNUMBER(SEARCH(TRIM(MID(SUBSTITUTE(SUBSTITUTE($N$4,"/",","),",",REPT(" ",99)),(ROW($1:$8)-1)*99+1,99)),IFERROR(('Final Calculation Sheet'!$M$10)&amp;"",""))))&gt;0,AND(ISNUMBER(SEARCH("blank",$N$4)),NOT(ISNUMBER(SEARCH("nonblank",$N$4))),IFERROR(('Final Calculation Sheet'!$M$10)&amp;"","")=""),AND(OR(ISNUMBER(SEARCH("nonblank",$N$4)),ISNUMBER(SEARCH("&lt;&gt;",$N$4))),IFERROR(('Final Calculation Sheet'!$M$10)&amp;"","")&lt;&gt;""),AND(TRIM($N$4)="",IFERROR(('Final Calculation Sheet'!$M$10)&amp;"","")=""))))</f>
        <v/>
      </c>
      <c r="CA11">
        <f>IF($O$4="",1,--(OR(SUMPRODUCT(--(TRIM(MID(SUBSTITUTE(SUBSTITUTE($O$4,"/",","),",",REPT(" ",99)),(ROW($1:$8)-1)*99+1,99))&lt;&gt;""),--ISNUMBER(SEARCH(TRIM(MID(SUBSTITUTE(SUBSTITUTE($O$4,"/",","),",",REPT(" ",99)),(ROW($1:$8)-1)*99+1,99)),IFERROR(('Final Calculation Sheet'!$N$10)&amp;"",""))))&gt;0,AND(ISNUMBER(SEARCH("blank",$O$4)),NOT(ISNUMBER(SEARCH("nonblank",$O$4))),IFERROR(('Final Calculation Sheet'!$N$10)&amp;"","")=""),AND(OR(ISNUMBER(SEARCH("nonblank",$O$4)),ISNUMBER(SEARCH("&lt;&gt;",$O$4))),IFERROR(('Final Calculation Sheet'!$N$10)&amp;"","")&lt;&gt;""),AND(TRIM($O$4)="",IFERROR(('Final Calculation Sheet'!$N$10)&amp;"","")=""))))</f>
        <v/>
      </c>
      <c r="CB11">
        <f>IF($P$4="",1,--(OR(SUMPRODUCT(--(TRIM(MID(SUBSTITUTE(SUBSTITUTE($P$4,"/",","),",",REPT(" ",99)),(ROW($1:$8)-1)*99+1,99))&lt;&gt;""),--ISNUMBER(SEARCH(TRIM(MID(SUBSTITUTE(SUBSTITUTE($P$4,"/",","),",",REPT(" ",99)),(ROW($1:$8)-1)*99+1,99)),IFERROR(('Final Calculation Sheet'!$O$10)&amp;"",""))))&gt;0,AND(ISNUMBER(SEARCH("blank",$P$4)),NOT(ISNUMBER(SEARCH("nonblank",$P$4))),IFERROR(('Final Calculation Sheet'!$O$10)&amp;"","")=""),AND(OR(ISNUMBER(SEARCH("nonblank",$P$4)),ISNUMBER(SEARCH("&lt;&gt;",$P$4))),IFERROR(('Final Calculation Sheet'!$O$10)&amp;"","")&lt;&gt;""),AND(TRIM($P$4)="",IFERROR(('Final Calculation Sheet'!$O$10)&amp;"","")=""))))</f>
        <v/>
      </c>
      <c r="CC11">
        <f>IF($Q$4="",1,--(OR(SUMPRODUCT(--(TRIM(MID(SUBSTITUTE(SUBSTITUTE($Q$4,"/",","),",",REPT(" ",99)),(ROW($1:$8)-1)*99+1,99))&lt;&gt;""),--ISNUMBER(SEARCH(TRIM(MID(SUBSTITUTE(SUBSTITUTE($Q$4,"/",","),",",REPT(" ",99)),(ROW($1:$8)-1)*99+1,99)),IFERROR(('Final Calculation Sheet'!$P$10)&amp;"",""))))&gt;0,AND(ISNUMBER(SEARCH("blank",$Q$4)),NOT(ISNUMBER(SEARCH("nonblank",$Q$4))),IFERROR(('Final Calculation Sheet'!$P$10)&amp;"","")=""),AND(OR(ISNUMBER(SEARCH("nonblank",$Q$4)),ISNUMBER(SEARCH("&lt;&gt;",$Q$4))),IFERROR(('Final Calculation Sheet'!$P$10)&amp;"","")&lt;&gt;""),AND(TRIM($Q$4)="",IFERROR(('Final Calculation Sheet'!$P$10)&amp;"","")=""))))</f>
        <v/>
      </c>
      <c r="CD11">
        <f>IF($R$4="",1,--(OR(SUMPRODUCT(--(TRIM(MID(SUBSTITUTE(SUBSTITUTE($R$4,"/",","),",",REPT(" ",99)),(ROW($1:$8)-1)*99+1,99))&lt;&gt;""),--ISNUMBER(SEARCH(TRIM(MID(SUBSTITUTE(SUBSTITUTE($R$4,"/",","),",",REPT(" ",99)),(ROW($1:$8)-1)*99+1,99)),IFERROR(('Final Calculation Sheet'!$Q$10)&amp;"",""))))&gt;0,AND(ISNUMBER(SEARCH("blank",$R$4)),NOT(ISNUMBER(SEARCH("nonblank",$R$4))),IFERROR(('Final Calculation Sheet'!$Q$10)&amp;"","")=""),AND(OR(ISNUMBER(SEARCH("nonblank",$R$4)),ISNUMBER(SEARCH("&lt;&gt;",$R$4))),IFERROR(('Final Calculation Sheet'!$Q$10)&amp;"","")&lt;&gt;""),AND(TRIM($R$4)="",IFERROR(('Final Calculation Sheet'!$Q$10)&amp;"","")=""))))</f>
        <v/>
      </c>
      <c r="CE11">
        <f>IF($S$4="",1,--(OR(SUMPRODUCT(--(TRIM(MID(SUBSTITUTE(SUBSTITUTE($S$4,"/",","),",",REPT(" ",99)),(ROW($1:$8)-1)*99+1,99))&lt;&gt;""),--ISNUMBER(SEARCH(TRIM(MID(SUBSTITUTE(SUBSTITUTE($S$4,"/",","),",",REPT(" ",99)),(ROW($1:$8)-1)*99+1,99)),IFERROR(('Final Calculation Sheet'!$R$10)&amp;"",""))))&gt;0,AND(ISNUMBER(SEARCH("blank",$S$4)),NOT(ISNUMBER(SEARCH("nonblank",$S$4))),IFERROR(('Final Calculation Sheet'!$R$10)&amp;"","")=""),AND(OR(ISNUMBER(SEARCH("nonblank",$S$4)),ISNUMBER(SEARCH("&lt;&gt;",$S$4))),IFERROR(('Final Calculation Sheet'!$R$10)&amp;"","")&lt;&gt;""),AND(TRIM($S$4)="",IFERROR(('Final Calculation Sheet'!$R$10)&amp;"","")=""))))</f>
        <v/>
      </c>
      <c r="CF11">
        <f>IF($T$4="",1,--(OR(SUMPRODUCT(--(TRIM(MID(SUBSTITUTE(SUBSTITUTE($T$4,"/",","),",",REPT(" ",99)),(ROW($1:$8)-1)*99+1,99))&lt;&gt;""),--ISNUMBER(SEARCH(TRIM(MID(SUBSTITUTE(SUBSTITUTE($T$4,"/",","),",",REPT(" ",99)),(ROW($1:$8)-1)*99+1,99)),IFERROR(('Final Calculation Sheet'!$S$10)&amp;"",""))))&gt;0,AND(ISNUMBER(SEARCH("blank",$T$4)),NOT(ISNUMBER(SEARCH("nonblank",$T$4))),IFERROR(('Final Calculation Sheet'!$S$10)&amp;"","")=""),AND(OR(ISNUMBER(SEARCH("nonblank",$T$4)),ISNUMBER(SEARCH("&lt;&gt;",$T$4))),IFERROR(('Final Calculation Sheet'!$S$10)&amp;"","")&lt;&gt;""),AND(TRIM($T$4)="",IFERROR(('Final Calculation Sheet'!$S$10)&amp;"","")=""))))</f>
        <v/>
      </c>
      <c r="CG11">
        <f>IF($U$4="",1,--(OR(SUMPRODUCT(--(TRIM(MID(SUBSTITUTE(SUBSTITUTE($U$4,"/",","),",",REPT(" ",99)),(ROW($1:$8)-1)*99+1,99))&lt;&gt;""),--ISNUMBER(SEARCH(TRIM(MID(SUBSTITUTE(SUBSTITUTE($U$4,"/",","),",",REPT(" ",99)),(ROW($1:$8)-1)*99+1,99)),IFERROR(('Final Calculation Sheet'!$T$10)&amp;"",""))))&gt;0,AND(ISNUMBER(SEARCH("blank",$U$4)),NOT(ISNUMBER(SEARCH("nonblank",$U$4))),IFERROR(('Final Calculation Sheet'!$T$10)&amp;"","")=""),AND(OR(ISNUMBER(SEARCH("nonblank",$U$4)),ISNUMBER(SEARCH("&lt;&gt;",$U$4))),IFERROR(('Final Calculation Sheet'!$T$10)&amp;"","")&lt;&gt;""),AND(TRIM($U$4)="",IFERROR(('Final Calculation Sheet'!$T$10)&amp;"","")=""))))</f>
        <v/>
      </c>
      <c r="CH11">
        <f>IF($V$4="",1,--(OR(SUMPRODUCT(--(TRIM(MID(SUBSTITUTE(SUBSTITUTE($V$4,"/",","),",",REPT(" ",99)),(ROW($1:$8)-1)*99+1,99))&lt;&gt;""),--ISNUMBER(SEARCH(TRIM(MID(SUBSTITUTE(SUBSTITUTE($V$4,"/",","),",",REPT(" ",99)),(ROW($1:$8)-1)*99+1,99)),IFERROR(('Final Calculation Sheet'!$U$10)&amp;"",""))))&gt;0,AND(ISNUMBER(SEARCH("blank",$V$4)),NOT(ISNUMBER(SEARCH("nonblank",$V$4))),IFERROR(('Final Calculation Sheet'!$U$10)&amp;"","")=""),AND(OR(ISNUMBER(SEARCH("nonblank",$V$4)),ISNUMBER(SEARCH("&lt;&gt;",$V$4))),IFERROR(('Final Calculation Sheet'!$U$10)&amp;"","")&lt;&gt;""),AND(TRIM($V$4)="",IFERROR(('Final Calculation Sheet'!$U$10)&amp;"","")=""))))</f>
        <v/>
      </c>
      <c r="CI11">
        <f>IF($W$4="",1,--(OR(SUMPRODUCT(--(TRIM(MID(SUBSTITUTE(SUBSTITUTE($W$4,"/",","),",",REPT(" ",99)),(ROW($1:$8)-1)*99+1,99))&lt;&gt;""),--ISNUMBER(SEARCH(TRIM(MID(SUBSTITUTE(SUBSTITUTE($W$4,"/",","),",",REPT(" ",99)),(ROW($1:$8)-1)*99+1,99)),IFERROR(('Final Calculation Sheet'!$V$10)&amp;"",""))))&gt;0,AND(ISNUMBER(SEARCH("blank",$W$4)),NOT(ISNUMBER(SEARCH("nonblank",$W$4))),IFERROR(('Final Calculation Sheet'!$V$10)&amp;"","")=""),AND(OR(ISNUMBER(SEARCH("nonblank",$W$4)),ISNUMBER(SEARCH("&lt;&gt;",$W$4))),IFERROR(('Final Calculation Sheet'!$V$10)&amp;"","")&lt;&gt;""),AND(TRIM($W$4)="",IFERROR(('Final Calculation Sheet'!$V$10)&amp;"","")=""))))</f>
        <v/>
      </c>
      <c r="CJ11">
        <f>IF($X$4="",1,--(OR(SUMPRODUCT(--(TRIM(MID(SUBSTITUTE(SUBSTITUTE($X$4,"/",","),",",REPT(" ",99)),(ROW($1:$8)-1)*99+1,99))&lt;&gt;""),--ISNUMBER(SEARCH(TRIM(MID(SUBSTITUTE(SUBSTITUTE($X$4,"/",","),",",REPT(" ",99)),(ROW($1:$8)-1)*99+1,99)),IFERROR(('Final Calculation Sheet'!$W$10)&amp;"",""))))&gt;0,AND(ISNUMBER(SEARCH("blank",$X$4)),NOT(ISNUMBER(SEARCH("nonblank",$X$4))),IFERROR(('Final Calculation Sheet'!$W$10)&amp;"","")=""),AND(OR(ISNUMBER(SEARCH("nonblank",$X$4)),ISNUMBER(SEARCH("&lt;&gt;",$X$4))),IFERROR(('Final Calculation Sheet'!$W$10)&amp;"","")&lt;&gt;""),AND(TRIM($X$4)="",IFERROR(('Final Calculation Sheet'!$W$10)&amp;"","")=""))))</f>
        <v/>
      </c>
      <c r="CK11">
        <f>IF($Y$4="",1,--(OR(SUMPRODUCT(--(TRIM(MID(SUBSTITUTE(SUBSTITUTE($Y$4,"/",","),",",REPT(" ",99)),(ROW($1:$8)-1)*99+1,99))&lt;&gt;""),--ISNUMBER(SEARCH(TRIM(MID(SUBSTITUTE(SUBSTITUTE($Y$4,"/",","),",",REPT(" ",99)),(ROW($1:$8)-1)*99+1,99)),IFERROR(('Final Calculation Sheet'!$X$10)&amp;"",""))))&gt;0,AND(ISNUMBER(SEARCH("blank",$Y$4)),NOT(ISNUMBER(SEARCH("nonblank",$Y$4))),IFERROR(('Final Calculation Sheet'!$X$10)&amp;"","")=""),AND(OR(ISNUMBER(SEARCH("nonblank",$Y$4)),ISNUMBER(SEARCH("&lt;&gt;",$Y$4))),IFERROR(('Final Calculation Sheet'!$X$10)&amp;"","")&lt;&gt;""),AND(TRIM($Y$4)="",IFERROR(('Final Calculation Sheet'!$X$10)&amp;"","")=""))))</f>
        <v/>
      </c>
      <c r="CL11">
        <f>IF($Z$4="",1,--(OR(SUMPRODUCT(--(TRIM(MID(SUBSTITUTE(SUBSTITUTE($Z$4,"/",","),",",REPT(" ",99)),(ROW($1:$8)-1)*99+1,99))&lt;&gt;""),--ISNUMBER(SEARCH(TRIM(MID(SUBSTITUTE(SUBSTITUTE($Z$4,"/",","),",",REPT(" ",99)),(ROW($1:$8)-1)*99+1,99)),IFERROR(('Final Calculation Sheet'!$Y$10)&amp;"",""))))&gt;0,AND(ISNUMBER(SEARCH("blank",$Z$4)),NOT(ISNUMBER(SEARCH("nonblank",$Z$4))),IFERROR(('Final Calculation Sheet'!$Y$10)&amp;"","")=""),AND(OR(ISNUMBER(SEARCH("nonblank",$Z$4)),ISNUMBER(SEARCH("&lt;&gt;",$Z$4))),IFERROR(('Final Calculation Sheet'!$Y$10)&amp;"","")&lt;&gt;""),AND(TRIM($Z$4)="",IFERROR(('Final Calculation Sheet'!$Y$10)&amp;"","")=""))))</f>
        <v/>
      </c>
      <c r="CM11">
        <f>IF($AA$4="",1,--(OR(SUMPRODUCT(--(TRIM(MID(SUBSTITUTE(SUBSTITUTE($AA$4,"/",","),",",REPT(" ",99)),(ROW($1:$8)-1)*99+1,99))&lt;&gt;""),--ISNUMBER(SEARCH(TRIM(MID(SUBSTITUTE(SUBSTITUTE($AA$4,"/",","),",",REPT(" ",99)),(ROW($1:$8)-1)*99+1,99)),IFERROR(('Final Calculation Sheet'!$Z$10)&amp;"",""))))&gt;0,AND(ISNUMBER(SEARCH("blank",$AA$4)),NOT(ISNUMBER(SEARCH("nonblank",$AA$4))),IFERROR(('Final Calculation Sheet'!$Z$10)&amp;"","")=""),AND(OR(ISNUMBER(SEARCH("nonblank",$AA$4)),ISNUMBER(SEARCH("&lt;&gt;",$AA$4))),IFERROR(('Final Calculation Sheet'!$Z$10)&amp;"","")&lt;&gt;""),AND(TRIM($AA$4)="",IFERROR(('Final Calculation Sheet'!$Z$10)&amp;"","")=""))))</f>
        <v/>
      </c>
      <c r="CN11">
        <f>IF($AB$4="",1,--(OR(SUMPRODUCT(--(TRIM(MID(SUBSTITUTE(SUBSTITUTE($AB$4,"/",","),",",REPT(" ",99)),(ROW($1:$8)-1)*99+1,99))&lt;&gt;""),--ISNUMBER(SEARCH(TRIM(MID(SUBSTITUTE(SUBSTITUTE($AB$4,"/",","),",",REPT(" ",99)),(ROW($1:$8)-1)*99+1,99)),IFERROR(('Final Calculation Sheet'!$AA$10)&amp;"",""))))&gt;0,AND(ISNUMBER(SEARCH("blank",$AB$4)),NOT(ISNUMBER(SEARCH("nonblank",$AB$4))),IFERROR(('Final Calculation Sheet'!$AA$10)&amp;"","")=""),AND(OR(ISNUMBER(SEARCH("nonblank",$AB$4)),ISNUMBER(SEARCH("&lt;&gt;",$AB$4))),IFERROR(('Final Calculation Sheet'!$AA$10)&amp;"","")&lt;&gt;""),AND(TRIM($AB$4)="",IFERROR(('Final Calculation Sheet'!$AA$10)&amp;"","")=""))))</f>
        <v/>
      </c>
      <c r="CO11">
        <f>IF($AC$4="",1,--(OR(SUMPRODUCT(--(TRIM(MID(SUBSTITUTE(SUBSTITUTE($AC$4,"/",","),",",REPT(" ",99)),(ROW($1:$8)-1)*99+1,99))&lt;&gt;""),--ISNUMBER(SEARCH(TRIM(MID(SUBSTITUTE(SUBSTITUTE($AC$4,"/",","),",",REPT(" ",99)),(ROW($1:$8)-1)*99+1,99)),IFERROR(('Final Calculation Sheet'!$AB$10)&amp;"",""))))&gt;0,AND(ISNUMBER(SEARCH("blank",$AC$4)),NOT(ISNUMBER(SEARCH("nonblank",$AC$4))),IFERROR(('Final Calculation Sheet'!$AB$10)&amp;"","")=""),AND(OR(ISNUMBER(SEARCH("nonblank",$AC$4)),ISNUMBER(SEARCH("&lt;&gt;",$AC$4))),IFERROR(('Final Calculation Sheet'!$AB$10)&amp;"","")&lt;&gt;""),AND(TRIM($AC$4)="",IFERROR(('Final Calculation Sheet'!$AB$10)&amp;"","")=""))))</f>
        <v/>
      </c>
      <c r="CP11">
        <f>IF($AD$4="",1,--(OR(SUMPRODUCT(--(TRIM(MID(SUBSTITUTE(SUBSTITUTE($AD$4,"/",","),",",REPT(" ",99)),(ROW($1:$8)-1)*99+1,99))&lt;&gt;""),--ISNUMBER(SEARCH(TRIM(MID(SUBSTITUTE(SUBSTITUTE($AD$4,"/",","),",",REPT(" ",99)),(ROW($1:$8)-1)*99+1,99)),IFERROR(('Final Calculation Sheet'!$AC$10)&amp;"",""))))&gt;0,AND(ISNUMBER(SEARCH("blank",$AD$4)),NOT(ISNUMBER(SEARCH("nonblank",$AD$4))),IFERROR(('Final Calculation Sheet'!$AC$10)&amp;"","")=""),AND(OR(ISNUMBER(SEARCH("nonblank",$AD$4)),ISNUMBER(SEARCH("&lt;&gt;",$AD$4))),IFERROR(('Final Calculation Sheet'!$AC$10)&amp;"","")&lt;&gt;""),AND(TRIM($AD$4)="",IFERROR(('Final Calculation Sheet'!$AC$10)&amp;"","")=""))))</f>
        <v/>
      </c>
      <c r="CQ11">
        <f>IF($AE$4="",1,--(OR(SUMPRODUCT(--(TRIM(MID(SUBSTITUTE(SUBSTITUTE($AE$4,"/",","),",",REPT(" ",99)),(ROW($1:$8)-1)*99+1,99))&lt;&gt;""),--ISNUMBER(SEARCH(TRIM(MID(SUBSTITUTE(SUBSTITUTE($AE$4,"/",","),",",REPT(" ",99)),(ROW($1:$8)-1)*99+1,99)),IFERROR(('Final Calculation Sheet'!$AD$10)&amp;"",""))))&gt;0,AND(ISNUMBER(SEARCH("blank",$AE$4)),NOT(ISNUMBER(SEARCH("nonblank",$AE$4))),IFERROR(('Final Calculation Sheet'!$AD$10)&amp;"","")=""),AND(OR(ISNUMBER(SEARCH("nonblank",$AE$4)),ISNUMBER(SEARCH("&lt;&gt;",$AE$4))),IFERROR(('Final Calculation Sheet'!$AD$10)&amp;"","")&lt;&gt;""),AND(TRIM($AE$4)="",IFERROR(('Final Calculation Sheet'!$AD$10)&amp;"","")=""))))</f>
        <v/>
      </c>
      <c r="CR11">
        <f>IF($AG$4="",1,--(OR(SUMPRODUCT(--(TRIM(MID(SUBSTITUTE(SUBSTITUTE($AG$4,"/",","),",",REPT(" ",99)),(ROW($1:$8)-1)*99+1,99))&lt;&gt;""),--ISNUMBER(SEARCH(TRIM(MID(SUBSTITUTE(SUBSTITUTE($AG$4,"/",","),",",REPT(" ",99)),(ROW($1:$8)-1)*99+1,99)),IFERROR(('Final Calculation Sheet'!$AF$10)&amp;"",""))))&gt;0,AND(ISNUMBER(SEARCH("blank",$AG$4)),NOT(ISNUMBER(SEARCH("nonblank",$AG$4))),IFERROR(('Final Calculation Sheet'!$AF$10)&amp;"","")=""),AND(OR(ISNUMBER(SEARCH("nonblank",$AG$4)),ISNUMBER(SEARCH("&lt;&gt;",$AG$4))),IFERROR(('Final Calculation Sheet'!$AF$10)&amp;"","")&lt;&gt;""),AND(TRIM($AG$4)="",IFERROR(('Final Calculation Sheet'!$AF$10)&amp;"","")=""))))</f>
        <v/>
      </c>
      <c r="CS11">
        <f>IF($AH$4="",1,--(OR(SUMPRODUCT(--(TRIM(MID(SUBSTITUTE(SUBSTITUTE($AH$4,"/",","),",",REPT(" ",99)),(ROW($1:$8)-1)*99+1,99))&lt;&gt;""),--ISNUMBER(SEARCH(TRIM(MID(SUBSTITUTE(SUBSTITUTE($AH$4,"/",","),",",REPT(" ",99)),(ROW($1:$8)-1)*99+1,99)),IFERROR(('Final Calculation Sheet'!$AG$10)&amp;"",""))))&gt;0,AND(ISNUMBER(SEARCH("blank",$AH$4)),NOT(ISNUMBER(SEARCH("nonblank",$AH$4))),IFERROR(('Final Calculation Sheet'!$AG$10)&amp;"","")=""),AND(OR(ISNUMBER(SEARCH("nonblank",$AH$4)),ISNUMBER(SEARCH("&lt;&gt;",$AH$4))),IFERROR(('Final Calculation Sheet'!$AG$10)&amp;"","")&lt;&gt;""),AND(TRIM($AH$4)="",IFERROR(('Final Calculation Sheet'!$AG$10)&amp;"","")=""))))</f>
        <v/>
      </c>
      <c r="CT11">
        <f>IF($AI$4="",1,--(OR(SUMPRODUCT(--(TRIM(MID(SUBSTITUTE(SUBSTITUTE($AI$4,"/",","),",",REPT(" ",99)),(ROW($1:$8)-1)*99+1,99))&lt;&gt;""),--ISNUMBER(SEARCH(TRIM(MID(SUBSTITUTE(SUBSTITUTE($AI$4,"/",","),",",REPT(" ",99)),(ROW($1:$8)-1)*99+1,99)),IFERROR(('Final Calculation Sheet'!$AH$10)&amp;"",""))))&gt;0,AND(ISNUMBER(SEARCH("blank",$AI$4)),NOT(ISNUMBER(SEARCH("nonblank",$AI$4))),IFERROR(('Final Calculation Sheet'!$AH$10)&amp;"","")=""),AND(OR(ISNUMBER(SEARCH("nonblank",$AI$4)),ISNUMBER(SEARCH("&lt;&gt;",$AI$4))),IFERROR(('Final Calculation Sheet'!$AH$10)&amp;"","")&lt;&gt;""),AND(TRIM($AI$4)="",IFERROR(('Final Calculation Sheet'!$AH$10)&amp;"","")=""))))</f>
        <v/>
      </c>
      <c r="CU11">
        <f>IF($AF$4="",1,--(OR(SUMPRODUCT(--(TRIM(MID(SUBSTITUTE(SUBSTITUTE($AF$4,"/",","),",",REPT(" ",99)),(ROW($1:$8)-1)*99+1,99))&lt;&gt;""),--ISNUMBER(SEARCH(TRIM(MID(SUBSTITUTE(SUBSTITUTE($AF$4,"/",","),",",REPT(" ",99)),(ROW($1:$8)-1)*99+1,99)),IFERROR((IF('Final Calculation Sheet'!$AD$10&lt;=5,"SETTLED","OUTSTANDING"))&amp;"",""))))&gt;0,AND(ISNUMBER(SEARCH("blank",$AF$4)),NOT(ISNUMBER(SEARCH("nonblank",$AF$4))),IFERROR((IF('Final Calculation Sheet'!$AD$10&lt;=5,"SETTLED","OUTSTANDING"))&amp;"","")=""),AND(OR(ISNUMBER(SEARCH("nonblank",$AF$4)),ISNUMBER(SEARCH("&lt;&gt;",$AF$4))),IFERROR((IF('Final Calculation Sheet'!$AD$10&lt;=5,"SETTLED","OUTSTANDING"))&amp;"","")&lt;&gt;""),AND(TRIM($AF$4)="",IFERROR((IF('Final Calculation Sheet'!$AD$10&lt;=5,"SETTLED","OUTSTANDING"))&amp;"","")=""))))</f>
        <v/>
      </c>
    </row>
    <row r="12" ht="15" customHeight="1" s="137">
      <c r="A12" s="67">
        <f>IF($BJ11&gt;0,INDEX($BA$5:$BA$41,MATCH(11,$BB$5:$BB$41,0)),IF(OR($BI11=1,$BL11=1,$BH11&gt;0),"∑",""))</f>
        <v/>
      </c>
      <c r="B12" s="76">
        <f>IF($BJ11&gt;0,IF(INDEX('Final Calculation Sheet'!$F$4:$F$40,$BJ11-3)="","",INDEX('Final Calculation Sheet'!$F$4:$F$40,$BJ11-3)),"")</f>
        <v/>
      </c>
      <c r="C12" s="76">
        <f>IF($BJ11&gt;0,IF(INDEX('Final Calculation Sheet'!$G$4:$G$40,$BJ11-3)="","",INDEX('Final Calculation Sheet'!$G$4:$G$40,$BJ11-3)),IF(OR($BI11=1,$BL11=1,$BH11&gt;0),IF($BI11=1,37,IF($BL11=1,37-INDEX($BD$4:$BD$13,10),INDEX($BD$4:$BD$13,$BH11)))&amp;" lot(s)",""))</f>
        <v/>
      </c>
      <c r="D12" s="80">
        <f>IF($BJ11&gt;0,IF(INDEX('Final Calculation Sheet'!$B$4:$B$40,$BJ11-3)="","",INDEX('Final Calculation Sheet'!$B$4:$B$40,$BJ11-3)),IF(OR($BI11=1,$BL11=1,$BH11&gt;0),IF($BI11=1,"GRAND TOTAL  —  matching + remaining",IF($BL11=1,"TOTAL MATCHED  —  every group together",IF($BH11=10,"REMAINING  —  did not match the search",IF($BH11=9,IF(COUNTIF($A$4:$AI$4,"&lt;&gt;")&gt;0,"FILTERED LOTS  —  column fields","ALL LOTS  —  nothing typed in the box"),"GROUP "&amp;$BH11&amp;" TOTAL  —  lots matching  "&amp;INDEX($AR$6:$AY$6,$BH11))))),""))</f>
        <v/>
      </c>
      <c r="E12" s="80">
        <f>IF($BJ11&gt;0,IF(INDEX('Final Calculation Sheet'!$D$4:$D$40,$BJ11-3)="","",INDEX('Final Calculation Sheet'!$D$4:$D$40,$BJ11-3)),IF(OR($BI11=1,$BL11=1,$BH11&gt;0),"–",""))</f>
        <v/>
      </c>
      <c r="F12" s="80">
        <f>IF($BJ11&gt;0,IF(INDEX('Final Calculation Sheet'!$A$4:$A$40,$BJ11-3)="","",INDEX('Final Calculation Sheet'!$A$4:$A$40,$BJ11-3)),IF(OR($BI11=1,$BL11=1,$BH11&gt;0),IF($BI11=1,SUM('Final Calculation Sheet'!$A$4:$A$40),IF($BL11=1,SUM('Final Calculation Sheet'!$A$4:$A$40)-SUMIFS('Final Calculation Sheet'!$A$4:$A$40,$AZ$5:$AZ$41,10),SUMIFS('Final Calculation Sheet'!$A$4:$A$40,$AZ$5:$AZ$41,$BH11))),""))</f>
        <v/>
      </c>
      <c r="G12" s="80">
        <f>IF($BJ11&gt;0,IF(INDEX('Final Calculation Sheet'!$E$4:$E$40,$BJ11-3)="","",INDEX('Final Calculation Sheet'!$E$4:$E$40,$BJ11-3)),IF(OR($BI11=1,$BL11=1,$BH11&gt;0),"–",""))</f>
        <v/>
      </c>
      <c r="H12" s="70">
        <f>IF($BJ11&gt;0,IF(INDEX('Final Calculation Sheet'!$C$4:$C$40,$BJ11-3)="","",INDEX('Final Calculation Sheet'!$C$4:$C$40,$BJ11-3)),IF(OR($BI11=1,$BL11=1,$BH11&gt;0),"–",""))</f>
        <v/>
      </c>
      <c r="I12" s="70">
        <f>IF($BJ11&gt;0,IF(INDEX('Final Calculation Sheet'!$H$4:$H$40,$BJ11-3)="","",INDEX('Final Calculation Sheet'!$H$4:$H$40,$BJ11-3)),IF(OR($BI11=1,$BL11=1,$BH11&gt;0),IF($BI11=1,SUM('Final Calculation Sheet'!$H$4:$H$40),IF($BL11=1,SUM('Final Calculation Sheet'!$H$4:$H$40)-SUMIFS('Final Calculation Sheet'!$H$4:$H$40,$AZ$5:$AZ$41,10),SUMIFS('Final Calculation Sheet'!$H$4:$H$40,$AZ$5:$AZ$41,$BH11))),""))</f>
        <v/>
      </c>
      <c r="J12" s="70">
        <f>IF($BJ11&gt;0,IF(INDEX('Final Calculation Sheet'!$I$4:$I$40,$BJ11-3)="","",INDEX('Final Calculation Sheet'!$I$4:$I$40,$BJ11-3)),IF(OR($BI11=1,$BL11=1,$BH11&gt;0),IF($BI11=1,SUM('Final Calculation Sheet'!$I$4:$I$40),IF($BL11=1,SUM('Final Calculation Sheet'!$I$4:$I$40)-SUMIFS('Final Calculation Sheet'!$I$4:$I$40,$AZ$5:$AZ$41,10),SUMIFS('Final Calculation Sheet'!$I$4:$I$40,$AZ$5:$AZ$41,$BH11))),""))</f>
        <v/>
      </c>
      <c r="K12" s="70">
        <f>IF($BJ11&gt;0,IF(INDEX('Final Calculation Sheet'!$J$4:$J$40,$BJ11-3)="","",INDEX('Final Calculation Sheet'!$J$4:$J$40,$BJ11-3)),IF(OR($BI11=1,$BL11=1,$BH11&gt;0),IF($BI11=1,SUM('Final Calculation Sheet'!$J$4:$J$40),IF($BL11=1,SUM('Final Calculation Sheet'!$J$4:$J$40)-SUMIFS('Final Calculation Sheet'!$J$4:$J$40,$AZ$5:$AZ$41,10),SUMIFS('Final Calculation Sheet'!$J$4:$J$40,$AZ$5:$AZ$41,$BH11))),""))</f>
        <v/>
      </c>
      <c r="L12" s="70">
        <f>IF($BJ11&gt;0,IF(INDEX('Final Calculation Sheet'!$K$4:$K$40,$BJ11-3)="","",INDEX('Final Calculation Sheet'!$K$4:$K$40,$BJ11-3)),IF(OR($BI11=1,$BL11=1,$BH11&gt;0),IF($BI11=1,SUM('Final Calculation Sheet'!$K$4:$K$40),IF($BL11=1,SUM('Final Calculation Sheet'!$K$4:$K$40)-SUMIFS('Final Calculation Sheet'!$K$4:$K$40,$AZ$5:$AZ$41,10),SUMIFS('Final Calculation Sheet'!$K$4:$K$40,$AZ$5:$AZ$41,$BH11))),""))</f>
        <v/>
      </c>
      <c r="M12" s="70">
        <f>IF($BJ11&gt;0,IF(INDEX('Final Calculation Sheet'!$L$4:$L$40,$BJ11-3)="","",INDEX('Final Calculation Sheet'!$L$4:$L$40,$BJ11-3)),IF(OR($BI11=1,$BL11=1,$BH11&gt;0),IF($BI11=1,SUM('Final Calculation Sheet'!$L$4:$L$40),IF($BL11=1,SUM('Final Calculation Sheet'!$L$4:$L$40)-SUMIFS('Final Calculation Sheet'!$L$4:$L$40,$AZ$5:$AZ$41,10),SUMIFS('Final Calculation Sheet'!$L$4:$L$40,$AZ$5:$AZ$41,$BH11))),""))</f>
        <v/>
      </c>
      <c r="N12" s="70">
        <f>IF($BJ11&gt;0,IF(INDEX('Final Calculation Sheet'!$M$4:$M$40,$BJ11-3)="","",INDEX('Final Calculation Sheet'!$M$4:$M$40,$BJ11-3)),IF(OR($BI11=1,$BL11=1,$BH11&gt;0),IF($BI11=1,SUM('Final Calculation Sheet'!$M$4:$M$40),IF($BL11=1,SUM('Final Calculation Sheet'!$M$4:$M$40)-SUMIFS('Final Calculation Sheet'!$M$4:$M$40,$AZ$5:$AZ$41,10),SUMIFS('Final Calculation Sheet'!$M$4:$M$40,$AZ$5:$AZ$41,$BH11))),""))</f>
        <v/>
      </c>
      <c r="O12" s="71">
        <f>IF($BJ11&gt;0,IF(INDEX('Final Calculation Sheet'!$N$4:$N$40,$BJ11-3)="","",INDEX('Final Calculation Sheet'!$N$4:$N$40,$BJ11-3)),IF(OR($BI11=1,$BL11=1,$BH11&gt;0),IF($BI11=1,SUM('Final Calculation Sheet'!$N$4:$N$40),IF($BL11=1,SUM('Final Calculation Sheet'!$N$4:$N$40)-SUMIFS('Final Calculation Sheet'!$N$4:$N$40,$AZ$5:$AZ$41,10),SUMIFS('Final Calculation Sheet'!$N$4:$N$40,$AZ$5:$AZ$41,$BH11))),""))</f>
        <v/>
      </c>
      <c r="P12" s="70">
        <f>IF($BJ11&gt;0,IF(INDEX('Final Calculation Sheet'!$O$4:$O$40,$BJ11-3)="","",INDEX('Final Calculation Sheet'!$O$4:$O$40,$BJ11-3)),IF(OR($BI11=1,$BL11=1,$BH11&gt;0),IF($BI11=1,SUM('Final Calculation Sheet'!$O$4:$O$40),IF($BL11=1,SUM('Final Calculation Sheet'!$O$4:$O$40)-SUMIFS('Final Calculation Sheet'!$O$4:$O$40,$AZ$5:$AZ$41,10),SUMIFS('Final Calculation Sheet'!$O$4:$O$40,$AZ$5:$AZ$41,$BH11))),""))</f>
        <v/>
      </c>
      <c r="Q12" s="70">
        <f>IF($BJ11&gt;0,IF(INDEX('Final Calculation Sheet'!$P$4:$P$40,$BJ11-3)="","",INDEX('Final Calculation Sheet'!$P$4:$P$40,$BJ11-3)),IF(OR($BI11=1,$BL11=1,$BH11&gt;0),IF($BI11=1,SUM('Final Calculation Sheet'!$P$4:$P$40),IF($BL11=1,SUM('Final Calculation Sheet'!$P$4:$P$40)-SUMIFS('Final Calculation Sheet'!$P$4:$P$40,$AZ$5:$AZ$41,10),SUMIFS('Final Calculation Sheet'!$P$4:$P$40,$AZ$5:$AZ$41,$BH11))),""))</f>
        <v/>
      </c>
      <c r="R12" s="72">
        <f>IF($BJ11&gt;0,IF(INDEX('Final Calculation Sheet'!$Q$4:$Q$40,$BJ11-3)="","",INDEX('Final Calculation Sheet'!$Q$4:$Q$40,$BJ11-3)),IF(OR($BI11=1,$BL11=1,$BH11&gt;0),"–",""))</f>
        <v/>
      </c>
      <c r="S12" s="70">
        <f>IF($BJ11&gt;0,IF(INDEX('Final Calculation Sheet'!$R$4:$R$40,$BJ11-3)="","",INDEX('Final Calculation Sheet'!$R$4:$R$40,$BJ11-3)),IF(OR($BI11=1,$BL11=1,$BH11&gt;0),IF($BI11=1,SUM('Final Calculation Sheet'!$R$4:$R$40),IF($BL11=1,SUM('Final Calculation Sheet'!$R$4:$R$40)-SUMIFS('Final Calculation Sheet'!$R$4:$R$40,$AZ$5:$AZ$41,10),SUMIFS('Final Calculation Sheet'!$R$4:$R$40,$AZ$5:$AZ$41,$BH11))),""))</f>
        <v/>
      </c>
      <c r="T12" s="70">
        <f>IF($BJ11&gt;0,IF(INDEX('Final Calculation Sheet'!$S$4:$S$40,$BJ11-3)="","",INDEX('Final Calculation Sheet'!$S$4:$S$40,$BJ11-3)),IF(OR($BI11=1,$BL11=1,$BH11&gt;0),IF($BI11=1,SUM('Final Calculation Sheet'!$S$4:$S$40),IF($BL11=1,SUM('Final Calculation Sheet'!$S$4:$S$40)-SUMIFS('Final Calculation Sheet'!$S$4:$S$40,$AZ$5:$AZ$41,10),SUMIFS('Final Calculation Sheet'!$S$4:$S$40,$AZ$5:$AZ$41,$BH11))),""))</f>
        <v/>
      </c>
      <c r="U12" s="70">
        <f>IF($BJ11&gt;0,IF(INDEX('Final Calculation Sheet'!$T$4:$T$40,$BJ11-3)="","",INDEX('Final Calculation Sheet'!$T$4:$T$40,$BJ11-3)),IF(OR($BI11=1,$BL11=1,$BH11&gt;0),IF($BI11=1,SUM('Final Calculation Sheet'!$T$4:$T$40),IF($BL11=1,SUM('Final Calculation Sheet'!$T$4:$T$40)-SUMIFS('Final Calculation Sheet'!$T$4:$T$40,$AZ$5:$AZ$41,10),SUMIFS('Final Calculation Sheet'!$T$4:$T$40,$AZ$5:$AZ$41,$BH11))),""))</f>
        <v/>
      </c>
      <c r="V12" s="73">
        <f>IF($BJ11&gt;0,IF(INDEX('Final Calculation Sheet'!$U$4:$U$40,$BJ11-3)="","",INDEX('Final Calculation Sheet'!$U$4:$U$40,$BJ11-3)),IF(OR($BI11=1,$BL11=1,$BH11&gt;0),IF($BI11=1,SUM('Final Calculation Sheet'!$U$4:$U$40),IF($BL11=1,SUM('Final Calculation Sheet'!$U$4:$U$40)-SUMIFS('Final Calculation Sheet'!$U$4:$U$40,$AZ$5:$AZ$41,10),SUMIFS('Final Calculation Sheet'!$U$4:$U$40,$AZ$5:$AZ$41,$BH11))),""))</f>
        <v/>
      </c>
      <c r="W12" s="70">
        <f>IF($BJ11&gt;0,IF(INDEX('Final Calculation Sheet'!$V$4:$V$40,$BJ11-3)="","",INDEX('Final Calculation Sheet'!$V$4:$V$40,$BJ11-3)),IF(OR($BI11=1,$BL11=1,$BH11&gt;0),"–",""))</f>
        <v/>
      </c>
      <c r="X12" s="70">
        <f>IF($BJ11&gt;0,IF(INDEX('Final Calculation Sheet'!$W$4:$W$40,$BJ11-3)="","",INDEX('Final Calculation Sheet'!$W$4:$W$40,$BJ11-3)),IF(OR($BI11=1,$BL11=1,$BH11&gt;0),IF($BI11=1,SUM('Final Calculation Sheet'!$W$4:$W$40),IF($BL11=1,SUM('Final Calculation Sheet'!$W$4:$W$40)-SUMIFS('Final Calculation Sheet'!$W$4:$W$40,$AZ$5:$AZ$41,10),SUMIFS('Final Calculation Sheet'!$W$4:$W$40,$AZ$5:$AZ$41,$BH11))),""))</f>
        <v/>
      </c>
      <c r="Y12" s="70">
        <f>IF($BJ11&gt;0,IF(INDEX('Final Calculation Sheet'!$X$4:$X$40,$BJ11-3)="","",INDEX('Final Calculation Sheet'!$X$4:$X$40,$BJ11-3)),IF(OR($BI11=1,$BL11=1,$BH11&gt;0),IF($BI11=1,SUM('Final Calculation Sheet'!$X$4:$X$40),IF($BL11=1,SUM('Final Calculation Sheet'!$X$4:$X$40)-SUMIFS('Final Calculation Sheet'!$X$4:$X$40,$AZ$5:$AZ$41,10),SUMIFS('Final Calculation Sheet'!$X$4:$X$40,$AZ$5:$AZ$41,$BH11))),""))</f>
        <v/>
      </c>
      <c r="Z12" s="70">
        <f>IF($BJ11&gt;0,IF(INDEX('Final Calculation Sheet'!$Y$4:$Y$40,$BJ11-3)="","",INDEX('Final Calculation Sheet'!$Y$4:$Y$40,$BJ11-3)),IF(OR($BI11=1,$BL11=1,$BH11&gt;0),"–",""))</f>
        <v/>
      </c>
      <c r="AA12" s="70">
        <f>IF($BJ11&gt;0,IF(INDEX('Final Calculation Sheet'!$Z$4:$Z$40,$BJ11-3)="","",INDEX('Final Calculation Sheet'!$Z$4:$Z$40,$BJ11-3)),IF(OR($BI11=1,$BL11=1,$BH11&gt;0),IF($BI11=1,SUM('Final Calculation Sheet'!$Z$4:$Z$40),IF($BL11=1,SUM('Final Calculation Sheet'!$Z$4:$Z$40)-SUMIFS('Final Calculation Sheet'!$Z$4:$Z$40,$AZ$5:$AZ$41,10),SUMIFS('Final Calculation Sheet'!$Z$4:$Z$40,$AZ$5:$AZ$41,$BH11))),""))</f>
        <v/>
      </c>
      <c r="AB12" s="70">
        <f>IF($BJ11&gt;0,IF(INDEX('Final Calculation Sheet'!$AA$4:$AA$40,$BJ11-3)="","",INDEX('Final Calculation Sheet'!$AA$4:$AA$40,$BJ11-3)),IF(OR($BI11=1,$BL11=1,$BH11&gt;0),IF($BI11=1,SUM('Final Calculation Sheet'!$AA$4:$AA$40),IF($BL11=1,SUM('Final Calculation Sheet'!$AA$4:$AA$40)-SUMIFS('Final Calculation Sheet'!$AA$4:$AA$40,$AZ$5:$AZ$41,10),SUMIFS('Final Calculation Sheet'!$AA$4:$AA$40,$AZ$5:$AZ$41,$BH11))),""))</f>
        <v/>
      </c>
      <c r="AC12" s="70">
        <f>IF($BJ11&gt;0,IF(INDEX('Final Calculation Sheet'!$AB$4:$AB$40,$BJ11-3)="","",INDEX('Final Calculation Sheet'!$AB$4:$AB$40,$BJ11-3)),IF(OR($BI11=1,$BL11=1,$BH11&gt;0),"–",""))</f>
        <v/>
      </c>
      <c r="AD12" s="70">
        <f>IF($BJ11&gt;0,IF(INDEX('Final Calculation Sheet'!$AC$4:$AC$40,$BJ11-3)="","",INDEX('Final Calculation Sheet'!$AC$4:$AC$40,$BJ11-3)),IF(OR($BI11=1,$BL11=1,$BH11&gt;0),IF($BI11=1,SUM('Final Calculation Sheet'!$AC$4:$AC$40),IF($BL11=1,SUM('Final Calculation Sheet'!$AC$4:$AC$40)-SUMIFS('Final Calculation Sheet'!$AC$4:$AC$40,$AZ$5:$AZ$41,10),SUMIFS('Final Calculation Sheet'!$AC$4:$AC$40,$AZ$5:$AZ$41,$BH11))),""))</f>
        <v/>
      </c>
      <c r="AE12" s="70">
        <f>IF($BJ11&gt;0,IF(INDEX('Final Calculation Sheet'!$AD$4:$AD$40,$BJ11-3)="","",INDEX('Final Calculation Sheet'!$AD$4:$AD$40,$BJ11-3)),IF(OR($BI11=1,$BL11=1,$BH11&gt;0),IF($BI11=1,SUM('Final Calculation Sheet'!$AD$4:$AD$40),IF($BL11=1,SUM('Final Calculation Sheet'!$AD$4:$AD$40)-SUMIFS('Final Calculation Sheet'!$AD$4:$AD$40,$AZ$5:$AZ$41,10),SUMIFS('Final Calculation Sheet'!$AD$4:$AD$40,$AZ$5:$AZ$41,$BH11))),""))</f>
        <v/>
      </c>
      <c r="AF12" s="75">
        <f>IF($BJ11&gt;0,IF(INDEX('Final Calculation Sheet'!$AD$4:$AD$40,$BJ11-3)="","",IF(INDEX('Final Calculation Sheet'!$AD$4:$AD$40,$BJ11-3)&lt;=5,"SETTLED","OUTSTANDING")),IF(OR($BI11=1,$BL11=1,$BH11&gt;0),IF(IF($BI11=1,SUM('Final Calculation Sheet'!$AD$4:$AD$40),IF($BL11=1,SUM('Final Calculation Sheet'!$AD$4:$AD$40)-SUMIFS('Final Calculation Sheet'!$AD$4:$AD$40,$AZ$5:$AZ$41,10),SUMIFS('Final Calculation Sheet'!$AD$4:$AD$40,$AZ$5:$AZ$41,$BH11)))&lt;=5,"ALL SETTLED","OUTSTANDING"),""))</f>
        <v/>
      </c>
      <c r="AG12" s="70">
        <f>IF($BJ11&gt;0,IF(INDEX('Final Calculation Sheet'!$AF$4:$AF$40,$BJ11-3)="","",INDEX('Final Calculation Sheet'!$AF$4:$AF$40,$BJ11-3)),IF(OR($BI11=1,$BL11=1,$BH11&gt;0),"–",""))</f>
        <v/>
      </c>
      <c r="AH12" s="74">
        <f>IF($BJ11&gt;0,IF(INDEX('Final Calculation Sheet'!$AG$4:$AG$40,$BJ11-3)="","",INDEX('Final Calculation Sheet'!$AG$4:$AG$40,$BJ11-3)),IF(OR($BI11=1,$BL11=1,$BH11&gt;0),"–",""))</f>
        <v/>
      </c>
      <c r="AI12" s="70">
        <f>IF($BJ11&gt;0,IF(INDEX('Final Calculation Sheet'!$AH$4:$AH$40,$BJ11-3)="","",INDEX('Final Calculation Sheet'!$AH$4:$AH$40,$BJ11-3)),IF(OR($BI11=1,$BL11=1,$BH11&gt;0),"–",""))</f>
        <v/>
      </c>
      <c r="AJ12" s="76">
        <f>IF($B$3="",IF(ROW()=5,"— type above —",""),IF(ROW()-4&gt;AL$41,"",INDEX('Final Calculation Sheet'!$F$4:$F$40,MATCH(ROW()-4,$AL$5:$AL$41,0))&amp;" — "&amp;INDEX('Final Calculation Sheet'!$G$4:$G$40,MATCH(ROW()-4,$AL$5:$AL$41,0))))</f>
        <v/>
      </c>
      <c r="AK12">
        <f>IF($F$3="Lot No.",'Final Calculation Sheet'!$F$11,IF($F$3="Buyer",'Final Calculation Sheet'!$G$11,IF($F$3="Lot Name",'Final Calculation Sheet'!$B$11,IF($F$3="Bid Sheet",'Final Calculation Sheet'!$D$11,IF($F$3="Unit",'Final Calculation Sheet'!$E$11,'Final Calculation Sheet'!$F$11&amp;" "&amp;'Final Calculation Sheet'!$G$11&amp;" "&amp;'Final Calculation Sheet'!$B$11)))))</f>
        <v/>
      </c>
      <c r="AL12">
        <f>AL11+IF($B$3="",0,--(SUMPRODUCT(--($AR$6:$AY$6&lt;&gt;""),--ISNUMBER(SEARCH($AR$6:$AY$6,$AK12)))&gt;0))</f>
        <v/>
      </c>
      <c r="AM12">
        <f>IF(COUNTIF($BM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AZ12">
        <f>IF($B$3="",IF(COUNTIF($A$4:$AI$4,"&lt;&gt;")=0,9,IF($AM12=1,9,10)),IF($AM12=0,10,IF(AND($AR$6&lt;&gt;"",ISNUMBER(SEARCH($AR$6,$AK12))),1,IF(AND($AS$6&lt;&gt;"",ISNUMBER(SEARCH($AS$6,$AK12))),2,IF(AND($AT$6&lt;&gt;"",ISNUMBER(SEARCH($AT$6,$AK12))),3,IF(AND($AU$6&lt;&gt;"",ISNUMBER(SEARCH($AU$6,$AK12))),4,IF(AND($AV$6&lt;&gt;"",ISNUMBER(SEARCH($AV$6,$AK12))),5,IF(AND($AW$6&lt;&gt;"",ISNUMBER(SEARCH($AW$6,$AK12))),6,IF(AND($AX$6&lt;&gt;"",ISNUMBER(SEARCH($AX$6,$AK12))),7,IF(AND($AY$6&lt;&gt;"",ISNUMBER(SEARCH($AY$6,$AK12))),8,0))))))))))</f>
        <v/>
      </c>
      <c r="BA12">
        <f>SUMPRODUCT(($AZ$5:$AZ$41=$AZ12)*($BC$5:$BC$41&lt;$BC12))+1</f>
        <v/>
      </c>
      <c r="BB12">
        <f>IF(INDEX($BF$4:$BF$13,$AZ12)=0,0,INDEX($BE$4:$BE$13,$AZ12)+$BA12-1)</f>
        <v/>
      </c>
      <c r="BC12" t="n">
        <v>11</v>
      </c>
      <c r="BD12">
        <f>COUNTIF($AZ$5:$AZ$41,9)</f>
        <v/>
      </c>
      <c r="BE12">
        <f>IF($BD11=0,$BE11,$BF11+1)</f>
        <v/>
      </c>
      <c r="BF12">
        <f>IF($BD12=0,0,$BE12+$BD12)</f>
        <v/>
      </c>
      <c r="BH12">
        <f>IFERROR(MATCH(12,$BF$4:$BF$13,0),0)</f>
        <v/>
      </c>
      <c r="BI12">
        <f>IF(12=$BG$5,1,0)</f>
        <v/>
      </c>
      <c r="BJ12">
        <f>IF(OR($BH12&gt;0,$BI12=1,$BL12=1),0,IFERROR(INDEX($BC$5:$BC$41,MATCH(12,$BB$5:$BB$41,0)),0))</f>
        <v/>
      </c>
      <c r="BK12">
        <f>IF($BJ12&gt;0,IF(INDEX($AZ$5:$AZ$41,MATCH(12,$BB$5:$BB$41,0))=10,1,0),IF($BH12=10,1,0))</f>
        <v/>
      </c>
      <c r="BL12">
        <f>IF(12=$BG$4,1,0)</f>
        <v/>
      </c>
      <c r="BM12">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2">
        <f>IF($B$4="",1,--(OR(SUMPRODUCT(--(TRIM(MID(SUBSTITUTE(SUBSTITUTE($B$4,"/",","),",",REPT(" ",99)),(ROW($1:$8)-1)*99+1,99))&lt;&gt;""),--ISNUMBER(SEARCH(TRIM(MID(SUBSTITUTE(SUBSTITUTE($B$4,"/",","),",",REPT(" ",99)),(ROW($1:$8)-1)*99+1,99)),IFERROR(('Final Calculation Sheet'!$F$11)&amp;"",""))))&gt;0,AND(ISNUMBER(SEARCH("blank",$B$4)),NOT(ISNUMBER(SEARCH("nonblank",$B$4))),IFERROR(('Final Calculation Sheet'!$F$11)&amp;"","")=""),AND(OR(ISNUMBER(SEARCH("nonblank",$B$4)),ISNUMBER(SEARCH("&lt;&gt;",$B$4))),IFERROR(('Final Calculation Sheet'!$F$11)&amp;"","")&lt;&gt;""),AND(TRIM($B$4)="",IFERROR(('Final Calculation Sheet'!$F$11)&amp;"","")=""))))</f>
        <v/>
      </c>
      <c r="BO12">
        <f>IF($CW$3="",1,--(OR(SUMPRODUCT(--(TRIM(MID(SUBSTITUTE(SUBSTITUTE($CW$3,"/",","),",",REPT(" ",99)),(ROW($1:$8)-1)*99+1,99))&lt;&gt;""),--ISNUMBER(SEARCH(TRIM(MID(SUBSTITUTE(SUBSTITUTE($CW$3,"/",","),",",REPT(" ",99)),(ROW($1:$8)-1)*99+1,99)),IFERROR(('Final Calculation Sheet'!$G$11)&amp;"",""))))&gt;0,AND(ISNUMBER(SEARCH("blank",$CW$3)),NOT(ISNUMBER(SEARCH("nonblank",$CW$3))),IFERROR(('Final Calculation Sheet'!$G$11)&amp;"","")=""),AND(OR(ISNUMBER(SEARCH("nonblank",$CW$3)),ISNUMBER(SEARCH("&lt;&gt;",$CW$3))),IFERROR(('Final Calculation Sheet'!$G$11)&amp;"","")&lt;&gt;""),AND(TRIM($CW$3)="",IFERROR(('Final Calculation Sheet'!$G$11)&amp;"","")=""))))</f>
        <v/>
      </c>
      <c r="BP12">
        <f>IF($D$4="",1,--(OR(SUMPRODUCT(--(TRIM(MID(SUBSTITUTE(SUBSTITUTE($D$4,"/",","),",",REPT(" ",99)),(ROW($1:$8)-1)*99+1,99))&lt;&gt;""),--ISNUMBER(SEARCH(TRIM(MID(SUBSTITUTE(SUBSTITUTE($D$4,"/",","),",",REPT(" ",99)),(ROW($1:$8)-1)*99+1,99)),IFERROR(('Final Calculation Sheet'!$B$11)&amp;"",""))))&gt;0,AND(ISNUMBER(SEARCH("blank",$D$4)),NOT(ISNUMBER(SEARCH("nonblank",$D$4))),IFERROR(('Final Calculation Sheet'!$B$11)&amp;"","")=""),AND(OR(ISNUMBER(SEARCH("nonblank",$D$4)),ISNUMBER(SEARCH("&lt;&gt;",$D$4))),IFERROR(('Final Calculation Sheet'!$B$11)&amp;"","")&lt;&gt;""),AND(TRIM($D$4)="",IFERROR(('Final Calculation Sheet'!$B$11)&amp;"","")=""))))</f>
        <v/>
      </c>
      <c r="BQ12">
        <f>IF($E$4="",1,--(OR(SUMPRODUCT(--(TRIM(MID(SUBSTITUTE(SUBSTITUTE($E$4,"/",","),",",REPT(" ",99)),(ROW($1:$8)-1)*99+1,99))&lt;&gt;""),--ISNUMBER(SEARCH(TRIM(MID(SUBSTITUTE(SUBSTITUTE($E$4,"/",","),",",REPT(" ",99)),(ROW($1:$8)-1)*99+1,99)),IFERROR(('Final Calculation Sheet'!$D$11)&amp;"",""))))&gt;0,AND(ISNUMBER(SEARCH("blank",$E$4)),NOT(ISNUMBER(SEARCH("nonblank",$E$4))),IFERROR(('Final Calculation Sheet'!$D$11)&amp;"","")=""),AND(OR(ISNUMBER(SEARCH("nonblank",$E$4)),ISNUMBER(SEARCH("&lt;&gt;",$E$4))),IFERROR(('Final Calculation Sheet'!$D$11)&amp;"","")&lt;&gt;""),AND(TRIM($E$4)="",IFERROR(('Final Calculation Sheet'!$D$11)&amp;"","")=""))))</f>
        <v/>
      </c>
      <c r="BR12">
        <f>IF($F$4="",1,--(OR(SUMPRODUCT(--(TRIM(MID(SUBSTITUTE(SUBSTITUTE($F$4,"/",","),",",REPT(" ",99)),(ROW($1:$8)-1)*99+1,99))&lt;&gt;""),--ISNUMBER(SEARCH(TRIM(MID(SUBSTITUTE(SUBSTITUTE($F$4,"/",","),",",REPT(" ",99)),(ROW($1:$8)-1)*99+1,99)),IFERROR(('Final Calculation Sheet'!$A$11)&amp;"",""))))&gt;0,AND(ISNUMBER(SEARCH("blank",$F$4)),NOT(ISNUMBER(SEARCH("nonblank",$F$4))),IFERROR(('Final Calculation Sheet'!$A$11)&amp;"","")=""),AND(OR(ISNUMBER(SEARCH("nonblank",$F$4)),ISNUMBER(SEARCH("&lt;&gt;",$F$4))),IFERROR(('Final Calculation Sheet'!$A$11)&amp;"","")&lt;&gt;""),AND(TRIM($F$4)="",IFERROR(('Final Calculation Sheet'!$A$11)&amp;"","")=""))))</f>
        <v/>
      </c>
      <c r="BS12">
        <f>IF($G$4="",1,--(OR(SUMPRODUCT(--(TRIM(MID(SUBSTITUTE(SUBSTITUTE($G$4,"/",","),",",REPT(" ",99)),(ROW($1:$8)-1)*99+1,99))&lt;&gt;""),--ISNUMBER(SEARCH(TRIM(MID(SUBSTITUTE(SUBSTITUTE($G$4,"/",","),",",REPT(" ",99)),(ROW($1:$8)-1)*99+1,99)),IFERROR(('Final Calculation Sheet'!$E$11)&amp;"",""))))&gt;0,AND(ISNUMBER(SEARCH("blank",$G$4)),NOT(ISNUMBER(SEARCH("nonblank",$G$4))),IFERROR(('Final Calculation Sheet'!$E$11)&amp;"","")=""),AND(OR(ISNUMBER(SEARCH("nonblank",$G$4)),ISNUMBER(SEARCH("&lt;&gt;",$G$4))),IFERROR(('Final Calculation Sheet'!$E$11)&amp;"","")&lt;&gt;""),AND(TRIM($G$4)="",IFERROR(('Final Calculation Sheet'!$E$11)&amp;"","")=""))))</f>
        <v/>
      </c>
      <c r="BT12">
        <f>IF($H$4="",1,--(OR(SUMPRODUCT(--(TRIM(MID(SUBSTITUTE(SUBSTITUTE($H$4,"/",","),",",REPT(" ",99)),(ROW($1:$8)-1)*99+1,99))&lt;&gt;""),--ISNUMBER(SEARCH(TRIM(MID(SUBSTITUTE(SUBSTITUTE($H$4,"/",","),",",REPT(" ",99)),(ROW($1:$8)-1)*99+1,99)),IFERROR(('Final Calculation Sheet'!$C$11)&amp;"",""))))&gt;0,AND(ISNUMBER(SEARCH("blank",$H$4)),NOT(ISNUMBER(SEARCH("nonblank",$H$4))),IFERROR(('Final Calculation Sheet'!$C$11)&amp;"","")=""),AND(OR(ISNUMBER(SEARCH("nonblank",$H$4)),ISNUMBER(SEARCH("&lt;&gt;",$H$4))),IFERROR(('Final Calculation Sheet'!$C$11)&amp;"","")&lt;&gt;""),AND(TRIM($H$4)="",IFERROR(('Final Calculation Sheet'!$C$11)&amp;"","")=""))))</f>
        <v/>
      </c>
      <c r="BU12">
        <f>IF($I$4="",1,--(OR(SUMPRODUCT(--(TRIM(MID(SUBSTITUTE(SUBSTITUTE($I$4,"/",","),",",REPT(" ",99)),(ROW($1:$8)-1)*99+1,99))&lt;&gt;""),--ISNUMBER(SEARCH(TRIM(MID(SUBSTITUTE(SUBSTITUTE($I$4,"/",","),",",REPT(" ",99)),(ROW($1:$8)-1)*99+1,99)),IFERROR(('Final Calculation Sheet'!$H$11)&amp;"",""))))&gt;0,AND(ISNUMBER(SEARCH("blank",$I$4)),NOT(ISNUMBER(SEARCH("nonblank",$I$4))),IFERROR(('Final Calculation Sheet'!$H$11)&amp;"","")=""),AND(OR(ISNUMBER(SEARCH("nonblank",$I$4)),ISNUMBER(SEARCH("&lt;&gt;",$I$4))),IFERROR(('Final Calculation Sheet'!$H$11)&amp;"","")&lt;&gt;""),AND(TRIM($I$4)="",IFERROR(('Final Calculation Sheet'!$H$11)&amp;"","")=""))))</f>
        <v/>
      </c>
      <c r="BV12">
        <f>IF($J$4="",1,--(OR(SUMPRODUCT(--(TRIM(MID(SUBSTITUTE(SUBSTITUTE($J$4,"/",","),",",REPT(" ",99)),(ROW($1:$8)-1)*99+1,99))&lt;&gt;""),--ISNUMBER(SEARCH(TRIM(MID(SUBSTITUTE(SUBSTITUTE($J$4,"/",","),",",REPT(" ",99)),(ROW($1:$8)-1)*99+1,99)),IFERROR(('Final Calculation Sheet'!$I$11)&amp;"",""))))&gt;0,AND(ISNUMBER(SEARCH("blank",$J$4)),NOT(ISNUMBER(SEARCH("nonblank",$J$4))),IFERROR(('Final Calculation Sheet'!$I$11)&amp;"","")=""),AND(OR(ISNUMBER(SEARCH("nonblank",$J$4)),ISNUMBER(SEARCH("&lt;&gt;",$J$4))),IFERROR(('Final Calculation Sheet'!$I$11)&amp;"","")&lt;&gt;""),AND(TRIM($J$4)="",IFERROR(('Final Calculation Sheet'!$I$11)&amp;"","")=""))))</f>
        <v/>
      </c>
      <c r="BW12">
        <f>IF($K$4="",1,--(OR(SUMPRODUCT(--(TRIM(MID(SUBSTITUTE(SUBSTITUTE($K$4,"/",","),",",REPT(" ",99)),(ROW($1:$8)-1)*99+1,99))&lt;&gt;""),--ISNUMBER(SEARCH(TRIM(MID(SUBSTITUTE(SUBSTITUTE($K$4,"/",","),",",REPT(" ",99)),(ROW($1:$8)-1)*99+1,99)),IFERROR(('Final Calculation Sheet'!$J$11)&amp;"",""))))&gt;0,AND(ISNUMBER(SEARCH("blank",$K$4)),NOT(ISNUMBER(SEARCH("nonblank",$K$4))),IFERROR(('Final Calculation Sheet'!$J$11)&amp;"","")=""),AND(OR(ISNUMBER(SEARCH("nonblank",$K$4)),ISNUMBER(SEARCH("&lt;&gt;",$K$4))),IFERROR(('Final Calculation Sheet'!$J$11)&amp;"","")&lt;&gt;""),AND(TRIM($K$4)="",IFERROR(('Final Calculation Sheet'!$J$11)&amp;"","")=""))))</f>
        <v/>
      </c>
      <c r="BX12">
        <f>IF($L$4="",1,--(OR(SUMPRODUCT(--(TRIM(MID(SUBSTITUTE(SUBSTITUTE($L$4,"/",","),",",REPT(" ",99)),(ROW($1:$8)-1)*99+1,99))&lt;&gt;""),--ISNUMBER(SEARCH(TRIM(MID(SUBSTITUTE(SUBSTITUTE($L$4,"/",","),",",REPT(" ",99)),(ROW($1:$8)-1)*99+1,99)),IFERROR(('Final Calculation Sheet'!$K$11)&amp;"",""))))&gt;0,AND(ISNUMBER(SEARCH("blank",$L$4)),NOT(ISNUMBER(SEARCH("nonblank",$L$4))),IFERROR(('Final Calculation Sheet'!$K$11)&amp;"","")=""),AND(OR(ISNUMBER(SEARCH("nonblank",$L$4)),ISNUMBER(SEARCH("&lt;&gt;",$L$4))),IFERROR(('Final Calculation Sheet'!$K$11)&amp;"","")&lt;&gt;""),AND(TRIM($L$4)="",IFERROR(('Final Calculation Sheet'!$K$11)&amp;"","")=""))))</f>
        <v/>
      </c>
      <c r="BY12">
        <f>IF($M$4="",1,--(OR(SUMPRODUCT(--(TRIM(MID(SUBSTITUTE(SUBSTITUTE($M$4,"/",","),",",REPT(" ",99)),(ROW($1:$8)-1)*99+1,99))&lt;&gt;""),--ISNUMBER(SEARCH(TRIM(MID(SUBSTITUTE(SUBSTITUTE($M$4,"/",","),",",REPT(" ",99)),(ROW($1:$8)-1)*99+1,99)),IFERROR(('Final Calculation Sheet'!$L$11)&amp;"",""))))&gt;0,AND(ISNUMBER(SEARCH("blank",$M$4)),NOT(ISNUMBER(SEARCH("nonblank",$M$4))),IFERROR(('Final Calculation Sheet'!$L$11)&amp;"","")=""),AND(OR(ISNUMBER(SEARCH("nonblank",$M$4)),ISNUMBER(SEARCH("&lt;&gt;",$M$4))),IFERROR(('Final Calculation Sheet'!$L$11)&amp;"","")&lt;&gt;""),AND(TRIM($M$4)="",IFERROR(('Final Calculation Sheet'!$L$11)&amp;"","")=""))))</f>
        <v/>
      </c>
      <c r="BZ12">
        <f>IF($N$4="",1,--(OR(SUMPRODUCT(--(TRIM(MID(SUBSTITUTE(SUBSTITUTE($N$4,"/",","),",",REPT(" ",99)),(ROW($1:$8)-1)*99+1,99))&lt;&gt;""),--ISNUMBER(SEARCH(TRIM(MID(SUBSTITUTE(SUBSTITUTE($N$4,"/",","),",",REPT(" ",99)),(ROW($1:$8)-1)*99+1,99)),IFERROR(('Final Calculation Sheet'!$M$11)&amp;"",""))))&gt;0,AND(ISNUMBER(SEARCH("blank",$N$4)),NOT(ISNUMBER(SEARCH("nonblank",$N$4))),IFERROR(('Final Calculation Sheet'!$M$11)&amp;"","")=""),AND(OR(ISNUMBER(SEARCH("nonblank",$N$4)),ISNUMBER(SEARCH("&lt;&gt;",$N$4))),IFERROR(('Final Calculation Sheet'!$M$11)&amp;"","")&lt;&gt;""),AND(TRIM($N$4)="",IFERROR(('Final Calculation Sheet'!$M$11)&amp;"","")=""))))</f>
        <v/>
      </c>
      <c r="CA12">
        <f>IF($O$4="",1,--(OR(SUMPRODUCT(--(TRIM(MID(SUBSTITUTE(SUBSTITUTE($O$4,"/",","),",",REPT(" ",99)),(ROW($1:$8)-1)*99+1,99))&lt;&gt;""),--ISNUMBER(SEARCH(TRIM(MID(SUBSTITUTE(SUBSTITUTE($O$4,"/",","),",",REPT(" ",99)),(ROW($1:$8)-1)*99+1,99)),IFERROR(('Final Calculation Sheet'!$N$11)&amp;"",""))))&gt;0,AND(ISNUMBER(SEARCH("blank",$O$4)),NOT(ISNUMBER(SEARCH("nonblank",$O$4))),IFERROR(('Final Calculation Sheet'!$N$11)&amp;"","")=""),AND(OR(ISNUMBER(SEARCH("nonblank",$O$4)),ISNUMBER(SEARCH("&lt;&gt;",$O$4))),IFERROR(('Final Calculation Sheet'!$N$11)&amp;"","")&lt;&gt;""),AND(TRIM($O$4)="",IFERROR(('Final Calculation Sheet'!$N$11)&amp;"","")=""))))</f>
        <v/>
      </c>
      <c r="CB12">
        <f>IF($P$4="",1,--(OR(SUMPRODUCT(--(TRIM(MID(SUBSTITUTE(SUBSTITUTE($P$4,"/",","),",",REPT(" ",99)),(ROW($1:$8)-1)*99+1,99))&lt;&gt;""),--ISNUMBER(SEARCH(TRIM(MID(SUBSTITUTE(SUBSTITUTE($P$4,"/",","),",",REPT(" ",99)),(ROW($1:$8)-1)*99+1,99)),IFERROR(('Final Calculation Sheet'!$O$11)&amp;"",""))))&gt;0,AND(ISNUMBER(SEARCH("blank",$P$4)),NOT(ISNUMBER(SEARCH("nonblank",$P$4))),IFERROR(('Final Calculation Sheet'!$O$11)&amp;"","")=""),AND(OR(ISNUMBER(SEARCH("nonblank",$P$4)),ISNUMBER(SEARCH("&lt;&gt;",$P$4))),IFERROR(('Final Calculation Sheet'!$O$11)&amp;"","")&lt;&gt;""),AND(TRIM($P$4)="",IFERROR(('Final Calculation Sheet'!$O$11)&amp;"","")=""))))</f>
        <v/>
      </c>
      <c r="CC12">
        <f>IF($Q$4="",1,--(OR(SUMPRODUCT(--(TRIM(MID(SUBSTITUTE(SUBSTITUTE($Q$4,"/",","),",",REPT(" ",99)),(ROW($1:$8)-1)*99+1,99))&lt;&gt;""),--ISNUMBER(SEARCH(TRIM(MID(SUBSTITUTE(SUBSTITUTE($Q$4,"/",","),",",REPT(" ",99)),(ROW($1:$8)-1)*99+1,99)),IFERROR(('Final Calculation Sheet'!$P$11)&amp;"",""))))&gt;0,AND(ISNUMBER(SEARCH("blank",$Q$4)),NOT(ISNUMBER(SEARCH("nonblank",$Q$4))),IFERROR(('Final Calculation Sheet'!$P$11)&amp;"","")=""),AND(OR(ISNUMBER(SEARCH("nonblank",$Q$4)),ISNUMBER(SEARCH("&lt;&gt;",$Q$4))),IFERROR(('Final Calculation Sheet'!$P$11)&amp;"","")&lt;&gt;""),AND(TRIM($Q$4)="",IFERROR(('Final Calculation Sheet'!$P$11)&amp;"","")=""))))</f>
        <v/>
      </c>
      <c r="CD12">
        <f>IF($R$4="",1,--(OR(SUMPRODUCT(--(TRIM(MID(SUBSTITUTE(SUBSTITUTE($R$4,"/",","),",",REPT(" ",99)),(ROW($1:$8)-1)*99+1,99))&lt;&gt;""),--ISNUMBER(SEARCH(TRIM(MID(SUBSTITUTE(SUBSTITUTE($R$4,"/",","),",",REPT(" ",99)),(ROW($1:$8)-1)*99+1,99)),IFERROR(('Final Calculation Sheet'!$Q$11)&amp;"",""))))&gt;0,AND(ISNUMBER(SEARCH("blank",$R$4)),NOT(ISNUMBER(SEARCH("nonblank",$R$4))),IFERROR(('Final Calculation Sheet'!$Q$11)&amp;"","")=""),AND(OR(ISNUMBER(SEARCH("nonblank",$R$4)),ISNUMBER(SEARCH("&lt;&gt;",$R$4))),IFERROR(('Final Calculation Sheet'!$Q$11)&amp;"","")&lt;&gt;""),AND(TRIM($R$4)="",IFERROR(('Final Calculation Sheet'!$Q$11)&amp;"","")=""))))</f>
        <v/>
      </c>
      <c r="CE12">
        <f>IF($S$4="",1,--(OR(SUMPRODUCT(--(TRIM(MID(SUBSTITUTE(SUBSTITUTE($S$4,"/",","),",",REPT(" ",99)),(ROW($1:$8)-1)*99+1,99))&lt;&gt;""),--ISNUMBER(SEARCH(TRIM(MID(SUBSTITUTE(SUBSTITUTE($S$4,"/",","),",",REPT(" ",99)),(ROW($1:$8)-1)*99+1,99)),IFERROR(('Final Calculation Sheet'!$R$11)&amp;"",""))))&gt;0,AND(ISNUMBER(SEARCH("blank",$S$4)),NOT(ISNUMBER(SEARCH("nonblank",$S$4))),IFERROR(('Final Calculation Sheet'!$R$11)&amp;"","")=""),AND(OR(ISNUMBER(SEARCH("nonblank",$S$4)),ISNUMBER(SEARCH("&lt;&gt;",$S$4))),IFERROR(('Final Calculation Sheet'!$R$11)&amp;"","")&lt;&gt;""),AND(TRIM($S$4)="",IFERROR(('Final Calculation Sheet'!$R$11)&amp;"","")=""))))</f>
        <v/>
      </c>
      <c r="CF12">
        <f>IF($T$4="",1,--(OR(SUMPRODUCT(--(TRIM(MID(SUBSTITUTE(SUBSTITUTE($T$4,"/",","),",",REPT(" ",99)),(ROW($1:$8)-1)*99+1,99))&lt;&gt;""),--ISNUMBER(SEARCH(TRIM(MID(SUBSTITUTE(SUBSTITUTE($T$4,"/",","),",",REPT(" ",99)),(ROW($1:$8)-1)*99+1,99)),IFERROR(('Final Calculation Sheet'!$S$11)&amp;"",""))))&gt;0,AND(ISNUMBER(SEARCH("blank",$T$4)),NOT(ISNUMBER(SEARCH("nonblank",$T$4))),IFERROR(('Final Calculation Sheet'!$S$11)&amp;"","")=""),AND(OR(ISNUMBER(SEARCH("nonblank",$T$4)),ISNUMBER(SEARCH("&lt;&gt;",$T$4))),IFERROR(('Final Calculation Sheet'!$S$11)&amp;"","")&lt;&gt;""),AND(TRIM($T$4)="",IFERROR(('Final Calculation Sheet'!$S$11)&amp;"","")=""))))</f>
        <v/>
      </c>
      <c r="CG12">
        <f>IF($U$4="",1,--(OR(SUMPRODUCT(--(TRIM(MID(SUBSTITUTE(SUBSTITUTE($U$4,"/",","),",",REPT(" ",99)),(ROW($1:$8)-1)*99+1,99))&lt;&gt;""),--ISNUMBER(SEARCH(TRIM(MID(SUBSTITUTE(SUBSTITUTE($U$4,"/",","),",",REPT(" ",99)),(ROW($1:$8)-1)*99+1,99)),IFERROR(('Final Calculation Sheet'!$T$11)&amp;"",""))))&gt;0,AND(ISNUMBER(SEARCH("blank",$U$4)),NOT(ISNUMBER(SEARCH("nonblank",$U$4))),IFERROR(('Final Calculation Sheet'!$T$11)&amp;"","")=""),AND(OR(ISNUMBER(SEARCH("nonblank",$U$4)),ISNUMBER(SEARCH("&lt;&gt;",$U$4))),IFERROR(('Final Calculation Sheet'!$T$11)&amp;"","")&lt;&gt;""),AND(TRIM($U$4)="",IFERROR(('Final Calculation Sheet'!$T$11)&amp;"","")=""))))</f>
        <v/>
      </c>
      <c r="CH12">
        <f>IF($V$4="",1,--(OR(SUMPRODUCT(--(TRIM(MID(SUBSTITUTE(SUBSTITUTE($V$4,"/",","),",",REPT(" ",99)),(ROW($1:$8)-1)*99+1,99))&lt;&gt;""),--ISNUMBER(SEARCH(TRIM(MID(SUBSTITUTE(SUBSTITUTE($V$4,"/",","),",",REPT(" ",99)),(ROW($1:$8)-1)*99+1,99)),IFERROR(('Final Calculation Sheet'!$U$11)&amp;"",""))))&gt;0,AND(ISNUMBER(SEARCH("blank",$V$4)),NOT(ISNUMBER(SEARCH("nonblank",$V$4))),IFERROR(('Final Calculation Sheet'!$U$11)&amp;"","")=""),AND(OR(ISNUMBER(SEARCH("nonblank",$V$4)),ISNUMBER(SEARCH("&lt;&gt;",$V$4))),IFERROR(('Final Calculation Sheet'!$U$11)&amp;"","")&lt;&gt;""),AND(TRIM($V$4)="",IFERROR(('Final Calculation Sheet'!$U$11)&amp;"","")=""))))</f>
        <v/>
      </c>
      <c r="CI12">
        <f>IF($W$4="",1,--(OR(SUMPRODUCT(--(TRIM(MID(SUBSTITUTE(SUBSTITUTE($W$4,"/",","),",",REPT(" ",99)),(ROW($1:$8)-1)*99+1,99))&lt;&gt;""),--ISNUMBER(SEARCH(TRIM(MID(SUBSTITUTE(SUBSTITUTE($W$4,"/",","),",",REPT(" ",99)),(ROW($1:$8)-1)*99+1,99)),IFERROR(('Final Calculation Sheet'!$V$11)&amp;"",""))))&gt;0,AND(ISNUMBER(SEARCH("blank",$W$4)),NOT(ISNUMBER(SEARCH("nonblank",$W$4))),IFERROR(('Final Calculation Sheet'!$V$11)&amp;"","")=""),AND(OR(ISNUMBER(SEARCH("nonblank",$W$4)),ISNUMBER(SEARCH("&lt;&gt;",$W$4))),IFERROR(('Final Calculation Sheet'!$V$11)&amp;"","")&lt;&gt;""),AND(TRIM($W$4)="",IFERROR(('Final Calculation Sheet'!$V$11)&amp;"","")=""))))</f>
        <v/>
      </c>
      <c r="CJ12">
        <f>IF($X$4="",1,--(OR(SUMPRODUCT(--(TRIM(MID(SUBSTITUTE(SUBSTITUTE($X$4,"/",","),",",REPT(" ",99)),(ROW($1:$8)-1)*99+1,99))&lt;&gt;""),--ISNUMBER(SEARCH(TRIM(MID(SUBSTITUTE(SUBSTITUTE($X$4,"/",","),",",REPT(" ",99)),(ROW($1:$8)-1)*99+1,99)),IFERROR(('Final Calculation Sheet'!$W$11)&amp;"",""))))&gt;0,AND(ISNUMBER(SEARCH("blank",$X$4)),NOT(ISNUMBER(SEARCH("nonblank",$X$4))),IFERROR(('Final Calculation Sheet'!$W$11)&amp;"","")=""),AND(OR(ISNUMBER(SEARCH("nonblank",$X$4)),ISNUMBER(SEARCH("&lt;&gt;",$X$4))),IFERROR(('Final Calculation Sheet'!$W$11)&amp;"","")&lt;&gt;""),AND(TRIM($X$4)="",IFERROR(('Final Calculation Sheet'!$W$11)&amp;"","")=""))))</f>
        <v/>
      </c>
      <c r="CK12">
        <f>IF($Y$4="",1,--(OR(SUMPRODUCT(--(TRIM(MID(SUBSTITUTE(SUBSTITUTE($Y$4,"/",","),",",REPT(" ",99)),(ROW($1:$8)-1)*99+1,99))&lt;&gt;""),--ISNUMBER(SEARCH(TRIM(MID(SUBSTITUTE(SUBSTITUTE($Y$4,"/",","),",",REPT(" ",99)),(ROW($1:$8)-1)*99+1,99)),IFERROR(('Final Calculation Sheet'!$X$11)&amp;"",""))))&gt;0,AND(ISNUMBER(SEARCH("blank",$Y$4)),NOT(ISNUMBER(SEARCH("nonblank",$Y$4))),IFERROR(('Final Calculation Sheet'!$X$11)&amp;"","")=""),AND(OR(ISNUMBER(SEARCH("nonblank",$Y$4)),ISNUMBER(SEARCH("&lt;&gt;",$Y$4))),IFERROR(('Final Calculation Sheet'!$X$11)&amp;"","")&lt;&gt;""),AND(TRIM($Y$4)="",IFERROR(('Final Calculation Sheet'!$X$11)&amp;"","")=""))))</f>
        <v/>
      </c>
      <c r="CL12">
        <f>IF($Z$4="",1,--(OR(SUMPRODUCT(--(TRIM(MID(SUBSTITUTE(SUBSTITUTE($Z$4,"/",","),",",REPT(" ",99)),(ROW($1:$8)-1)*99+1,99))&lt;&gt;""),--ISNUMBER(SEARCH(TRIM(MID(SUBSTITUTE(SUBSTITUTE($Z$4,"/",","),",",REPT(" ",99)),(ROW($1:$8)-1)*99+1,99)),IFERROR(('Final Calculation Sheet'!$Y$11)&amp;"",""))))&gt;0,AND(ISNUMBER(SEARCH("blank",$Z$4)),NOT(ISNUMBER(SEARCH("nonblank",$Z$4))),IFERROR(('Final Calculation Sheet'!$Y$11)&amp;"","")=""),AND(OR(ISNUMBER(SEARCH("nonblank",$Z$4)),ISNUMBER(SEARCH("&lt;&gt;",$Z$4))),IFERROR(('Final Calculation Sheet'!$Y$11)&amp;"","")&lt;&gt;""),AND(TRIM($Z$4)="",IFERROR(('Final Calculation Sheet'!$Y$11)&amp;"","")=""))))</f>
        <v/>
      </c>
      <c r="CM12">
        <f>IF($AA$4="",1,--(OR(SUMPRODUCT(--(TRIM(MID(SUBSTITUTE(SUBSTITUTE($AA$4,"/",","),",",REPT(" ",99)),(ROW($1:$8)-1)*99+1,99))&lt;&gt;""),--ISNUMBER(SEARCH(TRIM(MID(SUBSTITUTE(SUBSTITUTE($AA$4,"/",","),",",REPT(" ",99)),(ROW($1:$8)-1)*99+1,99)),IFERROR(('Final Calculation Sheet'!$Z$11)&amp;"",""))))&gt;0,AND(ISNUMBER(SEARCH("blank",$AA$4)),NOT(ISNUMBER(SEARCH("nonblank",$AA$4))),IFERROR(('Final Calculation Sheet'!$Z$11)&amp;"","")=""),AND(OR(ISNUMBER(SEARCH("nonblank",$AA$4)),ISNUMBER(SEARCH("&lt;&gt;",$AA$4))),IFERROR(('Final Calculation Sheet'!$Z$11)&amp;"","")&lt;&gt;""),AND(TRIM($AA$4)="",IFERROR(('Final Calculation Sheet'!$Z$11)&amp;"","")=""))))</f>
        <v/>
      </c>
      <c r="CN12">
        <f>IF($AB$4="",1,--(OR(SUMPRODUCT(--(TRIM(MID(SUBSTITUTE(SUBSTITUTE($AB$4,"/",","),",",REPT(" ",99)),(ROW($1:$8)-1)*99+1,99))&lt;&gt;""),--ISNUMBER(SEARCH(TRIM(MID(SUBSTITUTE(SUBSTITUTE($AB$4,"/",","),",",REPT(" ",99)),(ROW($1:$8)-1)*99+1,99)),IFERROR(('Final Calculation Sheet'!$AA$11)&amp;"",""))))&gt;0,AND(ISNUMBER(SEARCH("blank",$AB$4)),NOT(ISNUMBER(SEARCH("nonblank",$AB$4))),IFERROR(('Final Calculation Sheet'!$AA$11)&amp;"","")=""),AND(OR(ISNUMBER(SEARCH("nonblank",$AB$4)),ISNUMBER(SEARCH("&lt;&gt;",$AB$4))),IFERROR(('Final Calculation Sheet'!$AA$11)&amp;"","")&lt;&gt;""),AND(TRIM($AB$4)="",IFERROR(('Final Calculation Sheet'!$AA$11)&amp;"","")=""))))</f>
        <v/>
      </c>
      <c r="CO12">
        <f>IF($AC$4="",1,--(OR(SUMPRODUCT(--(TRIM(MID(SUBSTITUTE(SUBSTITUTE($AC$4,"/",","),",",REPT(" ",99)),(ROW($1:$8)-1)*99+1,99))&lt;&gt;""),--ISNUMBER(SEARCH(TRIM(MID(SUBSTITUTE(SUBSTITUTE($AC$4,"/",","),",",REPT(" ",99)),(ROW($1:$8)-1)*99+1,99)),IFERROR(('Final Calculation Sheet'!$AB$11)&amp;"",""))))&gt;0,AND(ISNUMBER(SEARCH("blank",$AC$4)),NOT(ISNUMBER(SEARCH("nonblank",$AC$4))),IFERROR(('Final Calculation Sheet'!$AB$11)&amp;"","")=""),AND(OR(ISNUMBER(SEARCH("nonblank",$AC$4)),ISNUMBER(SEARCH("&lt;&gt;",$AC$4))),IFERROR(('Final Calculation Sheet'!$AB$11)&amp;"","")&lt;&gt;""),AND(TRIM($AC$4)="",IFERROR(('Final Calculation Sheet'!$AB$11)&amp;"","")=""))))</f>
        <v/>
      </c>
      <c r="CP12">
        <f>IF($AD$4="",1,--(OR(SUMPRODUCT(--(TRIM(MID(SUBSTITUTE(SUBSTITUTE($AD$4,"/",","),",",REPT(" ",99)),(ROW($1:$8)-1)*99+1,99))&lt;&gt;""),--ISNUMBER(SEARCH(TRIM(MID(SUBSTITUTE(SUBSTITUTE($AD$4,"/",","),",",REPT(" ",99)),(ROW($1:$8)-1)*99+1,99)),IFERROR(('Final Calculation Sheet'!$AC$11)&amp;"",""))))&gt;0,AND(ISNUMBER(SEARCH("blank",$AD$4)),NOT(ISNUMBER(SEARCH("nonblank",$AD$4))),IFERROR(('Final Calculation Sheet'!$AC$11)&amp;"","")=""),AND(OR(ISNUMBER(SEARCH("nonblank",$AD$4)),ISNUMBER(SEARCH("&lt;&gt;",$AD$4))),IFERROR(('Final Calculation Sheet'!$AC$11)&amp;"","")&lt;&gt;""),AND(TRIM($AD$4)="",IFERROR(('Final Calculation Sheet'!$AC$11)&amp;"","")=""))))</f>
        <v/>
      </c>
      <c r="CQ12">
        <f>IF($AE$4="",1,--(OR(SUMPRODUCT(--(TRIM(MID(SUBSTITUTE(SUBSTITUTE($AE$4,"/",","),",",REPT(" ",99)),(ROW($1:$8)-1)*99+1,99))&lt;&gt;""),--ISNUMBER(SEARCH(TRIM(MID(SUBSTITUTE(SUBSTITUTE($AE$4,"/",","),",",REPT(" ",99)),(ROW($1:$8)-1)*99+1,99)),IFERROR(('Final Calculation Sheet'!$AD$11)&amp;"",""))))&gt;0,AND(ISNUMBER(SEARCH("blank",$AE$4)),NOT(ISNUMBER(SEARCH("nonblank",$AE$4))),IFERROR(('Final Calculation Sheet'!$AD$11)&amp;"","")=""),AND(OR(ISNUMBER(SEARCH("nonblank",$AE$4)),ISNUMBER(SEARCH("&lt;&gt;",$AE$4))),IFERROR(('Final Calculation Sheet'!$AD$11)&amp;"","")&lt;&gt;""),AND(TRIM($AE$4)="",IFERROR(('Final Calculation Sheet'!$AD$11)&amp;"","")=""))))</f>
        <v/>
      </c>
      <c r="CR12">
        <f>IF($AG$4="",1,--(OR(SUMPRODUCT(--(TRIM(MID(SUBSTITUTE(SUBSTITUTE($AG$4,"/",","),",",REPT(" ",99)),(ROW($1:$8)-1)*99+1,99))&lt;&gt;""),--ISNUMBER(SEARCH(TRIM(MID(SUBSTITUTE(SUBSTITUTE($AG$4,"/",","),",",REPT(" ",99)),(ROW($1:$8)-1)*99+1,99)),IFERROR(('Final Calculation Sheet'!$AF$11)&amp;"",""))))&gt;0,AND(ISNUMBER(SEARCH("blank",$AG$4)),NOT(ISNUMBER(SEARCH("nonblank",$AG$4))),IFERROR(('Final Calculation Sheet'!$AF$11)&amp;"","")=""),AND(OR(ISNUMBER(SEARCH("nonblank",$AG$4)),ISNUMBER(SEARCH("&lt;&gt;",$AG$4))),IFERROR(('Final Calculation Sheet'!$AF$11)&amp;"","")&lt;&gt;""),AND(TRIM($AG$4)="",IFERROR(('Final Calculation Sheet'!$AF$11)&amp;"","")=""))))</f>
        <v/>
      </c>
      <c r="CS12">
        <f>IF($AH$4="",1,--(OR(SUMPRODUCT(--(TRIM(MID(SUBSTITUTE(SUBSTITUTE($AH$4,"/",","),",",REPT(" ",99)),(ROW($1:$8)-1)*99+1,99))&lt;&gt;""),--ISNUMBER(SEARCH(TRIM(MID(SUBSTITUTE(SUBSTITUTE($AH$4,"/",","),",",REPT(" ",99)),(ROW($1:$8)-1)*99+1,99)),IFERROR(('Final Calculation Sheet'!$AG$11)&amp;"",""))))&gt;0,AND(ISNUMBER(SEARCH("blank",$AH$4)),NOT(ISNUMBER(SEARCH("nonblank",$AH$4))),IFERROR(('Final Calculation Sheet'!$AG$11)&amp;"","")=""),AND(OR(ISNUMBER(SEARCH("nonblank",$AH$4)),ISNUMBER(SEARCH("&lt;&gt;",$AH$4))),IFERROR(('Final Calculation Sheet'!$AG$11)&amp;"","")&lt;&gt;""),AND(TRIM($AH$4)="",IFERROR(('Final Calculation Sheet'!$AG$11)&amp;"","")=""))))</f>
        <v/>
      </c>
      <c r="CT12">
        <f>IF($AI$4="",1,--(OR(SUMPRODUCT(--(TRIM(MID(SUBSTITUTE(SUBSTITUTE($AI$4,"/",","),",",REPT(" ",99)),(ROW($1:$8)-1)*99+1,99))&lt;&gt;""),--ISNUMBER(SEARCH(TRIM(MID(SUBSTITUTE(SUBSTITUTE($AI$4,"/",","),",",REPT(" ",99)),(ROW($1:$8)-1)*99+1,99)),IFERROR(('Final Calculation Sheet'!$AH$11)&amp;"",""))))&gt;0,AND(ISNUMBER(SEARCH("blank",$AI$4)),NOT(ISNUMBER(SEARCH("nonblank",$AI$4))),IFERROR(('Final Calculation Sheet'!$AH$11)&amp;"","")=""),AND(OR(ISNUMBER(SEARCH("nonblank",$AI$4)),ISNUMBER(SEARCH("&lt;&gt;",$AI$4))),IFERROR(('Final Calculation Sheet'!$AH$11)&amp;"","")&lt;&gt;""),AND(TRIM($AI$4)="",IFERROR(('Final Calculation Sheet'!$AH$11)&amp;"","")=""))))</f>
        <v/>
      </c>
      <c r="CU12">
        <f>IF($AF$4="",1,--(OR(SUMPRODUCT(--(TRIM(MID(SUBSTITUTE(SUBSTITUTE($AF$4,"/",","),",",REPT(" ",99)),(ROW($1:$8)-1)*99+1,99))&lt;&gt;""),--ISNUMBER(SEARCH(TRIM(MID(SUBSTITUTE(SUBSTITUTE($AF$4,"/",","),",",REPT(" ",99)),(ROW($1:$8)-1)*99+1,99)),IFERROR((IF('Final Calculation Sheet'!$AD$11&lt;=5,"SETTLED","OUTSTANDING"))&amp;"",""))))&gt;0,AND(ISNUMBER(SEARCH("blank",$AF$4)),NOT(ISNUMBER(SEARCH("nonblank",$AF$4))),IFERROR((IF('Final Calculation Sheet'!$AD$11&lt;=5,"SETTLED","OUTSTANDING"))&amp;"","")=""),AND(OR(ISNUMBER(SEARCH("nonblank",$AF$4)),ISNUMBER(SEARCH("&lt;&gt;",$AF$4))),IFERROR((IF('Final Calculation Sheet'!$AD$11&lt;=5,"SETTLED","OUTSTANDING"))&amp;"","")&lt;&gt;""),AND(TRIM($AF$4)="",IFERROR((IF('Final Calculation Sheet'!$AD$11&lt;=5,"SETTLED","OUTSTANDING"))&amp;"","")=""))))</f>
        <v/>
      </c>
    </row>
    <row r="13" ht="15" customHeight="1" s="137">
      <c r="A13" s="67">
        <f>IF($BJ12&gt;0,INDEX($BA$5:$BA$41,MATCH(12,$BB$5:$BB$41,0)),IF(OR($BI12=1,$BL12=1,$BH12&gt;0),"∑",""))</f>
        <v/>
      </c>
      <c r="B13" s="76">
        <f>IF($BJ12&gt;0,IF(INDEX('Final Calculation Sheet'!$F$4:$F$40,$BJ12-3)="","",INDEX('Final Calculation Sheet'!$F$4:$F$40,$BJ12-3)),"")</f>
        <v/>
      </c>
      <c r="C13" s="76">
        <f>IF($BJ12&gt;0,IF(INDEX('Final Calculation Sheet'!$G$4:$G$40,$BJ12-3)="","",INDEX('Final Calculation Sheet'!$G$4:$G$40,$BJ12-3)),IF(OR($BI12=1,$BL12=1,$BH12&gt;0),IF($BI12=1,37,IF($BL12=1,37-INDEX($BD$4:$BD$13,10),INDEX($BD$4:$BD$13,$BH12)))&amp;" lot(s)",""))</f>
        <v/>
      </c>
      <c r="D13" s="80">
        <f>IF($BJ12&gt;0,IF(INDEX('Final Calculation Sheet'!$B$4:$B$40,$BJ12-3)="","",INDEX('Final Calculation Sheet'!$B$4:$B$40,$BJ12-3)),IF(OR($BI12=1,$BL12=1,$BH12&gt;0),IF($BI12=1,"GRAND TOTAL  —  matching + remaining",IF($BL12=1,"TOTAL MATCHED  —  every group together",IF($BH12=10,"REMAINING  —  did not match the search",IF($BH12=9,IF(COUNTIF($A$4:$AI$4,"&lt;&gt;")&gt;0,"FILTERED LOTS  —  column fields","ALL LOTS  —  nothing typed in the box"),"GROUP "&amp;$BH12&amp;" TOTAL  —  lots matching  "&amp;INDEX($AR$6:$AY$6,$BH12))))),""))</f>
        <v/>
      </c>
      <c r="E13" s="80">
        <f>IF($BJ12&gt;0,IF(INDEX('Final Calculation Sheet'!$D$4:$D$40,$BJ12-3)="","",INDEX('Final Calculation Sheet'!$D$4:$D$40,$BJ12-3)),IF(OR($BI12=1,$BL12=1,$BH12&gt;0),"–",""))</f>
        <v/>
      </c>
      <c r="F13" s="80">
        <f>IF($BJ12&gt;0,IF(INDEX('Final Calculation Sheet'!$A$4:$A$40,$BJ12-3)="","",INDEX('Final Calculation Sheet'!$A$4:$A$40,$BJ12-3)),IF(OR($BI12=1,$BL12=1,$BH12&gt;0),IF($BI12=1,SUM('Final Calculation Sheet'!$A$4:$A$40),IF($BL12=1,SUM('Final Calculation Sheet'!$A$4:$A$40)-SUMIFS('Final Calculation Sheet'!$A$4:$A$40,$AZ$5:$AZ$41,10),SUMIFS('Final Calculation Sheet'!$A$4:$A$40,$AZ$5:$AZ$41,$BH12))),""))</f>
        <v/>
      </c>
      <c r="G13" s="80">
        <f>IF($BJ12&gt;0,IF(INDEX('Final Calculation Sheet'!$E$4:$E$40,$BJ12-3)="","",INDEX('Final Calculation Sheet'!$E$4:$E$40,$BJ12-3)),IF(OR($BI12=1,$BL12=1,$BH12&gt;0),"–",""))</f>
        <v/>
      </c>
      <c r="H13" s="70">
        <f>IF($BJ12&gt;0,IF(INDEX('Final Calculation Sheet'!$C$4:$C$40,$BJ12-3)="","",INDEX('Final Calculation Sheet'!$C$4:$C$40,$BJ12-3)),IF(OR($BI12=1,$BL12=1,$BH12&gt;0),"–",""))</f>
        <v/>
      </c>
      <c r="I13" s="70">
        <f>IF($BJ12&gt;0,IF(INDEX('Final Calculation Sheet'!$H$4:$H$40,$BJ12-3)="","",INDEX('Final Calculation Sheet'!$H$4:$H$40,$BJ12-3)),IF(OR($BI12=1,$BL12=1,$BH12&gt;0),IF($BI12=1,SUM('Final Calculation Sheet'!$H$4:$H$40),IF($BL12=1,SUM('Final Calculation Sheet'!$H$4:$H$40)-SUMIFS('Final Calculation Sheet'!$H$4:$H$40,$AZ$5:$AZ$41,10),SUMIFS('Final Calculation Sheet'!$H$4:$H$40,$AZ$5:$AZ$41,$BH12))),""))</f>
        <v/>
      </c>
      <c r="J13" s="70">
        <f>IF($BJ12&gt;0,IF(INDEX('Final Calculation Sheet'!$I$4:$I$40,$BJ12-3)="","",INDEX('Final Calculation Sheet'!$I$4:$I$40,$BJ12-3)),IF(OR($BI12=1,$BL12=1,$BH12&gt;0),IF($BI12=1,SUM('Final Calculation Sheet'!$I$4:$I$40),IF($BL12=1,SUM('Final Calculation Sheet'!$I$4:$I$40)-SUMIFS('Final Calculation Sheet'!$I$4:$I$40,$AZ$5:$AZ$41,10),SUMIFS('Final Calculation Sheet'!$I$4:$I$40,$AZ$5:$AZ$41,$BH12))),""))</f>
        <v/>
      </c>
      <c r="K13" s="70">
        <f>IF($BJ12&gt;0,IF(INDEX('Final Calculation Sheet'!$J$4:$J$40,$BJ12-3)="","",INDEX('Final Calculation Sheet'!$J$4:$J$40,$BJ12-3)),IF(OR($BI12=1,$BL12=1,$BH12&gt;0),IF($BI12=1,SUM('Final Calculation Sheet'!$J$4:$J$40),IF($BL12=1,SUM('Final Calculation Sheet'!$J$4:$J$40)-SUMIFS('Final Calculation Sheet'!$J$4:$J$40,$AZ$5:$AZ$41,10),SUMIFS('Final Calculation Sheet'!$J$4:$J$40,$AZ$5:$AZ$41,$BH12))),""))</f>
        <v/>
      </c>
      <c r="L13" s="70">
        <f>IF($BJ12&gt;0,IF(INDEX('Final Calculation Sheet'!$K$4:$K$40,$BJ12-3)="","",INDEX('Final Calculation Sheet'!$K$4:$K$40,$BJ12-3)),IF(OR($BI12=1,$BL12=1,$BH12&gt;0),IF($BI12=1,SUM('Final Calculation Sheet'!$K$4:$K$40),IF($BL12=1,SUM('Final Calculation Sheet'!$K$4:$K$40)-SUMIFS('Final Calculation Sheet'!$K$4:$K$40,$AZ$5:$AZ$41,10),SUMIFS('Final Calculation Sheet'!$K$4:$K$40,$AZ$5:$AZ$41,$BH12))),""))</f>
        <v/>
      </c>
      <c r="M13" s="70">
        <f>IF($BJ12&gt;0,IF(INDEX('Final Calculation Sheet'!$L$4:$L$40,$BJ12-3)="","",INDEX('Final Calculation Sheet'!$L$4:$L$40,$BJ12-3)),IF(OR($BI12=1,$BL12=1,$BH12&gt;0),IF($BI12=1,SUM('Final Calculation Sheet'!$L$4:$L$40),IF($BL12=1,SUM('Final Calculation Sheet'!$L$4:$L$40)-SUMIFS('Final Calculation Sheet'!$L$4:$L$40,$AZ$5:$AZ$41,10),SUMIFS('Final Calculation Sheet'!$L$4:$L$40,$AZ$5:$AZ$41,$BH12))),""))</f>
        <v/>
      </c>
      <c r="N13" s="70">
        <f>IF($BJ12&gt;0,IF(INDEX('Final Calculation Sheet'!$M$4:$M$40,$BJ12-3)="","",INDEX('Final Calculation Sheet'!$M$4:$M$40,$BJ12-3)),IF(OR($BI12=1,$BL12=1,$BH12&gt;0),IF($BI12=1,SUM('Final Calculation Sheet'!$M$4:$M$40),IF($BL12=1,SUM('Final Calculation Sheet'!$M$4:$M$40)-SUMIFS('Final Calculation Sheet'!$M$4:$M$40,$AZ$5:$AZ$41,10),SUMIFS('Final Calculation Sheet'!$M$4:$M$40,$AZ$5:$AZ$41,$BH12))),""))</f>
        <v/>
      </c>
      <c r="O13" s="71">
        <f>IF($BJ12&gt;0,IF(INDEX('Final Calculation Sheet'!$N$4:$N$40,$BJ12-3)="","",INDEX('Final Calculation Sheet'!$N$4:$N$40,$BJ12-3)),IF(OR($BI12=1,$BL12=1,$BH12&gt;0),IF($BI12=1,SUM('Final Calculation Sheet'!$N$4:$N$40),IF($BL12=1,SUM('Final Calculation Sheet'!$N$4:$N$40)-SUMIFS('Final Calculation Sheet'!$N$4:$N$40,$AZ$5:$AZ$41,10),SUMIFS('Final Calculation Sheet'!$N$4:$N$40,$AZ$5:$AZ$41,$BH12))),""))</f>
        <v/>
      </c>
      <c r="P13" s="70">
        <f>IF($BJ12&gt;0,IF(INDEX('Final Calculation Sheet'!$O$4:$O$40,$BJ12-3)="","",INDEX('Final Calculation Sheet'!$O$4:$O$40,$BJ12-3)),IF(OR($BI12=1,$BL12=1,$BH12&gt;0),IF($BI12=1,SUM('Final Calculation Sheet'!$O$4:$O$40),IF($BL12=1,SUM('Final Calculation Sheet'!$O$4:$O$40)-SUMIFS('Final Calculation Sheet'!$O$4:$O$40,$AZ$5:$AZ$41,10),SUMIFS('Final Calculation Sheet'!$O$4:$O$40,$AZ$5:$AZ$41,$BH12))),""))</f>
        <v/>
      </c>
      <c r="Q13" s="70">
        <f>IF($BJ12&gt;0,IF(INDEX('Final Calculation Sheet'!$P$4:$P$40,$BJ12-3)="","",INDEX('Final Calculation Sheet'!$P$4:$P$40,$BJ12-3)),IF(OR($BI12=1,$BL12=1,$BH12&gt;0),IF($BI12=1,SUM('Final Calculation Sheet'!$P$4:$P$40),IF($BL12=1,SUM('Final Calculation Sheet'!$P$4:$P$40)-SUMIFS('Final Calculation Sheet'!$P$4:$P$40,$AZ$5:$AZ$41,10),SUMIFS('Final Calculation Sheet'!$P$4:$P$40,$AZ$5:$AZ$41,$BH12))),""))</f>
        <v/>
      </c>
      <c r="R13" s="72">
        <f>IF($BJ12&gt;0,IF(INDEX('Final Calculation Sheet'!$Q$4:$Q$40,$BJ12-3)="","",INDEX('Final Calculation Sheet'!$Q$4:$Q$40,$BJ12-3)),IF(OR($BI12=1,$BL12=1,$BH12&gt;0),"–",""))</f>
        <v/>
      </c>
      <c r="S13" s="70">
        <f>IF($BJ12&gt;0,IF(INDEX('Final Calculation Sheet'!$R$4:$R$40,$BJ12-3)="","",INDEX('Final Calculation Sheet'!$R$4:$R$40,$BJ12-3)),IF(OR($BI12=1,$BL12=1,$BH12&gt;0),IF($BI12=1,SUM('Final Calculation Sheet'!$R$4:$R$40),IF($BL12=1,SUM('Final Calculation Sheet'!$R$4:$R$40)-SUMIFS('Final Calculation Sheet'!$R$4:$R$40,$AZ$5:$AZ$41,10),SUMIFS('Final Calculation Sheet'!$R$4:$R$40,$AZ$5:$AZ$41,$BH12))),""))</f>
        <v/>
      </c>
      <c r="T13" s="70">
        <f>IF($BJ12&gt;0,IF(INDEX('Final Calculation Sheet'!$S$4:$S$40,$BJ12-3)="","",INDEX('Final Calculation Sheet'!$S$4:$S$40,$BJ12-3)),IF(OR($BI12=1,$BL12=1,$BH12&gt;0),IF($BI12=1,SUM('Final Calculation Sheet'!$S$4:$S$40),IF($BL12=1,SUM('Final Calculation Sheet'!$S$4:$S$40)-SUMIFS('Final Calculation Sheet'!$S$4:$S$40,$AZ$5:$AZ$41,10),SUMIFS('Final Calculation Sheet'!$S$4:$S$40,$AZ$5:$AZ$41,$BH12))),""))</f>
        <v/>
      </c>
      <c r="U13" s="70">
        <f>IF($BJ12&gt;0,IF(INDEX('Final Calculation Sheet'!$T$4:$T$40,$BJ12-3)="","",INDEX('Final Calculation Sheet'!$T$4:$T$40,$BJ12-3)),IF(OR($BI12=1,$BL12=1,$BH12&gt;0),IF($BI12=1,SUM('Final Calculation Sheet'!$T$4:$T$40),IF($BL12=1,SUM('Final Calculation Sheet'!$T$4:$T$40)-SUMIFS('Final Calculation Sheet'!$T$4:$T$40,$AZ$5:$AZ$41,10),SUMIFS('Final Calculation Sheet'!$T$4:$T$40,$AZ$5:$AZ$41,$BH12))),""))</f>
        <v/>
      </c>
      <c r="V13" s="73">
        <f>IF($BJ12&gt;0,IF(INDEX('Final Calculation Sheet'!$U$4:$U$40,$BJ12-3)="","",INDEX('Final Calculation Sheet'!$U$4:$U$40,$BJ12-3)),IF(OR($BI12=1,$BL12=1,$BH12&gt;0),IF($BI12=1,SUM('Final Calculation Sheet'!$U$4:$U$40),IF($BL12=1,SUM('Final Calculation Sheet'!$U$4:$U$40)-SUMIFS('Final Calculation Sheet'!$U$4:$U$40,$AZ$5:$AZ$41,10),SUMIFS('Final Calculation Sheet'!$U$4:$U$40,$AZ$5:$AZ$41,$BH12))),""))</f>
        <v/>
      </c>
      <c r="W13" s="70">
        <f>IF($BJ12&gt;0,IF(INDEX('Final Calculation Sheet'!$V$4:$V$40,$BJ12-3)="","",INDEX('Final Calculation Sheet'!$V$4:$V$40,$BJ12-3)),IF(OR($BI12=1,$BL12=1,$BH12&gt;0),"–",""))</f>
        <v/>
      </c>
      <c r="X13" s="70">
        <f>IF($BJ12&gt;0,IF(INDEX('Final Calculation Sheet'!$W$4:$W$40,$BJ12-3)="","",INDEX('Final Calculation Sheet'!$W$4:$W$40,$BJ12-3)),IF(OR($BI12=1,$BL12=1,$BH12&gt;0),IF($BI12=1,SUM('Final Calculation Sheet'!$W$4:$W$40),IF($BL12=1,SUM('Final Calculation Sheet'!$W$4:$W$40)-SUMIFS('Final Calculation Sheet'!$W$4:$W$40,$AZ$5:$AZ$41,10),SUMIFS('Final Calculation Sheet'!$W$4:$W$40,$AZ$5:$AZ$41,$BH12))),""))</f>
        <v/>
      </c>
      <c r="Y13" s="70">
        <f>IF($BJ12&gt;0,IF(INDEX('Final Calculation Sheet'!$X$4:$X$40,$BJ12-3)="","",INDEX('Final Calculation Sheet'!$X$4:$X$40,$BJ12-3)),IF(OR($BI12=1,$BL12=1,$BH12&gt;0),IF($BI12=1,SUM('Final Calculation Sheet'!$X$4:$X$40),IF($BL12=1,SUM('Final Calculation Sheet'!$X$4:$X$40)-SUMIFS('Final Calculation Sheet'!$X$4:$X$40,$AZ$5:$AZ$41,10),SUMIFS('Final Calculation Sheet'!$X$4:$X$40,$AZ$5:$AZ$41,$BH12))),""))</f>
        <v/>
      </c>
      <c r="Z13" s="70">
        <f>IF($BJ12&gt;0,IF(INDEX('Final Calculation Sheet'!$Y$4:$Y$40,$BJ12-3)="","",INDEX('Final Calculation Sheet'!$Y$4:$Y$40,$BJ12-3)),IF(OR($BI12=1,$BL12=1,$BH12&gt;0),"–",""))</f>
        <v/>
      </c>
      <c r="AA13" s="70">
        <f>IF($BJ12&gt;0,IF(INDEX('Final Calculation Sheet'!$Z$4:$Z$40,$BJ12-3)="","",INDEX('Final Calculation Sheet'!$Z$4:$Z$40,$BJ12-3)),IF(OR($BI12=1,$BL12=1,$BH12&gt;0),IF($BI12=1,SUM('Final Calculation Sheet'!$Z$4:$Z$40),IF($BL12=1,SUM('Final Calculation Sheet'!$Z$4:$Z$40)-SUMIFS('Final Calculation Sheet'!$Z$4:$Z$40,$AZ$5:$AZ$41,10),SUMIFS('Final Calculation Sheet'!$Z$4:$Z$40,$AZ$5:$AZ$41,$BH12))),""))</f>
        <v/>
      </c>
      <c r="AB13" s="70">
        <f>IF($BJ12&gt;0,IF(INDEX('Final Calculation Sheet'!$AA$4:$AA$40,$BJ12-3)="","",INDEX('Final Calculation Sheet'!$AA$4:$AA$40,$BJ12-3)),IF(OR($BI12=1,$BL12=1,$BH12&gt;0),IF($BI12=1,SUM('Final Calculation Sheet'!$AA$4:$AA$40),IF($BL12=1,SUM('Final Calculation Sheet'!$AA$4:$AA$40)-SUMIFS('Final Calculation Sheet'!$AA$4:$AA$40,$AZ$5:$AZ$41,10),SUMIFS('Final Calculation Sheet'!$AA$4:$AA$40,$AZ$5:$AZ$41,$BH12))),""))</f>
        <v/>
      </c>
      <c r="AC13" s="70">
        <f>IF($BJ12&gt;0,IF(INDEX('Final Calculation Sheet'!$AB$4:$AB$40,$BJ12-3)="","",INDEX('Final Calculation Sheet'!$AB$4:$AB$40,$BJ12-3)),IF(OR($BI12=1,$BL12=1,$BH12&gt;0),"–",""))</f>
        <v/>
      </c>
      <c r="AD13" s="70">
        <f>IF($BJ12&gt;0,IF(INDEX('Final Calculation Sheet'!$AC$4:$AC$40,$BJ12-3)="","",INDEX('Final Calculation Sheet'!$AC$4:$AC$40,$BJ12-3)),IF(OR($BI12=1,$BL12=1,$BH12&gt;0),IF($BI12=1,SUM('Final Calculation Sheet'!$AC$4:$AC$40),IF($BL12=1,SUM('Final Calculation Sheet'!$AC$4:$AC$40)-SUMIFS('Final Calculation Sheet'!$AC$4:$AC$40,$AZ$5:$AZ$41,10),SUMIFS('Final Calculation Sheet'!$AC$4:$AC$40,$AZ$5:$AZ$41,$BH12))),""))</f>
        <v/>
      </c>
      <c r="AE13" s="70">
        <f>IF($BJ12&gt;0,IF(INDEX('Final Calculation Sheet'!$AD$4:$AD$40,$BJ12-3)="","",INDEX('Final Calculation Sheet'!$AD$4:$AD$40,$BJ12-3)),IF(OR($BI12=1,$BL12=1,$BH12&gt;0),IF($BI12=1,SUM('Final Calculation Sheet'!$AD$4:$AD$40),IF($BL12=1,SUM('Final Calculation Sheet'!$AD$4:$AD$40)-SUMIFS('Final Calculation Sheet'!$AD$4:$AD$40,$AZ$5:$AZ$41,10),SUMIFS('Final Calculation Sheet'!$AD$4:$AD$40,$AZ$5:$AZ$41,$BH12))),""))</f>
        <v/>
      </c>
      <c r="AF13" s="75">
        <f>IF($BJ12&gt;0,IF(INDEX('Final Calculation Sheet'!$AD$4:$AD$40,$BJ12-3)="","",IF(INDEX('Final Calculation Sheet'!$AD$4:$AD$40,$BJ12-3)&lt;=5,"SETTLED","OUTSTANDING")),IF(OR($BI12=1,$BL12=1,$BH12&gt;0),IF(IF($BI12=1,SUM('Final Calculation Sheet'!$AD$4:$AD$40),IF($BL12=1,SUM('Final Calculation Sheet'!$AD$4:$AD$40)-SUMIFS('Final Calculation Sheet'!$AD$4:$AD$40,$AZ$5:$AZ$41,10),SUMIFS('Final Calculation Sheet'!$AD$4:$AD$40,$AZ$5:$AZ$41,$BH12)))&lt;=5,"ALL SETTLED","OUTSTANDING"),""))</f>
        <v/>
      </c>
      <c r="AG13" s="70">
        <f>IF($BJ12&gt;0,IF(INDEX('Final Calculation Sheet'!$AF$4:$AF$40,$BJ12-3)="","",INDEX('Final Calculation Sheet'!$AF$4:$AF$40,$BJ12-3)),IF(OR($BI12=1,$BL12=1,$BH12&gt;0),"–",""))</f>
        <v/>
      </c>
      <c r="AH13" s="74">
        <f>IF($BJ12&gt;0,IF(INDEX('Final Calculation Sheet'!$AG$4:$AG$40,$BJ12-3)="","",INDEX('Final Calculation Sheet'!$AG$4:$AG$40,$BJ12-3)),IF(OR($BI12=1,$BL12=1,$BH12&gt;0),"–",""))</f>
        <v/>
      </c>
      <c r="AI13" s="70">
        <f>IF($BJ12&gt;0,IF(INDEX('Final Calculation Sheet'!$AH$4:$AH$40,$BJ12-3)="","",INDEX('Final Calculation Sheet'!$AH$4:$AH$40,$BJ12-3)),IF(OR($BI12=1,$BL12=1,$BH12&gt;0),"–",""))</f>
        <v/>
      </c>
      <c r="AK13">
        <f>IF($F$3="Lot No.",'Final Calculation Sheet'!$F$12,IF($F$3="Buyer",'Final Calculation Sheet'!$G$12,IF($F$3="Lot Name",'Final Calculation Sheet'!$B$12,IF($F$3="Bid Sheet",'Final Calculation Sheet'!$D$12,IF($F$3="Unit",'Final Calculation Sheet'!$E$12,'Final Calculation Sheet'!$F$12&amp;" "&amp;'Final Calculation Sheet'!$G$12&amp;" "&amp;'Final Calculation Sheet'!$B$12)))))</f>
        <v/>
      </c>
      <c r="AL13">
        <f>AL12+IF($B$3="",0,--(SUMPRODUCT(--($AR$6:$AY$6&lt;&gt;""),--ISNUMBER(SEARCH($AR$6:$AY$6,$AK13)))&gt;0))</f>
        <v/>
      </c>
      <c r="AM13">
        <f>IF(COUNTIF($BM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AZ13">
        <f>IF($B$3="",IF(COUNTIF($A$4:$AI$4,"&lt;&gt;")=0,9,IF($AM13=1,9,10)),IF($AM13=0,10,IF(AND($AR$6&lt;&gt;"",ISNUMBER(SEARCH($AR$6,$AK13))),1,IF(AND($AS$6&lt;&gt;"",ISNUMBER(SEARCH($AS$6,$AK13))),2,IF(AND($AT$6&lt;&gt;"",ISNUMBER(SEARCH($AT$6,$AK13))),3,IF(AND($AU$6&lt;&gt;"",ISNUMBER(SEARCH($AU$6,$AK13))),4,IF(AND($AV$6&lt;&gt;"",ISNUMBER(SEARCH($AV$6,$AK13))),5,IF(AND($AW$6&lt;&gt;"",ISNUMBER(SEARCH($AW$6,$AK13))),6,IF(AND($AX$6&lt;&gt;"",ISNUMBER(SEARCH($AX$6,$AK13))),7,IF(AND($AY$6&lt;&gt;"",ISNUMBER(SEARCH($AY$6,$AK13))),8,0))))))))))</f>
        <v/>
      </c>
      <c r="BA13">
        <f>SUMPRODUCT(($AZ$5:$AZ$41=$AZ13)*($BC$5:$BC$41&lt;$BC13))+1</f>
        <v/>
      </c>
      <c r="BB13">
        <f>IF(INDEX($BF$4:$BF$13,$AZ13)=0,0,INDEX($BE$4:$BE$13,$AZ13)+$BA13-1)</f>
        <v/>
      </c>
      <c r="BC13" t="n">
        <v>12</v>
      </c>
      <c r="BD13">
        <f>COUNTIF($AZ$5:$AZ$41,10)</f>
        <v/>
      </c>
      <c r="BE13">
        <f>$BG$4+1</f>
        <v/>
      </c>
      <c r="BF13">
        <f>IF($BD13=0,0,$BE13+$BD13)</f>
        <v/>
      </c>
      <c r="BH13">
        <f>IFERROR(MATCH(13,$BF$4:$BF$13,0),0)</f>
        <v/>
      </c>
      <c r="BI13">
        <f>IF(13=$BG$5,1,0)</f>
        <v/>
      </c>
      <c r="BJ13">
        <f>IF(OR($BH13&gt;0,$BI13=1,$BL13=1),0,IFERROR(INDEX($BC$5:$BC$41,MATCH(13,$BB$5:$BB$41,0)),0))</f>
        <v/>
      </c>
      <c r="BK13">
        <f>IF($BJ13&gt;0,IF(INDEX($AZ$5:$AZ$41,MATCH(13,$BB$5:$BB$41,0))=10,1,0),IF($BH13=10,1,0))</f>
        <v/>
      </c>
      <c r="BL13">
        <f>IF(13=$BG$4,1,0)</f>
        <v/>
      </c>
      <c r="BM13">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3">
        <f>IF($B$4="",1,--(OR(SUMPRODUCT(--(TRIM(MID(SUBSTITUTE(SUBSTITUTE($B$4,"/",","),",",REPT(" ",99)),(ROW($1:$8)-1)*99+1,99))&lt;&gt;""),--ISNUMBER(SEARCH(TRIM(MID(SUBSTITUTE(SUBSTITUTE($B$4,"/",","),",",REPT(" ",99)),(ROW($1:$8)-1)*99+1,99)),IFERROR(('Final Calculation Sheet'!$F$12)&amp;"",""))))&gt;0,AND(ISNUMBER(SEARCH("blank",$B$4)),NOT(ISNUMBER(SEARCH("nonblank",$B$4))),IFERROR(('Final Calculation Sheet'!$F$12)&amp;"","")=""),AND(OR(ISNUMBER(SEARCH("nonblank",$B$4)),ISNUMBER(SEARCH("&lt;&gt;",$B$4))),IFERROR(('Final Calculation Sheet'!$F$12)&amp;"","")&lt;&gt;""),AND(TRIM($B$4)="",IFERROR(('Final Calculation Sheet'!$F$12)&amp;"","")=""))))</f>
        <v/>
      </c>
      <c r="BO13">
        <f>IF($CW$3="",1,--(OR(SUMPRODUCT(--(TRIM(MID(SUBSTITUTE(SUBSTITUTE($CW$3,"/",","),",",REPT(" ",99)),(ROW($1:$8)-1)*99+1,99))&lt;&gt;""),--ISNUMBER(SEARCH(TRIM(MID(SUBSTITUTE(SUBSTITUTE($CW$3,"/",","),",",REPT(" ",99)),(ROW($1:$8)-1)*99+1,99)),IFERROR(('Final Calculation Sheet'!$G$12)&amp;"",""))))&gt;0,AND(ISNUMBER(SEARCH("blank",$CW$3)),NOT(ISNUMBER(SEARCH("nonblank",$CW$3))),IFERROR(('Final Calculation Sheet'!$G$12)&amp;"","")=""),AND(OR(ISNUMBER(SEARCH("nonblank",$CW$3)),ISNUMBER(SEARCH("&lt;&gt;",$CW$3))),IFERROR(('Final Calculation Sheet'!$G$12)&amp;"","")&lt;&gt;""),AND(TRIM($CW$3)="",IFERROR(('Final Calculation Sheet'!$G$12)&amp;"","")=""))))</f>
        <v/>
      </c>
      <c r="BP13">
        <f>IF($D$4="",1,--(OR(SUMPRODUCT(--(TRIM(MID(SUBSTITUTE(SUBSTITUTE($D$4,"/",","),",",REPT(" ",99)),(ROW($1:$8)-1)*99+1,99))&lt;&gt;""),--ISNUMBER(SEARCH(TRIM(MID(SUBSTITUTE(SUBSTITUTE($D$4,"/",","),",",REPT(" ",99)),(ROW($1:$8)-1)*99+1,99)),IFERROR(('Final Calculation Sheet'!$B$12)&amp;"",""))))&gt;0,AND(ISNUMBER(SEARCH("blank",$D$4)),NOT(ISNUMBER(SEARCH("nonblank",$D$4))),IFERROR(('Final Calculation Sheet'!$B$12)&amp;"","")=""),AND(OR(ISNUMBER(SEARCH("nonblank",$D$4)),ISNUMBER(SEARCH("&lt;&gt;",$D$4))),IFERROR(('Final Calculation Sheet'!$B$12)&amp;"","")&lt;&gt;""),AND(TRIM($D$4)="",IFERROR(('Final Calculation Sheet'!$B$12)&amp;"","")=""))))</f>
        <v/>
      </c>
      <c r="BQ13">
        <f>IF($E$4="",1,--(OR(SUMPRODUCT(--(TRIM(MID(SUBSTITUTE(SUBSTITUTE($E$4,"/",","),",",REPT(" ",99)),(ROW($1:$8)-1)*99+1,99))&lt;&gt;""),--ISNUMBER(SEARCH(TRIM(MID(SUBSTITUTE(SUBSTITUTE($E$4,"/",","),",",REPT(" ",99)),(ROW($1:$8)-1)*99+1,99)),IFERROR(('Final Calculation Sheet'!$D$12)&amp;"",""))))&gt;0,AND(ISNUMBER(SEARCH("blank",$E$4)),NOT(ISNUMBER(SEARCH("nonblank",$E$4))),IFERROR(('Final Calculation Sheet'!$D$12)&amp;"","")=""),AND(OR(ISNUMBER(SEARCH("nonblank",$E$4)),ISNUMBER(SEARCH("&lt;&gt;",$E$4))),IFERROR(('Final Calculation Sheet'!$D$12)&amp;"","")&lt;&gt;""),AND(TRIM($E$4)="",IFERROR(('Final Calculation Sheet'!$D$12)&amp;"","")=""))))</f>
        <v/>
      </c>
      <c r="BR13">
        <f>IF($F$4="",1,--(OR(SUMPRODUCT(--(TRIM(MID(SUBSTITUTE(SUBSTITUTE($F$4,"/",","),",",REPT(" ",99)),(ROW($1:$8)-1)*99+1,99))&lt;&gt;""),--ISNUMBER(SEARCH(TRIM(MID(SUBSTITUTE(SUBSTITUTE($F$4,"/",","),",",REPT(" ",99)),(ROW($1:$8)-1)*99+1,99)),IFERROR(('Final Calculation Sheet'!$A$12)&amp;"",""))))&gt;0,AND(ISNUMBER(SEARCH("blank",$F$4)),NOT(ISNUMBER(SEARCH("nonblank",$F$4))),IFERROR(('Final Calculation Sheet'!$A$12)&amp;"","")=""),AND(OR(ISNUMBER(SEARCH("nonblank",$F$4)),ISNUMBER(SEARCH("&lt;&gt;",$F$4))),IFERROR(('Final Calculation Sheet'!$A$12)&amp;"","")&lt;&gt;""),AND(TRIM($F$4)="",IFERROR(('Final Calculation Sheet'!$A$12)&amp;"","")=""))))</f>
        <v/>
      </c>
      <c r="BS13">
        <f>IF($G$4="",1,--(OR(SUMPRODUCT(--(TRIM(MID(SUBSTITUTE(SUBSTITUTE($G$4,"/",","),",",REPT(" ",99)),(ROW($1:$8)-1)*99+1,99))&lt;&gt;""),--ISNUMBER(SEARCH(TRIM(MID(SUBSTITUTE(SUBSTITUTE($G$4,"/",","),",",REPT(" ",99)),(ROW($1:$8)-1)*99+1,99)),IFERROR(('Final Calculation Sheet'!$E$12)&amp;"",""))))&gt;0,AND(ISNUMBER(SEARCH("blank",$G$4)),NOT(ISNUMBER(SEARCH("nonblank",$G$4))),IFERROR(('Final Calculation Sheet'!$E$12)&amp;"","")=""),AND(OR(ISNUMBER(SEARCH("nonblank",$G$4)),ISNUMBER(SEARCH("&lt;&gt;",$G$4))),IFERROR(('Final Calculation Sheet'!$E$12)&amp;"","")&lt;&gt;""),AND(TRIM($G$4)="",IFERROR(('Final Calculation Sheet'!$E$12)&amp;"","")=""))))</f>
        <v/>
      </c>
      <c r="BT13">
        <f>IF($H$4="",1,--(OR(SUMPRODUCT(--(TRIM(MID(SUBSTITUTE(SUBSTITUTE($H$4,"/",","),",",REPT(" ",99)),(ROW($1:$8)-1)*99+1,99))&lt;&gt;""),--ISNUMBER(SEARCH(TRIM(MID(SUBSTITUTE(SUBSTITUTE($H$4,"/",","),",",REPT(" ",99)),(ROW($1:$8)-1)*99+1,99)),IFERROR(('Final Calculation Sheet'!$C$12)&amp;"",""))))&gt;0,AND(ISNUMBER(SEARCH("blank",$H$4)),NOT(ISNUMBER(SEARCH("nonblank",$H$4))),IFERROR(('Final Calculation Sheet'!$C$12)&amp;"","")=""),AND(OR(ISNUMBER(SEARCH("nonblank",$H$4)),ISNUMBER(SEARCH("&lt;&gt;",$H$4))),IFERROR(('Final Calculation Sheet'!$C$12)&amp;"","")&lt;&gt;""),AND(TRIM($H$4)="",IFERROR(('Final Calculation Sheet'!$C$12)&amp;"","")=""))))</f>
        <v/>
      </c>
      <c r="BU13">
        <f>IF($I$4="",1,--(OR(SUMPRODUCT(--(TRIM(MID(SUBSTITUTE(SUBSTITUTE($I$4,"/",","),",",REPT(" ",99)),(ROW($1:$8)-1)*99+1,99))&lt;&gt;""),--ISNUMBER(SEARCH(TRIM(MID(SUBSTITUTE(SUBSTITUTE($I$4,"/",","),",",REPT(" ",99)),(ROW($1:$8)-1)*99+1,99)),IFERROR(('Final Calculation Sheet'!$H$12)&amp;"",""))))&gt;0,AND(ISNUMBER(SEARCH("blank",$I$4)),NOT(ISNUMBER(SEARCH("nonblank",$I$4))),IFERROR(('Final Calculation Sheet'!$H$12)&amp;"","")=""),AND(OR(ISNUMBER(SEARCH("nonblank",$I$4)),ISNUMBER(SEARCH("&lt;&gt;",$I$4))),IFERROR(('Final Calculation Sheet'!$H$12)&amp;"","")&lt;&gt;""),AND(TRIM($I$4)="",IFERROR(('Final Calculation Sheet'!$H$12)&amp;"","")=""))))</f>
        <v/>
      </c>
      <c r="BV13">
        <f>IF($J$4="",1,--(OR(SUMPRODUCT(--(TRIM(MID(SUBSTITUTE(SUBSTITUTE($J$4,"/",","),",",REPT(" ",99)),(ROW($1:$8)-1)*99+1,99))&lt;&gt;""),--ISNUMBER(SEARCH(TRIM(MID(SUBSTITUTE(SUBSTITUTE($J$4,"/",","),",",REPT(" ",99)),(ROW($1:$8)-1)*99+1,99)),IFERROR(('Final Calculation Sheet'!$I$12)&amp;"",""))))&gt;0,AND(ISNUMBER(SEARCH("blank",$J$4)),NOT(ISNUMBER(SEARCH("nonblank",$J$4))),IFERROR(('Final Calculation Sheet'!$I$12)&amp;"","")=""),AND(OR(ISNUMBER(SEARCH("nonblank",$J$4)),ISNUMBER(SEARCH("&lt;&gt;",$J$4))),IFERROR(('Final Calculation Sheet'!$I$12)&amp;"","")&lt;&gt;""),AND(TRIM($J$4)="",IFERROR(('Final Calculation Sheet'!$I$12)&amp;"","")=""))))</f>
        <v/>
      </c>
      <c r="BW13">
        <f>IF($K$4="",1,--(OR(SUMPRODUCT(--(TRIM(MID(SUBSTITUTE(SUBSTITUTE($K$4,"/",","),",",REPT(" ",99)),(ROW($1:$8)-1)*99+1,99))&lt;&gt;""),--ISNUMBER(SEARCH(TRIM(MID(SUBSTITUTE(SUBSTITUTE($K$4,"/",","),",",REPT(" ",99)),(ROW($1:$8)-1)*99+1,99)),IFERROR(('Final Calculation Sheet'!$J$12)&amp;"",""))))&gt;0,AND(ISNUMBER(SEARCH("blank",$K$4)),NOT(ISNUMBER(SEARCH("nonblank",$K$4))),IFERROR(('Final Calculation Sheet'!$J$12)&amp;"","")=""),AND(OR(ISNUMBER(SEARCH("nonblank",$K$4)),ISNUMBER(SEARCH("&lt;&gt;",$K$4))),IFERROR(('Final Calculation Sheet'!$J$12)&amp;"","")&lt;&gt;""),AND(TRIM($K$4)="",IFERROR(('Final Calculation Sheet'!$J$12)&amp;"","")=""))))</f>
        <v/>
      </c>
      <c r="BX13">
        <f>IF($L$4="",1,--(OR(SUMPRODUCT(--(TRIM(MID(SUBSTITUTE(SUBSTITUTE($L$4,"/",","),",",REPT(" ",99)),(ROW($1:$8)-1)*99+1,99))&lt;&gt;""),--ISNUMBER(SEARCH(TRIM(MID(SUBSTITUTE(SUBSTITUTE($L$4,"/",","),",",REPT(" ",99)),(ROW($1:$8)-1)*99+1,99)),IFERROR(('Final Calculation Sheet'!$K$12)&amp;"",""))))&gt;0,AND(ISNUMBER(SEARCH("blank",$L$4)),NOT(ISNUMBER(SEARCH("nonblank",$L$4))),IFERROR(('Final Calculation Sheet'!$K$12)&amp;"","")=""),AND(OR(ISNUMBER(SEARCH("nonblank",$L$4)),ISNUMBER(SEARCH("&lt;&gt;",$L$4))),IFERROR(('Final Calculation Sheet'!$K$12)&amp;"","")&lt;&gt;""),AND(TRIM($L$4)="",IFERROR(('Final Calculation Sheet'!$K$12)&amp;"","")=""))))</f>
        <v/>
      </c>
      <c r="BY13">
        <f>IF($M$4="",1,--(OR(SUMPRODUCT(--(TRIM(MID(SUBSTITUTE(SUBSTITUTE($M$4,"/",","),",",REPT(" ",99)),(ROW($1:$8)-1)*99+1,99))&lt;&gt;""),--ISNUMBER(SEARCH(TRIM(MID(SUBSTITUTE(SUBSTITUTE($M$4,"/",","),",",REPT(" ",99)),(ROW($1:$8)-1)*99+1,99)),IFERROR(('Final Calculation Sheet'!$L$12)&amp;"",""))))&gt;0,AND(ISNUMBER(SEARCH("blank",$M$4)),NOT(ISNUMBER(SEARCH("nonblank",$M$4))),IFERROR(('Final Calculation Sheet'!$L$12)&amp;"","")=""),AND(OR(ISNUMBER(SEARCH("nonblank",$M$4)),ISNUMBER(SEARCH("&lt;&gt;",$M$4))),IFERROR(('Final Calculation Sheet'!$L$12)&amp;"","")&lt;&gt;""),AND(TRIM($M$4)="",IFERROR(('Final Calculation Sheet'!$L$12)&amp;"","")=""))))</f>
        <v/>
      </c>
      <c r="BZ13">
        <f>IF($N$4="",1,--(OR(SUMPRODUCT(--(TRIM(MID(SUBSTITUTE(SUBSTITUTE($N$4,"/",","),",",REPT(" ",99)),(ROW($1:$8)-1)*99+1,99))&lt;&gt;""),--ISNUMBER(SEARCH(TRIM(MID(SUBSTITUTE(SUBSTITUTE($N$4,"/",","),",",REPT(" ",99)),(ROW($1:$8)-1)*99+1,99)),IFERROR(('Final Calculation Sheet'!$M$12)&amp;"",""))))&gt;0,AND(ISNUMBER(SEARCH("blank",$N$4)),NOT(ISNUMBER(SEARCH("nonblank",$N$4))),IFERROR(('Final Calculation Sheet'!$M$12)&amp;"","")=""),AND(OR(ISNUMBER(SEARCH("nonblank",$N$4)),ISNUMBER(SEARCH("&lt;&gt;",$N$4))),IFERROR(('Final Calculation Sheet'!$M$12)&amp;"","")&lt;&gt;""),AND(TRIM($N$4)="",IFERROR(('Final Calculation Sheet'!$M$12)&amp;"","")=""))))</f>
        <v/>
      </c>
      <c r="CA13">
        <f>IF($O$4="",1,--(OR(SUMPRODUCT(--(TRIM(MID(SUBSTITUTE(SUBSTITUTE($O$4,"/",","),",",REPT(" ",99)),(ROW($1:$8)-1)*99+1,99))&lt;&gt;""),--ISNUMBER(SEARCH(TRIM(MID(SUBSTITUTE(SUBSTITUTE($O$4,"/",","),",",REPT(" ",99)),(ROW($1:$8)-1)*99+1,99)),IFERROR(('Final Calculation Sheet'!$N$12)&amp;"",""))))&gt;0,AND(ISNUMBER(SEARCH("blank",$O$4)),NOT(ISNUMBER(SEARCH("nonblank",$O$4))),IFERROR(('Final Calculation Sheet'!$N$12)&amp;"","")=""),AND(OR(ISNUMBER(SEARCH("nonblank",$O$4)),ISNUMBER(SEARCH("&lt;&gt;",$O$4))),IFERROR(('Final Calculation Sheet'!$N$12)&amp;"","")&lt;&gt;""),AND(TRIM($O$4)="",IFERROR(('Final Calculation Sheet'!$N$12)&amp;"","")=""))))</f>
        <v/>
      </c>
      <c r="CB13">
        <f>IF($P$4="",1,--(OR(SUMPRODUCT(--(TRIM(MID(SUBSTITUTE(SUBSTITUTE($P$4,"/",","),",",REPT(" ",99)),(ROW($1:$8)-1)*99+1,99))&lt;&gt;""),--ISNUMBER(SEARCH(TRIM(MID(SUBSTITUTE(SUBSTITUTE($P$4,"/",","),",",REPT(" ",99)),(ROW($1:$8)-1)*99+1,99)),IFERROR(('Final Calculation Sheet'!$O$12)&amp;"",""))))&gt;0,AND(ISNUMBER(SEARCH("blank",$P$4)),NOT(ISNUMBER(SEARCH("nonblank",$P$4))),IFERROR(('Final Calculation Sheet'!$O$12)&amp;"","")=""),AND(OR(ISNUMBER(SEARCH("nonblank",$P$4)),ISNUMBER(SEARCH("&lt;&gt;",$P$4))),IFERROR(('Final Calculation Sheet'!$O$12)&amp;"","")&lt;&gt;""),AND(TRIM($P$4)="",IFERROR(('Final Calculation Sheet'!$O$12)&amp;"","")=""))))</f>
        <v/>
      </c>
      <c r="CC13">
        <f>IF($Q$4="",1,--(OR(SUMPRODUCT(--(TRIM(MID(SUBSTITUTE(SUBSTITUTE($Q$4,"/",","),",",REPT(" ",99)),(ROW($1:$8)-1)*99+1,99))&lt;&gt;""),--ISNUMBER(SEARCH(TRIM(MID(SUBSTITUTE(SUBSTITUTE($Q$4,"/",","),",",REPT(" ",99)),(ROW($1:$8)-1)*99+1,99)),IFERROR(('Final Calculation Sheet'!$P$12)&amp;"",""))))&gt;0,AND(ISNUMBER(SEARCH("blank",$Q$4)),NOT(ISNUMBER(SEARCH("nonblank",$Q$4))),IFERROR(('Final Calculation Sheet'!$P$12)&amp;"","")=""),AND(OR(ISNUMBER(SEARCH("nonblank",$Q$4)),ISNUMBER(SEARCH("&lt;&gt;",$Q$4))),IFERROR(('Final Calculation Sheet'!$P$12)&amp;"","")&lt;&gt;""),AND(TRIM($Q$4)="",IFERROR(('Final Calculation Sheet'!$P$12)&amp;"","")=""))))</f>
        <v/>
      </c>
      <c r="CD13">
        <f>IF($R$4="",1,--(OR(SUMPRODUCT(--(TRIM(MID(SUBSTITUTE(SUBSTITUTE($R$4,"/",","),",",REPT(" ",99)),(ROW($1:$8)-1)*99+1,99))&lt;&gt;""),--ISNUMBER(SEARCH(TRIM(MID(SUBSTITUTE(SUBSTITUTE($R$4,"/",","),",",REPT(" ",99)),(ROW($1:$8)-1)*99+1,99)),IFERROR(('Final Calculation Sheet'!$Q$12)&amp;"",""))))&gt;0,AND(ISNUMBER(SEARCH("blank",$R$4)),NOT(ISNUMBER(SEARCH("nonblank",$R$4))),IFERROR(('Final Calculation Sheet'!$Q$12)&amp;"","")=""),AND(OR(ISNUMBER(SEARCH("nonblank",$R$4)),ISNUMBER(SEARCH("&lt;&gt;",$R$4))),IFERROR(('Final Calculation Sheet'!$Q$12)&amp;"","")&lt;&gt;""),AND(TRIM($R$4)="",IFERROR(('Final Calculation Sheet'!$Q$12)&amp;"","")=""))))</f>
        <v/>
      </c>
      <c r="CE13">
        <f>IF($S$4="",1,--(OR(SUMPRODUCT(--(TRIM(MID(SUBSTITUTE(SUBSTITUTE($S$4,"/",","),",",REPT(" ",99)),(ROW($1:$8)-1)*99+1,99))&lt;&gt;""),--ISNUMBER(SEARCH(TRIM(MID(SUBSTITUTE(SUBSTITUTE($S$4,"/",","),",",REPT(" ",99)),(ROW($1:$8)-1)*99+1,99)),IFERROR(('Final Calculation Sheet'!$R$12)&amp;"",""))))&gt;0,AND(ISNUMBER(SEARCH("blank",$S$4)),NOT(ISNUMBER(SEARCH("nonblank",$S$4))),IFERROR(('Final Calculation Sheet'!$R$12)&amp;"","")=""),AND(OR(ISNUMBER(SEARCH("nonblank",$S$4)),ISNUMBER(SEARCH("&lt;&gt;",$S$4))),IFERROR(('Final Calculation Sheet'!$R$12)&amp;"","")&lt;&gt;""),AND(TRIM($S$4)="",IFERROR(('Final Calculation Sheet'!$R$12)&amp;"","")=""))))</f>
        <v/>
      </c>
      <c r="CF13">
        <f>IF($T$4="",1,--(OR(SUMPRODUCT(--(TRIM(MID(SUBSTITUTE(SUBSTITUTE($T$4,"/",","),",",REPT(" ",99)),(ROW($1:$8)-1)*99+1,99))&lt;&gt;""),--ISNUMBER(SEARCH(TRIM(MID(SUBSTITUTE(SUBSTITUTE($T$4,"/",","),",",REPT(" ",99)),(ROW($1:$8)-1)*99+1,99)),IFERROR(('Final Calculation Sheet'!$S$12)&amp;"",""))))&gt;0,AND(ISNUMBER(SEARCH("blank",$T$4)),NOT(ISNUMBER(SEARCH("nonblank",$T$4))),IFERROR(('Final Calculation Sheet'!$S$12)&amp;"","")=""),AND(OR(ISNUMBER(SEARCH("nonblank",$T$4)),ISNUMBER(SEARCH("&lt;&gt;",$T$4))),IFERROR(('Final Calculation Sheet'!$S$12)&amp;"","")&lt;&gt;""),AND(TRIM($T$4)="",IFERROR(('Final Calculation Sheet'!$S$12)&amp;"","")=""))))</f>
        <v/>
      </c>
      <c r="CG13">
        <f>IF($U$4="",1,--(OR(SUMPRODUCT(--(TRIM(MID(SUBSTITUTE(SUBSTITUTE($U$4,"/",","),",",REPT(" ",99)),(ROW($1:$8)-1)*99+1,99))&lt;&gt;""),--ISNUMBER(SEARCH(TRIM(MID(SUBSTITUTE(SUBSTITUTE($U$4,"/",","),",",REPT(" ",99)),(ROW($1:$8)-1)*99+1,99)),IFERROR(('Final Calculation Sheet'!$T$12)&amp;"",""))))&gt;0,AND(ISNUMBER(SEARCH("blank",$U$4)),NOT(ISNUMBER(SEARCH("nonblank",$U$4))),IFERROR(('Final Calculation Sheet'!$T$12)&amp;"","")=""),AND(OR(ISNUMBER(SEARCH("nonblank",$U$4)),ISNUMBER(SEARCH("&lt;&gt;",$U$4))),IFERROR(('Final Calculation Sheet'!$T$12)&amp;"","")&lt;&gt;""),AND(TRIM($U$4)="",IFERROR(('Final Calculation Sheet'!$T$12)&amp;"","")=""))))</f>
        <v/>
      </c>
      <c r="CH13">
        <f>IF($V$4="",1,--(OR(SUMPRODUCT(--(TRIM(MID(SUBSTITUTE(SUBSTITUTE($V$4,"/",","),",",REPT(" ",99)),(ROW($1:$8)-1)*99+1,99))&lt;&gt;""),--ISNUMBER(SEARCH(TRIM(MID(SUBSTITUTE(SUBSTITUTE($V$4,"/",","),",",REPT(" ",99)),(ROW($1:$8)-1)*99+1,99)),IFERROR(('Final Calculation Sheet'!$U$12)&amp;"",""))))&gt;0,AND(ISNUMBER(SEARCH("blank",$V$4)),NOT(ISNUMBER(SEARCH("nonblank",$V$4))),IFERROR(('Final Calculation Sheet'!$U$12)&amp;"","")=""),AND(OR(ISNUMBER(SEARCH("nonblank",$V$4)),ISNUMBER(SEARCH("&lt;&gt;",$V$4))),IFERROR(('Final Calculation Sheet'!$U$12)&amp;"","")&lt;&gt;""),AND(TRIM($V$4)="",IFERROR(('Final Calculation Sheet'!$U$12)&amp;"","")=""))))</f>
        <v/>
      </c>
      <c r="CI13">
        <f>IF($W$4="",1,--(OR(SUMPRODUCT(--(TRIM(MID(SUBSTITUTE(SUBSTITUTE($W$4,"/",","),",",REPT(" ",99)),(ROW($1:$8)-1)*99+1,99))&lt;&gt;""),--ISNUMBER(SEARCH(TRIM(MID(SUBSTITUTE(SUBSTITUTE($W$4,"/",","),",",REPT(" ",99)),(ROW($1:$8)-1)*99+1,99)),IFERROR(('Final Calculation Sheet'!$V$12)&amp;"",""))))&gt;0,AND(ISNUMBER(SEARCH("blank",$W$4)),NOT(ISNUMBER(SEARCH("nonblank",$W$4))),IFERROR(('Final Calculation Sheet'!$V$12)&amp;"","")=""),AND(OR(ISNUMBER(SEARCH("nonblank",$W$4)),ISNUMBER(SEARCH("&lt;&gt;",$W$4))),IFERROR(('Final Calculation Sheet'!$V$12)&amp;"","")&lt;&gt;""),AND(TRIM($W$4)="",IFERROR(('Final Calculation Sheet'!$V$12)&amp;"","")=""))))</f>
        <v/>
      </c>
      <c r="CJ13">
        <f>IF($X$4="",1,--(OR(SUMPRODUCT(--(TRIM(MID(SUBSTITUTE(SUBSTITUTE($X$4,"/",","),",",REPT(" ",99)),(ROW($1:$8)-1)*99+1,99))&lt;&gt;""),--ISNUMBER(SEARCH(TRIM(MID(SUBSTITUTE(SUBSTITUTE($X$4,"/",","),",",REPT(" ",99)),(ROW($1:$8)-1)*99+1,99)),IFERROR(('Final Calculation Sheet'!$W$12)&amp;"",""))))&gt;0,AND(ISNUMBER(SEARCH("blank",$X$4)),NOT(ISNUMBER(SEARCH("nonblank",$X$4))),IFERROR(('Final Calculation Sheet'!$W$12)&amp;"","")=""),AND(OR(ISNUMBER(SEARCH("nonblank",$X$4)),ISNUMBER(SEARCH("&lt;&gt;",$X$4))),IFERROR(('Final Calculation Sheet'!$W$12)&amp;"","")&lt;&gt;""),AND(TRIM($X$4)="",IFERROR(('Final Calculation Sheet'!$W$12)&amp;"","")=""))))</f>
        <v/>
      </c>
      <c r="CK13">
        <f>IF($Y$4="",1,--(OR(SUMPRODUCT(--(TRIM(MID(SUBSTITUTE(SUBSTITUTE($Y$4,"/",","),",",REPT(" ",99)),(ROW($1:$8)-1)*99+1,99))&lt;&gt;""),--ISNUMBER(SEARCH(TRIM(MID(SUBSTITUTE(SUBSTITUTE($Y$4,"/",","),",",REPT(" ",99)),(ROW($1:$8)-1)*99+1,99)),IFERROR(('Final Calculation Sheet'!$X$12)&amp;"",""))))&gt;0,AND(ISNUMBER(SEARCH("blank",$Y$4)),NOT(ISNUMBER(SEARCH("nonblank",$Y$4))),IFERROR(('Final Calculation Sheet'!$X$12)&amp;"","")=""),AND(OR(ISNUMBER(SEARCH("nonblank",$Y$4)),ISNUMBER(SEARCH("&lt;&gt;",$Y$4))),IFERROR(('Final Calculation Sheet'!$X$12)&amp;"","")&lt;&gt;""),AND(TRIM($Y$4)="",IFERROR(('Final Calculation Sheet'!$X$12)&amp;"","")=""))))</f>
        <v/>
      </c>
      <c r="CL13">
        <f>IF($Z$4="",1,--(OR(SUMPRODUCT(--(TRIM(MID(SUBSTITUTE(SUBSTITUTE($Z$4,"/",","),",",REPT(" ",99)),(ROW($1:$8)-1)*99+1,99))&lt;&gt;""),--ISNUMBER(SEARCH(TRIM(MID(SUBSTITUTE(SUBSTITUTE($Z$4,"/",","),",",REPT(" ",99)),(ROW($1:$8)-1)*99+1,99)),IFERROR(('Final Calculation Sheet'!$Y$12)&amp;"",""))))&gt;0,AND(ISNUMBER(SEARCH("blank",$Z$4)),NOT(ISNUMBER(SEARCH("nonblank",$Z$4))),IFERROR(('Final Calculation Sheet'!$Y$12)&amp;"","")=""),AND(OR(ISNUMBER(SEARCH("nonblank",$Z$4)),ISNUMBER(SEARCH("&lt;&gt;",$Z$4))),IFERROR(('Final Calculation Sheet'!$Y$12)&amp;"","")&lt;&gt;""),AND(TRIM($Z$4)="",IFERROR(('Final Calculation Sheet'!$Y$12)&amp;"","")=""))))</f>
        <v/>
      </c>
      <c r="CM13">
        <f>IF($AA$4="",1,--(OR(SUMPRODUCT(--(TRIM(MID(SUBSTITUTE(SUBSTITUTE($AA$4,"/",","),",",REPT(" ",99)),(ROW($1:$8)-1)*99+1,99))&lt;&gt;""),--ISNUMBER(SEARCH(TRIM(MID(SUBSTITUTE(SUBSTITUTE($AA$4,"/",","),",",REPT(" ",99)),(ROW($1:$8)-1)*99+1,99)),IFERROR(('Final Calculation Sheet'!$Z$12)&amp;"",""))))&gt;0,AND(ISNUMBER(SEARCH("blank",$AA$4)),NOT(ISNUMBER(SEARCH("nonblank",$AA$4))),IFERROR(('Final Calculation Sheet'!$Z$12)&amp;"","")=""),AND(OR(ISNUMBER(SEARCH("nonblank",$AA$4)),ISNUMBER(SEARCH("&lt;&gt;",$AA$4))),IFERROR(('Final Calculation Sheet'!$Z$12)&amp;"","")&lt;&gt;""),AND(TRIM($AA$4)="",IFERROR(('Final Calculation Sheet'!$Z$12)&amp;"","")=""))))</f>
        <v/>
      </c>
      <c r="CN13">
        <f>IF($AB$4="",1,--(OR(SUMPRODUCT(--(TRIM(MID(SUBSTITUTE(SUBSTITUTE($AB$4,"/",","),",",REPT(" ",99)),(ROW($1:$8)-1)*99+1,99))&lt;&gt;""),--ISNUMBER(SEARCH(TRIM(MID(SUBSTITUTE(SUBSTITUTE($AB$4,"/",","),",",REPT(" ",99)),(ROW($1:$8)-1)*99+1,99)),IFERROR(('Final Calculation Sheet'!$AA$12)&amp;"",""))))&gt;0,AND(ISNUMBER(SEARCH("blank",$AB$4)),NOT(ISNUMBER(SEARCH("nonblank",$AB$4))),IFERROR(('Final Calculation Sheet'!$AA$12)&amp;"","")=""),AND(OR(ISNUMBER(SEARCH("nonblank",$AB$4)),ISNUMBER(SEARCH("&lt;&gt;",$AB$4))),IFERROR(('Final Calculation Sheet'!$AA$12)&amp;"","")&lt;&gt;""),AND(TRIM($AB$4)="",IFERROR(('Final Calculation Sheet'!$AA$12)&amp;"","")=""))))</f>
        <v/>
      </c>
      <c r="CO13">
        <f>IF($AC$4="",1,--(OR(SUMPRODUCT(--(TRIM(MID(SUBSTITUTE(SUBSTITUTE($AC$4,"/",","),",",REPT(" ",99)),(ROW($1:$8)-1)*99+1,99))&lt;&gt;""),--ISNUMBER(SEARCH(TRIM(MID(SUBSTITUTE(SUBSTITUTE($AC$4,"/",","),",",REPT(" ",99)),(ROW($1:$8)-1)*99+1,99)),IFERROR(('Final Calculation Sheet'!$AB$12)&amp;"",""))))&gt;0,AND(ISNUMBER(SEARCH("blank",$AC$4)),NOT(ISNUMBER(SEARCH("nonblank",$AC$4))),IFERROR(('Final Calculation Sheet'!$AB$12)&amp;"","")=""),AND(OR(ISNUMBER(SEARCH("nonblank",$AC$4)),ISNUMBER(SEARCH("&lt;&gt;",$AC$4))),IFERROR(('Final Calculation Sheet'!$AB$12)&amp;"","")&lt;&gt;""),AND(TRIM($AC$4)="",IFERROR(('Final Calculation Sheet'!$AB$12)&amp;"","")=""))))</f>
        <v/>
      </c>
      <c r="CP13">
        <f>IF($AD$4="",1,--(OR(SUMPRODUCT(--(TRIM(MID(SUBSTITUTE(SUBSTITUTE($AD$4,"/",","),",",REPT(" ",99)),(ROW($1:$8)-1)*99+1,99))&lt;&gt;""),--ISNUMBER(SEARCH(TRIM(MID(SUBSTITUTE(SUBSTITUTE($AD$4,"/",","),",",REPT(" ",99)),(ROW($1:$8)-1)*99+1,99)),IFERROR(('Final Calculation Sheet'!$AC$12)&amp;"",""))))&gt;0,AND(ISNUMBER(SEARCH("blank",$AD$4)),NOT(ISNUMBER(SEARCH("nonblank",$AD$4))),IFERROR(('Final Calculation Sheet'!$AC$12)&amp;"","")=""),AND(OR(ISNUMBER(SEARCH("nonblank",$AD$4)),ISNUMBER(SEARCH("&lt;&gt;",$AD$4))),IFERROR(('Final Calculation Sheet'!$AC$12)&amp;"","")&lt;&gt;""),AND(TRIM($AD$4)="",IFERROR(('Final Calculation Sheet'!$AC$12)&amp;"","")=""))))</f>
        <v/>
      </c>
      <c r="CQ13">
        <f>IF($AE$4="",1,--(OR(SUMPRODUCT(--(TRIM(MID(SUBSTITUTE(SUBSTITUTE($AE$4,"/",","),",",REPT(" ",99)),(ROW($1:$8)-1)*99+1,99))&lt;&gt;""),--ISNUMBER(SEARCH(TRIM(MID(SUBSTITUTE(SUBSTITUTE($AE$4,"/",","),",",REPT(" ",99)),(ROW($1:$8)-1)*99+1,99)),IFERROR(('Final Calculation Sheet'!$AD$12)&amp;"",""))))&gt;0,AND(ISNUMBER(SEARCH("blank",$AE$4)),NOT(ISNUMBER(SEARCH("nonblank",$AE$4))),IFERROR(('Final Calculation Sheet'!$AD$12)&amp;"","")=""),AND(OR(ISNUMBER(SEARCH("nonblank",$AE$4)),ISNUMBER(SEARCH("&lt;&gt;",$AE$4))),IFERROR(('Final Calculation Sheet'!$AD$12)&amp;"","")&lt;&gt;""),AND(TRIM($AE$4)="",IFERROR(('Final Calculation Sheet'!$AD$12)&amp;"","")=""))))</f>
        <v/>
      </c>
      <c r="CR13">
        <f>IF($AG$4="",1,--(OR(SUMPRODUCT(--(TRIM(MID(SUBSTITUTE(SUBSTITUTE($AG$4,"/",","),",",REPT(" ",99)),(ROW($1:$8)-1)*99+1,99))&lt;&gt;""),--ISNUMBER(SEARCH(TRIM(MID(SUBSTITUTE(SUBSTITUTE($AG$4,"/",","),",",REPT(" ",99)),(ROW($1:$8)-1)*99+1,99)),IFERROR(('Final Calculation Sheet'!$AF$12)&amp;"",""))))&gt;0,AND(ISNUMBER(SEARCH("blank",$AG$4)),NOT(ISNUMBER(SEARCH("nonblank",$AG$4))),IFERROR(('Final Calculation Sheet'!$AF$12)&amp;"","")=""),AND(OR(ISNUMBER(SEARCH("nonblank",$AG$4)),ISNUMBER(SEARCH("&lt;&gt;",$AG$4))),IFERROR(('Final Calculation Sheet'!$AF$12)&amp;"","")&lt;&gt;""),AND(TRIM($AG$4)="",IFERROR(('Final Calculation Sheet'!$AF$12)&amp;"","")=""))))</f>
        <v/>
      </c>
      <c r="CS13">
        <f>IF($AH$4="",1,--(OR(SUMPRODUCT(--(TRIM(MID(SUBSTITUTE(SUBSTITUTE($AH$4,"/",","),",",REPT(" ",99)),(ROW($1:$8)-1)*99+1,99))&lt;&gt;""),--ISNUMBER(SEARCH(TRIM(MID(SUBSTITUTE(SUBSTITUTE($AH$4,"/",","),",",REPT(" ",99)),(ROW($1:$8)-1)*99+1,99)),IFERROR(('Final Calculation Sheet'!$AG$12)&amp;"",""))))&gt;0,AND(ISNUMBER(SEARCH("blank",$AH$4)),NOT(ISNUMBER(SEARCH("nonblank",$AH$4))),IFERROR(('Final Calculation Sheet'!$AG$12)&amp;"","")=""),AND(OR(ISNUMBER(SEARCH("nonblank",$AH$4)),ISNUMBER(SEARCH("&lt;&gt;",$AH$4))),IFERROR(('Final Calculation Sheet'!$AG$12)&amp;"","")&lt;&gt;""),AND(TRIM($AH$4)="",IFERROR(('Final Calculation Sheet'!$AG$12)&amp;"","")=""))))</f>
        <v/>
      </c>
      <c r="CT13">
        <f>IF($AI$4="",1,--(OR(SUMPRODUCT(--(TRIM(MID(SUBSTITUTE(SUBSTITUTE($AI$4,"/",","),",",REPT(" ",99)),(ROW($1:$8)-1)*99+1,99))&lt;&gt;""),--ISNUMBER(SEARCH(TRIM(MID(SUBSTITUTE(SUBSTITUTE($AI$4,"/",","),",",REPT(" ",99)),(ROW($1:$8)-1)*99+1,99)),IFERROR(('Final Calculation Sheet'!$AH$12)&amp;"",""))))&gt;0,AND(ISNUMBER(SEARCH("blank",$AI$4)),NOT(ISNUMBER(SEARCH("nonblank",$AI$4))),IFERROR(('Final Calculation Sheet'!$AH$12)&amp;"","")=""),AND(OR(ISNUMBER(SEARCH("nonblank",$AI$4)),ISNUMBER(SEARCH("&lt;&gt;",$AI$4))),IFERROR(('Final Calculation Sheet'!$AH$12)&amp;"","")&lt;&gt;""),AND(TRIM($AI$4)="",IFERROR(('Final Calculation Sheet'!$AH$12)&amp;"","")=""))))</f>
        <v/>
      </c>
      <c r="CU13">
        <f>IF($AF$4="",1,--(OR(SUMPRODUCT(--(TRIM(MID(SUBSTITUTE(SUBSTITUTE($AF$4,"/",","),",",REPT(" ",99)),(ROW($1:$8)-1)*99+1,99))&lt;&gt;""),--ISNUMBER(SEARCH(TRIM(MID(SUBSTITUTE(SUBSTITUTE($AF$4,"/",","),",",REPT(" ",99)),(ROW($1:$8)-1)*99+1,99)),IFERROR((IF('Final Calculation Sheet'!$AD$12&lt;=5,"SETTLED","OUTSTANDING"))&amp;"",""))))&gt;0,AND(ISNUMBER(SEARCH("blank",$AF$4)),NOT(ISNUMBER(SEARCH("nonblank",$AF$4))),IFERROR((IF('Final Calculation Sheet'!$AD$12&lt;=5,"SETTLED","OUTSTANDING"))&amp;"","")=""),AND(OR(ISNUMBER(SEARCH("nonblank",$AF$4)),ISNUMBER(SEARCH("&lt;&gt;",$AF$4))),IFERROR((IF('Final Calculation Sheet'!$AD$12&lt;=5,"SETTLED","OUTSTANDING"))&amp;"","")&lt;&gt;""),AND(TRIM($AF$4)="",IFERROR((IF('Final Calculation Sheet'!$AD$12&lt;=5,"SETTLED","OUTSTANDING"))&amp;"","")=""))))</f>
        <v/>
      </c>
    </row>
    <row r="14" ht="15" customHeight="1" s="137">
      <c r="A14" s="67">
        <f>IF($BJ13&gt;0,INDEX($BA$5:$BA$41,MATCH(13,$BB$5:$BB$41,0)),IF(OR($BI13=1,$BL13=1,$BH13&gt;0),"∑",""))</f>
        <v/>
      </c>
      <c r="B14" s="76">
        <f>IF($BJ13&gt;0,IF(INDEX('Final Calculation Sheet'!$F$4:$F$40,$BJ13-3)="","",INDEX('Final Calculation Sheet'!$F$4:$F$40,$BJ13-3)),"")</f>
        <v/>
      </c>
      <c r="C14" s="76">
        <f>IF($BJ13&gt;0,IF(INDEX('Final Calculation Sheet'!$G$4:$G$40,$BJ13-3)="","",INDEX('Final Calculation Sheet'!$G$4:$G$40,$BJ13-3)),IF(OR($BI13=1,$BL13=1,$BH13&gt;0),IF($BI13=1,37,IF($BL13=1,37-INDEX($BD$4:$BD$13,10),INDEX($BD$4:$BD$13,$BH13)))&amp;" lot(s)",""))</f>
        <v/>
      </c>
      <c r="D14" s="80">
        <f>IF($BJ13&gt;0,IF(INDEX('Final Calculation Sheet'!$B$4:$B$40,$BJ13-3)="","",INDEX('Final Calculation Sheet'!$B$4:$B$40,$BJ13-3)),IF(OR($BI13=1,$BL13=1,$BH13&gt;0),IF($BI13=1,"GRAND TOTAL  —  matching + remaining",IF($BL13=1,"TOTAL MATCHED  —  every group together",IF($BH13=10,"REMAINING  —  did not match the search",IF($BH13=9,IF(COUNTIF($A$4:$AI$4,"&lt;&gt;")&gt;0,"FILTERED LOTS  —  column fields","ALL LOTS  —  nothing typed in the box"),"GROUP "&amp;$BH13&amp;" TOTAL  —  lots matching  "&amp;INDEX($AR$6:$AY$6,$BH13))))),""))</f>
        <v/>
      </c>
      <c r="E14" s="80">
        <f>IF($BJ13&gt;0,IF(INDEX('Final Calculation Sheet'!$D$4:$D$40,$BJ13-3)="","",INDEX('Final Calculation Sheet'!$D$4:$D$40,$BJ13-3)),IF(OR($BI13=1,$BL13=1,$BH13&gt;0),"–",""))</f>
        <v/>
      </c>
      <c r="F14" s="80">
        <f>IF($BJ13&gt;0,IF(INDEX('Final Calculation Sheet'!$A$4:$A$40,$BJ13-3)="","",INDEX('Final Calculation Sheet'!$A$4:$A$40,$BJ13-3)),IF(OR($BI13=1,$BL13=1,$BH13&gt;0),IF($BI13=1,SUM('Final Calculation Sheet'!$A$4:$A$40),IF($BL13=1,SUM('Final Calculation Sheet'!$A$4:$A$40)-SUMIFS('Final Calculation Sheet'!$A$4:$A$40,$AZ$5:$AZ$41,10),SUMIFS('Final Calculation Sheet'!$A$4:$A$40,$AZ$5:$AZ$41,$BH13))),""))</f>
        <v/>
      </c>
      <c r="G14" s="80">
        <f>IF($BJ13&gt;0,IF(INDEX('Final Calculation Sheet'!$E$4:$E$40,$BJ13-3)="","",INDEX('Final Calculation Sheet'!$E$4:$E$40,$BJ13-3)),IF(OR($BI13=1,$BL13=1,$BH13&gt;0),"–",""))</f>
        <v/>
      </c>
      <c r="H14" s="70">
        <f>IF($BJ13&gt;0,IF(INDEX('Final Calculation Sheet'!$C$4:$C$40,$BJ13-3)="","",INDEX('Final Calculation Sheet'!$C$4:$C$40,$BJ13-3)),IF(OR($BI13=1,$BL13=1,$BH13&gt;0),"–",""))</f>
        <v/>
      </c>
      <c r="I14" s="70">
        <f>IF($BJ13&gt;0,IF(INDEX('Final Calculation Sheet'!$H$4:$H$40,$BJ13-3)="","",INDEX('Final Calculation Sheet'!$H$4:$H$40,$BJ13-3)),IF(OR($BI13=1,$BL13=1,$BH13&gt;0),IF($BI13=1,SUM('Final Calculation Sheet'!$H$4:$H$40),IF($BL13=1,SUM('Final Calculation Sheet'!$H$4:$H$40)-SUMIFS('Final Calculation Sheet'!$H$4:$H$40,$AZ$5:$AZ$41,10),SUMIFS('Final Calculation Sheet'!$H$4:$H$40,$AZ$5:$AZ$41,$BH13))),""))</f>
        <v/>
      </c>
      <c r="J14" s="70">
        <f>IF($BJ13&gt;0,IF(INDEX('Final Calculation Sheet'!$I$4:$I$40,$BJ13-3)="","",INDEX('Final Calculation Sheet'!$I$4:$I$40,$BJ13-3)),IF(OR($BI13=1,$BL13=1,$BH13&gt;0),IF($BI13=1,SUM('Final Calculation Sheet'!$I$4:$I$40),IF($BL13=1,SUM('Final Calculation Sheet'!$I$4:$I$40)-SUMIFS('Final Calculation Sheet'!$I$4:$I$40,$AZ$5:$AZ$41,10),SUMIFS('Final Calculation Sheet'!$I$4:$I$40,$AZ$5:$AZ$41,$BH13))),""))</f>
        <v/>
      </c>
      <c r="K14" s="70">
        <f>IF($BJ13&gt;0,IF(INDEX('Final Calculation Sheet'!$J$4:$J$40,$BJ13-3)="","",INDEX('Final Calculation Sheet'!$J$4:$J$40,$BJ13-3)),IF(OR($BI13=1,$BL13=1,$BH13&gt;0),IF($BI13=1,SUM('Final Calculation Sheet'!$J$4:$J$40),IF($BL13=1,SUM('Final Calculation Sheet'!$J$4:$J$40)-SUMIFS('Final Calculation Sheet'!$J$4:$J$40,$AZ$5:$AZ$41,10),SUMIFS('Final Calculation Sheet'!$J$4:$J$40,$AZ$5:$AZ$41,$BH13))),""))</f>
        <v/>
      </c>
      <c r="L14" s="70">
        <f>IF($BJ13&gt;0,IF(INDEX('Final Calculation Sheet'!$K$4:$K$40,$BJ13-3)="","",INDEX('Final Calculation Sheet'!$K$4:$K$40,$BJ13-3)),IF(OR($BI13=1,$BL13=1,$BH13&gt;0),IF($BI13=1,SUM('Final Calculation Sheet'!$K$4:$K$40),IF($BL13=1,SUM('Final Calculation Sheet'!$K$4:$K$40)-SUMIFS('Final Calculation Sheet'!$K$4:$K$40,$AZ$5:$AZ$41,10),SUMIFS('Final Calculation Sheet'!$K$4:$K$40,$AZ$5:$AZ$41,$BH13))),""))</f>
        <v/>
      </c>
      <c r="M14" s="70">
        <f>IF($BJ13&gt;0,IF(INDEX('Final Calculation Sheet'!$L$4:$L$40,$BJ13-3)="","",INDEX('Final Calculation Sheet'!$L$4:$L$40,$BJ13-3)),IF(OR($BI13=1,$BL13=1,$BH13&gt;0),IF($BI13=1,SUM('Final Calculation Sheet'!$L$4:$L$40),IF($BL13=1,SUM('Final Calculation Sheet'!$L$4:$L$40)-SUMIFS('Final Calculation Sheet'!$L$4:$L$40,$AZ$5:$AZ$41,10),SUMIFS('Final Calculation Sheet'!$L$4:$L$40,$AZ$5:$AZ$41,$BH13))),""))</f>
        <v/>
      </c>
      <c r="N14" s="70">
        <f>IF($BJ13&gt;0,IF(INDEX('Final Calculation Sheet'!$M$4:$M$40,$BJ13-3)="","",INDEX('Final Calculation Sheet'!$M$4:$M$40,$BJ13-3)),IF(OR($BI13=1,$BL13=1,$BH13&gt;0),IF($BI13=1,SUM('Final Calculation Sheet'!$M$4:$M$40),IF($BL13=1,SUM('Final Calculation Sheet'!$M$4:$M$40)-SUMIFS('Final Calculation Sheet'!$M$4:$M$40,$AZ$5:$AZ$41,10),SUMIFS('Final Calculation Sheet'!$M$4:$M$40,$AZ$5:$AZ$41,$BH13))),""))</f>
        <v/>
      </c>
      <c r="O14" s="71">
        <f>IF($BJ13&gt;0,IF(INDEX('Final Calculation Sheet'!$N$4:$N$40,$BJ13-3)="","",INDEX('Final Calculation Sheet'!$N$4:$N$40,$BJ13-3)),IF(OR($BI13=1,$BL13=1,$BH13&gt;0),IF($BI13=1,SUM('Final Calculation Sheet'!$N$4:$N$40),IF($BL13=1,SUM('Final Calculation Sheet'!$N$4:$N$40)-SUMIFS('Final Calculation Sheet'!$N$4:$N$40,$AZ$5:$AZ$41,10),SUMIFS('Final Calculation Sheet'!$N$4:$N$40,$AZ$5:$AZ$41,$BH13))),""))</f>
        <v/>
      </c>
      <c r="P14" s="70">
        <f>IF($BJ13&gt;0,IF(INDEX('Final Calculation Sheet'!$O$4:$O$40,$BJ13-3)="","",INDEX('Final Calculation Sheet'!$O$4:$O$40,$BJ13-3)),IF(OR($BI13=1,$BL13=1,$BH13&gt;0),IF($BI13=1,SUM('Final Calculation Sheet'!$O$4:$O$40),IF($BL13=1,SUM('Final Calculation Sheet'!$O$4:$O$40)-SUMIFS('Final Calculation Sheet'!$O$4:$O$40,$AZ$5:$AZ$41,10),SUMIFS('Final Calculation Sheet'!$O$4:$O$40,$AZ$5:$AZ$41,$BH13))),""))</f>
        <v/>
      </c>
      <c r="Q14" s="70">
        <f>IF($BJ13&gt;0,IF(INDEX('Final Calculation Sheet'!$P$4:$P$40,$BJ13-3)="","",INDEX('Final Calculation Sheet'!$P$4:$P$40,$BJ13-3)),IF(OR($BI13=1,$BL13=1,$BH13&gt;0),IF($BI13=1,SUM('Final Calculation Sheet'!$P$4:$P$40),IF($BL13=1,SUM('Final Calculation Sheet'!$P$4:$P$40)-SUMIFS('Final Calculation Sheet'!$P$4:$P$40,$AZ$5:$AZ$41,10),SUMIFS('Final Calculation Sheet'!$P$4:$P$40,$AZ$5:$AZ$41,$BH13))),""))</f>
        <v/>
      </c>
      <c r="R14" s="72">
        <f>IF($BJ13&gt;0,IF(INDEX('Final Calculation Sheet'!$Q$4:$Q$40,$BJ13-3)="","",INDEX('Final Calculation Sheet'!$Q$4:$Q$40,$BJ13-3)),IF(OR($BI13=1,$BL13=1,$BH13&gt;0),"–",""))</f>
        <v/>
      </c>
      <c r="S14" s="70">
        <f>IF($BJ13&gt;0,IF(INDEX('Final Calculation Sheet'!$R$4:$R$40,$BJ13-3)="","",INDEX('Final Calculation Sheet'!$R$4:$R$40,$BJ13-3)),IF(OR($BI13=1,$BL13=1,$BH13&gt;0),IF($BI13=1,SUM('Final Calculation Sheet'!$R$4:$R$40),IF($BL13=1,SUM('Final Calculation Sheet'!$R$4:$R$40)-SUMIFS('Final Calculation Sheet'!$R$4:$R$40,$AZ$5:$AZ$41,10),SUMIFS('Final Calculation Sheet'!$R$4:$R$40,$AZ$5:$AZ$41,$BH13))),""))</f>
        <v/>
      </c>
      <c r="T14" s="70">
        <f>IF($BJ13&gt;0,IF(INDEX('Final Calculation Sheet'!$S$4:$S$40,$BJ13-3)="","",INDEX('Final Calculation Sheet'!$S$4:$S$40,$BJ13-3)),IF(OR($BI13=1,$BL13=1,$BH13&gt;0),IF($BI13=1,SUM('Final Calculation Sheet'!$S$4:$S$40),IF($BL13=1,SUM('Final Calculation Sheet'!$S$4:$S$40)-SUMIFS('Final Calculation Sheet'!$S$4:$S$40,$AZ$5:$AZ$41,10),SUMIFS('Final Calculation Sheet'!$S$4:$S$40,$AZ$5:$AZ$41,$BH13))),""))</f>
        <v/>
      </c>
      <c r="U14" s="70">
        <f>IF($BJ13&gt;0,IF(INDEX('Final Calculation Sheet'!$T$4:$T$40,$BJ13-3)="","",INDEX('Final Calculation Sheet'!$T$4:$T$40,$BJ13-3)),IF(OR($BI13=1,$BL13=1,$BH13&gt;0),IF($BI13=1,SUM('Final Calculation Sheet'!$T$4:$T$40),IF($BL13=1,SUM('Final Calculation Sheet'!$T$4:$T$40)-SUMIFS('Final Calculation Sheet'!$T$4:$T$40,$AZ$5:$AZ$41,10),SUMIFS('Final Calculation Sheet'!$T$4:$T$40,$AZ$5:$AZ$41,$BH13))),""))</f>
        <v/>
      </c>
      <c r="V14" s="73">
        <f>IF($BJ13&gt;0,IF(INDEX('Final Calculation Sheet'!$U$4:$U$40,$BJ13-3)="","",INDEX('Final Calculation Sheet'!$U$4:$U$40,$BJ13-3)),IF(OR($BI13=1,$BL13=1,$BH13&gt;0),IF($BI13=1,SUM('Final Calculation Sheet'!$U$4:$U$40),IF($BL13=1,SUM('Final Calculation Sheet'!$U$4:$U$40)-SUMIFS('Final Calculation Sheet'!$U$4:$U$40,$AZ$5:$AZ$41,10),SUMIFS('Final Calculation Sheet'!$U$4:$U$40,$AZ$5:$AZ$41,$BH13))),""))</f>
        <v/>
      </c>
      <c r="W14" s="70">
        <f>IF($BJ13&gt;0,IF(INDEX('Final Calculation Sheet'!$V$4:$V$40,$BJ13-3)="","",INDEX('Final Calculation Sheet'!$V$4:$V$40,$BJ13-3)),IF(OR($BI13=1,$BL13=1,$BH13&gt;0),"–",""))</f>
        <v/>
      </c>
      <c r="X14" s="70">
        <f>IF($BJ13&gt;0,IF(INDEX('Final Calculation Sheet'!$W$4:$W$40,$BJ13-3)="","",INDEX('Final Calculation Sheet'!$W$4:$W$40,$BJ13-3)),IF(OR($BI13=1,$BL13=1,$BH13&gt;0),IF($BI13=1,SUM('Final Calculation Sheet'!$W$4:$W$40),IF($BL13=1,SUM('Final Calculation Sheet'!$W$4:$W$40)-SUMIFS('Final Calculation Sheet'!$W$4:$W$40,$AZ$5:$AZ$41,10),SUMIFS('Final Calculation Sheet'!$W$4:$W$40,$AZ$5:$AZ$41,$BH13))),""))</f>
        <v/>
      </c>
      <c r="Y14" s="70">
        <f>IF($BJ13&gt;0,IF(INDEX('Final Calculation Sheet'!$X$4:$X$40,$BJ13-3)="","",INDEX('Final Calculation Sheet'!$X$4:$X$40,$BJ13-3)),IF(OR($BI13=1,$BL13=1,$BH13&gt;0),IF($BI13=1,SUM('Final Calculation Sheet'!$X$4:$X$40),IF($BL13=1,SUM('Final Calculation Sheet'!$X$4:$X$40)-SUMIFS('Final Calculation Sheet'!$X$4:$X$40,$AZ$5:$AZ$41,10),SUMIFS('Final Calculation Sheet'!$X$4:$X$40,$AZ$5:$AZ$41,$BH13))),""))</f>
        <v/>
      </c>
      <c r="Z14" s="70">
        <f>IF($BJ13&gt;0,IF(INDEX('Final Calculation Sheet'!$Y$4:$Y$40,$BJ13-3)="","",INDEX('Final Calculation Sheet'!$Y$4:$Y$40,$BJ13-3)),IF(OR($BI13=1,$BL13=1,$BH13&gt;0),"–",""))</f>
        <v/>
      </c>
      <c r="AA14" s="70">
        <f>IF($BJ13&gt;0,IF(INDEX('Final Calculation Sheet'!$Z$4:$Z$40,$BJ13-3)="","",INDEX('Final Calculation Sheet'!$Z$4:$Z$40,$BJ13-3)),IF(OR($BI13=1,$BL13=1,$BH13&gt;0),IF($BI13=1,SUM('Final Calculation Sheet'!$Z$4:$Z$40),IF($BL13=1,SUM('Final Calculation Sheet'!$Z$4:$Z$40)-SUMIFS('Final Calculation Sheet'!$Z$4:$Z$40,$AZ$5:$AZ$41,10),SUMIFS('Final Calculation Sheet'!$Z$4:$Z$40,$AZ$5:$AZ$41,$BH13))),""))</f>
        <v/>
      </c>
      <c r="AB14" s="70">
        <f>IF($BJ13&gt;0,IF(INDEX('Final Calculation Sheet'!$AA$4:$AA$40,$BJ13-3)="","",INDEX('Final Calculation Sheet'!$AA$4:$AA$40,$BJ13-3)),IF(OR($BI13=1,$BL13=1,$BH13&gt;0),IF($BI13=1,SUM('Final Calculation Sheet'!$AA$4:$AA$40),IF($BL13=1,SUM('Final Calculation Sheet'!$AA$4:$AA$40)-SUMIFS('Final Calculation Sheet'!$AA$4:$AA$40,$AZ$5:$AZ$41,10),SUMIFS('Final Calculation Sheet'!$AA$4:$AA$40,$AZ$5:$AZ$41,$BH13))),""))</f>
        <v/>
      </c>
      <c r="AC14" s="70">
        <f>IF($BJ13&gt;0,IF(INDEX('Final Calculation Sheet'!$AB$4:$AB$40,$BJ13-3)="","",INDEX('Final Calculation Sheet'!$AB$4:$AB$40,$BJ13-3)),IF(OR($BI13=1,$BL13=1,$BH13&gt;0),"–",""))</f>
        <v/>
      </c>
      <c r="AD14" s="70">
        <f>IF($BJ13&gt;0,IF(INDEX('Final Calculation Sheet'!$AC$4:$AC$40,$BJ13-3)="","",INDEX('Final Calculation Sheet'!$AC$4:$AC$40,$BJ13-3)),IF(OR($BI13=1,$BL13=1,$BH13&gt;0),IF($BI13=1,SUM('Final Calculation Sheet'!$AC$4:$AC$40),IF($BL13=1,SUM('Final Calculation Sheet'!$AC$4:$AC$40)-SUMIFS('Final Calculation Sheet'!$AC$4:$AC$40,$AZ$5:$AZ$41,10),SUMIFS('Final Calculation Sheet'!$AC$4:$AC$40,$AZ$5:$AZ$41,$BH13))),""))</f>
        <v/>
      </c>
      <c r="AE14" s="70">
        <f>IF($BJ13&gt;0,IF(INDEX('Final Calculation Sheet'!$AD$4:$AD$40,$BJ13-3)="","",INDEX('Final Calculation Sheet'!$AD$4:$AD$40,$BJ13-3)),IF(OR($BI13=1,$BL13=1,$BH13&gt;0),IF($BI13=1,SUM('Final Calculation Sheet'!$AD$4:$AD$40),IF($BL13=1,SUM('Final Calculation Sheet'!$AD$4:$AD$40)-SUMIFS('Final Calculation Sheet'!$AD$4:$AD$40,$AZ$5:$AZ$41,10),SUMIFS('Final Calculation Sheet'!$AD$4:$AD$40,$AZ$5:$AZ$41,$BH13))),""))</f>
        <v/>
      </c>
      <c r="AF14" s="75">
        <f>IF($BJ13&gt;0,IF(INDEX('Final Calculation Sheet'!$AD$4:$AD$40,$BJ13-3)="","",IF(INDEX('Final Calculation Sheet'!$AD$4:$AD$40,$BJ13-3)&lt;=5,"SETTLED","OUTSTANDING")),IF(OR($BI13=1,$BL13=1,$BH13&gt;0),IF(IF($BI13=1,SUM('Final Calculation Sheet'!$AD$4:$AD$40),IF($BL13=1,SUM('Final Calculation Sheet'!$AD$4:$AD$40)-SUMIFS('Final Calculation Sheet'!$AD$4:$AD$40,$AZ$5:$AZ$41,10),SUMIFS('Final Calculation Sheet'!$AD$4:$AD$40,$AZ$5:$AZ$41,$BH13)))&lt;=5,"ALL SETTLED","OUTSTANDING"),""))</f>
        <v/>
      </c>
      <c r="AG14" s="70">
        <f>IF($BJ13&gt;0,IF(INDEX('Final Calculation Sheet'!$AF$4:$AF$40,$BJ13-3)="","",INDEX('Final Calculation Sheet'!$AF$4:$AF$40,$BJ13-3)),IF(OR($BI13=1,$BL13=1,$BH13&gt;0),"–",""))</f>
        <v/>
      </c>
      <c r="AH14" s="74">
        <f>IF($BJ13&gt;0,IF(INDEX('Final Calculation Sheet'!$AG$4:$AG$40,$BJ13-3)="","",INDEX('Final Calculation Sheet'!$AG$4:$AG$40,$BJ13-3)),IF(OR($BI13=1,$BL13=1,$BH13&gt;0),"–",""))</f>
        <v/>
      </c>
      <c r="AI14" s="70">
        <f>IF($BJ13&gt;0,IF(INDEX('Final Calculation Sheet'!$AH$4:$AH$40,$BJ13-3)="","",INDEX('Final Calculation Sheet'!$AH$4:$AH$40,$BJ13-3)),IF(OR($BI13=1,$BL13=1,$BH13&gt;0),"–",""))</f>
        <v/>
      </c>
      <c r="AK14">
        <f>IF($F$3="Lot No.",'Final Calculation Sheet'!$F$13,IF($F$3="Buyer",'Final Calculation Sheet'!$G$13,IF($F$3="Lot Name",'Final Calculation Sheet'!$B$13,IF($F$3="Bid Sheet",'Final Calculation Sheet'!$D$13,IF($F$3="Unit",'Final Calculation Sheet'!$E$13,'Final Calculation Sheet'!$F$13&amp;" "&amp;'Final Calculation Sheet'!$G$13&amp;" "&amp;'Final Calculation Sheet'!$B$13)))))</f>
        <v/>
      </c>
      <c r="AL14">
        <f>AL13+IF($B$3="",0,--(SUMPRODUCT(--($AR$6:$AY$6&lt;&gt;""),--ISNUMBER(SEARCH($AR$6:$AY$6,$AK14)))&gt;0))</f>
        <v/>
      </c>
      <c r="AM14">
        <f>IF(COUNTIF($BM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AZ14">
        <f>IF($B$3="",IF(COUNTIF($A$4:$AI$4,"&lt;&gt;")=0,9,IF($AM14=1,9,10)),IF($AM14=0,10,IF(AND($AR$6&lt;&gt;"",ISNUMBER(SEARCH($AR$6,$AK14))),1,IF(AND($AS$6&lt;&gt;"",ISNUMBER(SEARCH($AS$6,$AK14))),2,IF(AND($AT$6&lt;&gt;"",ISNUMBER(SEARCH($AT$6,$AK14))),3,IF(AND($AU$6&lt;&gt;"",ISNUMBER(SEARCH($AU$6,$AK14))),4,IF(AND($AV$6&lt;&gt;"",ISNUMBER(SEARCH($AV$6,$AK14))),5,IF(AND($AW$6&lt;&gt;"",ISNUMBER(SEARCH($AW$6,$AK14))),6,IF(AND($AX$6&lt;&gt;"",ISNUMBER(SEARCH($AX$6,$AK14))),7,IF(AND($AY$6&lt;&gt;"",ISNUMBER(SEARCH($AY$6,$AK14))),8,0))))))))))</f>
        <v/>
      </c>
      <c r="BA14">
        <f>SUMPRODUCT(($AZ$5:$AZ$41=$AZ14)*($BC$5:$BC$41&lt;$BC14))+1</f>
        <v/>
      </c>
      <c r="BB14">
        <f>IF(INDEX($BF$4:$BF$13,$AZ14)=0,0,INDEX($BE$4:$BE$13,$AZ14)+$BA14-1)</f>
        <v/>
      </c>
      <c r="BC14" t="n">
        <v>13</v>
      </c>
      <c r="BH14">
        <f>IFERROR(MATCH(14,$BF$4:$BF$13,0),0)</f>
        <v/>
      </c>
      <c r="BI14">
        <f>IF(14=$BG$5,1,0)</f>
        <v/>
      </c>
      <c r="BJ14">
        <f>IF(OR($BH14&gt;0,$BI14=1,$BL14=1),0,IFERROR(INDEX($BC$5:$BC$41,MATCH(14,$BB$5:$BB$41,0)),0))</f>
        <v/>
      </c>
      <c r="BK14">
        <f>IF($BJ14&gt;0,IF(INDEX($AZ$5:$AZ$41,MATCH(14,$BB$5:$BB$41,0))=10,1,0),IF($BH14=10,1,0))</f>
        <v/>
      </c>
      <c r="BL14">
        <f>IF(14=$BG$4,1,0)</f>
        <v/>
      </c>
      <c r="BM14">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4">
        <f>IF($B$4="",1,--(OR(SUMPRODUCT(--(TRIM(MID(SUBSTITUTE(SUBSTITUTE($B$4,"/",","),",",REPT(" ",99)),(ROW($1:$8)-1)*99+1,99))&lt;&gt;""),--ISNUMBER(SEARCH(TRIM(MID(SUBSTITUTE(SUBSTITUTE($B$4,"/",","),",",REPT(" ",99)),(ROW($1:$8)-1)*99+1,99)),IFERROR(('Final Calculation Sheet'!$F$13)&amp;"",""))))&gt;0,AND(ISNUMBER(SEARCH("blank",$B$4)),NOT(ISNUMBER(SEARCH("nonblank",$B$4))),IFERROR(('Final Calculation Sheet'!$F$13)&amp;"","")=""),AND(OR(ISNUMBER(SEARCH("nonblank",$B$4)),ISNUMBER(SEARCH("&lt;&gt;",$B$4))),IFERROR(('Final Calculation Sheet'!$F$13)&amp;"","")&lt;&gt;""),AND(TRIM($B$4)="",IFERROR(('Final Calculation Sheet'!$F$13)&amp;"","")=""))))</f>
        <v/>
      </c>
      <c r="BO14">
        <f>IF($CW$3="",1,--(OR(SUMPRODUCT(--(TRIM(MID(SUBSTITUTE(SUBSTITUTE($CW$3,"/",","),",",REPT(" ",99)),(ROW($1:$8)-1)*99+1,99))&lt;&gt;""),--ISNUMBER(SEARCH(TRIM(MID(SUBSTITUTE(SUBSTITUTE($CW$3,"/",","),",",REPT(" ",99)),(ROW($1:$8)-1)*99+1,99)),IFERROR(('Final Calculation Sheet'!$G$13)&amp;"",""))))&gt;0,AND(ISNUMBER(SEARCH("blank",$CW$3)),NOT(ISNUMBER(SEARCH("nonblank",$CW$3))),IFERROR(('Final Calculation Sheet'!$G$13)&amp;"","")=""),AND(OR(ISNUMBER(SEARCH("nonblank",$CW$3)),ISNUMBER(SEARCH("&lt;&gt;",$CW$3))),IFERROR(('Final Calculation Sheet'!$G$13)&amp;"","")&lt;&gt;""),AND(TRIM($CW$3)="",IFERROR(('Final Calculation Sheet'!$G$13)&amp;"","")=""))))</f>
        <v/>
      </c>
      <c r="BP14">
        <f>IF($D$4="",1,--(OR(SUMPRODUCT(--(TRIM(MID(SUBSTITUTE(SUBSTITUTE($D$4,"/",","),",",REPT(" ",99)),(ROW($1:$8)-1)*99+1,99))&lt;&gt;""),--ISNUMBER(SEARCH(TRIM(MID(SUBSTITUTE(SUBSTITUTE($D$4,"/",","),",",REPT(" ",99)),(ROW($1:$8)-1)*99+1,99)),IFERROR(('Final Calculation Sheet'!$B$13)&amp;"",""))))&gt;0,AND(ISNUMBER(SEARCH("blank",$D$4)),NOT(ISNUMBER(SEARCH("nonblank",$D$4))),IFERROR(('Final Calculation Sheet'!$B$13)&amp;"","")=""),AND(OR(ISNUMBER(SEARCH("nonblank",$D$4)),ISNUMBER(SEARCH("&lt;&gt;",$D$4))),IFERROR(('Final Calculation Sheet'!$B$13)&amp;"","")&lt;&gt;""),AND(TRIM($D$4)="",IFERROR(('Final Calculation Sheet'!$B$13)&amp;"","")=""))))</f>
        <v/>
      </c>
      <c r="BQ14">
        <f>IF($E$4="",1,--(OR(SUMPRODUCT(--(TRIM(MID(SUBSTITUTE(SUBSTITUTE($E$4,"/",","),",",REPT(" ",99)),(ROW($1:$8)-1)*99+1,99))&lt;&gt;""),--ISNUMBER(SEARCH(TRIM(MID(SUBSTITUTE(SUBSTITUTE($E$4,"/",","),",",REPT(" ",99)),(ROW($1:$8)-1)*99+1,99)),IFERROR(('Final Calculation Sheet'!$D$13)&amp;"",""))))&gt;0,AND(ISNUMBER(SEARCH("blank",$E$4)),NOT(ISNUMBER(SEARCH("nonblank",$E$4))),IFERROR(('Final Calculation Sheet'!$D$13)&amp;"","")=""),AND(OR(ISNUMBER(SEARCH("nonblank",$E$4)),ISNUMBER(SEARCH("&lt;&gt;",$E$4))),IFERROR(('Final Calculation Sheet'!$D$13)&amp;"","")&lt;&gt;""),AND(TRIM($E$4)="",IFERROR(('Final Calculation Sheet'!$D$13)&amp;"","")=""))))</f>
        <v/>
      </c>
      <c r="BR14">
        <f>IF($F$4="",1,--(OR(SUMPRODUCT(--(TRIM(MID(SUBSTITUTE(SUBSTITUTE($F$4,"/",","),",",REPT(" ",99)),(ROW($1:$8)-1)*99+1,99))&lt;&gt;""),--ISNUMBER(SEARCH(TRIM(MID(SUBSTITUTE(SUBSTITUTE($F$4,"/",","),",",REPT(" ",99)),(ROW($1:$8)-1)*99+1,99)),IFERROR(('Final Calculation Sheet'!$A$13)&amp;"",""))))&gt;0,AND(ISNUMBER(SEARCH("blank",$F$4)),NOT(ISNUMBER(SEARCH("nonblank",$F$4))),IFERROR(('Final Calculation Sheet'!$A$13)&amp;"","")=""),AND(OR(ISNUMBER(SEARCH("nonblank",$F$4)),ISNUMBER(SEARCH("&lt;&gt;",$F$4))),IFERROR(('Final Calculation Sheet'!$A$13)&amp;"","")&lt;&gt;""),AND(TRIM($F$4)="",IFERROR(('Final Calculation Sheet'!$A$13)&amp;"","")=""))))</f>
        <v/>
      </c>
      <c r="BS14">
        <f>IF($G$4="",1,--(OR(SUMPRODUCT(--(TRIM(MID(SUBSTITUTE(SUBSTITUTE($G$4,"/",","),",",REPT(" ",99)),(ROW($1:$8)-1)*99+1,99))&lt;&gt;""),--ISNUMBER(SEARCH(TRIM(MID(SUBSTITUTE(SUBSTITUTE($G$4,"/",","),",",REPT(" ",99)),(ROW($1:$8)-1)*99+1,99)),IFERROR(('Final Calculation Sheet'!$E$13)&amp;"",""))))&gt;0,AND(ISNUMBER(SEARCH("blank",$G$4)),NOT(ISNUMBER(SEARCH("nonblank",$G$4))),IFERROR(('Final Calculation Sheet'!$E$13)&amp;"","")=""),AND(OR(ISNUMBER(SEARCH("nonblank",$G$4)),ISNUMBER(SEARCH("&lt;&gt;",$G$4))),IFERROR(('Final Calculation Sheet'!$E$13)&amp;"","")&lt;&gt;""),AND(TRIM($G$4)="",IFERROR(('Final Calculation Sheet'!$E$13)&amp;"","")=""))))</f>
        <v/>
      </c>
      <c r="BT14">
        <f>IF($H$4="",1,--(OR(SUMPRODUCT(--(TRIM(MID(SUBSTITUTE(SUBSTITUTE($H$4,"/",","),",",REPT(" ",99)),(ROW($1:$8)-1)*99+1,99))&lt;&gt;""),--ISNUMBER(SEARCH(TRIM(MID(SUBSTITUTE(SUBSTITUTE($H$4,"/",","),",",REPT(" ",99)),(ROW($1:$8)-1)*99+1,99)),IFERROR(('Final Calculation Sheet'!$C$13)&amp;"",""))))&gt;0,AND(ISNUMBER(SEARCH("blank",$H$4)),NOT(ISNUMBER(SEARCH("nonblank",$H$4))),IFERROR(('Final Calculation Sheet'!$C$13)&amp;"","")=""),AND(OR(ISNUMBER(SEARCH("nonblank",$H$4)),ISNUMBER(SEARCH("&lt;&gt;",$H$4))),IFERROR(('Final Calculation Sheet'!$C$13)&amp;"","")&lt;&gt;""),AND(TRIM($H$4)="",IFERROR(('Final Calculation Sheet'!$C$13)&amp;"","")=""))))</f>
        <v/>
      </c>
      <c r="BU14">
        <f>IF($I$4="",1,--(OR(SUMPRODUCT(--(TRIM(MID(SUBSTITUTE(SUBSTITUTE($I$4,"/",","),",",REPT(" ",99)),(ROW($1:$8)-1)*99+1,99))&lt;&gt;""),--ISNUMBER(SEARCH(TRIM(MID(SUBSTITUTE(SUBSTITUTE($I$4,"/",","),",",REPT(" ",99)),(ROW($1:$8)-1)*99+1,99)),IFERROR(('Final Calculation Sheet'!$H$13)&amp;"",""))))&gt;0,AND(ISNUMBER(SEARCH("blank",$I$4)),NOT(ISNUMBER(SEARCH("nonblank",$I$4))),IFERROR(('Final Calculation Sheet'!$H$13)&amp;"","")=""),AND(OR(ISNUMBER(SEARCH("nonblank",$I$4)),ISNUMBER(SEARCH("&lt;&gt;",$I$4))),IFERROR(('Final Calculation Sheet'!$H$13)&amp;"","")&lt;&gt;""),AND(TRIM($I$4)="",IFERROR(('Final Calculation Sheet'!$H$13)&amp;"","")=""))))</f>
        <v/>
      </c>
      <c r="BV14">
        <f>IF($J$4="",1,--(OR(SUMPRODUCT(--(TRIM(MID(SUBSTITUTE(SUBSTITUTE($J$4,"/",","),",",REPT(" ",99)),(ROW($1:$8)-1)*99+1,99))&lt;&gt;""),--ISNUMBER(SEARCH(TRIM(MID(SUBSTITUTE(SUBSTITUTE($J$4,"/",","),",",REPT(" ",99)),(ROW($1:$8)-1)*99+1,99)),IFERROR(('Final Calculation Sheet'!$I$13)&amp;"",""))))&gt;0,AND(ISNUMBER(SEARCH("blank",$J$4)),NOT(ISNUMBER(SEARCH("nonblank",$J$4))),IFERROR(('Final Calculation Sheet'!$I$13)&amp;"","")=""),AND(OR(ISNUMBER(SEARCH("nonblank",$J$4)),ISNUMBER(SEARCH("&lt;&gt;",$J$4))),IFERROR(('Final Calculation Sheet'!$I$13)&amp;"","")&lt;&gt;""),AND(TRIM($J$4)="",IFERROR(('Final Calculation Sheet'!$I$13)&amp;"","")=""))))</f>
        <v/>
      </c>
      <c r="BW14">
        <f>IF($K$4="",1,--(OR(SUMPRODUCT(--(TRIM(MID(SUBSTITUTE(SUBSTITUTE($K$4,"/",","),",",REPT(" ",99)),(ROW($1:$8)-1)*99+1,99))&lt;&gt;""),--ISNUMBER(SEARCH(TRIM(MID(SUBSTITUTE(SUBSTITUTE($K$4,"/",","),",",REPT(" ",99)),(ROW($1:$8)-1)*99+1,99)),IFERROR(('Final Calculation Sheet'!$J$13)&amp;"",""))))&gt;0,AND(ISNUMBER(SEARCH("blank",$K$4)),NOT(ISNUMBER(SEARCH("nonblank",$K$4))),IFERROR(('Final Calculation Sheet'!$J$13)&amp;"","")=""),AND(OR(ISNUMBER(SEARCH("nonblank",$K$4)),ISNUMBER(SEARCH("&lt;&gt;",$K$4))),IFERROR(('Final Calculation Sheet'!$J$13)&amp;"","")&lt;&gt;""),AND(TRIM($K$4)="",IFERROR(('Final Calculation Sheet'!$J$13)&amp;"","")=""))))</f>
        <v/>
      </c>
      <c r="BX14">
        <f>IF($L$4="",1,--(OR(SUMPRODUCT(--(TRIM(MID(SUBSTITUTE(SUBSTITUTE($L$4,"/",","),",",REPT(" ",99)),(ROW($1:$8)-1)*99+1,99))&lt;&gt;""),--ISNUMBER(SEARCH(TRIM(MID(SUBSTITUTE(SUBSTITUTE($L$4,"/",","),",",REPT(" ",99)),(ROW($1:$8)-1)*99+1,99)),IFERROR(('Final Calculation Sheet'!$K$13)&amp;"",""))))&gt;0,AND(ISNUMBER(SEARCH("blank",$L$4)),NOT(ISNUMBER(SEARCH("nonblank",$L$4))),IFERROR(('Final Calculation Sheet'!$K$13)&amp;"","")=""),AND(OR(ISNUMBER(SEARCH("nonblank",$L$4)),ISNUMBER(SEARCH("&lt;&gt;",$L$4))),IFERROR(('Final Calculation Sheet'!$K$13)&amp;"","")&lt;&gt;""),AND(TRIM($L$4)="",IFERROR(('Final Calculation Sheet'!$K$13)&amp;"","")=""))))</f>
        <v/>
      </c>
      <c r="BY14">
        <f>IF($M$4="",1,--(OR(SUMPRODUCT(--(TRIM(MID(SUBSTITUTE(SUBSTITUTE($M$4,"/",","),",",REPT(" ",99)),(ROW($1:$8)-1)*99+1,99))&lt;&gt;""),--ISNUMBER(SEARCH(TRIM(MID(SUBSTITUTE(SUBSTITUTE($M$4,"/",","),",",REPT(" ",99)),(ROW($1:$8)-1)*99+1,99)),IFERROR(('Final Calculation Sheet'!$L$13)&amp;"",""))))&gt;0,AND(ISNUMBER(SEARCH("blank",$M$4)),NOT(ISNUMBER(SEARCH("nonblank",$M$4))),IFERROR(('Final Calculation Sheet'!$L$13)&amp;"","")=""),AND(OR(ISNUMBER(SEARCH("nonblank",$M$4)),ISNUMBER(SEARCH("&lt;&gt;",$M$4))),IFERROR(('Final Calculation Sheet'!$L$13)&amp;"","")&lt;&gt;""),AND(TRIM($M$4)="",IFERROR(('Final Calculation Sheet'!$L$13)&amp;"","")=""))))</f>
        <v/>
      </c>
      <c r="BZ14">
        <f>IF($N$4="",1,--(OR(SUMPRODUCT(--(TRIM(MID(SUBSTITUTE(SUBSTITUTE($N$4,"/",","),",",REPT(" ",99)),(ROW($1:$8)-1)*99+1,99))&lt;&gt;""),--ISNUMBER(SEARCH(TRIM(MID(SUBSTITUTE(SUBSTITUTE($N$4,"/",","),",",REPT(" ",99)),(ROW($1:$8)-1)*99+1,99)),IFERROR(('Final Calculation Sheet'!$M$13)&amp;"",""))))&gt;0,AND(ISNUMBER(SEARCH("blank",$N$4)),NOT(ISNUMBER(SEARCH("nonblank",$N$4))),IFERROR(('Final Calculation Sheet'!$M$13)&amp;"","")=""),AND(OR(ISNUMBER(SEARCH("nonblank",$N$4)),ISNUMBER(SEARCH("&lt;&gt;",$N$4))),IFERROR(('Final Calculation Sheet'!$M$13)&amp;"","")&lt;&gt;""),AND(TRIM($N$4)="",IFERROR(('Final Calculation Sheet'!$M$13)&amp;"","")=""))))</f>
        <v/>
      </c>
      <c r="CA14">
        <f>IF($O$4="",1,--(OR(SUMPRODUCT(--(TRIM(MID(SUBSTITUTE(SUBSTITUTE($O$4,"/",","),",",REPT(" ",99)),(ROW($1:$8)-1)*99+1,99))&lt;&gt;""),--ISNUMBER(SEARCH(TRIM(MID(SUBSTITUTE(SUBSTITUTE($O$4,"/",","),",",REPT(" ",99)),(ROW($1:$8)-1)*99+1,99)),IFERROR(('Final Calculation Sheet'!$N$13)&amp;"",""))))&gt;0,AND(ISNUMBER(SEARCH("blank",$O$4)),NOT(ISNUMBER(SEARCH("nonblank",$O$4))),IFERROR(('Final Calculation Sheet'!$N$13)&amp;"","")=""),AND(OR(ISNUMBER(SEARCH("nonblank",$O$4)),ISNUMBER(SEARCH("&lt;&gt;",$O$4))),IFERROR(('Final Calculation Sheet'!$N$13)&amp;"","")&lt;&gt;""),AND(TRIM($O$4)="",IFERROR(('Final Calculation Sheet'!$N$13)&amp;"","")=""))))</f>
        <v/>
      </c>
      <c r="CB14">
        <f>IF($P$4="",1,--(OR(SUMPRODUCT(--(TRIM(MID(SUBSTITUTE(SUBSTITUTE($P$4,"/",","),",",REPT(" ",99)),(ROW($1:$8)-1)*99+1,99))&lt;&gt;""),--ISNUMBER(SEARCH(TRIM(MID(SUBSTITUTE(SUBSTITUTE($P$4,"/",","),",",REPT(" ",99)),(ROW($1:$8)-1)*99+1,99)),IFERROR(('Final Calculation Sheet'!$O$13)&amp;"",""))))&gt;0,AND(ISNUMBER(SEARCH("blank",$P$4)),NOT(ISNUMBER(SEARCH("nonblank",$P$4))),IFERROR(('Final Calculation Sheet'!$O$13)&amp;"","")=""),AND(OR(ISNUMBER(SEARCH("nonblank",$P$4)),ISNUMBER(SEARCH("&lt;&gt;",$P$4))),IFERROR(('Final Calculation Sheet'!$O$13)&amp;"","")&lt;&gt;""),AND(TRIM($P$4)="",IFERROR(('Final Calculation Sheet'!$O$13)&amp;"","")=""))))</f>
        <v/>
      </c>
      <c r="CC14">
        <f>IF($Q$4="",1,--(OR(SUMPRODUCT(--(TRIM(MID(SUBSTITUTE(SUBSTITUTE($Q$4,"/",","),",",REPT(" ",99)),(ROW($1:$8)-1)*99+1,99))&lt;&gt;""),--ISNUMBER(SEARCH(TRIM(MID(SUBSTITUTE(SUBSTITUTE($Q$4,"/",","),",",REPT(" ",99)),(ROW($1:$8)-1)*99+1,99)),IFERROR(('Final Calculation Sheet'!$P$13)&amp;"",""))))&gt;0,AND(ISNUMBER(SEARCH("blank",$Q$4)),NOT(ISNUMBER(SEARCH("nonblank",$Q$4))),IFERROR(('Final Calculation Sheet'!$P$13)&amp;"","")=""),AND(OR(ISNUMBER(SEARCH("nonblank",$Q$4)),ISNUMBER(SEARCH("&lt;&gt;",$Q$4))),IFERROR(('Final Calculation Sheet'!$P$13)&amp;"","")&lt;&gt;""),AND(TRIM($Q$4)="",IFERROR(('Final Calculation Sheet'!$P$13)&amp;"","")=""))))</f>
        <v/>
      </c>
      <c r="CD14">
        <f>IF($R$4="",1,--(OR(SUMPRODUCT(--(TRIM(MID(SUBSTITUTE(SUBSTITUTE($R$4,"/",","),",",REPT(" ",99)),(ROW($1:$8)-1)*99+1,99))&lt;&gt;""),--ISNUMBER(SEARCH(TRIM(MID(SUBSTITUTE(SUBSTITUTE($R$4,"/",","),",",REPT(" ",99)),(ROW($1:$8)-1)*99+1,99)),IFERROR(('Final Calculation Sheet'!$Q$13)&amp;"",""))))&gt;0,AND(ISNUMBER(SEARCH("blank",$R$4)),NOT(ISNUMBER(SEARCH("nonblank",$R$4))),IFERROR(('Final Calculation Sheet'!$Q$13)&amp;"","")=""),AND(OR(ISNUMBER(SEARCH("nonblank",$R$4)),ISNUMBER(SEARCH("&lt;&gt;",$R$4))),IFERROR(('Final Calculation Sheet'!$Q$13)&amp;"","")&lt;&gt;""),AND(TRIM($R$4)="",IFERROR(('Final Calculation Sheet'!$Q$13)&amp;"","")=""))))</f>
        <v/>
      </c>
      <c r="CE14">
        <f>IF($S$4="",1,--(OR(SUMPRODUCT(--(TRIM(MID(SUBSTITUTE(SUBSTITUTE($S$4,"/",","),",",REPT(" ",99)),(ROW($1:$8)-1)*99+1,99))&lt;&gt;""),--ISNUMBER(SEARCH(TRIM(MID(SUBSTITUTE(SUBSTITUTE($S$4,"/",","),",",REPT(" ",99)),(ROW($1:$8)-1)*99+1,99)),IFERROR(('Final Calculation Sheet'!$R$13)&amp;"",""))))&gt;0,AND(ISNUMBER(SEARCH("blank",$S$4)),NOT(ISNUMBER(SEARCH("nonblank",$S$4))),IFERROR(('Final Calculation Sheet'!$R$13)&amp;"","")=""),AND(OR(ISNUMBER(SEARCH("nonblank",$S$4)),ISNUMBER(SEARCH("&lt;&gt;",$S$4))),IFERROR(('Final Calculation Sheet'!$R$13)&amp;"","")&lt;&gt;""),AND(TRIM($S$4)="",IFERROR(('Final Calculation Sheet'!$R$13)&amp;"","")=""))))</f>
        <v/>
      </c>
      <c r="CF14">
        <f>IF($T$4="",1,--(OR(SUMPRODUCT(--(TRIM(MID(SUBSTITUTE(SUBSTITUTE($T$4,"/",","),",",REPT(" ",99)),(ROW($1:$8)-1)*99+1,99))&lt;&gt;""),--ISNUMBER(SEARCH(TRIM(MID(SUBSTITUTE(SUBSTITUTE($T$4,"/",","),",",REPT(" ",99)),(ROW($1:$8)-1)*99+1,99)),IFERROR(('Final Calculation Sheet'!$S$13)&amp;"",""))))&gt;0,AND(ISNUMBER(SEARCH("blank",$T$4)),NOT(ISNUMBER(SEARCH("nonblank",$T$4))),IFERROR(('Final Calculation Sheet'!$S$13)&amp;"","")=""),AND(OR(ISNUMBER(SEARCH("nonblank",$T$4)),ISNUMBER(SEARCH("&lt;&gt;",$T$4))),IFERROR(('Final Calculation Sheet'!$S$13)&amp;"","")&lt;&gt;""),AND(TRIM($T$4)="",IFERROR(('Final Calculation Sheet'!$S$13)&amp;"","")=""))))</f>
        <v/>
      </c>
      <c r="CG14">
        <f>IF($U$4="",1,--(OR(SUMPRODUCT(--(TRIM(MID(SUBSTITUTE(SUBSTITUTE($U$4,"/",","),",",REPT(" ",99)),(ROW($1:$8)-1)*99+1,99))&lt;&gt;""),--ISNUMBER(SEARCH(TRIM(MID(SUBSTITUTE(SUBSTITUTE($U$4,"/",","),",",REPT(" ",99)),(ROW($1:$8)-1)*99+1,99)),IFERROR(('Final Calculation Sheet'!$T$13)&amp;"",""))))&gt;0,AND(ISNUMBER(SEARCH("blank",$U$4)),NOT(ISNUMBER(SEARCH("nonblank",$U$4))),IFERROR(('Final Calculation Sheet'!$T$13)&amp;"","")=""),AND(OR(ISNUMBER(SEARCH("nonblank",$U$4)),ISNUMBER(SEARCH("&lt;&gt;",$U$4))),IFERROR(('Final Calculation Sheet'!$T$13)&amp;"","")&lt;&gt;""),AND(TRIM($U$4)="",IFERROR(('Final Calculation Sheet'!$T$13)&amp;"","")=""))))</f>
        <v/>
      </c>
      <c r="CH14">
        <f>IF($V$4="",1,--(OR(SUMPRODUCT(--(TRIM(MID(SUBSTITUTE(SUBSTITUTE($V$4,"/",","),",",REPT(" ",99)),(ROW($1:$8)-1)*99+1,99))&lt;&gt;""),--ISNUMBER(SEARCH(TRIM(MID(SUBSTITUTE(SUBSTITUTE($V$4,"/",","),",",REPT(" ",99)),(ROW($1:$8)-1)*99+1,99)),IFERROR(('Final Calculation Sheet'!$U$13)&amp;"",""))))&gt;0,AND(ISNUMBER(SEARCH("blank",$V$4)),NOT(ISNUMBER(SEARCH("nonblank",$V$4))),IFERROR(('Final Calculation Sheet'!$U$13)&amp;"","")=""),AND(OR(ISNUMBER(SEARCH("nonblank",$V$4)),ISNUMBER(SEARCH("&lt;&gt;",$V$4))),IFERROR(('Final Calculation Sheet'!$U$13)&amp;"","")&lt;&gt;""),AND(TRIM($V$4)="",IFERROR(('Final Calculation Sheet'!$U$13)&amp;"","")=""))))</f>
        <v/>
      </c>
      <c r="CI14">
        <f>IF($W$4="",1,--(OR(SUMPRODUCT(--(TRIM(MID(SUBSTITUTE(SUBSTITUTE($W$4,"/",","),",",REPT(" ",99)),(ROW($1:$8)-1)*99+1,99))&lt;&gt;""),--ISNUMBER(SEARCH(TRIM(MID(SUBSTITUTE(SUBSTITUTE($W$4,"/",","),",",REPT(" ",99)),(ROW($1:$8)-1)*99+1,99)),IFERROR(('Final Calculation Sheet'!$V$13)&amp;"",""))))&gt;0,AND(ISNUMBER(SEARCH("blank",$W$4)),NOT(ISNUMBER(SEARCH("nonblank",$W$4))),IFERROR(('Final Calculation Sheet'!$V$13)&amp;"","")=""),AND(OR(ISNUMBER(SEARCH("nonblank",$W$4)),ISNUMBER(SEARCH("&lt;&gt;",$W$4))),IFERROR(('Final Calculation Sheet'!$V$13)&amp;"","")&lt;&gt;""),AND(TRIM($W$4)="",IFERROR(('Final Calculation Sheet'!$V$13)&amp;"","")=""))))</f>
        <v/>
      </c>
      <c r="CJ14">
        <f>IF($X$4="",1,--(OR(SUMPRODUCT(--(TRIM(MID(SUBSTITUTE(SUBSTITUTE($X$4,"/",","),",",REPT(" ",99)),(ROW($1:$8)-1)*99+1,99))&lt;&gt;""),--ISNUMBER(SEARCH(TRIM(MID(SUBSTITUTE(SUBSTITUTE($X$4,"/",","),",",REPT(" ",99)),(ROW($1:$8)-1)*99+1,99)),IFERROR(('Final Calculation Sheet'!$W$13)&amp;"",""))))&gt;0,AND(ISNUMBER(SEARCH("blank",$X$4)),NOT(ISNUMBER(SEARCH("nonblank",$X$4))),IFERROR(('Final Calculation Sheet'!$W$13)&amp;"","")=""),AND(OR(ISNUMBER(SEARCH("nonblank",$X$4)),ISNUMBER(SEARCH("&lt;&gt;",$X$4))),IFERROR(('Final Calculation Sheet'!$W$13)&amp;"","")&lt;&gt;""),AND(TRIM($X$4)="",IFERROR(('Final Calculation Sheet'!$W$13)&amp;"","")=""))))</f>
        <v/>
      </c>
      <c r="CK14">
        <f>IF($Y$4="",1,--(OR(SUMPRODUCT(--(TRIM(MID(SUBSTITUTE(SUBSTITUTE($Y$4,"/",","),",",REPT(" ",99)),(ROW($1:$8)-1)*99+1,99))&lt;&gt;""),--ISNUMBER(SEARCH(TRIM(MID(SUBSTITUTE(SUBSTITUTE($Y$4,"/",","),",",REPT(" ",99)),(ROW($1:$8)-1)*99+1,99)),IFERROR(('Final Calculation Sheet'!$X$13)&amp;"",""))))&gt;0,AND(ISNUMBER(SEARCH("blank",$Y$4)),NOT(ISNUMBER(SEARCH("nonblank",$Y$4))),IFERROR(('Final Calculation Sheet'!$X$13)&amp;"","")=""),AND(OR(ISNUMBER(SEARCH("nonblank",$Y$4)),ISNUMBER(SEARCH("&lt;&gt;",$Y$4))),IFERROR(('Final Calculation Sheet'!$X$13)&amp;"","")&lt;&gt;""),AND(TRIM($Y$4)="",IFERROR(('Final Calculation Sheet'!$X$13)&amp;"","")=""))))</f>
        <v/>
      </c>
      <c r="CL14">
        <f>IF($Z$4="",1,--(OR(SUMPRODUCT(--(TRIM(MID(SUBSTITUTE(SUBSTITUTE($Z$4,"/",","),",",REPT(" ",99)),(ROW($1:$8)-1)*99+1,99))&lt;&gt;""),--ISNUMBER(SEARCH(TRIM(MID(SUBSTITUTE(SUBSTITUTE($Z$4,"/",","),",",REPT(" ",99)),(ROW($1:$8)-1)*99+1,99)),IFERROR(('Final Calculation Sheet'!$Y$13)&amp;"",""))))&gt;0,AND(ISNUMBER(SEARCH("blank",$Z$4)),NOT(ISNUMBER(SEARCH("nonblank",$Z$4))),IFERROR(('Final Calculation Sheet'!$Y$13)&amp;"","")=""),AND(OR(ISNUMBER(SEARCH("nonblank",$Z$4)),ISNUMBER(SEARCH("&lt;&gt;",$Z$4))),IFERROR(('Final Calculation Sheet'!$Y$13)&amp;"","")&lt;&gt;""),AND(TRIM($Z$4)="",IFERROR(('Final Calculation Sheet'!$Y$13)&amp;"","")=""))))</f>
        <v/>
      </c>
      <c r="CM14">
        <f>IF($AA$4="",1,--(OR(SUMPRODUCT(--(TRIM(MID(SUBSTITUTE(SUBSTITUTE($AA$4,"/",","),",",REPT(" ",99)),(ROW($1:$8)-1)*99+1,99))&lt;&gt;""),--ISNUMBER(SEARCH(TRIM(MID(SUBSTITUTE(SUBSTITUTE($AA$4,"/",","),",",REPT(" ",99)),(ROW($1:$8)-1)*99+1,99)),IFERROR(('Final Calculation Sheet'!$Z$13)&amp;"",""))))&gt;0,AND(ISNUMBER(SEARCH("blank",$AA$4)),NOT(ISNUMBER(SEARCH("nonblank",$AA$4))),IFERROR(('Final Calculation Sheet'!$Z$13)&amp;"","")=""),AND(OR(ISNUMBER(SEARCH("nonblank",$AA$4)),ISNUMBER(SEARCH("&lt;&gt;",$AA$4))),IFERROR(('Final Calculation Sheet'!$Z$13)&amp;"","")&lt;&gt;""),AND(TRIM($AA$4)="",IFERROR(('Final Calculation Sheet'!$Z$13)&amp;"","")=""))))</f>
        <v/>
      </c>
      <c r="CN14">
        <f>IF($AB$4="",1,--(OR(SUMPRODUCT(--(TRIM(MID(SUBSTITUTE(SUBSTITUTE($AB$4,"/",","),",",REPT(" ",99)),(ROW($1:$8)-1)*99+1,99))&lt;&gt;""),--ISNUMBER(SEARCH(TRIM(MID(SUBSTITUTE(SUBSTITUTE($AB$4,"/",","),",",REPT(" ",99)),(ROW($1:$8)-1)*99+1,99)),IFERROR(('Final Calculation Sheet'!$AA$13)&amp;"",""))))&gt;0,AND(ISNUMBER(SEARCH("blank",$AB$4)),NOT(ISNUMBER(SEARCH("nonblank",$AB$4))),IFERROR(('Final Calculation Sheet'!$AA$13)&amp;"","")=""),AND(OR(ISNUMBER(SEARCH("nonblank",$AB$4)),ISNUMBER(SEARCH("&lt;&gt;",$AB$4))),IFERROR(('Final Calculation Sheet'!$AA$13)&amp;"","")&lt;&gt;""),AND(TRIM($AB$4)="",IFERROR(('Final Calculation Sheet'!$AA$13)&amp;"","")=""))))</f>
        <v/>
      </c>
      <c r="CO14">
        <f>IF($AC$4="",1,--(OR(SUMPRODUCT(--(TRIM(MID(SUBSTITUTE(SUBSTITUTE($AC$4,"/",","),",",REPT(" ",99)),(ROW($1:$8)-1)*99+1,99))&lt;&gt;""),--ISNUMBER(SEARCH(TRIM(MID(SUBSTITUTE(SUBSTITUTE($AC$4,"/",","),",",REPT(" ",99)),(ROW($1:$8)-1)*99+1,99)),IFERROR(('Final Calculation Sheet'!$AB$13)&amp;"",""))))&gt;0,AND(ISNUMBER(SEARCH("blank",$AC$4)),NOT(ISNUMBER(SEARCH("nonblank",$AC$4))),IFERROR(('Final Calculation Sheet'!$AB$13)&amp;"","")=""),AND(OR(ISNUMBER(SEARCH("nonblank",$AC$4)),ISNUMBER(SEARCH("&lt;&gt;",$AC$4))),IFERROR(('Final Calculation Sheet'!$AB$13)&amp;"","")&lt;&gt;""),AND(TRIM($AC$4)="",IFERROR(('Final Calculation Sheet'!$AB$13)&amp;"","")=""))))</f>
        <v/>
      </c>
      <c r="CP14">
        <f>IF($AD$4="",1,--(OR(SUMPRODUCT(--(TRIM(MID(SUBSTITUTE(SUBSTITUTE($AD$4,"/",","),",",REPT(" ",99)),(ROW($1:$8)-1)*99+1,99))&lt;&gt;""),--ISNUMBER(SEARCH(TRIM(MID(SUBSTITUTE(SUBSTITUTE($AD$4,"/",","),",",REPT(" ",99)),(ROW($1:$8)-1)*99+1,99)),IFERROR(('Final Calculation Sheet'!$AC$13)&amp;"",""))))&gt;0,AND(ISNUMBER(SEARCH("blank",$AD$4)),NOT(ISNUMBER(SEARCH("nonblank",$AD$4))),IFERROR(('Final Calculation Sheet'!$AC$13)&amp;"","")=""),AND(OR(ISNUMBER(SEARCH("nonblank",$AD$4)),ISNUMBER(SEARCH("&lt;&gt;",$AD$4))),IFERROR(('Final Calculation Sheet'!$AC$13)&amp;"","")&lt;&gt;""),AND(TRIM($AD$4)="",IFERROR(('Final Calculation Sheet'!$AC$13)&amp;"","")=""))))</f>
        <v/>
      </c>
      <c r="CQ14">
        <f>IF($AE$4="",1,--(OR(SUMPRODUCT(--(TRIM(MID(SUBSTITUTE(SUBSTITUTE($AE$4,"/",","),",",REPT(" ",99)),(ROW($1:$8)-1)*99+1,99))&lt;&gt;""),--ISNUMBER(SEARCH(TRIM(MID(SUBSTITUTE(SUBSTITUTE($AE$4,"/",","),",",REPT(" ",99)),(ROW($1:$8)-1)*99+1,99)),IFERROR(('Final Calculation Sheet'!$AD$13)&amp;"",""))))&gt;0,AND(ISNUMBER(SEARCH("blank",$AE$4)),NOT(ISNUMBER(SEARCH("nonblank",$AE$4))),IFERROR(('Final Calculation Sheet'!$AD$13)&amp;"","")=""),AND(OR(ISNUMBER(SEARCH("nonblank",$AE$4)),ISNUMBER(SEARCH("&lt;&gt;",$AE$4))),IFERROR(('Final Calculation Sheet'!$AD$13)&amp;"","")&lt;&gt;""),AND(TRIM($AE$4)="",IFERROR(('Final Calculation Sheet'!$AD$13)&amp;"","")=""))))</f>
        <v/>
      </c>
      <c r="CR14">
        <f>IF($AG$4="",1,--(OR(SUMPRODUCT(--(TRIM(MID(SUBSTITUTE(SUBSTITUTE($AG$4,"/",","),",",REPT(" ",99)),(ROW($1:$8)-1)*99+1,99))&lt;&gt;""),--ISNUMBER(SEARCH(TRIM(MID(SUBSTITUTE(SUBSTITUTE($AG$4,"/",","),",",REPT(" ",99)),(ROW($1:$8)-1)*99+1,99)),IFERROR(('Final Calculation Sheet'!$AF$13)&amp;"",""))))&gt;0,AND(ISNUMBER(SEARCH("blank",$AG$4)),NOT(ISNUMBER(SEARCH("nonblank",$AG$4))),IFERROR(('Final Calculation Sheet'!$AF$13)&amp;"","")=""),AND(OR(ISNUMBER(SEARCH("nonblank",$AG$4)),ISNUMBER(SEARCH("&lt;&gt;",$AG$4))),IFERROR(('Final Calculation Sheet'!$AF$13)&amp;"","")&lt;&gt;""),AND(TRIM($AG$4)="",IFERROR(('Final Calculation Sheet'!$AF$13)&amp;"","")=""))))</f>
        <v/>
      </c>
      <c r="CS14">
        <f>IF($AH$4="",1,--(OR(SUMPRODUCT(--(TRIM(MID(SUBSTITUTE(SUBSTITUTE($AH$4,"/",","),",",REPT(" ",99)),(ROW($1:$8)-1)*99+1,99))&lt;&gt;""),--ISNUMBER(SEARCH(TRIM(MID(SUBSTITUTE(SUBSTITUTE($AH$4,"/",","),",",REPT(" ",99)),(ROW($1:$8)-1)*99+1,99)),IFERROR(('Final Calculation Sheet'!$AG$13)&amp;"",""))))&gt;0,AND(ISNUMBER(SEARCH("blank",$AH$4)),NOT(ISNUMBER(SEARCH("nonblank",$AH$4))),IFERROR(('Final Calculation Sheet'!$AG$13)&amp;"","")=""),AND(OR(ISNUMBER(SEARCH("nonblank",$AH$4)),ISNUMBER(SEARCH("&lt;&gt;",$AH$4))),IFERROR(('Final Calculation Sheet'!$AG$13)&amp;"","")&lt;&gt;""),AND(TRIM($AH$4)="",IFERROR(('Final Calculation Sheet'!$AG$13)&amp;"","")=""))))</f>
        <v/>
      </c>
      <c r="CT14">
        <f>IF($AI$4="",1,--(OR(SUMPRODUCT(--(TRIM(MID(SUBSTITUTE(SUBSTITUTE($AI$4,"/",","),",",REPT(" ",99)),(ROW($1:$8)-1)*99+1,99))&lt;&gt;""),--ISNUMBER(SEARCH(TRIM(MID(SUBSTITUTE(SUBSTITUTE($AI$4,"/",","),",",REPT(" ",99)),(ROW($1:$8)-1)*99+1,99)),IFERROR(('Final Calculation Sheet'!$AH$13)&amp;"",""))))&gt;0,AND(ISNUMBER(SEARCH("blank",$AI$4)),NOT(ISNUMBER(SEARCH("nonblank",$AI$4))),IFERROR(('Final Calculation Sheet'!$AH$13)&amp;"","")=""),AND(OR(ISNUMBER(SEARCH("nonblank",$AI$4)),ISNUMBER(SEARCH("&lt;&gt;",$AI$4))),IFERROR(('Final Calculation Sheet'!$AH$13)&amp;"","")&lt;&gt;""),AND(TRIM($AI$4)="",IFERROR(('Final Calculation Sheet'!$AH$13)&amp;"","")=""))))</f>
        <v/>
      </c>
      <c r="CU14">
        <f>IF($AF$4="",1,--(OR(SUMPRODUCT(--(TRIM(MID(SUBSTITUTE(SUBSTITUTE($AF$4,"/",","),",",REPT(" ",99)),(ROW($1:$8)-1)*99+1,99))&lt;&gt;""),--ISNUMBER(SEARCH(TRIM(MID(SUBSTITUTE(SUBSTITUTE($AF$4,"/",","),",",REPT(" ",99)),(ROW($1:$8)-1)*99+1,99)),IFERROR((IF('Final Calculation Sheet'!$AD$13&lt;=5,"SETTLED","OUTSTANDING"))&amp;"",""))))&gt;0,AND(ISNUMBER(SEARCH("blank",$AF$4)),NOT(ISNUMBER(SEARCH("nonblank",$AF$4))),IFERROR((IF('Final Calculation Sheet'!$AD$13&lt;=5,"SETTLED","OUTSTANDING"))&amp;"","")=""),AND(OR(ISNUMBER(SEARCH("nonblank",$AF$4)),ISNUMBER(SEARCH("&lt;&gt;",$AF$4))),IFERROR((IF('Final Calculation Sheet'!$AD$13&lt;=5,"SETTLED","OUTSTANDING"))&amp;"","")&lt;&gt;""),AND(TRIM($AF$4)="",IFERROR((IF('Final Calculation Sheet'!$AD$13&lt;=5,"SETTLED","OUTSTANDING"))&amp;"","")=""))))</f>
        <v/>
      </c>
    </row>
    <row r="15" ht="15" customHeight="1" s="137">
      <c r="A15" s="67">
        <f>IF($BJ14&gt;0,INDEX($BA$5:$BA$41,MATCH(14,$BB$5:$BB$41,0)),IF(OR($BI14=1,$BL14=1,$BH14&gt;0),"∑",""))</f>
        <v/>
      </c>
      <c r="B15" s="76">
        <f>IF($BJ14&gt;0,IF(INDEX('Final Calculation Sheet'!$F$4:$F$40,$BJ14-3)="","",INDEX('Final Calculation Sheet'!$F$4:$F$40,$BJ14-3)),"")</f>
        <v/>
      </c>
      <c r="C15" s="76">
        <f>IF($BJ14&gt;0,IF(INDEX('Final Calculation Sheet'!$G$4:$G$40,$BJ14-3)="","",INDEX('Final Calculation Sheet'!$G$4:$G$40,$BJ14-3)),IF(OR($BI14=1,$BL14=1,$BH14&gt;0),IF($BI14=1,37,IF($BL14=1,37-INDEX($BD$4:$BD$13,10),INDEX($BD$4:$BD$13,$BH14)))&amp;" lot(s)",""))</f>
        <v/>
      </c>
      <c r="D15" s="80">
        <f>IF($BJ14&gt;0,IF(INDEX('Final Calculation Sheet'!$B$4:$B$40,$BJ14-3)="","",INDEX('Final Calculation Sheet'!$B$4:$B$40,$BJ14-3)),IF(OR($BI14=1,$BL14=1,$BH14&gt;0),IF($BI14=1,"GRAND TOTAL  —  matching + remaining",IF($BL14=1,"TOTAL MATCHED  —  every group together",IF($BH14=10,"REMAINING  —  did not match the search",IF($BH14=9,IF(COUNTIF($A$4:$AI$4,"&lt;&gt;")&gt;0,"FILTERED LOTS  —  column fields","ALL LOTS  —  nothing typed in the box"),"GROUP "&amp;$BH14&amp;" TOTAL  —  lots matching  "&amp;INDEX($AR$6:$AY$6,$BH14))))),""))</f>
        <v/>
      </c>
      <c r="E15" s="80">
        <f>IF($BJ14&gt;0,IF(INDEX('Final Calculation Sheet'!$D$4:$D$40,$BJ14-3)="","",INDEX('Final Calculation Sheet'!$D$4:$D$40,$BJ14-3)),IF(OR($BI14=1,$BL14=1,$BH14&gt;0),"–",""))</f>
        <v/>
      </c>
      <c r="F15" s="80">
        <f>IF($BJ14&gt;0,IF(INDEX('Final Calculation Sheet'!$A$4:$A$40,$BJ14-3)="","",INDEX('Final Calculation Sheet'!$A$4:$A$40,$BJ14-3)),IF(OR($BI14=1,$BL14=1,$BH14&gt;0),IF($BI14=1,SUM('Final Calculation Sheet'!$A$4:$A$40),IF($BL14=1,SUM('Final Calculation Sheet'!$A$4:$A$40)-SUMIFS('Final Calculation Sheet'!$A$4:$A$40,$AZ$5:$AZ$41,10),SUMIFS('Final Calculation Sheet'!$A$4:$A$40,$AZ$5:$AZ$41,$BH14))),""))</f>
        <v/>
      </c>
      <c r="G15" s="80">
        <f>IF($BJ14&gt;0,IF(INDEX('Final Calculation Sheet'!$E$4:$E$40,$BJ14-3)="","",INDEX('Final Calculation Sheet'!$E$4:$E$40,$BJ14-3)),IF(OR($BI14=1,$BL14=1,$BH14&gt;0),"–",""))</f>
        <v/>
      </c>
      <c r="H15" s="70">
        <f>IF($BJ14&gt;0,IF(INDEX('Final Calculation Sheet'!$C$4:$C$40,$BJ14-3)="","",INDEX('Final Calculation Sheet'!$C$4:$C$40,$BJ14-3)),IF(OR($BI14=1,$BL14=1,$BH14&gt;0),"–",""))</f>
        <v/>
      </c>
      <c r="I15" s="70">
        <f>IF($BJ14&gt;0,IF(INDEX('Final Calculation Sheet'!$H$4:$H$40,$BJ14-3)="","",INDEX('Final Calculation Sheet'!$H$4:$H$40,$BJ14-3)),IF(OR($BI14=1,$BL14=1,$BH14&gt;0),IF($BI14=1,SUM('Final Calculation Sheet'!$H$4:$H$40),IF($BL14=1,SUM('Final Calculation Sheet'!$H$4:$H$40)-SUMIFS('Final Calculation Sheet'!$H$4:$H$40,$AZ$5:$AZ$41,10),SUMIFS('Final Calculation Sheet'!$H$4:$H$40,$AZ$5:$AZ$41,$BH14))),""))</f>
        <v/>
      </c>
      <c r="J15" s="70">
        <f>IF($BJ14&gt;0,IF(INDEX('Final Calculation Sheet'!$I$4:$I$40,$BJ14-3)="","",INDEX('Final Calculation Sheet'!$I$4:$I$40,$BJ14-3)),IF(OR($BI14=1,$BL14=1,$BH14&gt;0),IF($BI14=1,SUM('Final Calculation Sheet'!$I$4:$I$40),IF($BL14=1,SUM('Final Calculation Sheet'!$I$4:$I$40)-SUMIFS('Final Calculation Sheet'!$I$4:$I$40,$AZ$5:$AZ$41,10),SUMIFS('Final Calculation Sheet'!$I$4:$I$40,$AZ$5:$AZ$41,$BH14))),""))</f>
        <v/>
      </c>
      <c r="K15" s="70">
        <f>IF($BJ14&gt;0,IF(INDEX('Final Calculation Sheet'!$J$4:$J$40,$BJ14-3)="","",INDEX('Final Calculation Sheet'!$J$4:$J$40,$BJ14-3)),IF(OR($BI14=1,$BL14=1,$BH14&gt;0),IF($BI14=1,SUM('Final Calculation Sheet'!$J$4:$J$40),IF($BL14=1,SUM('Final Calculation Sheet'!$J$4:$J$40)-SUMIFS('Final Calculation Sheet'!$J$4:$J$40,$AZ$5:$AZ$41,10),SUMIFS('Final Calculation Sheet'!$J$4:$J$40,$AZ$5:$AZ$41,$BH14))),""))</f>
        <v/>
      </c>
      <c r="L15" s="70">
        <f>IF($BJ14&gt;0,IF(INDEX('Final Calculation Sheet'!$K$4:$K$40,$BJ14-3)="","",INDEX('Final Calculation Sheet'!$K$4:$K$40,$BJ14-3)),IF(OR($BI14=1,$BL14=1,$BH14&gt;0),IF($BI14=1,SUM('Final Calculation Sheet'!$K$4:$K$40),IF($BL14=1,SUM('Final Calculation Sheet'!$K$4:$K$40)-SUMIFS('Final Calculation Sheet'!$K$4:$K$40,$AZ$5:$AZ$41,10),SUMIFS('Final Calculation Sheet'!$K$4:$K$40,$AZ$5:$AZ$41,$BH14))),""))</f>
        <v/>
      </c>
      <c r="M15" s="70">
        <f>IF($BJ14&gt;0,IF(INDEX('Final Calculation Sheet'!$L$4:$L$40,$BJ14-3)="","",INDEX('Final Calculation Sheet'!$L$4:$L$40,$BJ14-3)),IF(OR($BI14=1,$BL14=1,$BH14&gt;0),IF($BI14=1,SUM('Final Calculation Sheet'!$L$4:$L$40),IF($BL14=1,SUM('Final Calculation Sheet'!$L$4:$L$40)-SUMIFS('Final Calculation Sheet'!$L$4:$L$40,$AZ$5:$AZ$41,10),SUMIFS('Final Calculation Sheet'!$L$4:$L$40,$AZ$5:$AZ$41,$BH14))),""))</f>
        <v/>
      </c>
      <c r="N15" s="70">
        <f>IF($BJ14&gt;0,IF(INDEX('Final Calculation Sheet'!$M$4:$M$40,$BJ14-3)="","",INDEX('Final Calculation Sheet'!$M$4:$M$40,$BJ14-3)),IF(OR($BI14=1,$BL14=1,$BH14&gt;0),IF($BI14=1,SUM('Final Calculation Sheet'!$M$4:$M$40),IF($BL14=1,SUM('Final Calculation Sheet'!$M$4:$M$40)-SUMIFS('Final Calculation Sheet'!$M$4:$M$40,$AZ$5:$AZ$41,10),SUMIFS('Final Calculation Sheet'!$M$4:$M$40,$AZ$5:$AZ$41,$BH14))),""))</f>
        <v/>
      </c>
      <c r="O15" s="71">
        <f>IF($BJ14&gt;0,IF(INDEX('Final Calculation Sheet'!$N$4:$N$40,$BJ14-3)="","",INDEX('Final Calculation Sheet'!$N$4:$N$40,$BJ14-3)),IF(OR($BI14=1,$BL14=1,$BH14&gt;0),IF($BI14=1,SUM('Final Calculation Sheet'!$N$4:$N$40),IF($BL14=1,SUM('Final Calculation Sheet'!$N$4:$N$40)-SUMIFS('Final Calculation Sheet'!$N$4:$N$40,$AZ$5:$AZ$41,10),SUMIFS('Final Calculation Sheet'!$N$4:$N$40,$AZ$5:$AZ$41,$BH14))),""))</f>
        <v/>
      </c>
      <c r="P15" s="70">
        <f>IF($BJ14&gt;0,IF(INDEX('Final Calculation Sheet'!$O$4:$O$40,$BJ14-3)="","",INDEX('Final Calculation Sheet'!$O$4:$O$40,$BJ14-3)),IF(OR($BI14=1,$BL14=1,$BH14&gt;0),IF($BI14=1,SUM('Final Calculation Sheet'!$O$4:$O$40),IF($BL14=1,SUM('Final Calculation Sheet'!$O$4:$O$40)-SUMIFS('Final Calculation Sheet'!$O$4:$O$40,$AZ$5:$AZ$41,10),SUMIFS('Final Calculation Sheet'!$O$4:$O$40,$AZ$5:$AZ$41,$BH14))),""))</f>
        <v/>
      </c>
      <c r="Q15" s="70">
        <f>IF($BJ14&gt;0,IF(INDEX('Final Calculation Sheet'!$P$4:$P$40,$BJ14-3)="","",INDEX('Final Calculation Sheet'!$P$4:$P$40,$BJ14-3)),IF(OR($BI14=1,$BL14=1,$BH14&gt;0),IF($BI14=1,SUM('Final Calculation Sheet'!$P$4:$P$40),IF($BL14=1,SUM('Final Calculation Sheet'!$P$4:$P$40)-SUMIFS('Final Calculation Sheet'!$P$4:$P$40,$AZ$5:$AZ$41,10),SUMIFS('Final Calculation Sheet'!$P$4:$P$40,$AZ$5:$AZ$41,$BH14))),""))</f>
        <v/>
      </c>
      <c r="R15" s="72">
        <f>IF($BJ14&gt;0,IF(INDEX('Final Calculation Sheet'!$Q$4:$Q$40,$BJ14-3)="","",INDEX('Final Calculation Sheet'!$Q$4:$Q$40,$BJ14-3)),IF(OR($BI14=1,$BL14=1,$BH14&gt;0),"–",""))</f>
        <v/>
      </c>
      <c r="S15" s="70">
        <f>IF($BJ14&gt;0,IF(INDEX('Final Calculation Sheet'!$R$4:$R$40,$BJ14-3)="","",INDEX('Final Calculation Sheet'!$R$4:$R$40,$BJ14-3)),IF(OR($BI14=1,$BL14=1,$BH14&gt;0),IF($BI14=1,SUM('Final Calculation Sheet'!$R$4:$R$40),IF($BL14=1,SUM('Final Calculation Sheet'!$R$4:$R$40)-SUMIFS('Final Calculation Sheet'!$R$4:$R$40,$AZ$5:$AZ$41,10),SUMIFS('Final Calculation Sheet'!$R$4:$R$40,$AZ$5:$AZ$41,$BH14))),""))</f>
        <v/>
      </c>
      <c r="T15" s="70">
        <f>IF($BJ14&gt;0,IF(INDEX('Final Calculation Sheet'!$S$4:$S$40,$BJ14-3)="","",INDEX('Final Calculation Sheet'!$S$4:$S$40,$BJ14-3)),IF(OR($BI14=1,$BL14=1,$BH14&gt;0),IF($BI14=1,SUM('Final Calculation Sheet'!$S$4:$S$40),IF($BL14=1,SUM('Final Calculation Sheet'!$S$4:$S$40)-SUMIFS('Final Calculation Sheet'!$S$4:$S$40,$AZ$5:$AZ$41,10),SUMIFS('Final Calculation Sheet'!$S$4:$S$40,$AZ$5:$AZ$41,$BH14))),""))</f>
        <v/>
      </c>
      <c r="U15" s="70">
        <f>IF($BJ14&gt;0,IF(INDEX('Final Calculation Sheet'!$T$4:$T$40,$BJ14-3)="","",INDEX('Final Calculation Sheet'!$T$4:$T$40,$BJ14-3)),IF(OR($BI14=1,$BL14=1,$BH14&gt;0),IF($BI14=1,SUM('Final Calculation Sheet'!$T$4:$T$40),IF($BL14=1,SUM('Final Calculation Sheet'!$T$4:$T$40)-SUMIFS('Final Calculation Sheet'!$T$4:$T$40,$AZ$5:$AZ$41,10),SUMIFS('Final Calculation Sheet'!$T$4:$T$40,$AZ$5:$AZ$41,$BH14))),""))</f>
        <v/>
      </c>
      <c r="V15" s="73">
        <f>IF($BJ14&gt;0,IF(INDEX('Final Calculation Sheet'!$U$4:$U$40,$BJ14-3)="","",INDEX('Final Calculation Sheet'!$U$4:$U$40,$BJ14-3)),IF(OR($BI14=1,$BL14=1,$BH14&gt;0),IF($BI14=1,SUM('Final Calculation Sheet'!$U$4:$U$40),IF($BL14=1,SUM('Final Calculation Sheet'!$U$4:$U$40)-SUMIFS('Final Calculation Sheet'!$U$4:$U$40,$AZ$5:$AZ$41,10),SUMIFS('Final Calculation Sheet'!$U$4:$U$40,$AZ$5:$AZ$41,$BH14))),""))</f>
        <v/>
      </c>
      <c r="W15" s="70">
        <f>IF($BJ14&gt;0,IF(INDEX('Final Calculation Sheet'!$V$4:$V$40,$BJ14-3)="","",INDEX('Final Calculation Sheet'!$V$4:$V$40,$BJ14-3)),IF(OR($BI14=1,$BL14=1,$BH14&gt;0),"–",""))</f>
        <v/>
      </c>
      <c r="X15" s="70">
        <f>IF($BJ14&gt;0,IF(INDEX('Final Calculation Sheet'!$W$4:$W$40,$BJ14-3)="","",INDEX('Final Calculation Sheet'!$W$4:$W$40,$BJ14-3)),IF(OR($BI14=1,$BL14=1,$BH14&gt;0),IF($BI14=1,SUM('Final Calculation Sheet'!$W$4:$W$40),IF($BL14=1,SUM('Final Calculation Sheet'!$W$4:$W$40)-SUMIFS('Final Calculation Sheet'!$W$4:$W$40,$AZ$5:$AZ$41,10),SUMIFS('Final Calculation Sheet'!$W$4:$W$40,$AZ$5:$AZ$41,$BH14))),""))</f>
        <v/>
      </c>
      <c r="Y15" s="70">
        <f>IF($BJ14&gt;0,IF(INDEX('Final Calculation Sheet'!$X$4:$X$40,$BJ14-3)="","",INDEX('Final Calculation Sheet'!$X$4:$X$40,$BJ14-3)),IF(OR($BI14=1,$BL14=1,$BH14&gt;0),IF($BI14=1,SUM('Final Calculation Sheet'!$X$4:$X$40),IF($BL14=1,SUM('Final Calculation Sheet'!$X$4:$X$40)-SUMIFS('Final Calculation Sheet'!$X$4:$X$40,$AZ$5:$AZ$41,10),SUMIFS('Final Calculation Sheet'!$X$4:$X$40,$AZ$5:$AZ$41,$BH14))),""))</f>
        <v/>
      </c>
      <c r="Z15" s="70">
        <f>IF($BJ14&gt;0,IF(INDEX('Final Calculation Sheet'!$Y$4:$Y$40,$BJ14-3)="","",INDEX('Final Calculation Sheet'!$Y$4:$Y$40,$BJ14-3)),IF(OR($BI14=1,$BL14=1,$BH14&gt;0),"–",""))</f>
        <v/>
      </c>
      <c r="AA15" s="70">
        <f>IF($BJ14&gt;0,IF(INDEX('Final Calculation Sheet'!$Z$4:$Z$40,$BJ14-3)="","",INDEX('Final Calculation Sheet'!$Z$4:$Z$40,$BJ14-3)),IF(OR($BI14=1,$BL14=1,$BH14&gt;0),IF($BI14=1,SUM('Final Calculation Sheet'!$Z$4:$Z$40),IF($BL14=1,SUM('Final Calculation Sheet'!$Z$4:$Z$40)-SUMIFS('Final Calculation Sheet'!$Z$4:$Z$40,$AZ$5:$AZ$41,10),SUMIFS('Final Calculation Sheet'!$Z$4:$Z$40,$AZ$5:$AZ$41,$BH14))),""))</f>
        <v/>
      </c>
      <c r="AB15" s="70">
        <f>IF($BJ14&gt;0,IF(INDEX('Final Calculation Sheet'!$AA$4:$AA$40,$BJ14-3)="","",INDEX('Final Calculation Sheet'!$AA$4:$AA$40,$BJ14-3)),IF(OR($BI14=1,$BL14=1,$BH14&gt;0),IF($BI14=1,SUM('Final Calculation Sheet'!$AA$4:$AA$40),IF($BL14=1,SUM('Final Calculation Sheet'!$AA$4:$AA$40)-SUMIFS('Final Calculation Sheet'!$AA$4:$AA$40,$AZ$5:$AZ$41,10),SUMIFS('Final Calculation Sheet'!$AA$4:$AA$40,$AZ$5:$AZ$41,$BH14))),""))</f>
        <v/>
      </c>
      <c r="AC15" s="70">
        <f>IF($BJ14&gt;0,IF(INDEX('Final Calculation Sheet'!$AB$4:$AB$40,$BJ14-3)="","",INDEX('Final Calculation Sheet'!$AB$4:$AB$40,$BJ14-3)),IF(OR($BI14=1,$BL14=1,$BH14&gt;0),"–",""))</f>
        <v/>
      </c>
      <c r="AD15" s="70">
        <f>IF($BJ14&gt;0,IF(INDEX('Final Calculation Sheet'!$AC$4:$AC$40,$BJ14-3)="","",INDEX('Final Calculation Sheet'!$AC$4:$AC$40,$BJ14-3)),IF(OR($BI14=1,$BL14=1,$BH14&gt;0),IF($BI14=1,SUM('Final Calculation Sheet'!$AC$4:$AC$40),IF($BL14=1,SUM('Final Calculation Sheet'!$AC$4:$AC$40)-SUMIFS('Final Calculation Sheet'!$AC$4:$AC$40,$AZ$5:$AZ$41,10),SUMIFS('Final Calculation Sheet'!$AC$4:$AC$40,$AZ$5:$AZ$41,$BH14))),""))</f>
        <v/>
      </c>
      <c r="AE15" s="70">
        <f>IF($BJ14&gt;0,IF(INDEX('Final Calculation Sheet'!$AD$4:$AD$40,$BJ14-3)="","",INDEX('Final Calculation Sheet'!$AD$4:$AD$40,$BJ14-3)),IF(OR($BI14=1,$BL14=1,$BH14&gt;0),IF($BI14=1,SUM('Final Calculation Sheet'!$AD$4:$AD$40),IF($BL14=1,SUM('Final Calculation Sheet'!$AD$4:$AD$40)-SUMIFS('Final Calculation Sheet'!$AD$4:$AD$40,$AZ$5:$AZ$41,10),SUMIFS('Final Calculation Sheet'!$AD$4:$AD$40,$AZ$5:$AZ$41,$BH14))),""))</f>
        <v/>
      </c>
      <c r="AF15" s="75">
        <f>IF($BJ14&gt;0,IF(INDEX('Final Calculation Sheet'!$AD$4:$AD$40,$BJ14-3)="","",IF(INDEX('Final Calculation Sheet'!$AD$4:$AD$40,$BJ14-3)&lt;=5,"SETTLED","OUTSTANDING")),IF(OR($BI14=1,$BL14=1,$BH14&gt;0),IF(IF($BI14=1,SUM('Final Calculation Sheet'!$AD$4:$AD$40),IF($BL14=1,SUM('Final Calculation Sheet'!$AD$4:$AD$40)-SUMIFS('Final Calculation Sheet'!$AD$4:$AD$40,$AZ$5:$AZ$41,10),SUMIFS('Final Calculation Sheet'!$AD$4:$AD$40,$AZ$5:$AZ$41,$BH14)))&lt;=5,"ALL SETTLED","OUTSTANDING"),""))</f>
        <v/>
      </c>
      <c r="AG15" s="70">
        <f>IF($BJ14&gt;0,IF(INDEX('Final Calculation Sheet'!$AF$4:$AF$40,$BJ14-3)="","",INDEX('Final Calculation Sheet'!$AF$4:$AF$40,$BJ14-3)),IF(OR($BI14=1,$BL14=1,$BH14&gt;0),"–",""))</f>
        <v/>
      </c>
      <c r="AH15" s="74">
        <f>IF($BJ14&gt;0,IF(INDEX('Final Calculation Sheet'!$AG$4:$AG$40,$BJ14-3)="","",INDEX('Final Calculation Sheet'!$AG$4:$AG$40,$BJ14-3)),IF(OR($BI14=1,$BL14=1,$BH14&gt;0),"–",""))</f>
        <v/>
      </c>
      <c r="AI15" s="70">
        <f>IF($BJ14&gt;0,IF(INDEX('Final Calculation Sheet'!$AH$4:$AH$40,$BJ14-3)="","",INDEX('Final Calculation Sheet'!$AH$4:$AH$40,$BJ14-3)),IF(OR($BI14=1,$BL14=1,$BH14&gt;0),"–",""))</f>
        <v/>
      </c>
      <c r="AK15">
        <f>IF($F$3="Lot No.",'Final Calculation Sheet'!$F$14,IF($F$3="Buyer",'Final Calculation Sheet'!$G$14,IF($F$3="Lot Name",'Final Calculation Sheet'!$B$14,IF($F$3="Bid Sheet",'Final Calculation Sheet'!$D$14,IF($F$3="Unit",'Final Calculation Sheet'!$E$14,'Final Calculation Sheet'!$F$14&amp;" "&amp;'Final Calculation Sheet'!$G$14&amp;" "&amp;'Final Calculation Sheet'!$B$14)))))</f>
        <v/>
      </c>
      <c r="AL15">
        <f>AL14+IF($B$3="",0,--(SUMPRODUCT(--($AR$6:$AY$6&lt;&gt;""),--ISNUMBER(SEARCH($AR$6:$AY$6,$AK15)))&gt;0))</f>
        <v/>
      </c>
      <c r="AM15">
        <f>IF(COUNTIF($BM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AZ15">
        <f>IF($B$3="",IF(COUNTIF($A$4:$AI$4,"&lt;&gt;")=0,9,IF($AM15=1,9,10)),IF($AM15=0,10,IF(AND($AR$6&lt;&gt;"",ISNUMBER(SEARCH($AR$6,$AK15))),1,IF(AND($AS$6&lt;&gt;"",ISNUMBER(SEARCH($AS$6,$AK15))),2,IF(AND($AT$6&lt;&gt;"",ISNUMBER(SEARCH($AT$6,$AK15))),3,IF(AND($AU$6&lt;&gt;"",ISNUMBER(SEARCH($AU$6,$AK15))),4,IF(AND($AV$6&lt;&gt;"",ISNUMBER(SEARCH($AV$6,$AK15))),5,IF(AND($AW$6&lt;&gt;"",ISNUMBER(SEARCH($AW$6,$AK15))),6,IF(AND($AX$6&lt;&gt;"",ISNUMBER(SEARCH($AX$6,$AK15))),7,IF(AND($AY$6&lt;&gt;"",ISNUMBER(SEARCH($AY$6,$AK15))),8,0))))))))))</f>
        <v/>
      </c>
      <c r="BA15">
        <f>SUMPRODUCT(($AZ$5:$AZ$41=$AZ15)*($BC$5:$BC$41&lt;$BC15))+1</f>
        <v/>
      </c>
      <c r="BB15">
        <f>IF(INDEX($BF$4:$BF$13,$AZ15)=0,0,INDEX($BE$4:$BE$13,$AZ15)+$BA15-1)</f>
        <v/>
      </c>
      <c r="BC15" t="n">
        <v>14</v>
      </c>
      <c r="BH15">
        <f>IFERROR(MATCH(15,$BF$4:$BF$13,0),0)</f>
        <v/>
      </c>
      <c r="BI15">
        <f>IF(15=$BG$5,1,0)</f>
        <v/>
      </c>
      <c r="BJ15">
        <f>IF(OR($BH15&gt;0,$BI15=1,$BL15=1),0,IFERROR(INDEX($BC$5:$BC$41,MATCH(15,$BB$5:$BB$41,0)),0))</f>
        <v/>
      </c>
      <c r="BK15">
        <f>IF($BJ15&gt;0,IF(INDEX($AZ$5:$AZ$41,MATCH(15,$BB$5:$BB$41,0))=10,1,0),IF($BH15=10,1,0))</f>
        <v/>
      </c>
      <c r="BL15">
        <f>IF(15=$BG$4,1,0)</f>
        <v/>
      </c>
      <c r="BM15">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5">
        <f>IF($B$4="",1,--(OR(SUMPRODUCT(--(TRIM(MID(SUBSTITUTE(SUBSTITUTE($B$4,"/",","),",",REPT(" ",99)),(ROW($1:$8)-1)*99+1,99))&lt;&gt;""),--ISNUMBER(SEARCH(TRIM(MID(SUBSTITUTE(SUBSTITUTE($B$4,"/",","),",",REPT(" ",99)),(ROW($1:$8)-1)*99+1,99)),IFERROR(('Final Calculation Sheet'!$F$14)&amp;"",""))))&gt;0,AND(ISNUMBER(SEARCH("blank",$B$4)),NOT(ISNUMBER(SEARCH("nonblank",$B$4))),IFERROR(('Final Calculation Sheet'!$F$14)&amp;"","")=""),AND(OR(ISNUMBER(SEARCH("nonblank",$B$4)),ISNUMBER(SEARCH("&lt;&gt;",$B$4))),IFERROR(('Final Calculation Sheet'!$F$14)&amp;"","")&lt;&gt;""),AND(TRIM($B$4)="",IFERROR(('Final Calculation Sheet'!$F$14)&amp;"","")=""))))</f>
        <v/>
      </c>
      <c r="BO15">
        <f>IF($CW$3="",1,--(OR(SUMPRODUCT(--(TRIM(MID(SUBSTITUTE(SUBSTITUTE($CW$3,"/",","),",",REPT(" ",99)),(ROW($1:$8)-1)*99+1,99))&lt;&gt;""),--ISNUMBER(SEARCH(TRIM(MID(SUBSTITUTE(SUBSTITUTE($CW$3,"/",","),",",REPT(" ",99)),(ROW($1:$8)-1)*99+1,99)),IFERROR(('Final Calculation Sheet'!$G$14)&amp;"",""))))&gt;0,AND(ISNUMBER(SEARCH("blank",$CW$3)),NOT(ISNUMBER(SEARCH("nonblank",$CW$3))),IFERROR(('Final Calculation Sheet'!$G$14)&amp;"","")=""),AND(OR(ISNUMBER(SEARCH("nonblank",$CW$3)),ISNUMBER(SEARCH("&lt;&gt;",$CW$3))),IFERROR(('Final Calculation Sheet'!$G$14)&amp;"","")&lt;&gt;""),AND(TRIM($CW$3)="",IFERROR(('Final Calculation Sheet'!$G$14)&amp;"","")=""))))</f>
        <v/>
      </c>
      <c r="BP15">
        <f>IF($D$4="",1,--(OR(SUMPRODUCT(--(TRIM(MID(SUBSTITUTE(SUBSTITUTE($D$4,"/",","),",",REPT(" ",99)),(ROW($1:$8)-1)*99+1,99))&lt;&gt;""),--ISNUMBER(SEARCH(TRIM(MID(SUBSTITUTE(SUBSTITUTE($D$4,"/",","),",",REPT(" ",99)),(ROW($1:$8)-1)*99+1,99)),IFERROR(('Final Calculation Sheet'!$B$14)&amp;"",""))))&gt;0,AND(ISNUMBER(SEARCH("blank",$D$4)),NOT(ISNUMBER(SEARCH("nonblank",$D$4))),IFERROR(('Final Calculation Sheet'!$B$14)&amp;"","")=""),AND(OR(ISNUMBER(SEARCH("nonblank",$D$4)),ISNUMBER(SEARCH("&lt;&gt;",$D$4))),IFERROR(('Final Calculation Sheet'!$B$14)&amp;"","")&lt;&gt;""),AND(TRIM($D$4)="",IFERROR(('Final Calculation Sheet'!$B$14)&amp;"","")=""))))</f>
        <v/>
      </c>
      <c r="BQ15">
        <f>IF($E$4="",1,--(OR(SUMPRODUCT(--(TRIM(MID(SUBSTITUTE(SUBSTITUTE($E$4,"/",","),",",REPT(" ",99)),(ROW($1:$8)-1)*99+1,99))&lt;&gt;""),--ISNUMBER(SEARCH(TRIM(MID(SUBSTITUTE(SUBSTITUTE($E$4,"/",","),",",REPT(" ",99)),(ROW($1:$8)-1)*99+1,99)),IFERROR(('Final Calculation Sheet'!$D$14)&amp;"",""))))&gt;0,AND(ISNUMBER(SEARCH("blank",$E$4)),NOT(ISNUMBER(SEARCH("nonblank",$E$4))),IFERROR(('Final Calculation Sheet'!$D$14)&amp;"","")=""),AND(OR(ISNUMBER(SEARCH("nonblank",$E$4)),ISNUMBER(SEARCH("&lt;&gt;",$E$4))),IFERROR(('Final Calculation Sheet'!$D$14)&amp;"","")&lt;&gt;""),AND(TRIM($E$4)="",IFERROR(('Final Calculation Sheet'!$D$14)&amp;"","")=""))))</f>
        <v/>
      </c>
      <c r="BR15">
        <f>IF($F$4="",1,--(OR(SUMPRODUCT(--(TRIM(MID(SUBSTITUTE(SUBSTITUTE($F$4,"/",","),",",REPT(" ",99)),(ROW($1:$8)-1)*99+1,99))&lt;&gt;""),--ISNUMBER(SEARCH(TRIM(MID(SUBSTITUTE(SUBSTITUTE($F$4,"/",","),",",REPT(" ",99)),(ROW($1:$8)-1)*99+1,99)),IFERROR(('Final Calculation Sheet'!$A$14)&amp;"",""))))&gt;0,AND(ISNUMBER(SEARCH("blank",$F$4)),NOT(ISNUMBER(SEARCH("nonblank",$F$4))),IFERROR(('Final Calculation Sheet'!$A$14)&amp;"","")=""),AND(OR(ISNUMBER(SEARCH("nonblank",$F$4)),ISNUMBER(SEARCH("&lt;&gt;",$F$4))),IFERROR(('Final Calculation Sheet'!$A$14)&amp;"","")&lt;&gt;""),AND(TRIM($F$4)="",IFERROR(('Final Calculation Sheet'!$A$14)&amp;"","")=""))))</f>
        <v/>
      </c>
      <c r="BS15">
        <f>IF($G$4="",1,--(OR(SUMPRODUCT(--(TRIM(MID(SUBSTITUTE(SUBSTITUTE($G$4,"/",","),",",REPT(" ",99)),(ROW($1:$8)-1)*99+1,99))&lt;&gt;""),--ISNUMBER(SEARCH(TRIM(MID(SUBSTITUTE(SUBSTITUTE($G$4,"/",","),",",REPT(" ",99)),(ROW($1:$8)-1)*99+1,99)),IFERROR(('Final Calculation Sheet'!$E$14)&amp;"",""))))&gt;0,AND(ISNUMBER(SEARCH("blank",$G$4)),NOT(ISNUMBER(SEARCH("nonblank",$G$4))),IFERROR(('Final Calculation Sheet'!$E$14)&amp;"","")=""),AND(OR(ISNUMBER(SEARCH("nonblank",$G$4)),ISNUMBER(SEARCH("&lt;&gt;",$G$4))),IFERROR(('Final Calculation Sheet'!$E$14)&amp;"","")&lt;&gt;""),AND(TRIM($G$4)="",IFERROR(('Final Calculation Sheet'!$E$14)&amp;"","")=""))))</f>
        <v/>
      </c>
      <c r="BT15">
        <f>IF($H$4="",1,--(OR(SUMPRODUCT(--(TRIM(MID(SUBSTITUTE(SUBSTITUTE($H$4,"/",","),",",REPT(" ",99)),(ROW($1:$8)-1)*99+1,99))&lt;&gt;""),--ISNUMBER(SEARCH(TRIM(MID(SUBSTITUTE(SUBSTITUTE($H$4,"/",","),",",REPT(" ",99)),(ROW($1:$8)-1)*99+1,99)),IFERROR(('Final Calculation Sheet'!$C$14)&amp;"",""))))&gt;0,AND(ISNUMBER(SEARCH("blank",$H$4)),NOT(ISNUMBER(SEARCH("nonblank",$H$4))),IFERROR(('Final Calculation Sheet'!$C$14)&amp;"","")=""),AND(OR(ISNUMBER(SEARCH("nonblank",$H$4)),ISNUMBER(SEARCH("&lt;&gt;",$H$4))),IFERROR(('Final Calculation Sheet'!$C$14)&amp;"","")&lt;&gt;""),AND(TRIM($H$4)="",IFERROR(('Final Calculation Sheet'!$C$14)&amp;"","")=""))))</f>
        <v/>
      </c>
      <c r="BU15">
        <f>IF($I$4="",1,--(OR(SUMPRODUCT(--(TRIM(MID(SUBSTITUTE(SUBSTITUTE($I$4,"/",","),",",REPT(" ",99)),(ROW($1:$8)-1)*99+1,99))&lt;&gt;""),--ISNUMBER(SEARCH(TRIM(MID(SUBSTITUTE(SUBSTITUTE($I$4,"/",","),",",REPT(" ",99)),(ROW($1:$8)-1)*99+1,99)),IFERROR(('Final Calculation Sheet'!$H$14)&amp;"",""))))&gt;0,AND(ISNUMBER(SEARCH("blank",$I$4)),NOT(ISNUMBER(SEARCH("nonblank",$I$4))),IFERROR(('Final Calculation Sheet'!$H$14)&amp;"","")=""),AND(OR(ISNUMBER(SEARCH("nonblank",$I$4)),ISNUMBER(SEARCH("&lt;&gt;",$I$4))),IFERROR(('Final Calculation Sheet'!$H$14)&amp;"","")&lt;&gt;""),AND(TRIM($I$4)="",IFERROR(('Final Calculation Sheet'!$H$14)&amp;"","")=""))))</f>
        <v/>
      </c>
      <c r="BV15">
        <f>IF($J$4="",1,--(OR(SUMPRODUCT(--(TRIM(MID(SUBSTITUTE(SUBSTITUTE($J$4,"/",","),",",REPT(" ",99)),(ROW($1:$8)-1)*99+1,99))&lt;&gt;""),--ISNUMBER(SEARCH(TRIM(MID(SUBSTITUTE(SUBSTITUTE($J$4,"/",","),",",REPT(" ",99)),(ROW($1:$8)-1)*99+1,99)),IFERROR(('Final Calculation Sheet'!$I$14)&amp;"",""))))&gt;0,AND(ISNUMBER(SEARCH("blank",$J$4)),NOT(ISNUMBER(SEARCH("nonblank",$J$4))),IFERROR(('Final Calculation Sheet'!$I$14)&amp;"","")=""),AND(OR(ISNUMBER(SEARCH("nonblank",$J$4)),ISNUMBER(SEARCH("&lt;&gt;",$J$4))),IFERROR(('Final Calculation Sheet'!$I$14)&amp;"","")&lt;&gt;""),AND(TRIM($J$4)="",IFERROR(('Final Calculation Sheet'!$I$14)&amp;"","")=""))))</f>
        <v/>
      </c>
      <c r="BW15">
        <f>IF($K$4="",1,--(OR(SUMPRODUCT(--(TRIM(MID(SUBSTITUTE(SUBSTITUTE($K$4,"/",","),",",REPT(" ",99)),(ROW($1:$8)-1)*99+1,99))&lt;&gt;""),--ISNUMBER(SEARCH(TRIM(MID(SUBSTITUTE(SUBSTITUTE($K$4,"/",","),",",REPT(" ",99)),(ROW($1:$8)-1)*99+1,99)),IFERROR(('Final Calculation Sheet'!$J$14)&amp;"",""))))&gt;0,AND(ISNUMBER(SEARCH("blank",$K$4)),NOT(ISNUMBER(SEARCH("nonblank",$K$4))),IFERROR(('Final Calculation Sheet'!$J$14)&amp;"","")=""),AND(OR(ISNUMBER(SEARCH("nonblank",$K$4)),ISNUMBER(SEARCH("&lt;&gt;",$K$4))),IFERROR(('Final Calculation Sheet'!$J$14)&amp;"","")&lt;&gt;""),AND(TRIM($K$4)="",IFERROR(('Final Calculation Sheet'!$J$14)&amp;"","")=""))))</f>
        <v/>
      </c>
      <c r="BX15">
        <f>IF($L$4="",1,--(OR(SUMPRODUCT(--(TRIM(MID(SUBSTITUTE(SUBSTITUTE($L$4,"/",","),",",REPT(" ",99)),(ROW($1:$8)-1)*99+1,99))&lt;&gt;""),--ISNUMBER(SEARCH(TRIM(MID(SUBSTITUTE(SUBSTITUTE($L$4,"/",","),",",REPT(" ",99)),(ROW($1:$8)-1)*99+1,99)),IFERROR(('Final Calculation Sheet'!$K$14)&amp;"",""))))&gt;0,AND(ISNUMBER(SEARCH("blank",$L$4)),NOT(ISNUMBER(SEARCH("nonblank",$L$4))),IFERROR(('Final Calculation Sheet'!$K$14)&amp;"","")=""),AND(OR(ISNUMBER(SEARCH("nonblank",$L$4)),ISNUMBER(SEARCH("&lt;&gt;",$L$4))),IFERROR(('Final Calculation Sheet'!$K$14)&amp;"","")&lt;&gt;""),AND(TRIM($L$4)="",IFERROR(('Final Calculation Sheet'!$K$14)&amp;"","")=""))))</f>
        <v/>
      </c>
      <c r="BY15">
        <f>IF($M$4="",1,--(OR(SUMPRODUCT(--(TRIM(MID(SUBSTITUTE(SUBSTITUTE($M$4,"/",","),",",REPT(" ",99)),(ROW($1:$8)-1)*99+1,99))&lt;&gt;""),--ISNUMBER(SEARCH(TRIM(MID(SUBSTITUTE(SUBSTITUTE($M$4,"/",","),",",REPT(" ",99)),(ROW($1:$8)-1)*99+1,99)),IFERROR(('Final Calculation Sheet'!$L$14)&amp;"",""))))&gt;0,AND(ISNUMBER(SEARCH("blank",$M$4)),NOT(ISNUMBER(SEARCH("nonblank",$M$4))),IFERROR(('Final Calculation Sheet'!$L$14)&amp;"","")=""),AND(OR(ISNUMBER(SEARCH("nonblank",$M$4)),ISNUMBER(SEARCH("&lt;&gt;",$M$4))),IFERROR(('Final Calculation Sheet'!$L$14)&amp;"","")&lt;&gt;""),AND(TRIM($M$4)="",IFERROR(('Final Calculation Sheet'!$L$14)&amp;"","")=""))))</f>
        <v/>
      </c>
      <c r="BZ15">
        <f>IF($N$4="",1,--(OR(SUMPRODUCT(--(TRIM(MID(SUBSTITUTE(SUBSTITUTE($N$4,"/",","),",",REPT(" ",99)),(ROW($1:$8)-1)*99+1,99))&lt;&gt;""),--ISNUMBER(SEARCH(TRIM(MID(SUBSTITUTE(SUBSTITUTE($N$4,"/",","),",",REPT(" ",99)),(ROW($1:$8)-1)*99+1,99)),IFERROR(('Final Calculation Sheet'!$M$14)&amp;"",""))))&gt;0,AND(ISNUMBER(SEARCH("blank",$N$4)),NOT(ISNUMBER(SEARCH("nonblank",$N$4))),IFERROR(('Final Calculation Sheet'!$M$14)&amp;"","")=""),AND(OR(ISNUMBER(SEARCH("nonblank",$N$4)),ISNUMBER(SEARCH("&lt;&gt;",$N$4))),IFERROR(('Final Calculation Sheet'!$M$14)&amp;"","")&lt;&gt;""),AND(TRIM($N$4)="",IFERROR(('Final Calculation Sheet'!$M$14)&amp;"","")=""))))</f>
        <v/>
      </c>
      <c r="CA15">
        <f>IF($O$4="",1,--(OR(SUMPRODUCT(--(TRIM(MID(SUBSTITUTE(SUBSTITUTE($O$4,"/",","),",",REPT(" ",99)),(ROW($1:$8)-1)*99+1,99))&lt;&gt;""),--ISNUMBER(SEARCH(TRIM(MID(SUBSTITUTE(SUBSTITUTE($O$4,"/",","),",",REPT(" ",99)),(ROW($1:$8)-1)*99+1,99)),IFERROR(('Final Calculation Sheet'!$N$14)&amp;"",""))))&gt;0,AND(ISNUMBER(SEARCH("blank",$O$4)),NOT(ISNUMBER(SEARCH("nonblank",$O$4))),IFERROR(('Final Calculation Sheet'!$N$14)&amp;"","")=""),AND(OR(ISNUMBER(SEARCH("nonblank",$O$4)),ISNUMBER(SEARCH("&lt;&gt;",$O$4))),IFERROR(('Final Calculation Sheet'!$N$14)&amp;"","")&lt;&gt;""),AND(TRIM($O$4)="",IFERROR(('Final Calculation Sheet'!$N$14)&amp;"","")=""))))</f>
        <v/>
      </c>
      <c r="CB15">
        <f>IF($P$4="",1,--(OR(SUMPRODUCT(--(TRIM(MID(SUBSTITUTE(SUBSTITUTE($P$4,"/",","),",",REPT(" ",99)),(ROW($1:$8)-1)*99+1,99))&lt;&gt;""),--ISNUMBER(SEARCH(TRIM(MID(SUBSTITUTE(SUBSTITUTE($P$4,"/",","),",",REPT(" ",99)),(ROW($1:$8)-1)*99+1,99)),IFERROR(('Final Calculation Sheet'!$O$14)&amp;"",""))))&gt;0,AND(ISNUMBER(SEARCH("blank",$P$4)),NOT(ISNUMBER(SEARCH("nonblank",$P$4))),IFERROR(('Final Calculation Sheet'!$O$14)&amp;"","")=""),AND(OR(ISNUMBER(SEARCH("nonblank",$P$4)),ISNUMBER(SEARCH("&lt;&gt;",$P$4))),IFERROR(('Final Calculation Sheet'!$O$14)&amp;"","")&lt;&gt;""),AND(TRIM($P$4)="",IFERROR(('Final Calculation Sheet'!$O$14)&amp;"","")=""))))</f>
        <v/>
      </c>
      <c r="CC15">
        <f>IF($Q$4="",1,--(OR(SUMPRODUCT(--(TRIM(MID(SUBSTITUTE(SUBSTITUTE($Q$4,"/",","),",",REPT(" ",99)),(ROW($1:$8)-1)*99+1,99))&lt;&gt;""),--ISNUMBER(SEARCH(TRIM(MID(SUBSTITUTE(SUBSTITUTE($Q$4,"/",","),",",REPT(" ",99)),(ROW($1:$8)-1)*99+1,99)),IFERROR(('Final Calculation Sheet'!$P$14)&amp;"",""))))&gt;0,AND(ISNUMBER(SEARCH("blank",$Q$4)),NOT(ISNUMBER(SEARCH("nonblank",$Q$4))),IFERROR(('Final Calculation Sheet'!$P$14)&amp;"","")=""),AND(OR(ISNUMBER(SEARCH("nonblank",$Q$4)),ISNUMBER(SEARCH("&lt;&gt;",$Q$4))),IFERROR(('Final Calculation Sheet'!$P$14)&amp;"","")&lt;&gt;""),AND(TRIM($Q$4)="",IFERROR(('Final Calculation Sheet'!$P$14)&amp;"","")=""))))</f>
        <v/>
      </c>
      <c r="CD15">
        <f>IF($R$4="",1,--(OR(SUMPRODUCT(--(TRIM(MID(SUBSTITUTE(SUBSTITUTE($R$4,"/",","),",",REPT(" ",99)),(ROW($1:$8)-1)*99+1,99))&lt;&gt;""),--ISNUMBER(SEARCH(TRIM(MID(SUBSTITUTE(SUBSTITUTE($R$4,"/",","),",",REPT(" ",99)),(ROW($1:$8)-1)*99+1,99)),IFERROR(('Final Calculation Sheet'!$Q$14)&amp;"",""))))&gt;0,AND(ISNUMBER(SEARCH("blank",$R$4)),NOT(ISNUMBER(SEARCH("nonblank",$R$4))),IFERROR(('Final Calculation Sheet'!$Q$14)&amp;"","")=""),AND(OR(ISNUMBER(SEARCH("nonblank",$R$4)),ISNUMBER(SEARCH("&lt;&gt;",$R$4))),IFERROR(('Final Calculation Sheet'!$Q$14)&amp;"","")&lt;&gt;""),AND(TRIM($R$4)="",IFERROR(('Final Calculation Sheet'!$Q$14)&amp;"","")=""))))</f>
        <v/>
      </c>
      <c r="CE15">
        <f>IF($S$4="",1,--(OR(SUMPRODUCT(--(TRIM(MID(SUBSTITUTE(SUBSTITUTE($S$4,"/",","),",",REPT(" ",99)),(ROW($1:$8)-1)*99+1,99))&lt;&gt;""),--ISNUMBER(SEARCH(TRIM(MID(SUBSTITUTE(SUBSTITUTE($S$4,"/",","),",",REPT(" ",99)),(ROW($1:$8)-1)*99+1,99)),IFERROR(('Final Calculation Sheet'!$R$14)&amp;"",""))))&gt;0,AND(ISNUMBER(SEARCH("blank",$S$4)),NOT(ISNUMBER(SEARCH("nonblank",$S$4))),IFERROR(('Final Calculation Sheet'!$R$14)&amp;"","")=""),AND(OR(ISNUMBER(SEARCH("nonblank",$S$4)),ISNUMBER(SEARCH("&lt;&gt;",$S$4))),IFERROR(('Final Calculation Sheet'!$R$14)&amp;"","")&lt;&gt;""),AND(TRIM($S$4)="",IFERROR(('Final Calculation Sheet'!$R$14)&amp;"","")=""))))</f>
        <v/>
      </c>
      <c r="CF15">
        <f>IF($T$4="",1,--(OR(SUMPRODUCT(--(TRIM(MID(SUBSTITUTE(SUBSTITUTE($T$4,"/",","),",",REPT(" ",99)),(ROW($1:$8)-1)*99+1,99))&lt;&gt;""),--ISNUMBER(SEARCH(TRIM(MID(SUBSTITUTE(SUBSTITUTE($T$4,"/",","),",",REPT(" ",99)),(ROW($1:$8)-1)*99+1,99)),IFERROR(('Final Calculation Sheet'!$S$14)&amp;"",""))))&gt;0,AND(ISNUMBER(SEARCH("blank",$T$4)),NOT(ISNUMBER(SEARCH("nonblank",$T$4))),IFERROR(('Final Calculation Sheet'!$S$14)&amp;"","")=""),AND(OR(ISNUMBER(SEARCH("nonblank",$T$4)),ISNUMBER(SEARCH("&lt;&gt;",$T$4))),IFERROR(('Final Calculation Sheet'!$S$14)&amp;"","")&lt;&gt;""),AND(TRIM($T$4)="",IFERROR(('Final Calculation Sheet'!$S$14)&amp;"","")=""))))</f>
        <v/>
      </c>
      <c r="CG15">
        <f>IF($U$4="",1,--(OR(SUMPRODUCT(--(TRIM(MID(SUBSTITUTE(SUBSTITUTE($U$4,"/",","),",",REPT(" ",99)),(ROW($1:$8)-1)*99+1,99))&lt;&gt;""),--ISNUMBER(SEARCH(TRIM(MID(SUBSTITUTE(SUBSTITUTE($U$4,"/",","),",",REPT(" ",99)),(ROW($1:$8)-1)*99+1,99)),IFERROR(('Final Calculation Sheet'!$T$14)&amp;"",""))))&gt;0,AND(ISNUMBER(SEARCH("blank",$U$4)),NOT(ISNUMBER(SEARCH("nonblank",$U$4))),IFERROR(('Final Calculation Sheet'!$T$14)&amp;"","")=""),AND(OR(ISNUMBER(SEARCH("nonblank",$U$4)),ISNUMBER(SEARCH("&lt;&gt;",$U$4))),IFERROR(('Final Calculation Sheet'!$T$14)&amp;"","")&lt;&gt;""),AND(TRIM($U$4)="",IFERROR(('Final Calculation Sheet'!$T$14)&amp;"","")=""))))</f>
        <v/>
      </c>
      <c r="CH15">
        <f>IF($V$4="",1,--(OR(SUMPRODUCT(--(TRIM(MID(SUBSTITUTE(SUBSTITUTE($V$4,"/",","),",",REPT(" ",99)),(ROW($1:$8)-1)*99+1,99))&lt;&gt;""),--ISNUMBER(SEARCH(TRIM(MID(SUBSTITUTE(SUBSTITUTE($V$4,"/",","),",",REPT(" ",99)),(ROW($1:$8)-1)*99+1,99)),IFERROR(('Final Calculation Sheet'!$U$14)&amp;"",""))))&gt;0,AND(ISNUMBER(SEARCH("blank",$V$4)),NOT(ISNUMBER(SEARCH("nonblank",$V$4))),IFERROR(('Final Calculation Sheet'!$U$14)&amp;"","")=""),AND(OR(ISNUMBER(SEARCH("nonblank",$V$4)),ISNUMBER(SEARCH("&lt;&gt;",$V$4))),IFERROR(('Final Calculation Sheet'!$U$14)&amp;"","")&lt;&gt;""),AND(TRIM($V$4)="",IFERROR(('Final Calculation Sheet'!$U$14)&amp;"","")=""))))</f>
        <v/>
      </c>
      <c r="CI15">
        <f>IF($W$4="",1,--(OR(SUMPRODUCT(--(TRIM(MID(SUBSTITUTE(SUBSTITUTE($W$4,"/",","),",",REPT(" ",99)),(ROW($1:$8)-1)*99+1,99))&lt;&gt;""),--ISNUMBER(SEARCH(TRIM(MID(SUBSTITUTE(SUBSTITUTE($W$4,"/",","),",",REPT(" ",99)),(ROW($1:$8)-1)*99+1,99)),IFERROR(('Final Calculation Sheet'!$V$14)&amp;"",""))))&gt;0,AND(ISNUMBER(SEARCH("blank",$W$4)),NOT(ISNUMBER(SEARCH("nonblank",$W$4))),IFERROR(('Final Calculation Sheet'!$V$14)&amp;"","")=""),AND(OR(ISNUMBER(SEARCH("nonblank",$W$4)),ISNUMBER(SEARCH("&lt;&gt;",$W$4))),IFERROR(('Final Calculation Sheet'!$V$14)&amp;"","")&lt;&gt;""),AND(TRIM($W$4)="",IFERROR(('Final Calculation Sheet'!$V$14)&amp;"","")=""))))</f>
        <v/>
      </c>
      <c r="CJ15">
        <f>IF($X$4="",1,--(OR(SUMPRODUCT(--(TRIM(MID(SUBSTITUTE(SUBSTITUTE($X$4,"/",","),",",REPT(" ",99)),(ROW($1:$8)-1)*99+1,99))&lt;&gt;""),--ISNUMBER(SEARCH(TRIM(MID(SUBSTITUTE(SUBSTITUTE($X$4,"/",","),",",REPT(" ",99)),(ROW($1:$8)-1)*99+1,99)),IFERROR(('Final Calculation Sheet'!$W$14)&amp;"",""))))&gt;0,AND(ISNUMBER(SEARCH("blank",$X$4)),NOT(ISNUMBER(SEARCH("nonblank",$X$4))),IFERROR(('Final Calculation Sheet'!$W$14)&amp;"","")=""),AND(OR(ISNUMBER(SEARCH("nonblank",$X$4)),ISNUMBER(SEARCH("&lt;&gt;",$X$4))),IFERROR(('Final Calculation Sheet'!$W$14)&amp;"","")&lt;&gt;""),AND(TRIM($X$4)="",IFERROR(('Final Calculation Sheet'!$W$14)&amp;"","")=""))))</f>
        <v/>
      </c>
      <c r="CK15">
        <f>IF($Y$4="",1,--(OR(SUMPRODUCT(--(TRIM(MID(SUBSTITUTE(SUBSTITUTE($Y$4,"/",","),",",REPT(" ",99)),(ROW($1:$8)-1)*99+1,99))&lt;&gt;""),--ISNUMBER(SEARCH(TRIM(MID(SUBSTITUTE(SUBSTITUTE($Y$4,"/",","),",",REPT(" ",99)),(ROW($1:$8)-1)*99+1,99)),IFERROR(('Final Calculation Sheet'!$X$14)&amp;"",""))))&gt;0,AND(ISNUMBER(SEARCH("blank",$Y$4)),NOT(ISNUMBER(SEARCH("nonblank",$Y$4))),IFERROR(('Final Calculation Sheet'!$X$14)&amp;"","")=""),AND(OR(ISNUMBER(SEARCH("nonblank",$Y$4)),ISNUMBER(SEARCH("&lt;&gt;",$Y$4))),IFERROR(('Final Calculation Sheet'!$X$14)&amp;"","")&lt;&gt;""),AND(TRIM($Y$4)="",IFERROR(('Final Calculation Sheet'!$X$14)&amp;"","")=""))))</f>
        <v/>
      </c>
      <c r="CL15">
        <f>IF($Z$4="",1,--(OR(SUMPRODUCT(--(TRIM(MID(SUBSTITUTE(SUBSTITUTE($Z$4,"/",","),",",REPT(" ",99)),(ROW($1:$8)-1)*99+1,99))&lt;&gt;""),--ISNUMBER(SEARCH(TRIM(MID(SUBSTITUTE(SUBSTITUTE($Z$4,"/",","),",",REPT(" ",99)),(ROW($1:$8)-1)*99+1,99)),IFERROR(('Final Calculation Sheet'!$Y$14)&amp;"",""))))&gt;0,AND(ISNUMBER(SEARCH("blank",$Z$4)),NOT(ISNUMBER(SEARCH("nonblank",$Z$4))),IFERROR(('Final Calculation Sheet'!$Y$14)&amp;"","")=""),AND(OR(ISNUMBER(SEARCH("nonblank",$Z$4)),ISNUMBER(SEARCH("&lt;&gt;",$Z$4))),IFERROR(('Final Calculation Sheet'!$Y$14)&amp;"","")&lt;&gt;""),AND(TRIM($Z$4)="",IFERROR(('Final Calculation Sheet'!$Y$14)&amp;"","")=""))))</f>
        <v/>
      </c>
      <c r="CM15">
        <f>IF($AA$4="",1,--(OR(SUMPRODUCT(--(TRIM(MID(SUBSTITUTE(SUBSTITUTE($AA$4,"/",","),",",REPT(" ",99)),(ROW($1:$8)-1)*99+1,99))&lt;&gt;""),--ISNUMBER(SEARCH(TRIM(MID(SUBSTITUTE(SUBSTITUTE($AA$4,"/",","),",",REPT(" ",99)),(ROW($1:$8)-1)*99+1,99)),IFERROR(('Final Calculation Sheet'!$Z$14)&amp;"",""))))&gt;0,AND(ISNUMBER(SEARCH("blank",$AA$4)),NOT(ISNUMBER(SEARCH("nonblank",$AA$4))),IFERROR(('Final Calculation Sheet'!$Z$14)&amp;"","")=""),AND(OR(ISNUMBER(SEARCH("nonblank",$AA$4)),ISNUMBER(SEARCH("&lt;&gt;",$AA$4))),IFERROR(('Final Calculation Sheet'!$Z$14)&amp;"","")&lt;&gt;""),AND(TRIM($AA$4)="",IFERROR(('Final Calculation Sheet'!$Z$14)&amp;"","")=""))))</f>
        <v/>
      </c>
      <c r="CN15">
        <f>IF($AB$4="",1,--(OR(SUMPRODUCT(--(TRIM(MID(SUBSTITUTE(SUBSTITUTE($AB$4,"/",","),",",REPT(" ",99)),(ROW($1:$8)-1)*99+1,99))&lt;&gt;""),--ISNUMBER(SEARCH(TRIM(MID(SUBSTITUTE(SUBSTITUTE($AB$4,"/",","),",",REPT(" ",99)),(ROW($1:$8)-1)*99+1,99)),IFERROR(('Final Calculation Sheet'!$AA$14)&amp;"",""))))&gt;0,AND(ISNUMBER(SEARCH("blank",$AB$4)),NOT(ISNUMBER(SEARCH("nonblank",$AB$4))),IFERROR(('Final Calculation Sheet'!$AA$14)&amp;"","")=""),AND(OR(ISNUMBER(SEARCH("nonblank",$AB$4)),ISNUMBER(SEARCH("&lt;&gt;",$AB$4))),IFERROR(('Final Calculation Sheet'!$AA$14)&amp;"","")&lt;&gt;""),AND(TRIM($AB$4)="",IFERROR(('Final Calculation Sheet'!$AA$14)&amp;"","")=""))))</f>
        <v/>
      </c>
      <c r="CO15">
        <f>IF($AC$4="",1,--(OR(SUMPRODUCT(--(TRIM(MID(SUBSTITUTE(SUBSTITUTE($AC$4,"/",","),",",REPT(" ",99)),(ROW($1:$8)-1)*99+1,99))&lt;&gt;""),--ISNUMBER(SEARCH(TRIM(MID(SUBSTITUTE(SUBSTITUTE($AC$4,"/",","),",",REPT(" ",99)),(ROW($1:$8)-1)*99+1,99)),IFERROR(('Final Calculation Sheet'!$AB$14)&amp;"",""))))&gt;0,AND(ISNUMBER(SEARCH("blank",$AC$4)),NOT(ISNUMBER(SEARCH("nonblank",$AC$4))),IFERROR(('Final Calculation Sheet'!$AB$14)&amp;"","")=""),AND(OR(ISNUMBER(SEARCH("nonblank",$AC$4)),ISNUMBER(SEARCH("&lt;&gt;",$AC$4))),IFERROR(('Final Calculation Sheet'!$AB$14)&amp;"","")&lt;&gt;""),AND(TRIM($AC$4)="",IFERROR(('Final Calculation Sheet'!$AB$14)&amp;"","")=""))))</f>
        <v/>
      </c>
      <c r="CP15">
        <f>IF($AD$4="",1,--(OR(SUMPRODUCT(--(TRIM(MID(SUBSTITUTE(SUBSTITUTE($AD$4,"/",","),",",REPT(" ",99)),(ROW($1:$8)-1)*99+1,99))&lt;&gt;""),--ISNUMBER(SEARCH(TRIM(MID(SUBSTITUTE(SUBSTITUTE($AD$4,"/",","),",",REPT(" ",99)),(ROW($1:$8)-1)*99+1,99)),IFERROR(('Final Calculation Sheet'!$AC$14)&amp;"",""))))&gt;0,AND(ISNUMBER(SEARCH("blank",$AD$4)),NOT(ISNUMBER(SEARCH("nonblank",$AD$4))),IFERROR(('Final Calculation Sheet'!$AC$14)&amp;"","")=""),AND(OR(ISNUMBER(SEARCH("nonblank",$AD$4)),ISNUMBER(SEARCH("&lt;&gt;",$AD$4))),IFERROR(('Final Calculation Sheet'!$AC$14)&amp;"","")&lt;&gt;""),AND(TRIM($AD$4)="",IFERROR(('Final Calculation Sheet'!$AC$14)&amp;"","")=""))))</f>
        <v/>
      </c>
      <c r="CQ15">
        <f>IF($AE$4="",1,--(OR(SUMPRODUCT(--(TRIM(MID(SUBSTITUTE(SUBSTITUTE($AE$4,"/",","),",",REPT(" ",99)),(ROW($1:$8)-1)*99+1,99))&lt;&gt;""),--ISNUMBER(SEARCH(TRIM(MID(SUBSTITUTE(SUBSTITUTE($AE$4,"/",","),",",REPT(" ",99)),(ROW($1:$8)-1)*99+1,99)),IFERROR(('Final Calculation Sheet'!$AD$14)&amp;"",""))))&gt;0,AND(ISNUMBER(SEARCH("blank",$AE$4)),NOT(ISNUMBER(SEARCH("nonblank",$AE$4))),IFERROR(('Final Calculation Sheet'!$AD$14)&amp;"","")=""),AND(OR(ISNUMBER(SEARCH("nonblank",$AE$4)),ISNUMBER(SEARCH("&lt;&gt;",$AE$4))),IFERROR(('Final Calculation Sheet'!$AD$14)&amp;"","")&lt;&gt;""),AND(TRIM($AE$4)="",IFERROR(('Final Calculation Sheet'!$AD$14)&amp;"","")=""))))</f>
        <v/>
      </c>
      <c r="CR15">
        <f>IF($AG$4="",1,--(OR(SUMPRODUCT(--(TRIM(MID(SUBSTITUTE(SUBSTITUTE($AG$4,"/",","),",",REPT(" ",99)),(ROW($1:$8)-1)*99+1,99))&lt;&gt;""),--ISNUMBER(SEARCH(TRIM(MID(SUBSTITUTE(SUBSTITUTE($AG$4,"/",","),",",REPT(" ",99)),(ROW($1:$8)-1)*99+1,99)),IFERROR(('Final Calculation Sheet'!$AF$14)&amp;"",""))))&gt;0,AND(ISNUMBER(SEARCH("blank",$AG$4)),NOT(ISNUMBER(SEARCH("nonblank",$AG$4))),IFERROR(('Final Calculation Sheet'!$AF$14)&amp;"","")=""),AND(OR(ISNUMBER(SEARCH("nonblank",$AG$4)),ISNUMBER(SEARCH("&lt;&gt;",$AG$4))),IFERROR(('Final Calculation Sheet'!$AF$14)&amp;"","")&lt;&gt;""),AND(TRIM($AG$4)="",IFERROR(('Final Calculation Sheet'!$AF$14)&amp;"","")=""))))</f>
        <v/>
      </c>
      <c r="CS15">
        <f>IF($AH$4="",1,--(OR(SUMPRODUCT(--(TRIM(MID(SUBSTITUTE(SUBSTITUTE($AH$4,"/",","),",",REPT(" ",99)),(ROW($1:$8)-1)*99+1,99))&lt;&gt;""),--ISNUMBER(SEARCH(TRIM(MID(SUBSTITUTE(SUBSTITUTE($AH$4,"/",","),",",REPT(" ",99)),(ROW($1:$8)-1)*99+1,99)),IFERROR(('Final Calculation Sheet'!$AG$14)&amp;"",""))))&gt;0,AND(ISNUMBER(SEARCH("blank",$AH$4)),NOT(ISNUMBER(SEARCH("nonblank",$AH$4))),IFERROR(('Final Calculation Sheet'!$AG$14)&amp;"","")=""),AND(OR(ISNUMBER(SEARCH("nonblank",$AH$4)),ISNUMBER(SEARCH("&lt;&gt;",$AH$4))),IFERROR(('Final Calculation Sheet'!$AG$14)&amp;"","")&lt;&gt;""),AND(TRIM($AH$4)="",IFERROR(('Final Calculation Sheet'!$AG$14)&amp;"","")=""))))</f>
        <v/>
      </c>
      <c r="CT15">
        <f>IF($AI$4="",1,--(OR(SUMPRODUCT(--(TRIM(MID(SUBSTITUTE(SUBSTITUTE($AI$4,"/",","),",",REPT(" ",99)),(ROW($1:$8)-1)*99+1,99))&lt;&gt;""),--ISNUMBER(SEARCH(TRIM(MID(SUBSTITUTE(SUBSTITUTE($AI$4,"/",","),",",REPT(" ",99)),(ROW($1:$8)-1)*99+1,99)),IFERROR(('Final Calculation Sheet'!$AH$14)&amp;"",""))))&gt;0,AND(ISNUMBER(SEARCH("blank",$AI$4)),NOT(ISNUMBER(SEARCH("nonblank",$AI$4))),IFERROR(('Final Calculation Sheet'!$AH$14)&amp;"","")=""),AND(OR(ISNUMBER(SEARCH("nonblank",$AI$4)),ISNUMBER(SEARCH("&lt;&gt;",$AI$4))),IFERROR(('Final Calculation Sheet'!$AH$14)&amp;"","")&lt;&gt;""),AND(TRIM($AI$4)="",IFERROR(('Final Calculation Sheet'!$AH$14)&amp;"","")=""))))</f>
        <v/>
      </c>
      <c r="CU15">
        <f>IF($AF$4="",1,--(OR(SUMPRODUCT(--(TRIM(MID(SUBSTITUTE(SUBSTITUTE($AF$4,"/",","),",",REPT(" ",99)),(ROW($1:$8)-1)*99+1,99))&lt;&gt;""),--ISNUMBER(SEARCH(TRIM(MID(SUBSTITUTE(SUBSTITUTE($AF$4,"/",","),",",REPT(" ",99)),(ROW($1:$8)-1)*99+1,99)),IFERROR((IF('Final Calculation Sheet'!$AD$14&lt;=5,"SETTLED","OUTSTANDING"))&amp;"",""))))&gt;0,AND(ISNUMBER(SEARCH("blank",$AF$4)),NOT(ISNUMBER(SEARCH("nonblank",$AF$4))),IFERROR((IF('Final Calculation Sheet'!$AD$14&lt;=5,"SETTLED","OUTSTANDING"))&amp;"","")=""),AND(OR(ISNUMBER(SEARCH("nonblank",$AF$4)),ISNUMBER(SEARCH("&lt;&gt;",$AF$4))),IFERROR((IF('Final Calculation Sheet'!$AD$14&lt;=5,"SETTLED","OUTSTANDING"))&amp;"","")&lt;&gt;""),AND(TRIM($AF$4)="",IFERROR((IF('Final Calculation Sheet'!$AD$14&lt;=5,"SETTLED","OUTSTANDING"))&amp;"","")=""))))</f>
        <v/>
      </c>
    </row>
    <row r="16" ht="15" customHeight="1" s="137">
      <c r="A16" s="67">
        <f>IF($BJ15&gt;0,INDEX($BA$5:$BA$41,MATCH(15,$BB$5:$BB$41,0)),IF(OR($BI15=1,$BL15=1,$BH15&gt;0),"∑",""))</f>
        <v/>
      </c>
      <c r="B16" s="76">
        <f>IF($BJ15&gt;0,IF(INDEX('Final Calculation Sheet'!$F$4:$F$40,$BJ15-3)="","",INDEX('Final Calculation Sheet'!$F$4:$F$40,$BJ15-3)),"")</f>
        <v/>
      </c>
      <c r="C16" s="76">
        <f>IF($BJ15&gt;0,IF(INDEX('Final Calculation Sheet'!$G$4:$G$40,$BJ15-3)="","",INDEX('Final Calculation Sheet'!$G$4:$G$40,$BJ15-3)),IF(OR($BI15=1,$BL15=1,$BH15&gt;0),IF($BI15=1,37,IF($BL15=1,37-INDEX($BD$4:$BD$13,10),INDEX($BD$4:$BD$13,$BH15)))&amp;" lot(s)",""))</f>
        <v/>
      </c>
      <c r="D16" s="80">
        <f>IF($BJ15&gt;0,IF(INDEX('Final Calculation Sheet'!$B$4:$B$40,$BJ15-3)="","",INDEX('Final Calculation Sheet'!$B$4:$B$40,$BJ15-3)),IF(OR($BI15=1,$BL15=1,$BH15&gt;0),IF($BI15=1,"GRAND TOTAL  —  matching + remaining",IF($BL15=1,"TOTAL MATCHED  —  every group together",IF($BH15=10,"REMAINING  —  did not match the search",IF($BH15=9,IF(COUNTIF($A$4:$AI$4,"&lt;&gt;")&gt;0,"FILTERED LOTS  —  column fields","ALL LOTS  —  nothing typed in the box"),"GROUP "&amp;$BH15&amp;" TOTAL  —  lots matching  "&amp;INDEX($AR$6:$AY$6,$BH15))))),""))</f>
        <v/>
      </c>
      <c r="E16" s="80">
        <f>IF($BJ15&gt;0,IF(INDEX('Final Calculation Sheet'!$D$4:$D$40,$BJ15-3)="","",INDEX('Final Calculation Sheet'!$D$4:$D$40,$BJ15-3)),IF(OR($BI15=1,$BL15=1,$BH15&gt;0),"–",""))</f>
        <v/>
      </c>
      <c r="F16" s="80">
        <f>IF($BJ15&gt;0,IF(INDEX('Final Calculation Sheet'!$A$4:$A$40,$BJ15-3)="","",INDEX('Final Calculation Sheet'!$A$4:$A$40,$BJ15-3)),IF(OR($BI15=1,$BL15=1,$BH15&gt;0),IF($BI15=1,SUM('Final Calculation Sheet'!$A$4:$A$40),IF($BL15=1,SUM('Final Calculation Sheet'!$A$4:$A$40)-SUMIFS('Final Calculation Sheet'!$A$4:$A$40,$AZ$5:$AZ$41,10),SUMIFS('Final Calculation Sheet'!$A$4:$A$40,$AZ$5:$AZ$41,$BH15))),""))</f>
        <v/>
      </c>
      <c r="G16" s="80">
        <f>IF($BJ15&gt;0,IF(INDEX('Final Calculation Sheet'!$E$4:$E$40,$BJ15-3)="","",INDEX('Final Calculation Sheet'!$E$4:$E$40,$BJ15-3)),IF(OR($BI15=1,$BL15=1,$BH15&gt;0),"–",""))</f>
        <v/>
      </c>
      <c r="H16" s="70">
        <f>IF($BJ15&gt;0,IF(INDEX('Final Calculation Sheet'!$C$4:$C$40,$BJ15-3)="","",INDEX('Final Calculation Sheet'!$C$4:$C$40,$BJ15-3)),IF(OR($BI15=1,$BL15=1,$BH15&gt;0),"–",""))</f>
        <v/>
      </c>
      <c r="I16" s="70">
        <f>IF($BJ15&gt;0,IF(INDEX('Final Calculation Sheet'!$H$4:$H$40,$BJ15-3)="","",INDEX('Final Calculation Sheet'!$H$4:$H$40,$BJ15-3)),IF(OR($BI15=1,$BL15=1,$BH15&gt;0),IF($BI15=1,SUM('Final Calculation Sheet'!$H$4:$H$40),IF($BL15=1,SUM('Final Calculation Sheet'!$H$4:$H$40)-SUMIFS('Final Calculation Sheet'!$H$4:$H$40,$AZ$5:$AZ$41,10),SUMIFS('Final Calculation Sheet'!$H$4:$H$40,$AZ$5:$AZ$41,$BH15))),""))</f>
        <v/>
      </c>
      <c r="J16" s="70">
        <f>IF($BJ15&gt;0,IF(INDEX('Final Calculation Sheet'!$I$4:$I$40,$BJ15-3)="","",INDEX('Final Calculation Sheet'!$I$4:$I$40,$BJ15-3)),IF(OR($BI15=1,$BL15=1,$BH15&gt;0),IF($BI15=1,SUM('Final Calculation Sheet'!$I$4:$I$40),IF($BL15=1,SUM('Final Calculation Sheet'!$I$4:$I$40)-SUMIFS('Final Calculation Sheet'!$I$4:$I$40,$AZ$5:$AZ$41,10),SUMIFS('Final Calculation Sheet'!$I$4:$I$40,$AZ$5:$AZ$41,$BH15))),""))</f>
        <v/>
      </c>
      <c r="K16" s="70">
        <f>IF($BJ15&gt;0,IF(INDEX('Final Calculation Sheet'!$J$4:$J$40,$BJ15-3)="","",INDEX('Final Calculation Sheet'!$J$4:$J$40,$BJ15-3)),IF(OR($BI15=1,$BL15=1,$BH15&gt;0),IF($BI15=1,SUM('Final Calculation Sheet'!$J$4:$J$40),IF($BL15=1,SUM('Final Calculation Sheet'!$J$4:$J$40)-SUMIFS('Final Calculation Sheet'!$J$4:$J$40,$AZ$5:$AZ$41,10),SUMIFS('Final Calculation Sheet'!$J$4:$J$40,$AZ$5:$AZ$41,$BH15))),""))</f>
        <v/>
      </c>
      <c r="L16" s="70">
        <f>IF($BJ15&gt;0,IF(INDEX('Final Calculation Sheet'!$K$4:$K$40,$BJ15-3)="","",INDEX('Final Calculation Sheet'!$K$4:$K$40,$BJ15-3)),IF(OR($BI15=1,$BL15=1,$BH15&gt;0),IF($BI15=1,SUM('Final Calculation Sheet'!$K$4:$K$40),IF($BL15=1,SUM('Final Calculation Sheet'!$K$4:$K$40)-SUMIFS('Final Calculation Sheet'!$K$4:$K$40,$AZ$5:$AZ$41,10),SUMIFS('Final Calculation Sheet'!$K$4:$K$40,$AZ$5:$AZ$41,$BH15))),""))</f>
        <v/>
      </c>
      <c r="M16" s="70">
        <f>IF($BJ15&gt;0,IF(INDEX('Final Calculation Sheet'!$L$4:$L$40,$BJ15-3)="","",INDEX('Final Calculation Sheet'!$L$4:$L$40,$BJ15-3)),IF(OR($BI15=1,$BL15=1,$BH15&gt;0),IF($BI15=1,SUM('Final Calculation Sheet'!$L$4:$L$40),IF($BL15=1,SUM('Final Calculation Sheet'!$L$4:$L$40)-SUMIFS('Final Calculation Sheet'!$L$4:$L$40,$AZ$5:$AZ$41,10),SUMIFS('Final Calculation Sheet'!$L$4:$L$40,$AZ$5:$AZ$41,$BH15))),""))</f>
        <v/>
      </c>
      <c r="N16" s="70">
        <f>IF($BJ15&gt;0,IF(INDEX('Final Calculation Sheet'!$M$4:$M$40,$BJ15-3)="","",INDEX('Final Calculation Sheet'!$M$4:$M$40,$BJ15-3)),IF(OR($BI15=1,$BL15=1,$BH15&gt;0),IF($BI15=1,SUM('Final Calculation Sheet'!$M$4:$M$40),IF($BL15=1,SUM('Final Calculation Sheet'!$M$4:$M$40)-SUMIFS('Final Calculation Sheet'!$M$4:$M$40,$AZ$5:$AZ$41,10),SUMIFS('Final Calculation Sheet'!$M$4:$M$40,$AZ$5:$AZ$41,$BH15))),""))</f>
        <v/>
      </c>
      <c r="O16" s="71">
        <f>IF($BJ15&gt;0,IF(INDEX('Final Calculation Sheet'!$N$4:$N$40,$BJ15-3)="","",INDEX('Final Calculation Sheet'!$N$4:$N$40,$BJ15-3)),IF(OR($BI15=1,$BL15=1,$BH15&gt;0),IF($BI15=1,SUM('Final Calculation Sheet'!$N$4:$N$40),IF($BL15=1,SUM('Final Calculation Sheet'!$N$4:$N$40)-SUMIFS('Final Calculation Sheet'!$N$4:$N$40,$AZ$5:$AZ$41,10),SUMIFS('Final Calculation Sheet'!$N$4:$N$40,$AZ$5:$AZ$41,$BH15))),""))</f>
        <v/>
      </c>
      <c r="P16" s="70">
        <f>IF($BJ15&gt;0,IF(INDEX('Final Calculation Sheet'!$O$4:$O$40,$BJ15-3)="","",INDEX('Final Calculation Sheet'!$O$4:$O$40,$BJ15-3)),IF(OR($BI15=1,$BL15=1,$BH15&gt;0),IF($BI15=1,SUM('Final Calculation Sheet'!$O$4:$O$40),IF($BL15=1,SUM('Final Calculation Sheet'!$O$4:$O$40)-SUMIFS('Final Calculation Sheet'!$O$4:$O$40,$AZ$5:$AZ$41,10),SUMIFS('Final Calculation Sheet'!$O$4:$O$40,$AZ$5:$AZ$41,$BH15))),""))</f>
        <v/>
      </c>
      <c r="Q16" s="70">
        <f>IF($BJ15&gt;0,IF(INDEX('Final Calculation Sheet'!$P$4:$P$40,$BJ15-3)="","",INDEX('Final Calculation Sheet'!$P$4:$P$40,$BJ15-3)),IF(OR($BI15=1,$BL15=1,$BH15&gt;0),IF($BI15=1,SUM('Final Calculation Sheet'!$P$4:$P$40),IF($BL15=1,SUM('Final Calculation Sheet'!$P$4:$P$40)-SUMIFS('Final Calculation Sheet'!$P$4:$P$40,$AZ$5:$AZ$41,10),SUMIFS('Final Calculation Sheet'!$P$4:$P$40,$AZ$5:$AZ$41,$BH15))),""))</f>
        <v/>
      </c>
      <c r="R16" s="72">
        <f>IF($BJ15&gt;0,IF(INDEX('Final Calculation Sheet'!$Q$4:$Q$40,$BJ15-3)="","",INDEX('Final Calculation Sheet'!$Q$4:$Q$40,$BJ15-3)),IF(OR($BI15=1,$BL15=1,$BH15&gt;0),"–",""))</f>
        <v/>
      </c>
      <c r="S16" s="70">
        <f>IF($BJ15&gt;0,IF(INDEX('Final Calculation Sheet'!$R$4:$R$40,$BJ15-3)="","",INDEX('Final Calculation Sheet'!$R$4:$R$40,$BJ15-3)),IF(OR($BI15=1,$BL15=1,$BH15&gt;0),IF($BI15=1,SUM('Final Calculation Sheet'!$R$4:$R$40),IF($BL15=1,SUM('Final Calculation Sheet'!$R$4:$R$40)-SUMIFS('Final Calculation Sheet'!$R$4:$R$40,$AZ$5:$AZ$41,10),SUMIFS('Final Calculation Sheet'!$R$4:$R$40,$AZ$5:$AZ$41,$BH15))),""))</f>
        <v/>
      </c>
      <c r="T16" s="70">
        <f>IF($BJ15&gt;0,IF(INDEX('Final Calculation Sheet'!$S$4:$S$40,$BJ15-3)="","",INDEX('Final Calculation Sheet'!$S$4:$S$40,$BJ15-3)),IF(OR($BI15=1,$BL15=1,$BH15&gt;0),IF($BI15=1,SUM('Final Calculation Sheet'!$S$4:$S$40),IF($BL15=1,SUM('Final Calculation Sheet'!$S$4:$S$40)-SUMIFS('Final Calculation Sheet'!$S$4:$S$40,$AZ$5:$AZ$41,10),SUMIFS('Final Calculation Sheet'!$S$4:$S$40,$AZ$5:$AZ$41,$BH15))),""))</f>
        <v/>
      </c>
      <c r="U16" s="70">
        <f>IF($BJ15&gt;0,IF(INDEX('Final Calculation Sheet'!$T$4:$T$40,$BJ15-3)="","",INDEX('Final Calculation Sheet'!$T$4:$T$40,$BJ15-3)),IF(OR($BI15=1,$BL15=1,$BH15&gt;0),IF($BI15=1,SUM('Final Calculation Sheet'!$T$4:$T$40),IF($BL15=1,SUM('Final Calculation Sheet'!$T$4:$T$40)-SUMIFS('Final Calculation Sheet'!$T$4:$T$40,$AZ$5:$AZ$41,10),SUMIFS('Final Calculation Sheet'!$T$4:$T$40,$AZ$5:$AZ$41,$BH15))),""))</f>
        <v/>
      </c>
      <c r="V16" s="73">
        <f>IF($BJ15&gt;0,IF(INDEX('Final Calculation Sheet'!$U$4:$U$40,$BJ15-3)="","",INDEX('Final Calculation Sheet'!$U$4:$U$40,$BJ15-3)),IF(OR($BI15=1,$BL15=1,$BH15&gt;0),IF($BI15=1,SUM('Final Calculation Sheet'!$U$4:$U$40),IF($BL15=1,SUM('Final Calculation Sheet'!$U$4:$U$40)-SUMIFS('Final Calculation Sheet'!$U$4:$U$40,$AZ$5:$AZ$41,10),SUMIFS('Final Calculation Sheet'!$U$4:$U$40,$AZ$5:$AZ$41,$BH15))),""))</f>
        <v/>
      </c>
      <c r="W16" s="70">
        <f>IF($BJ15&gt;0,IF(INDEX('Final Calculation Sheet'!$V$4:$V$40,$BJ15-3)="","",INDEX('Final Calculation Sheet'!$V$4:$V$40,$BJ15-3)),IF(OR($BI15=1,$BL15=1,$BH15&gt;0),"–",""))</f>
        <v/>
      </c>
      <c r="X16" s="70">
        <f>IF($BJ15&gt;0,IF(INDEX('Final Calculation Sheet'!$W$4:$W$40,$BJ15-3)="","",INDEX('Final Calculation Sheet'!$W$4:$W$40,$BJ15-3)),IF(OR($BI15=1,$BL15=1,$BH15&gt;0),IF($BI15=1,SUM('Final Calculation Sheet'!$W$4:$W$40),IF($BL15=1,SUM('Final Calculation Sheet'!$W$4:$W$40)-SUMIFS('Final Calculation Sheet'!$W$4:$W$40,$AZ$5:$AZ$41,10),SUMIFS('Final Calculation Sheet'!$W$4:$W$40,$AZ$5:$AZ$41,$BH15))),""))</f>
        <v/>
      </c>
      <c r="Y16" s="70">
        <f>IF($BJ15&gt;0,IF(INDEX('Final Calculation Sheet'!$X$4:$X$40,$BJ15-3)="","",INDEX('Final Calculation Sheet'!$X$4:$X$40,$BJ15-3)),IF(OR($BI15=1,$BL15=1,$BH15&gt;0),IF($BI15=1,SUM('Final Calculation Sheet'!$X$4:$X$40),IF($BL15=1,SUM('Final Calculation Sheet'!$X$4:$X$40)-SUMIFS('Final Calculation Sheet'!$X$4:$X$40,$AZ$5:$AZ$41,10),SUMIFS('Final Calculation Sheet'!$X$4:$X$40,$AZ$5:$AZ$41,$BH15))),""))</f>
        <v/>
      </c>
      <c r="Z16" s="70">
        <f>IF($BJ15&gt;0,IF(INDEX('Final Calculation Sheet'!$Y$4:$Y$40,$BJ15-3)="","",INDEX('Final Calculation Sheet'!$Y$4:$Y$40,$BJ15-3)),IF(OR($BI15=1,$BL15=1,$BH15&gt;0),"–",""))</f>
        <v/>
      </c>
      <c r="AA16" s="70">
        <f>IF($BJ15&gt;0,IF(INDEX('Final Calculation Sheet'!$Z$4:$Z$40,$BJ15-3)="","",INDEX('Final Calculation Sheet'!$Z$4:$Z$40,$BJ15-3)),IF(OR($BI15=1,$BL15=1,$BH15&gt;0),IF($BI15=1,SUM('Final Calculation Sheet'!$Z$4:$Z$40),IF($BL15=1,SUM('Final Calculation Sheet'!$Z$4:$Z$40)-SUMIFS('Final Calculation Sheet'!$Z$4:$Z$40,$AZ$5:$AZ$41,10),SUMIFS('Final Calculation Sheet'!$Z$4:$Z$40,$AZ$5:$AZ$41,$BH15))),""))</f>
        <v/>
      </c>
      <c r="AB16" s="70">
        <f>IF($BJ15&gt;0,IF(INDEX('Final Calculation Sheet'!$AA$4:$AA$40,$BJ15-3)="","",INDEX('Final Calculation Sheet'!$AA$4:$AA$40,$BJ15-3)),IF(OR($BI15=1,$BL15=1,$BH15&gt;0),IF($BI15=1,SUM('Final Calculation Sheet'!$AA$4:$AA$40),IF($BL15=1,SUM('Final Calculation Sheet'!$AA$4:$AA$40)-SUMIFS('Final Calculation Sheet'!$AA$4:$AA$40,$AZ$5:$AZ$41,10),SUMIFS('Final Calculation Sheet'!$AA$4:$AA$40,$AZ$5:$AZ$41,$BH15))),""))</f>
        <v/>
      </c>
      <c r="AC16" s="70">
        <f>IF($BJ15&gt;0,IF(INDEX('Final Calculation Sheet'!$AB$4:$AB$40,$BJ15-3)="","",INDEX('Final Calculation Sheet'!$AB$4:$AB$40,$BJ15-3)),IF(OR($BI15=1,$BL15=1,$BH15&gt;0),"–",""))</f>
        <v/>
      </c>
      <c r="AD16" s="70">
        <f>IF($BJ15&gt;0,IF(INDEX('Final Calculation Sheet'!$AC$4:$AC$40,$BJ15-3)="","",INDEX('Final Calculation Sheet'!$AC$4:$AC$40,$BJ15-3)),IF(OR($BI15=1,$BL15=1,$BH15&gt;0),IF($BI15=1,SUM('Final Calculation Sheet'!$AC$4:$AC$40),IF($BL15=1,SUM('Final Calculation Sheet'!$AC$4:$AC$40)-SUMIFS('Final Calculation Sheet'!$AC$4:$AC$40,$AZ$5:$AZ$41,10),SUMIFS('Final Calculation Sheet'!$AC$4:$AC$40,$AZ$5:$AZ$41,$BH15))),""))</f>
        <v/>
      </c>
      <c r="AE16" s="70">
        <f>IF($BJ15&gt;0,IF(INDEX('Final Calculation Sheet'!$AD$4:$AD$40,$BJ15-3)="","",INDEX('Final Calculation Sheet'!$AD$4:$AD$40,$BJ15-3)),IF(OR($BI15=1,$BL15=1,$BH15&gt;0),IF($BI15=1,SUM('Final Calculation Sheet'!$AD$4:$AD$40),IF($BL15=1,SUM('Final Calculation Sheet'!$AD$4:$AD$40)-SUMIFS('Final Calculation Sheet'!$AD$4:$AD$40,$AZ$5:$AZ$41,10),SUMIFS('Final Calculation Sheet'!$AD$4:$AD$40,$AZ$5:$AZ$41,$BH15))),""))</f>
        <v/>
      </c>
      <c r="AF16" s="75">
        <f>IF($BJ15&gt;0,IF(INDEX('Final Calculation Sheet'!$AD$4:$AD$40,$BJ15-3)="","",IF(INDEX('Final Calculation Sheet'!$AD$4:$AD$40,$BJ15-3)&lt;=5,"SETTLED","OUTSTANDING")),IF(OR($BI15=1,$BL15=1,$BH15&gt;0),IF(IF($BI15=1,SUM('Final Calculation Sheet'!$AD$4:$AD$40),IF($BL15=1,SUM('Final Calculation Sheet'!$AD$4:$AD$40)-SUMIFS('Final Calculation Sheet'!$AD$4:$AD$40,$AZ$5:$AZ$41,10),SUMIFS('Final Calculation Sheet'!$AD$4:$AD$40,$AZ$5:$AZ$41,$BH15)))&lt;=5,"ALL SETTLED","OUTSTANDING"),""))</f>
        <v/>
      </c>
      <c r="AG16" s="70">
        <f>IF($BJ15&gt;0,IF(INDEX('Final Calculation Sheet'!$AF$4:$AF$40,$BJ15-3)="","",INDEX('Final Calculation Sheet'!$AF$4:$AF$40,$BJ15-3)),IF(OR($BI15=1,$BL15=1,$BH15&gt;0),"–",""))</f>
        <v/>
      </c>
      <c r="AH16" s="74">
        <f>IF($BJ15&gt;0,IF(INDEX('Final Calculation Sheet'!$AG$4:$AG$40,$BJ15-3)="","",INDEX('Final Calculation Sheet'!$AG$4:$AG$40,$BJ15-3)),IF(OR($BI15=1,$BL15=1,$BH15&gt;0),"–",""))</f>
        <v/>
      </c>
      <c r="AI16" s="70">
        <f>IF($BJ15&gt;0,IF(INDEX('Final Calculation Sheet'!$AH$4:$AH$40,$BJ15-3)="","",INDEX('Final Calculation Sheet'!$AH$4:$AH$40,$BJ15-3)),IF(OR($BI15=1,$BL15=1,$BH15&gt;0),"–",""))</f>
        <v/>
      </c>
      <c r="AK16">
        <f>IF($F$3="Lot No.",'Final Calculation Sheet'!$F$15,IF($F$3="Buyer",'Final Calculation Sheet'!$G$15,IF($F$3="Lot Name",'Final Calculation Sheet'!$B$15,IF($F$3="Bid Sheet",'Final Calculation Sheet'!$D$15,IF($F$3="Unit",'Final Calculation Sheet'!$E$15,'Final Calculation Sheet'!$F$15&amp;" "&amp;'Final Calculation Sheet'!$G$15&amp;" "&amp;'Final Calculation Sheet'!$B$15)))))</f>
        <v/>
      </c>
      <c r="AL16">
        <f>AL15+IF($B$3="",0,--(SUMPRODUCT(--($AR$6:$AY$6&lt;&gt;""),--ISNUMBER(SEARCH($AR$6:$AY$6,$AK16)))&gt;0))</f>
        <v/>
      </c>
      <c r="AM16">
        <f>IF(COUNTIF($BM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AZ16">
        <f>IF($B$3="",IF(COUNTIF($A$4:$AI$4,"&lt;&gt;")=0,9,IF($AM16=1,9,10)),IF($AM16=0,10,IF(AND($AR$6&lt;&gt;"",ISNUMBER(SEARCH($AR$6,$AK16))),1,IF(AND($AS$6&lt;&gt;"",ISNUMBER(SEARCH($AS$6,$AK16))),2,IF(AND($AT$6&lt;&gt;"",ISNUMBER(SEARCH($AT$6,$AK16))),3,IF(AND($AU$6&lt;&gt;"",ISNUMBER(SEARCH($AU$6,$AK16))),4,IF(AND($AV$6&lt;&gt;"",ISNUMBER(SEARCH($AV$6,$AK16))),5,IF(AND($AW$6&lt;&gt;"",ISNUMBER(SEARCH($AW$6,$AK16))),6,IF(AND($AX$6&lt;&gt;"",ISNUMBER(SEARCH($AX$6,$AK16))),7,IF(AND($AY$6&lt;&gt;"",ISNUMBER(SEARCH($AY$6,$AK16))),8,0))))))))))</f>
        <v/>
      </c>
      <c r="BA16">
        <f>SUMPRODUCT(($AZ$5:$AZ$41=$AZ16)*($BC$5:$BC$41&lt;$BC16))+1</f>
        <v/>
      </c>
      <c r="BB16">
        <f>IF(INDEX($BF$4:$BF$13,$AZ16)=0,0,INDEX($BE$4:$BE$13,$AZ16)+$BA16-1)</f>
        <v/>
      </c>
      <c r="BC16" t="n">
        <v>15</v>
      </c>
      <c r="BH16">
        <f>IFERROR(MATCH(16,$BF$4:$BF$13,0),0)</f>
        <v/>
      </c>
      <c r="BI16">
        <f>IF(16=$BG$5,1,0)</f>
        <v/>
      </c>
      <c r="BJ16">
        <f>IF(OR($BH16&gt;0,$BI16=1,$BL16=1),0,IFERROR(INDEX($BC$5:$BC$41,MATCH(16,$BB$5:$BB$41,0)),0))</f>
        <v/>
      </c>
      <c r="BK16">
        <f>IF($BJ16&gt;0,IF(INDEX($AZ$5:$AZ$41,MATCH(16,$BB$5:$BB$41,0))=10,1,0),IF($BH16=10,1,0))</f>
        <v/>
      </c>
      <c r="BL16">
        <f>IF(16=$BG$4,1,0)</f>
        <v/>
      </c>
      <c r="BM1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6">
        <f>IF($B$4="",1,--(OR(SUMPRODUCT(--(TRIM(MID(SUBSTITUTE(SUBSTITUTE($B$4,"/",","),",",REPT(" ",99)),(ROW($1:$8)-1)*99+1,99))&lt;&gt;""),--ISNUMBER(SEARCH(TRIM(MID(SUBSTITUTE(SUBSTITUTE($B$4,"/",","),",",REPT(" ",99)),(ROW($1:$8)-1)*99+1,99)),IFERROR(('Final Calculation Sheet'!$F$15)&amp;"",""))))&gt;0,AND(ISNUMBER(SEARCH("blank",$B$4)),NOT(ISNUMBER(SEARCH("nonblank",$B$4))),IFERROR(('Final Calculation Sheet'!$F$15)&amp;"","")=""),AND(OR(ISNUMBER(SEARCH("nonblank",$B$4)),ISNUMBER(SEARCH("&lt;&gt;",$B$4))),IFERROR(('Final Calculation Sheet'!$F$15)&amp;"","")&lt;&gt;""),AND(TRIM($B$4)="",IFERROR(('Final Calculation Sheet'!$F$15)&amp;"","")=""))))</f>
        <v/>
      </c>
      <c r="BO16">
        <f>IF($CW$3="",1,--(OR(SUMPRODUCT(--(TRIM(MID(SUBSTITUTE(SUBSTITUTE($CW$3,"/",","),",",REPT(" ",99)),(ROW($1:$8)-1)*99+1,99))&lt;&gt;""),--ISNUMBER(SEARCH(TRIM(MID(SUBSTITUTE(SUBSTITUTE($CW$3,"/",","),",",REPT(" ",99)),(ROW($1:$8)-1)*99+1,99)),IFERROR(('Final Calculation Sheet'!$G$15)&amp;"",""))))&gt;0,AND(ISNUMBER(SEARCH("blank",$CW$3)),NOT(ISNUMBER(SEARCH("nonblank",$CW$3))),IFERROR(('Final Calculation Sheet'!$G$15)&amp;"","")=""),AND(OR(ISNUMBER(SEARCH("nonblank",$CW$3)),ISNUMBER(SEARCH("&lt;&gt;",$CW$3))),IFERROR(('Final Calculation Sheet'!$G$15)&amp;"","")&lt;&gt;""),AND(TRIM($CW$3)="",IFERROR(('Final Calculation Sheet'!$G$15)&amp;"","")=""))))</f>
        <v/>
      </c>
      <c r="BP16">
        <f>IF($D$4="",1,--(OR(SUMPRODUCT(--(TRIM(MID(SUBSTITUTE(SUBSTITUTE($D$4,"/",","),",",REPT(" ",99)),(ROW($1:$8)-1)*99+1,99))&lt;&gt;""),--ISNUMBER(SEARCH(TRIM(MID(SUBSTITUTE(SUBSTITUTE($D$4,"/",","),",",REPT(" ",99)),(ROW($1:$8)-1)*99+1,99)),IFERROR(('Final Calculation Sheet'!$B$15)&amp;"",""))))&gt;0,AND(ISNUMBER(SEARCH("blank",$D$4)),NOT(ISNUMBER(SEARCH("nonblank",$D$4))),IFERROR(('Final Calculation Sheet'!$B$15)&amp;"","")=""),AND(OR(ISNUMBER(SEARCH("nonblank",$D$4)),ISNUMBER(SEARCH("&lt;&gt;",$D$4))),IFERROR(('Final Calculation Sheet'!$B$15)&amp;"","")&lt;&gt;""),AND(TRIM($D$4)="",IFERROR(('Final Calculation Sheet'!$B$15)&amp;"","")=""))))</f>
        <v/>
      </c>
      <c r="BQ16">
        <f>IF($E$4="",1,--(OR(SUMPRODUCT(--(TRIM(MID(SUBSTITUTE(SUBSTITUTE($E$4,"/",","),",",REPT(" ",99)),(ROW($1:$8)-1)*99+1,99))&lt;&gt;""),--ISNUMBER(SEARCH(TRIM(MID(SUBSTITUTE(SUBSTITUTE($E$4,"/",","),",",REPT(" ",99)),(ROW($1:$8)-1)*99+1,99)),IFERROR(('Final Calculation Sheet'!$D$15)&amp;"",""))))&gt;0,AND(ISNUMBER(SEARCH("blank",$E$4)),NOT(ISNUMBER(SEARCH("nonblank",$E$4))),IFERROR(('Final Calculation Sheet'!$D$15)&amp;"","")=""),AND(OR(ISNUMBER(SEARCH("nonblank",$E$4)),ISNUMBER(SEARCH("&lt;&gt;",$E$4))),IFERROR(('Final Calculation Sheet'!$D$15)&amp;"","")&lt;&gt;""),AND(TRIM($E$4)="",IFERROR(('Final Calculation Sheet'!$D$15)&amp;"","")=""))))</f>
        <v/>
      </c>
      <c r="BR16">
        <f>IF($F$4="",1,--(OR(SUMPRODUCT(--(TRIM(MID(SUBSTITUTE(SUBSTITUTE($F$4,"/",","),",",REPT(" ",99)),(ROW($1:$8)-1)*99+1,99))&lt;&gt;""),--ISNUMBER(SEARCH(TRIM(MID(SUBSTITUTE(SUBSTITUTE($F$4,"/",","),",",REPT(" ",99)),(ROW($1:$8)-1)*99+1,99)),IFERROR(('Final Calculation Sheet'!$A$15)&amp;"",""))))&gt;0,AND(ISNUMBER(SEARCH("blank",$F$4)),NOT(ISNUMBER(SEARCH("nonblank",$F$4))),IFERROR(('Final Calculation Sheet'!$A$15)&amp;"","")=""),AND(OR(ISNUMBER(SEARCH("nonblank",$F$4)),ISNUMBER(SEARCH("&lt;&gt;",$F$4))),IFERROR(('Final Calculation Sheet'!$A$15)&amp;"","")&lt;&gt;""),AND(TRIM($F$4)="",IFERROR(('Final Calculation Sheet'!$A$15)&amp;"","")=""))))</f>
        <v/>
      </c>
      <c r="BS16">
        <f>IF($G$4="",1,--(OR(SUMPRODUCT(--(TRIM(MID(SUBSTITUTE(SUBSTITUTE($G$4,"/",","),",",REPT(" ",99)),(ROW($1:$8)-1)*99+1,99))&lt;&gt;""),--ISNUMBER(SEARCH(TRIM(MID(SUBSTITUTE(SUBSTITUTE($G$4,"/",","),",",REPT(" ",99)),(ROW($1:$8)-1)*99+1,99)),IFERROR(('Final Calculation Sheet'!$E$15)&amp;"",""))))&gt;0,AND(ISNUMBER(SEARCH("blank",$G$4)),NOT(ISNUMBER(SEARCH("nonblank",$G$4))),IFERROR(('Final Calculation Sheet'!$E$15)&amp;"","")=""),AND(OR(ISNUMBER(SEARCH("nonblank",$G$4)),ISNUMBER(SEARCH("&lt;&gt;",$G$4))),IFERROR(('Final Calculation Sheet'!$E$15)&amp;"","")&lt;&gt;""),AND(TRIM($G$4)="",IFERROR(('Final Calculation Sheet'!$E$15)&amp;"","")=""))))</f>
        <v/>
      </c>
      <c r="BT16">
        <f>IF($H$4="",1,--(OR(SUMPRODUCT(--(TRIM(MID(SUBSTITUTE(SUBSTITUTE($H$4,"/",","),",",REPT(" ",99)),(ROW($1:$8)-1)*99+1,99))&lt;&gt;""),--ISNUMBER(SEARCH(TRIM(MID(SUBSTITUTE(SUBSTITUTE($H$4,"/",","),",",REPT(" ",99)),(ROW($1:$8)-1)*99+1,99)),IFERROR(('Final Calculation Sheet'!$C$15)&amp;"",""))))&gt;0,AND(ISNUMBER(SEARCH("blank",$H$4)),NOT(ISNUMBER(SEARCH("nonblank",$H$4))),IFERROR(('Final Calculation Sheet'!$C$15)&amp;"","")=""),AND(OR(ISNUMBER(SEARCH("nonblank",$H$4)),ISNUMBER(SEARCH("&lt;&gt;",$H$4))),IFERROR(('Final Calculation Sheet'!$C$15)&amp;"","")&lt;&gt;""),AND(TRIM($H$4)="",IFERROR(('Final Calculation Sheet'!$C$15)&amp;"","")=""))))</f>
        <v/>
      </c>
      <c r="BU16">
        <f>IF($I$4="",1,--(OR(SUMPRODUCT(--(TRIM(MID(SUBSTITUTE(SUBSTITUTE($I$4,"/",","),",",REPT(" ",99)),(ROW($1:$8)-1)*99+1,99))&lt;&gt;""),--ISNUMBER(SEARCH(TRIM(MID(SUBSTITUTE(SUBSTITUTE($I$4,"/",","),",",REPT(" ",99)),(ROW($1:$8)-1)*99+1,99)),IFERROR(('Final Calculation Sheet'!$H$15)&amp;"",""))))&gt;0,AND(ISNUMBER(SEARCH("blank",$I$4)),NOT(ISNUMBER(SEARCH("nonblank",$I$4))),IFERROR(('Final Calculation Sheet'!$H$15)&amp;"","")=""),AND(OR(ISNUMBER(SEARCH("nonblank",$I$4)),ISNUMBER(SEARCH("&lt;&gt;",$I$4))),IFERROR(('Final Calculation Sheet'!$H$15)&amp;"","")&lt;&gt;""),AND(TRIM($I$4)="",IFERROR(('Final Calculation Sheet'!$H$15)&amp;"","")=""))))</f>
        <v/>
      </c>
      <c r="BV16">
        <f>IF($J$4="",1,--(OR(SUMPRODUCT(--(TRIM(MID(SUBSTITUTE(SUBSTITUTE($J$4,"/",","),",",REPT(" ",99)),(ROW($1:$8)-1)*99+1,99))&lt;&gt;""),--ISNUMBER(SEARCH(TRIM(MID(SUBSTITUTE(SUBSTITUTE($J$4,"/",","),",",REPT(" ",99)),(ROW($1:$8)-1)*99+1,99)),IFERROR(('Final Calculation Sheet'!$I$15)&amp;"",""))))&gt;0,AND(ISNUMBER(SEARCH("blank",$J$4)),NOT(ISNUMBER(SEARCH("nonblank",$J$4))),IFERROR(('Final Calculation Sheet'!$I$15)&amp;"","")=""),AND(OR(ISNUMBER(SEARCH("nonblank",$J$4)),ISNUMBER(SEARCH("&lt;&gt;",$J$4))),IFERROR(('Final Calculation Sheet'!$I$15)&amp;"","")&lt;&gt;""),AND(TRIM($J$4)="",IFERROR(('Final Calculation Sheet'!$I$15)&amp;"","")=""))))</f>
        <v/>
      </c>
      <c r="BW16">
        <f>IF($K$4="",1,--(OR(SUMPRODUCT(--(TRIM(MID(SUBSTITUTE(SUBSTITUTE($K$4,"/",","),",",REPT(" ",99)),(ROW($1:$8)-1)*99+1,99))&lt;&gt;""),--ISNUMBER(SEARCH(TRIM(MID(SUBSTITUTE(SUBSTITUTE($K$4,"/",","),",",REPT(" ",99)),(ROW($1:$8)-1)*99+1,99)),IFERROR(('Final Calculation Sheet'!$J$15)&amp;"",""))))&gt;0,AND(ISNUMBER(SEARCH("blank",$K$4)),NOT(ISNUMBER(SEARCH("nonblank",$K$4))),IFERROR(('Final Calculation Sheet'!$J$15)&amp;"","")=""),AND(OR(ISNUMBER(SEARCH("nonblank",$K$4)),ISNUMBER(SEARCH("&lt;&gt;",$K$4))),IFERROR(('Final Calculation Sheet'!$J$15)&amp;"","")&lt;&gt;""),AND(TRIM($K$4)="",IFERROR(('Final Calculation Sheet'!$J$15)&amp;"","")=""))))</f>
        <v/>
      </c>
      <c r="BX16">
        <f>IF($L$4="",1,--(OR(SUMPRODUCT(--(TRIM(MID(SUBSTITUTE(SUBSTITUTE($L$4,"/",","),",",REPT(" ",99)),(ROW($1:$8)-1)*99+1,99))&lt;&gt;""),--ISNUMBER(SEARCH(TRIM(MID(SUBSTITUTE(SUBSTITUTE($L$4,"/",","),",",REPT(" ",99)),(ROW($1:$8)-1)*99+1,99)),IFERROR(('Final Calculation Sheet'!$K$15)&amp;"",""))))&gt;0,AND(ISNUMBER(SEARCH("blank",$L$4)),NOT(ISNUMBER(SEARCH("nonblank",$L$4))),IFERROR(('Final Calculation Sheet'!$K$15)&amp;"","")=""),AND(OR(ISNUMBER(SEARCH("nonblank",$L$4)),ISNUMBER(SEARCH("&lt;&gt;",$L$4))),IFERROR(('Final Calculation Sheet'!$K$15)&amp;"","")&lt;&gt;""),AND(TRIM($L$4)="",IFERROR(('Final Calculation Sheet'!$K$15)&amp;"","")=""))))</f>
        <v/>
      </c>
      <c r="BY16">
        <f>IF($M$4="",1,--(OR(SUMPRODUCT(--(TRIM(MID(SUBSTITUTE(SUBSTITUTE($M$4,"/",","),",",REPT(" ",99)),(ROW($1:$8)-1)*99+1,99))&lt;&gt;""),--ISNUMBER(SEARCH(TRIM(MID(SUBSTITUTE(SUBSTITUTE($M$4,"/",","),",",REPT(" ",99)),(ROW($1:$8)-1)*99+1,99)),IFERROR(('Final Calculation Sheet'!$L$15)&amp;"",""))))&gt;0,AND(ISNUMBER(SEARCH("blank",$M$4)),NOT(ISNUMBER(SEARCH("nonblank",$M$4))),IFERROR(('Final Calculation Sheet'!$L$15)&amp;"","")=""),AND(OR(ISNUMBER(SEARCH("nonblank",$M$4)),ISNUMBER(SEARCH("&lt;&gt;",$M$4))),IFERROR(('Final Calculation Sheet'!$L$15)&amp;"","")&lt;&gt;""),AND(TRIM($M$4)="",IFERROR(('Final Calculation Sheet'!$L$15)&amp;"","")=""))))</f>
        <v/>
      </c>
      <c r="BZ16">
        <f>IF($N$4="",1,--(OR(SUMPRODUCT(--(TRIM(MID(SUBSTITUTE(SUBSTITUTE($N$4,"/",","),",",REPT(" ",99)),(ROW($1:$8)-1)*99+1,99))&lt;&gt;""),--ISNUMBER(SEARCH(TRIM(MID(SUBSTITUTE(SUBSTITUTE($N$4,"/",","),",",REPT(" ",99)),(ROW($1:$8)-1)*99+1,99)),IFERROR(('Final Calculation Sheet'!$M$15)&amp;"",""))))&gt;0,AND(ISNUMBER(SEARCH("blank",$N$4)),NOT(ISNUMBER(SEARCH("nonblank",$N$4))),IFERROR(('Final Calculation Sheet'!$M$15)&amp;"","")=""),AND(OR(ISNUMBER(SEARCH("nonblank",$N$4)),ISNUMBER(SEARCH("&lt;&gt;",$N$4))),IFERROR(('Final Calculation Sheet'!$M$15)&amp;"","")&lt;&gt;""),AND(TRIM($N$4)="",IFERROR(('Final Calculation Sheet'!$M$15)&amp;"","")=""))))</f>
        <v/>
      </c>
      <c r="CA16">
        <f>IF($O$4="",1,--(OR(SUMPRODUCT(--(TRIM(MID(SUBSTITUTE(SUBSTITUTE($O$4,"/",","),",",REPT(" ",99)),(ROW($1:$8)-1)*99+1,99))&lt;&gt;""),--ISNUMBER(SEARCH(TRIM(MID(SUBSTITUTE(SUBSTITUTE($O$4,"/",","),",",REPT(" ",99)),(ROW($1:$8)-1)*99+1,99)),IFERROR(('Final Calculation Sheet'!$N$15)&amp;"",""))))&gt;0,AND(ISNUMBER(SEARCH("blank",$O$4)),NOT(ISNUMBER(SEARCH("nonblank",$O$4))),IFERROR(('Final Calculation Sheet'!$N$15)&amp;"","")=""),AND(OR(ISNUMBER(SEARCH("nonblank",$O$4)),ISNUMBER(SEARCH("&lt;&gt;",$O$4))),IFERROR(('Final Calculation Sheet'!$N$15)&amp;"","")&lt;&gt;""),AND(TRIM($O$4)="",IFERROR(('Final Calculation Sheet'!$N$15)&amp;"","")=""))))</f>
        <v/>
      </c>
      <c r="CB16">
        <f>IF($P$4="",1,--(OR(SUMPRODUCT(--(TRIM(MID(SUBSTITUTE(SUBSTITUTE($P$4,"/",","),",",REPT(" ",99)),(ROW($1:$8)-1)*99+1,99))&lt;&gt;""),--ISNUMBER(SEARCH(TRIM(MID(SUBSTITUTE(SUBSTITUTE($P$4,"/",","),",",REPT(" ",99)),(ROW($1:$8)-1)*99+1,99)),IFERROR(('Final Calculation Sheet'!$O$15)&amp;"",""))))&gt;0,AND(ISNUMBER(SEARCH("blank",$P$4)),NOT(ISNUMBER(SEARCH("nonblank",$P$4))),IFERROR(('Final Calculation Sheet'!$O$15)&amp;"","")=""),AND(OR(ISNUMBER(SEARCH("nonblank",$P$4)),ISNUMBER(SEARCH("&lt;&gt;",$P$4))),IFERROR(('Final Calculation Sheet'!$O$15)&amp;"","")&lt;&gt;""),AND(TRIM($P$4)="",IFERROR(('Final Calculation Sheet'!$O$15)&amp;"","")=""))))</f>
        <v/>
      </c>
      <c r="CC16">
        <f>IF($Q$4="",1,--(OR(SUMPRODUCT(--(TRIM(MID(SUBSTITUTE(SUBSTITUTE($Q$4,"/",","),",",REPT(" ",99)),(ROW($1:$8)-1)*99+1,99))&lt;&gt;""),--ISNUMBER(SEARCH(TRIM(MID(SUBSTITUTE(SUBSTITUTE($Q$4,"/",","),",",REPT(" ",99)),(ROW($1:$8)-1)*99+1,99)),IFERROR(('Final Calculation Sheet'!$P$15)&amp;"",""))))&gt;0,AND(ISNUMBER(SEARCH("blank",$Q$4)),NOT(ISNUMBER(SEARCH("nonblank",$Q$4))),IFERROR(('Final Calculation Sheet'!$P$15)&amp;"","")=""),AND(OR(ISNUMBER(SEARCH("nonblank",$Q$4)),ISNUMBER(SEARCH("&lt;&gt;",$Q$4))),IFERROR(('Final Calculation Sheet'!$P$15)&amp;"","")&lt;&gt;""),AND(TRIM($Q$4)="",IFERROR(('Final Calculation Sheet'!$P$15)&amp;"","")=""))))</f>
        <v/>
      </c>
      <c r="CD16">
        <f>IF($R$4="",1,--(OR(SUMPRODUCT(--(TRIM(MID(SUBSTITUTE(SUBSTITUTE($R$4,"/",","),",",REPT(" ",99)),(ROW($1:$8)-1)*99+1,99))&lt;&gt;""),--ISNUMBER(SEARCH(TRIM(MID(SUBSTITUTE(SUBSTITUTE($R$4,"/",","),",",REPT(" ",99)),(ROW($1:$8)-1)*99+1,99)),IFERROR(('Final Calculation Sheet'!$Q$15)&amp;"",""))))&gt;0,AND(ISNUMBER(SEARCH("blank",$R$4)),NOT(ISNUMBER(SEARCH("nonblank",$R$4))),IFERROR(('Final Calculation Sheet'!$Q$15)&amp;"","")=""),AND(OR(ISNUMBER(SEARCH("nonblank",$R$4)),ISNUMBER(SEARCH("&lt;&gt;",$R$4))),IFERROR(('Final Calculation Sheet'!$Q$15)&amp;"","")&lt;&gt;""),AND(TRIM($R$4)="",IFERROR(('Final Calculation Sheet'!$Q$15)&amp;"","")=""))))</f>
        <v/>
      </c>
      <c r="CE16">
        <f>IF($S$4="",1,--(OR(SUMPRODUCT(--(TRIM(MID(SUBSTITUTE(SUBSTITUTE($S$4,"/",","),",",REPT(" ",99)),(ROW($1:$8)-1)*99+1,99))&lt;&gt;""),--ISNUMBER(SEARCH(TRIM(MID(SUBSTITUTE(SUBSTITUTE($S$4,"/",","),",",REPT(" ",99)),(ROW($1:$8)-1)*99+1,99)),IFERROR(('Final Calculation Sheet'!$R$15)&amp;"",""))))&gt;0,AND(ISNUMBER(SEARCH("blank",$S$4)),NOT(ISNUMBER(SEARCH("nonblank",$S$4))),IFERROR(('Final Calculation Sheet'!$R$15)&amp;"","")=""),AND(OR(ISNUMBER(SEARCH("nonblank",$S$4)),ISNUMBER(SEARCH("&lt;&gt;",$S$4))),IFERROR(('Final Calculation Sheet'!$R$15)&amp;"","")&lt;&gt;""),AND(TRIM($S$4)="",IFERROR(('Final Calculation Sheet'!$R$15)&amp;"","")=""))))</f>
        <v/>
      </c>
      <c r="CF16">
        <f>IF($T$4="",1,--(OR(SUMPRODUCT(--(TRIM(MID(SUBSTITUTE(SUBSTITUTE($T$4,"/",","),",",REPT(" ",99)),(ROW($1:$8)-1)*99+1,99))&lt;&gt;""),--ISNUMBER(SEARCH(TRIM(MID(SUBSTITUTE(SUBSTITUTE($T$4,"/",","),",",REPT(" ",99)),(ROW($1:$8)-1)*99+1,99)),IFERROR(('Final Calculation Sheet'!$S$15)&amp;"",""))))&gt;0,AND(ISNUMBER(SEARCH("blank",$T$4)),NOT(ISNUMBER(SEARCH("nonblank",$T$4))),IFERROR(('Final Calculation Sheet'!$S$15)&amp;"","")=""),AND(OR(ISNUMBER(SEARCH("nonblank",$T$4)),ISNUMBER(SEARCH("&lt;&gt;",$T$4))),IFERROR(('Final Calculation Sheet'!$S$15)&amp;"","")&lt;&gt;""),AND(TRIM($T$4)="",IFERROR(('Final Calculation Sheet'!$S$15)&amp;"","")=""))))</f>
        <v/>
      </c>
      <c r="CG16">
        <f>IF($U$4="",1,--(OR(SUMPRODUCT(--(TRIM(MID(SUBSTITUTE(SUBSTITUTE($U$4,"/",","),",",REPT(" ",99)),(ROW($1:$8)-1)*99+1,99))&lt;&gt;""),--ISNUMBER(SEARCH(TRIM(MID(SUBSTITUTE(SUBSTITUTE($U$4,"/",","),",",REPT(" ",99)),(ROW($1:$8)-1)*99+1,99)),IFERROR(('Final Calculation Sheet'!$T$15)&amp;"",""))))&gt;0,AND(ISNUMBER(SEARCH("blank",$U$4)),NOT(ISNUMBER(SEARCH("nonblank",$U$4))),IFERROR(('Final Calculation Sheet'!$T$15)&amp;"","")=""),AND(OR(ISNUMBER(SEARCH("nonblank",$U$4)),ISNUMBER(SEARCH("&lt;&gt;",$U$4))),IFERROR(('Final Calculation Sheet'!$T$15)&amp;"","")&lt;&gt;""),AND(TRIM($U$4)="",IFERROR(('Final Calculation Sheet'!$T$15)&amp;"","")=""))))</f>
        <v/>
      </c>
      <c r="CH16">
        <f>IF($V$4="",1,--(OR(SUMPRODUCT(--(TRIM(MID(SUBSTITUTE(SUBSTITUTE($V$4,"/",","),",",REPT(" ",99)),(ROW($1:$8)-1)*99+1,99))&lt;&gt;""),--ISNUMBER(SEARCH(TRIM(MID(SUBSTITUTE(SUBSTITUTE($V$4,"/",","),",",REPT(" ",99)),(ROW($1:$8)-1)*99+1,99)),IFERROR(('Final Calculation Sheet'!$U$15)&amp;"",""))))&gt;0,AND(ISNUMBER(SEARCH("blank",$V$4)),NOT(ISNUMBER(SEARCH("nonblank",$V$4))),IFERROR(('Final Calculation Sheet'!$U$15)&amp;"","")=""),AND(OR(ISNUMBER(SEARCH("nonblank",$V$4)),ISNUMBER(SEARCH("&lt;&gt;",$V$4))),IFERROR(('Final Calculation Sheet'!$U$15)&amp;"","")&lt;&gt;""),AND(TRIM($V$4)="",IFERROR(('Final Calculation Sheet'!$U$15)&amp;"","")=""))))</f>
        <v/>
      </c>
      <c r="CI16">
        <f>IF($W$4="",1,--(OR(SUMPRODUCT(--(TRIM(MID(SUBSTITUTE(SUBSTITUTE($W$4,"/",","),",",REPT(" ",99)),(ROW($1:$8)-1)*99+1,99))&lt;&gt;""),--ISNUMBER(SEARCH(TRIM(MID(SUBSTITUTE(SUBSTITUTE($W$4,"/",","),",",REPT(" ",99)),(ROW($1:$8)-1)*99+1,99)),IFERROR(('Final Calculation Sheet'!$V$15)&amp;"",""))))&gt;0,AND(ISNUMBER(SEARCH("blank",$W$4)),NOT(ISNUMBER(SEARCH("nonblank",$W$4))),IFERROR(('Final Calculation Sheet'!$V$15)&amp;"","")=""),AND(OR(ISNUMBER(SEARCH("nonblank",$W$4)),ISNUMBER(SEARCH("&lt;&gt;",$W$4))),IFERROR(('Final Calculation Sheet'!$V$15)&amp;"","")&lt;&gt;""),AND(TRIM($W$4)="",IFERROR(('Final Calculation Sheet'!$V$15)&amp;"","")=""))))</f>
        <v/>
      </c>
      <c r="CJ16">
        <f>IF($X$4="",1,--(OR(SUMPRODUCT(--(TRIM(MID(SUBSTITUTE(SUBSTITUTE($X$4,"/",","),",",REPT(" ",99)),(ROW($1:$8)-1)*99+1,99))&lt;&gt;""),--ISNUMBER(SEARCH(TRIM(MID(SUBSTITUTE(SUBSTITUTE($X$4,"/",","),",",REPT(" ",99)),(ROW($1:$8)-1)*99+1,99)),IFERROR(('Final Calculation Sheet'!$W$15)&amp;"",""))))&gt;0,AND(ISNUMBER(SEARCH("blank",$X$4)),NOT(ISNUMBER(SEARCH("nonblank",$X$4))),IFERROR(('Final Calculation Sheet'!$W$15)&amp;"","")=""),AND(OR(ISNUMBER(SEARCH("nonblank",$X$4)),ISNUMBER(SEARCH("&lt;&gt;",$X$4))),IFERROR(('Final Calculation Sheet'!$W$15)&amp;"","")&lt;&gt;""),AND(TRIM($X$4)="",IFERROR(('Final Calculation Sheet'!$W$15)&amp;"","")=""))))</f>
        <v/>
      </c>
      <c r="CK16">
        <f>IF($Y$4="",1,--(OR(SUMPRODUCT(--(TRIM(MID(SUBSTITUTE(SUBSTITUTE($Y$4,"/",","),",",REPT(" ",99)),(ROW($1:$8)-1)*99+1,99))&lt;&gt;""),--ISNUMBER(SEARCH(TRIM(MID(SUBSTITUTE(SUBSTITUTE($Y$4,"/",","),",",REPT(" ",99)),(ROW($1:$8)-1)*99+1,99)),IFERROR(('Final Calculation Sheet'!$X$15)&amp;"",""))))&gt;0,AND(ISNUMBER(SEARCH("blank",$Y$4)),NOT(ISNUMBER(SEARCH("nonblank",$Y$4))),IFERROR(('Final Calculation Sheet'!$X$15)&amp;"","")=""),AND(OR(ISNUMBER(SEARCH("nonblank",$Y$4)),ISNUMBER(SEARCH("&lt;&gt;",$Y$4))),IFERROR(('Final Calculation Sheet'!$X$15)&amp;"","")&lt;&gt;""),AND(TRIM($Y$4)="",IFERROR(('Final Calculation Sheet'!$X$15)&amp;"","")=""))))</f>
        <v/>
      </c>
      <c r="CL16">
        <f>IF($Z$4="",1,--(OR(SUMPRODUCT(--(TRIM(MID(SUBSTITUTE(SUBSTITUTE($Z$4,"/",","),",",REPT(" ",99)),(ROW($1:$8)-1)*99+1,99))&lt;&gt;""),--ISNUMBER(SEARCH(TRIM(MID(SUBSTITUTE(SUBSTITUTE($Z$4,"/",","),",",REPT(" ",99)),(ROW($1:$8)-1)*99+1,99)),IFERROR(('Final Calculation Sheet'!$Y$15)&amp;"",""))))&gt;0,AND(ISNUMBER(SEARCH("blank",$Z$4)),NOT(ISNUMBER(SEARCH("nonblank",$Z$4))),IFERROR(('Final Calculation Sheet'!$Y$15)&amp;"","")=""),AND(OR(ISNUMBER(SEARCH("nonblank",$Z$4)),ISNUMBER(SEARCH("&lt;&gt;",$Z$4))),IFERROR(('Final Calculation Sheet'!$Y$15)&amp;"","")&lt;&gt;""),AND(TRIM($Z$4)="",IFERROR(('Final Calculation Sheet'!$Y$15)&amp;"","")=""))))</f>
        <v/>
      </c>
      <c r="CM16">
        <f>IF($AA$4="",1,--(OR(SUMPRODUCT(--(TRIM(MID(SUBSTITUTE(SUBSTITUTE($AA$4,"/",","),",",REPT(" ",99)),(ROW($1:$8)-1)*99+1,99))&lt;&gt;""),--ISNUMBER(SEARCH(TRIM(MID(SUBSTITUTE(SUBSTITUTE($AA$4,"/",","),",",REPT(" ",99)),(ROW($1:$8)-1)*99+1,99)),IFERROR(('Final Calculation Sheet'!$Z$15)&amp;"",""))))&gt;0,AND(ISNUMBER(SEARCH("blank",$AA$4)),NOT(ISNUMBER(SEARCH("nonblank",$AA$4))),IFERROR(('Final Calculation Sheet'!$Z$15)&amp;"","")=""),AND(OR(ISNUMBER(SEARCH("nonblank",$AA$4)),ISNUMBER(SEARCH("&lt;&gt;",$AA$4))),IFERROR(('Final Calculation Sheet'!$Z$15)&amp;"","")&lt;&gt;""),AND(TRIM($AA$4)="",IFERROR(('Final Calculation Sheet'!$Z$15)&amp;"","")=""))))</f>
        <v/>
      </c>
      <c r="CN16">
        <f>IF($AB$4="",1,--(OR(SUMPRODUCT(--(TRIM(MID(SUBSTITUTE(SUBSTITUTE($AB$4,"/",","),",",REPT(" ",99)),(ROW($1:$8)-1)*99+1,99))&lt;&gt;""),--ISNUMBER(SEARCH(TRIM(MID(SUBSTITUTE(SUBSTITUTE($AB$4,"/",","),",",REPT(" ",99)),(ROW($1:$8)-1)*99+1,99)),IFERROR(('Final Calculation Sheet'!$AA$15)&amp;"",""))))&gt;0,AND(ISNUMBER(SEARCH("blank",$AB$4)),NOT(ISNUMBER(SEARCH("nonblank",$AB$4))),IFERROR(('Final Calculation Sheet'!$AA$15)&amp;"","")=""),AND(OR(ISNUMBER(SEARCH("nonblank",$AB$4)),ISNUMBER(SEARCH("&lt;&gt;",$AB$4))),IFERROR(('Final Calculation Sheet'!$AA$15)&amp;"","")&lt;&gt;""),AND(TRIM($AB$4)="",IFERROR(('Final Calculation Sheet'!$AA$15)&amp;"","")=""))))</f>
        <v/>
      </c>
      <c r="CO16">
        <f>IF($AC$4="",1,--(OR(SUMPRODUCT(--(TRIM(MID(SUBSTITUTE(SUBSTITUTE($AC$4,"/",","),",",REPT(" ",99)),(ROW($1:$8)-1)*99+1,99))&lt;&gt;""),--ISNUMBER(SEARCH(TRIM(MID(SUBSTITUTE(SUBSTITUTE($AC$4,"/",","),",",REPT(" ",99)),(ROW($1:$8)-1)*99+1,99)),IFERROR(('Final Calculation Sheet'!$AB$15)&amp;"",""))))&gt;0,AND(ISNUMBER(SEARCH("blank",$AC$4)),NOT(ISNUMBER(SEARCH("nonblank",$AC$4))),IFERROR(('Final Calculation Sheet'!$AB$15)&amp;"","")=""),AND(OR(ISNUMBER(SEARCH("nonblank",$AC$4)),ISNUMBER(SEARCH("&lt;&gt;",$AC$4))),IFERROR(('Final Calculation Sheet'!$AB$15)&amp;"","")&lt;&gt;""),AND(TRIM($AC$4)="",IFERROR(('Final Calculation Sheet'!$AB$15)&amp;"","")=""))))</f>
        <v/>
      </c>
      <c r="CP16">
        <f>IF($AD$4="",1,--(OR(SUMPRODUCT(--(TRIM(MID(SUBSTITUTE(SUBSTITUTE($AD$4,"/",","),",",REPT(" ",99)),(ROW($1:$8)-1)*99+1,99))&lt;&gt;""),--ISNUMBER(SEARCH(TRIM(MID(SUBSTITUTE(SUBSTITUTE($AD$4,"/",","),",",REPT(" ",99)),(ROW($1:$8)-1)*99+1,99)),IFERROR(('Final Calculation Sheet'!$AC$15)&amp;"",""))))&gt;0,AND(ISNUMBER(SEARCH("blank",$AD$4)),NOT(ISNUMBER(SEARCH("nonblank",$AD$4))),IFERROR(('Final Calculation Sheet'!$AC$15)&amp;"","")=""),AND(OR(ISNUMBER(SEARCH("nonblank",$AD$4)),ISNUMBER(SEARCH("&lt;&gt;",$AD$4))),IFERROR(('Final Calculation Sheet'!$AC$15)&amp;"","")&lt;&gt;""),AND(TRIM($AD$4)="",IFERROR(('Final Calculation Sheet'!$AC$15)&amp;"","")=""))))</f>
        <v/>
      </c>
      <c r="CQ16">
        <f>IF($AE$4="",1,--(OR(SUMPRODUCT(--(TRIM(MID(SUBSTITUTE(SUBSTITUTE($AE$4,"/",","),",",REPT(" ",99)),(ROW($1:$8)-1)*99+1,99))&lt;&gt;""),--ISNUMBER(SEARCH(TRIM(MID(SUBSTITUTE(SUBSTITUTE($AE$4,"/",","),",",REPT(" ",99)),(ROW($1:$8)-1)*99+1,99)),IFERROR(('Final Calculation Sheet'!$AD$15)&amp;"",""))))&gt;0,AND(ISNUMBER(SEARCH("blank",$AE$4)),NOT(ISNUMBER(SEARCH("nonblank",$AE$4))),IFERROR(('Final Calculation Sheet'!$AD$15)&amp;"","")=""),AND(OR(ISNUMBER(SEARCH("nonblank",$AE$4)),ISNUMBER(SEARCH("&lt;&gt;",$AE$4))),IFERROR(('Final Calculation Sheet'!$AD$15)&amp;"","")&lt;&gt;""),AND(TRIM($AE$4)="",IFERROR(('Final Calculation Sheet'!$AD$15)&amp;"","")=""))))</f>
        <v/>
      </c>
      <c r="CR16">
        <f>IF($AG$4="",1,--(OR(SUMPRODUCT(--(TRIM(MID(SUBSTITUTE(SUBSTITUTE($AG$4,"/",","),",",REPT(" ",99)),(ROW($1:$8)-1)*99+1,99))&lt;&gt;""),--ISNUMBER(SEARCH(TRIM(MID(SUBSTITUTE(SUBSTITUTE($AG$4,"/",","),",",REPT(" ",99)),(ROW($1:$8)-1)*99+1,99)),IFERROR(('Final Calculation Sheet'!$AF$15)&amp;"",""))))&gt;0,AND(ISNUMBER(SEARCH("blank",$AG$4)),NOT(ISNUMBER(SEARCH("nonblank",$AG$4))),IFERROR(('Final Calculation Sheet'!$AF$15)&amp;"","")=""),AND(OR(ISNUMBER(SEARCH("nonblank",$AG$4)),ISNUMBER(SEARCH("&lt;&gt;",$AG$4))),IFERROR(('Final Calculation Sheet'!$AF$15)&amp;"","")&lt;&gt;""),AND(TRIM($AG$4)="",IFERROR(('Final Calculation Sheet'!$AF$15)&amp;"","")=""))))</f>
        <v/>
      </c>
      <c r="CS16">
        <f>IF($AH$4="",1,--(OR(SUMPRODUCT(--(TRIM(MID(SUBSTITUTE(SUBSTITUTE($AH$4,"/",","),",",REPT(" ",99)),(ROW($1:$8)-1)*99+1,99))&lt;&gt;""),--ISNUMBER(SEARCH(TRIM(MID(SUBSTITUTE(SUBSTITUTE($AH$4,"/",","),",",REPT(" ",99)),(ROW($1:$8)-1)*99+1,99)),IFERROR(('Final Calculation Sheet'!$AG$15)&amp;"",""))))&gt;0,AND(ISNUMBER(SEARCH("blank",$AH$4)),NOT(ISNUMBER(SEARCH("nonblank",$AH$4))),IFERROR(('Final Calculation Sheet'!$AG$15)&amp;"","")=""),AND(OR(ISNUMBER(SEARCH("nonblank",$AH$4)),ISNUMBER(SEARCH("&lt;&gt;",$AH$4))),IFERROR(('Final Calculation Sheet'!$AG$15)&amp;"","")&lt;&gt;""),AND(TRIM($AH$4)="",IFERROR(('Final Calculation Sheet'!$AG$15)&amp;"","")=""))))</f>
        <v/>
      </c>
      <c r="CT16">
        <f>IF($AI$4="",1,--(OR(SUMPRODUCT(--(TRIM(MID(SUBSTITUTE(SUBSTITUTE($AI$4,"/",","),",",REPT(" ",99)),(ROW($1:$8)-1)*99+1,99))&lt;&gt;""),--ISNUMBER(SEARCH(TRIM(MID(SUBSTITUTE(SUBSTITUTE($AI$4,"/",","),",",REPT(" ",99)),(ROW($1:$8)-1)*99+1,99)),IFERROR(('Final Calculation Sheet'!$AH$15)&amp;"",""))))&gt;0,AND(ISNUMBER(SEARCH("blank",$AI$4)),NOT(ISNUMBER(SEARCH("nonblank",$AI$4))),IFERROR(('Final Calculation Sheet'!$AH$15)&amp;"","")=""),AND(OR(ISNUMBER(SEARCH("nonblank",$AI$4)),ISNUMBER(SEARCH("&lt;&gt;",$AI$4))),IFERROR(('Final Calculation Sheet'!$AH$15)&amp;"","")&lt;&gt;""),AND(TRIM($AI$4)="",IFERROR(('Final Calculation Sheet'!$AH$15)&amp;"","")=""))))</f>
        <v/>
      </c>
      <c r="CU16">
        <f>IF($AF$4="",1,--(OR(SUMPRODUCT(--(TRIM(MID(SUBSTITUTE(SUBSTITUTE($AF$4,"/",","),",",REPT(" ",99)),(ROW($1:$8)-1)*99+1,99))&lt;&gt;""),--ISNUMBER(SEARCH(TRIM(MID(SUBSTITUTE(SUBSTITUTE($AF$4,"/",","),",",REPT(" ",99)),(ROW($1:$8)-1)*99+1,99)),IFERROR((IF('Final Calculation Sheet'!$AD$15&lt;=5,"SETTLED","OUTSTANDING"))&amp;"",""))))&gt;0,AND(ISNUMBER(SEARCH("blank",$AF$4)),NOT(ISNUMBER(SEARCH("nonblank",$AF$4))),IFERROR((IF('Final Calculation Sheet'!$AD$15&lt;=5,"SETTLED","OUTSTANDING"))&amp;"","")=""),AND(OR(ISNUMBER(SEARCH("nonblank",$AF$4)),ISNUMBER(SEARCH("&lt;&gt;",$AF$4))),IFERROR((IF('Final Calculation Sheet'!$AD$15&lt;=5,"SETTLED","OUTSTANDING"))&amp;"","")&lt;&gt;""),AND(TRIM($AF$4)="",IFERROR((IF('Final Calculation Sheet'!$AD$15&lt;=5,"SETTLED","OUTSTANDING"))&amp;"","")=""))))</f>
        <v/>
      </c>
    </row>
    <row r="17" ht="15" customHeight="1" s="137">
      <c r="A17" s="67">
        <f>IF($BJ16&gt;0,INDEX($BA$5:$BA$41,MATCH(16,$BB$5:$BB$41,0)),IF(OR($BI16=1,$BL16=1,$BH16&gt;0),"∑",""))</f>
        <v/>
      </c>
      <c r="B17" s="76">
        <f>IF($BJ16&gt;0,IF(INDEX('Final Calculation Sheet'!$F$4:$F$40,$BJ16-3)="","",INDEX('Final Calculation Sheet'!$F$4:$F$40,$BJ16-3)),"")</f>
        <v/>
      </c>
      <c r="C17" s="76">
        <f>IF($BJ16&gt;0,IF(INDEX('Final Calculation Sheet'!$G$4:$G$40,$BJ16-3)="","",INDEX('Final Calculation Sheet'!$G$4:$G$40,$BJ16-3)),IF(OR($BI16=1,$BL16=1,$BH16&gt;0),IF($BI16=1,37,IF($BL16=1,37-INDEX($BD$4:$BD$13,10),INDEX($BD$4:$BD$13,$BH16)))&amp;" lot(s)",""))</f>
        <v/>
      </c>
      <c r="D17" s="80">
        <f>IF($BJ16&gt;0,IF(INDEX('Final Calculation Sheet'!$B$4:$B$40,$BJ16-3)="","",INDEX('Final Calculation Sheet'!$B$4:$B$40,$BJ16-3)),IF(OR($BI16=1,$BL16=1,$BH16&gt;0),IF($BI16=1,"GRAND TOTAL  —  matching + remaining",IF($BL16=1,"TOTAL MATCHED  —  every group together",IF($BH16=10,"REMAINING  —  did not match the search",IF($BH16=9,IF(COUNTIF($A$4:$AI$4,"&lt;&gt;")&gt;0,"FILTERED LOTS  —  column fields","ALL LOTS  —  nothing typed in the box"),"GROUP "&amp;$BH16&amp;" TOTAL  —  lots matching  "&amp;INDEX($AR$6:$AY$6,$BH16))))),""))</f>
        <v/>
      </c>
      <c r="E17" s="80">
        <f>IF($BJ16&gt;0,IF(INDEX('Final Calculation Sheet'!$D$4:$D$40,$BJ16-3)="","",INDEX('Final Calculation Sheet'!$D$4:$D$40,$BJ16-3)),IF(OR($BI16=1,$BL16=1,$BH16&gt;0),"–",""))</f>
        <v/>
      </c>
      <c r="F17" s="80">
        <f>IF($BJ16&gt;0,IF(INDEX('Final Calculation Sheet'!$A$4:$A$40,$BJ16-3)="","",INDEX('Final Calculation Sheet'!$A$4:$A$40,$BJ16-3)),IF(OR($BI16=1,$BL16=1,$BH16&gt;0),IF($BI16=1,SUM('Final Calculation Sheet'!$A$4:$A$40),IF($BL16=1,SUM('Final Calculation Sheet'!$A$4:$A$40)-SUMIFS('Final Calculation Sheet'!$A$4:$A$40,$AZ$5:$AZ$41,10),SUMIFS('Final Calculation Sheet'!$A$4:$A$40,$AZ$5:$AZ$41,$BH16))),""))</f>
        <v/>
      </c>
      <c r="G17" s="80">
        <f>IF($BJ16&gt;0,IF(INDEX('Final Calculation Sheet'!$E$4:$E$40,$BJ16-3)="","",INDEX('Final Calculation Sheet'!$E$4:$E$40,$BJ16-3)),IF(OR($BI16=1,$BL16=1,$BH16&gt;0),"–",""))</f>
        <v/>
      </c>
      <c r="H17" s="70">
        <f>IF($BJ16&gt;0,IF(INDEX('Final Calculation Sheet'!$C$4:$C$40,$BJ16-3)="","",INDEX('Final Calculation Sheet'!$C$4:$C$40,$BJ16-3)),IF(OR($BI16=1,$BL16=1,$BH16&gt;0),"–",""))</f>
        <v/>
      </c>
      <c r="I17" s="70">
        <f>IF($BJ16&gt;0,IF(INDEX('Final Calculation Sheet'!$H$4:$H$40,$BJ16-3)="","",INDEX('Final Calculation Sheet'!$H$4:$H$40,$BJ16-3)),IF(OR($BI16=1,$BL16=1,$BH16&gt;0),IF($BI16=1,SUM('Final Calculation Sheet'!$H$4:$H$40),IF($BL16=1,SUM('Final Calculation Sheet'!$H$4:$H$40)-SUMIFS('Final Calculation Sheet'!$H$4:$H$40,$AZ$5:$AZ$41,10),SUMIFS('Final Calculation Sheet'!$H$4:$H$40,$AZ$5:$AZ$41,$BH16))),""))</f>
        <v/>
      </c>
      <c r="J17" s="70">
        <f>IF($BJ16&gt;0,IF(INDEX('Final Calculation Sheet'!$I$4:$I$40,$BJ16-3)="","",INDEX('Final Calculation Sheet'!$I$4:$I$40,$BJ16-3)),IF(OR($BI16=1,$BL16=1,$BH16&gt;0),IF($BI16=1,SUM('Final Calculation Sheet'!$I$4:$I$40),IF($BL16=1,SUM('Final Calculation Sheet'!$I$4:$I$40)-SUMIFS('Final Calculation Sheet'!$I$4:$I$40,$AZ$5:$AZ$41,10),SUMIFS('Final Calculation Sheet'!$I$4:$I$40,$AZ$5:$AZ$41,$BH16))),""))</f>
        <v/>
      </c>
      <c r="K17" s="70">
        <f>IF($BJ16&gt;0,IF(INDEX('Final Calculation Sheet'!$J$4:$J$40,$BJ16-3)="","",INDEX('Final Calculation Sheet'!$J$4:$J$40,$BJ16-3)),IF(OR($BI16=1,$BL16=1,$BH16&gt;0),IF($BI16=1,SUM('Final Calculation Sheet'!$J$4:$J$40),IF($BL16=1,SUM('Final Calculation Sheet'!$J$4:$J$40)-SUMIFS('Final Calculation Sheet'!$J$4:$J$40,$AZ$5:$AZ$41,10),SUMIFS('Final Calculation Sheet'!$J$4:$J$40,$AZ$5:$AZ$41,$BH16))),""))</f>
        <v/>
      </c>
      <c r="L17" s="70">
        <f>IF($BJ16&gt;0,IF(INDEX('Final Calculation Sheet'!$K$4:$K$40,$BJ16-3)="","",INDEX('Final Calculation Sheet'!$K$4:$K$40,$BJ16-3)),IF(OR($BI16=1,$BL16=1,$BH16&gt;0),IF($BI16=1,SUM('Final Calculation Sheet'!$K$4:$K$40),IF($BL16=1,SUM('Final Calculation Sheet'!$K$4:$K$40)-SUMIFS('Final Calculation Sheet'!$K$4:$K$40,$AZ$5:$AZ$41,10),SUMIFS('Final Calculation Sheet'!$K$4:$K$40,$AZ$5:$AZ$41,$BH16))),""))</f>
        <v/>
      </c>
      <c r="M17" s="70">
        <f>IF($BJ16&gt;0,IF(INDEX('Final Calculation Sheet'!$L$4:$L$40,$BJ16-3)="","",INDEX('Final Calculation Sheet'!$L$4:$L$40,$BJ16-3)),IF(OR($BI16=1,$BL16=1,$BH16&gt;0),IF($BI16=1,SUM('Final Calculation Sheet'!$L$4:$L$40),IF($BL16=1,SUM('Final Calculation Sheet'!$L$4:$L$40)-SUMIFS('Final Calculation Sheet'!$L$4:$L$40,$AZ$5:$AZ$41,10),SUMIFS('Final Calculation Sheet'!$L$4:$L$40,$AZ$5:$AZ$41,$BH16))),""))</f>
        <v/>
      </c>
      <c r="N17" s="70">
        <f>IF($BJ16&gt;0,IF(INDEX('Final Calculation Sheet'!$M$4:$M$40,$BJ16-3)="","",INDEX('Final Calculation Sheet'!$M$4:$M$40,$BJ16-3)),IF(OR($BI16=1,$BL16=1,$BH16&gt;0),IF($BI16=1,SUM('Final Calculation Sheet'!$M$4:$M$40),IF($BL16=1,SUM('Final Calculation Sheet'!$M$4:$M$40)-SUMIFS('Final Calculation Sheet'!$M$4:$M$40,$AZ$5:$AZ$41,10),SUMIFS('Final Calculation Sheet'!$M$4:$M$40,$AZ$5:$AZ$41,$BH16))),""))</f>
        <v/>
      </c>
      <c r="O17" s="71">
        <f>IF($BJ16&gt;0,IF(INDEX('Final Calculation Sheet'!$N$4:$N$40,$BJ16-3)="","",INDEX('Final Calculation Sheet'!$N$4:$N$40,$BJ16-3)),IF(OR($BI16=1,$BL16=1,$BH16&gt;0),IF($BI16=1,SUM('Final Calculation Sheet'!$N$4:$N$40),IF($BL16=1,SUM('Final Calculation Sheet'!$N$4:$N$40)-SUMIFS('Final Calculation Sheet'!$N$4:$N$40,$AZ$5:$AZ$41,10),SUMIFS('Final Calculation Sheet'!$N$4:$N$40,$AZ$5:$AZ$41,$BH16))),""))</f>
        <v/>
      </c>
      <c r="P17" s="70">
        <f>IF($BJ16&gt;0,IF(INDEX('Final Calculation Sheet'!$O$4:$O$40,$BJ16-3)="","",INDEX('Final Calculation Sheet'!$O$4:$O$40,$BJ16-3)),IF(OR($BI16=1,$BL16=1,$BH16&gt;0),IF($BI16=1,SUM('Final Calculation Sheet'!$O$4:$O$40),IF($BL16=1,SUM('Final Calculation Sheet'!$O$4:$O$40)-SUMIFS('Final Calculation Sheet'!$O$4:$O$40,$AZ$5:$AZ$41,10),SUMIFS('Final Calculation Sheet'!$O$4:$O$40,$AZ$5:$AZ$41,$BH16))),""))</f>
        <v/>
      </c>
      <c r="Q17" s="70">
        <f>IF($BJ16&gt;0,IF(INDEX('Final Calculation Sheet'!$P$4:$P$40,$BJ16-3)="","",INDEX('Final Calculation Sheet'!$P$4:$P$40,$BJ16-3)),IF(OR($BI16=1,$BL16=1,$BH16&gt;0),IF($BI16=1,SUM('Final Calculation Sheet'!$P$4:$P$40),IF($BL16=1,SUM('Final Calculation Sheet'!$P$4:$P$40)-SUMIFS('Final Calculation Sheet'!$P$4:$P$40,$AZ$5:$AZ$41,10),SUMIFS('Final Calculation Sheet'!$P$4:$P$40,$AZ$5:$AZ$41,$BH16))),""))</f>
        <v/>
      </c>
      <c r="R17" s="72">
        <f>IF($BJ16&gt;0,IF(INDEX('Final Calculation Sheet'!$Q$4:$Q$40,$BJ16-3)="","",INDEX('Final Calculation Sheet'!$Q$4:$Q$40,$BJ16-3)),IF(OR($BI16=1,$BL16=1,$BH16&gt;0),"–",""))</f>
        <v/>
      </c>
      <c r="S17" s="70">
        <f>IF($BJ16&gt;0,IF(INDEX('Final Calculation Sheet'!$R$4:$R$40,$BJ16-3)="","",INDEX('Final Calculation Sheet'!$R$4:$R$40,$BJ16-3)),IF(OR($BI16=1,$BL16=1,$BH16&gt;0),IF($BI16=1,SUM('Final Calculation Sheet'!$R$4:$R$40),IF($BL16=1,SUM('Final Calculation Sheet'!$R$4:$R$40)-SUMIFS('Final Calculation Sheet'!$R$4:$R$40,$AZ$5:$AZ$41,10),SUMIFS('Final Calculation Sheet'!$R$4:$R$40,$AZ$5:$AZ$41,$BH16))),""))</f>
        <v/>
      </c>
      <c r="T17" s="70">
        <f>IF($BJ16&gt;0,IF(INDEX('Final Calculation Sheet'!$S$4:$S$40,$BJ16-3)="","",INDEX('Final Calculation Sheet'!$S$4:$S$40,$BJ16-3)),IF(OR($BI16=1,$BL16=1,$BH16&gt;0),IF($BI16=1,SUM('Final Calculation Sheet'!$S$4:$S$40),IF($BL16=1,SUM('Final Calculation Sheet'!$S$4:$S$40)-SUMIFS('Final Calculation Sheet'!$S$4:$S$40,$AZ$5:$AZ$41,10),SUMIFS('Final Calculation Sheet'!$S$4:$S$40,$AZ$5:$AZ$41,$BH16))),""))</f>
        <v/>
      </c>
      <c r="U17" s="70">
        <f>IF($BJ16&gt;0,IF(INDEX('Final Calculation Sheet'!$T$4:$T$40,$BJ16-3)="","",INDEX('Final Calculation Sheet'!$T$4:$T$40,$BJ16-3)),IF(OR($BI16=1,$BL16=1,$BH16&gt;0),IF($BI16=1,SUM('Final Calculation Sheet'!$T$4:$T$40),IF($BL16=1,SUM('Final Calculation Sheet'!$T$4:$T$40)-SUMIFS('Final Calculation Sheet'!$T$4:$T$40,$AZ$5:$AZ$41,10),SUMIFS('Final Calculation Sheet'!$T$4:$T$40,$AZ$5:$AZ$41,$BH16))),""))</f>
        <v/>
      </c>
      <c r="V17" s="73">
        <f>IF($BJ16&gt;0,IF(INDEX('Final Calculation Sheet'!$U$4:$U$40,$BJ16-3)="","",INDEX('Final Calculation Sheet'!$U$4:$U$40,$BJ16-3)),IF(OR($BI16=1,$BL16=1,$BH16&gt;0),IF($BI16=1,SUM('Final Calculation Sheet'!$U$4:$U$40),IF($BL16=1,SUM('Final Calculation Sheet'!$U$4:$U$40)-SUMIFS('Final Calculation Sheet'!$U$4:$U$40,$AZ$5:$AZ$41,10),SUMIFS('Final Calculation Sheet'!$U$4:$U$40,$AZ$5:$AZ$41,$BH16))),""))</f>
        <v/>
      </c>
      <c r="W17" s="70">
        <f>IF($BJ16&gt;0,IF(INDEX('Final Calculation Sheet'!$V$4:$V$40,$BJ16-3)="","",INDEX('Final Calculation Sheet'!$V$4:$V$40,$BJ16-3)),IF(OR($BI16=1,$BL16=1,$BH16&gt;0),"–",""))</f>
        <v/>
      </c>
      <c r="X17" s="70">
        <f>IF($BJ16&gt;0,IF(INDEX('Final Calculation Sheet'!$W$4:$W$40,$BJ16-3)="","",INDEX('Final Calculation Sheet'!$W$4:$W$40,$BJ16-3)),IF(OR($BI16=1,$BL16=1,$BH16&gt;0),IF($BI16=1,SUM('Final Calculation Sheet'!$W$4:$W$40),IF($BL16=1,SUM('Final Calculation Sheet'!$W$4:$W$40)-SUMIFS('Final Calculation Sheet'!$W$4:$W$40,$AZ$5:$AZ$41,10),SUMIFS('Final Calculation Sheet'!$W$4:$W$40,$AZ$5:$AZ$41,$BH16))),""))</f>
        <v/>
      </c>
      <c r="Y17" s="70">
        <f>IF($BJ16&gt;0,IF(INDEX('Final Calculation Sheet'!$X$4:$X$40,$BJ16-3)="","",INDEX('Final Calculation Sheet'!$X$4:$X$40,$BJ16-3)),IF(OR($BI16=1,$BL16=1,$BH16&gt;0),IF($BI16=1,SUM('Final Calculation Sheet'!$X$4:$X$40),IF($BL16=1,SUM('Final Calculation Sheet'!$X$4:$X$40)-SUMIFS('Final Calculation Sheet'!$X$4:$X$40,$AZ$5:$AZ$41,10),SUMIFS('Final Calculation Sheet'!$X$4:$X$40,$AZ$5:$AZ$41,$BH16))),""))</f>
        <v/>
      </c>
      <c r="Z17" s="70">
        <f>IF($BJ16&gt;0,IF(INDEX('Final Calculation Sheet'!$Y$4:$Y$40,$BJ16-3)="","",INDEX('Final Calculation Sheet'!$Y$4:$Y$40,$BJ16-3)),IF(OR($BI16=1,$BL16=1,$BH16&gt;0),"–",""))</f>
        <v/>
      </c>
      <c r="AA17" s="70">
        <f>IF($BJ16&gt;0,IF(INDEX('Final Calculation Sheet'!$Z$4:$Z$40,$BJ16-3)="","",INDEX('Final Calculation Sheet'!$Z$4:$Z$40,$BJ16-3)),IF(OR($BI16=1,$BL16=1,$BH16&gt;0),IF($BI16=1,SUM('Final Calculation Sheet'!$Z$4:$Z$40),IF($BL16=1,SUM('Final Calculation Sheet'!$Z$4:$Z$40)-SUMIFS('Final Calculation Sheet'!$Z$4:$Z$40,$AZ$5:$AZ$41,10),SUMIFS('Final Calculation Sheet'!$Z$4:$Z$40,$AZ$5:$AZ$41,$BH16))),""))</f>
        <v/>
      </c>
      <c r="AB17" s="70">
        <f>IF($BJ16&gt;0,IF(INDEX('Final Calculation Sheet'!$AA$4:$AA$40,$BJ16-3)="","",INDEX('Final Calculation Sheet'!$AA$4:$AA$40,$BJ16-3)),IF(OR($BI16=1,$BL16=1,$BH16&gt;0),IF($BI16=1,SUM('Final Calculation Sheet'!$AA$4:$AA$40),IF($BL16=1,SUM('Final Calculation Sheet'!$AA$4:$AA$40)-SUMIFS('Final Calculation Sheet'!$AA$4:$AA$40,$AZ$5:$AZ$41,10),SUMIFS('Final Calculation Sheet'!$AA$4:$AA$40,$AZ$5:$AZ$41,$BH16))),""))</f>
        <v/>
      </c>
      <c r="AC17" s="70">
        <f>IF($BJ16&gt;0,IF(INDEX('Final Calculation Sheet'!$AB$4:$AB$40,$BJ16-3)="","",INDEX('Final Calculation Sheet'!$AB$4:$AB$40,$BJ16-3)),IF(OR($BI16=1,$BL16=1,$BH16&gt;0),"–",""))</f>
        <v/>
      </c>
      <c r="AD17" s="70">
        <f>IF($BJ16&gt;0,IF(INDEX('Final Calculation Sheet'!$AC$4:$AC$40,$BJ16-3)="","",INDEX('Final Calculation Sheet'!$AC$4:$AC$40,$BJ16-3)),IF(OR($BI16=1,$BL16=1,$BH16&gt;0),IF($BI16=1,SUM('Final Calculation Sheet'!$AC$4:$AC$40),IF($BL16=1,SUM('Final Calculation Sheet'!$AC$4:$AC$40)-SUMIFS('Final Calculation Sheet'!$AC$4:$AC$40,$AZ$5:$AZ$41,10),SUMIFS('Final Calculation Sheet'!$AC$4:$AC$40,$AZ$5:$AZ$41,$BH16))),""))</f>
        <v/>
      </c>
      <c r="AE17" s="70">
        <f>IF($BJ16&gt;0,IF(INDEX('Final Calculation Sheet'!$AD$4:$AD$40,$BJ16-3)="","",INDEX('Final Calculation Sheet'!$AD$4:$AD$40,$BJ16-3)),IF(OR($BI16=1,$BL16=1,$BH16&gt;0),IF($BI16=1,SUM('Final Calculation Sheet'!$AD$4:$AD$40),IF($BL16=1,SUM('Final Calculation Sheet'!$AD$4:$AD$40)-SUMIFS('Final Calculation Sheet'!$AD$4:$AD$40,$AZ$5:$AZ$41,10),SUMIFS('Final Calculation Sheet'!$AD$4:$AD$40,$AZ$5:$AZ$41,$BH16))),""))</f>
        <v/>
      </c>
      <c r="AF17" s="75">
        <f>IF($BJ16&gt;0,IF(INDEX('Final Calculation Sheet'!$AD$4:$AD$40,$BJ16-3)="","",IF(INDEX('Final Calculation Sheet'!$AD$4:$AD$40,$BJ16-3)&lt;=5,"SETTLED","OUTSTANDING")),IF(OR($BI16=1,$BL16=1,$BH16&gt;0),IF(IF($BI16=1,SUM('Final Calculation Sheet'!$AD$4:$AD$40),IF($BL16=1,SUM('Final Calculation Sheet'!$AD$4:$AD$40)-SUMIFS('Final Calculation Sheet'!$AD$4:$AD$40,$AZ$5:$AZ$41,10),SUMIFS('Final Calculation Sheet'!$AD$4:$AD$40,$AZ$5:$AZ$41,$BH16)))&lt;=5,"ALL SETTLED","OUTSTANDING"),""))</f>
        <v/>
      </c>
      <c r="AG17" s="70">
        <f>IF($BJ16&gt;0,IF(INDEX('Final Calculation Sheet'!$AF$4:$AF$40,$BJ16-3)="","",INDEX('Final Calculation Sheet'!$AF$4:$AF$40,$BJ16-3)),IF(OR($BI16=1,$BL16=1,$BH16&gt;0),"–",""))</f>
        <v/>
      </c>
      <c r="AH17" s="74">
        <f>IF($BJ16&gt;0,IF(INDEX('Final Calculation Sheet'!$AG$4:$AG$40,$BJ16-3)="","",INDEX('Final Calculation Sheet'!$AG$4:$AG$40,$BJ16-3)),IF(OR($BI16=1,$BL16=1,$BH16&gt;0),"–",""))</f>
        <v/>
      </c>
      <c r="AI17" s="70">
        <f>IF($BJ16&gt;0,IF(INDEX('Final Calculation Sheet'!$AH$4:$AH$40,$BJ16-3)="","",INDEX('Final Calculation Sheet'!$AH$4:$AH$40,$BJ16-3)),IF(OR($BI16=1,$BL16=1,$BH16&gt;0),"–",""))</f>
        <v/>
      </c>
      <c r="AK17">
        <f>IF($F$3="Lot No.",'Final Calculation Sheet'!$F$16,IF($F$3="Buyer",'Final Calculation Sheet'!$G$16,IF($F$3="Lot Name",'Final Calculation Sheet'!$B$16,IF($F$3="Bid Sheet",'Final Calculation Sheet'!$D$16,IF($F$3="Unit",'Final Calculation Sheet'!$E$16,'Final Calculation Sheet'!$F$16&amp;" "&amp;'Final Calculation Sheet'!$G$16&amp;" "&amp;'Final Calculation Sheet'!$B$16)))))</f>
        <v/>
      </c>
      <c r="AL17">
        <f>AL16+IF($B$3="",0,--(SUMPRODUCT(--($AR$6:$AY$6&lt;&gt;""),--ISNUMBER(SEARCH($AR$6:$AY$6,$AK17)))&gt;0))</f>
        <v/>
      </c>
      <c r="AM17">
        <f>IF(COUNTIF($BM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AZ17">
        <f>IF($B$3="",IF(COUNTIF($A$4:$AI$4,"&lt;&gt;")=0,9,IF($AM17=1,9,10)),IF($AM17=0,10,IF(AND($AR$6&lt;&gt;"",ISNUMBER(SEARCH($AR$6,$AK17))),1,IF(AND($AS$6&lt;&gt;"",ISNUMBER(SEARCH($AS$6,$AK17))),2,IF(AND($AT$6&lt;&gt;"",ISNUMBER(SEARCH($AT$6,$AK17))),3,IF(AND($AU$6&lt;&gt;"",ISNUMBER(SEARCH($AU$6,$AK17))),4,IF(AND($AV$6&lt;&gt;"",ISNUMBER(SEARCH($AV$6,$AK17))),5,IF(AND($AW$6&lt;&gt;"",ISNUMBER(SEARCH($AW$6,$AK17))),6,IF(AND($AX$6&lt;&gt;"",ISNUMBER(SEARCH($AX$6,$AK17))),7,IF(AND($AY$6&lt;&gt;"",ISNUMBER(SEARCH($AY$6,$AK17))),8,0))))))))))</f>
        <v/>
      </c>
      <c r="BA17">
        <f>SUMPRODUCT(($AZ$5:$AZ$41=$AZ17)*($BC$5:$BC$41&lt;$BC17))+1</f>
        <v/>
      </c>
      <c r="BB17">
        <f>IF(INDEX($BF$4:$BF$13,$AZ17)=0,0,INDEX($BE$4:$BE$13,$AZ17)+$BA17-1)</f>
        <v/>
      </c>
      <c r="BC17" t="n">
        <v>16</v>
      </c>
      <c r="BH17">
        <f>IFERROR(MATCH(17,$BF$4:$BF$13,0),0)</f>
        <v/>
      </c>
      <c r="BI17">
        <f>IF(17=$BG$5,1,0)</f>
        <v/>
      </c>
      <c r="BJ17">
        <f>IF(OR($BH17&gt;0,$BI17=1,$BL17=1),0,IFERROR(INDEX($BC$5:$BC$41,MATCH(17,$BB$5:$BB$41,0)),0))</f>
        <v/>
      </c>
      <c r="BK17">
        <f>IF($BJ17&gt;0,IF(INDEX($AZ$5:$AZ$41,MATCH(17,$BB$5:$BB$41,0))=10,1,0),IF($BH17=10,1,0))</f>
        <v/>
      </c>
      <c r="BL17">
        <f>IF(17=$BG$4,1,0)</f>
        <v/>
      </c>
      <c r="BM17">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7">
        <f>IF($B$4="",1,--(OR(SUMPRODUCT(--(TRIM(MID(SUBSTITUTE(SUBSTITUTE($B$4,"/",","),",",REPT(" ",99)),(ROW($1:$8)-1)*99+1,99))&lt;&gt;""),--ISNUMBER(SEARCH(TRIM(MID(SUBSTITUTE(SUBSTITUTE($B$4,"/",","),",",REPT(" ",99)),(ROW($1:$8)-1)*99+1,99)),IFERROR(('Final Calculation Sheet'!$F$16)&amp;"",""))))&gt;0,AND(ISNUMBER(SEARCH("blank",$B$4)),NOT(ISNUMBER(SEARCH("nonblank",$B$4))),IFERROR(('Final Calculation Sheet'!$F$16)&amp;"","")=""),AND(OR(ISNUMBER(SEARCH("nonblank",$B$4)),ISNUMBER(SEARCH("&lt;&gt;",$B$4))),IFERROR(('Final Calculation Sheet'!$F$16)&amp;"","")&lt;&gt;""),AND(TRIM($B$4)="",IFERROR(('Final Calculation Sheet'!$F$16)&amp;"","")=""))))</f>
        <v/>
      </c>
      <c r="BO17">
        <f>IF($CW$3="",1,--(OR(SUMPRODUCT(--(TRIM(MID(SUBSTITUTE(SUBSTITUTE($CW$3,"/",","),",",REPT(" ",99)),(ROW($1:$8)-1)*99+1,99))&lt;&gt;""),--ISNUMBER(SEARCH(TRIM(MID(SUBSTITUTE(SUBSTITUTE($CW$3,"/",","),",",REPT(" ",99)),(ROW($1:$8)-1)*99+1,99)),IFERROR(('Final Calculation Sheet'!$G$16)&amp;"",""))))&gt;0,AND(ISNUMBER(SEARCH("blank",$CW$3)),NOT(ISNUMBER(SEARCH("nonblank",$CW$3))),IFERROR(('Final Calculation Sheet'!$G$16)&amp;"","")=""),AND(OR(ISNUMBER(SEARCH("nonblank",$CW$3)),ISNUMBER(SEARCH("&lt;&gt;",$CW$3))),IFERROR(('Final Calculation Sheet'!$G$16)&amp;"","")&lt;&gt;""),AND(TRIM($CW$3)="",IFERROR(('Final Calculation Sheet'!$G$16)&amp;"","")=""))))</f>
        <v/>
      </c>
      <c r="BP17">
        <f>IF($D$4="",1,--(OR(SUMPRODUCT(--(TRIM(MID(SUBSTITUTE(SUBSTITUTE($D$4,"/",","),",",REPT(" ",99)),(ROW($1:$8)-1)*99+1,99))&lt;&gt;""),--ISNUMBER(SEARCH(TRIM(MID(SUBSTITUTE(SUBSTITUTE($D$4,"/",","),",",REPT(" ",99)),(ROW($1:$8)-1)*99+1,99)),IFERROR(('Final Calculation Sheet'!$B$16)&amp;"",""))))&gt;0,AND(ISNUMBER(SEARCH("blank",$D$4)),NOT(ISNUMBER(SEARCH("nonblank",$D$4))),IFERROR(('Final Calculation Sheet'!$B$16)&amp;"","")=""),AND(OR(ISNUMBER(SEARCH("nonblank",$D$4)),ISNUMBER(SEARCH("&lt;&gt;",$D$4))),IFERROR(('Final Calculation Sheet'!$B$16)&amp;"","")&lt;&gt;""),AND(TRIM($D$4)="",IFERROR(('Final Calculation Sheet'!$B$16)&amp;"","")=""))))</f>
        <v/>
      </c>
      <c r="BQ17">
        <f>IF($E$4="",1,--(OR(SUMPRODUCT(--(TRIM(MID(SUBSTITUTE(SUBSTITUTE($E$4,"/",","),",",REPT(" ",99)),(ROW($1:$8)-1)*99+1,99))&lt;&gt;""),--ISNUMBER(SEARCH(TRIM(MID(SUBSTITUTE(SUBSTITUTE($E$4,"/",","),",",REPT(" ",99)),(ROW($1:$8)-1)*99+1,99)),IFERROR(('Final Calculation Sheet'!$D$16)&amp;"",""))))&gt;0,AND(ISNUMBER(SEARCH("blank",$E$4)),NOT(ISNUMBER(SEARCH("nonblank",$E$4))),IFERROR(('Final Calculation Sheet'!$D$16)&amp;"","")=""),AND(OR(ISNUMBER(SEARCH("nonblank",$E$4)),ISNUMBER(SEARCH("&lt;&gt;",$E$4))),IFERROR(('Final Calculation Sheet'!$D$16)&amp;"","")&lt;&gt;""),AND(TRIM($E$4)="",IFERROR(('Final Calculation Sheet'!$D$16)&amp;"","")=""))))</f>
        <v/>
      </c>
      <c r="BR17">
        <f>IF($F$4="",1,--(OR(SUMPRODUCT(--(TRIM(MID(SUBSTITUTE(SUBSTITUTE($F$4,"/",","),",",REPT(" ",99)),(ROW($1:$8)-1)*99+1,99))&lt;&gt;""),--ISNUMBER(SEARCH(TRIM(MID(SUBSTITUTE(SUBSTITUTE($F$4,"/",","),",",REPT(" ",99)),(ROW($1:$8)-1)*99+1,99)),IFERROR(('Final Calculation Sheet'!$A$16)&amp;"",""))))&gt;0,AND(ISNUMBER(SEARCH("blank",$F$4)),NOT(ISNUMBER(SEARCH("nonblank",$F$4))),IFERROR(('Final Calculation Sheet'!$A$16)&amp;"","")=""),AND(OR(ISNUMBER(SEARCH("nonblank",$F$4)),ISNUMBER(SEARCH("&lt;&gt;",$F$4))),IFERROR(('Final Calculation Sheet'!$A$16)&amp;"","")&lt;&gt;""),AND(TRIM($F$4)="",IFERROR(('Final Calculation Sheet'!$A$16)&amp;"","")=""))))</f>
        <v/>
      </c>
      <c r="BS17">
        <f>IF($G$4="",1,--(OR(SUMPRODUCT(--(TRIM(MID(SUBSTITUTE(SUBSTITUTE($G$4,"/",","),",",REPT(" ",99)),(ROW($1:$8)-1)*99+1,99))&lt;&gt;""),--ISNUMBER(SEARCH(TRIM(MID(SUBSTITUTE(SUBSTITUTE($G$4,"/",","),",",REPT(" ",99)),(ROW($1:$8)-1)*99+1,99)),IFERROR(('Final Calculation Sheet'!$E$16)&amp;"",""))))&gt;0,AND(ISNUMBER(SEARCH("blank",$G$4)),NOT(ISNUMBER(SEARCH("nonblank",$G$4))),IFERROR(('Final Calculation Sheet'!$E$16)&amp;"","")=""),AND(OR(ISNUMBER(SEARCH("nonblank",$G$4)),ISNUMBER(SEARCH("&lt;&gt;",$G$4))),IFERROR(('Final Calculation Sheet'!$E$16)&amp;"","")&lt;&gt;""),AND(TRIM($G$4)="",IFERROR(('Final Calculation Sheet'!$E$16)&amp;"","")=""))))</f>
        <v/>
      </c>
      <c r="BT17">
        <f>IF($H$4="",1,--(OR(SUMPRODUCT(--(TRIM(MID(SUBSTITUTE(SUBSTITUTE($H$4,"/",","),",",REPT(" ",99)),(ROW($1:$8)-1)*99+1,99))&lt;&gt;""),--ISNUMBER(SEARCH(TRIM(MID(SUBSTITUTE(SUBSTITUTE($H$4,"/",","),",",REPT(" ",99)),(ROW($1:$8)-1)*99+1,99)),IFERROR(('Final Calculation Sheet'!$C$16)&amp;"",""))))&gt;0,AND(ISNUMBER(SEARCH("blank",$H$4)),NOT(ISNUMBER(SEARCH("nonblank",$H$4))),IFERROR(('Final Calculation Sheet'!$C$16)&amp;"","")=""),AND(OR(ISNUMBER(SEARCH("nonblank",$H$4)),ISNUMBER(SEARCH("&lt;&gt;",$H$4))),IFERROR(('Final Calculation Sheet'!$C$16)&amp;"","")&lt;&gt;""),AND(TRIM($H$4)="",IFERROR(('Final Calculation Sheet'!$C$16)&amp;"","")=""))))</f>
        <v/>
      </c>
      <c r="BU17">
        <f>IF($I$4="",1,--(OR(SUMPRODUCT(--(TRIM(MID(SUBSTITUTE(SUBSTITUTE($I$4,"/",","),",",REPT(" ",99)),(ROW($1:$8)-1)*99+1,99))&lt;&gt;""),--ISNUMBER(SEARCH(TRIM(MID(SUBSTITUTE(SUBSTITUTE($I$4,"/",","),",",REPT(" ",99)),(ROW($1:$8)-1)*99+1,99)),IFERROR(('Final Calculation Sheet'!$H$16)&amp;"",""))))&gt;0,AND(ISNUMBER(SEARCH("blank",$I$4)),NOT(ISNUMBER(SEARCH("nonblank",$I$4))),IFERROR(('Final Calculation Sheet'!$H$16)&amp;"","")=""),AND(OR(ISNUMBER(SEARCH("nonblank",$I$4)),ISNUMBER(SEARCH("&lt;&gt;",$I$4))),IFERROR(('Final Calculation Sheet'!$H$16)&amp;"","")&lt;&gt;""),AND(TRIM($I$4)="",IFERROR(('Final Calculation Sheet'!$H$16)&amp;"","")=""))))</f>
        <v/>
      </c>
      <c r="BV17">
        <f>IF($J$4="",1,--(OR(SUMPRODUCT(--(TRIM(MID(SUBSTITUTE(SUBSTITUTE($J$4,"/",","),",",REPT(" ",99)),(ROW($1:$8)-1)*99+1,99))&lt;&gt;""),--ISNUMBER(SEARCH(TRIM(MID(SUBSTITUTE(SUBSTITUTE($J$4,"/",","),",",REPT(" ",99)),(ROW($1:$8)-1)*99+1,99)),IFERROR(('Final Calculation Sheet'!$I$16)&amp;"",""))))&gt;0,AND(ISNUMBER(SEARCH("blank",$J$4)),NOT(ISNUMBER(SEARCH("nonblank",$J$4))),IFERROR(('Final Calculation Sheet'!$I$16)&amp;"","")=""),AND(OR(ISNUMBER(SEARCH("nonblank",$J$4)),ISNUMBER(SEARCH("&lt;&gt;",$J$4))),IFERROR(('Final Calculation Sheet'!$I$16)&amp;"","")&lt;&gt;""),AND(TRIM($J$4)="",IFERROR(('Final Calculation Sheet'!$I$16)&amp;"","")=""))))</f>
        <v/>
      </c>
      <c r="BW17">
        <f>IF($K$4="",1,--(OR(SUMPRODUCT(--(TRIM(MID(SUBSTITUTE(SUBSTITUTE($K$4,"/",","),",",REPT(" ",99)),(ROW($1:$8)-1)*99+1,99))&lt;&gt;""),--ISNUMBER(SEARCH(TRIM(MID(SUBSTITUTE(SUBSTITUTE($K$4,"/",","),",",REPT(" ",99)),(ROW($1:$8)-1)*99+1,99)),IFERROR(('Final Calculation Sheet'!$J$16)&amp;"",""))))&gt;0,AND(ISNUMBER(SEARCH("blank",$K$4)),NOT(ISNUMBER(SEARCH("nonblank",$K$4))),IFERROR(('Final Calculation Sheet'!$J$16)&amp;"","")=""),AND(OR(ISNUMBER(SEARCH("nonblank",$K$4)),ISNUMBER(SEARCH("&lt;&gt;",$K$4))),IFERROR(('Final Calculation Sheet'!$J$16)&amp;"","")&lt;&gt;""),AND(TRIM($K$4)="",IFERROR(('Final Calculation Sheet'!$J$16)&amp;"","")=""))))</f>
        <v/>
      </c>
      <c r="BX17">
        <f>IF($L$4="",1,--(OR(SUMPRODUCT(--(TRIM(MID(SUBSTITUTE(SUBSTITUTE($L$4,"/",","),",",REPT(" ",99)),(ROW($1:$8)-1)*99+1,99))&lt;&gt;""),--ISNUMBER(SEARCH(TRIM(MID(SUBSTITUTE(SUBSTITUTE($L$4,"/",","),",",REPT(" ",99)),(ROW($1:$8)-1)*99+1,99)),IFERROR(('Final Calculation Sheet'!$K$16)&amp;"",""))))&gt;0,AND(ISNUMBER(SEARCH("blank",$L$4)),NOT(ISNUMBER(SEARCH("nonblank",$L$4))),IFERROR(('Final Calculation Sheet'!$K$16)&amp;"","")=""),AND(OR(ISNUMBER(SEARCH("nonblank",$L$4)),ISNUMBER(SEARCH("&lt;&gt;",$L$4))),IFERROR(('Final Calculation Sheet'!$K$16)&amp;"","")&lt;&gt;""),AND(TRIM($L$4)="",IFERROR(('Final Calculation Sheet'!$K$16)&amp;"","")=""))))</f>
        <v/>
      </c>
      <c r="BY17">
        <f>IF($M$4="",1,--(OR(SUMPRODUCT(--(TRIM(MID(SUBSTITUTE(SUBSTITUTE($M$4,"/",","),",",REPT(" ",99)),(ROW($1:$8)-1)*99+1,99))&lt;&gt;""),--ISNUMBER(SEARCH(TRIM(MID(SUBSTITUTE(SUBSTITUTE($M$4,"/",","),",",REPT(" ",99)),(ROW($1:$8)-1)*99+1,99)),IFERROR(('Final Calculation Sheet'!$L$16)&amp;"",""))))&gt;0,AND(ISNUMBER(SEARCH("blank",$M$4)),NOT(ISNUMBER(SEARCH("nonblank",$M$4))),IFERROR(('Final Calculation Sheet'!$L$16)&amp;"","")=""),AND(OR(ISNUMBER(SEARCH("nonblank",$M$4)),ISNUMBER(SEARCH("&lt;&gt;",$M$4))),IFERROR(('Final Calculation Sheet'!$L$16)&amp;"","")&lt;&gt;""),AND(TRIM($M$4)="",IFERROR(('Final Calculation Sheet'!$L$16)&amp;"","")=""))))</f>
        <v/>
      </c>
      <c r="BZ17">
        <f>IF($N$4="",1,--(OR(SUMPRODUCT(--(TRIM(MID(SUBSTITUTE(SUBSTITUTE($N$4,"/",","),",",REPT(" ",99)),(ROW($1:$8)-1)*99+1,99))&lt;&gt;""),--ISNUMBER(SEARCH(TRIM(MID(SUBSTITUTE(SUBSTITUTE($N$4,"/",","),",",REPT(" ",99)),(ROW($1:$8)-1)*99+1,99)),IFERROR(('Final Calculation Sheet'!$M$16)&amp;"",""))))&gt;0,AND(ISNUMBER(SEARCH("blank",$N$4)),NOT(ISNUMBER(SEARCH("nonblank",$N$4))),IFERROR(('Final Calculation Sheet'!$M$16)&amp;"","")=""),AND(OR(ISNUMBER(SEARCH("nonblank",$N$4)),ISNUMBER(SEARCH("&lt;&gt;",$N$4))),IFERROR(('Final Calculation Sheet'!$M$16)&amp;"","")&lt;&gt;""),AND(TRIM($N$4)="",IFERROR(('Final Calculation Sheet'!$M$16)&amp;"","")=""))))</f>
        <v/>
      </c>
      <c r="CA17">
        <f>IF($O$4="",1,--(OR(SUMPRODUCT(--(TRIM(MID(SUBSTITUTE(SUBSTITUTE($O$4,"/",","),",",REPT(" ",99)),(ROW($1:$8)-1)*99+1,99))&lt;&gt;""),--ISNUMBER(SEARCH(TRIM(MID(SUBSTITUTE(SUBSTITUTE($O$4,"/",","),",",REPT(" ",99)),(ROW($1:$8)-1)*99+1,99)),IFERROR(('Final Calculation Sheet'!$N$16)&amp;"",""))))&gt;0,AND(ISNUMBER(SEARCH("blank",$O$4)),NOT(ISNUMBER(SEARCH("nonblank",$O$4))),IFERROR(('Final Calculation Sheet'!$N$16)&amp;"","")=""),AND(OR(ISNUMBER(SEARCH("nonblank",$O$4)),ISNUMBER(SEARCH("&lt;&gt;",$O$4))),IFERROR(('Final Calculation Sheet'!$N$16)&amp;"","")&lt;&gt;""),AND(TRIM($O$4)="",IFERROR(('Final Calculation Sheet'!$N$16)&amp;"","")=""))))</f>
        <v/>
      </c>
      <c r="CB17">
        <f>IF($P$4="",1,--(OR(SUMPRODUCT(--(TRIM(MID(SUBSTITUTE(SUBSTITUTE($P$4,"/",","),",",REPT(" ",99)),(ROW($1:$8)-1)*99+1,99))&lt;&gt;""),--ISNUMBER(SEARCH(TRIM(MID(SUBSTITUTE(SUBSTITUTE($P$4,"/",","),",",REPT(" ",99)),(ROW($1:$8)-1)*99+1,99)),IFERROR(('Final Calculation Sheet'!$O$16)&amp;"",""))))&gt;0,AND(ISNUMBER(SEARCH("blank",$P$4)),NOT(ISNUMBER(SEARCH("nonblank",$P$4))),IFERROR(('Final Calculation Sheet'!$O$16)&amp;"","")=""),AND(OR(ISNUMBER(SEARCH("nonblank",$P$4)),ISNUMBER(SEARCH("&lt;&gt;",$P$4))),IFERROR(('Final Calculation Sheet'!$O$16)&amp;"","")&lt;&gt;""),AND(TRIM($P$4)="",IFERROR(('Final Calculation Sheet'!$O$16)&amp;"","")=""))))</f>
        <v/>
      </c>
      <c r="CC17">
        <f>IF($Q$4="",1,--(OR(SUMPRODUCT(--(TRIM(MID(SUBSTITUTE(SUBSTITUTE($Q$4,"/",","),",",REPT(" ",99)),(ROW($1:$8)-1)*99+1,99))&lt;&gt;""),--ISNUMBER(SEARCH(TRIM(MID(SUBSTITUTE(SUBSTITUTE($Q$4,"/",","),",",REPT(" ",99)),(ROW($1:$8)-1)*99+1,99)),IFERROR(('Final Calculation Sheet'!$P$16)&amp;"",""))))&gt;0,AND(ISNUMBER(SEARCH("blank",$Q$4)),NOT(ISNUMBER(SEARCH("nonblank",$Q$4))),IFERROR(('Final Calculation Sheet'!$P$16)&amp;"","")=""),AND(OR(ISNUMBER(SEARCH("nonblank",$Q$4)),ISNUMBER(SEARCH("&lt;&gt;",$Q$4))),IFERROR(('Final Calculation Sheet'!$P$16)&amp;"","")&lt;&gt;""),AND(TRIM($Q$4)="",IFERROR(('Final Calculation Sheet'!$P$16)&amp;"","")=""))))</f>
        <v/>
      </c>
      <c r="CD17">
        <f>IF($R$4="",1,--(OR(SUMPRODUCT(--(TRIM(MID(SUBSTITUTE(SUBSTITUTE($R$4,"/",","),",",REPT(" ",99)),(ROW($1:$8)-1)*99+1,99))&lt;&gt;""),--ISNUMBER(SEARCH(TRIM(MID(SUBSTITUTE(SUBSTITUTE($R$4,"/",","),",",REPT(" ",99)),(ROW($1:$8)-1)*99+1,99)),IFERROR(('Final Calculation Sheet'!$Q$16)&amp;"",""))))&gt;0,AND(ISNUMBER(SEARCH("blank",$R$4)),NOT(ISNUMBER(SEARCH("nonblank",$R$4))),IFERROR(('Final Calculation Sheet'!$Q$16)&amp;"","")=""),AND(OR(ISNUMBER(SEARCH("nonblank",$R$4)),ISNUMBER(SEARCH("&lt;&gt;",$R$4))),IFERROR(('Final Calculation Sheet'!$Q$16)&amp;"","")&lt;&gt;""),AND(TRIM($R$4)="",IFERROR(('Final Calculation Sheet'!$Q$16)&amp;"","")=""))))</f>
        <v/>
      </c>
      <c r="CE17">
        <f>IF($S$4="",1,--(OR(SUMPRODUCT(--(TRIM(MID(SUBSTITUTE(SUBSTITUTE($S$4,"/",","),",",REPT(" ",99)),(ROW($1:$8)-1)*99+1,99))&lt;&gt;""),--ISNUMBER(SEARCH(TRIM(MID(SUBSTITUTE(SUBSTITUTE($S$4,"/",","),",",REPT(" ",99)),(ROW($1:$8)-1)*99+1,99)),IFERROR(('Final Calculation Sheet'!$R$16)&amp;"",""))))&gt;0,AND(ISNUMBER(SEARCH("blank",$S$4)),NOT(ISNUMBER(SEARCH("nonblank",$S$4))),IFERROR(('Final Calculation Sheet'!$R$16)&amp;"","")=""),AND(OR(ISNUMBER(SEARCH("nonblank",$S$4)),ISNUMBER(SEARCH("&lt;&gt;",$S$4))),IFERROR(('Final Calculation Sheet'!$R$16)&amp;"","")&lt;&gt;""),AND(TRIM($S$4)="",IFERROR(('Final Calculation Sheet'!$R$16)&amp;"","")=""))))</f>
        <v/>
      </c>
      <c r="CF17">
        <f>IF($T$4="",1,--(OR(SUMPRODUCT(--(TRIM(MID(SUBSTITUTE(SUBSTITUTE($T$4,"/",","),",",REPT(" ",99)),(ROW($1:$8)-1)*99+1,99))&lt;&gt;""),--ISNUMBER(SEARCH(TRIM(MID(SUBSTITUTE(SUBSTITUTE($T$4,"/",","),",",REPT(" ",99)),(ROW($1:$8)-1)*99+1,99)),IFERROR(('Final Calculation Sheet'!$S$16)&amp;"",""))))&gt;0,AND(ISNUMBER(SEARCH("blank",$T$4)),NOT(ISNUMBER(SEARCH("nonblank",$T$4))),IFERROR(('Final Calculation Sheet'!$S$16)&amp;"","")=""),AND(OR(ISNUMBER(SEARCH("nonblank",$T$4)),ISNUMBER(SEARCH("&lt;&gt;",$T$4))),IFERROR(('Final Calculation Sheet'!$S$16)&amp;"","")&lt;&gt;""),AND(TRIM($T$4)="",IFERROR(('Final Calculation Sheet'!$S$16)&amp;"","")=""))))</f>
        <v/>
      </c>
      <c r="CG17">
        <f>IF($U$4="",1,--(OR(SUMPRODUCT(--(TRIM(MID(SUBSTITUTE(SUBSTITUTE($U$4,"/",","),",",REPT(" ",99)),(ROW($1:$8)-1)*99+1,99))&lt;&gt;""),--ISNUMBER(SEARCH(TRIM(MID(SUBSTITUTE(SUBSTITUTE($U$4,"/",","),",",REPT(" ",99)),(ROW($1:$8)-1)*99+1,99)),IFERROR(('Final Calculation Sheet'!$T$16)&amp;"",""))))&gt;0,AND(ISNUMBER(SEARCH("blank",$U$4)),NOT(ISNUMBER(SEARCH("nonblank",$U$4))),IFERROR(('Final Calculation Sheet'!$T$16)&amp;"","")=""),AND(OR(ISNUMBER(SEARCH("nonblank",$U$4)),ISNUMBER(SEARCH("&lt;&gt;",$U$4))),IFERROR(('Final Calculation Sheet'!$T$16)&amp;"","")&lt;&gt;""),AND(TRIM($U$4)="",IFERROR(('Final Calculation Sheet'!$T$16)&amp;"","")=""))))</f>
        <v/>
      </c>
      <c r="CH17">
        <f>IF($V$4="",1,--(OR(SUMPRODUCT(--(TRIM(MID(SUBSTITUTE(SUBSTITUTE($V$4,"/",","),",",REPT(" ",99)),(ROW($1:$8)-1)*99+1,99))&lt;&gt;""),--ISNUMBER(SEARCH(TRIM(MID(SUBSTITUTE(SUBSTITUTE($V$4,"/",","),",",REPT(" ",99)),(ROW($1:$8)-1)*99+1,99)),IFERROR(('Final Calculation Sheet'!$U$16)&amp;"",""))))&gt;0,AND(ISNUMBER(SEARCH("blank",$V$4)),NOT(ISNUMBER(SEARCH("nonblank",$V$4))),IFERROR(('Final Calculation Sheet'!$U$16)&amp;"","")=""),AND(OR(ISNUMBER(SEARCH("nonblank",$V$4)),ISNUMBER(SEARCH("&lt;&gt;",$V$4))),IFERROR(('Final Calculation Sheet'!$U$16)&amp;"","")&lt;&gt;""),AND(TRIM($V$4)="",IFERROR(('Final Calculation Sheet'!$U$16)&amp;"","")=""))))</f>
        <v/>
      </c>
      <c r="CI17">
        <f>IF($W$4="",1,--(OR(SUMPRODUCT(--(TRIM(MID(SUBSTITUTE(SUBSTITUTE($W$4,"/",","),",",REPT(" ",99)),(ROW($1:$8)-1)*99+1,99))&lt;&gt;""),--ISNUMBER(SEARCH(TRIM(MID(SUBSTITUTE(SUBSTITUTE($W$4,"/",","),",",REPT(" ",99)),(ROW($1:$8)-1)*99+1,99)),IFERROR(('Final Calculation Sheet'!$V$16)&amp;"",""))))&gt;0,AND(ISNUMBER(SEARCH("blank",$W$4)),NOT(ISNUMBER(SEARCH("nonblank",$W$4))),IFERROR(('Final Calculation Sheet'!$V$16)&amp;"","")=""),AND(OR(ISNUMBER(SEARCH("nonblank",$W$4)),ISNUMBER(SEARCH("&lt;&gt;",$W$4))),IFERROR(('Final Calculation Sheet'!$V$16)&amp;"","")&lt;&gt;""),AND(TRIM($W$4)="",IFERROR(('Final Calculation Sheet'!$V$16)&amp;"","")=""))))</f>
        <v/>
      </c>
      <c r="CJ17">
        <f>IF($X$4="",1,--(OR(SUMPRODUCT(--(TRIM(MID(SUBSTITUTE(SUBSTITUTE($X$4,"/",","),",",REPT(" ",99)),(ROW($1:$8)-1)*99+1,99))&lt;&gt;""),--ISNUMBER(SEARCH(TRIM(MID(SUBSTITUTE(SUBSTITUTE($X$4,"/",","),",",REPT(" ",99)),(ROW($1:$8)-1)*99+1,99)),IFERROR(('Final Calculation Sheet'!$W$16)&amp;"",""))))&gt;0,AND(ISNUMBER(SEARCH("blank",$X$4)),NOT(ISNUMBER(SEARCH("nonblank",$X$4))),IFERROR(('Final Calculation Sheet'!$W$16)&amp;"","")=""),AND(OR(ISNUMBER(SEARCH("nonblank",$X$4)),ISNUMBER(SEARCH("&lt;&gt;",$X$4))),IFERROR(('Final Calculation Sheet'!$W$16)&amp;"","")&lt;&gt;""),AND(TRIM($X$4)="",IFERROR(('Final Calculation Sheet'!$W$16)&amp;"","")=""))))</f>
        <v/>
      </c>
      <c r="CK17">
        <f>IF($Y$4="",1,--(OR(SUMPRODUCT(--(TRIM(MID(SUBSTITUTE(SUBSTITUTE($Y$4,"/",","),",",REPT(" ",99)),(ROW($1:$8)-1)*99+1,99))&lt;&gt;""),--ISNUMBER(SEARCH(TRIM(MID(SUBSTITUTE(SUBSTITUTE($Y$4,"/",","),",",REPT(" ",99)),(ROW($1:$8)-1)*99+1,99)),IFERROR(('Final Calculation Sheet'!$X$16)&amp;"",""))))&gt;0,AND(ISNUMBER(SEARCH("blank",$Y$4)),NOT(ISNUMBER(SEARCH("nonblank",$Y$4))),IFERROR(('Final Calculation Sheet'!$X$16)&amp;"","")=""),AND(OR(ISNUMBER(SEARCH("nonblank",$Y$4)),ISNUMBER(SEARCH("&lt;&gt;",$Y$4))),IFERROR(('Final Calculation Sheet'!$X$16)&amp;"","")&lt;&gt;""),AND(TRIM($Y$4)="",IFERROR(('Final Calculation Sheet'!$X$16)&amp;"","")=""))))</f>
        <v/>
      </c>
      <c r="CL17">
        <f>IF($Z$4="",1,--(OR(SUMPRODUCT(--(TRIM(MID(SUBSTITUTE(SUBSTITUTE($Z$4,"/",","),",",REPT(" ",99)),(ROW($1:$8)-1)*99+1,99))&lt;&gt;""),--ISNUMBER(SEARCH(TRIM(MID(SUBSTITUTE(SUBSTITUTE($Z$4,"/",","),",",REPT(" ",99)),(ROW($1:$8)-1)*99+1,99)),IFERROR(('Final Calculation Sheet'!$Y$16)&amp;"",""))))&gt;0,AND(ISNUMBER(SEARCH("blank",$Z$4)),NOT(ISNUMBER(SEARCH("nonblank",$Z$4))),IFERROR(('Final Calculation Sheet'!$Y$16)&amp;"","")=""),AND(OR(ISNUMBER(SEARCH("nonblank",$Z$4)),ISNUMBER(SEARCH("&lt;&gt;",$Z$4))),IFERROR(('Final Calculation Sheet'!$Y$16)&amp;"","")&lt;&gt;""),AND(TRIM($Z$4)="",IFERROR(('Final Calculation Sheet'!$Y$16)&amp;"","")=""))))</f>
        <v/>
      </c>
      <c r="CM17">
        <f>IF($AA$4="",1,--(OR(SUMPRODUCT(--(TRIM(MID(SUBSTITUTE(SUBSTITUTE($AA$4,"/",","),",",REPT(" ",99)),(ROW($1:$8)-1)*99+1,99))&lt;&gt;""),--ISNUMBER(SEARCH(TRIM(MID(SUBSTITUTE(SUBSTITUTE($AA$4,"/",","),",",REPT(" ",99)),(ROW($1:$8)-1)*99+1,99)),IFERROR(('Final Calculation Sheet'!$Z$16)&amp;"",""))))&gt;0,AND(ISNUMBER(SEARCH("blank",$AA$4)),NOT(ISNUMBER(SEARCH("nonblank",$AA$4))),IFERROR(('Final Calculation Sheet'!$Z$16)&amp;"","")=""),AND(OR(ISNUMBER(SEARCH("nonblank",$AA$4)),ISNUMBER(SEARCH("&lt;&gt;",$AA$4))),IFERROR(('Final Calculation Sheet'!$Z$16)&amp;"","")&lt;&gt;""),AND(TRIM($AA$4)="",IFERROR(('Final Calculation Sheet'!$Z$16)&amp;"","")=""))))</f>
        <v/>
      </c>
      <c r="CN17">
        <f>IF($AB$4="",1,--(OR(SUMPRODUCT(--(TRIM(MID(SUBSTITUTE(SUBSTITUTE($AB$4,"/",","),",",REPT(" ",99)),(ROW($1:$8)-1)*99+1,99))&lt;&gt;""),--ISNUMBER(SEARCH(TRIM(MID(SUBSTITUTE(SUBSTITUTE($AB$4,"/",","),",",REPT(" ",99)),(ROW($1:$8)-1)*99+1,99)),IFERROR(('Final Calculation Sheet'!$AA$16)&amp;"",""))))&gt;0,AND(ISNUMBER(SEARCH("blank",$AB$4)),NOT(ISNUMBER(SEARCH("nonblank",$AB$4))),IFERROR(('Final Calculation Sheet'!$AA$16)&amp;"","")=""),AND(OR(ISNUMBER(SEARCH("nonblank",$AB$4)),ISNUMBER(SEARCH("&lt;&gt;",$AB$4))),IFERROR(('Final Calculation Sheet'!$AA$16)&amp;"","")&lt;&gt;""),AND(TRIM($AB$4)="",IFERROR(('Final Calculation Sheet'!$AA$16)&amp;"","")=""))))</f>
        <v/>
      </c>
      <c r="CO17">
        <f>IF($AC$4="",1,--(OR(SUMPRODUCT(--(TRIM(MID(SUBSTITUTE(SUBSTITUTE($AC$4,"/",","),",",REPT(" ",99)),(ROW($1:$8)-1)*99+1,99))&lt;&gt;""),--ISNUMBER(SEARCH(TRIM(MID(SUBSTITUTE(SUBSTITUTE($AC$4,"/",","),",",REPT(" ",99)),(ROW($1:$8)-1)*99+1,99)),IFERROR(('Final Calculation Sheet'!$AB$16)&amp;"",""))))&gt;0,AND(ISNUMBER(SEARCH("blank",$AC$4)),NOT(ISNUMBER(SEARCH("nonblank",$AC$4))),IFERROR(('Final Calculation Sheet'!$AB$16)&amp;"","")=""),AND(OR(ISNUMBER(SEARCH("nonblank",$AC$4)),ISNUMBER(SEARCH("&lt;&gt;",$AC$4))),IFERROR(('Final Calculation Sheet'!$AB$16)&amp;"","")&lt;&gt;""),AND(TRIM($AC$4)="",IFERROR(('Final Calculation Sheet'!$AB$16)&amp;"","")=""))))</f>
        <v/>
      </c>
      <c r="CP17">
        <f>IF($AD$4="",1,--(OR(SUMPRODUCT(--(TRIM(MID(SUBSTITUTE(SUBSTITUTE($AD$4,"/",","),",",REPT(" ",99)),(ROW($1:$8)-1)*99+1,99))&lt;&gt;""),--ISNUMBER(SEARCH(TRIM(MID(SUBSTITUTE(SUBSTITUTE($AD$4,"/",","),",",REPT(" ",99)),(ROW($1:$8)-1)*99+1,99)),IFERROR(('Final Calculation Sheet'!$AC$16)&amp;"",""))))&gt;0,AND(ISNUMBER(SEARCH("blank",$AD$4)),NOT(ISNUMBER(SEARCH("nonblank",$AD$4))),IFERROR(('Final Calculation Sheet'!$AC$16)&amp;"","")=""),AND(OR(ISNUMBER(SEARCH("nonblank",$AD$4)),ISNUMBER(SEARCH("&lt;&gt;",$AD$4))),IFERROR(('Final Calculation Sheet'!$AC$16)&amp;"","")&lt;&gt;""),AND(TRIM($AD$4)="",IFERROR(('Final Calculation Sheet'!$AC$16)&amp;"","")=""))))</f>
        <v/>
      </c>
      <c r="CQ17">
        <f>IF($AE$4="",1,--(OR(SUMPRODUCT(--(TRIM(MID(SUBSTITUTE(SUBSTITUTE($AE$4,"/",","),",",REPT(" ",99)),(ROW($1:$8)-1)*99+1,99))&lt;&gt;""),--ISNUMBER(SEARCH(TRIM(MID(SUBSTITUTE(SUBSTITUTE($AE$4,"/",","),",",REPT(" ",99)),(ROW($1:$8)-1)*99+1,99)),IFERROR(('Final Calculation Sheet'!$AD$16)&amp;"",""))))&gt;0,AND(ISNUMBER(SEARCH("blank",$AE$4)),NOT(ISNUMBER(SEARCH("nonblank",$AE$4))),IFERROR(('Final Calculation Sheet'!$AD$16)&amp;"","")=""),AND(OR(ISNUMBER(SEARCH("nonblank",$AE$4)),ISNUMBER(SEARCH("&lt;&gt;",$AE$4))),IFERROR(('Final Calculation Sheet'!$AD$16)&amp;"","")&lt;&gt;""),AND(TRIM($AE$4)="",IFERROR(('Final Calculation Sheet'!$AD$16)&amp;"","")=""))))</f>
        <v/>
      </c>
      <c r="CR17">
        <f>IF($AG$4="",1,--(OR(SUMPRODUCT(--(TRIM(MID(SUBSTITUTE(SUBSTITUTE($AG$4,"/",","),",",REPT(" ",99)),(ROW($1:$8)-1)*99+1,99))&lt;&gt;""),--ISNUMBER(SEARCH(TRIM(MID(SUBSTITUTE(SUBSTITUTE($AG$4,"/",","),",",REPT(" ",99)),(ROW($1:$8)-1)*99+1,99)),IFERROR(('Final Calculation Sheet'!$AF$16)&amp;"",""))))&gt;0,AND(ISNUMBER(SEARCH("blank",$AG$4)),NOT(ISNUMBER(SEARCH("nonblank",$AG$4))),IFERROR(('Final Calculation Sheet'!$AF$16)&amp;"","")=""),AND(OR(ISNUMBER(SEARCH("nonblank",$AG$4)),ISNUMBER(SEARCH("&lt;&gt;",$AG$4))),IFERROR(('Final Calculation Sheet'!$AF$16)&amp;"","")&lt;&gt;""),AND(TRIM($AG$4)="",IFERROR(('Final Calculation Sheet'!$AF$16)&amp;"","")=""))))</f>
        <v/>
      </c>
      <c r="CS17">
        <f>IF($AH$4="",1,--(OR(SUMPRODUCT(--(TRIM(MID(SUBSTITUTE(SUBSTITUTE($AH$4,"/",","),",",REPT(" ",99)),(ROW($1:$8)-1)*99+1,99))&lt;&gt;""),--ISNUMBER(SEARCH(TRIM(MID(SUBSTITUTE(SUBSTITUTE($AH$4,"/",","),",",REPT(" ",99)),(ROW($1:$8)-1)*99+1,99)),IFERROR(('Final Calculation Sheet'!$AG$16)&amp;"",""))))&gt;0,AND(ISNUMBER(SEARCH("blank",$AH$4)),NOT(ISNUMBER(SEARCH("nonblank",$AH$4))),IFERROR(('Final Calculation Sheet'!$AG$16)&amp;"","")=""),AND(OR(ISNUMBER(SEARCH("nonblank",$AH$4)),ISNUMBER(SEARCH("&lt;&gt;",$AH$4))),IFERROR(('Final Calculation Sheet'!$AG$16)&amp;"","")&lt;&gt;""),AND(TRIM($AH$4)="",IFERROR(('Final Calculation Sheet'!$AG$16)&amp;"","")=""))))</f>
        <v/>
      </c>
      <c r="CT17">
        <f>IF($AI$4="",1,--(OR(SUMPRODUCT(--(TRIM(MID(SUBSTITUTE(SUBSTITUTE($AI$4,"/",","),",",REPT(" ",99)),(ROW($1:$8)-1)*99+1,99))&lt;&gt;""),--ISNUMBER(SEARCH(TRIM(MID(SUBSTITUTE(SUBSTITUTE($AI$4,"/",","),",",REPT(" ",99)),(ROW($1:$8)-1)*99+1,99)),IFERROR(('Final Calculation Sheet'!$AH$16)&amp;"",""))))&gt;0,AND(ISNUMBER(SEARCH("blank",$AI$4)),NOT(ISNUMBER(SEARCH("nonblank",$AI$4))),IFERROR(('Final Calculation Sheet'!$AH$16)&amp;"","")=""),AND(OR(ISNUMBER(SEARCH("nonblank",$AI$4)),ISNUMBER(SEARCH("&lt;&gt;",$AI$4))),IFERROR(('Final Calculation Sheet'!$AH$16)&amp;"","")&lt;&gt;""),AND(TRIM($AI$4)="",IFERROR(('Final Calculation Sheet'!$AH$16)&amp;"","")=""))))</f>
        <v/>
      </c>
      <c r="CU17">
        <f>IF($AF$4="",1,--(OR(SUMPRODUCT(--(TRIM(MID(SUBSTITUTE(SUBSTITUTE($AF$4,"/",","),",",REPT(" ",99)),(ROW($1:$8)-1)*99+1,99))&lt;&gt;""),--ISNUMBER(SEARCH(TRIM(MID(SUBSTITUTE(SUBSTITUTE($AF$4,"/",","),",",REPT(" ",99)),(ROW($1:$8)-1)*99+1,99)),IFERROR((IF('Final Calculation Sheet'!$AD$16&lt;=5,"SETTLED","OUTSTANDING"))&amp;"",""))))&gt;0,AND(ISNUMBER(SEARCH("blank",$AF$4)),NOT(ISNUMBER(SEARCH("nonblank",$AF$4))),IFERROR((IF('Final Calculation Sheet'!$AD$16&lt;=5,"SETTLED","OUTSTANDING"))&amp;"","")=""),AND(OR(ISNUMBER(SEARCH("nonblank",$AF$4)),ISNUMBER(SEARCH("&lt;&gt;",$AF$4))),IFERROR((IF('Final Calculation Sheet'!$AD$16&lt;=5,"SETTLED","OUTSTANDING"))&amp;"","")&lt;&gt;""),AND(TRIM($AF$4)="",IFERROR((IF('Final Calculation Sheet'!$AD$16&lt;=5,"SETTLED","OUTSTANDING"))&amp;"","")=""))))</f>
        <v/>
      </c>
    </row>
    <row r="18" ht="15" customHeight="1" s="137">
      <c r="A18" s="67">
        <f>IF($BJ17&gt;0,INDEX($BA$5:$BA$41,MATCH(17,$BB$5:$BB$41,0)),IF(OR($BI17=1,$BL17=1,$BH17&gt;0),"∑",""))</f>
        <v/>
      </c>
      <c r="B18" s="76">
        <f>IF($BJ17&gt;0,IF(INDEX('Final Calculation Sheet'!$F$4:$F$40,$BJ17-3)="","",INDEX('Final Calculation Sheet'!$F$4:$F$40,$BJ17-3)),"")</f>
        <v/>
      </c>
      <c r="C18" s="76">
        <f>IF($BJ17&gt;0,IF(INDEX('Final Calculation Sheet'!$G$4:$G$40,$BJ17-3)="","",INDEX('Final Calculation Sheet'!$G$4:$G$40,$BJ17-3)),IF(OR($BI17=1,$BL17=1,$BH17&gt;0),IF($BI17=1,37,IF($BL17=1,37-INDEX($BD$4:$BD$13,10),INDEX($BD$4:$BD$13,$BH17)))&amp;" lot(s)",""))</f>
        <v/>
      </c>
      <c r="D18" s="80">
        <f>IF($BJ17&gt;0,IF(INDEX('Final Calculation Sheet'!$B$4:$B$40,$BJ17-3)="","",INDEX('Final Calculation Sheet'!$B$4:$B$40,$BJ17-3)),IF(OR($BI17=1,$BL17=1,$BH17&gt;0),IF($BI17=1,"GRAND TOTAL  —  matching + remaining",IF($BL17=1,"TOTAL MATCHED  —  every group together",IF($BH17=10,"REMAINING  —  did not match the search",IF($BH17=9,IF(COUNTIF($A$4:$AI$4,"&lt;&gt;")&gt;0,"FILTERED LOTS  —  column fields","ALL LOTS  —  nothing typed in the box"),"GROUP "&amp;$BH17&amp;" TOTAL  —  lots matching  "&amp;INDEX($AR$6:$AY$6,$BH17))))),""))</f>
        <v/>
      </c>
      <c r="E18" s="80">
        <f>IF($BJ17&gt;0,IF(INDEX('Final Calculation Sheet'!$D$4:$D$40,$BJ17-3)="","",INDEX('Final Calculation Sheet'!$D$4:$D$40,$BJ17-3)),IF(OR($BI17=1,$BL17=1,$BH17&gt;0),"–",""))</f>
        <v/>
      </c>
      <c r="F18" s="80">
        <f>IF($BJ17&gt;0,IF(INDEX('Final Calculation Sheet'!$A$4:$A$40,$BJ17-3)="","",INDEX('Final Calculation Sheet'!$A$4:$A$40,$BJ17-3)),IF(OR($BI17=1,$BL17=1,$BH17&gt;0),IF($BI17=1,SUM('Final Calculation Sheet'!$A$4:$A$40),IF($BL17=1,SUM('Final Calculation Sheet'!$A$4:$A$40)-SUMIFS('Final Calculation Sheet'!$A$4:$A$40,$AZ$5:$AZ$41,10),SUMIFS('Final Calculation Sheet'!$A$4:$A$40,$AZ$5:$AZ$41,$BH17))),""))</f>
        <v/>
      </c>
      <c r="G18" s="80">
        <f>IF($BJ17&gt;0,IF(INDEX('Final Calculation Sheet'!$E$4:$E$40,$BJ17-3)="","",INDEX('Final Calculation Sheet'!$E$4:$E$40,$BJ17-3)),IF(OR($BI17=1,$BL17=1,$BH17&gt;0),"–",""))</f>
        <v/>
      </c>
      <c r="H18" s="70">
        <f>IF($BJ17&gt;0,IF(INDEX('Final Calculation Sheet'!$C$4:$C$40,$BJ17-3)="","",INDEX('Final Calculation Sheet'!$C$4:$C$40,$BJ17-3)),IF(OR($BI17=1,$BL17=1,$BH17&gt;0),"–",""))</f>
        <v/>
      </c>
      <c r="I18" s="70">
        <f>IF($BJ17&gt;0,IF(INDEX('Final Calculation Sheet'!$H$4:$H$40,$BJ17-3)="","",INDEX('Final Calculation Sheet'!$H$4:$H$40,$BJ17-3)),IF(OR($BI17=1,$BL17=1,$BH17&gt;0),IF($BI17=1,SUM('Final Calculation Sheet'!$H$4:$H$40),IF($BL17=1,SUM('Final Calculation Sheet'!$H$4:$H$40)-SUMIFS('Final Calculation Sheet'!$H$4:$H$40,$AZ$5:$AZ$41,10),SUMIFS('Final Calculation Sheet'!$H$4:$H$40,$AZ$5:$AZ$41,$BH17))),""))</f>
        <v/>
      </c>
      <c r="J18" s="70">
        <f>IF($BJ17&gt;0,IF(INDEX('Final Calculation Sheet'!$I$4:$I$40,$BJ17-3)="","",INDEX('Final Calculation Sheet'!$I$4:$I$40,$BJ17-3)),IF(OR($BI17=1,$BL17=1,$BH17&gt;0),IF($BI17=1,SUM('Final Calculation Sheet'!$I$4:$I$40),IF($BL17=1,SUM('Final Calculation Sheet'!$I$4:$I$40)-SUMIFS('Final Calculation Sheet'!$I$4:$I$40,$AZ$5:$AZ$41,10),SUMIFS('Final Calculation Sheet'!$I$4:$I$40,$AZ$5:$AZ$41,$BH17))),""))</f>
        <v/>
      </c>
      <c r="K18" s="70">
        <f>IF($BJ17&gt;0,IF(INDEX('Final Calculation Sheet'!$J$4:$J$40,$BJ17-3)="","",INDEX('Final Calculation Sheet'!$J$4:$J$40,$BJ17-3)),IF(OR($BI17=1,$BL17=1,$BH17&gt;0),IF($BI17=1,SUM('Final Calculation Sheet'!$J$4:$J$40),IF($BL17=1,SUM('Final Calculation Sheet'!$J$4:$J$40)-SUMIFS('Final Calculation Sheet'!$J$4:$J$40,$AZ$5:$AZ$41,10),SUMIFS('Final Calculation Sheet'!$J$4:$J$40,$AZ$5:$AZ$41,$BH17))),""))</f>
        <v/>
      </c>
      <c r="L18" s="70">
        <f>IF($BJ17&gt;0,IF(INDEX('Final Calculation Sheet'!$K$4:$K$40,$BJ17-3)="","",INDEX('Final Calculation Sheet'!$K$4:$K$40,$BJ17-3)),IF(OR($BI17=1,$BL17=1,$BH17&gt;0),IF($BI17=1,SUM('Final Calculation Sheet'!$K$4:$K$40),IF($BL17=1,SUM('Final Calculation Sheet'!$K$4:$K$40)-SUMIFS('Final Calculation Sheet'!$K$4:$K$40,$AZ$5:$AZ$41,10),SUMIFS('Final Calculation Sheet'!$K$4:$K$40,$AZ$5:$AZ$41,$BH17))),""))</f>
        <v/>
      </c>
      <c r="M18" s="70">
        <f>IF($BJ17&gt;0,IF(INDEX('Final Calculation Sheet'!$L$4:$L$40,$BJ17-3)="","",INDEX('Final Calculation Sheet'!$L$4:$L$40,$BJ17-3)),IF(OR($BI17=1,$BL17=1,$BH17&gt;0),IF($BI17=1,SUM('Final Calculation Sheet'!$L$4:$L$40),IF($BL17=1,SUM('Final Calculation Sheet'!$L$4:$L$40)-SUMIFS('Final Calculation Sheet'!$L$4:$L$40,$AZ$5:$AZ$41,10),SUMIFS('Final Calculation Sheet'!$L$4:$L$40,$AZ$5:$AZ$41,$BH17))),""))</f>
        <v/>
      </c>
      <c r="N18" s="70">
        <f>IF($BJ17&gt;0,IF(INDEX('Final Calculation Sheet'!$M$4:$M$40,$BJ17-3)="","",INDEX('Final Calculation Sheet'!$M$4:$M$40,$BJ17-3)),IF(OR($BI17=1,$BL17=1,$BH17&gt;0),IF($BI17=1,SUM('Final Calculation Sheet'!$M$4:$M$40),IF($BL17=1,SUM('Final Calculation Sheet'!$M$4:$M$40)-SUMIFS('Final Calculation Sheet'!$M$4:$M$40,$AZ$5:$AZ$41,10),SUMIFS('Final Calculation Sheet'!$M$4:$M$40,$AZ$5:$AZ$41,$BH17))),""))</f>
        <v/>
      </c>
      <c r="O18" s="71">
        <f>IF($BJ17&gt;0,IF(INDEX('Final Calculation Sheet'!$N$4:$N$40,$BJ17-3)="","",INDEX('Final Calculation Sheet'!$N$4:$N$40,$BJ17-3)),IF(OR($BI17=1,$BL17=1,$BH17&gt;0),IF($BI17=1,SUM('Final Calculation Sheet'!$N$4:$N$40),IF($BL17=1,SUM('Final Calculation Sheet'!$N$4:$N$40)-SUMIFS('Final Calculation Sheet'!$N$4:$N$40,$AZ$5:$AZ$41,10),SUMIFS('Final Calculation Sheet'!$N$4:$N$40,$AZ$5:$AZ$41,$BH17))),""))</f>
        <v/>
      </c>
      <c r="P18" s="70">
        <f>IF($BJ17&gt;0,IF(INDEX('Final Calculation Sheet'!$O$4:$O$40,$BJ17-3)="","",INDEX('Final Calculation Sheet'!$O$4:$O$40,$BJ17-3)),IF(OR($BI17=1,$BL17=1,$BH17&gt;0),IF($BI17=1,SUM('Final Calculation Sheet'!$O$4:$O$40),IF($BL17=1,SUM('Final Calculation Sheet'!$O$4:$O$40)-SUMIFS('Final Calculation Sheet'!$O$4:$O$40,$AZ$5:$AZ$41,10),SUMIFS('Final Calculation Sheet'!$O$4:$O$40,$AZ$5:$AZ$41,$BH17))),""))</f>
        <v/>
      </c>
      <c r="Q18" s="70">
        <f>IF($BJ17&gt;0,IF(INDEX('Final Calculation Sheet'!$P$4:$P$40,$BJ17-3)="","",INDEX('Final Calculation Sheet'!$P$4:$P$40,$BJ17-3)),IF(OR($BI17=1,$BL17=1,$BH17&gt;0),IF($BI17=1,SUM('Final Calculation Sheet'!$P$4:$P$40),IF($BL17=1,SUM('Final Calculation Sheet'!$P$4:$P$40)-SUMIFS('Final Calculation Sheet'!$P$4:$P$40,$AZ$5:$AZ$41,10),SUMIFS('Final Calculation Sheet'!$P$4:$P$40,$AZ$5:$AZ$41,$BH17))),""))</f>
        <v/>
      </c>
      <c r="R18" s="72">
        <f>IF($BJ17&gt;0,IF(INDEX('Final Calculation Sheet'!$Q$4:$Q$40,$BJ17-3)="","",INDEX('Final Calculation Sheet'!$Q$4:$Q$40,$BJ17-3)),IF(OR($BI17=1,$BL17=1,$BH17&gt;0),"–",""))</f>
        <v/>
      </c>
      <c r="S18" s="70">
        <f>IF($BJ17&gt;0,IF(INDEX('Final Calculation Sheet'!$R$4:$R$40,$BJ17-3)="","",INDEX('Final Calculation Sheet'!$R$4:$R$40,$BJ17-3)),IF(OR($BI17=1,$BL17=1,$BH17&gt;0),IF($BI17=1,SUM('Final Calculation Sheet'!$R$4:$R$40),IF($BL17=1,SUM('Final Calculation Sheet'!$R$4:$R$40)-SUMIFS('Final Calculation Sheet'!$R$4:$R$40,$AZ$5:$AZ$41,10),SUMIFS('Final Calculation Sheet'!$R$4:$R$40,$AZ$5:$AZ$41,$BH17))),""))</f>
        <v/>
      </c>
      <c r="T18" s="70">
        <f>IF($BJ17&gt;0,IF(INDEX('Final Calculation Sheet'!$S$4:$S$40,$BJ17-3)="","",INDEX('Final Calculation Sheet'!$S$4:$S$40,$BJ17-3)),IF(OR($BI17=1,$BL17=1,$BH17&gt;0),IF($BI17=1,SUM('Final Calculation Sheet'!$S$4:$S$40),IF($BL17=1,SUM('Final Calculation Sheet'!$S$4:$S$40)-SUMIFS('Final Calculation Sheet'!$S$4:$S$40,$AZ$5:$AZ$41,10),SUMIFS('Final Calculation Sheet'!$S$4:$S$40,$AZ$5:$AZ$41,$BH17))),""))</f>
        <v/>
      </c>
      <c r="U18" s="70">
        <f>IF($BJ17&gt;0,IF(INDEX('Final Calculation Sheet'!$T$4:$T$40,$BJ17-3)="","",INDEX('Final Calculation Sheet'!$T$4:$T$40,$BJ17-3)),IF(OR($BI17=1,$BL17=1,$BH17&gt;0),IF($BI17=1,SUM('Final Calculation Sheet'!$T$4:$T$40),IF($BL17=1,SUM('Final Calculation Sheet'!$T$4:$T$40)-SUMIFS('Final Calculation Sheet'!$T$4:$T$40,$AZ$5:$AZ$41,10),SUMIFS('Final Calculation Sheet'!$T$4:$T$40,$AZ$5:$AZ$41,$BH17))),""))</f>
        <v/>
      </c>
      <c r="V18" s="73">
        <f>IF($BJ17&gt;0,IF(INDEX('Final Calculation Sheet'!$U$4:$U$40,$BJ17-3)="","",INDEX('Final Calculation Sheet'!$U$4:$U$40,$BJ17-3)),IF(OR($BI17=1,$BL17=1,$BH17&gt;0),IF($BI17=1,SUM('Final Calculation Sheet'!$U$4:$U$40),IF($BL17=1,SUM('Final Calculation Sheet'!$U$4:$U$40)-SUMIFS('Final Calculation Sheet'!$U$4:$U$40,$AZ$5:$AZ$41,10),SUMIFS('Final Calculation Sheet'!$U$4:$U$40,$AZ$5:$AZ$41,$BH17))),""))</f>
        <v/>
      </c>
      <c r="W18" s="70">
        <f>IF($BJ17&gt;0,IF(INDEX('Final Calculation Sheet'!$V$4:$V$40,$BJ17-3)="","",INDEX('Final Calculation Sheet'!$V$4:$V$40,$BJ17-3)),IF(OR($BI17=1,$BL17=1,$BH17&gt;0),"–",""))</f>
        <v/>
      </c>
      <c r="X18" s="70">
        <f>IF($BJ17&gt;0,IF(INDEX('Final Calculation Sheet'!$W$4:$W$40,$BJ17-3)="","",INDEX('Final Calculation Sheet'!$W$4:$W$40,$BJ17-3)),IF(OR($BI17=1,$BL17=1,$BH17&gt;0),IF($BI17=1,SUM('Final Calculation Sheet'!$W$4:$W$40),IF($BL17=1,SUM('Final Calculation Sheet'!$W$4:$W$40)-SUMIFS('Final Calculation Sheet'!$W$4:$W$40,$AZ$5:$AZ$41,10),SUMIFS('Final Calculation Sheet'!$W$4:$W$40,$AZ$5:$AZ$41,$BH17))),""))</f>
        <v/>
      </c>
      <c r="Y18" s="70">
        <f>IF($BJ17&gt;0,IF(INDEX('Final Calculation Sheet'!$X$4:$X$40,$BJ17-3)="","",INDEX('Final Calculation Sheet'!$X$4:$X$40,$BJ17-3)),IF(OR($BI17=1,$BL17=1,$BH17&gt;0),IF($BI17=1,SUM('Final Calculation Sheet'!$X$4:$X$40),IF($BL17=1,SUM('Final Calculation Sheet'!$X$4:$X$40)-SUMIFS('Final Calculation Sheet'!$X$4:$X$40,$AZ$5:$AZ$41,10),SUMIFS('Final Calculation Sheet'!$X$4:$X$40,$AZ$5:$AZ$41,$BH17))),""))</f>
        <v/>
      </c>
      <c r="Z18" s="70">
        <f>IF($BJ17&gt;0,IF(INDEX('Final Calculation Sheet'!$Y$4:$Y$40,$BJ17-3)="","",INDEX('Final Calculation Sheet'!$Y$4:$Y$40,$BJ17-3)),IF(OR($BI17=1,$BL17=1,$BH17&gt;0),"–",""))</f>
        <v/>
      </c>
      <c r="AA18" s="70">
        <f>IF($BJ17&gt;0,IF(INDEX('Final Calculation Sheet'!$Z$4:$Z$40,$BJ17-3)="","",INDEX('Final Calculation Sheet'!$Z$4:$Z$40,$BJ17-3)),IF(OR($BI17=1,$BL17=1,$BH17&gt;0),IF($BI17=1,SUM('Final Calculation Sheet'!$Z$4:$Z$40),IF($BL17=1,SUM('Final Calculation Sheet'!$Z$4:$Z$40)-SUMIFS('Final Calculation Sheet'!$Z$4:$Z$40,$AZ$5:$AZ$41,10),SUMIFS('Final Calculation Sheet'!$Z$4:$Z$40,$AZ$5:$AZ$41,$BH17))),""))</f>
        <v/>
      </c>
      <c r="AB18" s="70">
        <f>IF($BJ17&gt;0,IF(INDEX('Final Calculation Sheet'!$AA$4:$AA$40,$BJ17-3)="","",INDEX('Final Calculation Sheet'!$AA$4:$AA$40,$BJ17-3)),IF(OR($BI17=1,$BL17=1,$BH17&gt;0),IF($BI17=1,SUM('Final Calculation Sheet'!$AA$4:$AA$40),IF($BL17=1,SUM('Final Calculation Sheet'!$AA$4:$AA$40)-SUMIFS('Final Calculation Sheet'!$AA$4:$AA$40,$AZ$5:$AZ$41,10),SUMIFS('Final Calculation Sheet'!$AA$4:$AA$40,$AZ$5:$AZ$41,$BH17))),""))</f>
        <v/>
      </c>
      <c r="AC18" s="70">
        <f>IF($BJ17&gt;0,IF(INDEX('Final Calculation Sheet'!$AB$4:$AB$40,$BJ17-3)="","",INDEX('Final Calculation Sheet'!$AB$4:$AB$40,$BJ17-3)),IF(OR($BI17=1,$BL17=1,$BH17&gt;0),"–",""))</f>
        <v/>
      </c>
      <c r="AD18" s="70">
        <f>IF($BJ17&gt;0,IF(INDEX('Final Calculation Sheet'!$AC$4:$AC$40,$BJ17-3)="","",INDEX('Final Calculation Sheet'!$AC$4:$AC$40,$BJ17-3)),IF(OR($BI17=1,$BL17=1,$BH17&gt;0),IF($BI17=1,SUM('Final Calculation Sheet'!$AC$4:$AC$40),IF($BL17=1,SUM('Final Calculation Sheet'!$AC$4:$AC$40)-SUMIFS('Final Calculation Sheet'!$AC$4:$AC$40,$AZ$5:$AZ$41,10),SUMIFS('Final Calculation Sheet'!$AC$4:$AC$40,$AZ$5:$AZ$41,$BH17))),""))</f>
        <v/>
      </c>
      <c r="AE18" s="70">
        <f>IF($BJ17&gt;0,IF(INDEX('Final Calculation Sheet'!$AD$4:$AD$40,$BJ17-3)="","",INDEX('Final Calculation Sheet'!$AD$4:$AD$40,$BJ17-3)),IF(OR($BI17=1,$BL17=1,$BH17&gt;0),IF($BI17=1,SUM('Final Calculation Sheet'!$AD$4:$AD$40),IF($BL17=1,SUM('Final Calculation Sheet'!$AD$4:$AD$40)-SUMIFS('Final Calculation Sheet'!$AD$4:$AD$40,$AZ$5:$AZ$41,10),SUMIFS('Final Calculation Sheet'!$AD$4:$AD$40,$AZ$5:$AZ$41,$BH17))),""))</f>
        <v/>
      </c>
      <c r="AF18" s="75">
        <f>IF($BJ17&gt;0,IF(INDEX('Final Calculation Sheet'!$AD$4:$AD$40,$BJ17-3)="","",IF(INDEX('Final Calculation Sheet'!$AD$4:$AD$40,$BJ17-3)&lt;=5,"SETTLED","OUTSTANDING")),IF(OR($BI17=1,$BL17=1,$BH17&gt;0),IF(IF($BI17=1,SUM('Final Calculation Sheet'!$AD$4:$AD$40),IF($BL17=1,SUM('Final Calculation Sheet'!$AD$4:$AD$40)-SUMIFS('Final Calculation Sheet'!$AD$4:$AD$40,$AZ$5:$AZ$41,10),SUMIFS('Final Calculation Sheet'!$AD$4:$AD$40,$AZ$5:$AZ$41,$BH17)))&lt;=5,"ALL SETTLED","OUTSTANDING"),""))</f>
        <v/>
      </c>
      <c r="AG18" s="70">
        <f>IF($BJ17&gt;0,IF(INDEX('Final Calculation Sheet'!$AF$4:$AF$40,$BJ17-3)="","",INDEX('Final Calculation Sheet'!$AF$4:$AF$40,$BJ17-3)),IF(OR($BI17=1,$BL17=1,$BH17&gt;0),"–",""))</f>
        <v/>
      </c>
      <c r="AH18" s="74">
        <f>IF($BJ17&gt;0,IF(INDEX('Final Calculation Sheet'!$AG$4:$AG$40,$BJ17-3)="","",INDEX('Final Calculation Sheet'!$AG$4:$AG$40,$BJ17-3)),IF(OR($BI17=1,$BL17=1,$BH17&gt;0),"–",""))</f>
        <v/>
      </c>
      <c r="AI18" s="70">
        <f>IF($BJ17&gt;0,IF(INDEX('Final Calculation Sheet'!$AH$4:$AH$40,$BJ17-3)="","",INDEX('Final Calculation Sheet'!$AH$4:$AH$40,$BJ17-3)),IF(OR($BI17=1,$BL17=1,$BH17&gt;0),"–",""))</f>
        <v/>
      </c>
      <c r="AK18">
        <f>IF($F$3="Lot No.",'Final Calculation Sheet'!$F$17,IF($F$3="Buyer",'Final Calculation Sheet'!$G$17,IF($F$3="Lot Name",'Final Calculation Sheet'!$B$17,IF($F$3="Bid Sheet",'Final Calculation Sheet'!$D$17,IF($F$3="Unit",'Final Calculation Sheet'!$E$17,'Final Calculation Sheet'!$F$17&amp;" "&amp;'Final Calculation Sheet'!$G$17&amp;" "&amp;'Final Calculation Sheet'!$B$17)))))</f>
        <v/>
      </c>
      <c r="AL18">
        <f>AL17+IF($B$3="",0,--(SUMPRODUCT(--($AR$6:$AY$6&lt;&gt;""),--ISNUMBER(SEARCH($AR$6:$AY$6,$AK18)))&gt;0))</f>
        <v/>
      </c>
      <c r="AM18">
        <f>IF(COUNTIF($BM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AZ18">
        <f>IF($B$3="",IF(COUNTIF($A$4:$AI$4,"&lt;&gt;")=0,9,IF($AM18=1,9,10)),IF($AM18=0,10,IF(AND($AR$6&lt;&gt;"",ISNUMBER(SEARCH($AR$6,$AK18))),1,IF(AND($AS$6&lt;&gt;"",ISNUMBER(SEARCH($AS$6,$AK18))),2,IF(AND($AT$6&lt;&gt;"",ISNUMBER(SEARCH($AT$6,$AK18))),3,IF(AND($AU$6&lt;&gt;"",ISNUMBER(SEARCH($AU$6,$AK18))),4,IF(AND($AV$6&lt;&gt;"",ISNUMBER(SEARCH($AV$6,$AK18))),5,IF(AND($AW$6&lt;&gt;"",ISNUMBER(SEARCH($AW$6,$AK18))),6,IF(AND($AX$6&lt;&gt;"",ISNUMBER(SEARCH($AX$6,$AK18))),7,IF(AND($AY$6&lt;&gt;"",ISNUMBER(SEARCH($AY$6,$AK18))),8,0))))))))))</f>
        <v/>
      </c>
      <c r="BA18">
        <f>SUMPRODUCT(($AZ$5:$AZ$41=$AZ18)*($BC$5:$BC$41&lt;$BC18))+1</f>
        <v/>
      </c>
      <c r="BB18">
        <f>IF(INDEX($BF$4:$BF$13,$AZ18)=0,0,INDEX($BE$4:$BE$13,$AZ18)+$BA18-1)</f>
        <v/>
      </c>
      <c r="BC18" t="n">
        <v>17</v>
      </c>
      <c r="BH18">
        <f>IFERROR(MATCH(18,$BF$4:$BF$13,0),0)</f>
        <v/>
      </c>
      <c r="BI18">
        <f>IF(18=$BG$5,1,0)</f>
        <v/>
      </c>
      <c r="BJ18">
        <f>IF(OR($BH18&gt;0,$BI18=1,$BL18=1),0,IFERROR(INDEX($BC$5:$BC$41,MATCH(18,$BB$5:$BB$41,0)),0))</f>
        <v/>
      </c>
      <c r="BK18">
        <f>IF($BJ18&gt;0,IF(INDEX($AZ$5:$AZ$41,MATCH(18,$BB$5:$BB$41,0))=10,1,0),IF($BH18=10,1,0))</f>
        <v/>
      </c>
      <c r="BL18">
        <f>IF(18=$BG$4,1,0)</f>
        <v/>
      </c>
      <c r="BM18">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8">
        <f>IF($B$4="",1,--(OR(SUMPRODUCT(--(TRIM(MID(SUBSTITUTE(SUBSTITUTE($B$4,"/",","),",",REPT(" ",99)),(ROW($1:$8)-1)*99+1,99))&lt;&gt;""),--ISNUMBER(SEARCH(TRIM(MID(SUBSTITUTE(SUBSTITUTE($B$4,"/",","),",",REPT(" ",99)),(ROW($1:$8)-1)*99+1,99)),IFERROR(('Final Calculation Sheet'!$F$17)&amp;"",""))))&gt;0,AND(ISNUMBER(SEARCH("blank",$B$4)),NOT(ISNUMBER(SEARCH("nonblank",$B$4))),IFERROR(('Final Calculation Sheet'!$F$17)&amp;"","")=""),AND(OR(ISNUMBER(SEARCH("nonblank",$B$4)),ISNUMBER(SEARCH("&lt;&gt;",$B$4))),IFERROR(('Final Calculation Sheet'!$F$17)&amp;"","")&lt;&gt;""),AND(TRIM($B$4)="",IFERROR(('Final Calculation Sheet'!$F$17)&amp;"","")=""))))</f>
        <v/>
      </c>
      <c r="BO18">
        <f>IF($CW$3="",1,--(OR(SUMPRODUCT(--(TRIM(MID(SUBSTITUTE(SUBSTITUTE($CW$3,"/",","),",",REPT(" ",99)),(ROW($1:$8)-1)*99+1,99))&lt;&gt;""),--ISNUMBER(SEARCH(TRIM(MID(SUBSTITUTE(SUBSTITUTE($CW$3,"/",","),",",REPT(" ",99)),(ROW($1:$8)-1)*99+1,99)),IFERROR(('Final Calculation Sheet'!$G$17)&amp;"",""))))&gt;0,AND(ISNUMBER(SEARCH("blank",$CW$3)),NOT(ISNUMBER(SEARCH("nonblank",$CW$3))),IFERROR(('Final Calculation Sheet'!$G$17)&amp;"","")=""),AND(OR(ISNUMBER(SEARCH("nonblank",$CW$3)),ISNUMBER(SEARCH("&lt;&gt;",$CW$3))),IFERROR(('Final Calculation Sheet'!$G$17)&amp;"","")&lt;&gt;""),AND(TRIM($CW$3)="",IFERROR(('Final Calculation Sheet'!$G$17)&amp;"","")=""))))</f>
        <v/>
      </c>
      <c r="BP18">
        <f>IF($D$4="",1,--(OR(SUMPRODUCT(--(TRIM(MID(SUBSTITUTE(SUBSTITUTE($D$4,"/",","),",",REPT(" ",99)),(ROW($1:$8)-1)*99+1,99))&lt;&gt;""),--ISNUMBER(SEARCH(TRIM(MID(SUBSTITUTE(SUBSTITUTE($D$4,"/",","),",",REPT(" ",99)),(ROW($1:$8)-1)*99+1,99)),IFERROR(('Final Calculation Sheet'!$B$17)&amp;"",""))))&gt;0,AND(ISNUMBER(SEARCH("blank",$D$4)),NOT(ISNUMBER(SEARCH("nonblank",$D$4))),IFERROR(('Final Calculation Sheet'!$B$17)&amp;"","")=""),AND(OR(ISNUMBER(SEARCH("nonblank",$D$4)),ISNUMBER(SEARCH("&lt;&gt;",$D$4))),IFERROR(('Final Calculation Sheet'!$B$17)&amp;"","")&lt;&gt;""),AND(TRIM($D$4)="",IFERROR(('Final Calculation Sheet'!$B$17)&amp;"","")=""))))</f>
        <v/>
      </c>
      <c r="BQ18">
        <f>IF($E$4="",1,--(OR(SUMPRODUCT(--(TRIM(MID(SUBSTITUTE(SUBSTITUTE($E$4,"/",","),",",REPT(" ",99)),(ROW($1:$8)-1)*99+1,99))&lt;&gt;""),--ISNUMBER(SEARCH(TRIM(MID(SUBSTITUTE(SUBSTITUTE($E$4,"/",","),",",REPT(" ",99)),(ROW($1:$8)-1)*99+1,99)),IFERROR(('Final Calculation Sheet'!$D$17)&amp;"",""))))&gt;0,AND(ISNUMBER(SEARCH("blank",$E$4)),NOT(ISNUMBER(SEARCH("nonblank",$E$4))),IFERROR(('Final Calculation Sheet'!$D$17)&amp;"","")=""),AND(OR(ISNUMBER(SEARCH("nonblank",$E$4)),ISNUMBER(SEARCH("&lt;&gt;",$E$4))),IFERROR(('Final Calculation Sheet'!$D$17)&amp;"","")&lt;&gt;""),AND(TRIM($E$4)="",IFERROR(('Final Calculation Sheet'!$D$17)&amp;"","")=""))))</f>
        <v/>
      </c>
      <c r="BR18">
        <f>IF($F$4="",1,--(OR(SUMPRODUCT(--(TRIM(MID(SUBSTITUTE(SUBSTITUTE($F$4,"/",","),",",REPT(" ",99)),(ROW($1:$8)-1)*99+1,99))&lt;&gt;""),--ISNUMBER(SEARCH(TRIM(MID(SUBSTITUTE(SUBSTITUTE($F$4,"/",","),",",REPT(" ",99)),(ROW($1:$8)-1)*99+1,99)),IFERROR(('Final Calculation Sheet'!$A$17)&amp;"",""))))&gt;0,AND(ISNUMBER(SEARCH("blank",$F$4)),NOT(ISNUMBER(SEARCH("nonblank",$F$4))),IFERROR(('Final Calculation Sheet'!$A$17)&amp;"","")=""),AND(OR(ISNUMBER(SEARCH("nonblank",$F$4)),ISNUMBER(SEARCH("&lt;&gt;",$F$4))),IFERROR(('Final Calculation Sheet'!$A$17)&amp;"","")&lt;&gt;""),AND(TRIM($F$4)="",IFERROR(('Final Calculation Sheet'!$A$17)&amp;"","")=""))))</f>
        <v/>
      </c>
      <c r="BS18">
        <f>IF($G$4="",1,--(OR(SUMPRODUCT(--(TRIM(MID(SUBSTITUTE(SUBSTITUTE($G$4,"/",","),",",REPT(" ",99)),(ROW($1:$8)-1)*99+1,99))&lt;&gt;""),--ISNUMBER(SEARCH(TRIM(MID(SUBSTITUTE(SUBSTITUTE($G$4,"/",","),",",REPT(" ",99)),(ROW($1:$8)-1)*99+1,99)),IFERROR(('Final Calculation Sheet'!$E$17)&amp;"",""))))&gt;0,AND(ISNUMBER(SEARCH("blank",$G$4)),NOT(ISNUMBER(SEARCH("nonblank",$G$4))),IFERROR(('Final Calculation Sheet'!$E$17)&amp;"","")=""),AND(OR(ISNUMBER(SEARCH("nonblank",$G$4)),ISNUMBER(SEARCH("&lt;&gt;",$G$4))),IFERROR(('Final Calculation Sheet'!$E$17)&amp;"","")&lt;&gt;""),AND(TRIM($G$4)="",IFERROR(('Final Calculation Sheet'!$E$17)&amp;"","")=""))))</f>
        <v/>
      </c>
      <c r="BT18">
        <f>IF($H$4="",1,--(OR(SUMPRODUCT(--(TRIM(MID(SUBSTITUTE(SUBSTITUTE($H$4,"/",","),",",REPT(" ",99)),(ROW($1:$8)-1)*99+1,99))&lt;&gt;""),--ISNUMBER(SEARCH(TRIM(MID(SUBSTITUTE(SUBSTITUTE($H$4,"/",","),",",REPT(" ",99)),(ROW($1:$8)-1)*99+1,99)),IFERROR(('Final Calculation Sheet'!$C$17)&amp;"",""))))&gt;0,AND(ISNUMBER(SEARCH("blank",$H$4)),NOT(ISNUMBER(SEARCH("nonblank",$H$4))),IFERROR(('Final Calculation Sheet'!$C$17)&amp;"","")=""),AND(OR(ISNUMBER(SEARCH("nonblank",$H$4)),ISNUMBER(SEARCH("&lt;&gt;",$H$4))),IFERROR(('Final Calculation Sheet'!$C$17)&amp;"","")&lt;&gt;""),AND(TRIM($H$4)="",IFERROR(('Final Calculation Sheet'!$C$17)&amp;"","")=""))))</f>
        <v/>
      </c>
      <c r="BU18">
        <f>IF($I$4="",1,--(OR(SUMPRODUCT(--(TRIM(MID(SUBSTITUTE(SUBSTITUTE($I$4,"/",","),",",REPT(" ",99)),(ROW($1:$8)-1)*99+1,99))&lt;&gt;""),--ISNUMBER(SEARCH(TRIM(MID(SUBSTITUTE(SUBSTITUTE($I$4,"/",","),",",REPT(" ",99)),(ROW($1:$8)-1)*99+1,99)),IFERROR(('Final Calculation Sheet'!$H$17)&amp;"",""))))&gt;0,AND(ISNUMBER(SEARCH("blank",$I$4)),NOT(ISNUMBER(SEARCH("nonblank",$I$4))),IFERROR(('Final Calculation Sheet'!$H$17)&amp;"","")=""),AND(OR(ISNUMBER(SEARCH("nonblank",$I$4)),ISNUMBER(SEARCH("&lt;&gt;",$I$4))),IFERROR(('Final Calculation Sheet'!$H$17)&amp;"","")&lt;&gt;""),AND(TRIM($I$4)="",IFERROR(('Final Calculation Sheet'!$H$17)&amp;"","")=""))))</f>
        <v/>
      </c>
      <c r="BV18">
        <f>IF($J$4="",1,--(OR(SUMPRODUCT(--(TRIM(MID(SUBSTITUTE(SUBSTITUTE($J$4,"/",","),",",REPT(" ",99)),(ROW($1:$8)-1)*99+1,99))&lt;&gt;""),--ISNUMBER(SEARCH(TRIM(MID(SUBSTITUTE(SUBSTITUTE($J$4,"/",","),",",REPT(" ",99)),(ROW($1:$8)-1)*99+1,99)),IFERROR(('Final Calculation Sheet'!$I$17)&amp;"",""))))&gt;0,AND(ISNUMBER(SEARCH("blank",$J$4)),NOT(ISNUMBER(SEARCH("nonblank",$J$4))),IFERROR(('Final Calculation Sheet'!$I$17)&amp;"","")=""),AND(OR(ISNUMBER(SEARCH("nonblank",$J$4)),ISNUMBER(SEARCH("&lt;&gt;",$J$4))),IFERROR(('Final Calculation Sheet'!$I$17)&amp;"","")&lt;&gt;""),AND(TRIM($J$4)="",IFERROR(('Final Calculation Sheet'!$I$17)&amp;"","")=""))))</f>
        <v/>
      </c>
      <c r="BW18">
        <f>IF($K$4="",1,--(OR(SUMPRODUCT(--(TRIM(MID(SUBSTITUTE(SUBSTITUTE($K$4,"/",","),",",REPT(" ",99)),(ROW($1:$8)-1)*99+1,99))&lt;&gt;""),--ISNUMBER(SEARCH(TRIM(MID(SUBSTITUTE(SUBSTITUTE($K$4,"/",","),",",REPT(" ",99)),(ROW($1:$8)-1)*99+1,99)),IFERROR(('Final Calculation Sheet'!$J$17)&amp;"",""))))&gt;0,AND(ISNUMBER(SEARCH("blank",$K$4)),NOT(ISNUMBER(SEARCH("nonblank",$K$4))),IFERROR(('Final Calculation Sheet'!$J$17)&amp;"","")=""),AND(OR(ISNUMBER(SEARCH("nonblank",$K$4)),ISNUMBER(SEARCH("&lt;&gt;",$K$4))),IFERROR(('Final Calculation Sheet'!$J$17)&amp;"","")&lt;&gt;""),AND(TRIM($K$4)="",IFERROR(('Final Calculation Sheet'!$J$17)&amp;"","")=""))))</f>
        <v/>
      </c>
      <c r="BX18">
        <f>IF($L$4="",1,--(OR(SUMPRODUCT(--(TRIM(MID(SUBSTITUTE(SUBSTITUTE($L$4,"/",","),",",REPT(" ",99)),(ROW($1:$8)-1)*99+1,99))&lt;&gt;""),--ISNUMBER(SEARCH(TRIM(MID(SUBSTITUTE(SUBSTITUTE($L$4,"/",","),",",REPT(" ",99)),(ROW($1:$8)-1)*99+1,99)),IFERROR(('Final Calculation Sheet'!$K$17)&amp;"",""))))&gt;0,AND(ISNUMBER(SEARCH("blank",$L$4)),NOT(ISNUMBER(SEARCH("nonblank",$L$4))),IFERROR(('Final Calculation Sheet'!$K$17)&amp;"","")=""),AND(OR(ISNUMBER(SEARCH("nonblank",$L$4)),ISNUMBER(SEARCH("&lt;&gt;",$L$4))),IFERROR(('Final Calculation Sheet'!$K$17)&amp;"","")&lt;&gt;""),AND(TRIM($L$4)="",IFERROR(('Final Calculation Sheet'!$K$17)&amp;"","")=""))))</f>
        <v/>
      </c>
      <c r="BY18">
        <f>IF($M$4="",1,--(OR(SUMPRODUCT(--(TRIM(MID(SUBSTITUTE(SUBSTITUTE($M$4,"/",","),",",REPT(" ",99)),(ROW($1:$8)-1)*99+1,99))&lt;&gt;""),--ISNUMBER(SEARCH(TRIM(MID(SUBSTITUTE(SUBSTITUTE($M$4,"/",","),",",REPT(" ",99)),(ROW($1:$8)-1)*99+1,99)),IFERROR(('Final Calculation Sheet'!$L$17)&amp;"",""))))&gt;0,AND(ISNUMBER(SEARCH("blank",$M$4)),NOT(ISNUMBER(SEARCH("nonblank",$M$4))),IFERROR(('Final Calculation Sheet'!$L$17)&amp;"","")=""),AND(OR(ISNUMBER(SEARCH("nonblank",$M$4)),ISNUMBER(SEARCH("&lt;&gt;",$M$4))),IFERROR(('Final Calculation Sheet'!$L$17)&amp;"","")&lt;&gt;""),AND(TRIM($M$4)="",IFERROR(('Final Calculation Sheet'!$L$17)&amp;"","")=""))))</f>
        <v/>
      </c>
      <c r="BZ18">
        <f>IF($N$4="",1,--(OR(SUMPRODUCT(--(TRIM(MID(SUBSTITUTE(SUBSTITUTE($N$4,"/",","),",",REPT(" ",99)),(ROW($1:$8)-1)*99+1,99))&lt;&gt;""),--ISNUMBER(SEARCH(TRIM(MID(SUBSTITUTE(SUBSTITUTE($N$4,"/",","),",",REPT(" ",99)),(ROW($1:$8)-1)*99+1,99)),IFERROR(('Final Calculation Sheet'!$M$17)&amp;"",""))))&gt;0,AND(ISNUMBER(SEARCH("blank",$N$4)),NOT(ISNUMBER(SEARCH("nonblank",$N$4))),IFERROR(('Final Calculation Sheet'!$M$17)&amp;"","")=""),AND(OR(ISNUMBER(SEARCH("nonblank",$N$4)),ISNUMBER(SEARCH("&lt;&gt;",$N$4))),IFERROR(('Final Calculation Sheet'!$M$17)&amp;"","")&lt;&gt;""),AND(TRIM($N$4)="",IFERROR(('Final Calculation Sheet'!$M$17)&amp;"","")=""))))</f>
        <v/>
      </c>
      <c r="CA18">
        <f>IF($O$4="",1,--(OR(SUMPRODUCT(--(TRIM(MID(SUBSTITUTE(SUBSTITUTE($O$4,"/",","),",",REPT(" ",99)),(ROW($1:$8)-1)*99+1,99))&lt;&gt;""),--ISNUMBER(SEARCH(TRIM(MID(SUBSTITUTE(SUBSTITUTE($O$4,"/",","),",",REPT(" ",99)),(ROW($1:$8)-1)*99+1,99)),IFERROR(('Final Calculation Sheet'!$N$17)&amp;"",""))))&gt;0,AND(ISNUMBER(SEARCH("blank",$O$4)),NOT(ISNUMBER(SEARCH("nonblank",$O$4))),IFERROR(('Final Calculation Sheet'!$N$17)&amp;"","")=""),AND(OR(ISNUMBER(SEARCH("nonblank",$O$4)),ISNUMBER(SEARCH("&lt;&gt;",$O$4))),IFERROR(('Final Calculation Sheet'!$N$17)&amp;"","")&lt;&gt;""),AND(TRIM($O$4)="",IFERROR(('Final Calculation Sheet'!$N$17)&amp;"","")=""))))</f>
        <v/>
      </c>
      <c r="CB18">
        <f>IF($P$4="",1,--(OR(SUMPRODUCT(--(TRIM(MID(SUBSTITUTE(SUBSTITUTE($P$4,"/",","),",",REPT(" ",99)),(ROW($1:$8)-1)*99+1,99))&lt;&gt;""),--ISNUMBER(SEARCH(TRIM(MID(SUBSTITUTE(SUBSTITUTE($P$4,"/",","),",",REPT(" ",99)),(ROW($1:$8)-1)*99+1,99)),IFERROR(('Final Calculation Sheet'!$O$17)&amp;"",""))))&gt;0,AND(ISNUMBER(SEARCH("blank",$P$4)),NOT(ISNUMBER(SEARCH("nonblank",$P$4))),IFERROR(('Final Calculation Sheet'!$O$17)&amp;"","")=""),AND(OR(ISNUMBER(SEARCH("nonblank",$P$4)),ISNUMBER(SEARCH("&lt;&gt;",$P$4))),IFERROR(('Final Calculation Sheet'!$O$17)&amp;"","")&lt;&gt;""),AND(TRIM($P$4)="",IFERROR(('Final Calculation Sheet'!$O$17)&amp;"","")=""))))</f>
        <v/>
      </c>
      <c r="CC18">
        <f>IF($Q$4="",1,--(OR(SUMPRODUCT(--(TRIM(MID(SUBSTITUTE(SUBSTITUTE($Q$4,"/",","),",",REPT(" ",99)),(ROW($1:$8)-1)*99+1,99))&lt;&gt;""),--ISNUMBER(SEARCH(TRIM(MID(SUBSTITUTE(SUBSTITUTE($Q$4,"/",","),",",REPT(" ",99)),(ROW($1:$8)-1)*99+1,99)),IFERROR(('Final Calculation Sheet'!$P$17)&amp;"",""))))&gt;0,AND(ISNUMBER(SEARCH("blank",$Q$4)),NOT(ISNUMBER(SEARCH("nonblank",$Q$4))),IFERROR(('Final Calculation Sheet'!$P$17)&amp;"","")=""),AND(OR(ISNUMBER(SEARCH("nonblank",$Q$4)),ISNUMBER(SEARCH("&lt;&gt;",$Q$4))),IFERROR(('Final Calculation Sheet'!$P$17)&amp;"","")&lt;&gt;""),AND(TRIM($Q$4)="",IFERROR(('Final Calculation Sheet'!$P$17)&amp;"","")=""))))</f>
        <v/>
      </c>
      <c r="CD18">
        <f>IF($R$4="",1,--(OR(SUMPRODUCT(--(TRIM(MID(SUBSTITUTE(SUBSTITUTE($R$4,"/",","),",",REPT(" ",99)),(ROW($1:$8)-1)*99+1,99))&lt;&gt;""),--ISNUMBER(SEARCH(TRIM(MID(SUBSTITUTE(SUBSTITUTE($R$4,"/",","),",",REPT(" ",99)),(ROW($1:$8)-1)*99+1,99)),IFERROR(('Final Calculation Sheet'!$Q$17)&amp;"",""))))&gt;0,AND(ISNUMBER(SEARCH("blank",$R$4)),NOT(ISNUMBER(SEARCH("nonblank",$R$4))),IFERROR(('Final Calculation Sheet'!$Q$17)&amp;"","")=""),AND(OR(ISNUMBER(SEARCH("nonblank",$R$4)),ISNUMBER(SEARCH("&lt;&gt;",$R$4))),IFERROR(('Final Calculation Sheet'!$Q$17)&amp;"","")&lt;&gt;""),AND(TRIM($R$4)="",IFERROR(('Final Calculation Sheet'!$Q$17)&amp;"","")=""))))</f>
        <v/>
      </c>
      <c r="CE18">
        <f>IF($S$4="",1,--(OR(SUMPRODUCT(--(TRIM(MID(SUBSTITUTE(SUBSTITUTE($S$4,"/",","),",",REPT(" ",99)),(ROW($1:$8)-1)*99+1,99))&lt;&gt;""),--ISNUMBER(SEARCH(TRIM(MID(SUBSTITUTE(SUBSTITUTE($S$4,"/",","),",",REPT(" ",99)),(ROW($1:$8)-1)*99+1,99)),IFERROR(('Final Calculation Sheet'!$R$17)&amp;"",""))))&gt;0,AND(ISNUMBER(SEARCH("blank",$S$4)),NOT(ISNUMBER(SEARCH("nonblank",$S$4))),IFERROR(('Final Calculation Sheet'!$R$17)&amp;"","")=""),AND(OR(ISNUMBER(SEARCH("nonblank",$S$4)),ISNUMBER(SEARCH("&lt;&gt;",$S$4))),IFERROR(('Final Calculation Sheet'!$R$17)&amp;"","")&lt;&gt;""),AND(TRIM($S$4)="",IFERROR(('Final Calculation Sheet'!$R$17)&amp;"","")=""))))</f>
        <v/>
      </c>
      <c r="CF18">
        <f>IF($T$4="",1,--(OR(SUMPRODUCT(--(TRIM(MID(SUBSTITUTE(SUBSTITUTE($T$4,"/",","),",",REPT(" ",99)),(ROW($1:$8)-1)*99+1,99))&lt;&gt;""),--ISNUMBER(SEARCH(TRIM(MID(SUBSTITUTE(SUBSTITUTE($T$4,"/",","),",",REPT(" ",99)),(ROW($1:$8)-1)*99+1,99)),IFERROR(('Final Calculation Sheet'!$S$17)&amp;"",""))))&gt;0,AND(ISNUMBER(SEARCH("blank",$T$4)),NOT(ISNUMBER(SEARCH("nonblank",$T$4))),IFERROR(('Final Calculation Sheet'!$S$17)&amp;"","")=""),AND(OR(ISNUMBER(SEARCH("nonblank",$T$4)),ISNUMBER(SEARCH("&lt;&gt;",$T$4))),IFERROR(('Final Calculation Sheet'!$S$17)&amp;"","")&lt;&gt;""),AND(TRIM($T$4)="",IFERROR(('Final Calculation Sheet'!$S$17)&amp;"","")=""))))</f>
        <v/>
      </c>
      <c r="CG18">
        <f>IF($U$4="",1,--(OR(SUMPRODUCT(--(TRIM(MID(SUBSTITUTE(SUBSTITUTE($U$4,"/",","),",",REPT(" ",99)),(ROW($1:$8)-1)*99+1,99))&lt;&gt;""),--ISNUMBER(SEARCH(TRIM(MID(SUBSTITUTE(SUBSTITUTE($U$4,"/",","),",",REPT(" ",99)),(ROW($1:$8)-1)*99+1,99)),IFERROR(('Final Calculation Sheet'!$T$17)&amp;"",""))))&gt;0,AND(ISNUMBER(SEARCH("blank",$U$4)),NOT(ISNUMBER(SEARCH("nonblank",$U$4))),IFERROR(('Final Calculation Sheet'!$T$17)&amp;"","")=""),AND(OR(ISNUMBER(SEARCH("nonblank",$U$4)),ISNUMBER(SEARCH("&lt;&gt;",$U$4))),IFERROR(('Final Calculation Sheet'!$T$17)&amp;"","")&lt;&gt;""),AND(TRIM($U$4)="",IFERROR(('Final Calculation Sheet'!$T$17)&amp;"","")=""))))</f>
        <v/>
      </c>
      <c r="CH18">
        <f>IF($V$4="",1,--(OR(SUMPRODUCT(--(TRIM(MID(SUBSTITUTE(SUBSTITUTE($V$4,"/",","),",",REPT(" ",99)),(ROW($1:$8)-1)*99+1,99))&lt;&gt;""),--ISNUMBER(SEARCH(TRIM(MID(SUBSTITUTE(SUBSTITUTE($V$4,"/",","),",",REPT(" ",99)),(ROW($1:$8)-1)*99+1,99)),IFERROR(('Final Calculation Sheet'!$U$17)&amp;"",""))))&gt;0,AND(ISNUMBER(SEARCH("blank",$V$4)),NOT(ISNUMBER(SEARCH("nonblank",$V$4))),IFERROR(('Final Calculation Sheet'!$U$17)&amp;"","")=""),AND(OR(ISNUMBER(SEARCH("nonblank",$V$4)),ISNUMBER(SEARCH("&lt;&gt;",$V$4))),IFERROR(('Final Calculation Sheet'!$U$17)&amp;"","")&lt;&gt;""),AND(TRIM($V$4)="",IFERROR(('Final Calculation Sheet'!$U$17)&amp;"","")=""))))</f>
        <v/>
      </c>
      <c r="CI18">
        <f>IF($W$4="",1,--(OR(SUMPRODUCT(--(TRIM(MID(SUBSTITUTE(SUBSTITUTE($W$4,"/",","),",",REPT(" ",99)),(ROW($1:$8)-1)*99+1,99))&lt;&gt;""),--ISNUMBER(SEARCH(TRIM(MID(SUBSTITUTE(SUBSTITUTE($W$4,"/",","),",",REPT(" ",99)),(ROW($1:$8)-1)*99+1,99)),IFERROR(('Final Calculation Sheet'!$V$17)&amp;"",""))))&gt;0,AND(ISNUMBER(SEARCH("blank",$W$4)),NOT(ISNUMBER(SEARCH("nonblank",$W$4))),IFERROR(('Final Calculation Sheet'!$V$17)&amp;"","")=""),AND(OR(ISNUMBER(SEARCH("nonblank",$W$4)),ISNUMBER(SEARCH("&lt;&gt;",$W$4))),IFERROR(('Final Calculation Sheet'!$V$17)&amp;"","")&lt;&gt;""),AND(TRIM($W$4)="",IFERROR(('Final Calculation Sheet'!$V$17)&amp;"","")=""))))</f>
        <v/>
      </c>
      <c r="CJ18">
        <f>IF($X$4="",1,--(OR(SUMPRODUCT(--(TRIM(MID(SUBSTITUTE(SUBSTITUTE($X$4,"/",","),",",REPT(" ",99)),(ROW($1:$8)-1)*99+1,99))&lt;&gt;""),--ISNUMBER(SEARCH(TRIM(MID(SUBSTITUTE(SUBSTITUTE($X$4,"/",","),",",REPT(" ",99)),(ROW($1:$8)-1)*99+1,99)),IFERROR(('Final Calculation Sheet'!$W$17)&amp;"",""))))&gt;0,AND(ISNUMBER(SEARCH("blank",$X$4)),NOT(ISNUMBER(SEARCH("nonblank",$X$4))),IFERROR(('Final Calculation Sheet'!$W$17)&amp;"","")=""),AND(OR(ISNUMBER(SEARCH("nonblank",$X$4)),ISNUMBER(SEARCH("&lt;&gt;",$X$4))),IFERROR(('Final Calculation Sheet'!$W$17)&amp;"","")&lt;&gt;""),AND(TRIM($X$4)="",IFERROR(('Final Calculation Sheet'!$W$17)&amp;"","")=""))))</f>
        <v/>
      </c>
      <c r="CK18">
        <f>IF($Y$4="",1,--(OR(SUMPRODUCT(--(TRIM(MID(SUBSTITUTE(SUBSTITUTE($Y$4,"/",","),",",REPT(" ",99)),(ROW($1:$8)-1)*99+1,99))&lt;&gt;""),--ISNUMBER(SEARCH(TRIM(MID(SUBSTITUTE(SUBSTITUTE($Y$4,"/",","),",",REPT(" ",99)),(ROW($1:$8)-1)*99+1,99)),IFERROR(('Final Calculation Sheet'!$X$17)&amp;"",""))))&gt;0,AND(ISNUMBER(SEARCH("blank",$Y$4)),NOT(ISNUMBER(SEARCH("nonblank",$Y$4))),IFERROR(('Final Calculation Sheet'!$X$17)&amp;"","")=""),AND(OR(ISNUMBER(SEARCH("nonblank",$Y$4)),ISNUMBER(SEARCH("&lt;&gt;",$Y$4))),IFERROR(('Final Calculation Sheet'!$X$17)&amp;"","")&lt;&gt;""),AND(TRIM($Y$4)="",IFERROR(('Final Calculation Sheet'!$X$17)&amp;"","")=""))))</f>
        <v/>
      </c>
      <c r="CL18">
        <f>IF($Z$4="",1,--(OR(SUMPRODUCT(--(TRIM(MID(SUBSTITUTE(SUBSTITUTE($Z$4,"/",","),",",REPT(" ",99)),(ROW($1:$8)-1)*99+1,99))&lt;&gt;""),--ISNUMBER(SEARCH(TRIM(MID(SUBSTITUTE(SUBSTITUTE($Z$4,"/",","),",",REPT(" ",99)),(ROW($1:$8)-1)*99+1,99)),IFERROR(('Final Calculation Sheet'!$Y$17)&amp;"",""))))&gt;0,AND(ISNUMBER(SEARCH("blank",$Z$4)),NOT(ISNUMBER(SEARCH("nonblank",$Z$4))),IFERROR(('Final Calculation Sheet'!$Y$17)&amp;"","")=""),AND(OR(ISNUMBER(SEARCH("nonblank",$Z$4)),ISNUMBER(SEARCH("&lt;&gt;",$Z$4))),IFERROR(('Final Calculation Sheet'!$Y$17)&amp;"","")&lt;&gt;""),AND(TRIM($Z$4)="",IFERROR(('Final Calculation Sheet'!$Y$17)&amp;"","")=""))))</f>
        <v/>
      </c>
      <c r="CM18">
        <f>IF($AA$4="",1,--(OR(SUMPRODUCT(--(TRIM(MID(SUBSTITUTE(SUBSTITUTE($AA$4,"/",","),",",REPT(" ",99)),(ROW($1:$8)-1)*99+1,99))&lt;&gt;""),--ISNUMBER(SEARCH(TRIM(MID(SUBSTITUTE(SUBSTITUTE($AA$4,"/",","),",",REPT(" ",99)),(ROW($1:$8)-1)*99+1,99)),IFERROR(('Final Calculation Sheet'!$Z$17)&amp;"",""))))&gt;0,AND(ISNUMBER(SEARCH("blank",$AA$4)),NOT(ISNUMBER(SEARCH("nonblank",$AA$4))),IFERROR(('Final Calculation Sheet'!$Z$17)&amp;"","")=""),AND(OR(ISNUMBER(SEARCH("nonblank",$AA$4)),ISNUMBER(SEARCH("&lt;&gt;",$AA$4))),IFERROR(('Final Calculation Sheet'!$Z$17)&amp;"","")&lt;&gt;""),AND(TRIM($AA$4)="",IFERROR(('Final Calculation Sheet'!$Z$17)&amp;"","")=""))))</f>
        <v/>
      </c>
      <c r="CN18">
        <f>IF($AB$4="",1,--(OR(SUMPRODUCT(--(TRIM(MID(SUBSTITUTE(SUBSTITUTE($AB$4,"/",","),",",REPT(" ",99)),(ROW($1:$8)-1)*99+1,99))&lt;&gt;""),--ISNUMBER(SEARCH(TRIM(MID(SUBSTITUTE(SUBSTITUTE($AB$4,"/",","),",",REPT(" ",99)),(ROW($1:$8)-1)*99+1,99)),IFERROR(('Final Calculation Sheet'!$AA$17)&amp;"",""))))&gt;0,AND(ISNUMBER(SEARCH("blank",$AB$4)),NOT(ISNUMBER(SEARCH("nonblank",$AB$4))),IFERROR(('Final Calculation Sheet'!$AA$17)&amp;"","")=""),AND(OR(ISNUMBER(SEARCH("nonblank",$AB$4)),ISNUMBER(SEARCH("&lt;&gt;",$AB$4))),IFERROR(('Final Calculation Sheet'!$AA$17)&amp;"","")&lt;&gt;""),AND(TRIM($AB$4)="",IFERROR(('Final Calculation Sheet'!$AA$17)&amp;"","")=""))))</f>
        <v/>
      </c>
      <c r="CO18">
        <f>IF($AC$4="",1,--(OR(SUMPRODUCT(--(TRIM(MID(SUBSTITUTE(SUBSTITUTE($AC$4,"/",","),",",REPT(" ",99)),(ROW($1:$8)-1)*99+1,99))&lt;&gt;""),--ISNUMBER(SEARCH(TRIM(MID(SUBSTITUTE(SUBSTITUTE($AC$4,"/",","),",",REPT(" ",99)),(ROW($1:$8)-1)*99+1,99)),IFERROR(('Final Calculation Sheet'!$AB$17)&amp;"",""))))&gt;0,AND(ISNUMBER(SEARCH("blank",$AC$4)),NOT(ISNUMBER(SEARCH("nonblank",$AC$4))),IFERROR(('Final Calculation Sheet'!$AB$17)&amp;"","")=""),AND(OR(ISNUMBER(SEARCH("nonblank",$AC$4)),ISNUMBER(SEARCH("&lt;&gt;",$AC$4))),IFERROR(('Final Calculation Sheet'!$AB$17)&amp;"","")&lt;&gt;""),AND(TRIM($AC$4)="",IFERROR(('Final Calculation Sheet'!$AB$17)&amp;"","")=""))))</f>
        <v/>
      </c>
      <c r="CP18">
        <f>IF($AD$4="",1,--(OR(SUMPRODUCT(--(TRIM(MID(SUBSTITUTE(SUBSTITUTE($AD$4,"/",","),",",REPT(" ",99)),(ROW($1:$8)-1)*99+1,99))&lt;&gt;""),--ISNUMBER(SEARCH(TRIM(MID(SUBSTITUTE(SUBSTITUTE($AD$4,"/",","),",",REPT(" ",99)),(ROW($1:$8)-1)*99+1,99)),IFERROR(('Final Calculation Sheet'!$AC$17)&amp;"",""))))&gt;0,AND(ISNUMBER(SEARCH("blank",$AD$4)),NOT(ISNUMBER(SEARCH("nonblank",$AD$4))),IFERROR(('Final Calculation Sheet'!$AC$17)&amp;"","")=""),AND(OR(ISNUMBER(SEARCH("nonblank",$AD$4)),ISNUMBER(SEARCH("&lt;&gt;",$AD$4))),IFERROR(('Final Calculation Sheet'!$AC$17)&amp;"","")&lt;&gt;""),AND(TRIM($AD$4)="",IFERROR(('Final Calculation Sheet'!$AC$17)&amp;"","")=""))))</f>
        <v/>
      </c>
      <c r="CQ18">
        <f>IF($AE$4="",1,--(OR(SUMPRODUCT(--(TRIM(MID(SUBSTITUTE(SUBSTITUTE($AE$4,"/",","),",",REPT(" ",99)),(ROW($1:$8)-1)*99+1,99))&lt;&gt;""),--ISNUMBER(SEARCH(TRIM(MID(SUBSTITUTE(SUBSTITUTE($AE$4,"/",","),",",REPT(" ",99)),(ROW($1:$8)-1)*99+1,99)),IFERROR(('Final Calculation Sheet'!$AD$17)&amp;"",""))))&gt;0,AND(ISNUMBER(SEARCH("blank",$AE$4)),NOT(ISNUMBER(SEARCH("nonblank",$AE$4))),IFERROR(('Final Calculation Sheet'!$AD$17)&amp;"","")=""),AND(OR(ISNUMBER(SEARCH("nonblank",$AE$4)),ISNUMBER(SEARCH("&lt;&gt;",$AE$4))),IFERROR(('Final Calculation Sheet'!$AD$17)&amp;"","")&lt;&gt;""),AND(TRIM($AE$4)="",IFERROR(('Final Calculation Sheet'!$AD$17)&amp;"","")=""))))</f>
        <v/>
      </c>
      <c r="CR18">
        <f>IF($AG$4="",1,--(OR(SUMPRODUCT(--(TRIM(MID(SUBSTITUTE(SUBSTITUTE($AG$4,"/",","),",",REPT(" ",99)),(ROW($1:$8)-1)*99+1,99))&lt;&gt;""),--ISNUMBER(SEARCH(TRIM(MID(SUBSTITUTE(SUBSTITUTE($AG$4,"/",","),",",REPT(" ",99)),(ROW($1:$8)-1)*99+1,99)),IFERROR(('Final Calculation Sheet'!$AF$17)&amp;"",""))))&gt;0,AND(ISNUMBER(SEARCH("blank",$AG$4)),NOT(ISNUMBER(SEARCH("nonblank",$AG$4))),IFERROR(('Final Calculation Sheet'!$AF$17)&amp;"","")=""),AND(OR(ISNUMBER(SEARCH("nonblank",$AG$4)),ISNUMBER(SEARCH("&lt;&gt;",$AG$4))),IFERROR(('Final Calculation Sheet'!$AF$17)&amp;"","")&lt;&gt;""),AND(TRIM($AG$4)="",IFERROR(('Final Calculation Sheet'!$AF$17)&amp;"","")=""))))</f>
        <v/>
      </c>
      <c r="CS18">
        <f>IF($AH$4="",1,--(OR(SUMPRODUCT(--(TRIM(MID(SUBSTITUTE(SUBSTITUTE($AH$4,"/",","),",",REPT(" ",99)),(ROW($1:$8)-1)*99+1,99))&lt;&gt;""),--ISNUMBER(SEARCH(TRIM(MID(SUBSTITUTE(SUBSTITUTE($AH$4,"/",","),",",REPT(" ",99)),(ROW($1:$8)-1)*99+1,99)),IFERROR(('Final Calculation Sheet'!$AG$17)&amp;"",""))))&gt;0,AND(ISNUMBER(SEARCH("blank",$AH$4)),NOT(ISNUMBER(SEARCH("nonblank",$AH$4))),IFERROR(('Final Calculation Sheet'!$AG$17)&amp;"","")=""),AND(OR(ISNUMBER(SEARCH("nonblank",$AH$4)),ISNUMBER(SEARCH("&lt;&gt;",$AH$4))),IFERROR(('Final Calculation Sheet'!$AG$17)&amp;"","")&lt;&gt;""),AND(TRIM($AH$4)="",IFERROR(('Final Calculation Sheet'!$AG$17)&amp;"","")=""))))</f>
        <v/>
      </c>
      <c r="CT18">
        <f>IF($AI$4="",1,--(OR(SUMPRODUCT(--(TRIM(MID(SUBSTITUTE(SUBSTITUTE($AI$4,"/",","),",",REPT(" ",99)),(ROW($1:$8)-1)*99+1,99))&lt;&gt;""),--ISNUMBER(SEARCH(TRIM(MID(SUBSTITUTE(SUBSTITUTE($AI$4,"/",","),",",REPT(" ",99)),(ROW($1:$8)-1)*99+1,99)),IFERROR(('Final Calculation Sheet'!$AH$17)&amp;"",""))))&gt;0,AND(ISNUMBER(SEARCH("blank",$AI$4)),NOT(ISNUMBER(SEARCH("nonblank",$AI$4))),IFERROR(('Final Calculation Sheet'!$AH$17)&amp;"","")=""),AND(OR(ISNUMBER(SEARCH("nonblank",$AI$4)),ISNUMBER(SEARCH("&lt;&gt;",$AI$4))),IFERROR(('Final Calculation Sheet'!$AH$17)&amp;"","")&lt;&gt;""),AND(TRIM($AI$4)="",IFERROR(('Final Calculation Sheet'!$AH$17)&amp;"","")=""))))</f>
        <v/>
      </c>
      <c r="CU18">
        <f>IF($AF$4="",1,--(OR(SUMPRODUCT(--(TRIM(MID(SUBSTITUTE(SUBSTITUTE($AF$4,"/",","),",",REPT(" ",99)),(ROW($1:$8)-1)*99+1,99))&lt;&gt;""),--ISNUMBER(SEARCH(TRIM(MID(SUBSTITUTE(SUBSTITUTE($AF$4,"/",","),",",REPT(" ",99)),(ROW($1:$8)-1)*99+1,99)),IFERROR((IF('Final Calculation Sheet'!$AD$17&lt;=5,"SETTLED","OUTSTANDING"))&amp;"",""))))&gt;0,AND(ISNUMBER(SEARCH("blank",$AF$4)),NOT(ISNUMBER(SEARCH("nonblank",$AF$4))),IFERROR((IF('Final Calculation Sheet'!$AD$17&lt;=5,"SETTLED","OUTSTANDING"))&amp;"","")=""),AND(OR(ISNUMBER(SEARCH("nonblank",$AF$4)),ISNUMBER(SEARCH("&lt;&gt;",$AF$4))),IFERROR((IF('Final Calculation Sheet'!$AD$17&lt;=5,"SETTLED","OUTSTANDING"))&amp;"","")&lt;&gt;""),AND(TRIM($AF$4)="",IFERROR((IF('Final Calculation Sheet'!$AD$17&lt;=5,"SETTLED","OUTSTANDING"))&amp;"","")=""))))</f>
        <v/>
      </c>
    </row>
    <row r="19" ht="15" customHeight="1" s="137">
      <c r="A19" s="67">
        <f>IF($BJ18&gt;0,INDEX($BA$5:$BA$41,MATCH(18,$BB$5:$BB$41,0)),IF(OR($BI18=1,$BL18=1,$BH18&gt;0),"∑",""))</f>
        <v/>
      </c>
      <c r="B19" s="76">
        <f>IF($BJ18&gt;0,IF(INDEX('Final Calculation Sheet'!$F$4:$F$40,$BJ18-3)="","",INDEX('Final Calculation Sheet'!$F$4:$F$40,$BJ18-3)),"")</f>
        <v/>
      </c>
      <c r="C19" s="76">
        <f>IF($BJ18&gt;0,IF(INDEX('Final Calculation Sheet'!$G$4:$G$40,$BJ18-3)="","",INDEX('Final Calculation Sheet'!$G$4:$G$40,$BJ18-3)),IF(OR($BI18=1,$BL18=1,$BH18&gt;0),IF($BI18=1,37,IF($BL18=1,37-INDEX($BD$4:$BD$13,10),INDEX($BD$4:$BD$13,$BH18)))&amp;" lot(s)",""))</f>
        <v/>
      </c>
      <c r="D19" s="80">
        <f>IF($BJ18&gt;0,IF(INDEX('Final Calculation Sheet'!$B$4:$B$40,$BJ18-3)="","",INDEX('Final Calculation Sheet'!$B$4:$B$40,$BJ18-3)),IF(OR($BI18=1,$BL18=1,$BH18&gt;0),IF($BI18=1,"GRAND TOTAL  —  matching + remaining",IF($BL18=1,"TOTAL MATCHED  —  every group together",IF($BH18=10,"REMAINING  —  did not match the search",IF($BH18=9,IF(COUNTIF($A$4:$AI$4,"&lt;&gt;")&gt;0,"FILTERED LOTS  —  column fields","ALL LOTS  —  nothing typed in the box"),"GROUP "&amp;$BH18&amp;" TOTAL  —  lots matching  "&amp;INDEX($AR$6:$AY$6,$BH18))))),""))</f>
        <v/>
      </c>
      <c r="E19" s="80">
        <f>IF($BJ18&gt;0,IF(INDEX('Final Calculation Sheet'!$D$4:$D$40,$BJ18-3)="","",INDEX('Final Calculation Sheet'!$D$4:$D$40,$BJ18-3)),IF(OR($BI18=1,$BL18=1,$BH18&gt;0),"–",""))</f>
        <v/>
      </c>
      <c r="F19" s="80">
        <f>IF($BJ18&gt;0,IF(INDEX('Final Calculation Sheet'!$A$4:$A$40,$BJ18-3)="","",INDEX('Final Calculation Sheet'!$A$4:$A$40,$BJ18-3)),IF(OR($BI18=1,$BL18=1,$BH18&gt;0),IF($BI18=1,SUM('Final Calculation Sheet'!$A$4:$A$40),IF($BL18=1,SUM('Final Calculation Sheet'!$A$4:$A$40)-SUMIFS('Final Calculation Sheet'!$A$4:$A$40,$AZ$5:$AZ$41,10),SUMIFS('Final Calculation Sheet'!$A$4:$A$40,$AZ$5:$AZ$41,$BH18))),""))</f>
        <v/>
      </c>
      <c r="G19" s="80">
        <f>IF($BJ18&gt;0,IF(INDEX('Final Calculation Sheet'!$E$4:$E$40,$BJ18-3)="","",INDEX('Final Calculation Sheet'!$E$4:$E$40,$BJ18-3)),IF(OR($BI18=1,$BL18=1,$BH18&gt;0),"–",""))</f>
        <v/>
      </c>
      <c r="H19" s="70">
        <f>IF($BJ18&gt;0,IF(INDEX('Final Calculation Sheet'!$C$4:$C$40,$BJ18-3)="","",INDEX('Final Calculation Sheet'!$C$4:$C$40,$BJ18-3)),IF(OR($BI18=1,$BL18=1,$BH18&gt;0),"–",""))</f>
        <v/>
      </c>
      <c r="I19" s="70">
        <f>IF($BJ18&gt;0,IF(INDEX('Final Calculation Sheet'!$H$4:$H$40,$BJ18-3)="","",INDEX('Final Calculation Sheet'!$H$4:$H$40,$BJ18-3)),IF(OR($BI18=1,$BL18=1,$BH18&gt;0),IF($BI18=1,SUM('Final Calculation Sheet'!$H$4:$H$40),IF($BL18=1,SUM('Final Calculation Sheet'!$H$4:$H$40)-SUMIFS('Final Calculation Sheet'!$H$4:$H$40,$AZ$5:$AZ$41,10),SUMIFS('Final Calculation Sheet'!$H$4:$H$40,$AZ$5:$AZ$41,$BH18))),""))</f>
        <v/>
      </c>
      <c r="J19" s="70">
        <f>IF($BJ18&gt;0,IF(INDEX('Final Calculation Sheet'!$I$4:$I$40,$BJ18-3)="","",INDEX('Final Calculation Sheet'!$I$4:$I$40,$BJ18-3)),IF(OR($BI18=1,$BL18=1,$BH18&gt;0),IF($BI18=1,SUM('Final Calculation Sheet'!$I$4:$I$40),IF($BL18=1,SUM('Final Calculation Sheet'!$I$4:$I$40)-SUMIFS('Final Calculation Sheet'!$I$4:$I$40,$AZ$5:$AZ$41,10),SUMIFS('Final Calculation Sheet'!$I$4:$I$40,$AZ$5:$AZ$41,$BH18))),""))</f>
        <v/>
      </c>
      <c r="K19" s="70">
        <f>IF($BJ18&gt;0,IF(INDEX('Final Calculation Sheet'!$J$4:$J$40,$BJ18-3)="","",INDEX('Final Calculation Sheet'!$J$4:$J$40,$BJ18-3)),IF(OR($BI18=1,$BL18=1,$BH18&gt;0),IF($BI18=1,SUM('Final Calculation Sheet'!$J$4:$J$40),IF($BL18=1,SUM('Final Calculation Sheet'!$J$4:$J$40)-SUMIFS('Final Calculation Sheet'!$J$4:$J$40,$AZ$5:$AZ$41,10),SUMIFS('Final Calculation Sheet'!$J$4:$J$40,$AZ$5:$AZ$41,$BH18))),""))</f>
        <v/>
      </c>
      <c r="L19" s="70">
        <f>IF($BJ18&gt;0,IF(INDEX('Final Calculation Sheet'!$K$4:$K$40,$BJ18-3)="","",INDEX('Final Calculation Sheet'!$K$4:$K$40,$BJ18-3)),IF(OR($BI18=1,$BL18=1,$BH18&gt;0),IF($BI18=1,SUM('Final Calculation Sheet'!$K$4:$K$40),IF($BL18=1,SUM('Final Calculation Sheet'!$K$4:$K$40)-SUMIFS('Final Calculation Sheet'!$K$4:$K$40,$AZ$5:$AZ$41,10),SUMIFS('Final Calculation Sheet'!$K$4:$K$40,$AZ$5:$AZ$41,$BH18))),""))</f>
        <v/>
      </c>
      <c r="M19" s="70">
        <f>IF($BJ18&gt;0,IF(INDEX('Final Calculation Sheet'!$L$4:$L$40,$BJ18-3)="","",INDEX('Final Calculation Sheet'!$L$4:$L$40,$BJ18-3)),IF(OR($BI18=1,$BL18=1,$BH18&gt;0),IF($BI18=1,SUM('Final Calculation Sheet'!$L$4:$L$40),IF($BL18=1,SUM('Final Calculation Sheet'!$L$4:$L$40)-SUMIFS('Final Calculation Sheet'!$L$4:$L$40,$AZ$5:$AZ$41,10),SUMIFS('Final Calculation Sheet'!$L$4:$L$40,$AZ$5:$AZ$41,$BH18))),""))</f>
        <v/>
      </c>
      <c r="N19" s="70">
        <f>IF($BJ18&gt;0,IF(INDEX('Final Calculation Sheet'!$M$4:$M$40,$BJ18-3)="","",INDEX('Final Calculation Sheet'!$M$4:$M$40,$BJ18-3)),IF(OR($BI18=1,$BL18=1,$BH18&gt;0),IF($BI18=1,SUM('Final Calculation Sheet'!$M$4:$M$40),IF($BL18=1,SUM('Final Calculation Sheet'!$M$4:$M$40)-SUMIFS('Final Calculation Sheet'!$M$4:$M$40,$AZ$5:$AZ$41,10),SUMIFS('Final Calculation Sheet'!$M$4:$M$40,$AZ$5:$AZ$41,$BH18))),""))</f>
        <v/>
      </c>
      <c r="O19" s="71">
        <f>IF($BJ18&gt;0,IF(INDEX('Final Calculation Sheet'!$N$4:$N$40,$BJ18-3)="","",INDEX('Final Calculation Sheet'!$N$4:$N$40,$BJ18-3)),IF(OR($BI18=1,$BL18=1,$BH18&gt;0),IF($BI18=1,SUM('Final Calculation Sheet'!$N$4:$N$40),IF($BL18=1,SUM('Final Calculation Sheet'!$N$4:$N$40)-SUMIFS('Final Calculation Sheet'!$N$4:$N$40,$AZ$5:$AZ$41,10),SUMIFS('Final Calculation Sheet'!$N$4:$N$40,$AZ$5:$AZ$41,$BH18))),""))</f>
        <v/>
      </c>
      <c r="P19" s="70">
        <f>IF($BJ18&gt;0,IF(INDEX('Final Calculation Sheet'!$O$4:$O$40,$BJ18-3)="","",INDEX('Final Calculation Sheet'!$O$4:$O$40,$BJ18-3)),IF(OR($BI18=1,$BL18=1,$BH18&gt;0),IF($BI18=1,SUM('Final Calculation Sheet'!$O$4:$O$40),IF($BL18=1,SUM('Final Calculation Sheet'!$O$4:$O$40)-SUMIFS('Final Calculation Sheet'!$O$4:$O$40,$AZ$5:$AZ$41,10),SUMIFS('Final Calculation Sheet'!$O$4:$O$40,$AZ$5:$AZ$41,$BH18))),""))</f>
        <v/>
      </c>
      <c r="Q19" s="70">
        <f>IF($BJ18&gt;0,IF(INDEX('Final Calculation Sheet'!$P$4:$P$40,$BJ18-3)="","",INDEX('Final Calculation Sheet'!$P$4:$P$40,$BJ18-3)),IF(OR($BI18=1,$BL18=1,$BH18&gt;0),IF($BI18=1,SUM('Final Calculation Sheet'!$P$4:$P$40),IF($BL18=1,SUM('Final Calculation Sheet'!$P$4:$P$40)-SUMIFS('Final Calculation Sheet'!$P$4:$P$40,$AZ$5:$AZ$41,10),SUMIFS('Final Calculation Sheet'!$P$4:$P$40,$AZ$5:$AZ$41,$BH18))),""))</f>
        <v/>
      </c>
      <c r="R19" s="72">
        <f>IF($BJ18&gt;0,IF(INDEX('Final Calculation Sheet'!$Q$4:$Q$40,$BJ18-3)="","",INDEX('Final Calculation Sheet'!$Q$4:$Q$40,$BJ18-3)),IF(OR($BI18=1,$BL18=1,$BH18&gt;0),"–",""))</f>
        <v/>
      </c>
      <c r="S19" s="70">
        <f>IF($BJ18&gt;0,IF(INDEX('Final Calculation Sheet'!$R$4:$R$40,$BJ18-3)="","",INDEX('Final Calculation Sheet'!$R$4:$R$40,$BJ18-3)),IF(OR($BI18=1,$BL18=1,$BH18&gt;0),IF($BI18=1,SUM('Final Calculation Sheet'!$R$4:$R$40),IF($BL18=1,SUM('Final Calculation Sheet'!$R$4:$R$40)-SUMIFS('Final Calculation Sheet'!$R$4:$R$40,$AZ$5:$AZ$41,10),SUMIFS('Final Calculation Sheet'!$R$4:$R$40,$AZ$5:$AZ$41,$BH18))),""))</f>
        <v/>
      </c>
      <c r="T19" s="70">
        <f>IF($BJ18&gt;0,IF(INDEX('Final Calculation Sheet'!$S$4:$S$40,$BJ18-3)="","",INDEX('Final Calculation Sheet'!$S$4:$S$40,$BJ18-3)),IF(OR($BI18=1,$BL18=1,$BH18&gt;0),IF($BI18=1,SUM('Final Calculation Sheet'!$S$4:$S$40),IF($BL18=1,SUM('Final Calculation Sheet'!$S$4:$S$40)-SUMIFS('Final Calculation Sheet'!$S$4:$S$40,$AZ$5:$AZ$41,10),SUMIFS('Final Calculation Sheet'!$S$4:$S$40,$AZ$5:$AZ$41,$BH18))),""))</f>
        <v/>
      </c>
      <c r="U19" s="70">
        <f>IF($BJ18&gt;0,IF(INDEX('Final Calculation Sheet'!$T$4:$T$40,$BJ18-3)="","",INDEX('Final Calculation Sheet'!$T$4:$T$40,$BJ18-3)),IF(OR($BI18=1,$BL18=1,$BH18&gt;0),IF($BI18=1,SUM('Final Calculation Sheet'!$T$4:$T$40),IF($BL18=1,SUM('Final Calculation Sheet'!$T$4:$T$40)-SUMIFS('Final Calculation Sheet'!$T$4:$T$40,$AZ$5:$AZ$41,10),SUMIFS('Final Calculation Sheet'!$T$4:$T$40,$AZ$5:$AZ$41,$BH18))),""))</f>
        <v/>
      </c>
      <c r="V19" s="73">
        <f>IF($BJ18&gt;0,IF(INDEX('Final Calculation Sheet'!$U$4:$U$40,$BJ18-3)="","",INDEX('Final Calculation Sheet'!$U$4:$U$40,$BJ18-3)),IF(OR($BI18=1,$BL18=1,$BH18&gt;0),IF($BI18=1,SUM('Final Calculation Sheet'!$U$4:$U$40),IF($BL18=1,SUM('Final Calculation Sheet'!$U$4:$U$40)-SUMIFS('Final Calculation Sheet'!$U$4:$U$40,$AZ$5:$AZ$41,10),SUMIFS('Final Calculation Sheet'!$U$4:$U$40,$AZ$5:$AZ$41,$BH18))),""))</f>
        <v/>
      </c>
      <c r="W19" s="70">
        <f>IF($BJ18&gt;0,IF(INDEX('Final Calculation Sheet'!$V$4:$V$40,$BJ18-3)="","",INDEX('Final Calculation Sheet'!$V$4:$V$40,$BJ18-3)),IF(OR($BI18=1,$BL18=1,$BH18&gt;0),"–",""))</f>
        <v/>
      </c>
      <c r="X19" s="70">
        <f>IF($BJ18&gt;0,IF(INDEX('Final Calculation Sheet'!$W$4:$W$40,$BJ18-3)="","",INDEX('Final Calculation Sheet'!$W$4:$W$40,$BJ18-3)),IF(OR($BI18=1,$BL18=1,$BH18&gt;0),IF($BI18=1,SUM('Final Calculation Sheet'!$W$4:$W$40),IF($BL18=1,SUM('Final Calculation Sheet'!$W$4:$W$40)-SUMIFS('Final Calculation Sheet'!$W$4:$W$40,$AZ$5:$AZ$41,10),SUMIFS('Final Calculation Sheet'!$W$4:$W$40,$AZ$5:$AZ$41,$BH18))),""))</f>
        <v/>
      </c>
      <c r="Y19" s="70">
        <f>IF($BJ18&gt;0,IF(INDEX('Final Calculation Sheet'!$X$4:$X$40,$BJ18-3)="","",INDEX('Final Calculation Sheet'!$X$4:$X$40,$BJ18-3)),IF(OR($BI18=1,$BL18=1,$BH18&gt;0),IF($BI18=1,SUM('Final Calculation Sheet'!$X$4:$X$40),IF($BL18=1,SUM('Final Calculation Sheet'!$X$4:$X$40)-SUMIFS('Final Calculation Sheet'!$X$4:$X$40,$AZ$5:$AZ$41,10),SUMIFS('Final Calculation Sheet'!$X$4:$X$40,$AZ$5:$AZ$41,$BH18))),""))</f>
        <v/>
      </c>
      <c r="Z19" s="70">
        <f>IF($BJ18&gt;0,IF(INDEX('Final Calculation Sheet'!$Y$4:$Y$40,$BJ18-3)="","",INDEX('Final Calculation Sheet'!$Y$4:$Y$40,$BJ18-3)),IF(OR($BI18=1,$BL18=1,$BH18&gt;0),"–",""))</f>
        <v/>
      </c>
      <c r="AA19" s="70">
        <f>IF($BJ18&gt;0,IF(INDEX('Final Calculation Sheet'!$Z$4:$Z$40,$BJ18-3)="","",INDEX('Final Calculation Sheet'!$Z$4:$Z$40,$BJ18-3)),IF(OR($BI18=1,$BL18=1,$BH18&gt;0),IF($BI18=1,SUM('Final Calculation Sheet'!$Z$4:$Z$40),IF($BL18=1,SUM('Final Calculation Sheet'!$Z$4:$Z$40)-SUMIFS('Final Calculation Sheet'!$Z$4:$Z$40,$AZ$5:$AZ$41,10),SUMIFS('Final Calculation Sheet'!$Z$4:$Z$40,$AZ$5:$AZ$41,$BH18))),""))</f>
        <v/>
      </c>
      <c r="AB19" s="70">
        <f>IF($BJ18&gt;0,IF(INDEX('Final Calculation Sheet'!$AA$4:$AA$40,$BJ18-3)="","",INDEX('Final Calculation Sheet'!$AA$4:$AA$40,$BJ18-3)),IF(OR($BI18=1,$BL18=1,$BH18&gt;0),IF($BI18=1,SUM('Final Calculation Sheet'!$AA$4:$AA$40),IF($BL18=1,SUM('Final Calculation Sheet'!$AA$4:$AA$40)-SUMIFS('Final Calculation Sheet'!$AA$4:$AA$40,$AZ$5:$AZ$41,10),SUMIFS('Final Calculation Sheet'!$AA$4:$AA$40,$AZ$5:$AZ$41,$BH18))),""))</f>
        <v/>
      </c>
      <c r="AC19" s="70">
        <f>IF($BJ18&gt;0,IF(INDEX('Final Calculation Sheet'!$AB$4:$AB$40,$BJ18-3)="","",INDEX('Final Calculation Sheet'!$AB$4:$AB$40,$BJ18-3)),IF(OR($BI18=1,$BL18=1,$BH18&gt;0),"–",""))</f>
        <v/>
      </c>
      <c r="AD19" s="70">
        <f>IF($BJ18&gt;0,IF(INDEX('Final Calculation Sheet'!$AC$4:$AC$40,$BJ18-3)="","",INDEX('Final Calculation Sheet'!$AC$4:$AC$40,$BJ18-3)),IF(OR($BI18=1,$BL18=1,$BH18&gt;0),IF($BI18=1,SUM('Final Calculation Sheet'!$AC$4:$AC$40),IF($BL18=1,SUM('Final Calculation Sheet'!$AC$4:$AC$40)-SUMIFS('Final Calculation Sheet'!$AC$4:$AC$40,$AZ$5:$AZ$41,10),SUMIFS('Final Calculation Sheet'!$AC$4:$AC$40,$AZ$5:$AZ$41,$BH18))),""))</f>
        <v/>
      </c>
      <c r="AE19" s="70">
        <f>IF($BJ18&gt;0,IF(INDEX('Final Calculation Sheet'!$AD$4:$AD$40,$BJ18-3)="","",INDEX('Final Calculation Sheet'!$AD$4:$AD$40,$BJ18-3)),IF(OR($BI18=1,$BL18=1,$BH18&gt;0),IF($BI18=1,SUM('Final Calculation Sheet'!$AD$4:$AD$40),IF($BL18=1,SUM('Final Calculation Sheet'!$AD$4:$AD$40)-SUMIFS('Final Calculation Sheet'!$AD$4:$AD$40,$AZ$5:$AZ$41,10),SUMIFS('Final Calculation Sheet'!$AD$4:$AD$40,$AZ$5:$AZ$41,$BH18))),""))</f>
        <v/>
      </c>
      <c r="AF19" s="75">
        <f>IF($BJ18&gt;0,IF(INDEX('Final Calculation Sheet'!$AD$4:$AD$40,$BJ18-3)="","",IF(INDEX('Final Calculation Sheet'!$AD$4:$AD$40,$BJ18-3)&lt;=5,"SETTLED","OUTSTANDING")),IF(OR($BI18=1,$BL18=1,$BH18&gt;0),IF(IF($BI18=1,SUM('Final Calculation Sheet'!$AD$4:$AD$40),IF($BL18=1,SUM('Final Calculation Sheet'!$AD$4:$AD$40)-SUMIFS('Final Calculation Sheet'!$AD$4:$AD$40,$AZ$5:$AZ$41,10),SUMIFS('Final Calculation Sheet'!$AD$4:$AD$40,$AZ$5:$AZ$41,$BH18)))&lt;=5,"ALL SETTLED","OUTSTANDING"),""))</f>
        <v/>
      </c>
      <c r="AG19" s="70">
        <f>IF($BJ18&gt;0,IF(INDEX('Final Calculation Sheet'!$AF$4:$AF$40,$BJ18-3)="","",INDEX('Final Calculation Sheet'!$AF$4:$AF$40,$BJ18-3)),IF(OR($BI18=1,$BL18=1,$BH18&gt;0),"–",""))</f>
        <v/>
      </c>
      <c r="AH19" s="74">
        <f>IF($BJ18&gt;0,IF(INDEX('Final Calculation Sheet'!$AG$4:$AG$40,$BJ18-3)="","",INDEX('Final Calculation Sheet'!$AG$4:$AG$40,$BJ18-3)),IF(OR($BI18=1,$BL18=1,$BH18&gt;0),"–",""))</f>
        <v/>
      </c>
      <c r="AI19" s="70">
        <f>IF($BJ18&gt;0,IF(INDEX('Final Calculation Sheet'!$AH$4:$AH$40,$BJ18-3)="","",INDEX('Final Calculation Sheet'!$AH$4:$AH$40,$BJ18-3)),IF(OR($BI18=1,$BL18=1,$BH18&gt;0),"–",""))</f>
        <v/>
      </c>
      <c r="AK19">
        <f>IF($F$3="Lot No.",'Final Calculation Sheet'!$F$18,IF($F$3="Buyer",'Final Calculation Sheet'!$G$18,IF($F$3="Lot Name",'Final Calculation Sheet'!$B$18,IF($F$3="Bid Sheet",'Final Calculation Sheet'!$D$18,IF($F$3="Unit",'Final Calculation Sheet'!$E$18,'Final Calculation Sheet'!$F$18&amp;" "&amp;'Final Calculation Sheet'!$G$18&amp;" "&amp;'Final Calculation Sheet'!$B$18)))))</f>
        <v/>
      </c>
      <c r="AL19">
        <f>AL18+IF($B$3="",0,--(SUMPRODUCT(--($AR$6:$AY$6&lt;&gt;""),--ISNUMBER(SEARCH($AR$6:$AY$6,$AK19)))&gt;0))</f>
        <v/>
      </c>
      <c r="AM19">
        <f>IF(COUNTIF($BM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AZ19">
        <f>IF($B$3="",IF(COUNTIF($A$4:$AI$4,"&lt;&gt;")=0,9,IF($AM19=1,9,10)),IF($AM19=0,10,IF(AND($AR$6&lt;&gt;"",ISNUMBER(SEARCH($AR$6,$AK19))),1,IF(AND($AS$6&lt;&gt;"",ISNUMBER(SEARCH($AS$6,$AK19))),2,IF(AND($AT$6&lt;&gt;"",ISNUMBER(SEARCH($AT$6,$AK19))),3,IF(AND($AU$6&lt;&gt;"",ISNUMBER(SEARCH($AU$6,$AK19))),4,IF(AND($AV$6&lt;&gt;"",ISNUMBER(SEARCH($AV$6,$AK19))),5,IF(AND($AW$6&lt;&gt;"",ISNUMBER(SEARCH($AW$6,$AK19))),6,IF(AND($AX$6&lt;&gt;"",ISNUMBER(SEARCH($AX$6,$AK19))),7,IF(AND($AY$6&lt;&gt;"",ISNUMBER(SEARCH($AY$6,$AK19))),8,0))))))))))</f>
        <v/>
      </c>
      <c r="BA19">
        <f>SUMPRODUCT(($AZ$5:$AZ$41=$AZ19)*($BC$5:$BC$41&lt;$BC19))+1</f>
        <v/>
      </c>
      <c r="BB19">
        <f>IF(INDEX($BF$4:$BF$13,$AZ19)=0,0,INDEX($BE$4:$BE$13,$AZ19)+$BA19-1)</f>
        <v/>
      </c>
      <c r="BC19" t="n">
        <v>18</v>
      </c>
      <c r="BH19">
        <f>IFERROR(MATCH(19,$BF$4:$BF$13,0),0)</f>
        <v/>
      </c>
      <c r="BI19">
        <f>IF(19=$BG$5,1,0)</f>
        <v/>
      </c>
      <c r="BJ19">
        <f>IF(OR($BH19&gt;0,$BI19=1,$BL19=1),0,IFERROR(INDEX($BC$5:$BC$41,MATCH(19,$BB$5:$BB$41,0)),0))</f>
        <v/>
      </c>
      <c r="BK19">
        <f>IF($BJ19&gt;0,IF(INDEX($AZ$5:$AZ$41,MATCH(19,$BB$5:$BB$41,0))=10,1,0),IF($BH19=10,1,0))</f>
        <v/>
      </c>
      <c r="BL19">
        <f>IF(19=$BG$4,1,0)</f>
        <v/>
      </c>
      <c r="BM19">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9">
        <f>IF($B$4="",1,--(OR(SUMPRODUCT(--(TRIM(MID(SUBSTITUTE(SUBSTITUTE($B$4,"/",","),",",REPT(" ",99)),(ROW($1:$8)-1)*99+1,99))&lt;&gt;""),--ISNUMBER(SEARCH(TRIM(MID(SUBSTITUTE(SUBSTITUTE($B$4,"/",","),",",REPT(" ",99)),(ROW($1:$8)-1)*99+1,99)),IFERROR(('Final Calculation Sheet'!$F$18)&amp;"",""))))&gt;0,AND(ISNUMBER(SEARCH("blank",$B$4)),NOT(ISNUMBER(SEARCH("nonblank",$B$4))),IFERROR(('Final Calculation Sheet'!$F$18)&amp;"","")=""),AND(OR(ISNUMBER(SEARCH("nonblank",$B$4)),ISNUMBER(SEARCH("&lt;&gt;",$B$4))),IFERROR(('Final Calculation Sheet'!$F$18)&amp;"","")&lt;&gt;""),AND(TRIM($B$4)="",IFERROR(('Final Calculation Sheet'!$F$18)&amp;"","")=""))))</f>
        <v/>
      </c>
      <c r="BO19">
        <f>IF($CW$3="",1,--(OR(SUMPRODUCT(--(TRIM(MID(SUBSTITUTE(SUBSTITUTE($CW$3,"/",","),",",REPT(" ",99)),(ROW($1:$8)-1)*99+1,99))&lt;&gt;""),--ISNUMBER(SEARCH(TRIM(MID(SUBSTITUTE(SUBSTITUTE($CW$3,"/",","),",",REPT(" ",99)),(ROW($1:$8)-1)*99+1,99)),IFERROR(('Final Calculation Sheet'!$G$18)&amp;"",""))))&gt;0,AND(ISNUMBER(SEARCH("blank",$CW$3)),NOT(ISNUMBER(SEARCH("nonblank",$CW$3))),IFERROR(('Final Calculation Sheet'!$G$18)&amp;"","")=""),AND(OR(ISNUMBER(SEARCH("nonblank",$CW$3)),ISNUMBER(SEARCH("&lt;&gt;",$CW$3))),IFERROR(('Final Calculation Sheet'!$G$18)&amp;"","")&lt;&gt;""),AND(TRIM($CW$3)="",IFERROR(('Final Calculation Sheet'!$G$18)&amp;"","")=""))))</f>
        <v/>
      </c>
      <c r="BP19">
        <f>IF($D$4="",1,--(OR(SUMPRODUCT(--(TRIM(MID(SUBSTITUTE(SUBSTITUTE($D$4,"/",","),",",REPT(" ",99)),(ROW($1:$8)-1)*99+1,99))&lt;&gt;""),--ISNUMBER(SEARCH(TRIM(MID(SUBSTITUTE(SUBSTITUTE($D$4,"/",","),",",REPT(" ",99)),(ROW($1:$8)-1)*99+1,99)),IFERROR(('Final Calculation Sheet'!$B$18)&amp;"",""))))&gt;0,AND(ISNUMBER(SEARCH("blank",$D$4)),NOT(ISNUMBER(SEARCH("nonblank",$D$4))),IFERROR(('Final Calculation Sheet'!$B$18)&amp;"","")=""),AND(OR(ISNUMBER(SEARCH("nonblank",$D$4)),ISNUMBER(SEARCH("&lt;&gt;",$D$4))),IFERROR(('Final Calculation Sheet'!$B$18)&amp;"","")&lt;&gt;""),AND(TRIM($D$4)="",IFERROR(('Final Calculation Sheet'!$B$18)&amp;"","")=""))))</f>
        <v/>
      </c>
      <c r="BQ19">
        <f>IF($E$4="",1,--(OR(SUMPRODUCT(--(TRIM(MID(SUBSTITUTE(SUBSTITUTE($E$4,"/",","),",",REPT(" ",99)),(ROW($1:$8)-1)*99+1,99))&lt;&gt;""),--ISNUMBER(SEARCH(TRIM(MID(SUBSTITUTE(SUBSTITUTE($E$4,"/",","),",",REPT(" ",99)),(ROW($1:$8)-1)*99+1,99)),IFERROR(('Final Calculation Sheet'!$D$18)&amp;"",""))))&gt;0,AND(ISNUMBER(SEARCH("blank",$E$4)),NOT(ISNUMBER(SEARCH("nonblank",$E$4))),IFERROR(('Final Calculation Sheet'!$D$18)&amp;"","")=""),AND(OR(ISNUMBER(SEARCH("nonblank",$E$4)),ISNUMBER(SEARCH("&lt;&gt;",$E$4))),IFERROR(('Final Calculation Sheet'!$D$18)&amp;"","")&lt;&gt;""),AND(TRIM($E$4)="",IFERROR(('Final Calculation Sheet'!$D$18)&amp;"","")=""))))</f>
        <v/>
      </c>
      <c r="BR19">
        <f>IF($F$4="",1,--(OR(SUMPRODUCT(--(TRIM(MID(SUBSTITUTE(SUBSTITUTE($F$4,"/",","),",",REPT(" ",99)),(ROW($1:$8)-1)*99+1,99))&lt;&gt;""),--ISNUMBER(SEARCH(TRIM(MID(SUBSTITUTE(SUBSTITUTE($F$4,"/",","),",",REPT(" ",99)),(ROW($1:$8)-1)*99+1,99)),IFERROR(('Final Calculation Sheet'!$A$18)&amp;"",""))))&gt;0,AND(ISNUMBER(SEARCH("blank",$F$4)),NOT(ISNUMBER(SEARCH("nonblank",$F$4))),IFERROR(('Final Calculation Sheet'!$A$18)&amp;"","")=""),AND(OR(ISNUMBER(SEARCH("nonblank",$F$4)),ISNUMBER(SEARCH("&lt;&gt;",$F$4))),IFERROR(('Final Calculation Sheet'!$A$18)&amp;"","")&lt;&gt;""),AND(TRIM($F$4)="",IFERROR(('Final Calculation Sheet'!$A$18)&amp;"","")=""))))</f>
        <v/>
      </c>
      <c r="BS19">
        <f>IF($G$4="",1,--(OR(SUMPRODUCT(--(TRIM(MID(SUBSTITUTE(SUBSTITUTE($G$4,"/",","),",",REPT(" ",99)),(ROW($1:$8)-1)*99+1,99))&lt;&gt;""),--ISNUMBER(SEARCH(TRIM(MID(SUBSTITUTE(SUBSTITUTE($G$4,"/",","),",",REPT(" ",99)),(ROW($1:$8)-1)*99+1,99)),IFERROR(('Final Calculation Sheet'!$E$18)&amp;"",""))))&gt;0,AND(ISNUMBER(SEARCH("blank",$G$4)),NOT(ISNUMBER(SEARCH("nonblank",$G$4))),IFERROR(('Final Calculation Sheet'!$E$18)&amp;"","")=""),AND(OR(ISNUMBER(SEARCH("nonblank",$G$4)),ISNUMBER(SEARCH("&lt;&gt;",$G$4))),IFERROR(('Final Calculation Sheet'!$E$18)&amp;"","")&lt;&gt;""),AND(TRIM($G$4)="",IFERROR(('Final Calculation Sheet'!$E$18)&amp;"","")=""))))</f>
        <v/>
      </c>
      <c r="BT19">
        <f>IF($H$4="",1,--(OR(SUMPRODUCT(--(TRIM(MID(SUBSTITUTE(SUBSTITUTE($H$4,"/",","),",",REPT(" ",99)),(ROW($1:$8)-1)*99+1,99))&lt;&gt;""),--ISNUMBER(SEARCH(TRIM(MID(SUBSTITUTE(SUBSTITUTE($H$4,"/",","),",",REPT(" ",99)),(ROW($1:$8)-1)*99+1,99)),IFERROR(('Final Calculation Sheet'!$C$18)&amp;"",""))))&gt;0,AND(ISNUMBER(SEARCH("blank",$H$4)),NOT(ISNUMBER(SEARCH("nonblank",$H$4))),IFERROR(('Final Calculation Sheet'!$C$18)&amp;"","")=""),AND(OR(ISNUMBER(SEARCH("nonblank",$H$4)),ISNUMBER(SEARCH("&lt;&gt;",$H$4))),IFERROR(('Final Calculation Sheet'!$C$18)&amp;"","")&lt;&gt;""),AND(TRIM($H$4)="",IFERROR(('Final Calculation Sheet'!$C$18)&amp;"","")=""))))</f>
        <v/>
      </c>
      <c r="BU19">
        <f>IF($I$4="",1,--(OR(SUMPRODUCT(--(TRIM(MID(SUBSTITUTE(SUBSTITUTE($I$4,"/",","),",",REPT(" ",99)),(ROW($1:$8)-1)*99+1,99))&lt;&gt;""),--ISNUMBER(SEARCH(TRIM(MID(SUBSTITUTE(SUBSTITUTE($I$4,"/",","),",",REPT(" ",99)),(ROW($1:$8)-1)*99+1,99)),IFERROR(('Final Calculation Sheet'!$H$18)&amp;"",""))))&gt;0,AND(ISNUMBER(SEARCH("blank",$I$4)),NOT(ISNUMBER(SEARCH("nonblank",$I$4))),IFERROR(('Final Calculation Sheet'!$H$18)&amp;"","")=""),AND(OR(ISNUMBER(SEARCH("nonblank",$I$4)),ISNUMBER(SEARCH("&lt;&gt;",$I$4))),IFERROR(('Final Calculation Sheet'!$H$18)&amp;"","")&lt;&gt;""),AND(TRIM($I$4)="",IFERROR(('Final Calculation Sheet'!$H$18)&amp;"","")=""))))</f>
        <v/>
      </c>
      <c r="BV19">
        <f>IF($J$4="",1,--(OR(SUMPRODUCT(--(TRIM(MID(SUBSTITUTE(SUBSTITUTE($J$4,"/",","),",",REPT(" ",99)),(ROW($1:$8)-1)*99+1,99))&lt;&gt;""),--ISNUMBER(SEARCH(TRIM(MID(SUBSTITUTE(SUBSTITUTE($J$4,"/",","),",",REPT(" ",99)),(ROW($1:$8)-1)*99+1,99)),IFERROR(('Final Calculation Sheet'!$I$18)&amp;"",""))))&gt;0,AND(ISNUMBER(SEARCH("blank",$J$4)),NOT(ISNUMBER(SEARCH("nonblank",$J$4))),IFERROR(('Final Calculation Sheet'!$I$18)&amp;"","")=""),AND(OR(ISNUMBER(SEARCH("nonblank",$J$4)),ISNUMBER(SEARCH("&lt;&gt;",$J$4))),IFERROR(('Final Calculation Sheet'!$I$18)&amp;"","")&lt;&gt;""),AND(TRIM($J$4)="",IFERROR(('Final Calculation Sheet'!$I$18)&amp;"","")=""))))</f>
        <v/>
      </c>
      <c r="BW19">
        <f>IF($K$4="",1,--(OR(SUMPRODUCT(--(TRIM(MID(SUBSTITUTE(SUBSTITUTE($K$4,"/",","),",",REPT(" ",99)),(ROW($1:$8)-1)*99+1,99))&lt;&gt;""),--ISNUMBER(SEARCH(TRIM(MID(SUBSTITUTE(SUBSTITUTE($K$4,"/",","),",",REPT(" ",99)),(ROW($1:$8)-1)*99+1,99)),IFERROR(('Final Calculation Sheet'!$J$18)&amp;"",""))))&gt;0,AND(ISNUMBER(SEARCH("blank",$K$4)),NOT(ISNUMBER(SEARCH("nonblank",$K$4))),IFERROR(('Final Calculation Sheet'!$J$18)&amp;"","")=""),AND(OR(ISNUMBER(SEARCH("nonblank",$K$4)),ISNUMBER(SEARCH("&lt;&gt;",$K$4))),IFERROR(('Final Calculation Sheet'!$J$18)&amp;"","")&lt;&gt;""),AND(TRIM($K$4)="",IFERROR(('Final Calculation Sheet'!$J$18)&amp;"","")=""))))</f>
        <v/>
      </c>
      <c r="BX19">
        <f>IF($L$4="",1,--(OR(SUMPRODUCT(--(TRIM(MID(SUBSTITUTE(SUBSTITUTE($L$4,"/",","),",",REPT(" ",99)),(ROW($1:$8)-1)*99+1,99))&lt;&gt;""),--ISNUMBER(SEARCH(TRIM(MID(SUBSTITUTE(SUBSTITUTE($L$4,"/",","),",",REPT(" ",99)),(ROW($1:$8)-1)*99+1,99)),IFERROR(('Final Calculation Sheet'!$K$18)&amp;"",""))))&gt;0,AND(ISNUMBER(SEARCH("blank",$L$4)),NOT(ISNUMBER(SEARCH("nonblank",$L$4))),IFERROR(('Final Calculation Sheet'!$K$18)&amp;"","")=""),AND(OR(ISNUMBER(SEARCH("nonblank",$L$4)),ISNUMBER(SEARCH("&lt;&gt;",$L$4))),IFERROR(('Final Calculation Sheet'!$K$18)&amp;"","")&lt;&gt;""),AND(TRIM($L$4)="",IFERROR(('Final Calculation Sheet'!$K$18)&amp;"","")=""))))</f>
        <v/>
      </c>
      <c r="BY19">
        <f>IF($M$4="",1,--(OR(SUMPRODUCT(--(TRIM(MID(SUBSTITUTE(SUBSTITUTE($M$4,"/",","),",",REPT(" ",99)),(ROW($1:$8)-1)*99+1,99))&lt;&gt;""),--ISNUMBER(SEARCH(TRIM(MID(SUBSTITUTE(SUBSTITUTE($M$4,"/",","),",",REPT(" ",99)),(ROW($1:$8)-1)*99+1,99)),IFERROR(('Final Calculation Sheet'!$L$18)&amp;"",""))))&gt;0,AND(ISNUMBER(SEARCH("blank",$M$4)),NOT(ISNUMBER(SEARCH("nonblank",$M$4))),IFERROR(('Final Calculation Sheet'!$L$18)&amp;"","")=""),AND(OR(ISNUMBER(SEARCH("nonblank",$M$4)),ISNUMBER(SEARCH("&lt;&gt;",$M$4))),IFERROR(('Final Calculation Sheet'!$L$18)&amp;"","")&lt;&gt;""),AND(TRIM($M$4)="",IFERROR(('Final Calculation Sheet'!$L$18)&amp;"","")=""))))</f>
        <v/>
      </c>
      <c r="BZ19">
        <f>IF($N$4="",1,--(OR(SUMPRODUCT(--(TRIM(MID(SUBSTITUTE(SUBSTITUTE($N$4,"/",","),",",REPT(" ",99)),(ROW($1:$8)-1)*99+1,99))&lt;&gt;""),--ISNUMBER(SEARCH(TRIM(MID(SUBSTITUTE(SUBSTITUTE($N$4,"/",","),",",REPT(" ",99)),(ROW($1:$8)-1)*99+1,99)),IFERROR(('Final Calculation Sheet'!$M$18)&amp;"",""))))&gt;0,AND(ISNUMBER(SEARCH("blank",$N$4)),NOT(ISNUMBER(SEARCH("nonblank",$N$4))),IFERROR(('Final Calculation Sheet'!$M$18)&amp;"","")=""),AND(OR(ISNUMBER(SEARCH("nonblank",$N$4)),ISNUMBER(SEARCH("&lt;&gt;",$N$4))),IFERROR(('Final Calculation Sheet'!$M$18)&amp;"","")&lt;&gt;""),AND(TRIM($N$4)="",IFERROR(('Final Calculation Sheet'!$M$18)&amp;"","")=""))))</f>
        <v/>
      </c>
      <c r="CA19">
        <f>IF($O$4="",1,--(OR(SUMPRODUCT(--(TRIM(MID(SUBSTITUTE(SUBSTITUTE($O$4,"/",","),",",REPT(" ",99)),(ROW($1:$8)-1)*99+1,99))&lt;&gt;""),--ISNUMBER(SEARCH(TRIM(MID(SUBSTITUTE(SUBSTITUTE($O$4,"/",","),",",REPT(" ",99)),(ROW($1:$8)-1)*99+1,99)),IFERROR(('Final Calculation Sheet'!$N$18)&amp;"",""))))&gt;0,AND(ISNUMBER(SEARCH("blank",$O$4)),NOT(ISNUMBER(SEARCH("nonblank",$O$4))),IFERROR(('Final Calculation Sheet'!$N$18)&amp;"","")=""),AND(OR(ISNUMBER(SEARCH("nonblank",$O$4)),ISNUMBER(SEARCH("&lt;&gt;",$O$4))),IFERROR(('Final Calculation Sheet'!$N$18)&amp;"","")&lt;&gt;""),AND(TRIM($O$4)="",IFERROR(('Final Calculation Sheet'!$N$18)&amp;"","")=""))))</f>
        <v/>
      </c>
      <c r="CB19">
        <f>IF($P$4="",1,--(OR(SUMPRODUCT(--(TRIM(MID(SUBSTITUTE(SUBSTITUTE($P$4,"/",","),",",REPT(" ",99)),(ROW($1:$8)-1)*99+1,99))&lt;&gt;""),--ISNUMBER(SEARCH(TRIM(MID(SUBSTITUTE(SUBSTITUTE($P$4,"/",","),",",REPT(" ",99)),(ROW($1:$8)-1)*99+1,99)),IFERROR(('Final Calculation Sheet'!$O$18)&amp;"",""))))&gt;0,AND(ISNUMBER(SEARCH("blank",$P$4)),NOT(ISNUMBER(SEARCH("nonblank",$P$4))),IFERROR(('Final Calculation Sheet'!$O$18)&amp;"","")=""),AND(OR(ISNUMBER(SEARCH("nonblank",$P$4)),ISNUMBER(SEARCH("&lt;&gt;",$P$4))),IFERROR(('Final Calculation Sheet'!$O$18)&amp;"","")&lt;&gt;""),AND(TRIM($P$4)="",IFERROR(('Final Calculation Sheet'!$O$18)&amp;"","")=""))))</f>
        <v/>
      </c>
      <c r="CC19">
        <f>IF($Q$4="",1,--(OR(SUMPRODUCT(--(TRIM(MID(SUBSTITUTE(SUBSTITUTE($Q$4,"/",","),",",REPT(" ",99)),(ROW($1:$8)-1)*99+1,99))&lt;&gt;""),--ISNUMBER(SEARCH(TRIM(MID(SUBSTITUTE(SUBSTITUTE($Q$4,"/",","),",",REPT(" ",99)),(ROW($1:$8)-1)*99+1,99)),IFERROR(('Final Calculation Sheet'!$P$18)&amp;"",""))))&gt;0,AND(ISNUMBER(SEARCH("blank",$Q$4)),NOT(ISNUMBER(SEARCH("nonblank",$Q$4))),IFERROR(('Final Calculation Sheet'!$P$18)&amp;"","")=""),AND(OR(ISNUMBER(SEARCH("nonblank",$Q$4)),ISNUMBER(SEARCH("&lt;&gt;",$Q$4))),IFERROR(('Final Calculation Sheet'!$P$18)&amp;"","")&lt;&gt;""),AND(TRIM($Q$4)="",IFERROR(('Final Calculation Sheet'!$P$18)&amp;"","")=""))))</f>
        <v/>
      </c>
      <c r="CD19">
        <f>IF($R$4="",1,--(OR(SUMPRODUCT(--(TRIM(MID(SUBSTITUTE(SUBSTITUTE($R$4,"/",","),",",REPT(" ",99)),(ROW($1:$8)-1)*99+1,99))&lt;&gt;""),--ISNUMBER(SEARCH(TRIM(MID(SUBSTITUTE(SUBSTITUTE($R$4,"/",","),",",REPT(" ",99)),(ROW($1:$8)-1)*99+1,99)),IFERROR(('Final Calculation Sheet'!$Q$18)&amp;"",""))))&gt;0,AND(ISNUMBER(SEARCH("blank",$R$4)),NOT(ISNUMBER(SEARCH("nonblank",$R$4))),IFERROR(('Final Calculation Sheet'!$Q$18)&amp;"","")=""),AND(OR(ISNUMBER(SEARCH("nonblank",$R$4)),ISNUMBER(SEARCH("&lt;&gt;",$R$4))),IFERROR(('Final Calculation Sheet'!$Q$18)&amp;"","")&lt;&gt;""),AND(TRIM($R$4)="",IFERROR(('Final Calculation Sheet'!$Q$18)&amp;"","")=""))))</f>
        <v/>
      </c>
      <c r="CE19">
        <f>IF($S$4="",1,--(OR(SUMPRODUCT(--(TRIM(MID(SUBSTITUTE(SUBSTITUTE($S$4,"/",","),",",REPT(" ",99)),(ROW($1:$8)-1)*99+1,99))&lt;&gt;""),--ISNUMBER(SEARCH(TRIM(MID(SUBSTITUTE(SUBSTITUTE($S$4,"/",","),",",REPT(" ",99)),(ROW($1:$8)-1)*99+1,99)),IFERROR(('Final Calculation Sheet'!$R$18)&amp;"",""))))&gt;0,AND(ISNUMBER(SEARCH("blank",$S$4)),NOT(ISNUMBER(SEARCH("nonblank",$S$4))),IFERROR(('Final Calculation Sheet'!$R$18)&amp;"","")=""),AND(OR(ISNUMBER(SEARCH("nonblank",$S$4)),ISNUMBER(SEARCH("&lt;&gt;",$S$4))),IFERROR(('Final Calculation Sheet'!$R$18)&amp;"","")&lt;&gt;""),AND(TRIM($S$4)="",IFERROR(('Final Calculation Sheet'!$R$18)&amp;"","")=""))))</f>
        <v/>
      </c>
      <c r="CF19">
        <f>IF($T$4="",1,--(OR(SUMPRODUCT(--(TRIM(MID(SUBSTITUTE(SUBSTITUTE($T$4,"/",","),",",REPT(" ",99)),(ROW($1:$8)-1)*99+1,99))&lt;&gt;""),--ISNUMBER(SEARCH(TRIM(MID(SUBSTITUTE(SUBSTITUTE($T$4,"/",","),",",REPT(" ",99)),(ROW($1:$8)-1)*99+1,99)),IFERROR(('Final Calculation Sheet'!$S$18)&amp;"",""))))&gt;0,AND(ISNUMBER(SEARCH("blank",$T$4)),NOT(ISNUMBER(SEARCH("nonblank",$T$4))),IFERROR(('Final Calculation Sheet'!$S$18)&amp;"","")=""),AND(OR(ISNUMBER(SEARCH("nonblank",$T$4)),ISNUMBER(SEARCH("&lt;&gt;",$T$4))),IFERROR(('Final Calculation Sheet'!$S$18)&amp;"","")&lt;&gt;""),AND(TRIM($T$4)="",IFERROR(('Final Calculation Sheet'!$S$18)&amp;"","")=""))))</f>
        <v/>
      </c>
      <c r="CG19">
        <f>IF($U$4="",1,--(OR(SUMPRODUCT(--(TRIM(MID(SUBSTITUTE(SUBSTITUTE($U$4,"/",","),",",REPT(" ",99)),(ROW($1:$8)-1)*99+1,99))&lt;&gt;""),--ISNUMBER(SEARCH(TRIM(MID(SUBSTITUTE(SUBSTITUTE($U$4,"/",","),",",REPT(" ",99)),(ROW($1:$8)-1)*99+1,99)),IFERROR(('Final Calculation Sheet'!$T$18)&amp;"",""))))&gt;0,AND(ISNUMBER(SEARCH("blank",$U$4)),NOT(ISNUMBER(SEARCH("nonblank",$U$4))),IFERROR(('Final Calculation Sheet'!$T$18)&amp;"","")=""),AND(OR(ISNUMBER(SEARCH("nonblank",$U$4)),ISNUMBER(SEARCH("&lt;&gt;",$U$4))),IFERROR(('Final Calculation Sheet'!$T$18)&amp;"","")&lt;&gt;""),AND(TRIM($U$4)="",IFERROR(('Final Calculation Sheet'!$T$18)&amp;"","")=""))))</f>
        <v/>
      </c>
      <c r="CH19">
        <f>IF($V$4="",1,--(OR(SUMPRODUCT(--(TRIM(MID(SUBSTITUTE(SUBSTITUTE($V$4,"/",","),",",REPT(" ",99)),(ROW($1:$8)-1)*99+1,99))&lt;&gt;""),--ISNUMBER(SEARCH(TRIM(MID(SUBSTITUTE(SUBSTITUTE($V$4,"/",","),",",REPT(" ",99)),(ROW($1:$8)-1)*99+1,99)),IFERROR(('Final Calculation Sheet'!$U$18)&amp;"",""))))&gt;0,AND(ISNUMBER(SEARCH("blank",$V$4)),NOT(ISNUMBER(SEARCH("nonblank",$V$4))),IFERROR(('Final Calculation Sheet'!$U$18)&amp;"","")=""),AND(OR(ISNUMBER(SEARCH("nonblank",$V$4)),ISNUMBER(SEARCH("&lt;&gt;",$V$4))),IFERROR(('Final Calculation Sheet'!$U$18)&amp;"","")&lt;&gt;""),AND(TRIM($V$4)="",IFERROR(('Final Calculation Sheet'!$U$18)&amp;"","")=""))))</f>
        <v/>
      </c>
      <c r="CI19">
        <f>IF($W$4="",1,--(OR(SUMPRODUCT(--(TRIM(MID(SUBSTITUTE(SUBSTITUTE($W$4,"/",","),",",REPT(" ",99)),(ROW($1:$8)-1)*99+1,99))&lt;&gt;""),--ISNUMBER(SEARCH(TRIM(MID(SUBSTITUTE(SUBSTITUTE($W$4,"/",","),",",REPT(" ",99)),(ROW($1:$8)-1)*99+1,99)),IFERROR(('Final Calculation Sheet'!$V$18)&amp;"",""))))&gt;0,AND(ISNUMBER(SEARCH("blank",$W$4)),NOT(ISNUMBER(SEARCH("nonblank",$W$4))),IFERROR(('Final Calculation Sheet'!$V$18)&amp;"","")=""),AND(OR(ISNUMBER(SEARCH("nonblank",$W$4)),ISNUMBER(SEARCH("&lt;&gt;",$W$4))),IFERROR(('Final Calculation Sheet'!$V$18)&amp;"","")&lt;&gt;""),AND(TRIM($W$4)="",IFERROR(('Final Calculation Sheet'!$V$18)&amp;"","")=""))))</f>
        <v/>
      </c>
      <c r="CJ19">
        <f>IF($X$4="",1,--(OR(SUMPRODUCT(--(TRIM(MID(SUBSTITUTE(SUBSTITUTE($X$4,"/",","),",",REPT(" ",99)),(ROW($1:$8)-1)*99+1,99))&lt;&gt;""),--ISNUMBER(SEARCH(TRIM(MID(SUBSTITUTE(SUBSTITUTE($X$4,"/",","),",",REPT(" ",99)),(ROW($1:$8)-1)*99+1,99)),IFERROR(('Final Calculation Sheet'!$W$18)&amp;"",""))))&gt;0,AND(ISNUMBER(SEARCH("blank",$X$4)),NOT(ISNUMBER(SEARCH("nonblank",$X$4))),IFERROR(('Final Calculation Sheet'!$W$18)&amp;"","")=""),AND(OR(ISNUMBER(SEARCH("nonblank",$X$4)),ISNUMBER(SEARCH("&lt;&gt;",$X$4))),IFERROR(('Final Calculation Sheet'!$W$18)&amp;"","")&lt;&gt;""),AND(TRIM($X$4)="",IFERROR(('Final Calculation Sheet'!$W$18)&amp;"","")=""))))</f>
        <v/>
      </c>
      <c r="CK19">
        <f>IF($Y$4="",1,--(OR(SUMPRODUCT(--(TRIM(MID(SUBSTITUTE(SUBSTITUTE($Y$4,"/",","),",",REPT(" ",99)),(ROW($1:$8)-1)*99+1,99))&lt;&gt;""),--ISNUMBER(SEARCH(TRIM(MID(SUBSTITUTE(SUBSTITUTE($Y$4,"/",","),",",REPT(" ",99)),(ROW($1:$8)-1)*99+1,99)),IFERROR(('Final Calculation Sheet'!$X$18)&amp;"",""))))&gt;0,AND(ISNUMBER(SEARCH("blank",$Y$4)),NOT(ISNUMBER(SEARCH("nonblank",$Y$4))),IFERROR(('Final Calculation Sheet'!$X$18)&amp;"","")=""),AND(OR(ISNUMBER(SEARCH("nonblank",$Y$4)),ISNUMBER(SEARCH("&lt;&gt;",$Y$4))),IFERROR(('Final Calculation Sheet'!$X$18)&amp;"","")&lt;&gt;""),AND(TRIM($Y$4)="",IFERROR(('Final Calculation Sheet'!$X$18)&amp;"","")=""))))</f>
        <v/>
      </c>
      <c r="CL19">
        <f>IF($Z$4="",1,--(OR(SUMPRODUCT(--(TRIM(MID(SUBSTITUTE(SUBSTITUTE($Z$4,"/",","),",",REPT(" ",99)),(ROW($1:$8)-1)*99+1,99))&lt;&gt;""),--ISNUMBER(SEARCH(TRIM(MID(SUBSTITUTE(SUBSTITUTE($Z$4,"/",","),",",REPT(" ",99)),(ROW($1:$8)-1)*99+1,99)),IFERROR(('Final Calculation Sheet'!$Y$18)&amp;"",""))))&gt;0,AND(ISNUMBER(SEARCH("blank",$Z$4)),NOT(ISNUMBER(SEARCH("nonblank",$Z$4))),IFERROR(('Final Calculation Sheet'!$Y$18)&amp;"","")=""),AND(OR(ISNUMBER(SEARCH("nonblank",$Z$4)),ISNUMBER(SEARCH("&lt;&gt;",$Z$4))),IFERROR(('Final Calculation Sheet'!$Y$18)&amp;"","")&lt;&gt;""),AND(TRIM($Z$4)="",IFERROR(('Final Calculation Sheet'!$Y$18)&amp;"","")=""))))</f>
        <v/>
      </c>
      <c r="CM19">
        <f>IF($AA$4="",1,--(OR(SUMPRODUCT(--(TRIM(MID(SUBSTITUTE(SUBSTITUTE($AA$4,"/",","),",",REPT(" ",99)),(ROW($1:$8)-1)*99+1,99))&lt;&gt;""),--ISNUMBER(SEARCH(TRIM(MID(SUBSTITUTE(SUBSTITUTE($AA$4,"/",","),",",REPT(" ",99)),(ROW($1:$8)-1)*99+1,99)),IFERROR(('Final Calculation Sheet'!$Z$18)&amp;"",""))))&gt;0,AND(ISNUMBER(SEARCH("blank",$AA$4)),NOT(ISNUMBER(SEARCH("nonblank",$AA$4))),IFERROR(('Final Calculation Sheet'!$Z$18)&amp;"","")=""),AND(OR(ISNUMBER(SEARCH("nonblank",$AA$4)),ISNUMBER(SEARCH("&lt;&gt;",$AA$4))),IFERROR(('Final Calculation Sheet'!$Z$18)&amp;"","")&lt;&gt;""),AND(TRIM($AA$4)="",IFERROR(('Final Calculation Sheet'!$Z$18)&amp;"","")=""))))</f>
        <v/>
      </c>
      <c r="CN19">
        <f>IF($AB$4="",1,--(OR(SUMPRODUCT(--(TRIM(MID(SUBSTITUTE(SUBSTITUTE($AB$4,"/",","),",",REPT(" ",99)),(ROW($1:$8)-1)*99+1,99))&lt;&gt;""),--ISNUMBER(SEARCH(TRIM(MID(SUBSTITUTE(SUBSTITUTE($AB$4,"/",","),",",REPT(" ",99)),(ROW($1:$8)-1)*99+1,99)),IFERROR(('Final Calculation Sheet'!$AA$18)&amp;"",""))))&gt;0,AND(ISNUMBER(SEARCH("blank",$AB$4)),NOT(ISNUMBER(SEARCH("nonblank",$AB$4))),IFERROR(('Final Calculation Sheet'!$AA$18)&amp;"","")=""),AND(OR(ISNUMBER(SEARCH("nonblank",$AB$4)),ISNUMBER(SEARCH("&lt;&gt;",$AB$4))),IFERROR(('Final Calculation Sheet'!$AA$18)&amp;"","")&lt;&gt;""),AND(TRIM($AB$4)="",IFERROR(('Final Calculation Sheet'!$AA$18)&amp;"","")=""))))</f>
        <v/>
      </c>
      <c r="CO19">
        <f>IF($AC$4="",1,--(OR(SUMPRODUCT(--(TRIM(MID(SUBSTITUTE(SUBSTITUTE($AC$4,"/",","),",",REPT(" ",99)),(ROW($1:$8)-1)*99+1,99))&lt;&gt;""),--ISNUMBER(SEARCH(TRIM(MID(SUBSTITUTE(SUBSTITUTE($AC$4,"/",","),",",REPT(" ",99)),(ROW($1:$8)-1)*99+1,99)),IFERROR(('Final Calculation Sheet'!$AB$18)&amp;"",""))))&gt;0,AND(ISNUMBER(SEARCH("blank",$AC$4)),NOT(ISNUMBER(SEARCH("nonblank",$AC$4))),IFERROR(('Final Calculation Sheet'!$AB$18)&amp;"","")=""),AND(OR(ISNUMBER(SEARCH("nonblank",$AC$4)),ISNUMBER(SEARCH("&lt;&gt;",$AC$4))),IFERROR(('Final Calculation Sheet'!$AB$18)&amp;"","")&lt;&gt;""),AND(TRIM($AC$4)="",IFERROR(('Final Calculation Sheet'!$AB$18)&amp;"","")=""))))</f>
        <v/>
      </c>
      <c r="CP19">
        <f>IF($AD$4="",1,--(OR(SUMPRODUCT(--(TRIM(MID(SUBSTITUTE(SUBSTITUTE($AD$4,"/",","),",",REPT(" ",99)),(ROW($1:$8)-1)*99+1,99))&lt;&gt;""),--ISNUMBER(SEARCH(TRIM(MID(SUBSTITUTE(SUBSTITUTE($AD$4,"/",","),",",REPT(" ",99)),(ROW($1:$8)-1)*99+1,99)),IFERROR(('Final Calculation Sheet'!$AC$18)&amp;"",""))))&gt;0,AND(ISNUMBER(SEARCH("blank",$AD$4)),NOT(ISNUMBER(SEARCH("nonblank",$AD$4))),IFERROR(('Final Calculation Sheet'!$AC$18)&amp;"","")=""),AND(OR(ISNUMBER(SEARCH("nonblank",$AD$4)),ISNUMBER(SEARCH("&lt;&gt;",$AD$4))),IFERROR(('Final Calculation Sheet'!$AC$18)&amp;"","")&lt;&gt;""),AND(TRIM($AD$4)="",IFERROR(('Final Calculation Sheet'!$AC$18)&amp;"","")=""))))</f>
        <v/>
      </c>
      <c r="CQ19">
        <f>IF($AE$4="",1,--(OR(SUMPRODUCT(--(TRIM(MID(SUBSTITUTE(SUBSTITUTE($AE$4,"/",","),",",REPT(" ",99)),(ROW($1:$8)-1)*99+1,99))&lt;&gt;""),--ISNUMBER(SEARCH(TRIM(MID(SUBSTITUTE(SUBSTITUTE($AE$4,"/",","),",",REPT(" ",99)),(ROW($1:$8)-1)*99+1,99)),IFERROR(('Final Calculation Sheet'!$AD$18)&amp;"",""))))&gt;0,AND(ISNUMBER(SEARCH("blank",$AE$4)),NOT(ISNUMBER(SEARCH("nonblank",$AE$4))),IFERROR(('Final Calculation Sheet'!$AD$18)&amp;"","")=""),AND(OR(ISNUMBER(SEARCH("nonblank",$AE$4)),ISNUMBER(SEARCH("&lt;&gt;",$AE$4))),IFERROR(('Final Calculation Sheet'!$AD$18)&amp;"","")&lt;&gt;""),AND(TRIM($AE$4)="",IFERROR(('Final Calculation Sheet'!$AD$18)&amp;"","")=""))))</f>
        <v/>
      </c>
      <c r="CR19">
        <f>IF($AG$4="",1,--(OR(SUMPRODUCT(--(TRIM(MID(SUBSTITUTE(SUBSTITUTE($AG$4,"/",","),",",REPT(" ",99)),(ROW($1:$8)-1)*99+1,99))&lt;&gt;""),--ISNUMBER(SEARCH(TRIM(MID(SUBSTITUTE(SUBSTITUTE($AG$4,"/",","),",",REPT(" ",99)),(ROW($1:$8)-1)*99+1,99)),IFERROR(('Final Calculation Sheet'!$AF$18)&amp;"",""))))&gt;0,AND(ISNUMBER(SEARCH("blank",$AG$4)),NOT(ISNUMBER(SEARCH("nonblank",$AG$4))),IFERROR(('Final Calculation Sheet'!$AF$18)&amp;"","")=""),AND(OR(ISNUMBER(SEARCH("nonblank",$AG$4)),ISNUMBER(SEARCH("&lt;&gt;",$AG$4))),IFERROR(('Final Calculation Sheet'!$AF$18)&amp;"","")&lt;&gt;""),AND(TRIM($AG$4)="",IFERROR(('Final Calculation Sheet'!$AF$18)&amp;"","")=""))))</f>
        <v/>
      </c>
      <c r="CS19">
        <f>IF($AH$4="",1,--(OR(SUMPRODUCT(--(TRIM(MID(SUBSTITUTE(SUBSTITUTE($AH$4,"/",","),",",REPT(" ",99)),(ROW($1:$8)-1)*99+1,99))&lt;&gt;""),--ISNUMBER(SEARCH(TRIM(MID(SUBSTITUTE(SUBSTITUTE($AH$4,"/",","),",",REPT(" ",99)),(ROW($1:$8)-1)*99+1,99)),IFERROR(('Final Calculation Sheet'!$AG$18)&amp;"",""))))&gt;0,AND(ISNUMBER(SEARCH("blank",$AH$4)),NOT(ISNUMBER(SEARCH("nonblank",$AH$4))),IFERROR(('Final Calculation Sheet'!$AG$18)&amp;"","")=""),AND(OR(ISNUMBER(SEARCH("nonblank",$AH$4)),ISNUMBER(SEARCH("&lt;&gt;",$AH$4))),IFERROR(('Final Calculation Sheet'!$AG$18)&amp;"","")&lt;&gt;""),AND(TRIM($AH$4)="",IFERROR(('Final Calculation Sheet'!$AG$18)&amp;"","")=""))))</f>
        <v/>
      </c>
      <c r="CT19">
        <f>IF($AI$4="",1,--(OR(SUMPRODUCT(--(TRIM(MID(SUBSTITUTE(SUBSTITUTE($AI$4,"/",","),",",REPT(" ",99)),(ROW($1:$8)-1)*99+1,99))&lt;&gt;""),--ISNUMBER(SEARCH(TRIM(MID(SUBSTITUTE(SUBSTITUTE($AI$4,"/",","),",",REPT(" ",99)),(ROW($1:$8)-1)*99+1,99)),IFERROR(('Final Calculation Sheet'!$AH$18)&amp;"",""))))&gt;0,AND(ISNUMBER(SEARCH("blank",$AI$4)),NOT(ISNUMBER(SEARCH("nonblank",$AI$4))),IFERROR(('Final Calculation Sheet'!$AH$18)&amp;"","")=""),AND(OR(ISNUMBER(SEARCH("nonblank",$AI$4)),ISNUMBER(SEARCH("&lt;&gt;",$AI$4))),IFERROR(('Final Calculation Sheet'!$AH$18)&amp;"","")&lt;&gt;""),AND(TRIM($AI$4)="",IFERROR(('Final Calculation Sheet'!$AH$18)&amp;"","")=""))))</f>
        <v/>
      </c>
      <c r="CU19">
        <f>IF($AF$4="",1,--(OR(SUMPRODUCT(--(TRIM(MID(SUBSTITUTE(SUBSTITUTE($AF$4,"/",","),",",REPT(" ",99)),(ROW($1:$8)-1)*99+1,99))&lt;&gt;""),--ISNUMBER(SEARCH(TRIM(MID(SUBSTITUTE(SUBSTITUTE($AF$4,"/",","),",",REPT(" ",99)),(ROW($1:$8)-1)*99+1,99)),IFERROR((IF('Final Calculation Sheet'!$AD$18&lt;=5,"SETTLED","OUTSTANDING"))&amp;"",""))))&gt;0,AND(ISNUMBER(SEARCH("blank",$AF$4)),NOT(ISNUMBER(SEARCH("nonblank",$AF$4))),IFERROR((IF('Final Calculation Sheet'!$AD$18&lt;=5,"SETTLED","OUTSTANDING"))&amp;"","")=""),AND(OR(ISNUMBER(SEARCH("nonblank",$AF$4)),ISNUMBER(SEARCH("&lt;&gt;",$AF$4))),IFERROR((IF('Final Calculation Sheet'!$AD$18&lt;=5,"SETTLED","OUTSTANDING"))&amp;"","")&lt;&gt;""),AND(TRIM($AF$4)="",IFERROR((IF('Final Calculation Sheet'!$AD$18&lt;=5,"SETTLED","OUTSTANDING"))&amp;"","")=""))))</f>
        <v/>
      </c>
    </row>
    <row r="20" ht="15" customHeight="1" s="137">
      <c r="A20" s="67">
        <f>IF($BJ19&gt;0,INDEX($BA$5:$BA$41,MATCH(19,$BB$5:$BB$41,0)),IF(OR($BI19=1,$BL19=1,$BH19&gt;0),"∑",""))</f>
        <v/>
      </c>
      <c r="B20" s="76">
        <f>IF($BJ19&gt;0,IF(INDEX('Final Calculation Sheet'!$F$4:$F$40,$BJ19-3)="","",INDEX('Final Calculation Sheet'!$F$4:$F$40,$BJ19-3)),"")</f>
        <v/>
      </c>
      <c r="C20" s="76">
        <f>IF($BJ19&gt;0,IF(INDEX('Final Calculation Sheet'!$G$4:$G$40,$BJ19-3)="","",INDEX('Final Calculation Sheet'!$G$4:$G$40,$BJ19-3)),IF(OR($BI19=1,$BL19=1,$BH19&gt;0),IF($BI19=1,37,IF($BL19=1,37-INDEX($BD$4:$BD$13,10),INDEX($BD$4:$BD$13,$BH19)))&amp;" lot(s)",""))</f>
        <v/>
      </c>
      <c r="D20" s="80">
        <f>IF($BJ19&gt;0,IF(INDEX('Final Calculation Sheet'!$B$4:$B$40,$BJ19-3)="","",INDEX('Final Calculation Sheet'!$B$4:$B$40,$BJ19-3)),IF(OR($BI19=1,$BL19=1,$BH19&gt;0),IF($BI19=1,"GRAND TOTAL  —  matching + remaining",IF($BL19=1,"TOTAL MATCHED  —  every group together",IF($BH19=10,"REMAINING  —  did not match the search",IF($BH19=9,IF(COUNTIF($A$4:$AI$4,"&lt;&gt;")&gt;0,"FILTERED LOTS  —  column fields","ALL LOTS  —  nothing typed in the box"),"GROUP "&amp;$BH19&amp;" TOTAL  —  lots matching  "&amp;INDEX($AR$6:$AY$6,$BH19))))),""))</f>
        <v/>
      </c>
      <c r="E20" s="80">
        <f>IF($BJ19&gt;0,IF(INDEX('Final Calculation Sheet'!$D$4:$D$40,$BJ19-3)="","",INDEX('Final Calculation Sheet'!$D$4:$D$40,$BJ19-3)),IF(OR($BI19=1,$BL19=1,$BH19&gt;0),"–",""))</f>
        <v/>
      </c>
      <c r="F20" s="80">
        <f>IF($BJ19&gt;0,IF(INDEX('Final Calculation Sheet'!$A$4:$A$40,$BJ19-3)="","",INDEX('Final Calculation Sheet'!$A$4:$A$40,$BJ19-3)),IF(OR($BI19=1,$BL19=1,$BH19&gt;0),IF($BI19=1,SUM('Final Calculation Sheet'!$A$4:$A$40),IF($BL19=1,SUM('Final Calculation Sheet'!$A$4:$A$40)-SUMIFS('Final Calculation Sheet'!$A$4:$A$40,$AZ$5:$AZ$41,10),SUMIFS('Final Calculation Sheet'!$A$4:$A$40,$AZ$5:$AZ$41,$BH19))),""))</f>
        <v/>
      </c>
      <c r="G20" s="80">
        <f>IF($BJ19&gt;0,IF(INDEX('Final Calculation Sheet'!$E$4:$E$40,$BJ19-3)="","",INDEX('Final Calculation Sheet'!$E$4:$E$40,$BJ19-3)),IF(OR($BI19=1,$BL19=1,$BH19&gt;0),"–",""))</f>
        <v/>
      </c>
      <c r="H20" s="70">
        <f>IF($BJ19&gt;0,IF(INDEX('Final Calculation Sheet'!$C$4:$C$40,$BJ19-3)="","",INDEX('Final Calculation Sheet'!$C$4:$C$40,$BJ19-3)),IF(OR($BI19=1,$BL19=1,$BH19&gt;0),"–",""))</f>
        <v/>
      </c>
      <c r="I20" s="70">
        <f>IF($BJ19&gt;0,IF(INDEX('Final Calculation Sheet'!$H$4:$H$40,$BJ19-3)="","",INDEX('Final Calculation Sheet'!$H$4:$H$40,$BJ19-3)),IF(OR($BI19=1,$BL19=1,$BH19&gt;0),IF($BI19=1,SUM('Final Calculation Sheet'!$H$4:$H$40),IF($BL19=1,SUM('Final Calculation Sheet'!$H$4:$H$40)-SUMIFS('Final Calculation Sheet'!$H$4:$H$40,$AZ$5:$AZ$41,10),SUMIFS('Final Calculation Sheet'!$H$4:$H$40,$AZ$5:$AZ$41,$BH19))),""))</f>
        <v/>
      </c>
      <c r="J20" s="70">
        <f>IF($BJ19&gt;0,IF(INDEX('Final Calculation Sheet'!$I$4:$I$40,$BJ19-3)="","",INDEX('Final Calculation Sheet'!$I$4:$I$40,$BJ19-3)),IF(OR($BI19=1,$BL19=1,$BH19&gt;0),IF($BI19=1,SUM('Final Calculation Sheet'!$I$4:$I$40),IF($BL19=1,SUM('Final Calculation Sheet'!$I$4:$I$40)-SUMIFS('Final Calculation Sheet'!$I$4:$I$40,$AZ$5:$AZ$41,10),SUMIFS('Final Calculation Sheet'!$I$4:$I$40,$AZ$5:$AZ$41,$BH19))),""))</f>
        <v/>
      </c>
      <c r="K20" s="70">
        <f>IF($BJ19&gt;0,IF(INDEX('Final Calculation Sheet'!$J$4:$J$40,$BJ19-3)="","",INDEX('Final Calculation Sheet'!$J$4:$J$40,$BJ19-3)),IF(OR($BI19=1,$BL19=1,$BH19&gt;0),IF($BI19=1,SUM('Final Calculation Sheet'!$J$4:$J$40),IF($BL19=1,SUM('Final Calculation Sheet'!$J$4:$J$40)-SUMIFS('Final Calculation Sheet'!$J$4:$J$40,$AZ$5:$AZ$41,10),SUMIFS('Final Calculation Sheet'!$J$4:$J$40,$AZ$5:$AZ$41,$BH19))),""))</f>
        <v/>
      </c>
      <c r="L20" s="70">
        <f>IF($BJ19&gt;0,IF(INDEX('Final Calculation Sheet'!$K$4:$K$40,$BJ19-3)="","",INDEX('Final Calculation Sheet'!$K$4:$K$40,$BJ19-3)),IF(OR($BI19=1,$BL19=1,$BH19&gt;0),IF($BI19=1,SUM('Final Calculation Sheet'!$K$4:$K$40),IF($BL19=1,SUM('Final Calculation Sheet'!$K$4:$K$40)-SUMIFS('Final Calculation Sheet'!$K$4:$K$40,$AZ$5:$AZ$41,10),SUMIFS('Final Calculation Sheet'!$K$4:$K$40,$AZ$5:$AZ$41,$BH19))),""))</f>
        <v/>
      </c>
      <c r="M20" s="70">
        <f>IF($BJ19&gt;0,IF(INDEX('Final Calculation Sheet'!$L$4:$L$40,$BJ19-3)="","",INDEX('Final Calculation Sheet'!$L$4:$L$40,$BJ19-3)),IF(OR($BI19=1,$BL19=1,$BH19&gt;0),IF($BI19=1,SUM('Final Calculation Sheet'!$L$4:$L$40),IF($BL19=1,SUM('Final Calculation Sheet'!$L$4:$L$40)-SUMIFS('Final Calculation Sheet'!$L$4:$L$40,$AZ$5:$AZ$41,10),SUMIFS('Final Calculation Sheet'!$L$4:$L$40,$AZ$5:$AZ$41,$BH19))),""))</f>
        <v/>
      </c>
      <c r="N20" s="70">
        <f>IF($BJ19&gt;0,IF(INDEX('Final Calculation Sheet'!$M$4:$M$40,$BJ19-3)="","",INDEX('Final Calculation Sheet'!$M$4:$M$40,$BJ19-3)),IF(OR($BI19=1,$BL19=1,$BH19&gt;0),IF($BI19=1,SUM('Final Calculation Sheet'!$M$4:$M$40),IF($BL19=1,SUM('Final Calculation Sheet'!$M$4:$M$40)-SUMIFS('Final Calculation Sheet'!$M$4:$M$40,$AZ$5:$AZ$41,10),SUMIFS('Final Calculation Sheet'!$M$4:$M$40,$AZ$5:$AZ$41,$BH19))),""))</f>
        <v/>
      </c>
      <c r="O20" s="71">
        <f>IF($BJ19&gt;0,IF(INDEX('Final Calculation Sheet'!$N$4:$N$40,$BJ19-3)="","",INDEX('Final Calculation Sheet'!$N$4:$N$40,$BJ19-3)),IF(OR($BI19=1,$BL19=1,$BH19&gt;0),IF($BI19=1,SUM('Final Calculation Sheet'!$N$4:$N$40),IF($BL19=1,SUM('Final Calculation Sheet'!$N$4:$N$40)-SUMIFS('Final Calculation Sheet'!$N$4:$N$40,$AZ$5:$AZ$41,10),SUMIFS('Final Calculation Sheet'!$N$4:$N$40,$AZ$5:$AZ$41,$BH19))),""))</f>
        <v/>
      </c>
      <c r="P20" s="70">
        <f>IF($BJ19&gt;0,IF(INDEX('Final Calculation Sheet'!$O$4:$O$40,$BJ19-3)="","",INDEX('Final Calculation Sheet'!$O$4:$O$40,$BJ19-3)),IF(OR($BI19=1,$BL19=1,$BH19&gt;0),IF($BI19=1,SUM('Final Calculation Sheet'!$O$4:$O$40),IF($BL19=1,SUM('Final Calculation Sheet'!$O$4:$O$40)-SUMIFS('Final Calculation Sheet'!$O$4:$O$40,$AZ$5:$AZ$41,10),SUMIFS('Final Calculation Sheet'!$O$4:$O$40,$AZ$5:$AZ$41,$BH19))),""))</f>
        <v/>
      </c>
      <c r="Q20" s="70">
        <f>IF($BJ19&gt;0,IF(INDEX('Final Calculation Sheet'!$P$4:$P$40,$BJ19-3)="","",INDEX('Final Calculation Sheet'!$P$4:$P$40,$BJ19-3)),IF(OR($BI19=1,$BL19=1,$BH19&gt;0),IF($BI19=1,SUM('Final Calculation Sheet'!$P$4:$P$40),IF($BL19=1,SUM('Final Calculation Sheet'!$P$4:$P$40)-SUMIFS('Final Calculation Sheet'!$P$4:$P$40,$AZ$5:$AZ$41,10),SUMIFS('Final Calculation Sheet'!$P$4:$P$40,$AZ$5:$AZ$41,$BH19))),""))</f>
        <v/>
      </c>
      <c r="R20" s="72">
        <f>IF($BJ19&gt;0,IF(INDEX('Final Calculation Sheet'!$Q$4:$Q$40,$BJ19-3)="","",INDEX('Final Calculation Sheet'!$Q$4:$Q$40,$BJ19-3)),IF(OR($BI19=1,$BL19=1,$BH19&gt;0),"–",""))</f>
        <v/>
      </c>
      <c r="S20" s="70">
        <f>IF($BJ19&gt;0,IF(INDEX('Final Calculation Sheet'!$R$4:$R$40,$BJ19-3)="","",INDEX('Final Calculation Sheet'!$R$4:$R$40,$BJ19-3)),IF(OR($BI19=1,$BL19=1,$BH19&gt;0),IF($BI19=1,SUM('Final Calculation Sheet'!$R$4:$R$40),IF($BL19=1,SUM('Final Calculation Sheet'!$R$4:$R$40)-SUMIFS('Final Calculation Sheet'!$R$4:$R$40,$AZ$5:$AZ$41,10),SUMIFS('Final Calculation Sheet'!$R$4:$R$40,$AZ$5:$AZ$41,$BH19))),""))</f>
        <v/>
      </c>
      <c r="T20" s="70">
        <f>IF($BJ19&gt;0,IF(INDEX('Final Calculation Sheet'!$S$4:$S$40,$BJ19-3)="","",INDEX('Final Calculation Sheet'!$S$4:$S$40,$BJ19-3)),IF(OR($BI19=1,$BL19=1,$BH19&gt;0),IF($BI19=1,SUM('Final Calculation Sheet'!$S$4:$S$40),IF($BL19=1,SUM('Final Calculation Sheet'!$S$4:$S$40)-SUMIFS('Final Calculation Sheet'!$S$4:$S$40,$AZ$5:$AZ$41,10),SUMIFS('Final Calculation Sheet'!$S$4:$S$40,$AZ$5:$AZ$41,$BH19))),""))</f>
        <v/>
      </c>
      <c r="U20" s="70">
        <f>IF($BJ19&gt;0,IF(INDEX('Final Calculation Sheet'!$T$4:$T$40,$BJ19-3)="","",INDEX('Final Calculation Sheet'!$T$4:$T$40,$BJ19-3)),IF(OR($BI19=1,$BL19=1,$BH19&gt;0),IF($BI19=1,SUM('Final Calculation Sheet'!$T$4:$T$40),IF($BL19=1,SUM('Final Calculation Sheet'!$T$4:$T$40)-SUMIFS('Final Calculation Sheet'!$T$4:$T$40,$AZ$5:$AZ$41,10),SUMIFS('Final Calculation Sheet'!$T$4:$T$40,$AZ$5:$AZ$41,$BH19))),""))</f>
        <v/>
      </c>
      <c r="V20" s="73">
        <f>IF($BJ19&gt;0,IF(INDEX('Final Calculation Sheet'!$U$4:$U$40,$BJ19-3)="","",INDEX('Final Calculation Sheet'!$U$4:$U$40,$BJ19-3)),IF(OR($BI19=1,$BL19=1,$BH19&gt;0),IF($BI19=1,SUM('Final Calculation Sheet'!$U$4:$U$40),IF($BL19=1,SUM('Final Calculation Sheet'!$U$4:$U$40)-SUMIFS('Final Calculation Sheet'!$U$4:$U$40,$AZ$5:$AZ$41,10),SUMIFS('Final Calculation Sheet'!$U$4:$U$40,$AZ$5:$AZ$41,$BH19))),""))</f>
        <v/>
      </c>
      <c r="W20" s="70">
        <f>IF($BJ19&gt;0,IF(INDEX('Final Calculation Sheet'!$V$4:$V$40,$BJ19-3)="","",INDEX('Final Calculation Sheet'!$V$4:$V$40,$BJ19-3)),IF(OR($BI19=1,$BL19=1,$BH19&gt;0),"–",""))</f>
        <v/>
      </c>
      <c r="X20" s="70">
        <f>IF($BJ19&gt;0,IF(INDEX('Final Calculation Sheet'!$W$4:$W$40,$BJ19-3)="","",INDEX('Final Calculation Sheet'!$W$4:$W$40,$BJ19-3)),IF(OR($BI19=1,$BL19=1,$BH19&gt;0),IF($BI19=1,SUM('Final Calculation Sheet'!$W$4:$W$40),IF($BL19=1,SUM('Final Calculation Sheet'!$W$4:$W$40)-SUMIFS('Final Calculation Sheet'!$W$4:$W$40,$AZ$5:$AZ$41,10),SUMIFS('Final Calculation Sheet'!$W$4:$W$40,$AZ$5:$AZ$41,$BH19))),""))</f>
        <v/>
      </c>
      <c r="Y20" s="70">
        <f>IF($BJ19&gt;0,IF(INDEX('Final Calculation Sheet'!$X$4:$X$40,$BJ19-3)="","",INDEX('Final Calculation Sheet'!$X$4:$X$40,$BJ19-3)),IF(OR($BI19=1,$BL19=1,$BH19&gt;0),IF($BI19=1,SUM('Final Calculation Sheet'!$X$4:$X$40),IF($BL19=1,SUM('Final Calculation Sheet'!$X$4:$X$40)-SUMIFS('Final Calculation Sheet'!$X$4:$X$40,$AZ$5:$AZ$41,10),SUMIFS('Final Calculation Sheet'!$X$4:$X$40,$AZ$5:$AZ$41,$BH19))),""))</f>
        <v/>
      </c>
      <c r="Z20" s="70">
        <f>IF($BJ19&gt;0,IF(INDEX('Final Calculation Sheet'!$Y$4:$Y$40,$BJ19-3)="","",INDEX('Final Calculation Sheet'!$Y$4:$Y$40,$BJ19-3)),IF(OR($BI19=1,$BL19=1,$BH19&gt;0),"–",""))</f>
        <v/>
      </c>
      <c r="AA20" s="70">
        <f>IF($BJ19&gt;0,IF(INDEX('Final Calculation Sheet'!$Z$4:$Z$40,$BJ19-3)="","",INDEX('Final Calculation Sheet'!$Z$4:$Z$40,$BJ19-3)),IF(OR($BI19=1,$BL19=1,$BH19&gt;0),IF($BI19=1,SUM('Final Calculation Sheet'!$Z$4:$Z$40),IF($BL19=1,SUM('Final Calculation Sheet'!$Z$4:$Z$40)-SUMIFS('Final Calculation Sheet'!$Z$4:$Z$40,$AZ$5:$AZ$41,10),SUMIFS('Final Calculation Sheet'!$Z$4:$Z$40,$AZ$5:$AZ$41,$BH19))),""))</f>
        <v/>
      </c>
      <c r="AB20" s="70">
        <f>IF($BJ19&gt;0,IF(INDEX('Final Calculation Sheet'!$AA$4:$AA$40,$BJ19-3)="","",INDEX('Final Calculation Sheet'!$AA$4:$AA$40,$BJ19-3)),IF(OR($BI19=1,$BL19=1,$BH19&gt;0),IF($BI19=1,SUM('Final Calculation Sheet'!$AA$4:$AA$40),IF($BL19=1,SUM('Final Calculation Sheet'!$AA$4:$AA$40)-SUMIFS('Final Calculation Sheet'!$AA$4:$AA$40,$AZ$5:$AZ$41,10),SUMIFS('Final Calculation Sheet'!$AA$4:$AA$40,$AZ$5:$AZ$41,$BH19))),""))</f>
        <v/>
      </c>
      <c r="AC20" s="70">
        <f>IF($BJ19&gt;0,IF(INDEX('Final Calculation Sheet'!$AB$4:$AB$40,$BJ19-3)="","",INDEX('Final Calculation Sheet'!$AB$4:$AB$40,$BJ19-3)),IF(OR($BI19=1,$BL19=1,$BH19&gt;0),"–",""))</f>
        <v/>
      </c>
      <c r="AD20" s="70">
        <f>IF($BJ19&gt;0,IF(INDEX('Final Calculation Sheet'!$AC$4:$AC$40,$BJ19-3)="","",INDEX('Final Calculation Sheet'!$AC$4:$AC$40,$BJ19-3)),IF(OR($BI19=1,$BL19=1,$BH19&gt;0),IF($BI19=1,SUM('Final Calculation Sheet'!$AC$4:$AC$40),IF($BL19=1,SUM('Final Calculation Sheet'!$AC$4:$AC$40)-SUMIFS('Final Calculation Sheet'!$AC$4:$AC$40,$AZ$5:$AZ$41,10),SUMIFS('Final Calculation Sheet'!$AC$4:$AC$40,$AZ$5:$AZ$41,$BH19))),""))</f>
        <v/>
      </c>
      <c r="AE20" s="70">
        <f>IF($BJ19&gt;0,IF(INDEX('Final Calculation Sheet'!$AD$4:$AD$40,$BJ19-3)="","",INDEX('Final Calculation Sheet'!$AD$4:$AD$40,$BJ19-3)),IF(OR($BI19=1,$BL19=1,$BH19&gt;0),IF($BI19=1,SUM('Final Calculation Sheet'!$AD$4:$AD$40),IF($BL19=1,SUM('Final Calculation Sheet'!$AD$4:$AD$40)-SUMIFS('Final Calculation Sheet'!$AD$4:$AD$40,$AZ$5:$AZ$41,10),SUMIFS('Final Calculation Sheet'!$AD$4:$AD$40,$AZ$5:$AZ$41,$BH19))),""))</f>
        <v/>
      </c>
      <c r="AF20" s="75">
        <f>IF($BJ19&gt;0,IF(INDEX('Final Calculation Sheet'!$AD$4:$AD$40,$BJ19-3)="","",IF(INDEX('Final Calculation Sheet'!$AD$4:$AD$40,$BJ19-3)&lt;=5,"SETTLED","OUTSTANDING")),IF(OR($BI19=1,$BL19=1,$BH19&gt;0),IF(IF($BI19=1,SUM('Final Calculation Sheet'!$AD$4:$AD$40),IF($BL19=1,SUM('Final Calculation Sheet'!$AD$4:$AD$40)-SUMIFS('Final Calculation Sheet'!$AD$4:$AD$40,$AZ$5:$AZ$41,10),SUMIFS('Final Calculation Sheet'!$AD$4:$AD$40,$AZ$5:$AZ$41,$BH19)))&lt;=5,"ALL SETTLED","OUTSTANDING"),""))</f>
        <v/>
      </c>
      <c r="AG20" s="70">
        <f>IF($BJ19&gt;0,IF(INDEX('Final Calculation Sheet'!$AF$4:$AF$40,$BJ19-3)="","",INDEX('Final Calculation Sheet'!$AF$4:$AF$40,$BJ19-3)),IF(OR($BI19=1,$BL19=1,$BH19&gt;0),"–",""))</f>
        <v/>
      </c>
      <c r="AH20" s="74">
        <f>IF($BJ19&gt;0,IF(INDEX('Final Calculation Sheet'!$AG$4:$AG$40,$BJ19-3)="","",INDEX('Final Calculation Sheet'!$AG$4:$AG$40,$BJ19-3)),IF(OR($BI19=1,$BL19=1,$BH19&gt;0),"–",""))</f>
        <v/>
      </c>
      <c r="AI20" s="70">
        <f>IF($BJ19&gt;0,IF(INDEX('Final Calculation Sheet'!$AH$4:$AH$40,$BJ19-3)="","",INDEX('Final Calculation Sheet'!$AH$4:$AH$40,$BJ19-3)),IF(OR($BI19=1,$BL19=1,$BH19&gt;0),"–",""))</f>
        <v/>
      </c>
      <c r="AK20">
        <f>IF($F$3="Lot No.",'Final Calculation Sheet'!$F$19,IF($F$3="Buyer",'Final Calculation Sheet'!$G$19,IF($F$3="Lot Name",'Final Calculation Sheet'!$B$19,IF($F$3="Bid Sheet",'Final Calculation Sheet'!$D$19,IF($F$3="Unit",'Final Calculation Sheet'!$E$19,'Final Calculation Sheet'!$F$19&amp;" "&amp;'Final Calculation Sheet'!$G$19&amp;" "&amp;'Final Calculation Sheet'!$B$19)))))</f>
        <v/>
      </c>
      <c r="AL20">
        <f>AL19+IF($B$3="",0,--(SUMPRODUCT(--($AR$6:$AY$6&lt;&gt;""),--ISNUMBER(SEARCH($AR$6:$AY$6,$AK20)))&gt;0))</f>
        <v/>
      </c>
      <c r="AM20">
        <f>IF(COUNTIF($BM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AZ20">
        <f>IF($B$3="",IF(COUNTIF($A$4:$AI$4,"&lt;&gt;")=0,9,IF($AM20=1,9,10)),IF($AM20=0,10,IF(AND($AR$6&lt;&gt;"",ISNUMBER(SEARCH($AR$6,$AK20))),1,IF(AND($AS$6&lt;&gt;"",ISNUMBER(SEARCH($AS$6,$AK20))),2,IF(AND($AT$6&lt;&gt;"",ISNUMBER(SEARCH($AT$6,$AK20))),3,IF(AND($AU$6&lt;&gt;"",ISNUMBER(SEARCH($AU$6,$AK20))),4,IF(AND($AV$6&lt;&gt;"",ISNUMBER(SEARCH($AV$6,$AK20))),5,IF(AND($AW$6&lt;&gt;"",ISNUMBER(SEARCH($AW$6,$AK20))),6,IF(AND($AX$6&lt;&gt;"",ISNUMBER(SEARCH($AX$6,$AK20))),7,IF(AND($AY$6&lt;&gt;"",ISNUMBER(SEARCH($AY$6,$AK20))),8,0))))))))))</f>
        <v/>
      </c>
      <c r="BA20">
        <f>SUMPRODUCT(($AZ$5:$AZ$41=$AZ20)*($BC$5:$BC$41&lt;$BC20))+1</f>
        <v/>
      </c>
      <c r="BB20">
        <f>IF(INDEX($BF$4:$BF$13,$AZ20)=0,0,INDEX($BE$4:$BE$13,$AZ20)+$BA20-1)</f>
        <v/>
      </c>
      <c r="BC20" t="n">
        <v>19</v>
      </c>
      <c r="BH20">
        <f>IFERROR(MATCH(20,$BF$4:$BF$13,0),0)</f>
        <v/>
      </c>
      <c r="BI20">
        <f>IF(20=$BG$5,1,0)</f>
        <v/>
      </c>
      <c r="BJ20">
        <f>IF(OR($BH20&gt;0,$BI20=1,$BL20=1),0,IFERROR(INDEX($BC$5:$BC$41,MATCH(20,$BB$5:$BB$41,0)),0))</f>
        <v/>
      </c>
      <c r="BK20">
        <f>IF($BJ20&gt;0,IF(INDEX($AZ$5:$AZ$41,MATCH(20,$BB$5:$BB$41,0))=10,1,0),IF($BH20=10,1,0))</f>
        <v/>
      </c>
      <c r="BL20">
        <f>IF(20=$BG$4,1,0)</f>
        <v/>
      </c>
      <c r="BM20">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0">
        <f>IF($B$4="",1,--(OR(SUMPRODUCT(--(TRIM(MID(SUBSTITUTE(SUBSTITUTE($B$4,"/",","),",",REPT(" ",99)),(ROW($1:$8)-1)*99+1,99))&lt;&gt;""),--ISNUMBER(SEARCH(TRIM(MID(SUBSTITUTE(SUBSTITUTE($B$4,"/",","),",",REPT(" ",99)),(ROW($1:$8)-1)*99+1,99)),IFERROR(('Final Calculation Sheet'!$F$19)&amp;"",""))))&gt;0,AND(ISNUMBER(SEARCH("blank",$B$4)),NOT(ISNUMBER(SEARCH("nonblank",$B$4))),IFERROR(('Final Calculation Sheet'!$F$19)&amp;"","")=""),AND(OR(ISNUMBER(SEARCH("nonblank",$B$4)),ISNUMBER(SEARCH("&lt;&gt;",$B$4))),IFERROR(('Final Calculation Sheet'!$F$19)&amp;"","")&lt;&gt;""),AND(TRIM($B$4)="",IFERROR(('Final Calculation Sheet'!$F$19)&amp;"","")=""))))</f>
        <v/>
      </c>
      <c r="BO20">
        <f>IF($CW$3="",1,--(OR(SUMPRODUCT(--(TRIM(MID(SUBSTITUTE(SUBSTITUTE($CW$3,"/",","),",",REPT(" ",99)),(ROW($1:$8)-1)*99+1,99))&lt;&gt;""),--ISNUMBER(SEARCH(TRIM(MID(SUBSTITUTE(SUBSTITUTE($CW$3,"/",","),",",REPT(" ",99)),(ROW($1:$8)-1)*99+1,99)),IFERROR(('Final Calculation Sheet'!$G$19)&amp;"",""))))&gt;0,AND(ISNUMBER(SEARCH("blank",$CW$3)),NOT(ISNUMBER(SEARCH("nonblank",$CW$3))),IFERROR(('Final Calculation Sheet'!$G$19)&amp;"","")=""),AND(OR(ISNUMBER(SEARCH("nonblank",$CW$3)),ISNUMBER(SEARCH("&lt;&gt;",$CW$3))),IFERROR(('Final Calculation Sheet'!$G$19)&amp;"","")&lt;&gt;""),AND(TRIM($CW$3)="",IFERROR(('Final Calculation Sheet'!$G$19)&amp;"","")=""))))</f>
        <v/>
      </c>
      <c r="BP20">
        <f>IF($D$4="",1,--(OR(SUMPRODUCT(--(TRIM(MID(SUBSTITUTE(SUBSTITUTE($D$4,"/",","),",",REPT(" ",99)),(ROW($1:$8)-1)*99+1,99))&lt;&gt;""),--ISNUMBER(SEARCH(TRIM(MID(SUBSTITUTE(SUBSTITUTE($D$4,"/",","),",",REPT(" ",99)),(ROW($1:$8)-1)*99+1,99)),IFERROR(('Final Calculation Sheet'!$B$19)&amp;"",""))))&gt;0,AND(ISNUMBER(SEARCH("blank",$D$4)),NOT(ISNUMBER(SEARCH("nonblank",$D$4))),IFERROR(('Final Calculation Sheet'!$B$19)&amp;"","")=""),AND(OR(ISNUMBER(SEARCH("nonblank",$D$4)),ISNUMBER(SEARCH("&lt;&gt;",$D$4))),IFERROR(('Final Calculation Sheet'!$B$19)&amp;"","")&lt;&gt;""),AND(TRIM($D$4)="",IFERROR(('Final Calculation Sheet'!$B$19)&amp;"","")=""))))</f>
        <v/>
      </c>
      <c r="BQ20">
        <f>IF($E$4="",1,--(OR(SUMPRODUCT(--(TRIM(MID(SUBSTITUTE(SUBSTITUTE($E$4,"/",","),",",REPT(" ",99)),(ROW($1:$8)-1)*99+1,99))&lt;&gt;""),--ISNUMBER(SEARCH(TRIM(MID(SUBSTITUTE(SUBSTITUTE($E$4,"/",","),",",REPT(" ",99)),(ROW($1:$8)-1)*99+1,99)),IFERROR(('Final Calculation Sheet'!$D$19)&amp;"",""))))&gt;0,AND(ISNUMBER(SEARCH("blank",$E$4)),NOT(ISNUMBER(SEARCH("nonblank",$E$4))),IFERROR(('Final Calculation Sheet'!$D$19)&amp;"","")=""),AND(OR(ISNUMBER(SEARCH("nonblank",$E$4)),ISNUMBER(SEARCH("&lt;&gt;",$E$4))),IFERROR(('Final Calculation Sheet'!$D$19)&amp;"","")&lt;&gt;""),AND(TRIM($E$4)="",IFERROR(('Final Calculation Sheet'!$D$19)&amp;"","")=""))))</f>
        <v/>
      </c>
      <c r="BR20">
        <f>IF($F$4="",1,--(OR(SUMPRODUCT(--(TRIM(MID(SUBSTITUTE(SUBSTITUTE($F$4,"/",","),",",REPT(" ",99)),(ROW($1:$8)-1)*99+1,99))&lt;&gt;""),--ISNUMBER(SEARCH(TRIM(MID(SUBSTITUTE(SUBSTITUTE($F$4,"/",","),",",REPT(" ",99)),(ROW($1:$8)-1)*99+1,99)),IFERROR(('Final Calculation Sheet'!$A$19)&amp;"",""))))&gt;0,AND(ISNUMBER(SEARCH("blank",$F$4)),NOT(ISNUMBER(SEARCH("nonblank",$F$4))),IFERROR(('Final Calculation Sheet'!$A$19)&amp;"","")=""),AND(OR(ISNUMBER(SEARCH("nonblank",$F$4)),ISNUMBER(SEARCH("&lt;&gt;",$F$4))),IFERROR(('Final Calculation Sheet'!$A$19)&amp;"","")&lt;&gt;""),AND(TRIM($F$4)="",IFERROR(('Final Calculation Sheet'!$A$19)&amp;"","")=""))))</f>
        <v/>
      </c>
      <c r="BS20">
        <f>IF($G$4="",1,--(OR(SUMPRODUCT(--(TRIM(MID(SUBSTITUTE(SUBSTITUTE($G$4,"/",","),",",REPT(" ",99)),(ROW($1:$8)-1)*99+1,99))&lt;&gt;""),--ISNUMBER(SEARCH(TRIM(MID(SUBSTITUTE(SUBSTITUTE($G$4,"/",","),",",REPT(" ",99)),(ROW($1:$8)-1)*99+1,99)),IFERROR(('Final Calculation Sheet'!$E$19)&amp;"",""))))&gt;0,AND(ISNUMBER(SEARCH("blank",$G$4)),NOT(ISNUMBER(SEARCH("nonblank",$G$4))),IFERROR(('Final Calculation Sheet'!$E$19)&amp;"","")=""),AND(OR(ISNUMBER(SEARCH("nonblank",$G$4)),ISNUMBER(SEARCH("&lt;&gt;",$G$4))),IFERROR(('Final Calculation Sheet'!$E$19)&amp;"","")&lt;&gt;""),AND(TRIM($G$4)="",IFERROR(('Final Calculation Sheet'!$E$19)&amp;"","")=""))))</f>
        <v/>
      </c>
      <c r="BT20">
        <f>IF($H$4="",1,--(OR(SUMPRODUCT(--(TRIM(MID(SUBSTITUTE(SUBSTITUTE($H$4,"/",","),",",REPT(" ",99)),(ROW($1:$8)-1)*99+1,99))&lt;&gt;""),--ISNUMBER(SEARCH(TRIM(MID(SUBSTITUTE(SUBSTITUTE($H$4,"/",","),",",REPT(" ",99)),(ROW($1:$8)-1)*99+1,99)),IFERROR(('Final Calculation Sheet'!$C$19)&amp;"",""))))&gt;0,AND(ISNUMBER(SEARCH("blank",$H$4)),NOT(ISNUMBER(SEARCH("nonblank",$H$4))),IFERROR(('Final Calculation Sheet'!$C$19)&amp;"","")=""),AND(OR(ISNUMBER(SEARCH("nonblank",$H$4)),ISNUMBER(SEARCH("&lt;&gt;",$H$4))),IFERROR(('Final Calculation Sheet'!$C$19)&amp;"","")&lt;&gt;""),AND(TRIM($H$4)="",IFERROR(('Final Calculation Sheet'!$C$19)&amp;"","")=""))))</f>
        <v/>
      </c>
      <c r="BU20">
        <f>IF($I$4="",1,--(OR(SUMPRODUCT(--(TRIM(MID(SUBSTITUTE(SUBSTITUTE($I$4,"/",","),",",REPT(" ",99)),(ROW($1:$8)-1)*99+1,99))&lt;&gt;""),--ISNUMBER(SEARCH(TRIM(MID(SUBSTITUTE(SUBSTITUTE($I$4,"/",","),",",REPT(" ",99)),(ROW($1:$8)-1)*99+1,99)),IFERROR(('Final Calculation Sheet'!$H$19)&amp;"",""))))&gt;0,AND(ISNUMBER(SEARCH("blank",$I$4)),NOT(ISNUMBER(SEARCH("nonblank",$I$4))),IFERROR(('Final Calculation Sheet'!$H$19)&amp;"","")=""),AND(OR(ISNUMBER(SEARCH("nonblank",$I$4)),ISNUMBER(SEARCH("&lt;&gt;",$I$4))),IFERROR(('Final Calculation Sheet'!$H$19)&amp;"","")&lt;&gt;""),AND(TRIM($I$4)="",IFERROR(('Final Calculation Sheet'!$H$19)&amp;"","")=""))))</f>
        <v/>
      </c>
      <c r="BV20">
        <f>IF($J$4="",1,--(OR(SUMPRODUCT(--(TRIM(MID(SUBSTITUTE(SUBSTITUTE($J$4,"/",","),",",REPT(" ",99)),(ROW($1:$8)-1)*99+1,99))&lt;&gt;""),--ISNUMBER(SEARCH(TRIM(MID(SUBSTITUTE(SUBSTITUTE($J$4,"/",","),",",REPT(" ",99)),(ROW($1:$8)-1)*99+1,99)),IFERROR(('Final Calculation Sheet'!$I$19)&amp;"",""))))&gt;0,AND(ISNUMBER(SEARCH("blank",$J$4)),NOT(ISNUMBER(SEARCH("nonblank",$J$4))),IFERROR(('Final Calculation Sheet'!$I$19)&amp;"","")=""),AND(OR(ISNUMBER(SEARCH("nonblank",$J$4)),ISNUMBER(SEARCH("&lt;&gt;",$J$4))),IFERROR(('Final Calculation Sheet'!$I$19)&amp;"","")&lt;&gt;""),AND(TRIM($J$4)="",IFERROR(('Final Calculation Sheet'!$I$19)&amp;"","")=""))))</f>
        <v/>
      </c>
      <c r="BW20">
        <f>IF($K$4="",1,--(OR(SUMPRODUCT(--(TRIM(MID(SUBSTITUTE(SUBSTITUTE($K$4,"/",","),",",REPT(" ",99)),(ROW($1:$8)-1)*99+1,99))&lt;&gt;""),--ISNUMBER(SEARCH(TRIM(MID(SUBSTITUTE(SUBSTITUTE($K$4,"/",","),",",REPT(" ",99)),(ROW($1:$8)-1)*99+1,99)),IFERROR(('Final Calculation Sheet'!$J$19)&amp;"",""))))&gt;0,AND(ISNUMBER(SEARCH("blank",$K$4)),NOT(ISNUMBER(SEARCH("nonblank",$K$4))),IFERROR(('Final Calculation Sheet'!$J$19)&amp;"","")=""),AND(OR(ISNUMBER(SEARCH("nonblank",$K$4)),ISNUMBER(SEARCH("&lt;&gt;",$K$4))),IFERROR(('Final Calculation Sheet'!$J$19)&amp;"","")&lt;&gt;""),AND(TRIM($K$4)="",IFERROR(('Final Calculation Sheet'!$J$19)&amp;"","")=""))))</f>
        <v/>
      </c>
      <c r="BX20">
        <f>IF($L$4="",1,--(OR(SUMPRODUCT(--(TRIM(MID(SUBSTITUTE(SUBSTITUTE($L$4,"/",","),",",REPT(" ",99)),(ROW($1:$8)-1)*99+1,99))&lt;&gt;""),--ISNUMBER(SEARCH(TRIM(MID(SUBSTITUTE(SUBSTITUTE($L$4,"/",","),",",REPT(" ",99)),(ROW($1:$8)-1)*99+1,99)),IFERROR(('Final Calculation Sheet'!$K$19)&amp;"",""))))&gt;0,AND(ISNUMBER(SEARCH("blank",$L$4)),NOT(ISNUMBER(SEARCH("nonblank",$L$4))),IFERROR(('Final Calculation Sheet'!$K$19)&amp;"","")=""),AND(OR(ISNUMBER(SEARCH("nonblank",$L$4)),ISNUMBER(SEARCH("&lt;&gt;",$L$4))),IFERROR(('Final Calculation Sheet'!$K$19)&amp;"","")&lt;&gt;""),AND(TRIM($L$4)="",IFERROR(('Final Calculation Sheet'!$K$19)&amp;"","")=""))))</f>
        <v/>
      </c>
      <c r="BY20">
        <f>IF($M$4="",1,--(OR(SUMPRODUCT(--(TRIM(MID(SUBSTITUTE(SUBSTITUTE($M$4,"/",","),",",REPT(" ",99)),(ROW($1:$8)-1)*99+1,99))&lt;&gt;""),--ISNUMBER(SEARCH(TRIM(MID(SUBSTITUTE(SUBSTITUTE($M$4,"/",","),",",REPT(" ",99)),(ROW($1:$8)-1)*99+1,99)),IFERROR(('Final Calculation Sheet'!$L$19)&amp;"",""))))&gt;0,AND(ISNUMBER(SEARCH("blank",$M$4)),NOT(ISNUMBER(SEARCH("nonblank",$M$4))),IFERROR(('Final Calculation Sheet'!$L$19)&amp;"","")=""),AND(OR(ISNUMBER(SEARCH("nonblank",$M$4)),ISNUMBER(SEARCH("&lt;&gt;",$M$4))),IFERROR(('Final Calculation Sheet'!$L$19)&amp;"","")&lt;&gt;""),AND(TRIM($M$4)="",IFERROR(('Final Calculation Sheet'!$L$19)&amp;"","")=""))))</f>
        <v/>
      </c>
      <c r="BZ20">
        <f>IF($N$4="",1,--(OR(SUMPRODUCT(--(TRIM(MID(SUBSTITUTE(SUBSTITUTE($N$4,"/",","),",",REPT(" ",99)),(ROW($1:$8)-1)*99+1,99))&lt;&gt;""),--ISNUMBER(SEARCH(TRIM(MID(SUBSTITUTE(SUBSTITUTE($N$4,"/",","),",",REPT(" ",99)),(ROW($1:$8)-1)*99+1,99)),IFERROR(('Final Calculation Sheet'!$M$19)&amp;"",""))))&gt;0,AND(ISNUMBER(SEARCH("blank",$N$4)),NOT(ISNUMBER(SEARCH("nonblank",$N$4))),IFERROR(('Final Calculation Sheet'!$M$19)&amp;"","")=""),AND(OR(ISNUMBER(SEARCH("nonblank",$N$4)),ISNUMBER(SEARCH("&lt;&gt;",$N$4))),IFERROR(('Final Calculation Sheet'!$M$19)&amp;"","")&lt;&gt;""),AND(TRIM($N$4)="",IFERROR(('Final Calculation Sheet'!$M$19)&amp;"","")=""))))</f>
        <v/>
      </c>
      <c r="CA20">
        <f>IF($O$4="",1,--(OR(SUMPRODUCT(--(TRIM(MID(SUBSTITUTE(SUBSTITUTE($O$4,"/",","),",",REPT(" ",99)),(ROW($1:$8)-1)*99+1,99))&lt;&gt;""),--ISNUMBER(SEARCH(TRIM(MID(SUBSTITUTE(SUBSTITUTE($O$4,"/",","),",",REPT(" ",99)),(ROW($1:$8)-1)*99+1,99)),IFERROR(('Final Calculation Sheet'!$N$19)&amp;"",""))))&gt;0,AND(ISNUMBER(SEARCH("blank",$O$4)),NOT(ISNUMBER(SEARCH("nonblank",$O$4))),IFERROR(('Final Calculation Sheet'!$N$19)&amp;"","")=""),AND(OR(ISNUMBER(SEARCH("nonblank",$O$4)),ISNUMBER(SEARCH("&lt;&gt;",$O$4))),IFERROR(('Final Calculation Sheet'!$N$19)&amp;"","")&lt;&gt;""),AND(TRIM($O$4)="",IFERROR(('Final Calculation Sheet'!$N$19)&amp;"","")=""))))</f>
        <v/>
      </c>
      <c r="CB20">
        <f>IF($P$4="",1,--(OR(SUMPRODUCT(--(TRIM(MID(SUBSTITUTE(SUBSTITUTE($P$4,"/",","),",",REPT(" ",99)),(ROW($1:$8)-1)*99+1,99))&lt;&gt;""),--ISNUMBER(SEARCH(TRIM(MID(SUBSTITUTE(SUBSTITUTE($P$4,"/",","),",",REPT(" ",99)),(ROW($1:$8)-1)*99+1,99)),IFERROR(('Final Calculation Sheet'!$O$19)&amp;"",""))))&gt;0,AND(ISNUMBER(SEARCH("blank",$P$4)),NOT(ISNUMBER(SEARCH("nonblank",$P$4))),IFERROR(('Final Calculation Sheet'!$O$19)&amp;"","")=""),AND(OR(ISNUMBER(SEARCH("nonblank",$P$4)),ISNUMBER(SEARCH("&lt;&gt;",$P$4))),IFERROR(('Final Calculation Sheet'!$O$19)&amp;"","")&lt;&gt;""),AND(TRIM($P$4)="",IFERROR(('Final Calculation Sheet'!$O$19)&amp;"","")=""))))</f>
        <v/>
      </c>
      <c r="CC20">
        <f>IF($Q$4="",1,--(OR(SUMPRODUCT(--(TRIM(MID(SUBSTITUTE(SUBSTITUTE($Q$4,"/",","),",",REPT(" ",99)),(ROW($1:$8)-1)*99+1,99))&lt;&gt;""),--ISNUMBER(SEARCH(TRIM(MID(SUBSTITUTE(SUBSTITUTE($Q$4,"/",","),",",REPT(" ",99)),(ROW($1:$8)-1)*99+1,99)),IFERROR(('Final Calculation Sheet'!$P$19)&amp;"",""))))&gt;0,AND(ISNUMBER(SEARCH("blank",$Q$4)),NOT(ISNUMBER(SEARCH("nonblank",$Q$4))),IFERROR(('Final Calculation Sheet'!$P$19)&amp;"","")=""),AND(OR(ISNUMBER(SEARCH("nonblank",$Q$4)),ISNUMBER(SEARCH("&lt;&gt;",$Q$4))),IFERROR(('Final Calculation Sheet'!$P$19)&amp;"","")&lt;&gt;""),AND(TRIM($Q$4)="",IFERROR(('Final Calculation Sheet'!$P$19)&amp;"","")=""))))</f>
        <v/>
      </c>
      <c r="CD20">
        <f>IF($R$4="",1,--(OR(SUMPRODUCT(--(TRIM(MID(SUBSTITUTE(SUBSTITUTE($R$4,"/",","),",",REPT(" ",99)),(ROW($1:$8)-1)*99+1,99))&lt;&gt;""),--ISNUMBER(SEARCH(TRIM(MID(SUBSTITUTE(SUBSTITUTE($R$4,"/",","),",",REPT(" ",99)),(ROW($1:$8)-1)*99+1,99)),IFERROR(('Final Calculation Sheet'!$Q$19)&amp;"",""))))&gt;0,AND(ISNUMBER(SEARCH("blank",$R$4)),NOT(ISNUMBER(SEARCH("nonblank",$R$4))),IFERROR(('Final Calculation Sheet'!$Q$19)&amp;"","")=""),AND(OR(ISNUMBER(SEARCH("nonblank",$R$4)),ISNUMBER(SEARCH("&lt;&gt;",$R$4))),IFERROR(('Final Calculation Sheet'!$Q$19)&amp;"","")&lt;&gt;""),AND(TRIM($R$4)="",IFERROR(('Final Calculation Sheet'!$Q$19)&amp;"","")=""))))</f>
        <v/>
      </c>
      <c r="CE20">
        <f>IF($S$4="",1,--(OR(SUMPRODUCT(--(TRIM(MID(SUBSTITUTE(SUBSTITUTE($S$4,"/",","),",",REPT(" ",99)),(ROW($1:$8)-1)*99+1,99))&lt;&gt;""),--ISNUMBER(SEARCH(TRIM(MID(SUBSTITUTE(SUBSTITUTE($S$4,"/",","),",",REPT(" ",99)),(ROW($1:$8)-1)*99+1,99)),IFERROR(('Final Calculation Sheet'!$R$19)&amp;"",""))))&gt;0,AND(ISNUMBER(SEARCH("blank",$S$4)),NOT(ISNUMBER(SEARCH("nonblank",$S$4))),IFERROR(('Final Calculation Sheet'!$R$19)&amp;"","")=""),AND(OR(ISNUMBER(SEARCH("nonblank",$S$4)),ISNUMBER(SEARCH("&lt;&gt;",$S$4))),IFERROR(('Final Calculation Sheet'!$R$19)&amp;"","")&lt;&gt;""),AND(TRIM($S$4)="",IFERROR(('Final Calculation Sheet'!$R$19)&amp;"","")=""))))</f>
        <v/>
      </c>
      <c r="CF20">
        <f>IF($T$4="",1,--(OR(SUMPRODUCT(--(TRIM(MID(SUBSTITUTE(SUBSTITUTE($T$4,"/",","),",",REPT(" ",99)),(ROW($1:$8)-1)*99+1,99))&lt;&gt;""),--ISNUMBER(SEARCH(TRIM(MID(SUBSTITUTE(SUBSTITUTE($T$4,"/",","),",",REPT(" ",99)),(ROW($1:$8)-1)*99+1,99)),IFERROR(('Final Calculation Sheet'!$S$19)&amp;"",""))))&gt;0,AND(ISNUMBER(SEARCH("blank",$T$4)),NOT(ISNUMBER(SEARCH("nonblank",$T$4))),IFERROR(('Final Calculation Sheet'!$S$19)&amp;"","")=""),AND(OR(ISNUMBER(SEARCH("nonblank",$T$4)),ISNUMBER(SEARCH("&lt;&gt;",$T$4))),IFERROR(('Final Calculation Sheet'!$S$19)&amp;"","")&lt;&gt;""),AND(TRIM($T$4)="",IFERROR(('Final Calculation Sheet'!$S$19)&amp;"","")=""))))</f>
        <v/>
      </c>
      <c r="CG20">
        <f>IF($U$4="",1,--(OR(SUMPRODUCT(--(TRIM(MID(SUBSTITUTE(SUBSTITUTE($U$4,"/",","),",",REPT(" ",99)),(ROW($1:$8)-1)*99+1,99))&lt;&gt;""),--ISNUMBER(SEARCH(TRIM(MID(SUBSTITUTE(SUBSTITUTE($U$4,"/",","),",",REPT(" ",99)),(ROW($1:$8)-1)*99+1,99)),IFERROR(('Final Calculation Sheet'!$T$19)&amp;"",""))))&gt;0,AND(ISNUMBER(SEARCH("blank",$U$4)),NOT(ISNUMBER(SEARCH("nonblank",$U$4))),IFERROR(('Final Calculation Sheet'!$T$19)&amp;"","")=""),AND(OR(ISNUMBER(SEARCH("nonblank",$U$4)),ISNUMBER(SEARCH("&lt;&gt;",$U$4))),IFERROR(('Final Calculation Sheet'!$T$19)&amp;"","")&lt;&gt;""),AND(TRIM($U$4)="",IFERROR(('Final Calculation Sheet'!$T$19)&amp;"","")=""))))</f>
        <v/>
      </c>
      <c r="CH20">
        <f>IF($V$4="",1,--(OR(SUMPRODUCT(--(TRIM(MID(SUBSTITUTE(SUBSTITUTE($V$4,"/",","),",",REPT(" ",99)),(ROW($1:$8)-1)*99+1,99))&lt;&gt;""),--ISNUMBER(SEARCH(TRIM(MID(SUBSTITUTE(SUBSTITUTE($V$4,"/",","),",",REPT(" ",99)),(ROW($1:$8)-1)*99+1,99)),IFERROR(('Final Calculation Sheet'!$U$19)&amp;"",""))))&gt;0,AND(ISNUMBER(SEARCH("blank",$V$4)),NOT(ISNUMBER(SEARCH("nonblank",$V$4))),IFERROR(('Final Calculation Sheet'!$U$19)&amp;"","")=""),AND(OR(ISNUMBER(SEARCH("nonblank",$V$4)),ISNUMBER(SEARCH("&lt;&gt;",$V$4))),IFERROR(('Final Calculation Sheet'!$U$19)&amp;"","")&lt;&gt;""),AND(TRIM($V$4)="",IFERROR(('Final Calculation Sheet'!$U$19)&amp;"","")=""))))</f>
        <v/>
      </c>
      <c r="CI20">
        <f>IF($W$4="",1,--(OR(SUMPRODUCT(--(TRIM(MID(SUBSTITUTE(SUBSTITUTE($W$4,"/",","),",",REPT(" ",99)),(ROW($1:$8)-1)*99+1,99))&lt;&gt;""),--ISNUMBER(SEARCH(TRIM(MID(SUBSTITUTE(SUBSTITUTE($W$4,"/",","),",",REPT(" ",99)),(ROW($1:$8)-1)*99+1,99)),IFERROR(('Final Calculation Sheet'!$V$19)&amp;"",""))))&gt;0,AND(ISNUMBER(SEARCH("blank",$W$4)),NOT(ISNUMBER(SEARCH("nonblank",$W$4))),IFERROR(('Final Calculation Sheet'!$V$19)&amp;"","")=""),AND(OR(ISNUMBER(SEARCH("nonblank",$W$4)),ISNUMBER(SEARCH("&lt;&gt;",$W$4))),IFERROR(('Final Calculation Sheet'!$V$19)&amp;"","")&lt;&gt;""),AND(TRIM($W$4)="",IFERROR(('Final Calculation Sheet'!$V$19)&amp;"","")=""))))</f>
        <v/>
      </c>
      <c r="CJ20">
        <f>IF($X$4="",1,--(OR(SUMPRODUCT(--(TRIM(MID(SUBSTITUTE(SUBSTITUTE($X$4,"/",","),",",REPT(" ",99)),(ROW($1:$8)-1)*99+1,99))&lt;&gt;""),--ISNUMBER(SEARCH(TRIM(MID(SUBSTITUTE(SUBSTITUTE($X$4,"/",","),",",REPT(" ",99)),(ROW($1:$8)-1)*99+1,99)),IFERROR(('Final Calculation Sheet'!$W$19)&amp;"",""))))&gt;0,AND(ISNUMBER(SEARCH("blank",$X$4)),NOT(ISNUMBER(SEARCH("nonblank",$X$4))),IFERROR(('Final Calculation Sheet'!$W$19)&amp;"","")=""),AND(OR(ISNUMBER(SEARCH("nonblank",$X$4)),ISNUMBER(SEARCH("&lt;&gt;",$X$4))),IFERROR(('Final Calculation Sheet'!$W$19)&amp;"","")&lt;&gt;""),AND(TRIM($X$4)="",IFERROR(('Final Calculation Sheet'!$W$19)&amp;"","")=""))))</f>
        <v/>
      </c>
      <c r="CK20">
        <f>IF($Y$4="",1,--(OR(SUMPRODUCT(--(TRIM(MID(SUBSTITUTE(SUBSTITUTE($Y$4,"/",","),",",REPT(" ",99)),(ROW($1:$8)-1)*99+1,99))&lt;&gt;""),--ISNUMBER(SEARCH(TRIM(MID(SUBSTITUTE(SUBSTITUTE($Y$4,"/",","),",",REPT(" ",99)),(ROW($1:$8)-1)*99+1,99)),IFERROR(('Final Calculation Sheet'!$X$19)&amp;"",""))))&gt;0,AND(ISNUMBER(SEARCH("blank",$Y$4)),NOT(ISNUMBER(SEARCH("nonblank",$Y$4))),IFERROR(('Final Calculation Sheet'!$X$19)&amp;"","")=""),AND(OR(ISNUMBER(SEARCH("nonblank",$Y$4)),ISNUMBER(SEARCH("&lt;&gt;",$Y$4))),IFERROR(('Final Calculation Sheet'!$X$19)&amp;"","")&lt;&gt;""),AND(TRIM($Y$4)="",IFERROR(('Final Calculation Sheet'!$X$19)&amp;"","")=""))))</f>
        <v/>
      </c>
      <c r="CL20">
        <f>IF($Z$4="",1,--(OR(SUMPRODUCT(--(TRIM(MID(SUBSTITUTE(SUBSTITUTE($Z$4,"/",","),",",REPT(" ",99)),(ROW($1:$8)-1)*99+1,99))&lt;&gt;""),--ISNUMBER(SEARCH(TRIM(MID(SUBSTITUTE(SUBSTITUTE($Z$4,"/",","),",",REPT(" ",99)),(ROW($1:$8)-1)*99+1,99)),IFERROR(('Final Calculation Sheet'!$Y$19)&amp;"",""))))&gt;0,AND(ISNUMBER(SEARCH("blank",$Z$4)),NOT(ISNUMBER(SEARCH("nonblank",$Z$4))),IFERROR(('Final Calculation Sheet'!$Y$19)&amp;"","")=""),AND(OR(ISNUMBER(SEARCH("nonblank",$Z$4)),ISNUMBER(SEARCH("&lt;&gt;",$Z$4))),IFERROR(('Final Calculation Sheet'!$Y$19)&amp;"","")&lt;&gt;""),AND(TRIM($Z$4)="",IFERROR(('Final Calculation Sheet'!$Y$19)&amp;"","")=""))))</f>
        <v/>
      </c>
      <c r="CM20">
        <f>IF($AA$4="",1,--(OR(SUMPRODUCT(--(TRIM(MID(SUBSTITUTE(SUBSTITUTE($AA$4,"/",","),",",REPT(" ",99)),(ROW($1:$8)-1)*99+1,99))&lt;&gt;""),--ISNUMBER(SEARCH(TRIM(MID(SUBSTITUTE(SUBSTITUTE($AA$4,"/",","),",",REPT(" ",99)),(ROW($1:$8)-1)*99+1,99)),IFERROR(('Final Calculation Sheet'!$Z$19)&amp;"",""))))&gt;0,AND(ISNUMBER(SEARCH("blank",$AA$4)),NOT(ISNUMBER(SEARCH("nonblank",$AA$4))),IFERROR(('Final Calculation Sheet'!$Z$19)&amp;"","")=""),AND(OR(ISNUMBER(SEARCH("nonblank",$AA$4)),ISNUMBER(SEARCH("&lt;&gt;",$AA$4))),IFERROR(('Final Calculation Sheet'!$Z$19)&amp;"","")&lt;&gt;""),AND(TRIM($AA$4)="",IFERROR(('Final Calculation Sheet'!$Z$19)&amp;"","")=""))))</f>
        <v/>
      </c>
      <c r="CN20">
        <f>IF($AB$4="",1,--(OR(SUMPRODUCT(--(TRIM(MID(SUBSTITUTE(SUBSTITUTE($AB$4,"/",","),",",REPT(" ",99)),(ROW($1:$8)-1)*99+1,99))&lt;&gt;""),--ISNUMBER(SEARCH(TRIM(MID(SUBSTITUTE(SUBSTITUTE($AB$4,"/",","),",",REPT(" ",99)),(ROW($1:$8)-1)*99+1,99)),IFERROR(('Final Calculation Sheet'!$AA$19)&amp;"",""))))&gt;0,AND(ISNUMBER(SEARCH("blank",$AB$4)),NOT(ISNUMBER(SEARCH("nonblank",$AB$4))),IFERROR(('Final Calculation Sheet'!$AA$19)&amp;"","")=""),AND(OR(ISNUMBER(SEARCH("nonblank",$AB$4)),ISNUMBER(SEARCH("&lt;&gt;",$AB$4))),IFERROR(('Final Calculation Sheet'!$AA$19)&amp;"","")&lt;&gt;""),AND(TRIM($AB$4)="",IFERROR(('Final Calculation Sheet'!$AA$19)&amp;"","")=""))))</f>
        <v/>
      </c>
      <c r="CO20">
        <f>IF($AC$4="",1,--(OR(SUMPRODUCT(--(TRIM(MID(SUBSTITUTE(SUBSTITUTE($AC$4,"/",","),",",REPT(" ",99)),(ROW($1:$8)-1)*99+1,99))&lt;&gt;""),--ISNUMBER(SEARCH(TRIM(MID(SUBSTITUTE(SUBSTITUTE($AC$4,"/",","),",",REPT(" ",99)),(ROW($1:$8)-1)*99+1,99)),IFERROR(('Final Calculation Sheet'!$AB$19)&amp;"",""))))&gt;0,AND(ISNUMBER(SEARCH("blank",$AC$4)),NOT(ISNUMBER(SEARCH("nonblank",$AC$4))),IFERROR(('Final Calculation Sheet'!$AB$19)&amp;"","")=""),AND(OR(ISNUMBER(SEARCH("nonblank",$AC$4)),ISNUMBER(SEARCH("&lt;&gt;",$AC$4))),IFERROR(('Final Calculation Sheet'!$AB$19)&amp;"","")&lt;&gt;""),AND(TRIM($AC$4)="",IFERROR(('Final Calculation Sheet'!$AB$19)&amp;"","")=""))))</f>
        <v/>
      </c>
      <c r="CP20">
        <f>IF($AD$4="",1,--(OR(SUMPRODUCT(--(TRIM(MID(SUBSTITUTE(SUBSTITUTE($AD$4,"/",","),",",REPT(" ",99)),(ROW($1:$8)-1)*99+1,99))&lt;&gt;""),--ISNUMBER(SEARCH(TRIM(MID(SUBSTITUTE(SUBSTITUTE($AD$4,"/",","),",",REPT(" ",99)),(ROW($1:$8)-1)*99+1,99)),IFERROR(('Final Calculation Sheet'!$AC$19)&amp;"",""))))&gt;0,AND(ISNUMBER(SEARCH("blank",$AD$4)),NOT(ISNUMBER(SEARCH("nonblank",$AD$4))),IFERROR(('Final Calculation Sheet'!$AC$19)&amp;"","")=""),AND(OR(ISNUMBER(SEARCH("nonblank",$AD$4)),ISNUMBER(SEARCH("&lt;&gt;",$AD$4))),IFERROR(('Final Calculation Sheet'!$AC$19)&amp;"","")&lt;&gt;""),AND(TRIM($AD$4)="",IFERROR(('Final Calculation Sheet'!$AC$19)&amp;"","")=""))))</f>
        <v/>
      </c>
      <c r="CQ20">
        <f>IF($AE$4="",1,--(OR(SUMPRODUCT(--(TRIM(MID(SUBSTITUTE(SUBSTITUTE($AE$4,"/",","),",",REPT(" ",99)),(ROW($1:$8)-1)*99+1,99))&lt;&gt;""),--ISNUMBER(SEARCH(TRIM(MID(SUBSTITUTE(SUBSTITUTE($AE$4,"/",","),",",REPT(" ",99)),(ROW($1:$8)-1)*99+1,99)),IFERROR(('Final Calculation Sheet'!$AD$19)&amp;"",""))))&gt;0,AND(ISNUMBER(SEARCH("blank",$AE$4)),NOT(ISNUMBER(SEARCH("nonblank",$AE$4))),IFERROR(('Final Calculation Sheet'!$AD$19)&amp;"","")=""),AND(OR(ISNUMBER(SEARCH("nonblank",$AE$4)),ISNUMBER(SEARCH("&lt;&gt;",$AE$4))),IFERROR(('Final Calculation Sheet'!$AD$19)&amp;"","")&lt;&gt;""),AND(TRIM($AE$4)="",IFERROR(('Final Calculation Sheet'!$AD$19)&amp;"","")=""))))</f>
        <v/>
      </c>
      <c r="CR20">
        <f>IF($AG$4="",1,--(OR(SUMPRODUCT(--(TRIM(MID(SUBSTITUTE(SUBSTITUTE($AG$4,"/",","),",",REPT(" ",99)),(ROW($1:$8)-1)*99+1,99))&lt;&gt;""),--ISNUMBER(SEARCH(TRIM(MID(SUBSTITUTE(SUBSTITUTE($AG$4,"/",","),",",REPT(" ",99)),(ROW($1:$8)-1)*99+1,99)),IFERROR(('Final Calculation Sheet'!$AF$19)&amp;"",""))))&gt;0,AND(ISNUMBER(SEARCH("blank",$AG$4)),NOT(ISNUMBER(SEARCH("nonblank",$AG$4))),IFERROR(('Final Calculation Sheet'!$AF$19)&amp;"","")=""),AND(OR(ISNUMBER(SEARCH("nonblank",$AG$4)),ISNUMBER(SEARCH("&lt;&gt;",$AG$4))),IFERROR(('Final Calculation Sheet'!$AF$19)&amp;"","")&lt;&gt;""),AND(TRIM($AG$4)="",IFERROR(('Final Calculation Sheet'!$AF$19)&amp;"","")=""))))</f>
        <v/>
      </c>
      <c r="CS20">
        <f>IF($AH$4="",1,--(OR(SUMPRODUCT(--(TRIM(MID(SUBSTITUTE(SUBSTITUTE($AH$4,"/",","),",",REPT(" ",99)),(ROW($1:$8)-1)*99+1,99))&lt;&gt;""),--ISNUMBER(SEARCH(TRIM(MID(SUBSTITUTE(SUBSTITUTE($AH$4,"/",","),",",REPT(" ",99)),(ROW($1:$8)-1)*99+1,99)),IFERROR(('Final Calculation Sheet'!$AG$19)&amp;"",""))))&gt;0,AND(ISNUMBER(SEARCH("blank",$AH$4)),NOT(ISNUMBER(SEARCH("nonblank",$AH$4))),IFERROR(('Final Calculation Sheet'!$AG$19)&amp;"","")=""),AND(OR(ISNUMBER(SEARCH("nonblank",$AH$4)),ISNUMBER(SEARCH("&lt;&gt;",$AH$4))),IFERROR(('Final Calculation Sheet'!$AG$19)&amp;"","")&lt;&gt;""),AND(TRIM($AH$4)="",IFERROR(('Final Calculation Sheet'!$AG$19)&amp;"","")=""))))</f>
        <v/>
      </c>
      <c r="CT20">
        <f>IF($AI$4="",1,--(OR(SUMPRODUCT(--(TRIM(MID(SUBSTITUTE(SUBSTITUTE($AI$4,"/",","),",",REPT(" ",99)),(ROW($1:$8)-1)*99+1,99))&lt;&gt;""),--ISNUMBER(SEARCH(TRIM(MID(SUBSTITUTE(SUBSTITUTE($AI$4,"/",","),",",REPT(" ",99)),(ROW($1:$8)-1)*99+1,99)),IFERROR(('Final Calculation Sheet'!$AH$19)&amp;"",""))))&gt;0,AND(ISNUMBER(SEARCH("blank",$AI$4)),NOT(ISNUMBER(SEARCH("nonblank",$AI$4))),IFERROR(('Final Calculation Sheet'!$AH$19)&amp;"","")=""),AND(OR(ISNUMBER(SEARCH("nonblank",$AI$4)),ISNUMBER(SEARCH("&lt;&gt;",$AI$4))),IFERROR(('Final Calculation Sheet'!$AH$19)&amp;"","")&lt;&gt;""),AND(TRIM($AI$4)="",IFERROR(('Final Calculation Sheet'!$AH$19)&amp;"","")=""))))</f>
        <v/>
      </c>
      <c r="CU20">
        <f>IF($AF$4="",1,--(OR(SUMPRODUCT(--(TRIM(MID(SUBSTITUTE(SUBSTITUTE($AF$4,"/",","),",",REPT(" ",99)),(ROW($1:$8)-1)*99+1,99))&lt;&gt;""),--ISNUMBER(SEARCH(TRIM(MID(SUBSTITUTE(SUBSTITUTE($AF$4,"/",","),",",REPT(" ",99)),(ROW($1:$8)-1)*99+1,99)),IFERROR((IF('Final Calculation Sheet'!$AD$19&lt;=5,"SETTLED","OUTSTANDING"))&amp;"",""))))&gt;0,AND(ISNUMBER(SEARCH("blank",$AF$4)),NOT(ISNUMBER(SEARCH("nonblank",$AF$4))),IFERROR((IF('Final Calculation Sheet'!$AD$19&lt;=5,"SETTLED","OUTSTANDING"))&amp;"","")=""),AND(OR(ISNUMBER(SEARCH("nonblank",$AF$4)),ISNUMBER(SEARCH("&lt;&gt;",$AF$4))),IFERROR((IF('Final Calculation Sheet'!$AD$19&lt;=5,"SETTLED","OUTSTANDING"))&amp;"","")&lt;&gt;""),AND(TRIM($AF$4)="",IFERROR((IF('Final Calculation Sheet'!$AD$19&lt;=5,"SETTLED","OUTSTANDING"))&amp;"","")=""))))</f>
        <v/>
      </c>
    </row>
    <row r="21" ht="15" customHeight="1" s="137">
      <c r="A21" s="67">
        <f>IF($BJ20&gt;0,INDEX($BA$5:$BA$41,MATCH(20,$BB$5:$BB$41,0)),IF(OR($BI20=1,$BL20=1,$BH20&gt;0),"∑",""))</f>
        <v/>
      </c>
      <c r="B21" s="76">
        <f>IF($BJ20&gt;0,IF(INDEX('Final Calculation Sheet'!$F$4:$F$40,$BJ20-3)="","",INDEX('Final Calculation Sheet'!$F$4:$F$40,$BJ20-3)),"")</f>
        <v/>
      </c>
      <c r="C21" s="76">
        <f>IF($BJ20&gt;0,IF(INDEX('Final Calculation Sheet'!$G$4:$G$40,$BJ20-3)="","",INDEX('Final Calculation Sheet'!$G$4:$G$40,$BJ20-3)),IF(OR($BI20=1,$BL20=1,$BH20&gt;0),IF($BI20=1,37,IF($BL20=1,37-INDEX($BD$4:$BD$13,10),INDEX($BD$4:$BD$13,$BH20)))&amp;" lot(s)",""))</f>
        <v/>
      </c>
      <c r="D21" s="80">
        <f>IF($BJ20&gt;0,IF(INDEX('Final Calculation Sheet'!$B$4:$B$40,$BJ20-3)="","",INDEX('Final Calculation Sheet'!$B$4:$B$40,$BJ20-3)),IF(OR($BI20=1,$BL20=1,$BH20&gt;0),IF($BI20=1,"GRAND TOTAL  —  matching + remaining",IF($BL20=1,"TOTAL MATCHED  —  every group together",IF($BH20=10,"REMAINING  —  did not match the search",IF($BH20=9,IF(COUNTIF($A$4:$AI$4,"&lt;&gt;")&gt;0,"FILTERED LOTS  —  column fields","ALL LOTS  —  nothing typed in the box"),"GROUP "&amp;$BH20&amp;" TOTAL  —  lots matching  "&amp;INDEX($AR$6:$AY$6,$BH20))))),""))</f>
        <v/>
      </c>
      <c r="E21" s="80">
        <f>IF($BJ20&gt;0,IF(INDEX('Final Calculation Sheet'!$D$4:$D$40,$BJ20-3)="","",INDEX('Final Calculation Sheet'!$D$4:$D$40,$BJ20-3)),IF(OR($BI20=1,$BL20=1,$BH20&gt;0),"–",""))</f>
        <v/>
      </c>
      <c r="F21" s="80">
        <f>IF($BJ20&gt;0,IF(INDEX('Final Calculation Sheet'!$A$4:$A$40,$BJ20-3)="","",INDEX('Final Calculation Sheet'!$A$4:$A$40,$BJ20-3)),IF(OR($BI20=1,$BL20=1,$BH20&gt;0),IF($BI20=1,SUM('Final Calculation Sheet'!$A$4:$A$40),IF($BL20=1,SUM('Final Calculation Sheet'!$A$4:$A$40)-SUMIFS('Final Calculation Sheet'!$A$4:$A$40,$AZ$5:$AZ$41,10),SUMIFS('Final Calculation Sheet'!$A$4:$A$40,$AZ$5:$AZ$41,$BH20))),""))</f>
        <v/>
      </c>
      <c r="G21" s="80">
        <f>IF($BJ20&gt;0,IF(INDEX('Final Calculation Sheet'!$E$4:$E$40,$BJ20-3)="","",INDEX('Final Calculation Sheet'!$E$4:$E$40,$BJ20-3)),IF(OR($BI20=1,$BL20=1,$BH20&gt;0),"–",""))</f>
        <v/>
      </c>
      <c r="H21" s="70">
        <f>IF($BJ20&gt;0,IF(INDEX('Final Calculation Sheet'!$C$4:$C$40,$BJ20-3)="","",INDEX('Final Calculation Sheet'!$C$4:$C$40,$BJ20-3)),IF(OR($BI20=1,$BL20=1,$BH20&gt;0),"–",""))</f>
        <v/>
      </c>
      <c r="I21" s="70">
        <f>IF($BJ20&gt;0,IF(INDEX('Final Calculation Sheet'!$H$4:$H$40,$BJ20-3)="","",INDEX('Final Calculation Sheet'!$H$4:$H$40,$BJ20-3)),IF(OR($BI20=1,$BL20=1,$BH20&gt;0),IF($BI20=1,SUM('Final Calculation Sheet'!$H$4:$H$40),IF($BL20=1,SUM('Final Calculation Sheet'!$H$4:$H$40)-SUMIFS('Final Calculation Sheet'!$H$4:$H$40,$AZ$5:$AZ$41,10),SUMIFS('Final Calculation Sheet'!$H$4:$H$40,$AZ$5:$AZ$41,$BH20))),""))</f>
        <v/>
      </c>
      <c r="J21" s="70">
        <f>IF($BJ20&gt;0,IF(INDEX('Final Calculation Sheet'!$I$4:$I$40,$BJ20-3)="","",INDEX('Final Calculation Sheet'!$I$4:$I$40,$BJ20-3)),IF(OR($BI20=1,$BL20=1,$BH20&gt;0),IF($BI20=1,SUM('Final Calculation Sheet'!$I$4:$I$40),IF($BL20=1,SUM('Final Calculation Sheet'!$I$4:$I$40)-SUMIFS('Final Calculation Sheet'!$I$4:$I$40,$AZ$5:$AZ$41,10),SUMIFS('Final Calculation Sheet'!$I$4:$I$40,$AZ$5:$AZ$41,$BH20))),""))</f>
        <v/>
      </c>
      <c r="K21" s="70">
        <f>IF($BJ20&gt;0,IF(INDEX('Final Calculation Sheet'!$J$4:$J$40,$BJ20-3)="","",INDEX('Final Calculation Sheet'!$J$4:$J$40,$BJ20-3)),IF(OR($BI20=1,$BL20=1,$BH20&gt;0),IF($BI20=1,SUM('Final Calculation Sheet'!$J$4:$J$40),IF($BL20=1,SUM('Final Calculation Sheet'!$J$4:$J$40)-SUMIFS('Final Calculation Sheet'!$J$4:$J$40,$AZ$5:$AZ$41,10),SUMIFS('Final Calculation Sheet'!$J$4:$J$40,$AZ$5:$AZ$41,$BH20))),""))</f>
        <v/>
      </c>
      <c r="L21" s="70">
        <f>IF($BJ20&gt;0,IF(INDEX('Final Calculation Sheet'!$K$4:$K$40,$BJ20-3)="","",INDEX('Final Calculation Sheet'!$K$4:$K$40,$BJ20-3)),IF(OR($BI20=1,$BL20=1,$BH20&gt;0),IF($BI20=1,SUM('Final Calculation Sheet'!$K$4:$K$40),IF($BL20=1,SUM('Final Calculation Sheet'!$K$4:$K$40)-SUMIFS('Final Calculation Sheet'!$K$4:$K$40,$AZ$5:$AZ$41,10),SUMIFS('Final Calculation Sheet'!$K$4:$K$40,$AZ$5:$AZ$41,$BH20))),""))</f>
        <v/>
      </c>
      <c r="M21" s="70">
        <f>IF($BJ20&gt;0,IF(INDEX('Final Calculation Sheet'!$L$4:$L$40,$BJ20-3)="","",INDEX('Final Calculation Sheet'!$L$4:$L$40,$BJ20-3)),IF(OR($BI20=1,$BL20=1,$BH20&gt;0),IF($BI20=1,SUM('Final Calculation Sheet'!$L$4:$L$40),IF($BL20=1,SUM('Final Calculation Sheet'!$L$4:$L$40)-SUMIFS('Final Calculation Sheet'!$L$4:$L$40,$AZ$5:$AZ$41,10),SUMIFS('Final Calculation Sheet'!$L$4:$L$40,$AZ$5:$AZ$41,$BH20))),""))</f>
        <v/>
      </c>
      <c r="N21" s="70">
        <f>IF($BJ20&gt;0,IF(INDEX('Final Calculation Sheet'!$M$4:$M$40,$BJ20-3)="","",INDEX('Final Calculation Sheet'!$M$4:$M$40,$BJ20-3)),IF(OR($BI20=1,$BL20=1,$BH20&gt;0),IF($BI20=1,SUM('Final Calculation Sheet'!$M$4:$M$40),IF($BL20=1,SUM('Final Calculation Sheet'!$M$4:$M$40)-SUMIFS('Final Calculation Sheet'!$M$4:$M$40,$AZ$5:$AZ$41,10),SUMIFS('Final Calculation Sheet'!$M$4:$M$40,$AZ$5:$AZ$41,$BH20))),""))</f>
        <v/>
      </c>
      <c r="O21" s="71">
        <f>IF($BJ20&gt;0,IF(INDEX('Final Calculation Sheet'!$N$4:$N$40,$BJ20-3)="","",INDEX('Final Calculation Sheet'!$N$4:$N$40,$BJ20-3)),IF(OR($BI20=1,$BL20=1,$BH20&gt;0),IF($BI20=1,SUM('Final Calculation Sheet'!$N$4:$N$40),IF($BL20=1,SUM('Final Calculation Sheet'!$N$4:$N$40)-SUMIFS('Final Calculation Sheet'!$N$4:$N$40,$AZ$5:$AZ$41,10),SUMIFS('Final Calculation Sheet'!$N$4:$N$40,$AZ$5:$AZ$41,$BH20))),""))</f>
        <v/>
      </c>
      <c r="P21" s="70">
        <f>IF($BJ20&gt;0,IF(INDEX('Final Calculation Sheet'!$O$4:$O$40,$BJ20-3)="","",INDEX('Final Calculation Sheet'!$O$4:$O$40,$BJ20-3)),IF(OR($BI20=1,$BL20=1,$BH20&gt;0),IF($BI20=1,SUM('Final Calculation Sheet'!$O$4:$O$40),IF($BL20=1,SUM('Final Calculation Sheet'!$O$4:$O$40)-SUMIFS('Final Calculation Sheet'!$O$4:$O$40,$AZ$5:$AZ$41,10),SUMIFS('Final Calculation Sheet'!$O$4:$O$40,$AZ$5:$AZ$41,$BH20))),""))</f>
        <v/>
      </c>
      <c r="Q21" s="70">
        <f>IF($BJ20&gt;0,IF(INDEX('Final Calculation Sheet'!$P$4:$P$40,$BJ20-3)="","",INDEX('Final Calculation Sheet'!$P$4:$P$40,$BJ20-3)),IF(OR($BI20=1,$BL20=1,$BH20&gt;0),IF($BI20=1,SUM('Final Calculation Sheet'!$P$4:$P$40),IF($BL20=1,SUM('Final Calculation Sheet'!$P$4:$P$40)-SUMIFS('Final Calculation Sheet'!$P$4:$P$40,$AZ$5:$AZ$41,10),SUMIFS('Final Calculation Sheet'!$P$4:$P$40,$AZ$5:$AZ$41,$BH20))),""))</f>
        <v/>
      </c>
      <c r="R21" s="72">
        <f>IF($BJ20&gt;0,IF(INDEX('Final Calculation Sheet'!$Q$4:$Q$40,$BJ20-3)="","",INDEX('Final Calculation Sheet'!$Q$4:$Q$40,$BJ20-3)),IF(OR($BI20=1,$BL20=1,$BH20&gt;0),"–",""))</f>
        <v/>
      </c>
      <c r="S21" s="70">
        <f>IF($BJ20&gt;0,IF(INDEX('Final Calculation Sheet'!$R$4:$R$40,$BJ20-3)="","",INDEX('Final Calculation Sheet'!$R$4:$R$40,$BJ20-3)),IF(OR($BI20=1,$BL20=1,$BH20&gt;0),IF($BI20=1,SUM('Final Calculation Sheet'!$R$4:$R$40),IF($BL20=1,SUM('Final Calculation Sheet'!$R$4:$R$40)-SUMIFS('Final Calculation Sheet'!$R$4:$R$40,$AZ$5:$AZ$41,10),SUMIFS('Final Calculation Sheet'!$R$4:$R$40,$AZ$5:$AZ$41,$BH20))),""))</f>
        <v/>
      </c>
      <c r="T21" s="70">
        <f>IF($BJ20&gt;0,IF(INDEX('Final Calculation Sheet'!$S$4:$S$40,$BJ20-3)="","",INDEX('Final Calculation Sheet'!$S$4:$S$40,$BJ20-3)),IF(OR($BI20=1,$BL20=1,$BH20&gt;0),IF($BI20=1,SUM('Final Calculation Sheet'!$S$4:$S$40),IF($BL20=1,SUM('Final Calculation Sheet'!$S$4:$S$40)-SUMIFS('Final Calculation Sheet'!$S$4:$S$40,$AZ$5:$AZ$41,10),SUMIFS('Final Calculation Sheet'!$S$4:$S$40,$AZ$5:$AZ$41,$BH20))),""))</f>
        <v/>
      </c>
      <c r="U21" s="70">
        <f>IF($BJ20&gt;0,IF(INDEX('Final Calculation Sheet'!$T$4:$T$40,$BJ20-3)="","",INDEX('Final Calculation Sheet'!$T$4:$T$40,$BJ20-3)),IF(OR($BI20=1,$BL20=1,$BH20&gt;0),IF($BI20=1,SUM('Final Calculation Sheet'!$T$4:$T$40),IF($BL20=1,SUM('Final Calculation Sheet'!$T$4:$T$40)-SUMIFS('Final Calculation Sheet'!$T$4:$T$40,$AZ$5:$AZ$41,10),SUMIFS('Final Calculation Sheet'!$T$4:$T$40,$AZ$5:$AZ$41,$BH20))),""))</f>
        <v/>
      </c>
      <c r="V21" s="73">
        <f>IF($BJ20&gt;0,IF(INDEX('Final Calculation Sheet'!$U$4:$U$40,$BJ20-3)="","",INDEX('Final Calculation Sheet'!$U$4:$U$40,$BJ20-3)),IF(OR($BI20=1,$BL20=1,$BH20&gt;0),IF($BI20=1,SUM('Final Calculation Sheet'!$U$4:$U$40),IF($BL20=1,SUM('Final Calculation Sheet'!$U$4:$U$40)-SUMIFS('Final Calculation Sheet'!$U$4:$U$40,$AZ$5:$AZ$41,10),SUMIFS('Final Calculation Sheet'!$U$4:$U$40,$AZ$5:$AZ$41,$BH20))),""))</f>
        <v/>
      </c>
      <c r="W21" s="70">
        <f>IF($BJ20&gt;0,IF(INDEX('Final Calculation Sheet'!$V$4:$V$40,$BJ20-3)="","",INDEX('Final Calculation Sheet'!$V$4:$V$40,$BJ20-3)),IF(OR($BI20=1,$BL20=1,$BH20&gt;0),"–",""))</f>
        <v/>
      </c>
      <c r="X21" s="70">
        <f>IF($BJ20&gt;0,IF(INDEX('Final Calculation Sheet'!$W$4:$W$40,$BJ20-3)="","",INDEX('Final Calculation Sheet'!$W$4:$W$40,$BJ20-3)),IF(OR($BI20=1,$BL20=1,$BH20&gt;0),IF($BI20=1,SUM('Final Calculation Sheet'!$W$4:$W$40),IF($BL20=1,SUM('Final Calculation Sheet'!$W$4:$W$40)-SUMIFS('Final Calculation Sheet'!$W$4:$W$40,$AZ$5:$AZ$41,10),SUMIFS('Final Calculation Sheet'!$W$4:$W$40,$AZ$5:$AZ$41,$BH20))),""))</f>
        <v/>
      </c>
      <c r="Y21" s="70">
        <f>IF($BJ20&gt;0,IF(INDEX('Final Calculation Sheet'!$X$4:$X$40,$BJ20-3)="","",INDEX('Final Calculation Sheet'!$X$4:$X$40,$BJ20-3)),IF(OR($BI20=1,$BL20=1,$BH20&gt;0),IF($BI20=1,SUM('Final Calculation Sheet'!$X$4:$X$40),IF($BL20=1,SUM('Final Calculation Sheet'!$X$4:$X$40)-SUMIFS('Final Calculation Sheet'!$X$4:$X$40,$AZ$5:$AZ$41,10),SUMIFS('Final Calculation Sheet'!$X$4:$X$40,$AZ$5:$AZ$41,$BH20))),""))</f>
        <v/>
      </c>
      <c r="Z21" s="70">
        <f>IF($BJ20&gt;0,IF(INDEX('Final Calculation Sheet'!$Y$4:$Y$40,$BJ20-3)="","",INDEX('Final Calculation Sheet'!$Y$4:$Y$40,$BJ20-3)),IF(OR($BI20=1,$BL20=1,$BH20&gt;0),"–",""))</f>
        <v/>
      </c>
      <c r="AA21" s="70">
        <f>IF($BJ20&gt;0,IF(INDEX('Final Calculation Sheet'!$Z$4:$Z$40,$BJ20-3)="","",INDEX('Final Calculation Sheet'!$Z$4:$Z$40,$BJ20-3)),IF(OR($BI20=1,$BL20=1,$BH20&gt;0),IF($BI20=1,SUM('Final Calculation Sheet'!$Z$4:$Z$40),IF($BL20=1,SUM('Final Calculation Sheet'!$Z$4:$Z$40)-SUMIFS('Final Calculation Sheet'!$Z$4:$Z$40,$AZ$5:$AZ$41,10),SUMIFS('Final Calculation Sheet'!$Z$4:$Z$40,$AZ$5:$AZ$41,$BH20))),""))</f>
        <v/>
      </c>
      <c r="AB21" s="70">
        <f>IF($BJ20&gt;0,IF(INDEX('Final Calculation Sheet'!$AA$4:$AA$40,$BJ20-3)="","",INDEX('Final Calculation Sheet'!$AA$4:$AA$40,$BJ20-3)),IF(OR($BI20=1,$BL20=1,$BH20&gt;0),IF($BI20=1,SUM('Final Calculation Sheet'!$AA$4:$AA$40),IF($BL20=1,SUM('Final Calculation Sheet'!$AA$4:$AA$40)-SUMIFS('Final Calculation Sheet'!$AA$4:$AA$40,$AZ$5:$AZ$41,10),SUMIFS('Final Calculation Sheet'!$AA$4:$AA$40,$AZ$5:$AZ$41,$BH20))),""))</f>
        <v/>
      </c>
      <c r="AC21" s="70">
        <f>IF($BJ20&gt;0,IF(INDEX('Final Calculation Sheet'!$AB$4:$AB$40,$BJ20-3)="","",INDEX('Final Calculation Sheet'!$AB$4:$AB$40,$BJ20-3)),IF(OR($BI20=1,$BL20=1,$BH20&gt;0),"–",""))</f>
        <v/>
      </c>
      <c r="AD21" s="70">
        <f>IF($BJ20&gt;0,IF(INDEX('Final Calculation Sheet'!$AC$4:$AC$40,$BJ20-3)="","",INDEX('Final Calculation Sheet'!$AC$4:$AC$40,$BJ20-3)),IF(OR($BI20=1,$BL20=1,$BH20&gt;0),IF($BI20=1,SUM('Final Calculation Sheet'!$AC$4:$AC$40),IF($BL20=1,SUM('Final Calculation Sheet'!$AC$4:$AC$40)-SUMIFS('Final Calculation Sheet'!$AC$4:$AC$40,$AZ$5:$AZ$41,10),SUMIFS('Final Calculation Sheet'!$AC$4:$AC$40,$AZ$5:$AZ$41,$BH20))),""))</f>
        <v/>
      </c>
      <c r="AE21" s="70">
        <f>IF($BJ20&gt;0,IF(INDEX('Final Calculation Sheet'!$AD$4:$AD$40,$BJ20-3)="","",INDEX('Final Calculation Sheet'!$AD$4:$AD$40,$BJ20-3)),IF(OR($BI20=1,$BL20=1,$BH20&gt;0),IF($BI20=1,SUM('Final Calculation Sheet'!$AD$4:$AD$40),IF($BL20=1,SUM('Final Calculation Sheet'!$AD$4:$AD$40)-SUMIFS('Final Calculation Sheet'!$AD$4:$AD$40,$AZ$5:$AZ$41,10),SUMIFS('Final Calculation Sheet'!$AD$4:$AD$40,$AZ$5:$AZ$41,$BH20))),""))</f>
        <v/>
      </c>
      <c r="AF21" s="75">
        <f>IF($BJ20&gt;0,IF(INDEX('Final Calculation Sheet'!$AD$4:$AD$40,$BJ20-3)="","",IF(INDEX('Final Calculation Sheet'!$AD$4:$AD$40,$BJ20-3)&lt;=5,"SETTLED","OUTSTANDING")),IF(OR($BI20=1,$BL20=1,$BH20&gt;0),IF(IF($BI20=1,SUM('Final Calculation Sheet'!$AD$4:$AD$40),IF($BL20=1,SUM('Final Calculation Sheet'!$AD$4:$AD$40)-SUMIFS('Final Calculation Sheet'!$AD$4:$AD$40,$AZ$5:$AZ$41,10),SUMIFS('Final Calculation Sheet'!$AD$4:$AD$40,$AZ$5:$AZ$41,$BH20)))&lt;=5,"ALL SETTLED","OUTSTANDING"),""))</f>
        <v/>
      </c>
      <c r="AG21" s="70">
        <f>IF($BJ20&gt;0,IF(INDEX('Final Calculation Sheet'!$AF$4:$AF$40,$BJ20-3)="","",INDEX('Final Calculation Sheet'!$AF$4:$AF$40,$BJ20-3)),IF(OR($BI20=1,$BL20=1,$BH20&gt;0),"–",""))</f>
        <v/>
      </c>
      <c r="AH21" s="74">
        <f>IF($BJ20&gt;0,IF(INDEX('Final Calculation Sheet'!$AG$4:$AG$40,$BJ20-3)="","",INDEX('Final Calculation Sheet'!$AG$4:$AG$40,$BJ20-3)),IF(OR($BI20=1,$BL20=1,$BH20&gt;0),"–",""))</f>
        <v/>
      </c>
      <c r="AI21" s="70">
        <f>IF($BJ20&gt;0,IF(INDEX('Final Calculation Sheet'!$AH$4:$AH$40,$BJ20-3)="","",INDEX('Final Calculation Sheet'!$AH$4:$AH$40,$BJ20-3)),IF(OR($BI20=1,$BL20=1,$BH20&gt;0),"–",""))</f>
        <v/>
      </c>
      <c r="AK21">
        <f>IF($F$3="Lot No.",'Final Calculation Sheet'!$F$20,IF($F$3="Buyer",'Final Calculation Sheet'!$G$20,IF($F$3="Lot Name",'Final Calculation Sheet'!$B$20,IF($F$3="Bid Sheet",'Final Calculation Sheet'!$D$20,IF($F$3="Unit",'Final Calculation Sheet'!$E$20,'Final Calculation Sheet'!$F$20&amp;" "&amp;'Final Calculation Sheet'!$G$20&amp;" "&amp;'Final Calculation Sheet'!$B$20)))))</f>
        <v/>
      </c>
      <c r="AL21">
        <f>AL20+IF($B$3="",0,--(SUMPRODUCT(--($AR$6:$AY$6&lt;&gt;""),--ISNUMBER(SEARCH($AR$6:$AY$6,$AK21)))&gt;0))</f>
        <v/>
      </c>
      <c r="AM21">
        <f>IF(COUNTIF($BM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AZ21">
        <f>IF($B$3="",IF(COUNTIF($A$4:$AI$4,"&lt;&gt;")=0,9,IF($AM21=1,9,10)),IF($AM21=0,10,IF(AND($AR$6&lt;&gt;"",ISNUMBER(SEARCH($AR$6,$AK21))),1,IF(AND($AS$6&lt;&gt;"",ISNUMBER(SEARCH($AS$6,$AK21))),2,IF(AND($AT$6&lt;&gt;"",ISNUMBER(SEARCH($AT$6,$AK21))),3,IF(AND($AU$6&lt;&gt;"",ISNUMBER(SEARCH($AU$6,$AK21))),4,IF(AND($AV$6&lt;&gt;"",ISNUMBER(SEARCH($AV$6,$AK21))),5,IF(AND($AW$6&lt;&gt;"",ISNUMBER(SEARCH($AW$6,$AK21))),6,IF(AND($AX$6&lt;&gt;"",ISNUMBER(SEARCH($AX$6,$AK21))),7,IF(AND($AY$6&lt;&gt;"",ISNUMBER(SEARCH($AY$6,$AK21))),8,0))))))))))</f>
        <v/>
      </c>
      <c r="BA21">
        <f>SUMPRODUCT(($AZ$5:$AZ$41=$AZ21)*($BC$5:$BC$41&lt;$BC21))+1</f>
        <v/>
      </c>
      <c r="BB21">
        <f>IF(INDEX($BF$4:$BF$13,$AZ21)=0,0,INDEX($BE$4:$BE$13,$AZ21)+$BA21-1)</f>
        <v/>
      </c>
      <c r="BC21" t="n">
        <v>20</v>
      </c>
      <c r="BH21">
        <f>IFERROR(MATCH(21,$BF$4:$BF$13,0),0)</f>
        <v/>
      </c>
      <c r="BI21">
        <f>IF(21=$BG$5,1,0)</f>
        <v/>
      </c>
      <c r="BJ21">
        <f>IF(OR($BH21&gt;0,$BI21=1,$BL21=1),0,IFERROR(INDEX($BC$5:$BC$41,MATCH(21,$BB$5:$BB$41,0)),0))</f>
        <v/>
      </c>
      <c r="BK21">
        <f>IF($BJ21&gt;0,IF(INDEX($AZ$5:$AZ$41,MATCH(21,$BB$5:$BB$41,0))=10,1,0),IF($BH21=10,1,0))</f>
        <v/>
      </c>
      <c r="BL21">
        <f>IF(21=$BG$4,1,0)</f>
        <v/>
      </c>
      <c r="BM21">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1">
        <f>IF($B$4="",1,--(OR(SUMPRODUCT(--(TRIM(MID(SUBSTITUTE(SUBSTITUTE($B$4,"/",","),",",REPT(" ",99)),(ROW($1:$8)-1)*99+1,99))&lt;&gt;""),--ISNUMBER(SEARCH(TRIM(MID(SUBSTITUTE(SUBSTITUTE($B$4,"/",","),",",REPT(" ",99)),(ROW($1:$8)-1)*99+1,99)),IFERROR(('Final Calculation Sheet'!$F$20)&amp;"",""))))&gt;0,AND(ISNUMBER(SEARCH("blank",$B$4)),NOT(ISNUMBER(SEARCH("nonblank",$B$4))),IFERROR(('Final Calculation Sheet'!$F$20)&amp;"","")=""),AND(OR(ISNUMBER(SEARCH("nonblank",$B$4)),ISNUMBER(SEARCH("&lt;&gt;",$B$4))),IFERROR(('Final Calculation Sheet'!$F$20)&amp;"","")&lt;&gt;""),AND(TRIM($B$4)="",IFERROR(('Final Calculation Sheet'!$F$20)&amp;"","")=""))))</f>
        <v/>
      </c>
      <c r="BO21">
        <f>IF($CW$3="",1,--(OR(SUMPRODUCT(--(TRIM(MID(SUBSTITUTE(SUBSTITUTE($CW$3,"/",","),",",REPT(" ",99)),(ROW($1:$8)-1)*99+1,99))&lt;&gt;""),--ISNUMBER(SEARCH(TRIM(MID(SUBSTITUTE(SUBSTITUTE($CW$3,"/",","),",",REPT(" ",99)),(ROW($1:$8)-1)*99+1,99)),IFERROR(('Final Calculation Sheet'!$G$20)&amp;"",""))))&gt;0,AND(ISNUMBER(SEARCH("blank",$CW$3)),NOT(ISNUMBER(SEARCH("nonblank",$CW$3))),IFERROR(('Final Calculation Sheet'!$G$20)&amp;"","")=""),AND(OR(ISNUMBER(SEARCH("nonblank",$CW$3)),ISNUMBER(SEARCH("&lt;&gt;",$CW$3))),IFERROR(('Final Calculation Sheet'!$G$20)&amp;"","")&lt;&gt;""),AND(TRIM($CW$3)="",IFERROR(('Final Calculation Sheet'!$G$20)&amp;"","")=""))))</f>
        <v/>
      </c>
      <c r="BP21">
        <f>IF($D$4="",1,--(OR(SUMPRODUCT(--(TRIM(MID(SUBSTITUTE(SUBSTITUTE($D$4,"/",","),",",REPT(" ",99)),(ROW($1:$8)-1)*99+1,99))&lt;&gt;""),--ISNUMBER(SEARCH(TRIM(MID(SUBSTITUTE(SUBSTITUTE($D$4,"/",","),",",REPT(" ",99)),(ROW($1:$8)-1)*99+1,99)),IFERROR(('Final Calculation Sheet'!$B$20)&amp;"",""))))&gt;0,AND(ISNUMBER(SEARCH("blank",$D$4)),NOT(ISNUMBER(SEARCH("nonblank",$D$4))),IFERROR(('Final Calculation Sheet'!$B$20)&amp;"","")=""),AND(OR(ISNUMBER(SEARCH("nonblank",$D$4)),ISNUMBER(SEARCH("&lt;&gt;",$D$4))),IFERROR(('Final Calculation Sheet'!$B$20)&amp;"","")&lt;&gt;""),AND(TRIM($D$4)="",IFERROR(('Final Calculation Sheet'!$B$20)&amp;"","")=""))))</f>
        <v/>
      </c>
      <c r="BQ21">
        <f>IF($E$4="",1,--(OR(SUMPRODUCT(--(TRIM(MID(SUBSTITUTE(SUBSTITUTE($E$4,"/",","),",",REPT(" ",99)),(ROW($1:$8)-1)*99+1,99))&lt;&gt;""),--ISNUMBER(SEARCH(TRIM(MID(SUBSTITUTE(SUBSTITUTE($E$4,"/",","),",",REPT(" ",99)),(ROW($1:$8)-1)*99+1,99)),IFERROR(('Final Calculation Sheet'!$D$20)&amp;"",""))))&gt;0,AND(ISNUMBER(SEARCH("blank",$E$4)),NOT(ISNUMBER(SEARCH("nonblank",$E$4))),IFERROR(('Final Calculation Sheet'!$D$20)&amp;"","")=""),AND(OR(ISNUMBER(SEARCH("nonblank",$E$4)),ISNUMBER(SEARCH("&lt;&gt;",$E$4))),IFERROR(('Final Calculation Sheet'!$D$20)&amp;"","")&lt;&gt;""),AND(TRIM($E$4)="",IFERROR(('Final Calculation Sheet'!$D$20)&amp;"","")=""))))</f>
        <v/>
      </c>
      <c r="BR21">
        <f>IF($F$4="",1,--(OR(SUMPRODUCT(--(TRIM(MID(SUBSTITUTE(SUBSTITUTE($F$4,"/",","),",",REPT(" ",99)),(ROW($1:$8)-1)*99+1,99))&lt;&gt;""),--ISNUMBER(SEARCH(TRIM(MID(SUBSTITUTE(SUBSTITUTE($F$4,"/",","),",",REPT(" ",99)),(ROW($1:$8)-1)*99+1,99)),IFERROR(('Final Calculation Sheet'!$A$20)&amp;"",""))))&gt;0,AND(ISNUMBER(SEARCH("blank",$F$4)),NOT(ISNUMBER(SEARCH("nonblank",$F$4))),IFERROR(('Final Calculation Sheet'!$A$20)&amp;"","")=""),AND(OR(ISNUMBER(SEARCH("nonblank",$F$4)),ISNUMBER(SEARCH("&lt;&gt;",$F$4))),IFERROR(('Final Calculation Sheet'!$A$20)&amp;"","")&lt;&gt;""),AND(TRIM($F$4)="",IFERROR(('Final Calculation Sheet'!$A$20)&amp;"","")=""))))</f>
        <v/>
      </c>
      <c r="BS21">
        <f>IF($G$4="",1,--(OR(SUMPRODUCT(--(TRIM(MID(SUBSTITUTE(SUBSTITUTE($G$4,"/",","),",",REPT(" ",99)),(ROW($1:$8)-1)*99+1,99))&lt;&gt;""),--ISNUMBER(SEARCH(TRIM(MID(SUBSTITUTE(SUBSTITUTE($G$4,"/",","),",",REPT(" ",99)),(ROW($1:$8)-1)*99+1,99)),IFERROR(('Final Calculation Sheet'!$E$20)&amp;"",""))))&gt;0,AND(ISNUMBER(SEARCH("blank",$G$4)),NOT(ISNUMBER(SEARCH("nonblank",$G$4))),IFERROR(('Final Calculation Sheet'!$E$20)&amp;"","")=""),AND(OR(ISNUMBER(SEARCH("nonblank",$G$4)),ISNUMBER(SEARCH("&lt;&gt;",$G$4))),IFERROR(('Final Calculation Sheet'!$E$20)&amp;"","")&lt;&gt;""),AND(TRIM($G$4)="",IFERROR(('Final Calculation Sheet'!$E$20)&amp;"","")=""))))</f>
        <v/>
      </c>
      <c r="BT21">
        <f>IF($H$4="",1,--(OR(SUMPRODUCT(--(TRIM(MID(SUBSTITUTE(SUBSTITUTE($H$4,"/",","),",",REPT(" ",99)),(ROW($1:$8)-1)*99+1,99))&lt;&gt;""),--ISNUMBER(SEARCH(TRIM(MID(SUBSTITUTE(SUBSTITUTE($H$4,"/",","),",",REPT(" ",99)),(ROW($1:$8)-1)*99+1,99)),IFERROR(('Final Calculation Sheet'!$C$20)&amp;"",""))))&gt;0,AND(ISNUMBER(SEARCH("blank",$H$4)),NOT(ISNUMBER(SEARCH("nonblank",$H$4))),IFERROR(('Final Calculation Sheet'!$C$20)&amp;"","")=""),AND(OR(ISNUMBER(SEARCH("nonblank",$H$4)),ISNUMBER(SEARCH("&lt;&gt;",$H$4))),IFERROR(('Final Calculation Sheet'!$C$20)&amp;"","")&lt;&gt;""),AND(TRIM($H$4)="",IFERROR(('Final Calculation Sheet'!$C$20)&amp;"","")=""))))</f>
        <v/>
      </c>
      <c r="BU21">
        <f>IF($I$4="",1,--(OR(SUMPRODUCT(--(TRIM(MID(SUBSTITUTE(SUBSTITUTE($I$4,"/",","),",",REPT(" ",99)),(ROW($1:$8)-1)*99+1,99))&lt;&gt;""),--ISNUMBER(SEARCH(TRIM(MID(SUBSTITUTE(SUBSTITUTE($I$4,"/",","),",",REPT(" ",99)),(ROW($1:$8)-1)*99+1,99)),IFERROR(('Final Calculation Sheet'!$H$20)&amp;"",""))))&gt;0,AND(ISNUMBER(SEARCH("blank",$I$4)),NOT(ISNUMBER(SEARCH("nonblank",$I$4))),IFERROR(('Final Calculation Sheet'!$H$20)&amp;"","")=""),AND(OR(ISNUMBER(SEARCH("nonblank",$I$4)),ISNUMBER(SEARCH("&lt;&gt;",$I$4))),IFERROR(('Final Calculation Sheet'!$H$20)&amp;"","")&lt;&gt;""),AND(TRIM($I$4)="",IFERROR(('Final Calculation Sheet'!$H$20)&amp;"","")=""))))</f>
        <v/>
      </c>
      <c r="BV21">
        <f>IF($J$4="",1,--(OR(SUMPRODUCT(--(TRIM(MID(SUBSTITUTE(SUBSTITUTE($J$4,"/",","),",",REPT(" ",99)),(ROW($1:$8)-1)*99+1,99))&lt;&gt;""),--ISNUMBER(SEARCH(TRIM(MID(SUBSTITUTE(SUBSTITUTE($J$4,"/",","),",",REPT(" ",99)),(ROW($1:$8)-1)*99+1,99)),IFERROR(('Final Calculation Sheet'!$I$20)&amp;"",""))))&gt;0,AND(ISNUMBER(SEARCH("blank",$J$4)),NOT(ISNUMBER(SEARCH("nonblank",$J$4))),IFERROR(('Final Calculation Sheet'!$I$20)&amp;"","")=""),AND(OR(ISNUMBER(SEARCH("nonblank",$J$4)),ISNUMBER(SEARCH("&lt;&gt;",$J$4))),IFERROR(('Final Calculation Sheet'!$I$20)&amp;"","")&lt;&gt;""),AND(TRIM($J$4)="",IFERROR(('Final Calculation Sheet'!$I$20)&amp;"","")=""))))</f>
        <v/>
      </c>
      <c r="BW21">
        <f>IF($K$4="",1,--(OR(SUMPRODUCT(--(TRIM(MID(SUBSTITUTE(SUBSTITUTE($K$4,"/",","),",",REPT(" ",99)),(ROW($1:$8)-1)*99+1,99))&lt;&gt;""),--ISNUMBER(SEARCH(TRIM(MID(SUBSTITUTE(SUBSTITUTE($K$4,"/",","),",",REPT(" ",99)),(ROW($1:$8)-1)*99+1,99)),IFERROR(('Final Calculation Sheet'!$J$20)&amp;"",""))))&gt;0,AND(ISNUMBER(SEARCH("blank",$K$4)),NOT(ISNUMBER(SEARCH("nonblank",$K$4))),IFERROR(('Final Calculation Sheet'!$J$20)&amp;"","")=""),AND(OR(ISNUMBER(SEARCH("nonblank",$K$4)),ISNUMBER(SEARCH("&lt;&gt;",$K$4))),IFERROR(('Final Calculation Sheet'!$J$20)&amp;"","")&lt;&gt;""),AND(TRIM($K$4)="",IFERROR(('Final Calculation Sheet'!$J$20)&amp;"","")=""))))</f>
        <v/>
      </c>
      <c r="BX21">
        <f>IF($L$4="",1,--(OR(SUMPRODUCT(--(TRIM(MID(SUBSTITUTE(SUBSTITUTE($L$4,"/",","),",",REPT(" ",99)),(ROW($1:$8)-1)*99+1,99))&lt;&gt;""),--ISNUMBER(SEARCH(TRIM(MID(SUBSTITUTE(SUBSTITUTE($L$4,"/",","),",",REPT(" ",99)),(ROW($1:$8)-1)*99+1,99)),IFERROR(('Final Calculation Sheet'!$K$20)&amp;"",""))))&gt;0,AND(ISNUMBER(SEARCH("blank",$L$4)),NOT(ISNUMBER(SEARCH("nonblank",$L$4))),IFERROR(('Final Calculation Sheet'!$K$20)&amp;"","")=""),AND(OR(ISNUMBER(SEARCH("nonblank",$L$4)),ISNUMBER(SEARCH("&lt;&gt;",$L$4))),IFERROR(('Final Calculation Sheet'!$K$20)&amp;"","")&lt;&gt;""),AND(TRIM($L$4)="",IFERROR(('Final Calculation Sheet'!$K$20)&amp;"","")=""))))</f>
        <v/>
      </c>
      <c r="BY21">
        <f>IF($M$4="",1,--(OR(SUMPRODUCT(--(TRIM(MID(SUBSTITUTE(SUBSTITUTE($M$4,"/",","),",",REPT(" ",99)),(ROW($1:$8)-1)*99+1,99))&lt;&gt;""),--ISNUMBER(SEARCH(TRIM(MID(SUBSTITUTE(SUBSTITUTE($M$4,"/",","),",",REPT(" ",99)),(ROW($1:$8)-1)*99+1,99)),IFERROR(('Final Calculation Sheet'!$L$20)&amp;"",""))))&gt;0,AND(ISNUMBER(SEARCH("blank",$M$4)),NOT(ISNUMBER(SEARCH("nonblank",$M$4))),IFERROR(('Final Calculation Sheet'!$L$20)&amp;"","")=""),AND(OR(ISNUMBER(SEARCH("nonblank",$M$4)),ISNUMBER(SEARCH("&lt;&gt;",$M$4))),IFERROR(('Final Calculation Sheet'!$L$20)&amp;"","")&lt;&gt;""),AND(TRIM($M$4)="",IFERROR(('Final Calculation Sheet'!$L$20)&amp;"","")=""))))</f>
        <v/>
      </c>
      <c r="BZ21">
        <f>IF($N$4="",1,--(OR(SUMPRODUCT(--(TRIM(MID(SUBSTITUTE(SUBSTITUTE($N$4,"/",","),",",REPT(" ",99)),(ROW($1:$8)-1)*99+1,99))&lt;&gt;""),--ISNUMBER(SEARCH(TRIM(MID(SUBSTITUTE(SUBSTITUTE($N$4,"/",","),",",REPT(" ",99)),(ROW($1:$8)-1)*99+1,99)),IFERROR(('Final Calculation Sheet'!$M$20)&amp;"",""))))&gt;0,AND(ISNUMBER(SEARCH("blank",$N$4)),NOT(ISNUMBER(SEARCH("nonblank",$N$4))),IFERROR(('Final Calculation Sheet'!$M$20)&amp;"","")=""),AND(OR(ISNUMBER(SEARCH("nonblank",$N$4)),ISNUMBER(SEARCH("&lt;&gt;",$N$4))),IFERROR(('Final Calculation Sheet'!$M$20)&amp;"","")&lt;&gt;""),AND(TRIM($N$4)="",IFERROR(('Final Calculation Sheet'!$M$20)&amp;"","")=""))))</f>
        <v/>
      </c>
      <c r="CA21">
        <f>IF($O$4="",1,--(OR(SUMPRODUCT(--(TRIM(MID(SUBSTITUTE(SUBSTITUTE($O$4,"/",","),",",REPT(" ",99)),(ROW($1:$8)-1)*99+1,99))&lt;&gt;""),--ISNUMBER(SEARCH(TRIM(MID(SUBSTITUTE(SUBSTITUTE($O$4,"/",","),",",REPT(" ",99)),(ROW($1:$8)-1)*99+1,99)),IFERROR(('Final Calculation Sheet'!$N$20)&amp;"",""))))&gt;0,AND(ISNUMBER(SEARCH("blank",$O$4)),NOT(ISNUMBER(SEARCH("nonblank",$O$4))),IFERROR(('Final Calculation Sheet'!$N$20)&amp;"","")=""),AND(OR(ISNUMBER(SEARCH("nonblank",$O$4)),ISNUMBER(SEARCH("&lt;&gt;",$O$4))),IFERROR(('Final Calculation Sheet'!$N$20)&amp;"","")&lt;&gt;""),AND(TRIM($O$4)="",IFERROR(('Final Calculation Sheet'!$N$20)&amp;"","")=""))))</f>
        <v/>
      </c>
      <c r="CB21">
        <f>IF($P$4="",1,--(OR(SUMPRODUCT(--(TRIM(MID(SUBSTITUTE(SUBSTITUTE($P$4,"/",","),",",REPT(" ",99)),(ROW($1:$8)-1)*99+1,99))&lt;&gt;""),--ISNUMBER(SEARCH(TRIM(MID(SUBSTITUTE(SUBSTITUTE($P$4,"/",","),",",REPT(" ",99)),(ROW($1:$8)-1)*99+1,99)),IFERROR(('Final Calculation Sheet'!$O$20)&amp;"",""))))&gt;0,AND(ISNUMBER(SEARCH("blank",$P$4)),NOT(ISNUMBER(SEARCH("nonblank",$P$4))),IFERROR(('Final Calculation Sheet'!$O$20)&amp;"","")=""),AND(OR(ISNUMBER(SEARCH("nonblank",$P$4)),ISNUMBER(SEARCH("&lt;&gt;",$P$4))),IFERROR(('Final Calculation Sheet'!$O$20)&amp;"","")&lt;&gt;""),AND(TRIM($P$4)="",IFERROR(('Final Calculation Sheet'!$O$20)&amp;"","")=""))))</f>
        <v/>
      </c>
      <c r="CC21">
        <f>IF($Q$4="",1,--(OR(SUMPRODUCT(--(TRIM(MID(SUBSTITUTE(SUBSTITUTE($Q$4,"/",","),",",REPT(" ",99)),(ROW($1:$8)-1)*99+1,99))&lt;&gt;""),--ISNUMBER(SEARCH(TRIM(MID(SUBSTITUTE(SUBSTITUTE($Q$4,"/",","),",",REPT(" ",99)),(ROW($1:$8)-1)*99+1,99)),IFERROR(('Final Calculation Sheet'!$P$20)&amp;"",""))))&gt;0,AND(ISNUMBER(SEARCH("blank",$Q$4)),NOT(ISNUMBER(SEARCH("nonblank",$Q$4))),IFERROR(('Final Calculation Sheet'!$P$20)&amp;"","")=""),AND(OR(ISNUMBER(SEARCH("nonblank",$Q$4)),ISNUMBER(SEARCH("&lt;&gt;",$Q$4))),IFERROR(('Final Calculation Sheet'!$P$20)&amp;"","")&lt;&gt;""),AND(TRIM($Q$4)="",IFERROR(('Final Calculation Sheet'!$P$20)&amp;"","")=""))))</f>
        <v/>
      </c>
      <c r="CD21">
        <f>IF($R$4="",1,--(OR(SUMPRODUCT(--(TRIM(MID(SUBSTITUTE(SUBSTITUTE($R$4,"/",","),",",REPT(" ",99)),(ROW($1:$8)-1)*99+1,99))&lt;&gt;""),--ISNUMBER(SEARCH(TRIM(MID(SUBSTITUTE(SUBSTITUTE($R$4,"/",","),",",REPT(" ",99)),(ROW($1:$8)-1)*99+1,99)),IFERROR(('Final Calculation Sheet'!$Q$20)&amp;"",""))))&gt;0,AND(ISNUMBER(SEARCH("blank",$R$4)),NOT(ISNUMBER(SEARCH("nonblank",$R$4))),IFERROR(('Final Calculation Sheet'!$Q$20)&amp;"","")=""),AND(OR(ISNUMBER(SEARCH("nonblank",$R$4)),ISNUMBER(SEARCH("&lt;&gt;",$R$4))),IFERROR(('Final Calculation Sheet'!$Q$20)&amp;"","")&lt;&gt;""),AND(TRIM($R$4)="",IFERROR(('Final Calculation Sheet'!$Q$20)&amp;"","")=""))))</f>
        <v/>
      </c>
      <c r="CE21">
        <f>IF($S$4="",1,--(OR(SUMPRODUCT(--(TRIM(MID(SUBSTITUTE(SUBSTITUTE($S$4,"/",","),",",REPT(" ",99)),(ROW($1:$8)-1)*99+1,99))&lt;&gt;""),--ISNUMBER(SEARCH(TRIM(MID(SUBSTITUTE(SUBSTITUTE($S$4,"/",","),",",REPT(" ",99)),(ROW($1:$8)-1)*99+1,99)),IFERROR(('Final Calculation Sheet'!$R$20)&amp;"",""))))&gt;0,AND(ISNUMBER(SEARCH("blank",$S$4)),NOT(ISNUMBER(SEARCH("nonblank",$S$4))),IFERROR(('Final Calculation Sheet'!$R$20)&amp;"","")=""),AND(OR(ISNUMBER(SEARCH("nonblank",$S$4)),ISNUMBER(SEARCH("&lt;&gt;",$S$4))),IFERROR(('Final Calculation Sheet'!$R$20)&amp;"","")&lt;&gt;""),AND(TRIM($S$4)="",IFERROR(('Final Calculation Sheet'!$R$20)&amp;"","")=""))))</f>
        <v/>
      </c>
      <c r="CF21">
        <f>IF($T$4="",1,--(OR(SUMPRODUCT(--(TRIM(MID(SUBSTITUTE(SUBSTITUTE($T$4,"/",","),",",REPT(" ",99)),(ROW($1:$8)-1)*99+1,99))&lt;&gt;""),--ISNUMBER(SEARCH(TRIM(MID(SUBSTITUTE(SUBSTITUTE($T$4,"/",","),",",REPT(" ",99)),(ROW($1:$8)-1)*99+1,99)),IFERROR(('Final Calculation Sheet'!$S$20)&amp;"",""))))&gt;0,AND(ISNUMBER(SEARCH("blank",$T$4)),NOT(ISNUMBER(SEARCH("nonblank",$T$4))),IFERROR(('Final Calculation Sheet'!$S$20)&amp;"","")=""),AND(OR(ISNUMBER(SEARCH("nonblank",$T$4)),ISNUMBER(SEARCH("&lt;&gt;",$T$4))),IFERROR(('Final Calculation Sheet'!$S$20)&amp;"","")&lt;&gt;""),AND(TRIM($T$4)="",IFERROR(('Final Calculation Sheet'!$S$20)&amp;"","")=""))))</f>
        <v/>
      </c>
      <c r="CG21">
        <f>IF($U$4="",1,--(OR(SUMPRODUCT(--(TRIM(MID(SUBSTITUTE(SUBSTITUTE($U$4,"/",","),",",REPT(" ",99)),(ROW($1:$8)-1)*99+1,99))&lt;&gt;""),--ISNUMBER(SEARCH(TRIM(MID(SUBSTITUTE(SUBSTITUTE($U$4,"/",","),",",REPT(" ",99)),(ROW($1:$8)-1)*99+1,99)),IFERROR(('Final Calculation Sheet'!$T$20)&amp;"",""))))&gt;0,AND(ISNUMBER(SEARCH("blank",$U$4)),NOT(ISNUMBER(SEARCH("nonblank",$U$4))),IFERROR(('Final Calculation Sheet'!$T$20)&amp;"","")=""),AND(OR(ISNUMBER(SEARCH("nonblank",$U$4)),ISNUMBER(SEARCH("&lt;&gt;",$U$4))),IFERROR(('Final Calculation Sheet'!$T$20)&amp;"","")&lt;&gt;""),AND(TRIM($U$4)="",IFERROR(('Final Calculation Sheet'!$T$20)&amp;"","")=""))))</f>
        <v/>
      </c>
      <c r="CH21">
        <f>IF($V$4="",1,--(OR(SUMPRODUCT(--(TRIM(MID(SUBSTITUTE(SUBSTITUTE($V$4,"/",","),",",REPT(" ",99)),(ROW($1:$8)-1)*99+1,99))&lt;&gt;""),--ISNUMBER(SEARCH(TRIM(MID(SUBSTITUTE(SUBSTITUTE($V$4,"/",","),",",REPT(" ",99)),(ROW($1:$8)-1)*99+1,99)),IFERROR(('Final Calculation Sheet'!$U$20)&amp;"",""))))&gt;0,AND(ISNUMBER(SEARCH("blank",$V$4)),NOT(ISNUMBER(SEARCH("nonblank",$V$4))),IFERROR(('Final Calculation Sheet'!$U$20)&amp;"","")=""),AND(OR(ISNUMBER(SEARCH("nonblank",$V$4)),ISNUMBER(SEARCH("&lt;&gt;",$V$4))),IFERROR(('Final Calculation Sheet'!$U$20)&amp;"","")&lt;&gt;""),AND(TRIM($V$4)="",IFERROR(('Final Calculation Sheet'!$U$20)&amp;"","")=""))))</f>
        <v/>
      </c>
      <c r="CI21">
        <f>IF($W$4="",1,--(OR(SUMPRODUCT(--(TRIM(MID(SUBSTITUTE(SUBSTITUTE($W$4,"/",","),",",REPT(" ",99)),(ROW($1:$8)-1)*99+1,99))&lt;&gt;""),--ISNUMBER(SEARCH(TRIM(MID(SUBSTITUTE(SUBSTITUTE($W$4,"/",","),",",REPT(" ",99)),(ROW($1:$8)-1)*99+1,99)),IFERROR(('Final Calculation Sheet'!$V$20)&amp;"",""))))&gt;0,AND(ISNUMBER(SEARCH("blank",$W$4)),NOT(ISNUMBER(SEARCH("nonblank",$W$4))),IFERROR(('Final Calculation Sheet'!$V$20)&amp;"","")=""),AND(OR(ISNUMBER(SEARCH("nonblank",$W$4)),ISNUMBER(SEARCH("&lt;&gt;",$W$4))),IFERROR(('Final Calculation Sheet'!$V$20)&amp;"","")&lt;&gt;""),AND(TRIM($W$4)="",IFERROR(('Final Calculation Sheet'!$V$20)&amp;"","")=""))))</f>
        <v/>
      </c>
      <c r="CJ21">
        <f>IF($X$4="",1,--(OR(SUMPRODUCT(--(TRIM(MID(SUBSTITUTE(SUBSTITUTE($X$4,"/",","),",",REPT(" ",99)),(ROW($1:$8)-1)*99+1,99))&lt;&gt;""),--ISNUMBER(SEARCH(TRIM(MID(SUBSTITUTE(SUBSTITUTE($X$4,"/",","),",",REPT(" ",99)),(ROW($1:$8)-1)*99+1,99)),IFERROR(('Final Calculation Sheet'!$W$20)&amp;"",""))))&gt;0,AND(ISNUMBER(SEARCH("blank",$X$4)),NOT(ISNUMBER(SEARCH("nonblank",$X$4))),IFERROR(('Final Calculation Sheet'!$W$20)&amp;"","")=""),AND(OR(ISNUMBER(SEARCH("nonblank",$X$4)),ISNUMBER(SEARCH("&lt;&gt;",$X$4))),IFERROR(('Final Calculation Sheet'!$W$20)&amp;"","")&lt;&gt;""),AND(TRIM($X$4)="",IFERROR(('Final Calculation Sheet'!$W$20)&amp;"","")=""))))</f>
        <v/>
      </c>
      <c r="CK21">
        <f>IF($Y$4="",1,--(OR(SUMPRODUCT(--(TRIM(MID(SUBSTITUTE(SUBSTITUTE($Y$4,"/",","),",",REPT(" ",99)),(ROW($1:$8)-1)*99+1,99))&lt;&gt;""),--ISNUMBER(SEARCH(TRIM(MID(SUBSTITUTE(SUBSTITUTE($Y$4,"/",","),",",REPT(" ",99)),(ROW($1:$8)-1)*99+1,99)),IFERROR(('Final Calculation Sheet'!$X$20)&amp;"",""))))&gt;0,AND(ISNUMBER(SEARCH("blank",$Y$4)),NOT(ISNUMBER(SEARCH("nonblank",$Y$4))),IFERROR(('Final Calculation Sheet'!$X$20)&amp;"","")=""),AND(OR(ISNUMBER(SEARCH("nonblank",$Y$4)),ISNUMBER(SEARCH("&lt;&gt;",$Y$4))),IFERROR(('Final Calculation Sheet'!$X$20)&amp;"","")&lt;&gt;""),AND(TRIM($Y$4)="",IFERROR(('Final Calculation Sheet'!$X$20)&amp;"","")=""))))</f>
        <v/>
      </c>
      <c r="CL21">
        <f>IF($Z$4="",1,--(OR(SUMPRODUCT(--(TRIM(MID(SUBSTITUTE(SUBSTITUTE($Z$4,"/",","),",",REPT(" ",99)),(ROW($1:$8)-1)*99+1,99))&lt;&gt;""),--ISNUMBER(SEARCH(TRIM(MID(SUBSTITUTE(SUBSTITUTE($Z$4,"/",","),",",REPT(" ",99)),(ROW($1:$8)-1)*99+1,99)),IFERROR(('Final Calculation Sheet'!$Y$20)&amp;"",""))))&gt;0,AND(ISNUMBER(SEARCH("blank",$Z$4)),NOT(ISNUMBER(SEARCH("nonblank",$Z$4))),IFERROR(('Final Calculation Sheet'!$Y$20)&amp;"","")=""),AND(OR(ISNUMBER(SEARCH("nonblank",$Z$4)),ISNUMBER(SEARCH("&lt;&gt;",$Z$4))),IFERROR(('Final Calculation Sheet'!$Y$20)&amp;"","")&lt;&gt;""),AND(TRIM($Z$4)="",IFERROR(('Final Calculation Sheet'!$Y$20)&amp;"","")=""))))</f>
        <v/>
      </c>
      <c r="CM21">
        <f>IF($AA$4="",1,--(OR(SUMPRODUCT(--(TRIM(MID(SUBSTITUTE(SUBSTITUTE($AA$4,"/",","),",",REPT(" ",99)),(ROW($1:$8)-1)*99+1,99))&lt;&gt;""),--ISNUMBER(SEARCH(TRIM(MID(SUBSTITUTE(SUBSTITUTE($AA$4,"/",","),",",REPT(" ",99)),(ROW($1:$8)-1)*99+1,99)),IFERROR(('Final Calculation Sheet'!$Z$20)&amp;"",""))))&gt;0,AND(ISNUMBER(SEARCH("blank",$AA$4)),NOT(ISNUMBER(SEARCH("nonblank",$AA$4))),IFERROR(('Final Calculation Sheet'!$Z$20)&amp;"","")=""),AND(OR(ISNUMBER(SEARCH("nonblank",$AA$4)),ISNUMBER(SEARCH("&lt;&gt;",$AA$4))),IFERROR(('Final Calculation Sheet'!$Z$20)&amp;"","")&lt;&gt;""),AND(TRIM($AA$4)="",IFERROR(('Final Calculation Sheet'!$Z$20)&amp;"","")=""))))</f>
        <v/>
      </c>
      <c r="CN21">
        <f>IF($AB$4="",1,--(OR(SUMPRODUCT(--(TRIM(MID(SUBSTITUTE(SUBSTITUTE($AB$4,"/",","),",",REPT(" ",99)),(ROW($1:$8)-1)*99+1,99))&lt;&gt;""),--ISNUMBER(SEARCH(TRIM(MID(SUBSTITUTE(SUBSTITUTE($AB$4,"/",","),",",REPT(" ",99)),(ROW($1:$8)-1)*99+1,99)),IFERROR(('Final Calculation Sheet'!$AA$20)&amp;"",""))))&gt;0,AND(ISNUMBER(SEARCH("blank",$AB$4)),NOT(ISNUMBER(SEARCH("nonblank",$AB$4))),IFERROR(('Final Calculation Sheet'!$AA$20)&amp;"","")=""),AND(OR(ISNUMBER(SEARCH("nonblank",$AB$4)),ISNUMBER(SEARCH("&lt;&gt;",$AB$4))),IFERROR(('Final Calculation Sheet'!$AA$20)&amp;"","")&lt;&gt;""),AND(TRIM($AB$4)="",IFERROR(('Final Calculation Sheet'!$AA$20)&amp;"","")=""))))</f>
        <v/>
      </c>
      <c r="CO21">
        <f>IF($AC$4="",1,--(OR(SUMPRODUCT(--(TRIM(MID(SUBSTITUTE(SUBSTITUTE($AC$4,"/",","),",",REPT(" ",99)),(ROW($1:$8)-1)*99+1,99))&lt;&gt;""),--ISNUMBER(SEARCH(TRIM(MID(SUBSTITUTE(SUBSTITUTE($AC$4,"/",","),",",REPT(" ",99)),(ROW($1:$8)-1)*99+1,99)),IFERROR(('Final Calculation Sheet'!$AB$20)&amp;"",""))))&gt;0,AND(ISNUMBER(SEARCH("blank",$AC$4)),NOT(ISNUMBER(SEARCH("nonblank",$AC$4))),IFERROR(('Final Calculation Sheet'!$AB$20)&amp;"","")=""),AND(OR(ISNUMBER(SEARCH("nonblank",$AC$4)),ISNUMBER(SEARCH("&lt;&gt;",$AC$4))),IFERROR(('Final Calculation Sheet'!$AB$20)&amp;"","")&lt;&gt;""),AND(TRIM($AC$4)="",IFERROR(('Final Calculation Sheet'!$AB$20)&amp;"","")=""))))</f>
        <v/>
      </c>
      <c r="CP21">
        <f>IF($AD$4="",1,--(OR(SUMPRODUCT(--(TRIM(MID(SUBSTITUTE(SUBSTITUTE($AD$4,"/",","),",",REPT(" ",99)),(ROW($1:$8)-1)*99+1,99))&lt;&gt;""),--ISNUMBER(SEARCH(TRIM(MID(SUBSTITUTE(SUBSTITUTE($AD$4,"/",","),",",REPT(" ",99)),(ROW($1:$8)-1)*99+1,99)),IFERROR(('Final Calculation Sheet'!$AC$20)&amp;"",""))))&gt;0,AND(ISNUMBER(SEARCH("blank",$AD$4)),NOT(ISNUMBER(SEARCH("nonblank",$AD$4))),IFERROR(('Final Calculation Sheet'!$AC$20)&amp;"","")=""),AND(OR(ISNUMBER(SEARCH("nonblank",$AD$4)),ISNUMBER(SEARCH("&lt;&gt;",$AD$4))),IFERROR(('Final Calculation Sheet'!$AC$20)&amp;"","")&lt;&gt;""),AND(TRIM($AD$4)="",IFERROR(('Final Calculation Sheet'!$AC$20)&amp;"","")=""))))</f>
        <v/>
      </c>
      <c r="CQ21">
        <f>IF($AE$4="",1,--(OR(SUMPRODUCT(--(TRIM(MID(SUBSTITUTE(SUBSTITUTE($AE$4,"/",","),",",REPT(" ",99)),(ROW($1:$8)-1)*99+1,99))&lt;&gt;""),--ISNUMBER(SEARCH(TRIM(MID(SUBSTITUTE(SUBSTITUTE($AE$4,"/",","),",",REPT(" ",99)),(ROW($1:$8)-1)*99+1,99)),IFERROR(('Final Calculation Sheet'!$AD$20)&amp;"",""))))&gt;0,AND(ISNUMBER(SEARCH("blank",$AE$4)),NOT(ISNUMBER(SEARCH("nonblank",$AE$4))),IFERROR(('Final Calculation Sheet'!$AD$20)&amp;"","")=""),AND(OR(ISNUMBER(SEARCH("nonblank",$AE$4)),ISNUMBER(SEARCH("&lt;&gt;",$AE$4))),IFERROR(('Final Calculation Sheet'!$AD$20)&amp;"","")&lt;&gt;""),AND(TRIM($AE$4)="",IFERROR(('Final Calculation Sheet'!$AD$20)&amp;"","")=""))))</f>
        <v/>
      </c>
      <c r="CR21">
        <f>IF($AG$4="",1,--(OR(SUMPRODUCT(--(TRIM(MID(SUBSTITUTE(SUBSTITUTE($AG$4,"/",","),",",REPT(" ",99)),(ROW($1:$8)-1)*99+1,99))&lt;&gt;""),--ISNUMBER(SEARCH(TRIM(MID(SUBSTITUTE(SUBSTITUTE($AG$4,"/",","),",",REPT(" ",99)),(ROW($1:$8)-1)*99+1,99)),IFERROR(('Final Calculation Sheet'!$AF$20)&amp;"",""))))&gt;0,AND(ISNUMBER(SEARCH("blank",$AG$4)),NOT(ISNUMBER(SEARCH("nonblank",$AG$4))),IFERROR(('Final Calculation Sheet'!$AF$20)&amp;"","")=""),AND(OR(ISNUMBER(SEARCH("nonblank",$AG$4)),ISNUMBER(SEARCH("&lt;&gt;",$AG$4))),IFERROR(('Final Calculation Sheet'!$AF$20)&amp;"","")&lt;&gt;""),AND(TRIM($AG$4)="",IFERROR(('Final Calculation Sheet'!$AF$20)&amp;"","")=""))))</f>
        <v/>
      </c>
      <c r="CS21">
        <f>IF($AH$4="",1,--(OR(SUMPRODUCT(--(TRIM(MID(SUBSTITUTE(SUBSTITUTE($AH$4,"/",","),",",REPT(" ",99)),(ROW($1:$8)-1)*99+1,99))&lt;&gt;""),--ISNUMBER(SEARCH(TRIM(MID(SUBSTITUTE(SUBSTITUTE($AH$4,"/",","),",",REPT(" ",99)),(ROW($1:$8)-1)*99+1,99)),IFERROR(('Final Calculation Sheet'!$AG$20)&amp;"",""))))&gt;0,AND(ISNUMBER(SEARCH("blank",$AH$4)),NOT(ISNUMBER(SEARCH("nonblank",$AH$4))),IFERROR(('Final Calculation Sheet'!$AG$20)&amp;"","")=""),AND(OR(ISNUMBER(SEARCH("nonblank",$AH$4)),ISNUMBER(SEARCH("&lt;&gt;",$AH$4))),IFERROR(('Final Calculation Sheet'!$AG$20)&amp;"","")&lt;&gt;""),AND(TRIM($AH$4)="",IFERROR(('Final Calculation Sheet'!$AG$20)&amp;"","")=""))))</f>
        <v/>
      </c>
      <c r="CT21">
        <f>IF($AI$4="",1,--(OR(SUMPRODUCT(--(TRIM(MID(SUBSTITUTE(SUBSTITUTE($AI$4,"/",","),",",REPT(" ",99)),(ROW($1:$8)-1)*99+1,99))&lt;&gt;""),--ISNUMBER(SEARCH(TRIM(MID(SUBSTITUTE(SUBSTITUTE($AI$4,"/",","),",",REPT(" ",99)),(ROW($1:$8)-1)*99+1,99)),IFERROR(('Final Calculation Sheet'!$AH$20)&amp;"",""))))&gt;0,AND(ISNUMBER(SEARCH("blank",$AI$4)),NOT(ISNUMBER(SEARCH("nonblank",$AI$4))),IFERROR(('Final Calculation Sheet'!$AH$20)&amp;"","")=""),AND(OR(ISNUMBER(SEARCH("nonblank",$AI$4)),ISNUMBER(SEARCH("&lt;&gt;",$AI$4))),IFERROR(('Final Calculation Sheet'!$AH$20)&amp;"","")&lt;&gt;""),AND(TRIM($AI$4)="",IFERROR(('Final Calculation Sheet'!$AH$20)&amp;"","")=""))))</f>
        <v/>
      </c>
      <c r="CU21">
        <f>IF($AF$4="",1,--(OR(SUMPRODUCT(--(TRIM(MID(SUBSTITUTE(SUBSTITUTE($AF$4,"/",","),",",REPT(" ",99)),(ROW($1:$8)-1)*99+1,99))&lt;&gt;""),--ISNUMBER(SEARCH(TRIM(MID(SUBSTITUTE(SUBSTITUTE($AF$4,"/",","),",",REPT(" ",99)),(ROW($1:$8)-1)*99+1,99)),IFERROR((IF('Final Calculation Sheet'!$AD$20&lt;=5,"SETTLED","OUTSTANDING"))&amp;"",""))))&gt;0,AND(ISNUMBER(SEARCH("blank",$AF$4)),NOT(ISNUMBER(SEARCH("nonblank",$AF$4))),IFERROR((IF('Final Calculation Sheet'!$AD$20&lt;=5,"SETTLED","OUTSTANDING"))&amp;"","")=""),AND(OR(ISNUMBER(SEARCH("nonblank",$AF$4)),ISNUMBER(SEARCH("&lt;&gt;",$AF$4))),IFERROR((IF('Final Calculation Sheet'!$AD$20&lt;=5,"SETTLED","OUTSTANDING"))&amp;"","")&lt;&gt;""),AND(TRIM($AF$4)="",IFERROR((IF('Final Calculation Sheet'!$AD$20&lt;=5,"SETTLED","OUTSTANDING"))&amp;"","")=""))))</f>
        <v/>
      </c>
    </row>
    <row r="22" ht="15" customHeight="1" s="137">
      <c r="A22" s="67">
        <f>IF($BJ21&gt;0,INDEX($BA$5:$BA$41,MATCH(21,$BB$5:$BB$41,0)),IF(OR($BI21=1,$BL21=1,$BH21&gt;0),"∑",""))</f>
        <v/>
      </c>
      <c r="B22" s="76">
        <f>IF($BJ21&gt;0,IF(INDEX('Final Calculation Sheet'!$F$4:$F$40,$BJ21-3)="","",INDEX('Final Calculation Sheet'!$F$4:$F$40,$BJ21-3)),"")</f>
        <v/>
      </c>
      <c r="C22" s="76">
        <f>IF($BJ21&gt;0,IF(INDEX('Final Calculation Sheet'!$G$4:$G$40,$BJ21-3)="","",INDEX('Final Calculation Sheet'!$G$4:$G$40,$BJ21-3)),IF(OR($BI21=1,$BL21=1,$BH21&gt;0),IF($BI21=1,37,IF($BL21=1,37-INDEX($BD$4:$BD$13,10),INDEX($BD$4:$BD$13,$BH21)))&amp;" lot(s)",""))</f>
        <v/>
      </c>
      <c r="D22" s="80">
        <f>IF($BJ21&gt;0,IF(INDEX('Final Calculation Sheet'!$B$4:$B$40,$BJ21-3)="","",INDEX('Final Calculation Sheet'!$B$4:$B$40,$BJ21-3)),IF(OR($BI21=1,$BL21=1,$BH21&gt;0),IF($BI21=1,"GRAND TOTAL  —  matching + remaining",IF($BL21=1,"TOTAL MATCHED  —  every group together",IF($BH21=10,"REMAINING  —  did not match the search",IF($BH21=9,IF(COUNTIF($A$4:$AI$4,"&lt;&gt;")&gt;0,"FILTERED LOTS  —  column fields","ALL LOTS  —  nothing typed in the box"),"GROUP "&amp;$BH21&amp;" TOTAL  —  lots matching  "&amp;INDEX($AR$6:$AY$6,$BH21))))),""))</f>
        <v/>
      </c>
      <c r="E22" s="80">
        <f>IF($BJ21&gt;0,IF(INDEX('Final Calculation Sheet'!$D$4:$D$40,$BJ21-3)="","",INDEX('Final Calculation Sheet'!$D$4:$D$40,$BJ21-3)),IF(OR($BI21=1,$BL21=1,$BH21&gt;0),"–",""))</f>
        <v/>
      </c>
      <c r="F22" s="80">
        <f>IF($BJ21&gt;0,IF(INDEX('Final Calculation Sheet'!$A$4:$A$40,$BJ21-3)="","",INDEX('Final Calculation Sheet'!$A$4:$A$40,$BJ21-3)),IF(OR($BI21=1,$BL21=1,$BH21&gt;0),IF($BI21=1,SUM('Final Calculation Sheet'!$A$4:$A$40),IF($BL21=1,SUM('Final Calculation Sheet'!$A$4:$A$40)-SUMIFS('Final Calculation Sheet'!$A$4:$A$40,$AZ$5:$AZ$41,10),SUMIFS('Final Calculation Sheet'!$A$4:$A$40,$AZ$5:$AZ$41,$BH21))),""))</f>
        <v/>
      </c>
      <c r="G22" s="80">
        <f>IF($BJ21&gt;0,IF(INDEX('Final Calculation Sheet'!$E$4:$E$40,$BJ21-3)="","",INDEX('Final Calculation Sheet'!$E$4:$E$40,$BJ21-3)),IF(OR($BI21=1,$BL21=1,$BH21&gt;0),"–",""))</f>
        <v/>
      </c>
      <c r="H22" s="70">
        <f>IF($BJ21&gt;0,IF(INDEX('Final Calculation Sheet'!$C$4:$C$40,$BJ21-3)="","",INDEX('Final Calculation Sheet'!$C$4:$C$40,$BJ21-3)),IF(OR($BI21=1,$BL21=1,$BH21&gt;0),"–",""))</f>
        <v/>
      </c>
      <c r="I22" s="70">
        <f>IF($BJ21&gt;0,IF(INDEX('Final Calculation Sheet'!$H$4:$H$40,$BJ21-3)="","",INDEX('Final Calculation Sheet'!$H$4:$H$40,$BJ21-3)),IF(OR($BI21=1,$BL21=1,$BH21&gt;0),IF($BI21=1,SUM('Final Calculation Sheet'!$H$4:$H$40),IF($BL21=1,SUM('Final Calculation Sheet'!$H$4:$H$40)-SUMIFS('Final Calculation Sheet'!$H$4:$H$40,$AZ$5:$AZ$41,10),SUMIFS('Final Calculation Sheet'!$H$4:$H$40,$AZ$5:$AZ$41,$BH21))),""))</f>
        <v/>
      </c>
      <c r="J22" s="70">
        <f>IF($BJ21&gt;0,IF(INDEX('Final Calculation Sheet'!$I$4:$I$40,$BJ21-3)="","",INDEX('Final Calculation Sheet'!$I$4:$I$40,$BJ21-3)),IF(OR($BI21=1,$BL21=1,$BH21&gt;0),IF($BI21=1,SUM('Final Calculation Sheet'!$I$4:$I$40),IF($BL21=1,SUM('Final Calculation Sheet'!$I$4:$I$40)-SUMIFS('Final Calculation Sheet'!$I$4:$I$40,$AZ$5:$AZ$41,10),SUMIFS('Final Calculation Sheet'!$I$4:$I$40,$AZ$5:$AZ$41,$BH21))),""))</f>
        <v/>
      </c>
      <c r="K22" s="70">
        <f>IF($BJ21&gt;0,IF(INDEX('Final Calculation Sheet'!$J$4:$J$40,$BJ21-3)="","",INDEX('Final Calculation Sheet'!$J$4:$J$40,$BJ21-3)),IF(OR($BI21=1,$BL21=1,$BH21&gt;0),IF($BI21=1,SUM('Final Calculation Sheet'!$J$4:$J$40),IF($BL21=1,SUM('Final Calculation Sheet'!$J$4:$J$40)-SUMIFS('Final Calculation Sheet'!$J$4:$J$40,$AZ$5:$AZ$41,10),SUMIFS('Final Calculation Sheet'!$J$4:$J$40,$AZ$5:$AZ$41,$BH21))),""))</f>
        <v/>
      </c>
      <c r="L22" s="70">
        <f>IF($BJ21&gt;0,IF(INDEX('Final Calculation Sheet'!$K$4:$K$40,$BJ21-3)="","",INDEX('Final Calculation Sheet'!$K$4:$K$40,$BJ21-3)),IF(OR($BI21=1,$BL21=1,$BH21&gt;0),IF($BI21=1,SUM('Final Calculation Sheet'!$K$4:$K$40),IF($BL21=1,SUM('Final Calculation Sheet'!$K$4:$K$40)-SUMIFS('Final Calculation Sheet'!$K$4:$K$40,$AZ$5:$AZ$41,10),SUMIFS('Final Calculation Sheet'!$K$4:$K$40,$AZ$5:$AZ$41,$BH21))),""))</f>
        <v/>
      </c>
      <c r="M22" s="70">
        <f>IF($BJ21&gt;0,IF(INDEX('Final Calculation Sheet'!$L$4:$L$40,$BJ21-3)="","",INDEX('Final Calculation Sheet'!$L$4:$L$40,$BJ21-3)),IF(OR($BI21=1,$BL21=1,$BH21&gt;0),IF($BI21=1,SUM('Final Calculation Sheet'!$L$4:$L$40),IF($BL21=1,SUM('Final Calculation Sheet'!$L$4:$L$40)-SUMIFS('Final Calculation Sheet'!$L$4:$L$40,$AZ$5:$AZ$41,10),SUMIFS('Final Calculation Sheet'!$L$4:$L$40,$AZ$5:$AZ$41,$BH21))),""))</f>
        <v/>
      </c>
      <c r="N22" s="70">
        <f>IF($BJ21&gt;0,IF(INDEX('Final Calculation Sheet'!$M$4:$M$40,$BJ21-3)="","",INDEX('Final Calculation Sheet'!$M$4:$M$40,$BJ21-3)),IF(OR($BI21=1,$BL21=1,$BH21&gt;0),IF($BI21=1,SUM('Final Calculation Sheet'!$M$4:$M$40),IF($BL21=1,SUM('Final Calculation Sheet'!$M$4:$M$40)-SUMIFS('Final Calculation Sheet'!$M$4:$M$40,$AZ$5:$AZ$41,10),SUMIFS('Final Calculation Sheet'!$M$4:$M$40,$AZ$5:$AZ$41,$BH21))),""))</f>
        <v/>
      </c>
      <c r="O22" s="71">
        <f>IF($BJ21&gt;0,IF(INDEX('Final Calculation Sheet'!$N$4:$N$40,$BJ21-3)="","",INDEX('Final Calculation Sheet'!$N$4:$N$40,$BJ21-3)),IF(OR($BI21=1,$BL21=1,$BH21&gt;0),IF($BI21=1,SUM('Final Calculation Sheet'!$N$4:$N$40),IF($BL21=1,SUM('Final Calculation Sheet'!$N$4:$N$40)-SUMIFS('Final Calculation Sheet'!$N$4:$N$40,$AZ$5:$AZ$41,10),SUMIFS('Final Calculation Sheet'!$N$4:$N$40,$AZ$5:$AZ$41,$BH21))),""))</f>
        <v/>
      </c>
      <c r="P22" s="70">
        <f>IF($BJ21&gt;0,IF(INDEX('Final Calculation Sheet'!$O$4:$O$40,$BJ21-3)="","",INDEX('Final Calculation Sheet'!$O$4:$O$40,$BJ21-3)),IF(OR($BI21=1,$BL21=1,$BH21&gt;0),IF($BI21=1,SUM('Final Calculation Sheet'!$O$4:$O$40),IF($BL21=1,SUM('Final Calculation Sheet'!$O$4:$O$40)-SUMIFS('Final Calculation Sheet'!$O$4:$O$40,$AZ$5:$AZ$41,10),SUMIFS('Final Calculation Sheet'!$O$4:$O$40,$AZ$5:$AZ$41,$BH21))),""))</f>
        <v/>
      </c>
      <c r="Q22" s="70">
        <f>IF($BJ21&gt;0,IF(INDEX('Final Calculation Sheet'!$P$4:$P$40,$BJ21-3)="","",INDEX('Final Calculation Sheet'!$P$4:$P$40,$BJ21-3)),IF(OR($BI21=1,$BL21=1,$BH21&gt;0),IF($BI21=1,SUM('Final Calculation Sheet'!$P$4:$P$40),IF($BL21=1,SUM('Final Calculation Sheet'!$P$4:$P$40)-SUMIFS('Final Calculation Sheet'!$P$4:$P$40,$AZ$5:$AZ$41,10),SUMIFS('Final Calculation Sheet'!$P$4:$P$40,$AZ$5:$AZ$41,$BH21))),""))</f>
        <v/>
      </c>
      <c r="R22" s="72">
        <f>IF($BJ21&gt;0,IF(INDEX('Final Calculation Sheet'!$Q$4:$Q$40,$BJ21-3)="","",INDEX('Final Calculation Sheet'!$Q$4:$Q$40,$BJ21-3)),IF(OR($BI21=1,$BL21=1,$BH21&gt;0),"–",""))</f>
        <v/>
      </c>
      <c r="S22" s="70">
        <f>IF($BJ21&gt;0,IF(INDEX('Final Calculation Sheet'!$R$4:$R$40,$BJ21-3)="","",INDEX('Final Calculation Sheet'!$R$4:$R$40,$BJ21-3)),IF(OR($BI21=1,$BL21=1,$BH21&gt;0),IF($BI21=1,SUM('Final Calculation Sheet'!$R$4:$R$40),IF($BL21=1,SUM('Final Calculation Sheet'!$R$4:$R$40)-SUMIFS('Final Calculation Sheet'!$R$4:$R$40,$AZ$5:$AZ$41,10),SUMIFS('Final Calculation Sheet'!$R$4:$R$40,$AZ$5:$AZ$41,$BH21))),""))</f>
        <v/>
      </c>
      <c r="T22" s="70">
        <f>IF($BJ21&gt;0,IF(INDEX('Final Calculation Sheet'!$S$4:$S$40,$BJ21-3)="","",INDEX('Final Calculation Sheet'!$S$4:$S$40,$BJ21-3)),IF(OR($BI21=1,$BL21=1,$BH21&gt;0),IF($BI21=1,SUM('Final Calculation Sheet'!$S$4:$S$40),IF($BL21=1,SUM('Final Calculation Sheet'!$S$4:$S$40)-SUMIFS('Final Calculation Sheet'!$S$4:$S$40,$AZ$5:$AZ$41,10),SUMIFS('Final Calculation Sheet'!$S$4:$S$40,$AZ$5:$AZ$41,$BH21))),""))</f>
        <v/>
      </c>
      <c r="U22" s="70">
        <f>IF($BJ21&gt;0,IF(INDEX('Final Calculation Sheet'!$T$4:$T$40,$BJ21-3)="","",INDEX('Final Calculation Sheet'!$T$4:$T$40,$BJ21-3)),IF(OR($BI21=1,$BL21=1,$BH21&gt;0),IF($BI21=1,SUM('Final Calculation Sheet'!$T$4:$T$40),IF($BL21=1,SUM('Final Calculation Sheet'!$T$4:$T$40)-SUMIFS('Final Calculation Sheet'!$T$4:$T$40,$AZ$5:$AZ$41,10),SUMIFS('Final Calculation Sheet'!$T$4:$T$40,$AZ$5:$AZ$41,$BH21))),""))</f>
        <v/>
      </c>
      <c r="V22" s="73">
        <f>IF($BJ21&gt;0,IF(INDEX('Final Calculation Sheet'!$U$4:$U$40,$BJ21-3)="","",INDEX('Final Calculation Sheet'!$U$4:$U$40,$BJ21-3)),IF(OR($BI21=1,$BL21=1,$BH21&gt;0),IF($BI21=1,SUM('Final Calculation Sheet'!$U$4:$U$40),IF($BL21=1,SUM('Final Calculation Sheet'!$U$4:$U$40)-SUMIFS('Final Calculation Sheet'!$U$4:$U$40,$AZ$5:$AZ$41,10),SUMIFS('Final Calculation Sheet'!$U$4:$U$40,$AZ$5:$AZ$41,$BH21))),""))</f>
        <v/>
      </c>
      <c r="W22" s="70">
        <f>IF($BJ21&gt;0,IF(INDEX('Final Calculation Sheet'!$V$4:$V$40,$BJ21-3)="","",INDEX('Final Calculation Sheet'!$V$4:$V$40,$BJ21-3)),IF(OR($BI21=1,$BL21=1,$BH21&gt;0),"–",""))</f>
        <v/>
      </c>
      <c r="X22" s="70">
        <f>IF($BJ21&gt;0,IF(INDEX('Final Calculation Sheet'!$W$4:$W$40,$BJ21-3)="","",INDEX('Final Calculation Sheet'!$W$4:$W$40,$BJ21-3)),IF(OR($BI21=1,$BL21=1,$BH21&gt;0),IF($BI21=1,SUM('Final Calculation Sheet'!$W$4:$W$40),IF($BL21=1,SUM('Final Calculation Sheet'!$W$4:$W$40)-SUMIFS('Final Calculation Sheet'!$W$4:$W$40,$AZ$5:$AZ$41,10),SUMIFS('Final Calculation Sheet'!$W$4:$W$40,$AZ$5:$AZ$41,$BH21))),""))</f>
        <v/>
      </c>
      <c r="Y22" s="70">
        <f>IF($BJ21&gt;0,IF(INDEX('Final Calculation Sheet'!$X$4:$X$40,$BJ21-3)="","",INDEX('Final Calculation Sheet'!$X$4:$X$40,$BJ21-3)),IF(OR($BI21=1,$BL21=1,$BH21&gt;0),IF($BI21=1,SUM('Final Calculation Sheet'!$X$4:$X$40),IF($BL21=1,SUM('Final Calculation Sheet'!$X$4:$X$40)-SUMIFS('Final Calculation Sheet'!$X$4:$X$40,$AZ$5:$AZ$41,10),SUMIFS('Final Calculation Sheet'!$X$4:$X$40,$AZ$5:$AZ$41,$BH21))),""))</f>
        <v/>
      </c>
      <c r="Z22" s="70">
        <f>IF($BJ21&gt;0,IF(INDEX('Final Calculation Sheet'!$Y$4:$Y$40,$BJ21-3)="","",INDEX('Final Calculation Sheet'!$Y$4:$Y$40,$BJ21-3)),IF(OR($BI21=1,$BL21=1,$BH21&gt;0),"–",""))</f>
        <v/>
      </c>
      <c r="AA22" s="70">
        <f>IF($BJ21&gt;0,IF(INDEX('Final Calculation Sheet'!$Z$4:$Z$40,$BJ21-3)="","",INDEX('Final Calculation Sheet'!$Z$4:$Z$40,$BJ21-3)),IF(OR($BI21=1,$BL21=1,$BH21&gt;0),IF($BI21=1,SUM('Final Calculation Sheet'!$Z$4:$Z$40),IF($BL21=1,SUM('Final Calculation Sheet'!$Z$4:$Z$40)-SUMIFS('Final Calculation Sheet'!$Z$4:$Z$40,$AZ$5:$AZ$41,10),SUMIFS('Final Calculation Sheet'!$Z$4:$Z$40,$AZ$5:$AZ$41,$BH21))),""))</f>
        <v/>
      </c>
      <c r="AB22" s="70">
        <f>IF($BJ21&gt;0,IF(INDEX('Final Calculation Sheet'!$AA$4:$AA$40,$BJ21-3)="","",INDEX('Final Calculation Sheet'!$AA$4:$AA$40,$BJ21-3)),IF(OR($BI21=1,$BL21=1,$BH21&gt;0),IF($BI21=1,SUM('Final Calculation Sheet'!$AA$4:$AA$40),IF($BL21=1,SUM('Final Calculation Sheet'!$AA$4:$AA$40)-SUMIFS('Final Calculation Sheet'!$AA$4:$AA$40,$AZ$5:$AZ$41,10),SUMIFS('Final Calculation Sheet'!$AA$4:$AA$40,$AZ$5:$AZ$41,$BH21))),""))</f>
        <v/>
      </c>
      <c r="AC22" s="70">
        <f>IF($BJ21&gt;0,IF(INDEX('Final Calculation Sheet'!$AB$4:$AB$40,$BJ21-3)="","",INDEX('Final Calculation Sheet'!$AB$4:$AB$40,$BJ21-3)),IF(OR($BI21=1,$BL21=1,$BH21&gt;0),"–",""))</f>
        <v/>
      </c>
      <c r="AD22" s="70">
        <f>IF($BJ21&gt;0,IF(INDEX('Final Calculation Sheet'!$AC$4:$AC$40,$BJ21-3)="","",INDEX('Final Calculation Sheet'!$AC$4:$AC$40,$BJ21-3)),IF(OR($BI21=1,$BL21=1,$BH21&gt;0),IF($BI21=1,SUM('Final Calculation Sheet'!$AC$4:$AC$40),IF($BL21=1,SUM('Final Calculation Sheet'!$AC$4:$AC$40)-SUMIFS('Final Calculation Sheet'!$AC$4:$AC$40,$AZ$5:$AZ$41,10),SUMIFS('Final Calculation Sheet'!$AC$4:$AC$40,$AZ$5:$AZ$41,$BH21))),""))</f>
        <v/>
      </c>
      <c r="AE22" s="70">
        <f>IF($BJ21&gt;0,IF(INDEX('Final Calculation Sheet'!$AD$4:$AD$40,$BJ21-3)="","",INDEX('Final Calculation Sheet'!$AD$4:$AD$40,$BJ21-3)),IF(OR($BI21=1,$BL21=1,$BH21&gt;0),IF($BI21=1,SUM('Final Calculation Sheet'!$AD$4:$AD$40),IF($BL21=1,SUM('Final Calculation Sheet'!$AD$4:$AD$40)-SUMIFS('Final Calculation Sheet'!$AD$4:$AD$40,$AZ$5:$AZ$41,10),SUMIFS('Final Calculation Sheet'!$AD$4:$AD$40,$AZ$5:$AZ$41,$BH21))),""))</f>
        <v/>
      </c>
      <c r="AF22" s="75">
        <f>IF($BJ21&gt;0,IF(INDEX('Final Calculation Sheet'!$AD$4:$AD$40,$BJ21-3)="","",IF(INDEX('Final Calculation Sheet'!$AD$4:$AD$40,$BJ21-3)&lt;=5,"SETTLED","OUTSTANDING")),IF(OR($BI21=1,$BL21=1,$BH21&gt;0),IF(IF($BI21=1,SUM('Final Calculation Sheet'!$AD$4:$AD$40),IF($BL21=1,SUM('Final Calculation Sheet'!$AD$4:$AD$40)-SUMIFS('Final Calculation Sheet'!$AD$4:$AD$40,$AZ$5:$AZ$41,10),SUMIFS('Final Calculation Sheet'!$AD$4:$AD$40,$AZ$5:$AZ$41,$BH21)))&lt;=5,"ALL SETTLED","OUTSTANDING"),""))</f>
        <v/>
      </c>
      <c r="AG22" s="70">
        <f>IF($BJ21&gt;0,IF(INDEX('Final Calculation Sheet'!$AF$4:$AF$40,$BJ21-3)="","",INDEX('Final Calculation Sheet'!$AF$4:$AF$40,$BJ21-3)),IF(OR($BI21=1,$BL21=1,$BH21&gt;0),"–",""))</f>
        <v/>
      </c>
      <c r="AH22" s="74">
        <f>IF($BJ21&gt;0,IF(INDEX('Final Calculation Sheet'!$AG$4:$AG$40,$BJ21-3)="","",INDEX('Final Calculation Sheet'!$AG$4:$AG$40,$BJ21-3)),IF(OR($BI21=1,$BL21=1,$BH21&gt;0),"–",""))</f>
        <v/>
      </c>
      <c r="AI22" s="70">
        <f>IF($BJ21&gt;0,IF(INDEX('Final Calculation Sheet'!$AH$4:$AH$40,$BJ21-3)="","",INDEX('Final Calculation Sheet'!$AH$4:$AH$40,$BJ21-3)),IF(OR($BI21=1,$BL21=1,$BH21&gt;0),"–",""))</f>
        <v/>
      </c>
      <c r="AK22">
        <f>IF($F$3="Lot No.",'Final Calculation Sheet'!$F$21,IF($F$3="Buyer",'Final Calculation Sheet'!$G$21,IF($F$3="Lot Name",'Final Calculation Sheet'!$B$21,IF($F$3="Bid Sheet",'Final Calculation Sheet'!$D$21,IF($F$3="Unit",'Final Calculation Sheet'!$E$21,'Final Calculation Sheet'!$F$21&amp;" "&amp;'Final Calculation Sheet'!$G$21&amp;" "&amp;'Final Calculation Sheet'!$B$21)))))</f>
        <v/>
      </c>
      <c r="AL22">
        <f>AL21+IF($B$3="",0,--(SUMPRODUCT(--($AR$6:$AY$6&lt;&gt;""),--ISNUMBER(SEARCH($AR$6:$AY$6,$AK22)))&gt;0))</f>
        <v/>
      </c>
      <c r="AM22">
        <f>IF(COUNTIF($BM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AZ22">
        <f>IF($B$3="",IF(COUNTIF($A$4:$AI$4,"&lt;&gt;")=0,9,IF($AM22=1,9,10)),IF($AM22=0,10,IF(AND($AR$6&lt;&gt;"",ISNUMBER(SEARCH($AR$6,$AK22))),1,IF(AND($AS$6&lt;&gt;"",ISNUMBER(SEARCH($AS$6,$AK22))),2,IF(AND($AT$6&lt;&gt;"",ISNUMBER(SEARCH($AT$6,$AK22))),3,IF(AND($AU$6&lt;&gt;"",ISNUMBER(SEARCH($AU$6,$AK22))),4,IF(AND($AV$6&lt;&gt;"",ISNUMBER(SEARCH($AV$6,$AK22))),5,IF(AND($AW$6&lt;&gt;"",ISNUMBER(SEARCH($AW$6,$AK22))),6,IF(AND($AX$6&lt;&gt;"",ISNUMBER(SEARCH($AX$6,$AK22))),7,IF(AND($AY$6&lt;&gt;"",ISNUMBER(SEARCH($AY$6,$AK22))),8,0))))))))))</f>
        <v/>
      </c>
      <c r="BA22">
        <f>SUMPRODUCT(($AZ$5:$AZ$41=$AZ22)*($BC$5:$BC$41&lt;$BC22))+1</f>
        <v/>
      </c>
      <c r="BB22">
        <f>IF(INDEX($BF$4:$BF$13,$AZ22)=0,0,INDEX($BE$4:$BE$13,$AZ22)+$BA22-1)</f>
        <v/>
      </c>
      <c r="BC22" t="n">
        <v>21</v>
      </c>
      <c r="BH22">
        <f>IFERROR(MATCH(22,$BF$4:$BF$13,0),0)</f>
        <v/>
      </c>
      <c r="BI22">
        <f>IF(22=$BG$5,1,0)</f>
        <v/>
      </c>
      <c r="BJ22">
        <f>IF(OR($BH22&gt;0,$BI22=1,$BL22=1),0,IFERROR(INDEX($BC$5:$BC$41,MATCH(22,$BB$5:$BB$41,0)),0))</f>
        <v/>
      </c>
      <c r="BK22">
        <f>IF($BJ22&gt;0,IF(INDEX($AZ$5:$AZ$41,MATCH(22,$BB$5:$BB$41,0))=10,1,0),IF($BH22=10,1,0))</f>
        <v/>
      </c>
      <c r="BL22">
        <f>IF(22=$BG$4,1,0)</f>
        <v/>
      </c>
      <c r="BM22">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2">
        <f>IF($B$4="",1,--(OR(SUMPRODUCT(--(TRIM(MID(SUBSTITUTE(SUBSTITUTE($B$4,"/",","),",",REPT(" ",99)),(ROW($1:$8)-1)*99+1,99))&lt;&gt;""),--ISNUMBER(SEARCH(TRIM(MID(SUBSTITUTE(SUBSTITUTE($B$4,"/",","),",",REPT(" ",99)),(ROW($1:$8)-1)*99+1,99)),IFERROR(('Final Calculation Sheet'!$F$21)&amp;"",""))))&gt;0,AND(ISNUMBER(SEARCH("blank",$B$4)),NOT(ISNUMBER(SEARCH("nonblank",$B$4))),IFERROR(('Final Calculation Sheet'!$F$21)&amp;"","")=""),AND(OR(ISNUMBER(SEARCH("nonblank",$B$4)),ISNUMBER(SEARCH("&lt;&gt;",$B$4))),IFERROR(('Final Calculation Sheet'!$F$21)&amp;"","")&lt;&gt;""),AND(TRIM($B$4)="",IFERROR(('Final Calculation Sheet'!$F$21)&amp;"","")=""))))</f>
        <v/>
      </c>
      <c r="BO22">
        <f>IF($CW$3="",1,--(OR(SUMPRODUCT(--(TRIM(MID(SUBSTITUTE(SUBSTITUTE($CW$3,"/",","),",",REPT(" ",99)),(ROW($1:$8)-1)*99+1,99))&lt;&gt;""),--ISNUMBER(SEARCH(TRIM(MID(SUBSTITUTE(SUBSTITUTE($CW$3,"/",","),",",REPT(" ",99)),(ROW($1:$8)-1)*99+1,99)),IFERROR(('Final Calculation Sheet'!$G$21)&amp;"",""))))&gt;0,AND(ISNUMBER(SEARCH("blank",$CW$3)),NOT(ISNUMBER(SEARCH("nonblank",$CW$3))),IFERROR(('Final Calculation Sheet'!$G$21)&amp;"","")=""),AND(OR(ISNUMBER(SEARCH("nonblank",$CW$3)),ISNUMBER(SEARCH("&lt;&gt;",$CW$3))),IFERROR(('Final Calculation Sheet'!$G$21)&amp;"","")&lt;&gt;""),AND(TRIM($CW$3)="",IFERROR(('Final Calculation Sheet'!$G$21)&amp;"","")=""))))</f>
        <v/>
      </c>
      <c r="BP22">
        <f>IF($D$4="",1,--(OR(SUMPRODUCT(--(TRIM(MID(SUBSTITUTE(SUBSTITUTE($D$4,"/",","),",",REPT(" ",99)),(ROW($1:$8)-1)*99+1,99))&lt;&gt;""),--ISNUMBER(SEARCH(TRIM(MID(SUBSTITUTE(SUBSTITUTE($D$4,"/",","),",",REPT(" ",99)),(ROW($1:$8)-1)*99+1,99)),IFERROR(('Final Calculation Sheet'!$B$21)&amp;"",""))))&gt;0,AND(ISNUMBER(SEARCH("blank",$D$4)),NOT(ISNUMBER(SEARCH("nonblank",$D$4))),IFERROR(('Final Calculation Sheet'!$B$21)&amp;"","")=""),AND(OR(ISNUMBER(SEARCH("nonblank",$D$4)),ISNUMBER(SEARCH("&lt;&gt;",$D$4))),IFERROR(('Final Calculation Sheet'!$B$21)&amp;"","")&lt;&gt;""),AND(TRIM($D$4)="",IFERROR(('Final Calculation Sheet'!$B$21)&amp;"","")=""))))</f>
        <v/>
      </c>
      <c r="BQ22">
        <f>IF($E$4="",1,--(OR(SUMPRODUCT(--(TRIM(MID(SUBSTITUTE(SUBSTITUTE($E$4,"/",","),",",REPT(" ",99)),(ROW($1:$8)-1)*99+1,99))&lt;&gt;""),--ISNUMBER(SEARCH(TRIM(MID(SUBSTITUTE(SUBSTITUTE($E$4,"/",","),",",REPT(" ",99)),(ROW($1:$8)-1)*99+1,99)),IFERROR(('Final Calculation Sheet'!$D$21)&amp;"",""))))&gt;0,AND(ISNUMBER(SEARCH("blank",$E$4)),NOT(ISNUMBER(SEARCH("nonblank",$E$4))),IFERROR(('Final Calculation Sheet'!$D$21)&amp;"","")=""),AND(OR(ISNUMBER(SEARCH("nonblank",$E$4)),ISNUMBER(SEARCH("&lt;&gt;",$E$4))),IFERROR(('Final Calculation Sheet'!$D$21)&amp;"","")&lt;&gt;""),AND(TRIM($E$4)="",IFERROR(('Final Calculation Sheet'!$D$21)&amp;"","")=""))))</f>
        <v/>
      </c>
      <c r="BR22">
        <f>IF($F$4="",1,--(OR(SUMPRODUCT(--(TRIM(MID(SUBSTITUTE(SUBSTITUTE($F$4,"/",","),",",REPT(" ",99)),(ROW($1:$8)-1)*99+1,99))&lt;&gt;""),--ISNUMBER(SEARCH(TRIM(MID(SUBSTITUTE(SUBSTITUTE($F$4,"/",","),",",REPT(" ",99)),(ROW($1:$8)-1)*99+1,99)),IFERROR(('Final Calculation Sheet'!$A$21)&amp;"",""))))&gt;0,AND(ISNUMBER(SEARCH("blank",$F$4)),NOT(ISNUMBER(SEARCH("nonblank",$F$4))),IFERROR(('Final Calculation Sheet'!$A$21)&amp;"","")=""),AND(OR(ISNUMBER(SEARCH("nonblank",$F$4)),ISNUMBER(SEARCH("&lt;&gt;",$F$4))),IFERROR(('Final Calculation Sheet'!$A$21)&amp;"","")&lt;&gt;""),AND(TRIM($F$4)="",IFERROR(('Final Calculation Sheet'!$A$21)&amp;"","")=""))))</f>
        <v/>
      </c>
      <c r="BS22">
        <f>IF($G$4="",1,--(OR(SUMPRODUCT(--(TRIM(MID(SUBSTITUTE(SUBSTITUTE($G$4,"/",","),",",REPT(" ",99)),(ROW($1:$8)-1)*99+1,99))&lt;&gt;""),--ISNUMBER(SEARCH(TRIM(MID(SUBSTITUTE(SUBSTITUTE($G$4,"/",","),",",REPT(" ",99)),(ROW($1:$8)-1)*99+1,99)),IFERROR(('Final Calculation Sheet'!$E$21)&amp;"",""))))&gt;0,AND(ISNUMBER(SEARCH("blank",$G$4)),NOT(ISNUMBER(SEARCH("nonblank",$G$4))),IFERROR(('Final Calculation Sheet'!$E$21)&amp;"","")=""),AND(OR(ISNUMBER(SEARCH("nonblank",$G$4)),ISNUMBER(SEARCH("&lt;&gt;",$G$4))),IFERROR(('Final Calculation Sheet'!$E$21)&amp;"","")&lt;&gt;""),AND(TRIM($G$4)="",IFERROR(('Final Calculation Sheet'!$E$21)&amp;"","")=""))))</f>
        <v/>
      </c>
      <c r="BT22">
        <f>IF($H$4="",1,--(OR(SUMPRODUCT(--(TRIM(MID(SUBSTITUTE(SUBSTITUTE($H$4,"/",","),",",REPT(" ",99)),(ROW($1:$8)-1)*99+1,99))&lt;&gt;""),--ISNUMBER(SEARCH(TRIM(MID(SUBSTITUTE(SUBSTITUTE($H$4,"/",","),",",REPT(" ",99)),(ROW($1:$8)-1)*99+1,99)),IFERROR(('Final Calculation Sheet'!$C$21)&amp;"",""))))&gt;0,AND(ISNUMBER(SEARCH("blank",$H$4)),NOT(ISNUMBER(SEARCH("nonblank",$H$4))),IFERROR(('Final Calculation Sheet'!$C$21)&amp;"","")=""),AND(OR(ISNUMBER(SEARCH("nonblank",$H$4)),ISNUMBER(SEARCH("&lt;&gt;",$H$4))),IFERROR(('Final Calculation Sheet'!$C$21)&amp;"","")&lt;&gt;""),AND(TRIM($H$4)="",IFERROR(('Final Calculation Sheet'!$C$21)&amp;"","")=""))))</f>
        <v/>
      </c>
      <c r="BU22">
        <f>IF($I$4="",1,--(OR(SUMPRODUCT(--(TRIM(MID(SUBSTITUTE(SUBSTITUTE($I$4,"/",","),",",REPT(" ",99)),(ROW($1:$8)-1)*99+1,99))&lt;&gt;""),--ISNUMBER(SEARCH(TRIM(MID(SUBSTITUTE(SUBSTITUTE($I$4,"/",","),",",REPT(" ",99)),(ROW($1:$8)-1)*99+1,99)),IFERROR(('Final Calculation Sheet'!$H$21)&amp;"",""))))&gt;0,AND(ISNUMBER(SEARCH("blank",$I$4)),NOT(ISNUMBER(SEARCH("nonblank",$I$4))),IFERROR(('Final Calculation Sheet'!$H$21)&amp;"","")=""),AND(OR(ISNUMBER(SEARCH("nonblank",$I$4)),ISNUMBER(SEARCH("&lt;&gt;",$I$4))),IFERROR(('Final Calculation Sheet'!$H$21)&amp;"","")&lt;&gt;""),AND(TRIM($I$4)="",IFERROR(('Final Calculation Sheet'!$H$21)&amp;"","")=""))))</f>
        <v/>
      </c>
      <c r="BV22">
        <f>IF($J$4="",1,--(OR(SUMPRODUCT(--(TRIM(MID(SUBSTITUTE(SUBSTITUTE($J$4,"/",","),",",REPT(" ",99)),(ROW($1:$8)-1)*99+1,99))&lt;&gt;""),--ISNUMBER(SEARCH(TRIM(MID(SUBSTITUTE(SUBSTITUTE($J$4,"/",","),",",REPT(" ",99)),(ROW($1:$8)-1)*99+1,99)),IFERROR(('Final Calculation Sheet'!$I$21)&amp;"",""))))&gt;0,AND(ISNUMBER(SEARCH("blank",$J$4)),NOT(ISNUMBER(SEARCH("nonblank",$J$4))),IFERROR(('Final Calculation Sheet'!$I$21)&amp;"","")=""),AND(OR(ISNUMBER(SEARCH("nonblank",$J$4)),ISNUMBER(SEARCH("&lt;&gt;",$J$4))),IFERROR(('Final Calculation Sheet'!$I$21)&amp;"","")&lt;&gt;""),AND(TRIM($J$4)="",IFERROR(('Final Calculation Sheet'!$I$21)&amp;"","")=""))))</f>
        <v/>
      </c>
      <c r="BW22">
        <f>IF($K$4="",1,--(OR(SUMPRODUCT(--(TRIM(MID(SUBSTITUTE(SUBSTITUTE($K$4,"/",","),",",REPT(" ",99)),(ROW($1:$8)-1)*99+1,99))&lt;&gt;""),--ISNUMBER(SEARCH(TRIM(MID(SUBSTITUTE(SUBSTITUTE($K$4,"/",","),",",REPT(" ",99)),(ROW($1:$8)-1)*99+1,99)),IFERROR(('Final Calculation Sheet'!$J$21)&amp;"",""))))&gt;0,AND(ISNUMBER(SEARCH("blank",$K$4)),NOT(ISNUMBER(SEARCH("nonblank",$K$4))),IFERROR(('Final Calculation Sheet'!$J$21)&amp;"","")=""),AND(OR(ISNUMBER(SEARCH("nonblank",$K$4)),ISNUMBER(SEARCH("&lt;&gt;",$K$4))),IFERROR(('Final Calculation Sheet'!$J$21)&amp;"","")&lt;&gt;""),AND(TRIM($K$4)="",IFERROR(('Final Calculation Sheet'!$J$21)&amp;"","")=""))))</f>
        <v/>
      </c>
      <c r="BX22">
        <f>IF($L$4="",1,--(OR(SUMPRODUCT(--(TRIM(MID(SUBSTITUTE(SUBSTITUTE($L$4,"/",","),",",REPT(" ",99)),(ROW($1:$8)-1)*99+1,99))&lt;&gt;""),--ISNUMBER(SEARCH(TRIM(MID(SUBSTITUTE(SUBSTITUTE($L$4,"/",","),",",REPT(" ",99)),(ROW($1:$8)-1)*99+1,99)),IFERROR(('Final Calculation Sheet'!$K$21)&amp;"",""))))&gt;0,AND(ISNUMBER(SEARCH("blank",$L$4)),NOT(ISNUMBER(SEARCH("nonblank",$L$4))),IFERROR(('Final Calculation Sheet'!$K$21)&amp;"","")=""),AND(OR(ISNUMBER(SEARCH("nonblank",$L$4)),ISNUMBER(SEARCH("&lt;&gt;",$L$4))),IFERROR(('Final Calculation Sheet'!$K$21)&amp;"","")&lt;&gt;""),AND(TRIM($L$4)="",IFERROR(('Final Calculation Sheet'!$K$21)&amp;"","")=""))))</f>
        <v/>
      </c>
      <c r="BY22">
        <f>IF($M$4="",1,--(OR(SUMPRODUCT(--(TRIM(MID(SUBSTITUTE(SUBSTITUTE($M$4,"/",","),",",REPT(" ",99)),(ROW($1:$8)-1)*99+1,99))&lt;&gt;""),--ISNUMBER(SEARCH(TRIM(MID(SUBSTITUTE(SUBSTITUTE($M$4,"/",","),",",REPT(" ",99)),(ROW($1:$8)-1)*99+1,99)),IFERROR(('Final Calculation Sheet'!$L$21)&amp;"",""))))&gt;0,AND(ISNUMBER(SEARCH("blank",$M$4)),NOT(ISNUMBER(SEARCH("nonblank",$M$4))),IFERROR(('Final Calculation Sheet'!$L$21)&amp;"","")=""),AND(OR(ISNUMBER(SEARCH("nonblank",$M$4)),ISNUMBER(SEARCH("&lt;&gt;",$M$4))),IFERROR(('Final Calculation Sheet'!$L$21)&amp;"","")&lt;&gt;""),AND(TRIM($M$4)="",IFERROR(('Final Calculation Sheet'!$L$21)&amp;"","")=""))))</f>
        <v/>
      </c>
      <c r="BZ22">
        <f>IF($N$4="",1,--(OR(SUMPRODUCT(--(TRIM(MID(SUBSTITUTE(SUBSTITUTE($N$4,"/",","),",",REPT(" ",99)),(ROW($1:$8)-1)*99+1,99))&lt;&gt;""),--ISNUMBER(SEARCH(TRIM(MID(SUBSTITUTE(SUBSTITUTE($N$4,"/",","),",",REPT(" ",99)),(ROW($1:$8)-1)*99+1,99)),IFERROR(('Final Calculation Sheet'!$M$21)&amp;"",""))))&gt;0,AND(ISNUMBER(SEARCH("blank",$N$4)),NOT(ISNUMBER(SEARCH("nonblank",$N$4))),IFERROR(('Final Calculation Sheet'!$M$21)&amp;"","")=""),AND(OR(ISNUMBER(SEARCH("nonblank",$N$4)),ISNUMBER(SEARCH("&lt;&gt;",$N$4))),IFERROR(('Final Calculation Sheet'!$M$21)&amp;"","")&lt;&gt;""),AND(TRIM($N$4)="",IFERROR(('Final Calculation Sheet'!$M$21)&amp;"","")=""))))</f>
        <v/>
      </c>
      <c r="CA22">
        <f>IF($O$4="",1,--(OR(SUMPRODUCT(--(TRIM(MID(SUBSTITUTE(SUBSTITUTE($O$4,"/",","),",",REPT(" ",99)),(ROW($1:$8)-1)*99+1,99))&lt;&gt;""),--ISNUMBER(SEARCH(TRIM(MID(SUBSTITUTE(SUBSTITUTE($O$4,"/",","),",",REPT(" ",99)),(ROW($1:$8)-1)*99+1,99)),IFERROR(('Final Calculation Sheet'!$N$21)&amp;"",""))))&gt;0,AND(ISNUMBER(SEARCH("blank",$O$4)),NOT(ISNUMBER(SEARCH("nonblank",$O$4))),IFERROR(('Final Calculation Sheet'!$N$21)&amp;"","")=""),AND(OR(ISNUMBER(SEARCH("nonblank",$O$4)),ISNUMBER(SEARCH("&lt;&gt;",$O$4))),IFERROR(('Final Calculation Sheet'!$N$21)&amp;"","")&lt;&gt;""),AND(TRIM($O$4)="",IFERROR(('Final Calculation Sheet'!$N$21)&amp;"","")=""))))</f>
        <v/>
      </c>
      <c r="CB22">
        <f>IF($P$4="",1,--(OR(SUMPRODUCT(--(TRIM(MID(SUBSTITUTE(SUBSTITUTE($P$4,"/",","),",",REPT(" ",99)),(ROW($1:$8)-1)*99+1,99))&lt;&gt;""),--ISNUMBER(SEARCH(TRIM(MID(SUBSTITUTE(SUBSTITUTE($P$4,"/",","),",",REPT(" ",99)),(ROW($1:$8)-1)*99+1,99)),IFERROR(('Final Calculation Sheet'!$O$21)&amp;"",""))))&gt;0,AND(ISNUMBER(SEARCH("blank",$P$4)),NOT(ISNUMBER(SEARCH("nonblank",$P$4))),IFERROR(('Final Calculation Sheet'!$O$21)&amp;"","")=""),AND(OR(ISNUMBER(SEARCH("nonblank",$P$4)),ISNUMBER(SEARCH("&lt;&gt;",$P$4))),IFERROR(('Final Calculation Sheet'!$O$21)&amp;"","")&lt;&gt;""),AND(TRIM($P$4)="",IFERROR(('Final Calculation Sheet'!$O$21)&amp;"","")=""))))</f>
        <v/>
      </c>
      <c r="CC22">
        <f>IF($Q$4="",1,--(OR(SUMPRODUCT(--(TRIM(MID(SUBSTITUTE(SUBSTITUTE($Q$4,"/",","),",",REPT(" ",99)),(ROW($1:$8)-1)*99+1,99))&lt;&gt;""),--ISNUMBER(SEARCH(TRIM(MID(SUBSTITUTE(SUBSTITUTE($Q$4,"/",","),",",REPT(" ",99)),(ROW($1:$8)-1)*99+1,99)),IFERROR(('Final Calculation Sheet'!$P$21)&amp;"",""))))&gt;0,AND(ISNUMBER(SEARCH("blank",$Q$4)),NOT(ISNUMBER(SEARCH("nonblank",$Q$4))),IFERROR(('Final Calculation Sheet'!$P$21)&amp;"","")=""),AND(OR(ISNUMBER(SEARCH("nonblank",$Q$4)),ISNUMBER(SEARCH("&lt;&gt;",$Q$4))),IFERROR(('Final Calculation Sheet'!$P$21)&amp;"","")&lt;&gt;""),AND(TRIM($Q$4)="",IFERROR(('Final Calculation Sheet'!$P$21)&amp;"","")=""))))</f>
        <v/>
      </c>
      <c r="CD22">
        <f>IF($R$4="",1,--(OR(SUMPRODUCT(--(TRIM(MID(SUBSTITUTE(SUBSTITUTE($R$4,"/",","),",",REPT(" ",99)),(ROW($1:$8)-1)*99+1,99))&lt;&gt;""),--ISNUMBER(SEARCH(TRIM(MID(SUBSTITUTE(SUBSTITUTE($R$4,"/",","),",",REPT(" ",99)),(ROW($1:$8)-1)*99+1,99)),IFERROR(('Final Calculation Sheet'!$Q$21)&amp;"",""))))&gt;0,AND(ISNUMBER(SEARCH("blank",$R$4)),NOT(ISNUMBER(SEARCH("nonblank",$R$4))),IFERROR(('Final Calculation Sheet'!$Q$21)&amp;"","")=""),AND(OR(ISNUMBER(SEARCH("nonblank",$R$4)),ISNUMBER(SEARCH("&lt;&gt;",$R$4))),IFERROR(('Final Calculation Sheet'!$Q$21)&amp;"","")&lt;&gt;""),AND(TRIM($R$4)="",IFERROR(('Final Calculation Sheet'!$Q$21)&amp;"","")=""))))</f>
        <v/>
      </c>
      <c r="CE22">
        <f>IF($S$4="",1,--(OR(SUMPRODUCT(--(TRIM(MID(SUBSTITUTE(SUBSTITUTE($S$4,"/",","),",",REPT(" ",99)),(ROW($1:$8)-1)*99+1,99))&lt;&gt;""),--ISNUMBER(SEARCH(TRIM(MID(SUBSTITUTE(SUBSTITUTE($S$4,"/",","),",",REPT(" ",99)),(ROW($1:$8)-1)*99+1,99)),IFERROR(('Final Calculation Sheet'!$R$21)&amp;"",""))))&gt;0,AND(ISNUMBER(SEARCH("blank",$S$4)),NOT(ISNUMBER(SEARCH("nonblank",$S$4))),IFERROR(('Final Calculation Sheet'!$R$21)&amp;"","")=""),AND(OR(ISNUMBER(SEARCH("nonblank",$S$4)),ISNUMBER(SEARCH("&lt;&gt;",$S$4))),IFERROR(('Final Calculation Sheet'!$R$21)&amp;"","")&lt;&gt;""),AND(TRIM($S$4)="",IFERROR(('Final Calculation Sheet'!$R$21)&amp;"","")=""))))</f>
        <v/>
      </c>
      <c r="CF22">
        <f>IF($T$4="",1,--(OR(SUMPRODUCT(--(TRIM(MID(SUBSTITUTE(SUBSTITUTE($T$4,"/",","),",",REPT(" ",99)),(ROW($1:$8)-1)*99+1,99))&lt;&gt;""),--ISNUMBER(SEARCH(TRIM(MID(SUBSTITUTE(SUBSTITUTE($T$4,"/",","),",",REPT(" ",99)),(ROW($1:$8)-1)*99+1,99)),IFERROR(('Final Calculation Sheet'!$S$21)&amp;"",""))))&gt;0,AND(ISNUMBER(SEARCH("blank",$T$4)),NOT(ISNUMBER(SEARCH("nonblank",$T$4))),IFERROR(('Final Calculation Sheet'!$S$21)&amp;"","")=""),AND(OR(ISNUMBER(SEARCH("nonblank",$T$4)),ISNUMBER(SEARCH("&lt;&gt;",$T$4))),IFERROR(('Final Calculation Sheet'!$S$21)&amp;"","")&lt;&gt;""),AND(TRIM($T$4)="",IFERROR(('Final Calculation Sheet'!$S$21)&amp;"","")=""))))</f>
        <v/>
      </c>
      <c r="CG22">
        <f>IF($U$4="",1,--(OR(SUMPRODUCT(--(TRIM(MID(SUBSTITUTE(SUBSTITUTE($U$4,"/",","),",",REPT(" ",99)),(ROW($1:$8)-1)*99+1,99))&lt;&gt;""),--ISNUMBER(SEARCH(TRIM(MID(SUBSTITUTE(SUBSTITUTE($U$4,"/",","),",",REPT(" ",99)),(ROW($1:$8)-1)*99+1,99)),IFERROR(('Final Calculation Sheet'!$T$21)&amp;"",""))))&gt;0,AND(ISNUMBER(SEARCH("blank",$U$4)),NOT(ISNUMBER(SEARCH("nonblank",$U$4))),IFERROR(('Final Calculation Sheet'!$T$21)&amp;"","")=""),AND(OR(ISNUMBER(SEARCH("nonblank",$U$4)),ISNUMBER(SEARCH("&lt;&gt;",$U$4))),IFERROR(('Final Calculation Sheet'!$T$21)&amp;"","")&lt;&gt;""),AND(TRIM($U$4)="",IFERROR(('Final Calculation Sheet'!$T$21)&amp;"","")=""))))</f>
        <v/>
      </c>
      <c r="CH22">
        <f>IF($V$4="",1,--(OR(SUMPRODUCT(--(TRIM(MID(SUBSTITUTE(SUBSTITUTE($V$4,"/",","),",",REPT(" ",99)),(ROW($1:$8)-1)*99+1,99))&lt;&gt;""),--ISNUMBER(SEARCH(TRIM(MID(SUBSTITUTE(SUBSTITUTE($V$4,"/",","),",",REPT(" ",99)),(ROW($1:$8)-1)*99+1,99)),IFERROR(('Final Calculation Sheet'!$U$21)&amp;"",""))))&gt;0,AND(ISNUMBER(SEARCH("blank",$V$4)),NOT(ISNUMBER(SEARCH("nonblank",$V$4))),IFERROR(('Final Calculation Sheet'!$U$21)&amp;"","")=""),AND(OR(ISNUMBER(SEARCH("nonblank",$V$4)),ISNUMBER(SEARCH("&lt;&gt;",$V$4))),IFERROR(('Final Calculation Sheet'!$U$21)&amp;"","")&lt;&gt;""),AND(TRIM($V$4)="",IFERROR(('Final Calculation Sheet'!$U$21)&amp;"","")=""))))</f>
        <v/>
      </c>
      <c r="CI22">
        <f>IF($W$4="",1,--(OR(SUMPRODUCT(--(TRIM(MID(SUBSTITUTE(SUBSTITUTE($W$4,"/",","),",",REPT(" ",99)),(ROW($1:$8)-1)*99+1,99))&lt;&gt;""),--ISNUMBER(SEARCH(TRIM(MID(SUBSTITUTE(SUBSTITUTE($W$4,"/",","),",",REPT(" ",99)),(ROW($1:$8)-1)*99+1,99)),IFERROR(('Final Calculation Sheet'!$V$21)&amp;"",""))))&gt;0,AND(ISNUMBER(SEARCH("blank",$W$4)),NOT(ISNUMBER(SEARCH("nonblank",$W$4))),IFERROR(('Final Calculation Sheet'!$V$21)&amp;"","")=""),AND(OR(ISNUMBER(SEARCH("nonblank",$W$4)),ISNUMBER(SEARCH("&lt;&gt;",$W$4))),IFERROR(('Final Calculation Sheet'!$V$21)&amp;"","")&lt;&gt;""),AND(TRIM($W$4)="",IFERROR(('Final Calculation Sheet'!$V$21)&amp;"","")=""))))</f>
        <v/>
      </c>
      <c r="CJ22">
        <f>IF($X$4="",1,--(OR(SUMPRODUCT(--(TRIM(MID(SUBSTITUTE(SUBSTITUTE($X$4,"/",","),",",REPT(" ",99)),(ROW($1:$8)-1)*99+1,99))&lt;&gt;""),--ISNUMBER(SEARCH(TRIM(MID(SUBSTITUTE(SUBSTITUTE($X$4,"/",","),",",REPT(" ",99)),(ROW($1:$8)-1)*99+1,99)),IFERROR(('Final Calculation Sheet'!$W$21)&amp;"",""))))&gt;0,AND(ISNUMBER(SEARCH("blank",$X$4)),NOT(ISNUMBER(SEARCH("nonblank",$X$4))),IFERROR(('Final Calculation Sheet'!$W$21)&amp;"","")=""),AND(OR(ISNUMBER(SEARCH("nonblank",$X$4)),ISNUMBER(SEARCH("&lt;&gt;",$X$4))),IFERROR(('Final Calculation Sheet'!$W$21)&amp;"","")&lt;&gt;""),AND(TRIM($X$4)="",IFERROR(('Final Calculation Sheet'!$W$21)&amp;"","")=""))))</f>
        <v/>
      </c>
      <c r="CK22">
        <f>IF($Y$4="",1,--(OR(SUMPRODUCT(--(TRIM(MID(SUBSTITUTE(SUBSTITUTE($Y$4,"/",","),",",REPT(" ",99)),(ROW($1:$8)-1)*99+1,99))&lt;&gt;""),--ISNUMBER(SEARCH(TRIM(MID(SUBSTITUTE(SUBSTITUTE($Y$4,"/",","),",",REPT(" ",99)),(ROW($1:$8)-1)*99+1,99)),IFERROR(('Final Calculation Sheet'!$X$21)&amp;"",""))))&gt;0,AND(ISNUMBER(SEARCH("blank",$Y$4)),NOT(ISNUMBER(SEARCH("nonblank",$Y$4))),IFERROR(('Final Calculation Sheet'!$X$21)&amp;"","")=""),AND(OR(ISNUMBER(SEARCH("nonblank",$Y$4)),ISNUMBER(SEARCH("&lt;&gt;",$Y$4))),IFERROR(('Final Calculation Sheet'!$X$21)&amp;"","")&lt;&gt;""),AND(TRIM($Y$4)="",IFERROR(('Final Calculation Sheet'!$X$21)&amp;"","")=""))))</f>
        <v/>
      </c>
      <c r="CL22">
        <f>IF($Z$4="",1,--(OR(SUMPRODUCT(--(TRIM(MID(SUBSTITUTE(SUBSTITUTE($Z$4,"/",","),",",REPT(" ",99)),(ROW($1:$8)-1)*99+1,99))&lt;&gt;""),--ISNUMBER(SEARCH(TRIM(MID(SUBSTITUTE(SUBSTITUTE($Z$4,"/",","),",",REPT(" ",99)),(ROW($1:$8)-1)*99+1,99)),IFERROR(('Final Calculation Sheet'!$Y$21)&amp;"",""))))&gt;0,AND(ISNUMBER(SEARCH("blank",$Z$4)),NOT(ISNUMBER(SEARCH("nonblank",$Z$4))),IFERROR(('Final Calculation Sheet'!$Y$21)&amp;"","")=""),AND(OR(ISNUMBER(SEARCH("nonblank",$Z$4)),ISNUMBER(SEARCH("&lt;&gt;",$Z$4))),IFERROR(('Final Calculation Sheet'!$Y$21)&amp;"","")&lt;&gt;""),AND(TRIM($Z$4)="",IFERROR(('Final Calculation Sheet'!$Y$21)&amp;"","")=""))))</f>
        <v/>
      </c>
      <c r="CM22">
        <f>IF($AA$4="",1,--(OR(SUMPRODUCT(--(TRIM(MID(SUBSTITUTE(SUBSTITUTE($AA$4,"/",","),",",REPT(" ",99)),(ROW($1:$8)-1)*99+1,99))&lt;&gt;""),--ISNUMBER(SEARCH(TRIM(MID(SUBSTITUTE(SUBSTITUTE($AA$4,"/",","),",",REPT(" ",99)),(ROW($1:$8)-1)*99+1,99)),IFERROR(('Final Calculation Sheet'!$Z$21)&amp;"",""))))&gt;0,AND(ISNUMBER(SEARCH("blank",$AA$4)),NOT(ISNUMBER(SEARCH("nonblank",$AA$4))),IFERROR(('Final Calculation Sheet'!$Z$21)&amp;"","")=""),AND(OR(ISNUMBER(SEARCH("nonblank",$AA$4)),ISNUMBER(SEARCH("&lt;&gt;",$AA$4))),IFERROR(('Final Calculation Sheet'!$Z$21)&amp;"","")&lt;&gt;""),AND(TRIM($AA$4)="",IFERROR(('Final Calculation Sheet'!$Z$21)&amp;"","")=""))))</f>
        <v/>
      </c>
      <c r="CN22">
        <f>IF($AB$4="",1,--(OR(SUMPRODUCT(--(TRIM(MID(SUBSTITUTE(SUBSTITUTE($AB$4,"/",","),",",REPT(" ",99)),(ROW($1:$8)-1)*99+1,99))&lt;&gt;""),--ISNUMBER(SEARCH(TRIM(MID(SUBSTITUTE(SUBSTITUTE($AB$4,"/",","),",",REPT(" ",99)),(ROW($1:$8)-1)*99+1,99)),IFERROR(('Final Calculation Sheet'!$AA$21)&amp;"",""))))&gt;0,AND(ISNUMBER(SEARCH("blank",$AB$4)),NOT(ISNUMBER(SEARCH("nonblank",$AB$4))),IFERROR(('Final Calculation Sheet'!$AA$21)&amp;"","")=""),AND(OR(ISNUMBER(SEARCH("nonblank",$AB$4)),ISNUMBER(SEARCH("&lt;&gt;",$AB$4))),IFERROR(('Final Calculation Sheet'!$AA$21)&amp;"","")&lt;&gt;""),AND(TRIM($AB$4)="",IFERROR(('Final Calculation Sheet'!$AA$21)&amp;"","")=""))))</f>
        <v/>
      </c>
      <c r="CO22">
        <f>IF($AC$4="",1,--(OR(SUMPRODUCT(--(TRIM(MID(SUBSTITUTE(SUBSTITUTE($AC$4,"/",","),",",REPT(" ",99)),(ROW($1:$8)-1)*99+1,99))&lt;&gt;""),--ISNUMBER(SEARCH(TRIM(MID(SUBSTITUTE(SUBSTITUTE($AC$4,"/",","),",",REPT(" ",99)),(ROW($1:$8)-1)*99+1,99)),IFERROR(('Final Calculation Sheet'!$AB$21)&amp;"",""))))&gt;0,AND(ISNUMBER(SEARCH("blank",$AC$4)),NOT(ISNUMBER(SEARCH("nonblank",$AC$4))),IFERROR(('Final Calculation Sheet'!$AB$21)&amp;"","")=""),AND(OR(ISNUMBER(SEARCH("nonblank",$AC$4)),ISNUMBER(SEARCH("&lt;&gt;",$AC$4))),IFERROR(('Final Calculation Sheet'!$AB$21)&amp;"","")&lt;&gt;""),AND(TRIM($AC$4)="",IFERROR(('Final Calculation Sheet'!$AB$21)&amp;"","")=""))))</f>
        <v/>
      </c>
      <c r="CP22">
        <f>IF($AD$4="",1,--(OR(SUMPRODUCT(--(TRIM(MID(SUBSTITUTE(SUBSTITUTE($AD$4,"/",","),",",REPT(" ",99)),(ROW($1:$8)-1)*99+1,99))&lt;&gt;""),--ISNUMBER(SEARCH(TRIM(MID(SUBSTITUTE(SUBSTITUTE($AD$4,"/",","),",",REPT(" ",99)),(ROW($1:$8)-1)*99+1,99)),IFERROR(('Final Calculation Sheet'!$AC$21)&amp;"",""))))&gt;0,AND(ISNUMBER(SEARCH("blank",$AD$4)),NOT(ISNUMBER(SEARCH("nonblank",$AD$4))),IFERROR(('Final Calculation Sheet'!$AC$21)&amp;"","")=""),AND(OR(ISNUMBER(SEARCH("nonblank",$AD$4)),ISNUMBER(SEARCH("&lt;&gt;",$AD$4))),IFERROR(('Final Calculation Sheet'!$AC$21)&amp;"","")&lt;&gt;""),AND(TRIM($AD$4)="",IFERROR(('Final Calculation Sheet'!$AC$21)&amp;"","")=""))))</f>
        <v/>
      </c>
      <c r="CQ22">
        <f>IF($AE$4="",1,--(OR(SUMPRODUCT(--(TRIM(MID(SUBSTITUTE(SUBSTITUTE($AE$4,"/",","),",",REPT(" ",99)),(ROW($1:$8)-1)*99+1,99))&lt;&gt;""),--ISNUMBER(SEARCH(TRIM(MID(SUBSTITUTE(SUBSTITUTE($AE$4,"/",","),",",REPT(" ",99)),(ROW($1:$8)-1)*99+1,99)),IFERROR(('Final Calculation Sheet'!$AD$21)&amp;"",""))))&gt;0,AND(ISNUMBER(SEARCH("blank",$AE$4)),NOT(ISNUMBER(SEARCH("nonblank",$AE$4))),IFERROR(('Final Calculation Sheet'!$AD$21)&amp;"","")=""),AND(OR(ISNUMBER(SEARCH("nonblank",$AE$4)),ISNUMBER(SEARCH("&lt;&gt;",$AE$4))),IFERROR(('Final Calculation Sheet'!$AD$21)&amp;"","")&lt;&gt;""),AND(TRIM($AE$4)="",IFERROR(('Final Calculation Sheet'!$AD$21)&amp;"","")=""))))</f>
        <v/>
      </c>
      <c r="CR22">
        <f>IF($AG$4="",1,--(OR(SUMPRODUCT(--(TRIM(MID(SUBSTITUTE(SUBSTITUTE($AG$4,"/",","),",",REPT(" ",99)),(ROW($1:$8)-1)*99+1,99))&lt;&gt;""),--ISNUMBER(SEARCH(TRIM(MID(SUBSTITUTE(SUBSTITUTE($AG$4,"/",","),",",REPT(" ",99)),(ROW($1:$8)-1)*99+1,99)),IFERROR(('Final Calculation Sheet'!$AF$21)&amp;"",""))))&gt;0,AND(ISNUMBER(SEARCH("blank",$AG$4)),NOT(ISNUMBER(SEARCH("nonblank",$AG$4))),IFERROR(('Final Calculation Sheet'!$AF$21)&amp;"","")=""),AND(OR(ISNUMBER(SEARCH("nonblank",$AG$4)),ISNUMBER(SEARCH("&lt;&gt;",$AG$4))),IFERROR(('Final Calculation Sheet'!$AF$21)&amp;"","")&lt;&gt;""),AND(TRIM($AG$4)="",IFERROR(('Final Calculation Sheet'!$AF$21)&amp;"","")=""))))</f>
        <v/>
      </c>
      <c r="CS22">
        <f>IF($AH$4="",1,--(OR(SUMPRODUCT(--(TRIM(MID(SUBSTITUTE(SUBSTITUTE($AH$4,"/",","),",",REPT(" ",99)),(ROW($1:$8)-1)*99+1,99))&lt;&gt;""),--ISNUMBER(SEARCH(TRIM(MID(SUBSTITUTE(SUBSTITUTE($AH$4,"/",","),",",REPT(" ",99)),(ROW($1:$8)-1)*99+1,99)),IFERROR(('Final Calculation Sheet'!$AG$21)&amp;"",""))))&gt;0,AND(ISNUMBER(SEARCH("blank",$AH$4)),NOT(ISNUMBER(SEARCH("nonblank",$AH$4))),IFERROR(('Final Calculation Sheet'!$AG$21)&amp;"","")=""),AND(OR(ISNUMBER(SEARCH("nonblank",$AH$4)),ISNUMBER(SEARCH("&lt;&gt;",$AH$4))),IFERROR(('Final Calculation Sheet'!$AG$21)&amp;"","")&lt;&gt;""),AND(TRIM($AH$4)="",IFERROR(('Final Calculation Sheet'!$AG$21)&amp;"","")=""))))</f>
        <v/>
      </c>
      <c r="CT22">
        <f>IF($AI$4="",1,--(OR(SUMPRODUCT(--(TRIM(MID(SUBSTITUTE(SUBSTITUTE($AI$4,"/",","),",",REPT(" ",99)),(ROW($1:$8)-1)*99+1,99))&lt;&gt;""),--ISNUMBER(SEARCH(TRIM(MID(SUBSTITUTE(SUBSTITUTE($AI$4,"/",","),",",REPT(" ",99)),(ROW($1:$8)-1)*99+1,99)),IFERROR(('Final Calculation Sheet'!$AH$21)&amp;"",""))))&gt;0,AND(ISNUMBER(SEARCH("blank",$AI$4)),NOT(ISNUMBER(SEARCH("nonblank",$AI$4))),IFERROR(('Final Calculation Sheet'!$AH$21)&amp;"","")=""),AND(OR(ISNUMBER(SEARCH("nonblank",$AI$4)),ISNUMBER(SEARCH("&lt;&gt;",$AI$4))),IFERROR(('Final Calculation Sheet'!$AH$21)&amp;"","")&lt;&gt;""),AND(TRIM($AI$4)="",IFERROR(('Final Calculation Sheet'!$AH$21)&amp;"","")=""))))</f>
        <v/>
      </c>
      <c r="CU22">
        <f>IF($AF$4="",1,--(OR(SUMPRODUCT(--(TRIM(MID(SUBSTITUTE(SUBSTITUTE($AF$4,"/",","),",",REPT(" ",99)),(ROW($1:$8)-1)*99+1,99))&lt;&gt;""),--ISNUMBER(SEARCH(TRIM(MID(SUBSTITUTE(SUBSTITUTE($AF$4,"/",","),",",REPT(" ",99)),(ROW($1:$8)-1)*99+1,99)),IFERROR((IF('Final Calculation Sheet'!$AD$21&lt;=5,"SETTLED","OUTSTANDING"))&amp;"",""))))&gt;0,AND(ISNUMBER(SEARCH("blank",$AF$4)),NOT(ISNUMBER(SEARCH("nonblank",$AF$4))),IFERROR((IF('Final Calculation Sheet'!$AD$21&lt;=5,"SETTLED","OUTSTANDING"))&amp;"","")=""),AND(OR(ISNUMBER(SEARCH("nonblank",$AF$4)),ISNUMBER(SEARCH("&lt;&gt;",$AF$4))),IFERROR((IF('Final Calculation Sheet'!$AD$21&lt;=5,"SETTLED","OUTSTANDING"))&amp;"","")&lt;&gt;""),AND(TRIM($AF$4)="",IFERROR((IF('Final Calculation Sheet'!$AD$21&lt;=5,"SETTLED","OUTSTANDING"))&amp;"","")=""))))</f>
        <v/>
      </c>
    </row>
    <row r="23" ht="15" customHeight="1" s="137">
      <c r="A23" s="67">
        <f>IF($BJ22&gt;0,INDEX($BA$5:$BA$41,MATCH(22,$BB$5:$BB$41,0)),IF(OR($BI22=1,$BL22=1,$BH22&gt;0),"∑",""))</f>
        <v/>
      </c>
      <c r="B23" s="76">
        <f>IF($BJ22&gt;0,IF(INDEX('Final Calculation Sheet'!$F$4:$F$40,$BJ22-3)="","",INDEX('Final Calculation Sheet'!$F$4:$F$40,$BJ22-3)),"")</f>
        <v/>
      </c>
      <c r="C23" s="76">
        <f>IF($BJ22&gt;0,IF(INDEX('Final Calculation Sheet'!$G$4:$G$40,$BJ22-3)="","",INDEX('Final Calculation Sheet'!$G$4:$G$40,$BJ22-3)),IF(OR($BI22=1,$BL22=1,$BH22&gt;0),IF($BI22=1,37,IF($BL22=1,37-INDEX($BD$4:$BD$13,10),INDEX($BD$4:$BD$13,$BH22)))&amp;" lot(s)",""))</f>
        <v/>
      </c>
      <c r="D23" s="80">
        <f>IF($BJ22&gt;0,IF(INDEX('Final Calculation Sheet'!$B$4:$B$40,$BJ22-3)="","",INDEX('Final Calculation Sheet'!$B$4:$B$40,$BJ22-3)),IF(OR($BI22=1,$BL22=1,$BH22&gt;0),IF($BI22=1,"GRAND TOTAL  —  matching + remaining",IF($BL22=1,"TOTAL MATCHED  —  every group together",IF($BH22=10,"REMAINING  —  did not match the search",IF($BH22=9,IF(COUNTIF($A$4:$AI$4,"&lt;&gt;")&gt;0,"FILTERED LOTS  —  column fields","ALL LOTS  —  nothing typed in the box"),"GROUP "&amp;$BH22&amp;" TOTAL  —  lots matching  "&amp;INDEX($AR$6:$AY$6,$BH22))))),""))</f>
        <v/>
      </c>
      <c r="E23" s="80">
        <f>IF($BJ22&gt;0,IF(INDEX('Final Calculation Sheet'!$D$4:$D$40,$BJ22-3)="","",INDEX('Final Calculation Sheet'!$D$4:$D$40,$BJ22-3)),IF(OR($BI22=1,$BL22=1,$BH22&gt;0),"–",""))</f>
        <v/>
      </c>
      <c r="F23" s="80">
        <f>IF($BJ22&gt;0,IF(INDEX('Final Calculation Sheet'!$A$4:$A$40,$BJ22-3)="","",INDEX('Final Calculation Sheet'!$A$4:$A$40,$BJ22-3)),IF(OR($BI22=1,$BL22=1,$BH22&gt;0),IF($BI22=1,SUM('Final Calculation Sheet'!$A$4:$A$40),IF($BL22=1,SUM('Final Calculation Sheet'!$A$4:$A$40)-SUMIFS('Final Calculation Sheet'!$A$4:$A$40,$AZ$5:$AZ$41,10),SUMIFS('Final Calculation Sheet'!$A$4:$A$40,$AZ$5:$AZ$41,$BH22))),""))</f>
        <v/>
      </c>
      <c r="G23" s="80">
        <f>IF($BJ22&gt;0,IF(INDEX('Final Calculation Sheet'!$E$4:$E$40,$BJ22-3)="","",INDEX('Final Calculation Sheet'!$E$4:$E$40,$BJ22-3)),IF(OR($BI22=1,$BL22=1,$BH22&gt;0),"–",""))</f>
        <v/>
      </c>
      <c r="H23" s="70">
        <f>IF($BJ22&gt;0,IF(INDEX('Final Calculation Sheet'!$C$4:$C$40,$BJ22-3)="","",INDEX('Final Calculation Sheet'!$C$4:$C$40,$BJ22-3)),IF(OR($BI22=1,$BL22=1,$BH22&gt;0),"–",""))</f>
        <v/>
      </c>
      <c r="I23" s="70">
        <f>IF($BJ22&gt;0,IF(INDEX('Final Calculation Sheet'!$H$4:$H$40,$BJ22-3)="","",INDEX('Final Calculation Sheet'!$H$4:$H$40,$BJ22-3)),IF(OR($BI22=1,$BL22=1,$BH22&gt;0),IF($BI22=1,SUM('Final Calculation Sheet'!$H$4:$H$40),IF($BL22=1,SUM('Final Calculation Sheet'!$H$4:$H$40)-SUMIFS('Final Calculation Sheet'!$H$4:$H$40,$AZ$5:$AZ$41,10),SUMIFS('Final Calculation Sheet'!$H$4:$H$40,$AZ$5:$AZ$41,$BH22))),""))</f>
        <v/>
      </c>
      <c r="J23" s="70">
        <f>IF($BJ22&gt;0,IF(INDEX('Final Calculation Sheet'!$I$4:$I$40,$BJ22-3)="","",INDEX('Final Calculation Sheet'!$I$4:$I$40,$BJ22-3)),IF(OR($BI22=1,$BL22=1,$BH22&gt;0),IF($BI22=1,SUM('Final Calculation Sheet'!$I$4:$I$40),IF($BL22=1,SUM('Final Calculation Sheet'!$I$4:$I$40)-SUMIFS('Final Calculation Sheet'!$I$4:$I$40,$AZ$5:$AZ$41,10),SUMIFS('Final Calculation Sheet'!$I$4:$I$40,$AZ$5:$AZ$41,$BH22))),""))</f>
        <v/>
      </c>
      <c r="K23" s="70">
        <f>IF($BJ22&gt;0,IF(INDEX('Final Calculation Sheet'!$J$4:$J$40,$BJ22-3)="","",INDEX('Final Calculation Sheet'!$J$4:$J$40,$BJ22-3)),IF(OR($BI22=1,$BL22=1,$BH22&gt;0),IF($BI22=1,SUM('Final Calculation Sheet'!$J$4:$J$40),IF($BL22=1,SUM('Final Calculation Sheet'!$J$4:$J$40)-SUMIFS('Final Calculation Sheet'!$J$4:$J$40,$AZ$5:$AZ$41,10),SUMIFS('Final Calculation Sheet'!$J$4:$J$40,$AZ$5:$AZ$41,$BH22))),""))</f>
        <v/>
      </c>
      <c r="L23" s="70">
        <f>IF($BJ22&gt;0,IF(INDEX('Final Calculation Sheet'!$K$4:$K$40,$BJ22-3)="","",INDEX('Final Calculation Sheet'!$K$4:$K$40,$BJ22-3)),IF(OR($BI22=1,$BL22=1,$BH22&gt;0),IF($BI22=1,SUM('Final Calculation Sheet'!$K$4:$K$40),IF($BL22=1,SUM('Final Calculation Sheet'!$K$4:$K$40)-SUMIFS('Final Calculation Sheet'!$K$4:$K$40,$AZ$5:$AZ$41,10),SUMIFS('Final Calculation Sheet'!$K$4:$K$40,$AZ$5:$AZ$41,$BH22))),""))</f>
        <v/>
      </c>
      <c r="M23" s="70">
        <f>IF($BJ22&gt;0,IF(INDEX('Final Calculation Sheet'!$L$4:$L$40,$BJ22-3)="","",INDEX('Final Calculation Sheet'!$L$4:$L$40,$BJ22-3)),IF(OR($BI22=1,$BL22=1,$BH22&gt;0),IF($BI22=1,SUM('Final Calculation Sheet'!$L$4:$L$40),IF($BL22=1,SUM('Final Calculation Sheet'!$L$4:$L$40)-SUMIFS('Final Calculation Sheet'!$L$4:$L$40,$AZ$5:$AZ$41,10),SUMIFS('Final Calculation Sheet'!$L$4:$L$40,$AZ$5:$AZ$41,$BH22))),""))</f>
        <v/>
      </c>
      <c r="N23" s="70">
        <f>IF($BJ22&gt;0,IF(INDEX('Final Calculation Sheet'!$M$4:$M$40,$BJ22-3)="","",INDEX('Final Calculation Sheet'!$M$4:$M$40,$BJ22-3)),IF(OR($BI22=1,$BL22=1,$BH22&gt;0),IF($BI22=1,SUM('Final Calculation Sheet'!$M$4:$M$40),IF($BL22=1,SUM('Final Calculation Sheet'!$M$4:$M$40)-SUMIFS('Final Calculation Sheet'!$M$4:$M$40,$AZ$5:$AZ$41,10),SUMIFS('Final Calculation Sheet'!$M$4:$M$40,$AZ$5:$AZ$41,$BH22))),""))</f>
        <v/>
      </c>
      <c r="O23" s="71">
        <f>IF($BJ22&gt;0,IF(INDEX('Final Calculation Sheet'!$N$4:$N$40,$BJ22-3)="","",INDEX('Final Calculation Sheet'!$N$4:$N$40,$BJ22-3)),IF(OR($BI22=1,$BL22=1,$BH22&gt;0),IF($BI22=1,SUM('Final Calculation Sheet'!$N$4:$N$40),IF($BL22=1,SUM('Final Calculation Sheet'!$N$4:$N$40)-SUMIFS('Final Calculation Sheet'!$N$4:$N$40,$AZ$5:$AZ$41,10),SUMIFS('Final Calculation Sheet'!$N$4:$N$40,$AZ$5:$AZ$41,$BH22))),""))</f>
        <v/>
      </c>
      <c r="P23" s="70">
        <f>IF($BJ22&gt;0,IF(INDEX('Final Calculation Sheet'!$O$4:$O$40,$BJ22-3)="","",INDEX('Final Calculation Sheet'!$O$4:$O$40,$BJ22-3)),IF(OR($BI22=1,$BL22=1,$BH22&gt;0),IF($BI22=1,SUM('Final Calculation Sheet'!$O$4:$O$40),IF($BL22=1,SUM('Final Calculation Sheet'!$O$4:$O$40)-SUMIFS('Final Calculation Sheet'!$O$4:$O$40,$AZ$5:$AZ$41,10),SUMIFS('Final Calculation Sheet'!$O$4:$O$40,$AZ$5:$AZ$41,$BH22))),""))</f>
        <v/>
      </c>
      <c r="Q23" s="70">
        <f>IF($BJ22&gt;0,IF(INDEX('Final Calculation Sheet'!$P$4:$P$40,$BJ22-3)="","",INDEX('Final Calculation Sheet'!$P$4:$P$40,$BJ22-3)),IF(OR($BI22=1,$BL22=1,$BH22&gt;0),IF($BI22=1,SUM('Final Calculation Sheet'!$P$4:$P$40),IF($BL22=1,SUM('Final Calculation Sheet'!$P$4:$P$40)-SUMIFS('Final Calculation Sheet'!$P$4:$P$40,$AZ$5:$AZ$41,10),SUMIFS('Final Calculation Sheet'!$P$4:$P$40,$AZ$5:$AZ$41,$BH22))),""))</f>
        <v/>
      </c>
      <c r="R23" s="72">
        <f>IF($BJ22&gt;0,IF(INDEX('Final Calculation Sheet'!$Q$4:$Q$40,$BJ22-3)="","",INDEX('Final Calculation Sheet'!$Q$4:$Q$40,$BJ22-3)),IF(OR($BI22=1,$BL22=1,$BH22&gt;0),"–",""))</f>
        <v/>
      </c>
      <c r="S23" s="70">
        <f>IF($BJ22&gt;0,IF(INDEX('Final Calculation Sheet'!$R$4:$R$40,$BJ22-3)="","",INDEX('Final Calculation Sheet'!$R$4:$R$40,$BJ22-3)),IF(OR($BI22=1,$BL22=1,$BH22&gt;0),IF($BI22=1,SUM('Final Calculation Sheet'!$R$4:$R$40),IF($BL22=1,SUM('Final Calculation Sheet'!$R$4:$R$40)-SUMIFS('Final Calculation Sheet'!$R$4:$R$40,$AZ$5:$AZ$41,10),SUMIFS('Final Calculation Sheet'!$R$4:$R$40,$AZ$5:$AZ$41,$BH22))),""))</f>
        <v/>
      </c>
      <c r="T23" s="70">
        <f>IF($BJ22&gt;0,IF(INDEX('Final Calculation Sheet'!$S$4:$S$40,$BJ22-3)="","",INDEX('Final Calculation Sheet'!$S$4:$S$40,$BJ22-3)),IF(OR($BI22=1,$BL22=1,$BH22&gt;0),IF($BI22=1,SUM('Final Calculation Sheet'!$S$4:$S$40),IF($BL22=1,SUM('Final Calculation Sheet'!$S$4:$S$40)-SUMIFS('Final Calculation Sheet'!$S$4:$S$40,$AZ$5:$AZ$41,10),SUMIFS('Final Calculation Sheet'!$S$4:$S$40,$AZ$5:$AZ$41,$BH22))),""))</f>
        <v/>
      </c>
      <c r="U23" s="70">
        <f>IF($BJ22&gt;0,IF(INDEX('Final Calculation Sheet'!$T$4:$T$40,$BJ22-3)="","",INDEX('Final Calculation Sheet'!$T$4:$T$40,$BJ22-3)),IF(OR($BI22=1,$BL22=1,$BH22&gt;0),IF($BI22=1,SUM('Final Calculation Sheet'!$T$4:$T$40),IF($BL22=1,SUM('Final Calculation Sheet'!$T$4:$T$40)-SUMIFS('Final Calculation Sheet'!$T$4:$T$40,$AZ$5:$AZ$41,10),SUMIFS('Final Calculation Sheet'!$T$4:$T$40,$AZ$5:$AZ$41,$BH22))),""))</f>
        <v/>
      </c>
      <c r="V23" s="73">
        <f>IF($BJ22&gt;0,IF(INDEX('Final Calculation Sheet'!$U$4:$U$40,$BJ22-3)="","",INDEX('Final Calculation Sheet'!$U$4:$U$40,$BJ22-3)),IF(OR($BI22=1,$BL22=1,$BH22&gt;0),IF($BI22=1,SUM('Final Calculation Sheet'!$U$4:$U$40),IF($BL22=1,SUM('Final Calculation Sheet'!$U$4:$U$40)-SUMIFS('Final Calculation Sheet'!$U$4:$U$40,$AZ$5:$AZ$41,10),SUMIFS('Final Calculation Sheet'!$U$4:$U$40,$AZ$5:$AZ$41,$BH22))),""))</f>
        <v/>
      </c>
      <c r="W23" s="70">
        <f>IF($BJ22&gt;0,IF(INDEX('Final Calculation Sheet'!$V$4:$V$40,$BJ22-3)="","",INDEX('Final Calculation Sheet'!$V$4:$V$40,$BJ22-3)),IF(OR($BI22=1,$BL22=1,$BH22&gt;0),"–",""))</f>
        <v/>
      </c>
      <c r="X23" s="70">
        <f>IF($BJ22&gt;0,IF(INDEX('Final Calculation Sheet'!$W$4:$W$40,$BJ22-3)="","",INDEX('Final Calculation Sheet'!$W$4:$W$40,$BJ22-3)),IF(OR($BI22=1,$BL22=1,$BH22&gt;0),IF($BI22=1,SUM('Final Calculation Sheet'!$W$4:$W$40),IF($BL22=1,SUM('Final Calculation Sheet'!$W$4:$W$40)-SUMIFS('Final Calculation Sheet'!$W$4:$W$40,$AZ$5:$AZ$41,10),SUMIFS('Final Calculation Sheet'!$W$4:$W$40,$AZ$5:$AZ$41,$BH22))),""))</f>
        <v/>
      </c>
      <c r="Y23" s="70">
        <f>IF($BJ22&gt;0,IF(INDEX('Final Calculation Sheet'!$X$4:$X$40,$BJ22-3)="","",INDEX('Final Calculation Sheet'!$X$4:$X$40,$BJ22-3)),IF(OR($BI22=1,$BL22=1,$BH22&gt;0),IF($BI22=1,SUM('Final Calculation Sheet'!$X$4:$X$40),IF($BL22=1,SUM('Final Calculation Sheet'!$X$4:$X$40)-SUMIFS('Final Calculation Sheet'!$X$4:$X$40,$AZ$5:$AZ$41,10),SUMIFS('Final Calculation Sheet'!$X$4:$X$40,$AZ$5:$AZ$41,$BH22))),""))</f>
        <v/>
      </c>
      <c r="Z23" s="70">
        <f>IF($BJ22&gt;0,IF(INDEX('Final Calculation Sheet'!$Y$4:$Y$40,$BJ22-3)="","",INDEX('Final Calculation Sheet'!$Y$4:$Y$40,$BJ22-3)),IF(OR($BI22=1,$BL22=1,$BH22&gt;0),"–",""))</f>
        <v/>
      </c>
      <c r="AA23" s="70">
        <f>IF($BJ22&gt;0,IF(INDEX('Final Calculation Sheet'!$Z$4:$Z$40,$BJ22-3)="","",INDEX('Final Calculation Sheet'!$Z$4:$Z$40,$BJ22-3)),IF(OR($BI22=1,$BL22=1,$BH22&gt;0),IF($BI22=1,SUM('Final Calculation Sheet'!$Z$4:$Z$40),IF($BL22=1,SUM('Final Calculation Sheet'!$Z$4:$Z$40)-SUMIFS('Final Calculation Sheet'!$Z$4:$Z$40,$AZ$5:$AZ$41,10),SUMIFS('Final Calculation Sheet'!$Z$4:$Z$40,$AZ$5:$AZ$41,$BH22))),""))</f>
        <v/>
      </c>
      <c r="AB23" s="70">
        <f>IF($BJ22&gt;0,IF(INDEX('Final Calculation Sheet'!$AA$4:$AA$40,$BJ22-3)="","",INDEX('Final Calculation Sheet'!$AA$4:$AA$40,$BJ22-3)),IF(OR($BI22=1,$BL22=1,$BH22&gt;0),IF($BI22=1,SUM('Final Calculation Sheet'!$AA$4:$AA$40),IF($BL22=1,SUM('Final Calculation Sheet'!$AA$4:$AA$40)-SUMIFS('Final Calculation Sheet'!$AA$4:$AA$40,$AZ$5:$AZ$41,10),SUMIFS('Final Calculation Sheet'!$AA$4:$AA$40,$AZ$5:$AZ$41,$BH22))),""))</f>
        <v/>
      </c>
      <c r="AC23" s="70">
        <f>IF($BJ22&gt;0,IF(INDEX('Final Calculation Sheet'!$AB$4:$AB$40,$BJ22-3)="","",INDEX('Final Calculation Sheet'!$AB$4:$AB$40,$BJ22-3)),IF(OR($BI22=1,$BL22=1,$BH22&gt;0),"–",""))</f>
        <v/>
      </c>
      <c r="AD23" s="70">
        <f>IF($BJ22&gt;0,IF(INDEX('Final Calculation Sheet'!$AC$4:$AC$40,$BJ22-3)="","",INDEX('Final Calculation Sheet'!$AC$4:$AC$40,$BJ22-3)),IF(OR($BI22=1,$BL22=1,$BH22&gt;0),IF($BI22=1,SUM('Final Calculation Sheet'!$AC$4:$AC$40),IF($BL22=1,SUM('Final Calculation Sheet'!$AC$4:$AC$40)-SUMIFS('Final Calculation Sheet'!$AC$4:$AC$40,$AZ$5:$AZ$41,10),SUMIFS('Final Calculation Sheet'!$AC$4:$AC$40,$AZ$5:$AZ$41,$BH22))),""))</f>
        <v/>
      </c>
      <c r="AE23" s="70">
        <f>IF($BJ22&gt;0,IF(INDEX('Final Calculation Sheet'!$AD$4:$AD$40,$BJ22-3)="","",INDEX('Final Calculation Sheet'!$AD$4:$AD$40,$BJ22-3)),IF(OR($BI22=1,$BL22=1,$BH22&gt;0),IF($BI22=1,SUM('Final Calculation Sheet'!$AD$4:$AD$40),IF($BL22=1,SUM('Final Calculation Sheet'!$AD$4:$AD$40)-SUMIFS('Final Calculation Sheet'!$AD$4:$AD$40,$AZ$5:$AZ$41,10),SUMIFS('Final Calculation Sheet'!$AD$4:$AD$40,$AZ$5:$AZ$41,$BH22))),""))</f>
        <v/>
      </c>
      <c r="AF23" s="75">
        <f>IF($BJ22&gt;0,IF(INDEX('Final Calculation Sheet'!$AD$4:$AD$40,$BJ22-3)="","",IF(INDEX('Final Calculation Sheet'!$AD$4:$AD$40,$BJ22-3)&lt;=5,"SETTLED","OUTSTANDING")),IF(OR($BI22=1,$BL22=1,$BH22&gt;0),IF(IF($BI22=1,SUM('Final Calculation Sheet'!$AD$4:$AD$40),IF($BL22=1,SUM('Final Calculation Sheet'!$AD$4:$AD$40)-SUMIFS('Final Calculation Sheet'!$AD$4:$AD$40,$AZ$5:$AZ$41,10),SUMIFS('Final Calculation Sheet'!$AD$4:$AD$40,$AZ$5:$AZ$41,$BH22)))&lt;=5,"ALL SETTLED","OUTSTANDING"),""))</f>
        <v/>
      </c>
      <c r="AG23" s="70">
        <f>IF($BJ22&gt;0,IF(INDEX('Final Calculation Sheet'!$AF$4:$AF$40,$BJ22-3)="","",INDEX('Final Calculation Sheet'!$AF$4:$AF$40,$BJ22-3)),IF(OR($BI22=1,$BL22=1,$BH22&gt;0),"–",""))</f>
        <v/>
      </c>
      <c r="AH23" s="74">
        <f>IF($BJ22&gt;0,IF(INDEX('Final Calculation Sheet'!$AG$4:$AG$40,$BJ22-3)="","",INDEX('Final Calculation Sheet'!$AG$4:$AG$40,$BJ22-3)),IF(OR($BI22=1,$BL22=1,$BH22&gt;0),"–",""))</f>
        <v/>
      </c>
      <c r="AI23" s="70">
        <f>IF($BJ22&gt;0,IF(INDEX('Final Calculation Sheet'!$AH$4:$AH$40,$BJ22-3)="","",INDEX('Final Calculation Sheet'!$AH$4:$AH$40,$BJ22-3)),IF(OR($BI22=1,$BL22=1,$BH22&gt;0),"–",""))</f>
        <v/>
      </c>
      <c r="AK23">
        <f>IF($F$3="Lot No.",'Final Calculation Sheet'!$F$22,IF($F$3="Buyer",'Final Calculation Sheet'!$G$22,IF($F$3="Lot Name",'Final Calculation Sheet'!$B$22,IF($F$3="Bid Sheet",'Final Calculation Sheet'!$D$22,IF($F$3="Unit",'Final Calculation Sheet'!$E$22,'Final Calculation Sheet'!$F$22&amp;" "&amp;'Final Calculation Sheet'!$G$22&amp;" "&amp;'Final Calculation Sheet'!$B$22)))))</f>
        <v/>
      </c>
      <c r="AL23">
        <f>AL22+IF($B$3="",0,--(SUMPRODUCT(--($AR$6:$AY$6&lt;&gt;""),--ISNUMBER(SEARCH($AR$6:$AY$6,$AK23)))&gt;0))</f>
        <v/>
      </c>
      <c r="AM23">
        <f>IF(COUNTIF($BM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AZ23">
        <f>IF($B$3="",IF(COUNTIF($A$4:$AI$4,"&lt;&gt;")=0,9,IF($AM23=1,9,10)),IF($AM23=0,10,IF(AND($AR$6&lt;&gt;"",ISNUMBER(SEARCH($AR$6,$AK23))),1,IF(AND($AS$6&lt;&gt;"",ISNUMBER(SEARCH($AS$6,$AK23))),2,IF(AND($AT$6&lt;&gt;"",ISNUMBER(SEARCH($AT$6,$AK23))),3,IF(AND($AU$6&lt;&gt;"",ISNUMBER(SEARCH($AU$6,$AK23))),4,IF(AND($AV$6&lt;&gt;"",ISNUMBER(SEARCH($AV$6,$AK23))),5,IF(AND($AW$6&lt;&gt;"",ISNUMBER(SEARCH($AW$6,$AK23))),6,IF(AND($AX$6&lt;&gt;"",ISNUMBER(SEARCH($AX$6,$AK23))),7,IF(AND($AY$6&lt;&gt;"",ISNUMBER(SEARCH($AY$6,$AK23))),8,0))))))))))</f>
        <v/>
      </c>
      <c r="BA23">
        <f>SUMPRODUCT(($AZ$5:$AZ$41=$AZ23)*($BC$5:$BC$41&lt;$BC23))+1</f>
        <v/>
      </c>
      <c r="BB23">
        <f>IF(INDEX($BF$4:$BF$13,$AZ23)=0,0,INDEX($BE$4:$BE$13,$AZ23)+$BA23-1)</f>
        <v/>
      </c>
      <c r="BC23" t="n">
        <v>22</v>
      </c>
      <c r="BH23">
        <f>IFERROR(MATCH(23,$BF$4:$BF$13,0),0)</f>
        <v/>
      </c>
      <c r="BI23">
        <f>IF(23=$BG$5,1,0)</f>
        <v/>
      </c>
      <c r="BJ23">
        <f>IF(OR($BH23&gt;0,$BI23=1,$BL23=1),0,IFERROR(INDEX($BC$5:$BC$41,MATCH(23,$BB$5:$BB$41,0)),0))</f>
        <v/>
      </c>
      <c r="BK23">
        <f>IF($BJ23&gt;0,IF(INDEX($AZ$5:$AZ$41,MATCH(23,$BB$5:$BB$41,0))=10,1,0),IF($BH23=10,1,0))</f>
        <v/>
      </c>
      <c r="BL23">
        <f>IF(23=$BG$4,1,0)</f>
        <v/>
      </c>
      <c r="BM23">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3">
        <f>IF($B$4="",1,--(OR(SUMPRODUCT(--(TRIM(MID(SUBSTITUTE(SUBSTITUTE($B$4,"/",","),",",REPT(" ",99)),(ROW($1:$8)-1)*99+1,99))&lt;&gt;""),--ISNUMBER(SEARCH(TRIM(MID(SUBSTITUTE(SUBSTITUTE($B$4,"/",","),",",REPT(" ",99)),(ROW($1:$8)-1)*99+1,99)),IFERROR(('Final Calculation Sheet'!$F$22)&amp;"",""))))&gt;0,AND(ISNUMBER(SEARCH("blank",$B$4)),NOT(ISNUMBER(SEARCH("nonblank",$B$4))),IFERROR(('Final Calculation Sheet'!$F$22)&amp;"","")=""),AND(OR(ISNUMBER(SEARCH("nonblank",$B$4)),ISNUMBER(SEARCH("&lt;&gt;",$B$4))),IFERROR(('Final Calculation Sheet'!$F$22)&amp;"","")&lt;&gt;""),AND(TRIM($B$4)="",IFERROR(('Final Calculation Sheet'!$F$22)&amp;"","")=""))))</f>
        <v/>
      </c>
      <c r="BO23">
        <f>IF($CW$3="",1,--(OR(SUMPRODUCT(--(TRIM(MID(SUBSTITUTE(SUBSTITUTE($CW$3,"/",","),",",REPT(" ",99)),(ROW($1:$8)-1)*99+1,99))&lt;&gt;""),--ISNUMBER(SEARCH(TRIM(MID(SUBSTITUTE(SUBSTITUTE($CW$3,"/",","),",",REPT(" ",99)),(ROW($1:$8)-1)*99+1,99)),IFERROR(('Final Calculation Sheet'!$G$22)&amp;"",""))))&gt;0,AND(ISNUMBER(SEARCH("blank",$CW$3)),NOT(ISNUMBER(SEARCH("nonblank",$CW$3))),IFERROR(('Final Calculation Sheet'!$G$22)&amp;"","")=""),AND(OR(ISNUMBER(SEARCH("nonblank",$CW$3)),ISNUMBER(SEARCH("&lt;&gt;",$CW$3))),IFERROR(('Final Calculation Sheet'!$G$22)&amp;"","")&lt;&gt;""),AND(TRIM($CW$3)="",IFERROR(('Final Calculation Sheet'!$G$22)&amp;"","")=""))))</f>
        <v/>
      </c>
      <c r="BP23">
        <f>IF($D$4="",1,--(OR(SUMPRODUCT(--(TRIM(MID(SUBSTITUTE(SUBSTITUTE($D$4,"/",","),",",REPT(" ",99)),(ROW($1:$8)-1)*99+1,99))&lt;&gt;""),--ISNUMBER(SEARCH(TRIM(MID(SUBSTITUTE(SUBSTITUTE($D$4,"/",","),",",REPT(" ",99)),(ROW($1:$8)-1)*99+1,99)),IFERROR(('Final Calculation Sheet'!$B$22)&amp;"",""))))&gt;0,AND(ISNUMBER(SEARCH("blank",$D$4)),NOT(ISNUMBER(SEARCH("nonblank",$D$4))),IFERROR(('Final Calculation Sheet'!$B$22)&amp;"","")=""),AND(OR(ISNUMBER(SEARCH("nonblank",$D$4)),ISNUMBER(SEARCH("&lt;&gt;",$D$4))),IFERROR(('Final Calculation Sheet'!$B$22)&amp;"","")&lt;&gt;""),AND(TRIM($D$4)="",IFERROR(('Final Calculation Sheet'!$B$22)&amp;"","")=""))))</f>
        <v/>
      </c>
      <c r="BQ23">
        <f>IF($E$4="",1,--(OR(SUMPRODUCT(--(TRIM(MID(SUBSTITUTE(SUBSTITUTE($E$4,"/",","),",",REPT(" ",99)),(ROW($1:$8)-1)*99+1,99))&lt;&gt;""),--ISNUMBER(SEARCH(TRIM(MID(SUBSTITUTE(SUBSTITUTE($E$4,"/",","),",",REPT(" ",99)),(ROW($1:$8)-1)*99+1,99)),IFERROR(('Final Calculation Sheet'!$D$22)&amp;"",""))))&gt;0,AND(ISNUMBER(SEARCH("blank",$E$4)),NOT(ISNUMBER(SEARCH("nonblank",$E$4))),IFERROR(('Final Calculation Sheet'!$D$22)&amp;"","")=""),AND(OR(ISNUMBER(SEARCH("nonblank",$E$4)),ISNUMBER(SEARCH("&lt;&gt;",$E$4))),IFERROR(('Final Calculation Sheet'!$D$22)&amp;"","")&lt;&gt;""),AND(TRIM($E$4)="",IFERROR(('Final Calculation Sheet'!$D$22)&amp;"","")=""))))</f>
        <v/>
      </c>
      <c r="BR23">
        <f>IF($F$4="",1,--(OR(SUMPRODUCT(--(TRIM(MID(SUBSTITUTE(SUBSTITUTE($F$4,"/",","),",",REPT(" ",99)),(ROW($1:$8)-1)*99+1,99))&lt;&gt;""),--ISNUMBER(SEARCH(TRIM(MID(SUBSTITUTE(SUBSTITUTE($F$4,"/",","),",",REPT(" ",99)),(ROW($1:$8)-1)*99+1,99)),IFERROR(('Final Calculation Sheet'!$A$22)&amp;"",""))))&gt;0,AND(ISNUMBER(SEARCH("blank",$F$4)),NOT(ISNUMBER(SEARCH("nonblank",$F$4))),IFERROR(('Final Calculation Sheet'!$A$22)&amp;"","")=""),AND(OR(ISNUMBER(SEARCH("nonblank",$F$4)),ISNUMBER(SEARCH("&lt;&gt;",$F$4))),IFERROR(('Final Calculation Sheet'!$A$22)&amp;"","")&lt;&gt;""),AND(TRIM($F$4)="",IFERROR(('Final Calculation Sheet'!$A$22)&amp;"","")=""))))</f>
        <v/>
      </c>
      <c r="BS23">
        <f>IF($G$4="",1,--(OR(SUMPRODUCT(--(TRIM(MID(SUBSTITUTE(SUBSTITUTE($G$4,"/",","),",",REPT(" ",99)),(ROW($1:$8)-1)*99+1,99))&lt;&gt;""),--ISNUMBER(SEARCH(TRIM(MID(SUBSTITUTE(SUBSTITUTE($G$4,"/",","),",",REPT(" ",99)),(ROW($1:$8)-1)*99+1,99)),IFERROR(('Final Calculation Sheet'!$E$22)&amp;"",""))))&gt;0,AND(ISNUMBER(SEARCH("blank",$G$4)),NOT(ISNUMBER(SEARCH("nonblank",$G$4))),IFERROR(('Final Calculation Sheet'!$E$22)&amp;"","")=""),AND(OR(ISNUMBER(SEARCH("nonblank",$G$4)),ISNUMBER(SEARCH("&lt;&gt;",$G$4))),IFERROR(('Final Calculation Sheet'!$E$22)&amp;"","")&lt;&gt;""),AND(TRIM($G$4)="",IFERROR(('Final Calculation Sheet'!$E$22)&amp;"","")=""))))</f>
        <v/>
      </c>
      <c r="BT23">
        <f>IF($H$4="",1,--(OR(SUMPRODUCT(--(TRIM(MID(SUBSTITUTE(SUBSTITUTE($H$4,"/",","),",",REPT(" ",99)),(ROW($1:$8)-1)*99+1,99))&lt;&gt;""),--ISNUMBER(SEARCH(TRIM(MID(SUBSTITUTE(SUBSTITUTE($H$4,"/",","),",",REPT(" ",99)),(ROW($1:$8)-1)*99+1,99)),IFERROR(('Final Calculation Sheet'!$C$22)&amp;"",""))))&gt;0,AND(ISNUMBER(SEARCH("blank",$H$4)),NOT(ISNUMBER(SEARCH("nonblank",$H$4))),IFERROR(('Final Calculation Sheet'!$C$22)&amp;"","")=""),AND(OR(ISNUMBER(SEARCH("nonblank",$H$4)),ISNUMBER(SEARCH("&lt;&gt;",$H$4))),IFERROR(('Final Calculation Sheet'!$C$22)&amp;"","")&lt;&gt;""),AND(TRIM($H$4)="",IFERROR(('Final Calculation Sheet'!$C$22)&amp;"","")=""))))</f>
        <v/>
      </c>
      <c r="BU23">
        <f>IF($I$4="",1,--(OR(SUMPRODUCT(--(TRIM(MID(SUBSTITUTE(SUBSTITUTE($I$4,"/",","),",",REPT(" ",99)),(ROW($1:$8)-1)*99+1,99))&lt;&gt;""),--ISNUMBER(SEARCH(TRIM(MID(SUBSTITUTE(SUBSTITUTE($I$4,"/",","),",",REPT(" ",99)),(ROW($1:$8)-1)*99+1,99)),IFERROR(('Final Calculation Sheet'!$H$22)&amp;"",""))))&gt;0,AND(ISNUMBER(SEARCH("blank",$I$4)),NOT(ISNUMBER(SEARCH("nonblank",$I$4))),IFERROR(('Final Calculation Sheet'!$H$22)&amp;"","")=""),AND(OR(ISNUMBER(SEARCH("nonblank",$I$4)),ISNUMBER(SEARCH("&lt;&gt;",$I$4))),IFERROR(('Final Calculation Sheet'!$H$22)&amp;"","")&lt;&gt;""),AND(TRIM($I$4)="",IFERROR(('Final Calculation Sheet'!$H$22)&amp;"","")=""))))</f>
        <v/>
      </c>
      <c r="BV23">
        <f>IF($J$4="",1,--(OR(SUMPRODUCT(--(TRIM(MID(SUBSTITUTE(SUBSTITUTE($J$4,"/",","),",",REPT(" ",99)),(ROW($1:$8)-1)*99+1,99))&lt;&gt;""),--ISNUMBER(SEARCH(TRIM(MID(SUBSTITUTE(SUBSTITUTE($J$4,"/",","),",",REPT(" ",99)),(ROW($1:$8)-1)*99+1,99)),IFERROR(('Final Calculation Sheet'!$I$22)&amp;"",""))))&gt;0,AND(ISNUMBER(SEARCH("blank",$J$4)),NOT(ISNUMBER(SEARCH("nonblank",$J$4))),IFERROR(('Final Calculation Sheet'!$I$22)&amp;"","")=""),AND(OR(ISNUMBER(SEARCH("nonblank",$J$4)),ISNUMBER(SEARCH("&lt;&gt;",$J$4))),IFERROR(('Final Calculation Sheet'!$I$22)&amp;"","")&lt;&gt;""),AND(TRIM($J$4)="",IFERROR(('Final Calculation Sheet'!$I$22)&amp;"","")=""))))</f>
        <v/>
      </c>
      <c r="BW23">
        <f>IF($K$4="",1,--(OR(SUMPRODUCT(--(TRIM(MID(SUBSTITUTE(SUBSTITUTE($K$4,"/",","),",",REPT(" ",99)),(ROW($1:$8)-1)*99+1,99))&lt;&gt;""),--ISNUMBER(SEARCH(TRIM(MID(SUBSTITUTE(SUBSTITUTE($K$4,"/",","),",",REPT(" ",99)),(ROW($1:$8)-1)*99+1,99)),IFERROR(('Final Calculation Sheet'!$J$22)&amp;"",""))))&gt;0,AND(ISNUMBER(SEARCH("blank",$K$4)),NOT(ISNUMBER(SEARCH("nonblank",$K$4))),IFERROR(('Final Calculation Sheet'!$J$22)&amp;"","")=""),AND(OR(ISNUMBER(SEARCH("nonblank",$K$4)),ISNUMBER(SEARCH("&lt;&gt;",$K$4))),IFERROR(('Final Calculation Sheet'!$J$22)&amp;"","")&lt;&gt;""),AND(TRIM($K$4)="",IFERROR(('Final Calculation Sheet'!$J$22)&amp;"","")=""))))</f>
        <v/>
      </c>
      <c r="BX23">
        <f>IF($L$4="",1,--(OR(SUMPRODUCT(--(TRIM(MID(SUBSTITUTE(SUBSTITUTE($L$4,"/",","),",",REPT(" ",99)),(ROW($1:$8)-1)*99+1,99))&lt;&gt;""),--ISNUMBER(SEARCH(TRIM(MID(SUBSTITUTE(SUBSTITUTE($L$4,"/",","),",",REPT(" ",99)),(ROW($1:$8)-1)*99+1,99)),IFERROR(('Final Calculation Sheet'!$K$22)&amp;"",""))))&gt;0,AND(ISNUMBER(SEARCH("blank",$L$4)),NOT(ISNUMBER(SEARCH("nonblank",$L$4))),IFERROR(('Final Calculation Sheet'!$K$22)&amp;"","")=""),AND(OR(ISNUMBER(SEARCH("nonblank",$L$4)),ISNUMBER(SEARCH("&lt;&gt;",$L$4))),IFERROR(('Final Calculation Sheet'!$K$22)&amp;"","")&lt;&gt;""),AND(TRIM($L$4)="",IFERROR(('Final Calculation Sheet'!$K$22)&amp;"","")=""))))</f>
        <v/>
      </c>
      <c r="BY23">
        <f>IF($M$4="",1,--(OR(SUMPRODUCT(--(TRIM(MID(SUBSTITUTE(SUBSTITUTE($M$4,"/",","),",",REPT(" ",99)),(ROW($1:$8)-1)*99+1,99))&lt;&gt;""),--ISNUMBER(SEARCH(TRIM(MID(SUBSTITUTE(SUBSTITUTE($M$4,"/",","),",",REPT(" ",99)),(ROW($1:$8)-1)*99+1,99)),IFERROR(('Final Calculation Sheet'!$L$22)&amp;"",""))))&gt;0,AND(ISNUMBER(SEARCH("blank",$M$4)),NOT(ISNUMBER(SEARCH("nonblank",$M$4))),IFERROR(('Final Calculation Sheet'!$L$22)&amp;"","")=""),AND(OR(ISNUMBER(SEARCH("nonblank",$M$4)),ISNUMBER(SEARCH("&lt;&gt;",$M$4))),IFERROR(('Final Calculation Sheet'!$L$22)&amp;"","")&lt;&gt;""),AND(TRIM($M$4)="",IFERROR(('Final Calculation Sheet'!$L$22)&amp;"","")=""))))</f>
        <v/>
      </c>
      <c r="BZ23">
        <f>IF($N$4="",1,--(OR(SUMPRODUCT(--(TRIM(MID(SUBSTITUTE(SUBSTITUTE($N$4,"/",","),",",REPT(" ",99)),(ROW($1:$8)-1)*99+1,99))&lt;&gt;""),--ISNUMBER(SEARCH(TRIM(MID(SUBSTITUTE(SUBSTITUTE($N$4,"/",","),",",REPT(" ",99)),(ROW($1:$8)-1)*99+1,99)),IFERROR(('Final Calculation Sheet'!$M$22)&amp;"",""))))&gt;0,AND(ISNUMBER(SEARCH("blank",$N$4)),NOT(ISNUMBER(SEARCH("nonblank",$N$4))),IFERROR(('Final Calculation Sheet'!$M$22)&amp;"","")=""),AND(OR(ISNUMBER(SEARCH("nonblank",$N$4)),ISNUMBER(SEARCH("&lt;&gt;",$N$4))),IFERROR(('Final Calculation Sheet'!$M$22)&amp;"","")&lt;&gt;""),AND(TRIM($N$4)="",IFERROR(('Final Calculation Sheet'!$M$22)&amp;"","")=""))))</f>
        <v/>
      </c>
      <c r="CA23">
        <f>IF($O$4="",1,--(OR(SUMPRODUCT(--(TRIM(MID(SUBSTITUTE(SUBSTITUTE($O$4,"/",","),",",REPT(" ",99)),(ROW($1:$8)-1)*99+1,99))&lt;&gt;""),--ISNUMBER(SEARCH(TRIM(MID(SUBSTITUTE(SUBSTITUTE($O$4,"/",","),",",REPT(" ",99)),(ROW($1:$8)-1)*99+1,99)),IFERROR(('Final Calculation Sheet'!$N$22)&amp;"",""))))&gt;0,AND(ISNUMBER(SEARCH("blank",$O$4)),NOT(ISNUMBER(SEARCH("nonblank",$O$4))),IFERROR(('Final Calculation Sheet'!$N$22)&amp;"","")=""),AND(OR(ISNUMBER(SEARCH("nonblank",$O$4)),ISNUMBER(SEARCH("&lt;&gt;",$O$4))),IFERROR(('Final Calculation Sheet'!$N$22)&amp;"","")&lt;&gt;""),AND(TRIM($O$4)="",IFERROR(('Final Calculation Sheet'!$N$22)&amp;"","")=""))))</f>
        <v/>
      </c>
      <c r="CB23">
        <f>IF($P$4="",1,--(OR(SUMPRODUCT(--(TRIM(MID(SUBSTITUTE(SUBSTITUTE($P$4,"/",","),",",REPT(" ",99)),(ROW($1:$8)-1)*99+1,99))&lt;&gt;""),--ISNUMBER(SEARCH(TRIM(MID(SUBSTITUTE(SUBSTITUTE($P$4,"/",","),",",REPT(" ",99)),(ROW($1:$8)-1)*99+1,99)),IFERROR(('Final Calculation Sheet'!$O$22)&amp;"",""))))&gt;0,AND(ISNUMBER(SEARCH("blank",$P$4)),NOT(ISNUMBER(SEARCH("nonblank",$P$4))),IFERROR(('Final Calculation Sheet'!$O$22)&amp;"","")=""),AND(OR(ISNUMBER(SEARCH("nonblank",$P$4)),ISNUMBER(SEARCH("&lt;&gt;",$P$4))),IFERROR(('Final Calculation Sheet'!$O$22)&amp;"","")&lt;&gt;""),AND(TRIM($P$4)="",IFERROR(('Final Calculation Sheet'!$O$22)&amp;"","")=""))))</f>
        <v/>
      </c>
      <c r="CC23">
        <f>IF($Q$4="",1,--(OR(SUMPRODUCT(--(TRIM(MID(SUBSTITUTE(SUBSTITUTE($Q$4,"/",","),",",REPT(" ",99)),(ROW($1:$8)-1)*99+1,99))&lt;&gt;""),--ISNUMBER(SEARCH(TRIM(MID(SUBSTITUTE(SUBSTITUTE($Q$4,"/",","),",",REPT(" ",99)),(ROW($1:$8)-1)*99+1,99)),IFERROR(('Final Calculation Sheet'!$P$22)&amp;"",""))))&gt;0,AND(ISNUMBER(SEARCH("blank",$Q$4)),NOT(ISNUMBER(SEARCH("nonblank",$Q$4))),IFERROR(('Final Calculation Sheet'!$P$22)&amp;"","")=""),AND(OR(ISNUMBER(SEARCH("nonblank",$Q$4)),ISNUMBER(SEARCH("&lt;&gt;",$Q$4))),IFERROR(('Final Calculation Sheet'!$P$22)&amp;"","")&lt;&gt;""),AND(TRIM($Q$4)="",IFERROR(('Final Calculation Sheet'!$P$22)&amp;"","")=""))))</f>
        <v/>
      </c>
      <c r="CD23">
        <f>IF($R$4="",1,--(OR(SUMPRODUCT(--(TRIM(MID(SUBSTITUTE(SUBSTITUTE($R$4,"/",","),",",REPT(" ",99)),(ROW($1:$8)-1)*99+1,99))&lt;&gt;""),--ISNUMBER(SEARCH(TRIM(MID(SUBSTITUTE(SUBSTITUTE($R$4,"/",","),",",REPT(" ",99)),(ROW($1:$8)-1)*99+1,99)),IFERROR(('Final Calculation Sheet'!$Q$22)&amp;"",""))))&gt;0,AND(ISNUMBER(SEARCH("blank",$R$4)),NOT(ISNUMBER(SEARCH("nonblank",$R$4))),IFERROR(('Final Calculation Sheet'!$Q$22)&amp;"","")=""),AND(OR(ISNUMBER(SEARCH("nonblank",$R$4)),ISNUMBER(SEARCH("&lt;&gt;",$R$4))),IFERROR(('Final Calculation Sheet'!$Q$22)&amp;"","")&lt;&gt;""),AND(TRIM($R$4)="",IFERROR(('Final Calculation Sheet'!$Q$22)&amp;"","")=""))))</f>
        <v/>
      </c>
      <c r="CE23">
        <f>IF($S$4="",1,--(OR(SUMPRODUCT(--(TRIM(MID(SUBSTITUTE(SUBSTITUTE($S$4,"/",","),",",REPT(" ",99)),(ROW($1:$8)-1)*99+1,99))&lt;&gt;""),--ISNUMBER(SEARCH(TRIM(MID(SUBSTITUTE(SUBSTITUTE($S$4,"/",","),",",REPT(" ",99)),(ROW($1:$8)-1)*99+1,99)),IFERROR(('Final Calculation Sheet'!$R$22)&amp;"",""))))&gt;0,AND(ISNUMBER(SEARCH("blank",$S$4)),NOT(ISNUMBER(SEARCH("nonblank",$S$4))),IFERROR(('Final Calculation Sheet'!$R$22)&amp;"","")=""),AND(OR(ISNUMBER(SEARCH("nonblank",$S$4)),ISNUMBER(SEARCH("&lt;&gt;",$S$4))),IFERROR(('Final Calculation Sheet'!$R$22)&amp;"","")&lt;&gt;""),AND(TRIM($S$4)="",IFERROR(('Final Calculation Sheet'!$R$22)&amp;"","")=""))))</f>
        <v/>
      </c>
      <c r="CF23">
        <f>IF($T$4="",1,--(OR(SUMPRODUCT(--(TRIM(MID(SUBSTITUTE(SUBSTITUTE($T$4,"/",","),",",REPT(" ",99)),(ROW($1:$8)-1)*99+1,99))&lt;&gt;""),--ISNUMBER(SEARCH(TRIM(MID(SUBSTITUTE(SUBSTITUTE($T$4,"/",","),",",REPT(" ",99)),(ROW($1:$8)-1)*99+1,99)),IFERROR(('Final Calculation Sheet'!$S$22)&amp;"",""))))&gt;0,AND(ISNUMBER(SEARCH("blank",$T$4)),NOT(ISNUMBER(SEARCH("nonblank",$T$4))),IFERROR(('Final Calculation Sheet'!$S$22)&amp;"","")=""),AND(OR(ISNUMBER(SEARCH("nonblank",$T$4)),ISNUMBER(SEARCH("&lt;&gt;",$T$4))),IFERROR(('Final Calculation Sheet'!$S$22)&amp;"","")&lt;&gt;""),AND(TRIM($T$4)="",IFERROR(('Final Calculation Sheet'!$S$22)&amp;"","")=""))))</f>
        <v/>
      </c>
      <c r="CG23">
        <f>IF($U$4="",1,--(OR(SUMPRODUCT(--(TRIM(MID(SUBSTITUTE(SUBSTITUTE($U$4,"/",","),",",REPT(" ",99)),(ROW($1:$8)-1)*99+1,99))&lt;&gt;""),--ISNUMBER(SEARCH(TRIM(MID(SUBSTITUTE(SUBSTITUTE($U$4,"/",","),",",REPT(" ",99)),(ROW($1:$8)-1)*99+1,99)),IFERROR(('Final Calculation Sheet'!$T$22)&amp;"",""))))&gt;0,AND(ISNUMBER(SEARCH("blank",$U$4)),NOT(ISNUMBER(SEARCH("nonblank",$U$4))),IFERROR(('Final Calculation Sheet'!$T$22)&amp;"","")=""),AND(OR(ISNUMBER(SEARCH("nonblank",$U$4)),ISNUMBER(SEARCH("&lt;&gt;",$U$4))),IFERROR(('Final Calculation Sheet'!$T$22)&amp;"","")&lt;&gt;""),AND(TRIM($U$4)="",IFERROR(('Final Calculation Sheet'!$T$22)&amp;"","")=""))))</f>
        <v/>
      </c>
      <c r="CH23">
        <f>IF($V$4="",1,--(OR(SUMPRODUCT(--(TRIM(MID(SUBSTITUTE(SUBSTITUTE($V$4,"/",","),",",REPT(" ",99)),(ROW($1:$8)-1)*99+1,99))&lt;&gt;""),--ISNUMBER(SEARCH(TRIM(MID(SUBSTITUTE(SUBSTITUTE($V$4,"/",","),",",REPT(" ",99)),(ROW($1:$8)-1)*99+1,99)),IFERROR(('Final Calculation Sheet'!$U$22)&amp;"",""))))&gt;0,AND(ISNUMBER(SEARCH("blank",$V$4)),NOT(ISNUMBER(SEARCH("nonblank",$V$4))),IFERROR(('Final Calculation Sheet'!$U$22)&amp;"","")=""),AND(OR(ISNUMBER(SEARCH("nonblank",$V$4)),ISNUMBER(SEARCH("&lt;&gt;",$V$4))),IFERROR(('Final Calculation Sheet'!$U$22)&amp;"","")&lt;&gt;""),AND(TRIM($V$4)="",IFERROR(('Final Calculation Sheet'!$U$22)&amp;"","")=""))))</f>
        <v/>
      </c>
      <c r="CI23">
        <f>IF($W$4="",1,--(OR(SUMPRODUCT(--(TRIM(MID(SUBSTITUTE(SUBSTITUTE($W$4,"/",","),",",REPT(" ",99)),(ROW($1:$8)-1)*99+1,99))&lt;&gt;""),--ISNUMBER(SEARCH(TRIM(MID(SUBSTITUTE(SUBSTITUTE($W$4,"/",","),",",REPT(" ",99)),(ROW($1:$8)-1)*99+1,99)),IFERROR(('Final Calculation Sheet'!$V$22)&amp;"",""))))&gt;0,AND(ISNUMBER(SEARCH("blank",$W$4)),NOT(ISNUMBER(SEARCH("nonblank",$W$4))),IFERROR(('Final Calculation Sheet'!$V$22)&amp;"","")=""),AND(OR(ISNUMBER(SEARCH("nonblank",$W$4)),ISNUMBER(SEARCH("&lt;&gt;",$W$4))),IFERROR(('Final Calculation Sheet'!$V$22)&amp;"","")&lt;&gt;""),AND(TRIM($W$4)="",IFERROR(('Final Calculation Sheet'!$V$22)&amp;"","")=""))))</f>
        <v/>
      </c>
      <c r="CJ23">
        <f>IF($X$4="",1,--(OR(SUMPRODUCT(--(TRIM(MID(SUBSTITUTE(SUBSTITUTE($X$4,"/",","),",",REPT(" ",99)),(ROW($1:$8)-1)*99+1,99))&lt;&gt;""),--ISNUMBER(SEARCH(TRIM(MID(SUBSTITUTE(SUBSTITUTE($X$4,"/",","),",",REPT(" ",99)),(ROW($1:$8)-1)*99+1,99)),IFERROR(('Final Calculation Sheet'!$W$22)&amp;"",""))))&gt;0,AND(ISNUMBER(SEARCH("blank",$X$4)),NOT(ISNUMBER(SEARCH("nonblank",$X$4))),IFERROR(('Final Calculation Sheet'!$W$22)&amp;"","")=""),AND(OR(ISNUMBER(SEARCH("nonblank",$X$4)),ISNUMBER(SEARCH("&lt;&gt;",$X$4))),IFERROR(('Final Calculation Sheet'!$W$22)&amp;"","")&lt;&gt;""),AND(TRIM($X$4)="",IFERROR(('Final Calculation Sheet'!$W$22)&amp;"","")=""))))</f>
        <v/>
      </c>
      <c r="CK23">
        <f>IF($Y$4="",1,--(OR(SUMPRODUCT(--(TRIM(MID(SUBSTITUTE(SUBSTITUTE($Y$4,"/",","),",",REPT(" ",99)),(ROW($1:$8)-1)*99+1,99))&lt;&gt;""),--ISNUMBER(SEARCH(TRIM(MID(SUBSTITUTE(SUBSTITUTE($Y$4,"/",","),",",REPT(" ",99)),(ROW($1:$8)-1)*99+1,99)),IFERROR(('Final Calculation Sheet'!$X$22)&amp;"",""))))&gt;0,AND(ISNUMBER(SEARCH("blank",$Y$4)),NOT(ISNUMBER(SEARCH("nonblank",$Y$4))),IFERROR(('Final Calculation Sheet'!$X$22)&amp;"","")=""),AND(OR(ISNUMBER(SEARCH("nonblank",$Y$4)),ISNUMBER(SEARCH("&lt;&gt;",$Y$4))),IFERROR(('Final Calculation Sheet'!$X$22)&amp;"","")&lt;&gt;""),AND(TRIM($Y$4)="",IFERROR(('Final Calculation Sheet'!$X$22)&amp;"","")=""))))</f>
        <v/>
      </c>
      <c r="CL23">
        <f>IF($Z$4="",1,--(OR(SUMPRODUCT(--(TRIM(MID(SUBSTITUTE(SUBSTITUTE($Z$4,"/",","),",",REPT(" ",99)),(ROW($1:$8)-1)*99+1,99))&lt;&gt;""),--ISNUMBER(SEARCH(TRIM(MID(SUBSTITUTE(SUBSTITUTE($Z$4,"/",","),",",REPT(" ",99)),(ROW($1:$8)-1)*99+1,99)),IFERROR(('Final Calculation Sheet'!$Y$22)&amp;"",""))))&gt;0,AND(ISNUMBER(SEARCH("blank",$Z$4)),NOT(ISNUMBER(SEARCH("nonblank",$Z$4))),IFERROR(('Final Calculation Sheet'!$Y$22)&amp;"","")=""),AND(OR(ISNUMBER(SEARCH("nonblank",$Z$4)),ISNUMBER(SEARCH("&lt;&gt;",$Z$4))),IFERROR(('Final Calculation Sheet'!$Y$22)&amp;"","")&lt;&gt;""),AND(TRIM($Z$4)="",IFERROR(('Final Calculation Sheet'!$Y$22)&amp;"","")=""))))</f>
        <v/>
      </c>
      <c r="CM23">
        <f>IF($AA$4="",1,--(OR(SUMPRODUCT(--(TRIM(MID(SUBSTITUTE(SUBSTITUTE($AA$4,"/",","),",",REPT(" ",99)),(ROW($1:$8)-1)*99+1,99))&lt;&gt;""),--ISNUMBER(SEARCH(TRIM(MID(SUBSTITUTE(SUBSTITUTE($AA$4,"/",","),",",REPT(" ",99)),(ROW($1:$8)-1)*99+1,99)),IFERROR(('Final Calculation Sheet'!$Z$22)&amp;"",""))))&gt;0,AND(ISNUMBER(SEARCH("blank",$AA$4)),NOT(ISNUMBER(SEARCH("nonblank",$AA$4))),IFERROR(('Final Calculation Sheet'!$Z$22)&amp;"","")=""),AND(OR(ISNUMBER(SEARCH("nonblank",$AA$4)),ISNUMBER(SEARCH("&lt;&gt;",$AA$4))),IFERROR(('Final Calculation Sheet'!$Z$22)&amp;"","")&lt;&gt;""),AND(TRIM($AA$4)="",IFERROR(('Final Calculation Sheet'!$Z$22)&amp;"","")=""))))</f>
        <v/>
      </c>
      <c r="CN23">
        <f>IF($AB$4="",1,--(OR(SUMPRODUCT(--(TRIM(MID(SUBSTITUTE(SUBSTITUTE($AB$4,"/",","),",",REPT(" ",99)),(ROW($1:$8)-1)*99+1,99))&lt;&gt;""),--ISNUMBER(SEARCH(TRIM(MID(SUBSTITUTE(SUBSTITUTE($AB$4,"/",","),",",REPT(" ",99)),(ROW($1:$8)-1)*99+1,99)),IFERROR(('Final Calculation Sheet'!$AA$22)&amp;"",""))))&gt;0,AND(ISNUMBER(SEARCH("blank",$AB$4)),NOT(ISNUMBER(SEARCH("nonblank",$AB$4))),IFERROR(('Final Calculation Sheet'!$AA$22)&amp;"","")=""),AND(OR(ISNUMBER(SEARCH("nonblank",$AB$4)),ISNUMBER(SEARCH("&lt;&gt;",$AB$4))),IFERROR(('Final Calculation Sheet'!$AA$22)&amp;"","")&lt;&gt;""),AND(TRIM($AB$4)="",IFERROR(('Final Calculation Sheet'!$AA$22)&amp;"","")=""))))</f>
        <v/>
      </c>
      <c r="CO23">
        <f>IF($AC$4="",1,--(OR(SUMPRODUCT(--(TRIM(MID(SUBSTITUTE(SUBSTITUTE($AC$4,"/",","),",",REPT(" ",99)),(ROW($1:$8)-1)*99+1,99))&lt;&gt;""),--ISNUMBER(SEARCH(TRIM(MID(SUBSTITUTE(SUBSTITUTE($AC$4,"/",","),",",REPT(" ",99)),(ROW($1:$8)-1)*99+1,99)),IFERROR(('Final Calculation Sheet'!$AB$22)&amp;"",""))))&gt;0,AND(ISNUMBER(SEARCH("blank",$AC$4)),NOT(ISNUMBER(SEARCH("nonblank",$AC$4))),IFERROR(('Final Calculation Sheet'!$AB$22)&amp;"","")=""),AND(OR(ISNUMBER(SEARCH("nonblank",$AC$4)),ISNUMBER(SEARCH("&lt;&gt;",$AC$4))),IFERROR(('Final Calculation Sheet'!$AB$22)&amp;"","")&lt;&gt;""),AND(TRIM($AC$4)="",IFERROR(('Final Calculation Sheet'!$AB$22)&amp;"","")=""))))</f>
        <v/>
      </c>
      <c r="CP23">
        <f>IF($AD$4="",1,--(OR(SUMPRODUCT(--(TRIM(MID(SUBSTITUTE(SUBSTITUTE($AD$4,"/",","),",",REPT(" ",99)),(ROW($1:$8)-1)*99+1,99))&lt;&gt;""),--ISNUMBER(SEARCH(TRIM(MID(SUBSTITUTE(SUBSTITUTE($AD$4,"/",","),",",REPT(" ",99)),(ROW($1:$8)-1)*99+1,99)),IFERROR(('Final Calculation Sheet'!$AC$22)&amp;"",""))))&gt;0,AND(ISNUMBER(SEARCH("blank",$AD$4)),NOT(ISNUMBER(SEARCH("nonblank",$AD$4))),IFERROR(('Final Calculation Sheet'!$AC$22)&amp;"","")=""),AND(OR(ISNUMBER(SEARCH("nonblank",$AD$4)),ISNUMBER(SEARCH("&lt;&gt;",$AD$4))),IFERROR(('Final Calculation Sheet'!$AC$22)&amp;"","")&lt;&gt;""),AND(TRIM($AD$4)="",IFERROR(('Final Calculation Sheet'!$AC$22)&amp;"","")=""))))</f>
        <v/>
      </c>
      <c r="CQ23">
        <f>IF($AE$4="",1,--(OR(SUMPRODUCT(--(TRIM(MID(SUBSTITUTE(SUBSTITUTE($AE$4,"/",","),",",REPT(" ",99)),(ROW($1:$8)-1)*99+1,99))&lt;&gt;""),--ISNUMBER(SEARCH(TRIM(MID(SUBSTITUTE(SUBSTITUTE($AE$4,"/",","),",",REPT(" ",99)),(ROW($1:$8)-1)*99+1,99)),IFERROR(('Final Calculation Sheet'!$AD$22)&amp;"",""))))&gt;0,AND(ISNUMBER(SEARCH("blank",$AE$4)),NOT(ISNUMBER(SEARCH("nonblank",$AE$4))),IFERROR(('Final Calculation Sheet'!$AD$22)&amp;"","")=""),AND(OR(ISNUMBER(SEARCH("nonblank",$AE$4)),ISNUMBER(SEARCH("&lt;&gt;",$AE$4))),IFERROR(('Final Calculation Sheet'!$AD$22)&amp;"","")&lt;&gt;""),AND(TRIM($AE$4)="",IFERROR(('Final Calculation Sheet'!$AD$22)&amp;"","")=""))))</f>
        <v/>
      </c>
      <c r="CR23">
        <f>IF($AG$4="",1,--(OR(SUMPRODUCT(--(TRIM(MID(SUBSTITUTE(SUBSTITUTE($AG$4,"/",","),",",REPT(" ",99)),(ROW($1:$8)-1)*99+1,99))&lt;&gt;""),--ISNUMBER(SEARCH(TRIM(MID(SUBSTITUTE(SUBSTITUTE($AG$4,"/",","),",",REPT(" ",99)),(ROW($1:$8)-1)*99+1,99)),IFERROR(('Final Calculation Sheet'!$AF$22)&amp;"",""))))&gt;0,AND(ISNUMBER(SEARCH("blank",$AG$4)),NOT(ISNUMBER(SEARCH("nonblank",$AG$4))),IFERROR(('Final Calculation Sheet'!$AF$22)&amp;"","")=""),AND(OR(ISNUMBER(SEARCH("nonblank",$AG$4)),ISNUMBER(SEARCH("&lt;&gt;",$AG$4))),IFERROR(('Final Calculation Sheet'!$AF$22)&amp;"","")&lt;&gt;""),AND(TRIM($AG$4)="",IFERROR(('Final Calculation Sheet'!$AF$22)&amp;"","")=""))))</f>
        <v/>
      </c>
      <c r="CS23">
        <f>IF($AH$4="",1,--(OR(SUMPRODUCT(--(TRIM(MID(SUBSTITUTE(SUBSTITUTE($AH$4,"/",","),",",REPT(" ",99)),(ROW($1:$8)-1)*99+1,99))&lt;&gt;""),--ISNUMBER(SEARCH(TRIM(MID(SUBSTITUTE(SUBSTITUTE($AH$4,"/",","),",",REPT(" ",99)),(ROW($1:$8)-1)*99+1,99)),IFERROR(('Final Calculation Sheet'!$AG$22)&amp;"",""))))&gt;0,AND(ISNUMBER(SEARCH("blank",$AH$4)),NOT(ISNUMBER(SEARCH("nonblank",$AH$4))),IFERROR(('Final Calculation Sheet'!$AG$22)&amp;"","")=""),AND(OR(ISNUMBER(SEARCH("nonblank",$AH$4)),ISNUMBER(SEARCH("&lt;&gt;",$AH$4))),IFERROR(('Final Calculation Sheet'!$AG$22)&amp;"","")&lt;&gt;""),AND(TRIM($AH$4)="",IFERROR(('Final Calculation Sheet'!$AG$22)&amp;"","")=""))))</f>
        <v/>
      </c>
      <c r="CT23">
        <f>IF($AI$4="",1,--(OR(SUMPRODUCT(--(TRIM(MID(SUBSTITUTE(SUBSTITUTE($AI$4,"/",","),",",REPT(" ",99)),(ROW($1:$8)-1)*99+1,99))&lt;&gt;""),--ISNUMBER(SEARCH(TRIM(MID(SUBSTITUTE(SUBSTITUTE($AI$4,"/",","),",",REPT(" ",99)),(ROW($1:$8)-1)*99+1,99)),IFERROR(('Final Calculation Sheet'!$AH$22)&amp;"",""))))&gt;0,AND(ISNUMBER(SEARCH("blank",$AI$4)),NOT(ISNUMBER(SEARCH("nonblank",$AI$4))),IFERROR(('Final Calculation Sheet'!$AH$22)&amp;"","")=""),AND(OR(ISNUMBER(SEARCH("nonblank",$AI$4)),ISNUMBER(SEARCH("&lt;&gt;",$AI$4))),IFERROR(('Final Calculation Sheet'!$AH$22)&amp;"","")&lt;&gt;""),AND(TRIM($AI$4)="",IFERROR(('Final Calculation Sheet'!$AH$22)&amp;"","")=""))))</f>
        <v/>
      </c>
      <c r="CU23">
        <f>IF($AF$4="",1,--(OR(SUMPRODUCT(--(TRIM(MID(SUBSTITUTE(SUBSTITUTE($AF$4,"/",","),",",REPT(" ",99)),(ROW($1:$8)-1)*99+1,99))&lt;&gt;""),--ISNUMBER(SEARCH(TRIM(MID(SUBSTITUTE(SUBSTITUTE($AF$4,"/",","),",",REPT(" ",99)),(ROW($1:$8)-1)*99+1,99)),IFERROR((IF('Final Calculation Sheet'!$AD$22&lt;=5,"SETTLED","OUTSTANDING"))&amp;"",""))))&gt;0,AND(ISNUMBER(SEARCH("blank",$AF$4)),NOT(ISNUMBER(SEARCH("nonblank",$AF$4))),IFERROR((IF('Final Calculation Sheet'!$AD$22&lt;=5,"SETTLED","OUTSTANDING"))&amp;"","")=""),AND(OR(ISNUMBER(SEARCH("nonblank",$AF$4)),ISNUMBER(SEARCH("&lt;&gt;",$AF$4))),IFERROR((IF('Final Calculation Sheet'!$AD$22&lt;=5,"SETTLED","OUTSTANDING"))&amp;"","")&lt;&gt;""),AND(TRIM($AF$4)="",IFERROR((IF('Final Calculation Sheet'!$AD$22&lt;=5,"SETTLED","OUTSTANDING"))&amp;"","")=""))))</f>
        <v/>
      </c>
    </row>
    <row r="24" ht="15" customHeight="1" s="137">
      <c r="A24" s="67">
        <f>IF($BJ23&gt;0,INDEX($BA$5:$BA$41,MATCH(23,$BB$5:$BB$41,0)),IF(OR($BI23=1,$BL23=1,$BH23&gt;0),"∑",""))</f>
        <v/>
      </c>
      <c r="B24" s="76">
        <f>IF($BJ23&gt;0,IF(INDEX('Final Calculation Sheet'!$F$4:$F$40,$BJ23-3)="","",INDEX('Final Calculation Sheet'!$F$4:$F$40,$BJ23-3)),"")</f>
        <v/>
      </c>
      <c r="C24" s="76">
        <f>IF($BJ23&gt;0,IF(INDEX('Final Calculation Sheet'!$G$4:$G$40,$BJ23-3)="","",INDEX('Final Calculation Sheet'!$G$4:$G$40,$BJ23-3)),IF(OR($BI23=1,$BL23=1,$BH23&gt;0),IF($BI23=1,37,IF($BL23=1,37-INDEX($BD$4:$BD$13,10),INDEX($BD$4:$BD$13,$BH23)))&amp;" lot(s)",""))</f>
        <v/>
      </c>
      <c r="D24" s="80">
        <f>IF($BJ23&gt;0,IF(INDEX('Final Calculation Sheet'!$B$4:$B$40,$BJ23-3)="","",INDEX('Final Calculation Sheet'!$B$4:$B$40,$BJ23-3)),IF(OR($BI23=1,$BL23=1,$BH23&gt;0),IF($BI23=1,"GRAND TOTAL  —  matching + remaining",IF($BL23=1,"TOTAL MATCHED  —  every group together",IF($BH23=10,"REMAINING  —  did not match the search",IF($BH23=9,IF(COUNTIF($A$4:$AI$4,"&lt;&gt;")&gt;0,"FILTERED LOTS  —  column fields","ALL LOTS  —  nothing typed in the box"),"GROUP "&amp;$BH23&amp;" TOTAL  —  lots matching  "&amp;INDEX($AR$6:$AY$6,$BH23))))),""))</f>
        <v/>
      </c>
      <c r="E24" s="80">
        <f>IF($BJ23&gt;0,IF(INDEX('Final Calculation Sheet'!$D$4:$D$40,$BJ23-3)="","",INDEX('Final Calculation Sheet'!$D$4:$D$40,$BJ23-3)),IF(OR($BI23=1,$BL23=1,$BH23&gt;0),"–",""))</f>
        <v/>
      </c>
      <c r="F24" s="80">
        <f>IF($BJ23&gt;0,IF(INDEX('Final Calculation Sheet'!$A$4:$A$40,$BJ23-3)="","",INDEX('Final Calculation Sheet'!$A$4:$A$40,$BJ23-3)),IF(OR($BI23=1,$BL23=1,$BH23&gt;0),IF($BI23=1,SUM('Final Calculation Sheet'!$A$4:$A$40),IF($BL23=1,SUM('Final Calculation Sheet'!$A$4:$A$40)-SUMIFS('Final Calculation Sheet'!$A$4:$A$40,$AZ$5:$AZ$41,10),SUMIFS('Final Calculation Sheet'!$A$4:$A$40,$AZ$5:$AZ$41,$BH23))),""))</f>
        <v/>
      </c>
      <c r="G24" s="80">
        <f>IF($BJ23&gt;0,IF(INDEX('Final Calculation Sheet'!$E$4:$E$40,$BJ23-3)="","",INDEX('Final Calculation Sheet'!$E$4:$E$40,$BJ23-3)),IF(OR($BI23=1,$BL23=1,$BH23&gt;0),"–",""))</f>
        <v/>
      </c>
      <c r="H24" s="70">
        <f>IF($BJ23&gt;0,IF(INDEX('Final Calculation Sheet'!$C$4:$C$40,$BJ23-3)="","",INDEX('Final Calculation Sheet'!$C$4:$C$40,$BJ23-3)),IF(OR($BI23=1,$BL23=1,$BH23&gt;0),"–",""))</f>
        <v/>
      </c>
      <c r="I24" s="70">
        <f>IF($BJ23&gt;0,IF(INDEX('Final Calculation Sheet'!$H$4:$H$40,$BJ23-3)="","",INDEX('Final Calculation Sheet'!$H$4:$H$40,$BJ23-3)),IF(OR($BI23=1,$BL23=1,$BH23&gt;0),IF($BI23=1,SUM('Final Calculation Sheet'!$H$4:$H$40),IF($BL23=1,SUM('Final Calculation Sheet'!$H$4:$H$40)-SUMIFS('Final Calculation Sheet'!$H$4:$H$40,$AZ$5:$AZ$41,10),SUMIFS('Final Calculation Sheet'!$H$4:$H$40,$AZ$5:$AZ$41,$BH23))),""))</f>
        <v/>
      </c>
      <c r="J24" s="70">
        <f>IF($BJ23&gt;0,IF(INDEX('Final Calculation Sheet'!$I$4:$I$40,$BJ23-3)="","",INDEX('Final Calculation Sheet'!$I$4:$I$40,$BJ23-3)),IF(OR($BI23=1,$BL23=1,$BH23&gt;0),IF($BI23=1,SUM('Final Calculation Sheet'!$I$4:$I$40),IF($BL23=1,SUM('Final Calculation Sheet'!$I$4:$I$40)-SUMIFS('Final Calculation Sheet'!$I$4:$I$40,$AZ$5:$AZ$41,10),SUMIFS('Final Calculation Sheet'!$I$4:$I$40,$AZ$5:$AZ$41,$BH23))),""))</f>
        <v/>
      </c>
      <c r="K24" s="70">
        <f>IF($BJ23&gt;0,IF(INDEX('Final Calculation Sheet'!$J$4:$J$40,$BJ23-3)="","",INDEX('Final Calculation Sheet'!$J$4:$J$40,$BJ23-3)),IF(OR($BI23=1,$BL23=1,$BH23&gt;0),IF($BI23=1,SUM('Final Calculation Sheet'!$J$4:$J$40),IF($BL23=1,SUM('Final Calculation Sheet'!$J$4:$J$40)-SUMIFS('Final Calculation Sheet'!$J$4:$J$40,$AZ$5:$AZ$41,10),SUMIFS('Final Calculation Sheet'!$J$4:$J$40,$AZ$5:$AZ$41,$BH23))),""))</f>
        <v/>
      </c>
      <c r="L24" s="70">
        <f>IF($BJ23&gt;0,IF(INDEX('Final Calculation Sheet'!$K$4:$K$40,$BJ23-3)="","",INDEX('Final Calculation Sheet'!$K$4:$K$40,$BJ23-3)),IF(OR($BI23=1,$BL23=1,$BH23&gt;0),IF($BI23=1,SUM('Final Calculation Sheet'!$K$4:$K$40),IF($BL23=1,SUM('Final Calculation Sheet'!$K$4:$K$40)-SUMIFS('Final Calculation Sheet'!$K$4:$K$40,$AZ$5:$AZ$41,10),SUMIFS('Final Calculation Sheet'!$K$4:$K$40,$AZ$5:$AZ$41,$BH23))),""))</f>
        <v/>
      </c>
      <c r="M24" s="70">
        <f>IF($BJ23&gt;0,IF(INDEX('Final Calculation Sheet'!$L$4:$L$40,$BJ23-3)="","",INDEX('Final Calculation Sheet'!$L$4:$L$40,$BJ23-3)),IF(OR($BI23=1,$BL23=1,$BH23&gt;0),IF($BI23=1,SUM('Final Calculation Sheet'!$L$4:$L$40),IF($BL23=1,SUM('Final Calculation Sheet'!$L$4:$L$40)-SUMIFS('Final Calculation Sheet'!$L$4:$L$40,$AZ$5:$AZ$41,10),SUMIFS('Final Calculation Sheet'!$L$4:$L$40,$AZ$5:$AZ$41,$BH23))),""))</f>
        <v/>
      </c>
      <c r="N24" s="70">
        <f>IF($BJ23&gt;0,IF(INDEX('Final Calculation Sheet'!$M$4:$M$40,$BJ23-3)="","",INDEX('Final Calculation Sheet'!$M$4:$M$40,$BJ23-3)),IF(OR($BI23=1,$BL23=1,$BH23&gt;0),IF($BI23=1,SUM('Final Calculation Sheet'!$M$4:$M$40),IF($BL23=1,SUM('Final Calculation Sheet'!$M$4:$M$40)-SUMIFS('Final Calculation Sheet'!$M$4:$M$40,$AZ$5:$AZ$41,10),SUMIFS('Final Calculation Sheet'!$M$4:$M$40,$AZ$5:$AZ$41,$BH23))),""))</f>
        <v/>
      </c>
      <c r="O24" s="71">
        <f>IF($BJ23&gt;0,IF(INDEX('Final Calculation Sheet'!$N$4:$N$40,$BJ23-3)="","",INDEX('Final Calculation Sheet'!$N$4:$N$40,$BJ23-3)),IF(OR($BI23=1,$BL23=1,$BH23&gt;0),IF($BI23=1,SUM('Final Calculation Sheet'!$N$4:$N$40),IF($BL23=1,SUM('Final Calculation Sheet'!$N$4:$N$40)-SUMIFS('Final Calculation Sheet'!$N$4:$N$40,$AZ$5:$AZ$41,10),SUMIFS('Final Calculation Sheet'!$N$4:$N$40,$AZ$5:$AZ$41,$BH23))),""))</f>
        <v/>
      </c>
      <c r="P24" s="70">
        <f>IF($BJ23&gt;0,IF(INDEX('Final Calculation Sheet'!$O$4:$O$40,$BJ23-3)="","",INDEX('Final Calculation Sheet'!$O$4:$O$40,$BJ23-3)),IF(OR($BI23=1,$BL23=1,$BH23&gt;0),IF($BI23=1,SUM('Final Calculation Sheet'!$O$4:$O$40),IF($BL23=1,SUM('Final Calculation Sheet'!$O$4:$O$40)-SUMIFS('Final Calculation Sheet'!$O$4:$O$40,$AZ$5:$AZ$41,10),SUMIFS('Final Calculation Sheet'!$O$4:$O$40,$AZ$5:$AZ$41,$BH23))),""))</f>
        <v/>
      </c>
      <c r="Q24" s="70">
        <f>IF($BJ23&gt;0,IF(INDEX('Final Calculation Sheet'!$P$4:$P$40,$BJ23-3)="","",INDEX('Final Calculation Sheet'!$P$4:$P$40,$BJ23-3)),IF(OR($BI23=1,$BL23=1,$BH23&gt;0),IF($BI23=1,SUM('Final Calculation Sheet'!$P$4:$P$40),IF($BL23=1,SUM('Final Calculation Sheet'!$P$4:$P$40)-SUMIFS('Final Calculation Sheet'!$P$4:$P$40,$AZ$5:$AZ$41,10),SUMIFS('Final Calculation Sheet'!$P$4:$P$40,$AZ$5:$AZ$41,$BH23))),""))</f>
        <v/>
      </c>
      <c r="R24" s="72">
        <f>IF($BJ23&gt;0,IF(INDEX('Final Calculation Sheet'!$Q$4:$Q$40,$BJ23-3)="","",INDEX('Final Calculation Sheet'!$Q$4:$Q$40,$BJ23-3)),IF(OR($BI23=1,$BL23=1,$BH23&gt;0),"–",""))</f>
        <v/>
      </c>
      <c r="S24" s="70">
        <f>IF($BJ23&gt;0,IF(INDEX('Final Calculation Sheet'!$R$4:$R$40,$BJ23-3)="","",INDEX('Final Calculation Sheet'!$R$4:$R$40,$BJ23-3)),IF(OR($BI23=1,$BL23=1,$BH23&gt;0),IF($BI23=1,SUM('Final Calculation Sheet'!$R$4:$R$40),IF($BL23=1,SUM('Final Calculation Sheet'!$R$4:$R$40)-SUMIFS('Final Calculation Sheet'!$R$4:$R$40,$AZ$5:$AZ$41,10),SUMIFS('Final Calculation Sheet'!$R$4:$R$40,$AZ$5:$AZ$41,$BH23))),""))</f>
        <v/>
      </c>
      <c r="T24" s="70">
        <f>IF($BJ23&gt;0,IF(INDEX('Final Calculation Sheet'!$S$4:$S$40,$BJ23-3)="","",INDEX('Final Calculation Sheet'!$S$4:$S$40,$BJ23-3)),IF(OR($BI23=1,$BL23=1,$BH23&gt;0),IF($BI23=1,SUM('Final Calculation Sheet'!$S$4:$S$40),IF($BL23=1,SUM('Final Calculation Sheet'!$S$4:$S$40)-SUMIFS('Final Calculation Sheet'!$S$4:$S$40,$AZ$5:$AZ$41,10),SUMIFS('Final Calculation Sheet'!$S$4:$S$40,$AZ$5:$AZ$41,$BH23))),""))</f>
        <v/>
      </c>
      <c r="U24" s="70">
        <f>IF($BJ23&gt;0,IF(INDEX('Final Calculation Sheet'!$T$4:$T$40,$BJ23-3)="","",INDEX('Final Calculation Sheet'!$T$4:$T$40,$BJ23-3)),IF(OR($BI23=1,$BL23=1,$BH23&gt;0),IF($BI23=1,SUM('Final Calculation Sheet'!$T$4:$T$40),IF($BL23=1,SUM('Final Calculation Sheet'!$T$4:$T$40)-SUMIFS('Final Calculation Sheet'!$T$4:$T$40,$AZ$5:$AZ$41,10),SUMIFS('Final Calculation Sheet'!$T$4:$T$40,$AZ$5:$AZ$41,$BH23))),""))</f>
        <v/>
      </c>
      <c r="V24" s="73">
        <f>IF($BJ23&gt;0,IF(INDEX('Final Calculation Sheet'!$U$4:$U$40,$BJ23-3)="","",INDEX('Final Calculation Sheet'!$U$4:$U$40,$BJ23-3)),IF(OR($BI23=1,$BL23=1,$BH23&gt;0),IF($BI23=1,SUM('Final Calculation Sheet'!$U$4:$U$40),IF($BL23=1,SUM('Final Calculation Sheet'!$U$4:$U$40)-SUMIFS('Final Calculation Sheet'!$U$4:$U$40,$AZ$5:$AZ$41,10),SUMIFS('Final Calculation Sheet'!$U$4:$U$40,$AZ$5:$AZ$41,$BH23))),""))</f>
        <v/>
      </c>
      <c r="W24" s="70">
        <f>IF($BJ23&gt;0,IF(INDEX('Final Calculation Sheet'!$V$4:$V$40,$BJ23-3)="","",INDEX('Final Calculation Sheet'!$V$4:$V$40,$BJ23-3)),IF(OR($BI23=1,$BL23=1,$BH23&gt;0),"–",""))</f>
        <v/>
      </c>
      <c r="X24" s="70">
        <f>IF($BJ23&gt;0,IF(INDEX('Final Calculation Sheet'!$W$4:$W$40,$BJ23-3)="","",INDEX('Final Calculation Sheet'!$W$4:$W$40,$BJ23-3)),IF(OR($BI23=1,$BL23=1,$BH23&gt;0),IF($BI23=1,SUM('Final Calculation Sheet'!$W$4:$W$40),IF($BL23=1,SUM('Final Calculation Sheet'!$W$4:$W$40)-SUMIFS('Final Calculation Sheet'!$W$4:$W$40,$AZ$5:$AZ$41,10),SUMIFS('Final Calculation Sheet'!$W$4:$W$40,$AZ$5:$AZ$41,$BH23))),""))</f>
        <v/>
      </c>
      <c r="Y24" s="70">
        <f>IF($BJ23&gt;0,IF(INDEX('Final Calculation Sheet'!$X$4:$X$40,$BJ23-3)="","",INDEX('Final Calculation Sheet'!$X$4:$X$40,$BJ23-3)),IF(OR($BI23=1,$BL23=1,$BH23&gt;0),IF($BI23=1,SUM('Final Calculation Sheet'!$X$4:$X$40),IF($BL23=1,SUM('Final Calculation Sheet'!$X$4:$X$40)-SUMIFS('Final Calculation Sheet'!$X$4:$X$40,$AZ$5:$AZ$41,10),SUMIFS('Final Calculation Sheet'!$X$4:$X$40,$AZ$5:$AZ$41,$BH23))),""))</f>
        <v/>
      </c>
      <c r="Z24" s="70">
        <f>IF($BJ23&gt;0,IF(INDEX('Final Calculation Sheet'!$Y$4:$Y$40,$BJ23-3)="","",INDEX('Final Calculation Sheet'!$Y$4:$Y$40,$BJ23-3)),IF(OR($BI23=1,$BL23=1,$BH23&gt;0),"–",""))</f>
        <v/>
      </c>
      <c r="AA24" s="70">
        <f>IF($BJ23&gt;0,IF(INDEX('Final Calculation Sheet'!$Z$4:$Z$40,$BJ23-3)="","",INDEX('Final Calculation Sheet'!$Z$4:$Z$40,$BJ23-3)),IF(OR($BI23=1,$BL23=1,$BH23&gt;0),IF($BI23=1,SUM('Final Calculation Sheet'!$Z$4:$Z$40),IF($BL23=1,SUM('Final Calculation Sheet'!$Z$4:$Z$40)-SUMIFS('Final Calculation Sheet'!$Z$4:$Z$40,$AZ$5:$AZ$41,10),SUMIFS('Final Calculation Sheet'!$Z$4:$Z$40,$AZ$5:$AZ$41,$BH23))),""))</f>
        <v/>
      </c>
      <c r="AB24" s="70">
        <f>IF($BJ23&gt;0,IF(INDEX('Final Calculation Sheet'!$AA$4:$AA$40,$BJ23-3)="","",INDEX('Final Calculation Sheet'!$AA$4:$AA$40,$BJ23-3)),IF(OR($BI23=1,$BL23=1,$BH23&gt;0),IF($BI23=1,SUM('Final Calculation Sheet'!$AA$4:$AA$40),IF($BL23=1,SUM('Final Calculation Sheet'!$AA$4:$AA$40)-SUMIFS('Final Calculation Sheet'!$AA$4:$AA$40,$AZ$5:$AZ$41,10),SUMIFS('Final Calculation Sheet'!$AA$4:$AA$40,$AZ$5:$AZ$41,$BH23))),""))</f>
        <v/>
      </c>
      <c r="AC24" s="70">
        <f>IF($BJ23&gt;0,IF(INDEX('Final Calculation Sheet'!$AB$4:$AB$40,$BJ23-3)="","",INDEX('Final Calculation Sheet'!$AB$4:$AB$40,$BJ23-3)),IF(OR($BI23=1,$BL23=1,$BH23&gt;0),"–",""))</f>
        <v/>
      </c>
      <c r="AD24" s="70">
        <f>IF($BJ23&gt;0,IF(INDEX('Final Calculation Sheet'!$AC$4:$AC$40,$BJ23-3)="","",INDEX('Final Calculation Sheet'!$AC$4:$AC$40,$BJ23-3)),IF(OR($BI23=1,$BL23=1,$BH23&gt;0),IF($BI23=1,SUM('Final Calculation Sheet'!$AC$4:$AC$40),IF($BL23=1,SUM('Final Calculation Sheet'!$AC$4:$AC$40)-SUMIFS('Final Calculation Sheet'!$AC$4:$AC$40,$AZ$5:$AZ$41,10),SUMIFS('Final Calculation Sheet'!$AC$4:$AC$40,$AZ$5:$AZ$41,$BH23))),""))</f>
        <v/>
      </c>
      <c r="AE24" s="70">
        <f>IF($BJ23&gt;0,IF(INDEX('Final Calculation Sheet'!$AD$4:$AD$40,$BJ23-3)="","",INDEX('Final Calculation Sheet'!$AD$4:$AD$40,$BJ23-3)),IF(OR($BI23=1,$BL23=1,$BH23&gt;0),IF($BI23=1,SUM('Final Calculation Sheet'!$AD$4:$AD$40),IF($BL23=1,SUM('Final Calculation Sheet'!$AD$4:$AD$40)-SUMIFS('Final Calculation Sheet'!$AD$4:$AD$40,$AZ$5:$AZ$41,10),SUMIFS('Final Calculation Sheet'!$AD$4:$AD$40,$AZ$5:$AZ$41,$BH23))),""))</f>
        <v/>
      </c>
      <c r="AF24" s="75">
        <f>IF($BJ23&gt;0,IF(INDEX('Final Calculation Sheet'!$AD$4:$AD$40,$BJ23-3)="","",IF(INDEX('Final Calculation Sheet'!$AD$4:$AD$40,$BJ23-3)&lt;=5,"SETTLED","OUTSTANDING")),IF(OR($BI23=1,$BL23=1,$BH23&gt;0),IF(IF($BI23=1,SUM('Final Calculation Sheet'!$AD$4:$AD$40),IF($BL23=1,SUM('Final Calculation Sheet'!$AD$4:$AD$40)-SUMIFS('Final Calculation Sheet'!$AD$4:$AD$40,$AZ$5:$AZ$41,10),SUMIFS('Final Calculation Sheet'!$AD$4:$AD$40,$AZ$5:$AZ$41,$BH23)))&lt;=5,"ALL SETTLED","OUTSTANDING"),""))</f>
        <v/>
      </c>
      <c r="AG24" s="70">
        <f>IF($BJ23&gt;0,IF(INDEX('Final Calculation Sheet'!$AF$4:$AF$40,$BJ23-3)="","",INDEX('Final Calculation Sheet'!$AF$4:$AF$40,$BJ23-3)),IF(OR($BI23=1,$BL23=1,$BH23&gt;0),"–",""))</f>
        <v/>
      </c>
      <c r="AH24" s="74">
        <f>IF($BJ23&gt;0,IF(INDEX('Final Calculation Sheet'!$AG$4:$AG$40,$BJ23-3)="","",INDEX('Final Calculation Sheet'!$AG$4:$AG$40,$BJ23-3)),IF(OR($BI23=1,$BL23=1,$BH23&gt;0),"–",""))</f>
        <v/>
      </c>
      <c r="AI24" s="70">
        <f>IF($BJ23&gt;0,IF(INDEX('Final Calculation Sheet'!$AH$4:$AH$40,$BJ23-3)="","",INDEX('Final Calculation Sheet'!$AH$4:$AH$40,$BJ23-3)),IF(OR($BI23=1,$BL23=1,$BH23&gt;0),"–",""))</f>
        <v/>
      </c>
      <c r="AK24">
        <f>IF($F$3="Lot No.",'Final Calculation Sheet'!$F$23,IF($F$3="Buyer",'Final Calculation Sheet'!$G$23,IF($F$3="Lot Name",'Final Calculation Sheet'!$B$23,IF($F$3="Bid Sheet",'Final Calculation Sheet'!$D$23,IF($F$3="Unit",'Final Calculation Sheet'!$E$23,'Final Calculation Sheet'!$F$23&amp;" "&amp;'Final Calculation Sheet'!$G$23&amp;" "&amp;'Final Calculation Sheet'!$B$23)))))</f>
        <v/>
      </c>
      <c r="AL24">
        <f>AL23+IF($B$3="",0,--(SUMPRODUCT(--($AR$6:$AY$6&lt;&gt;""),--ISNUMBER(SEARCH($AR$6:$AY$6,$AK24)))&gt;0))</f>
        <v/>
      </c>
      <c r="AM24">
        <f>IF(COUNTIF($BM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AZ24">
        <f>IF($B$3="",IF(COUNTIF($A$4:$AI$4,"&lt;&gt;")=0,9,IF($AM24=1,9,10)),IF($AM24=0,10,IF(AND($AR$6&lt;&gt;"",ISNUMBER(SEARCH($AR$6,$AK24))),1,IF(AND($AS$6&lt;&gt;"",ISNUMBER(SEARCH($AS$6,$AK24))),2,IF(AND($AT$6&lt;&gt;"",ISNUMBER(SEARCH($AT$6,$AK24))),3,IF(AND($AU$6&lt;&gt;"",ISNUMBER(SEARCH($AU$6,$AK24))),4,IF(AND($AV$6&lt;&gt;"",ISNUMBER(SEARCH($AV$6,$AK24))),5,IF(AND($AW$6&lt;&gt;"",ISNUMBER(SEARCH($AW$6,$AK24))),6,IF(AND($AX$6&lt;&gt;"",ISNUMBER(SEARCH($AX$6,$AK24))),7,IF(AND($AY$6&lt;&gt;"",ISNUMBER(SEARCH($AY$6,$AK24))),8,0))))))))))</f>
        <v/>
      </c>
      <c r="BA24">
        <f>SUMPRODUCT(($AZ$5:$AZ$41=$AZ24)*($BC$5:$BC$41&lt;$BC24))+1</f>
        <v/>
      </c>
      <c r="BB24">
        <f>IF(INDEX($BF$4:$BF$13,$AZ24)=0,0,INDEX($BE$4:$BE$13,$AZ24)+$BA24-1)</f>
        <v/>
      </c>
      <c r="BC24" t="n">
        <v>23</v>
      </c>
      <c r="BH24">
        <f>IFERROR(MATCH(24,$BF$4:$BF$13,0),0)</f>
        <v/>
      </c>
      <c r="BI24">
        <f>IF(24=$BG$5,1,0)</f>
        <v/>
      </c>
      <c r="BJ24">
        <f>IF(OR($BH24&gt;0,$BI24=1,$BL24=1),0,IFERROR(INDEX($BC$5:$BC$41,MATCH(24,$BB$5:$BB$41,0)),0))</f>
        <v/>
      </c>
      <c r="BK24">
        <f>IF($BJ24&gt;0,IF(INDEX($AZ$5:$AZ$41,MATCH(24,$BB$5:$BB$41,0))=10,1,0),IF($BH24=10,1,0))</f>
        <v/>
      </c>
      <c r="BL24">
        <f>IF(24=$BG$4,1,0)</f>
        <v/>
      </c>
      <c r="BM24">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4">
        <f>IF($B$4="",1,--(OR(SUMPRODUCT(--(TRIM(MID(SUBSTITUTE(SUBSTITUTE($B$4,"/",","),",",REPT(" ",99)),(ROW($1:$8)-1)*99+1,99))&lt;&gt;""),--ISNUMBER(SEARCH(TRIM(MID(SUBSTITUTE(SUBSTITUTE($B$4,"/",","),",",REPT(" ",99)),(ROW($1:$8)-1)*99+1,99)),IFERROR(('Final Calculation Sheet'!$F$23)&amp;"",""))))&gt;0,AND(ISNUMBER(SEARCH("blank",$B$4)),NOT(ISNUMBER(SEARCH("nonblank",$B$4))),IFERROR(('Final Calculation Sheet'!$F$23)&amp;"","")=""),AND(OR(ISNUMBER(SEARCH("nonblank",$B$4)),ISNUMBER(SEARCH("&lt;&gt;",$B$4))),IFERROR(('Final Calculation Sheet'!$F$23)&amp;"","")&lt;&gt;""),AND(TRIM($B$4)="",IFERROR(('Final Calculation Sheet'!$F$23)&amp;"","")=""))))</f>
        <v/>
      </c>
      <c r="BO24">
        <f>IF($CW$3="",1,--(OR(SUMPRODUCT(--(TRIM(MID(SUBSTITUTE(SUBSTITUTE($CW$3,"/",","),",",REPT(" ",99)),(ROW($1:$8)-1)*99+1,99))&lt;&gt;""),--ISNUMBER(SEARCH(TRIM(MID(SUBSTITUTE(SUBSTITUTE($CW$3,"/",","),",",REPT(" ",99)),(ROW($1:$8)-1)*99+1,99)),IFERROR(('Final Calculation Sheet'!$G$23)&amp;"",""))))&gt;0,AND(ISNUMBER(SEARCH("blank",$CW$3)),NOT(ISNUMBER(SEARCH("nonblank",$CW$3))),IFERROR(('Final Calculation Sheet'!$G$23)&amp;"","")=""),AND(OR(ISNUMBER(SEARCH("nonblank",$CW$3)),ISNUMBER(SEARCH("&lt;&gt;",$CW$3))),IFERROR(('Final Calculation Sheet'!$G$23)&amp;"","")&lt;&gt;""),AND(TRIM($CW$3)="",IFERROR(('Final Calculation Sheet'!$G$23)&amp;"","")=""))))</f>
        <v/>
      </c>
      <c r="BP24">
        <f>IF($D$4="",1,--(OR(SUMPRODUCT(--(TRIM(MID(SUBSTITUTE(SUBSTITUTE($D$4,"/",","),",",REPT(" ",99)),(ROW($1:$8)-1)*99+1,99))&lt;&gt;""),--ISNUMBER(SEARCH(TRIM(MID(SUBSTITUTE(SUBSTITUTE($D$4,"/",","),",",REPT(" ",99)),(ROW($1:$8)-1)*99+1,99)),IFERROR(('Final Calculation Sheet'!$B$23)&amp;"",""))))&gt;0,AND(ISNUMBER(SEARCH("blank",$D$4)),NOT(ISNUMBER(SEARCH("nonblank",$D$4))),IFERROR(('Final Calculation Sheet'!$B$23)&amp;"","")=""),AND(OR(ISNUMBER(SEARCH("nonblank",$D$4)),ISNUMBER(SEARCH("&lt;&gt;",$D$4))),IFERROR(('Final Calculation Sheet'!$B$23)&amp;"","")&lt;&gt;""),AND(TRIM($D$4)="",IFERROR(('Final Calculation Sheet'!$B$23)&amp;"","")=""))))</f>
        <v/>
      </c>
      <c r="BQ24">
        <f>IF($E$4="",1,--(OR(SUMPRODUCT(--(TRIM(MID(SUBSTITUTE(SUBSTITUTE($E$4,"/",","),",",REPT(" ",99)),(ROW($1:$8)-1)*99+1,99))&lt;&gt;""),--ISNUMBER(SEARCH(TRIM(MID(SUBSTITUTE(SUBSTITUTE($E$4,"/",","),",",REPT(" ",99)),(ROW($1:$8)-1)*99+1,99)),IFERROR(('Final Calculation Sheet'!$D$23)&amp;"",""))))&gt;0,AND(ISNUMBER(SEARCH("blank",$E$4)),NOT(ISNUMBER(SEARCH("nonblank",$E$4))),IFERROR(('Final Calculation Sheet'!$D$23)&amp;"","")=""),AND(OR(ISNUMBER(SEARCH("nonblank",$E$4)),ISNUMBER(SEARCH("&lt;&gt;",$E$4))),IFERROR(('Final Calculation Sheet'!$D$23)&amp;"","")&lt;&gt;""),AND(TRIM($E$4)="",IFERROR(('Final Calculation Sheet'!$D$23)&amp;"","")=""))))</f>
        <v/>
      </c>
      <c r="BR24">
        <f>IF($F$4="",1,--(OR(SUMPRODUCT(--(TRIM(MID(SUBSTITUTE(SUBSTITUTE($F$4,"/",","),",",REPT(" ",99)),(ROW($1:$8)-1)*99+1,99))&lt;&gt;""),--ISNUMBER(SEARCH(TRIM(MID(SUBSTITUTE(SUBSTITUTE($F$4,"/",","),",",REPT(" ",99)),(ROW($1:$8)-1)*99+1,99)),IFERROR(('Final Calculation Sheet'!$A$23)&amp;"",""))))&gt;0,AND(ISNUMBER(SEARCH("blank",$F$4)),NOT(ISNUMBER(SEARCH("nonblank",$F$4))),IFERROR(('Final Calculation Sheet'!$A$23)&amp;"","")=""),AND(OR(ISNUMBER(SEARCH("nonblank",$F$4)),ISNUMBER(SEARCH("&lt;&gt;",$F$4))),IFERROR(('Final Calculation Sheet'!$A$23)&amp;"","")&lt;&gt;""),AND(TRIM($F$4)="",IFERROR(('Final Calculation Sheet'!$A$23)&amp;"","")=""))))</f>
        <v/>
      </c>
      <c r="BS24">
        <f>IF($G$4="",1,--(OR(SUMPRODUCT(--(TRIM(MID(SUBSTITUTE(SUBSTITUTE($G$4,"/",","),",",REPT(" ",99)),(ROW($1:$8)-1)*99+1,99))&lt;&gt;""),--ISNUMBER(SEARCH(TRIM(MID(SUBSTITUTE(SUBSTITUTE($G$4,"/",","),",",REPT(" ",99)),(ROW($1:$8)-1)*99+1,99)),IFERROR(('Final Calculation Sheet'!$E$23)&amp;"",""))))&gt;0,AND(ISNUMBER(SEARCH("blank",$G$4)),NOT(ISNUMBER(SEARCH("nonblank",$G$4))),IFERROR(('Final Calculation Sheet'!$E$23)&amp;"","")=""),AND(OR(ISNUMBER(SEARCH("nonblank",$G$4)),ISNUMBER(SEARCH("&lt;&gt;",$G$4))),IFERROR(('Final Calculation Sheet'!$E$23)&amp;"","")&lt;&gt;""),AND(TRIM($G$4)="",IFERROR(('Final Calculation Sheet'!$E$23)&amp;"","")=""))))</f>
        <v/>
      </c>
      <c r="BT24">
        <f>IF($H$4="",1,--(OR(SUMPRODUCT(--(TRIM(MID(SUBSTITUTE(SUBSTITUTE($H$4,"/",","),",",REPT(" ",99)),(ROW($1:$8)-1)*99+1,99))&lt;&gt;""),--ISNUMBER(SEARCH(TRIM(MID(SUBSTITUTE(SUBSTITUTE($H$4,"/",","),",",REPT(" ",99)),(ROW($1:$8)-1)*99+1,99)),IFERROR(('Final Calculation Sheet'!$C$23)&amp;"",""))))&gt;0,AND(ISNUMBER(SEARCH("blank",$H$4)),NOT(ISNUMBER(SEARCH("nonblank",$H$4))),IFERROR(('Final Calculation Sheet'!$C$23)&amp;"","")=""),AND(OR(ISNUMBER(SEARCH("nonblank",$H$4)),ISNUMBER(SEARCH("&lt;&gt;",$H$4))),IFERROR(('Final Calculation Sheet'!$C$23)&amp;"","")&lt;&gt;""),AND(TRIM($H$4)="",IFERROR(('Final Calculation Sheet'!$C$23)&amp;"","")=""))))</f>
        <v/>
      </c>
      <c r="BU24">
        <f>IF($I$4="",1,--(OR(SUMPRODUCT(--(TRIM(MID(SUBSTITUTE(SUBSTITUTE($I$4,"/",","),",",REPT(" ",99)),(ROW($1:$8)-1)*99+1,99))&lt;&gt;""),--ISNUMBER(SEARCH(TRIM(MID(SUBSTITUTE(SUBSTITUTE($I$4,"/",","),",",REPT(" ",99)),(ROW($1:$8)-1)*99+1,99)),IFERROR(('Final Calculation Sheet'!$H$23)&amp;"",""))))&gt;0,AND(ISNUMBER(SEARCH("blank",$I$4)),NOT(ISNUMBER(SEARCH("nonblank",$I$4))),IFERROR(('Final Calculation Sheet'!$H$23)&amp;"","")=""),AND(OR(ISNUMBER(SEARCH("nonblank",$I$4)),ISNUMBER(SEARCH("&lt;&gt;",$I$4))),IFERROR(('Final Calculation Sheet'!$H$23)&amp;"","")&lt;&gt;""),AND(TRIM($I$4)="",IFERROR(('Final Calculation Sheet'!$H$23)&amp;"","")=""))))</f>
        <v/>
      </c>
      <c r="BV24">
        <f>IF($J$4="",1,--(OR(SUMPRODUCT(--(TRIM(MID(SUBSTITUTE(SUBSTITUTE($J$4,"/",","),",",REPT(" ",99)),(ROW($1:$8)-1)*99+1,99))&lt;&gt;""),--ISNUMBER(SEARCH(TRIM(MID(SUBSTITUTE(SUBSTITUTE($J$4,"/",","),",",REPT(" ",99)),(ROW($1:$8)-1)*99+1,99)),IFERROR(('Final Calculation Sheet'!$I$23)&amp;"",""))))&gt;0,AND(ISNUMBER(SEARCH("blank",$J$4)),NOT(ISNUMBER(SEARCH("nonblank",$J$4))),IFERROR(('Final Calculation Sheet'!$I$23)&amp;"","")=""),AND(OR(ISNUMBER(SEARCH("nonblank",$J$4)),ISNUMBER(SEARCH("&lt;&gt;",$J$4))),IFERROR(('Final Calculation Sheet'!$I$23)&amp;"","")&lt;&gt;""),AND(TRIM($J$4)="",IFERROR(('Final Calculation Sheet'!$I$23)&amp;"","")=""))))</f>
        <v/>
      </c>
      <c r="BW24">
        <f>IF($K$4="",1,--(OR(SUMPRODUCT(--(TRIM(MID(SUBSTITUTE(SUBSTITUTE($K$4,"/",","),",",REPT(" ",99)),(ROW($1:$8)-1)*99+1,99))&lt;&gt;""),--ISNUMBER(SEARCH(TRIM(MID(SUBSTITUTE(SUBSTITUTE($K$4,"/",","),",",REPT(" ",99)),(ROW($1:$8)-1)*99+1,99)),IFERROR(('Final Calculation Sheet'!$J$23)&amp;"",""))))&gt;0,AND(ISNUMBER(SEARCH("blank",$K$4)),NOT(ISNUMBER(SEARCH("nonblank",$K$4))),IFERROR(('Final Calculation Sheet'!$J$23)&amp;"","")=""),AND(OR(ISNUMBER(SEARCH("nonblank",$K$4)),ISNUMBER(SEARCH("&lt;&gt;",$K$4))),IFERROR(('Final Calculation Sheet'!$J$23)&amp;"","")&lt;&gt;""),AND(TRIM($K$4)="",IFERROR(('Final Calculation Sheet'!$J$23)&amp;"","")=""))))</f>
        <v/>
      </c>
      <c r="BX24">
        <f>IF($L$4="",1,--(OR(SUMPRODUCT(--(TRIM(MID(SUBSTITUTE(SUBSTITUTE($L$4,"/",","),",",REPT(" ",99)),(ROW($1:$8)-1)*99+1,99))&lt;&gt;""),--ISNUMBER(SEARCH(TRIM(MID(SUBSTITUTE(SUBSTITUTE($L$4,"/",","),",",REPT(" ",99)),(ROW($1:$8)-1)*99+1,99)),IFERROR(('Final Calculation Sheet'!$K$23)&amp;"",""))))&gt;0,AND(ISNUMBER(SEARCH("blank",$L$4)),NOT(ISNUMBER(SEARCH("nonblank",$L$4))),IFERROR(('Final Calculation Sheet'!$K$23)&amp;"","")=""),AND(OR(ISNUMBER(SEARCH("nonblank",$L$4)),ISNUMBER(SEARCH("&lt;&gt;",$L$4))),IFERROR(('Final Calculation Sheet'!$K$23)&amp;"","")&lt;&gt;""),AND(TRIM($L$4)="",IFERROR(('Final Calculation Sheet'!$K$23)&amp;"","")=""))))</f>
        <v/>
      </c>
      <c r="BY24">
        <f>IF($M$4="",1,--(OR(SUMPRODUCT(--(TRIM(MID(SUBSTITUTE(SUBSTITUTE($M$4,"/",","),",",REPT(" ",99)),(ROW($1:$8)-1)*99+1,99))&lt;&gt;""),--ISNUMBER(SEARCH(TRIM(MID(SUBSTITUTE(SUBSTITUTE($M$4,"/",","),",",REPT(" ",99)),(ROW($1:$8)-1)*99+1,99)),IFERROR(('Final Calculation Sheet'!$L$23)&amp;"",""))))&gt;0,AND(ISNUMBER(SEARCH("blank",$M$4)),NOT(ISNUMBER(SEARCH("nonblank",$M$4))),IFERROR(('Final Calculation Sheet'!$L$23)&amp;"","")=""),AND(OR(ISNUMBER(SEARCH("nonblank",$M$4)),ISNUMBER(SEARCH("&lt;&gt;",$M$4))),IFERROR(('Final Calculation Sheet'!$L$23)&amp;"","")&lt;&gt;""),AND(TRIM($M$4)="",IFERROR(('Final Calculation Sheet'!$L$23)&amp;"","")=""))))</f>
        <v/>
      </c>
      <c r="BZ24">
        <f>IF($N$4="",1,--(OR(SUMPRODUCT(--(TRIM(MID(SUBSTITUTE(SUBSTITUTE($N$4,"/",","),",",REPT(" ",99)),(ROW($1:$8)-1)*99+1,99))&lt;&gt;""),--ISNUMBER(SEARCH(TRIM(MID(SUBSTITUTE(SUBSTITUTE($N$4,"/",","),",",REPT(" ",99)),(ROW($1:$8)-1)*99+1,99)),IFERROR(('Final Calculation Sheet'!$M$23)&amp;"",""))))&gt;0,AND(ISNUMBER(SEARCH("blank",$N$4)),NOT(ISNUMBER(SEARCH("nonblank",$N$4))),IFERROR(('Final Calculation Sheet'!$M$23)&amp;"","")=""),AND(OR(ISNUMBER(SEARCH("nonblank",$N$4)),ISNUMBER(SEARCH("&lt;&gt;",$N$4))),IFERROR(('Final Calculation Sheet'!$M$23)&amp;"","")&lt;&gt;""),AND(TRIM($N$4)="",IFERROR(('Final Calculation Sheet'!$M$23)&amp;"","")=""))))</f>
        <v/>
      </c>
      <c r="CA24">
        <f>IF($O$4="",1,--(OR(SUMPRODUCT(--(TRIM(MID(SUBSTITUTE(SUBSTITUTE($O$4,"/",","),",",REPT(" ",99)),(ROW($1:$8)-1)*99+1,99))&lt;&gt;""),--ISNUMBER(SEARCH(TRIM(MID(SUBSTITUTE(SUBSTITUTE($O$4,"/",","),",",REPT(" ",99)),(ROW($1:$8)-1)*99+1,99)),IFERROR(('Final Calculation Sheet'!$N$23)&amp;"",""))))&gt;0,AND(ISNUMBER(SEARCH("blank",$O$4)),NOT(ISNUMBER(SEARCH("nonblank",$O$4))),IFERROR(('Final Calculation Sheet'!$N$23)&amp;"","")=""),AND(OR(ISNUMBER(SEARCH("nonblank",$O$4)),ISNUMBER(SEARCH("&lt;&gt;",$O$4))),IFERROR(('Final Calculation Sheet'!$N$23)&amp;"","")&lt;&gt;""),AND(TRIM($O$4)="",IFERROR(('Final Calculation Sheet'!$N$23)&amp;"","")=""))))</f>
        <v/>
      </c>
      <c r="CB24">
        <f>IF($P$4="",1,--(OR(SUMPRODUCT(--(TRIM(MID(SUBSTITUTE(SUBSTITUTE($P$4,"/",","),",",REPT(" ",99)),(ROW($1:$8)-1)*99+1,99))&lt;&gt;""),--ISNUMBER(SEARCH(TRIM(MID(SUBSTITUTE(SUBSTITUTE($P$4,"/",","),",",REPT(" ",99)),(ROW($1:$8)-1)*99+1,99)),IFERROR(('Final Calculation Sheet'!$O$23)&amp;"",""))))&gt;0,AND(ISNUMBER(SEARCH("blank",$P$4)),NOT(ISNUMBER(SEARCH("nonblank",$P$4))),IFERROR(('Final Calculation Sheet'!$O$23)&amp;"","")=""),AND(OR(ISNUMBER(SEARCH("nonblank",$P$4)),ISNUMBER(SEARCH("&lt;&gt;",$P$4))),IFERROR(('Final Calculation Sheet'!$O$23)&amp;"","")&lt;&gt;""),AND(TRIM($P$4)="",IFERROR(('Final Calculation Sheet'!$O$23)&amp;"","")=""))))</f>
        <v/>
      </c>
      <c r="CC24">
        <f>IF($Q$4="",1,--(OR(SUMPRODUCT(--(TRIM(MID(SUBSTITUTE(SUBSTITUTE($Q$4,"/",","),",",REPT(" ",99)),(ROW($1:$8)-1)*99+1,99))&lt;&gt;""),--ISNUMBER(SEARCH(TRIM(MID(SUBSTITUTE(SUBSTITUTE($Q$4,"/",","),",",REPT(" ",99)),(ROW($1:$8)-1)*99+1,99)),IFERROR(('Final Calculation Sheet'!$P$23)&amp;"",""))))&gt;0,AND(ISNUMBER(SEARCH("blank",$Q$4)),NOT(ISNUMBER(SEARCH("nonblank",$Q$4))),IFERROR(('Final Calculation Sheet'!$P$23)&amp;"","")=""),AND(OR(ISNUMBER(SEARCH("nonblank",$Q$4)),ISNUMBER(SEARCH("&lt;&gt;",$Q$4))),IFERROR(('Final Calculation Sheet'!$P$23)&amp;"","")&lt;&gt;""),AND(TRIM($Q$4)="",IFERROR(('Final Calculation Sheet'!$P$23)&amp;"","")=""))))</f>
        <v/>
      </c>
      <c r="CD24">
        <f>IF($R$4="",1,--(OR(SUMPRODUCT(--(TRIM(MID(SUBSTITUTE(SUBSTITUTE($R$4,"/",","),",",REPT(" ",99)),(ROW($1:$8)-1)*99+1,99))&lt;&gt;""),--ISNUMBER(SEARCH(TRIM(MID(SUBSTITUTE(SUBSTITUTE($R$4,"/",","),",",REPT(" ",99)),(ROW($1:$8)-1)*99+1,99)),IFERROR(('Final Calculation Sheet'!$Q$23)&amp;"",""))))&gt;0,AND(ISNUMBER(SEARCH("blank",$R$4)),NOT(ISNUMBER(SEARCH("nonblank",$R$4))),IFERROR(('Final Calculation Sheet'!$Q$23)&amp;"","")=""),AND(OR(ISNUMBER(SEARCH("nonblank",$R$4)),ISNUMBER(SEARCH("&lt;&gt;",$R$4))),IFERROR(('Final Calculation Sheet'!$Q$23)&amp;"","")&lt;&gt;""),AND(TRIM($R$4)="",IFERROR(('Final Calculation Sheet'!$Q$23)&amp;"","")=""))))</f>
        <v/>
      </c>
      <c r="CE24">
        <f>IF($S$4="",1,--(OR(SUMPRODUCT(--(TRIM(MID(SUBSTITUTE(SUBSTITUTE($S$4,"/",","),",",REPT(" ",99)),(ROW($1:$8)-1)*99+1,99))&lt;&gt;""),--ISNUMBER(SEARCH(TRIM(MID(SUBSTITUTE(SUBSTITUTE($S$4,"/",","),",",REPT(" ",99)),(ROW($1:$8)-1)*99+1,99)),IFERROR(('Final Calculation Sheet'!$R$23)&amp;"",""))))&gt;0,AND(ISNUMBER(SEARCH("blank",$S$4)),NOT(ISNUMBER(SEARCH("nonblank",$S$4))),IFERROR(('Final Calculation Sheet'!$R$23)&amp;"","")=""),AND(OR(ISNUMBER(SEARCH("nonblank",$S$4)),ISNUMBER(SEARCH("&lt;&gt;",$S$4))),IFERROR(('Final Calculation Sheet'!$R$23)&amp;"","")&lt;&gt;""),AND(TRIM($S$4)="",IFERROR(('Final Calculation Sheet'!$R$23)&amp;"","")=""))))</f>
        <v/>
      </c>
      <c r="CF24">
        <f>IF($T$4="",1,--(OR(SUMPRODUCT(--(TRIM(MID(SUBSTITUTE(SUBSTITUTE($T$4,"/",","),",",REPT(" ",99)),(ROW($1:$8)-1)*99+1,99))&lt;&gt;""),--ISNUMBER(SEARCH(TRIM(MID(SUBSTITUTE(SUBSTITUTE($T$4,"/",","),",",REPT(" ",99)),(ROW($1:$8)-1)*99+1,99)),IFERROR(('Final Calculation Sheet'!$S$23)&amp;"",""))))&gt;0,AND(ISNUMBER(SEARCH("blank",$T$4)),NOT(ISNUMBER(SEARCH("nonblank",$T$4))),IFERROR(('Final Calculation Sheet'!$S$23)&amp;"","")=""),AND(OR(ISNUMBER(SEARCH("nonblank",$T$4)),ISNUMBER(SEARCH("&lt;&gt;",$T$4))),IFERROR(('Final Calculation Sheet'!$S$23)&amp;"","")&lt;&gt;""),AND(TRIM($T$4)="",IFERROR(('Final Calculation Sheet'!$S$23)&amp;"","")=""))))</f>
        <v/>
      </c>
      <c r="CG24">
        <f>IF($U$4="",1,--(OR(SUMPRODUCT(--(TRIM(MID(SUBSTITUTE(SUBSTITUTE($U$4,"/",","),",",REPT(" ",99)),(ROW($1:$8)-1)*99+1,99))&lt;&gt;""),--ISNUMBER(SEARCH(TRIM(MID(SUBSTITUTE(SUBSTITUTE($U$4,"/",","),",",REPT(" ",99)),(ROW($1:$8)-1)*99+1,99)),IFERROR(('Final Calculation Sheet'!$T$23)&amp;"",""))))&gt;0,AND(ISNUMBER(SEARCH("blank",$U$4)),NOT(ISNUMBER(SEARCH("nonblank",$U$4))),IFERROR(('Final Calculation Sheet'!$T$23)&amp;"","")=""),AND(OR(ISNUMBER(SEARCH("nonblank",$U$4)),ISNUMBER(SEARCH("&lt;&gt;",$U$4))),IFERROR(('Final Calculation Sheet'!$T$23)&amp;"","")&lt;&gt;""),AND(TRIM($U$4)="",IFERROR(('Final Calculation Sheet'!$T$23)&amp;"","")=""))))</f>
        <v/>
      </c>
      <c r="CH24">
        <f>IF($V$4="",1,--(OR(SUMPRODUCT(--(TRIM(MID(SUBSTITUTE(SUBSTITUTE($V$4,"/",","),",",REPT(" ",99)),(ROW($1:$8)-1)*99+1,99))&lt;&gt;""),--ISNUMBER(SEARCH(TRIM(MID(SUBSTITUTE(SUBSTITUTE($V$4,"/",","),",",REPT(" ",99)),(ROW($1:$8)-1)*99+1,99)),IFERROR(('Final Calculation Sheet'!$U$23)&amp;"",""))))&gt;0,AND(ISNUMBER(SEARCH("blank",$V$4)),NOT(ISNUMBER(SEARCH("nonblank",$V$4))),IFERROR(('Final Calculation Sheet'!$U$23)&amp;"","")=""),AND(OR(ISNUMBER(SEARCH("nonblank",$V$4)),ISNUMBER(SEARCH("&lt;&gt;",$V$4))),IFERROR(('Final Calculation Sheet'!$U$23)&amp;"","")&lt;&gt;""),AND(TRIM($V$4)="",IFERROR(('Final Calculation Sheet'!$U$23)&amp;"","")=""))))</f>
        <v/>
      </c>
      <c r="CI24">
        <f>IF($W$4="",1,--(OR(SUMPRODUCT(--(TRIM(MID(SUBSTITUTE(SUBSTITUTE($W$4,"/",","),",",REPT(" ",99)),(ROW($1:$8)-1)*99+1,99))&lt;&gt;""),--ISNUMBER(SEARCH(TRIM(MID(SUBSTITUTE(SUBSTITUTE($W$4,"/",","),",",REPT(" ",99)),(ROW($1:$8)-1)*99+1,99)),IFERROR(('Final Calculation Sheet'!$V$23)&amp;"",""))))&gt;0,AND(ISNUMBER(SEARCH("blank",$W$4)),NOT(ISNUMBER(SEARCH("nonblank",$W$4))),IFERROR(('Final Calculation Sheet'!$V$23)&amp;"","")=""),AND(OR(ISNUMBER(SEARCH("nonblank",$W$4)),ISNUMBER(SEARCH("&lt;&gt;",$W$4))),IFERROR(('Final Calculation Sheet'!$V$23)&amp;"","")&lt;&gt;""),AND(TRIM($W$4)="",IFERROR(('Final Calculation Sheet'!$V$23)&amp;"","")=""))))</f>
        <v/>
      </c>
      <c r="CJ24">
        <f>IF($X$4="",1,--(OR(SUMPRODUCT(--(TRIM(MID(SUBSTITUTE(SUBSTITUTE($X$4,"/",","),",",REPT(" ",99)),(ROW($1:$8)-1)*99+1,99))&lt;&gt;""),--ISNUMBER(SEARCH(TRIM(MID(SUBSTITUTE(SUBSTITUTE($X$4,"/",","),",",REPT(" ",99)),(ROW($1:$8)-1)*99+1,99)),IFERROR(('Final Calculation Sheet'!$W$23)&amp;"",""))))&gt;0,AND(ISNUMBER(SEARCH("blank",$X$4)),NOT(ISNUMBER(SEARCH("nonblank",$X$4))),IFERROR(('Final Calculation Sheet'!$W$23)&amp;"","")=""),AND(OR(ISNUMBER(SEARCH("nonblank",$X$4)),ISNUMBER(SEARCH("&lt;&gt;",$X$4))),IFERROR(('Final Calculation Sheet'!$W$23)&amp;"","")&lt;&gt;""),AND(TRIM($X$4)="",IFERROR(('Final Calculation Sheet'!$W$23)&amp;"","")=""))))</f>
        <v/>
      </c>
      <c r="CK24">
        <f>IF($Y$4="",1,--(OR(SUMPRODUCT(--(TRIM(MID(SUBSTITUTE(SUBSTITUTE($Y$4,"/",","),",",REPT(" ",99)),(ROW($1:$8)-1)*99+1,99))&lt;&gt;""),--ISNUMBER(SEARCH(TRIM(MID(SUBSTITUTE(SUBSTITUTE($Y$4,"/",","),",",REPT(" ",99)),(ROW($1:$8)-1)*99+1,99)),IFERROR(('Final Calculation Sheet'!$X$23)&amp;"",""))))&gt;0,AND(ISNUMBER(SEARCH("blank",$Y$4)),NOT(ISNUMBER(SEARCH("nonblank",$Y$4))),IFERROR(('Final Calculation Sheet'!$X$23)&amp;"","")=""),AND(OR(ISNUMBER(SEARCH("nonblank",$Y$4)),ISNUMBER(SEARCH("&lt;&gt;",$Y$4))),IFERROR(('Final Calculation Sheet'!$X$23)&amp;"","")&lt;&gt;""),AND(TRIM($Y$4)="",IFERROR(('Final Calculation Sheet'!$X$23)&amp;"","")=""))))</f>
        <v/>
      </c>
      <c r="CL24">
        <f>IF($Z$4="",1,--(OR(SUMPRODUCT(--(TRIM(MID(SUBSTITUTE(SUBSTITUTE($Z$4,"/",","),",",REPT(" ",99)),(ROW($1:$8)-1)*99+1,99))&lt;&gt;""),--ISNUMBER(SEARCH(TRIM(MID(SUBSTITUTE(SUBSTITUTE($Z$4,"/",","),",",REPT(" ",99)),(ROW($1:$8)-1)*99+1,99)),IFERROR(('Final Calculation Sheet'!$Y$23)&amp;"",""))))&gt;0,AND(ISNUMBER(SEARCH("blank",$Z$4)),NOT(ISNUMBER(SEARCH("nonblank",$Z$4))),IFERROR(('Final Calculation Sheet'!$Y$23)&amp;"","")=""),AND(OR(ISNUMBER(SEARCH("nonblank",$Z$4)),ISNUMBER(SEARCH("&lt;&gt;",$Z$4))),IFERROR(('Final Calculation Sheet'!$Y$23)&amp;"","")&lt;&gt;""),AND(TRIM($Z$4)="",IFERROR(('Final Calculation Sheet'!$Y$23)&amp;"","")=""))))</f>
        <v/>
      </c>
      <c r="CM24">
        <f>IF($AA$4="",1,--(OR(SUMPRODUCT(--(TRIM(MID(SUBSTITUTE(SUBSTITUTE($AA$4,"/",","),",",REPT(" ",99)),(ROW($1:$8)-1)*99+1,99))&lt;&gt;""),--ISNUMBER(SEARCH(TRIM(MID(SUBSTITUTE(SUBSTITUTE($AA$4,"/",","),",",REPT(" ",99)),(ROW($1:$8)-1)*99+1,99)),IFERROR(('Final Calculation Sheet'!$Z$23)&amp;"",""))))&gt;0,AND(ISNUMBER(SEARCH("blank",$AA$4)),NOT(ISNUMBER(SEARCH("nonblank",$AA$4))),IFERROR(('Final Calculation Sheet'!$Z$23)&amp;"","")=""),AND(OR(ISNUMBER(SEARCH("nonblank",$AA$4)),ISNUMBER(SEARCH("&lt;&gt;",$AA$4))),IFERROR(('Final Calculation Sheet'!$Z$23)&amp;"","")&lt;&gt;""),AND(TRIM($AA$4)="",IFERROR(('Final Calculation Sheet'!$Z$23)&amp;"","")=""))))</f>
        <v/>
      </c>
      <c r="CN24">
        <f>IF($AB$4="",1,--(OR(SUMPRODUCT(--(TRIM(MID(SUBSTITUTE(SUBSTITUTE($AB$4,"/",","),",",REPT(" ",99)),(ROW($1:$8)-1)*99+1,99))&lt;&gt;""),--ISNUMBER(SEARCH(TRIM(MID(SUBSTITUTE(SUBSTITUTE($AB$4,"/",","),",",REPT(" ",99)),(ROW($1:$8)-1)*99+1,99)),IFERROR(('Final Calculation Sheet'!$AA$23)&amp;"",""))))&gt;0,AND(ISNUMBER(SEARCH("blank",$AB$4)),NOT(ISNUMBER(SEARCH("nonblank",$AB$4))),IFERROR(('Final Calculation Sheet'!$AA$23)&amp;"","")=""),AND(OR(ISNUMBER(SEARCH("nonblank",$AB$4)),ISNUMBER(SEARCH("&lt;&gt;",$AB$4))),IFERROR(('Final Calculation Sheet'!$AA$23)&amp;"","")&lt;&gt;""),AND(TRIM($AB$4)="",IFERROR(('Final Calculation Sheet'!$AA$23)&amp;"","")=""))))</f>
        <v/>
      </c>
      <c r="CO24">
        <f>IF($AC$4="",1,--(OR(SUMPRODUCT(--(TRIM(MID(SUBSTITUTE(SUBSTITUTE($AC$4,"/",","),",",REPT(" ",99)),(ROW($1:$8)-1)*99+1,99))&lt;&gt;""),--ISNUMBER(SEARCH(TRIM(MID(SUBSTITUTE(SUBSTITUTE($AC$4,"/",","),",",REPT(" ",99)),(ROW($1:$8)-1)*99+1,99)),IFERROR(('Final Calculation Sheet'!$AB$23)&amp;"",""))))&gt;0,AND(ISNUMBER(SEARCH("blank",$AC$4)),NOT(ISNUMBER(SEARCH("nonblank",$AC$4))),IFERROR(('Final Calculation Sheet'!$AB$23)&amp;"","")=""),AND(OR(ISNUMBER(SEARCH("nonblank",$AC$4)),ISNUMBER(SEARCH("&lt;&gt;",$AC$4))),IFERROR(('Final Calculation Sheet'!$AB$23)&amp;"","")&lt;&gt;""),AND(TRIM($AC$4)="",IFERROR(('Final Calculation Sheet'!$AB$23)&amp;"","")=""))))</f>
        <v/>
      </c>
      <c r="CP24">
        <f>IF($AD$4="",1,--(OR(SUMPRODUCT(--(TRIM(MID(SUBSTITUTE(SUBSTITUTE($AD$4,"/",","),",",REPT(" ",99)),(ROW($1:$8)-1)*99+1,99))&lt;&gt;""),--ISNUMBER(SEARCH(TRIM(MID(SUBSTITUTE(SUBSTITUTE($AD$4,"/",","),",",REPT(" ",99)),(ROW($1:$8)-1)*99+1,99)),IFERROR(('Final Calculation Sheet'!$AC$23)&amp;"",""))))&gt;0,AND(ISNUMBER(SEARCH("blank",$AD$4)),NOT(ISNUMBER(SEARCH("nonblank",$AD$4))),IFERROR(('Final Calculation Sheet'!$AC$23)&amp;"","")=""),AND(OR(ISNUMBER(SEARCH("nonblank",$AD$4)),ISNUMBER(SEARCH("&lt;&gt;",$AD$4))),IFERROR(('Final Calculation Sheet'!$AC$23)&amp;"","")&lt;&gt;""),AND(TRIM($AD$4)="",IFERROR(('Final Calculation Sheet'!$AC$23)&amp;"","")=""))))</f>
        <v/>
      </c>
      <c r="CQ24">
        <f>IF($AE$4="",1,--(OR(SUMPRODUCT(--(TRIM(MID(SUBSTITUTE(SUBSTITUTE($AE$4,"/",","),",",REPT(" ",99)),(ROW($1:$8)-1)*99+1,99))&lt;&gt;""),--ISNUMBER(SEARCH(TRIM(MID(SUBSTITUTE(SUBSTITUTE($AE$4,"/",","),",",REPT(" ",99)),(ROW($1:$8)-1)*99+1,99)),IFERROR(('Final Calculation Sheet'!$AD$23)&amp;"",""))))&gt;0,AND(ISNUMBER(SEARCH("blank",$AE$4)),NOT(ISNUMBER(SEARCH("nonblank",$AE$4))),IFERROR(('Final Calculation Sheet'!$AD$23)&amp;"","")=""),AND(OR(ISNUMBER(SEARCH("nonblank",$AE$4)),ISNUMBER(SEARCH("&lt;&gt;",$AE$4))),IFERROR(('Final Calculation Sheet'!$AD$23)&amp;"","")&lt;&gt;""),AND(TRIM($AE$4)="",IFERROR(('Final Calculation Sheet'!$AD$23)&amp;"","")=""))))</f>
        <v/>
      </c>
      <c r="CR24">
        <f>IF($AG$4="",1,--(OR(SUMPRODUCT(--(TRIM(MID(SUBSTITUTE(SUBSTITUTE($AG$4,"/",","),",",REPT(" ",99)),(ROW($1:$8)-1)*99+1,99))&lt;&gt;""),--ISNUMBER(SEARCH(TRIM(MID(SUBSTITUTE(SUBSTITUTE($AG$4,"/",","),",",REPT(" ",99)),(ROW($1:$8)-1)*99+1,99)),IFERROR(('Final Calculation Sheet'!$AF$23)&amp;"",""))))&gt;0,AND(ISNUMBER(SEARCH("blank",$AG$4)),NOT(ISNUMBER(SEARCH("nonblank",$AG$4))),IFERROR(('Final Calculation Sheet'!$AF$23)&amp;"","")=""),AND(OR(ISNUMBER(SEARCH("nonblank",$AG$4)),ISNUMBER(SEARCH("&lt;&gt;",$AG$4))),IFERROR(('Final Calculation Sheet'!$AF$23)&amp;"","")&lt;&gt;""),AND(TRIM($AG$4)="",IFERROR(('Final Calculation Sheet'!$AF$23)&amp;"","")=""))))</f>
        <v/>
      </c>
      <c r="CS24">
        <f>IF($AH$4="",1,--(OR(SUMPRODUCT(--(TRIM(MID(SUBSTITUTE(SUBSTITUTE($AH$4,"/",","),",",REPT(" ",99)),(ROW($1:$8)-1)*99+1,99))&lt;&gt;""),--ISNUMBER(SEARCH(TRIM(MID(SUBSTITUTE(SUBSTITUTE($AH$4,"/",","),",",REPT(" ",99)),(ROW($1:$8)-1)*99+1,99)),IFERROR(('Final Calculation Sheet'!$AG$23)&amp;"",""))))&gt;0,AND(ISNUMBER(SEARCH("blank",$AH$4)),NOT(ISNUMBER(SEARCH("nonblank",$AH$4))),IFERROR(('Final Calculation Sheet'!$AG$23)&amp;"","")=""),AND(OR(ISNUMBER(SEARCH("nonblank",$AH$4)),ISNUMBER(SEARCH("&lt;&gt;",$AH$4))),IFERROR(('Final Calculation Sheet'!$AG$23)&amp;"","")&lt;&gt;""),AND(TRIM($AH$4)="",IFERROR(('Final Calculation Sheet'!$AG$23)&amp;"","")=""))))</f>
        <v/>
      </c>
      <c r="CT24">
        <f>IF($AI$4="",1,--(OR(SUMPRODUCT(--(TRIM(MID(SUBSTITUTE(SUBSTITUTE($AI$4,"/",","),",",REPT(" ",99)),(ROW($1:$8)-1)*99+1,99))&lt;&gt;""),--ISNUMBER(SEARCH(TRIM(MID(SUBSTITUTE(SUBSTITUTE($AI$4,"/",","),",",REPT(" ",99)),(ROW($1:$8)-1)*99+1,99)),IFERROR(('Final Calculation Sheet'!$AH$23)&amp;"",""))))&gt;0,AND(ISNUMBER(SEARCH("blank",$AI$4)),NOT(ISNUMBER(SEARCH("nonblank",$AI$4))),IFERROR(('Final Calculation Sheet'!$AH$23)&amp;"","")=""),AND(OR(ISNUMBER(SEARCH("nonblank",$AI$4)),ISNUMBER(SEARCH("&lt;&gt;",$AI$4))),IFERROR(('Final Calculation Sheet'!$AH$23)&amp;"","")&lt;&gt;""),AND(TRIM($AI$4)="",IFERROR(('Final Calculation Sheet'!$AH$23)&amp;"","")=""))))</f>
        <v/>
      </c>
      <c r="CU24">
        <f>IF($AF$4="",1,--(OR(SUMPRODUCT(--(TRIM(MID(SUBSTITUTE(SUBSTITUTE($AF$4,"/",","),",",REPT(" ",99)),(ROW($1:$8)-1)*99+1,99))&lt;&gt;""),--ISNUMBER(SEARCH(TRIM(MID(SUBSTITUTE(SUBSTITUTE($AF$4,"/",","),",",REPT(" ",99)),(ROW($1:$8)-1)*99+1,99)),IFERROR((IF('Final Calculation Sheet'!$AD$23&lt;=5,"SETTLED","OUTSTANDING"))&amp;"",""))))&gt;0,AND(ISNUMBER(SEARCH("blank",$AF$4)),NOT(ISNUMBER(SEARCH("nonblank",$AF$4))),IFERROR((IF('Final Calculation Sheet'!$AD$23&lt;=5,"SETTLED","OUTSTANDING"))&amp;"","")=""),AND(OR(ISNUMBER(SEARCH("nonblank",$AF$4)),ISNUMBER(SEARCH("&lt;&gt;",$AF$4))),IFERROR((IF('Final Calculation Sheet'!$AD$23&lt;=5,"SETTLED","OUTSTANDING"))&amp;"","")&lt;&gt;""),AND(TRIM($AF$4)="",IFERROR((IF('Final Calculation Sheet'!$AD$23&lt;=5,"SETTLED","OUTSTANDING"))&amp;"","")=""))))</f>
        <v/>
      </c>
    </row>
    <row r="25" ht="15" customHeight="1" s="137">
      <c r="A25" s="67">
        <f>IF($BJ24&gt;0,INDEX($BA$5:$BA$41,MATCH(24,$BB$5:$BB$41,0)),IF(OR($BI24=1,$BL24=1,$BH24&gt;0),"∑",""))</f>
        <v/>
      </c>
      <c r="B25" s="76">
        <f>IF($BJ24&gt;0,IF(INDEX('Final Calculation Sheet'!$F$4:$F$40,$BJ24-3)="","",INDEX('Final Calculation Sheet'!$F$4:$F$40,$BJ24-3)),"")</f>
        <v/>
      </c>
      <c r="C25" s="76">
        <f>IF($BJ24&gt;0,IF(INDEX('Final Calculation Sheet'!$G$4:$G$40,$BJ24-3)="","",INDEX('Final Calculation Sheet'!$G$4:$G$40,$BJ24-3)),IF(OR($BI24=1,$BL24=1,$BH24&gt;0),IF($BI24=1,37,IF($BL24=1,37-INDEX($BD$4:$BD$13,10),INDEX($BD$4:$BD$13,$BH24)))&amp;" lot(s)",""))</f>
        <v/>
      </c>
      <c r="D25" s="80">
        <f>IF($BJ24&gt;0,IF(INDEX('Final Calculation Sheet'!$B$4:$B$40,$BJ24-3)="","",INDEX('Final Calculation Sheet'!$B$4:$B$40,$BJ24-3)),IF(OR($BI24=1,$BL24=1,$BH24&gt;0),IF($BI24=1,"GRAND TOTAL  —  matching + remaining",IF($BL24=1,"TOTAL MATCHED  —  every group together",IF($BH24=10,"REMAINING  —  did not match the search",IF($BH24=9,IF(COUNTIF($A$4:$AI$4,"&lt;&gt;")&gt;0,"FILTERED LOTS  —  column fields","ALL LOTS  —  nothing typed in the box"),"GROUP "&amp;$BH24&amp;" TOTAL  —  lots matching  "&amp;INDEX($AR$6:$AY$6,$BH24))))),""))</f>
        <v/>
      </c>
      <c r="E25" s="80">
        <f>IF($BJ24&gt;0,IF(INDEX('Final Calculation Sheet'!$D$4:$D$40,$BJ24-3)="","",INDEX('Final Calculation Sheet'!$D$4:$D$40,$BJ24-3)),IF(OR($BI24=1,$BL24=1,$BH24&gt;0),"–",""))</f>
        <v/>
      </c>
      <c r="F25" s="80">
        <f>IF($BJ24&gt;0,IF(INDEX('Final Calculation Sheet'!$A$4:$A$40,$BJ24-3)="","",INDEX('Final Calculation Sheet'!$A$4:$A$40,$BJ24-3)),IF(OR($BI24=1,$BL24=1,$BH24&gt;0),IF($BI24=1,SUM('Final Calculation Sheet'!$A$4:$A$40),IF($BL24=1,SUM('Final Calculation Sheet'!$A$4:$A$40)-SUMIFS('Final Calculation Sheet'!$A$4:$A$40,$AZ$5:$AZ$41,10),SUMIFS('Final Calculation Sheet'!$A$4:$A$40,$AZ$5:$AZ$41,$BH24))),""))</f>
        <v/>
      </c>
      <c r="G25" s="80">
        <f>IF($BJ24&gt;0,IF(INDEX('Final Calculation Sheet'!$E$4:$E$40,$BJ24-3)="","",INDEX('Final Calculation Sheet'!$E$4:$E$40,$BJ24-3)),IF(OR($BI24=1,$BL24=1,$BH24&gt;0),"–",""))</f>
        <v/>
      </c>
      <c r="H25" s="70">
        <f>IF($BJ24&gt;0,IF(INDEX('Final Calculation Sheet'!$C$4:$C$40,$BJ24-3)="","",INDEX('Final Calculation Sheet'!$C$4:$C$40,$BJ24-3)),IF(OR($BI24=1,$BL24=1,$BH24&gt;0),"–",""))</f>
        <v/>
      </c>
      <c r="I25" s="70">
        <f>IF($BJ24&gt;0,IF(INDEX('Final Calculation Sheet'!$H$4:$H$40,$BJ24-3)="","",INDEX('Final Calculation Sheet'!$H$4:$H$40,$BJ24-3)),IF(OR($BI24=1,$BL24=1,$BH24&gt;0),IF($BI24=1,SUM('Final Calculation Sheet'!$H$4:$H$40),IF($BL24=1,SUM('Final Calculation Sheet'!$H$4:$H$40)-SUMIFS('Final Calculation Sheet'!$H$4:$H$40,$AZ$5:$AZ$41,10),SUMIFS('Final Calculation Sheet'!$H$4:$H$40,$AZ$5:$AZ$41,$BH24))),""))</f>
        <v/>
      </c>
      <c r="J25" s="70">
        <f>IF($BJ24&gt;0,IF(INDEX('Final Calculation Sheet'!$I$4:$I$40,$BJ24-3)="","",INDEX('Final Calculation Sheet'!$I$4:$I$40,$BJ24-3)),IF(OR($BI24=1,$BL24=1,$BH24&gt;0),IF($BI24=1,SUM('Final Calculation Sheet'!$I$4:$I$40),IF($BL24=1,SUM('Final Calculation Sheet'!$I$4:$I$40)-SUMIFS('Final Calculation Sheet'!$I$4:$I$40,$AZ$5:$AZ$41,10),SUMIFS('Final Calculation Sheet'!$I$4:$I$40,$AZ$5:$AZ$41,$BH24))),""))</f>
        <v/>
      </c>
      <c r="K25" s="70">
        <f>IF($BJ24&gt;0,IF(INDEX('Final Calculation Sheet'!$J$4:$J$40,$BJ24-3)="","",INDEX('Final Calculation Sheet'!$J$4:$J$40,$BJ24-3)),IF(OR($BI24=1,$BL24=1,$BH24&gt;0),IF($BI24=1,SUM('Final Calculation Sheet'!$J$4:$J$40),IF($BL24=1,SUM('Final Calculation Sheet'!$J$4:$J$40)-SUMIFS('Final Calculation Sheet'!$J$4:$J$40,$AZ$5:$AZ$41,10),SUMIFS('Final Calculation Sheet'!$J$4:$J$40,$AZ$5:$AZ$41,$BH24))),""))</f>
        <v/>
      </c>
      <c r="L25" s="70">
        <f>IF($BJ24&gt;0,IF(INDEX('Final Calculation Sheet'!$K$4:$K$40,$BJ24-3)="","",INDEX('Final Calculation Sheet'!$K$4:$K$40,$BJ24-3)),IF(OR($BI24=1,$BL24=1,$BH24&gt;0),IF($BI24=1,SUM('Final Calculation Sheet'!$K$4:$K$40),IF($BL24=1,SUM('Final Calculation Sheet'!$K$4:$K$40)-SUMIFS('Final Calculation Sheet'!$K$4:$K$40,$AZ$5:$AZ$41,10),SUMIFS('Final Calculation Sheet'!$K$4:$K$40,$AZ$5:$AZ$41,$BH24))),""))</f>
        <v/>
      </c>
      <c r="M25" s="70">
        <f>IF($BJ24&gt;0,IF(INDEX('Final Calculation Sheet'!$L$4:$L$40,$BJ24-3)="","",INDEX('Final Calculation Sheet'!$L$4:$L$40,$BJ24-3)),IF(OR($BI24=1,$BL24=1,$BH24&gt;0),IF($BI24=1,SUM('Final Calculation Sheet'!$L$4:$L$40),IF($BL24=1,SUM('Final Calculation Sheet'!$L$4:$L$40)-SUMIFS('Final Calculation Sheet'!$L$4:$L$40,$AZ$5:$AZ$41,10),SUMIFS('Final Calculation Sheet'!$L$4:$L$40,$AZ$5:$AZ$41,$BH24))),""))</f>
        <v/>
      </c>
      <c r="N25" s="70">
        <f>IF($BJ24&gt;0,IF(INDEX('Final Calculation Sheet'!$M$4:$M$40,$BJ24-3)="","",INDEX('Final Calculation Sheet'!$M$4:$M$40,$BJ24-3)),IF(OR($BI24=1,$BL24=1,$BH24&gt;0),IF($BI24=1,SUM('Final Calculation Sheet'!$M$4:$M$40),IF($BL24=1,SUM('Final Calculation Sheet'!$M$4:$M$40)-SUMIFS('Final Calculation Sheet'!$M$4:$M$40,$AZ$5:$AZ$41,10),SUMIFS('Final Calculation Sheet'!$M$4:$M$40,$AZ$5:$AZ$41,$BH24))),""))</f>
        <v/>
      </c>
      <c r="O25" s="71">
        <f>IF($BJ24&gt;0,IF(INDEX('Final Calculation Sheet'!$N$4:$N$40,$BJ24-3)="","",INDEX('Final Calculation Sheet'!$N$4:$N$40,$BJ24-3)),IF(OR($BI24=1,$BL24=1,$BH24&gt;0),IF($BI24=1,SUM('Final Calculation Sheet'!$N$4:$N$40),IF($BL24=1,SUM('Final Calculation Sheet'!$N$4:$N$40)-SUMIFS('Final Calculation Sheet'!$N$4:$N$40,$AZ$5:$AZ$41,10),SUMIFS('Final Calculation Sheet'!$N$4:$N$40,$AZ$5:$AZ$41,$BH24))),""))</f>
        <v/>
      </c>
      <c r="P25" s="70">
        <f>IF($BJ24&gt;0,IF(INDEX('Final Calculation Sheet'!$O$4:$O$40,$BJ24-3)="","",INDEX('Final Calculation Sheet'!$O$4:$O$40,$BJ24-3)),IF(OR($BI24=1,$BL24=1,$BH24&gt;0),IF($BI24=1,SUM('Final Calculation Sheet'!$O$4:$O$40),IF($BL24=1,SUM('Final Calculation Sheet'!$O$4:$O$40)-SUMIFS('Final Calculation Sheet'!$O$4:$O$40,$AZ$5:$AZ$41,10),SUMIFS('Final Calculation Sheet'!$O$4:$O$40,$AZ$5:$AZ$41,$BH24))),""))</f>
        <v/>
      </c>
      <c r="Q25" s="70">
        <f>IF($BJ24&gt;0,IF(INDEX('Final Calculation Sheet'!$P$4:$P$40,$BJ24-3)="","",INDEX('Final Calculation Sheet'!$P$4:$P$40,$BJ24-3)),IF(OR($BI24=1,$BL24=1,$BH24&gt;0),IF($BI24=1,SUM('Final Calculation Sheet'!$P$4:$P$40),IF($BL24=1,SUM('Final Calculation Sheet'!$P$4:$P$40)-SUMIFS('Final Calculation Sheet'!$P$4:$P$40,$AZ$5:$AZ$41,10),SUMIFS('Final Calculation Sheet'!$P$4:$P$40,$AZ$5:$AZ$41,$BH24))),""))</f>
        <v/>
      </c>
      <c r="R25" s="72">
        <f>IF($BJ24&gt;0,IF(INDEX('Final Calculation Sheet'!$Q$4:$Q$40,$BJ24-3)="","",INDEX('Final Calculation Sheet'!$Q$4:$Q$40,$BJ24-3)),IF(OR($BI24=1,$BL24=1,$BH24&gt;0),"–",""))</f>
        <v/>
      </c>
      <c r="S25" s="70">
        <f>IF($BJ24&gt;0,IF(INDEX('Final Calculation Sheet'!$R$4:$R$40,$BJ24-3)="","",INDEX('Final Calculation Sheet'!$R$4:$R$40,$BJ24-3)),IF(OR($BI24=1,$BL24=1,$BH24&gt;0),IF($BI24=1,SUM('Final Calculation Sheet'!$R$4:$R$40),IF($BL24=1,SUM('Final Calculation Sheet'!$R$4:$R$40)-SUMIFS('Final Calculation Sheet'!$R$4:$R$40,$AZ$5:$AZ$41,10),SUMIFS('Final Calculation Sheet'!$R$4:$R$40,$AZ$5:$AZ$41,$BH24))),""))</f>
        <v/>
      </c>
      <c r="T25" s="70">
        <f>IF($BJ24&gt;0,IF(INDEX('Final Calculation Sheet'!$S$4:$S$40,$BJ24-3)="","",INDEX('Final Calculation Sheet'!$S$4:$S$40,$BJ24-3)),IF(OR($BI24=1,$BL24=1,$BH24&gt;0),IF($BI24=1,SUM('Final Calculation Sheet'!$S$4:$S$40),IF($BL24=1,SUM('Final Calculation Sheet'!$S$4:$S$40)-SUMIFS('Final Calculation Sheet'!$S$4:$S$40,$AZ$5:$AZ$41,10),SUMIFS('Final Calculation Sheet'!$S$4:$S$40,$AZ$5:$AZ$41,$BH24))),""))</f>
        <v/>
      </c>
      <c r="U25" s="70">
        <f>IF($BJ24&gt;0,IF(INDEX('Final Calculation Sheet'!$T$4:$T$40,$BJ24-3)="","",INDEX('Final Calculation Sheet'!$T$4:$T$40,$BJ24-3)),IF(OR($BI24=1,$BL24=1,$BH24&gt;0),IF($BI24=1,SUM('Final Calculation Sheet'!$T$4:$T$40),IF($BL24=1,SUM('Final Calculation Sheet'!$T$4:$T$40)-SUMIFS('Final Calculation Sheet'!$T$4:$T$40,$AZ$5:$AZ$41,10),SUMIFS('Final Calculation Sheet'!$T$4:$T$40,$AZ$5:$AZ$41,$BH24))),""))</f>
        <v/>
      </c>
      <c r="V25" s="73">
        <f>IF($BJ24&gt;0,IF(INDEX('Final Calculation Sheet'!$U$4:$U$40,$BJ24-3)="","",INDEX('Final Calculation Sheet'!$U$4:$U$40,$BJ24-3)),IF(OR($BI24=1,$BL24=1,$BH24&gt;0),IF($BI24=1,SUM('Final Calculation Sheet'!$U$4:$U$40),IF($BL24=1,SUM('Final Calculation Sheet'!$U$4:$U$40)-SUMIFS('Final Calculation Sheet'!$U$4:$U$40,$AZ$5:$AZ$41,10),SUMIFS('Final Calculation Sheet'!$U$4:$U$40,$AZ$5:$AZ$41,$BH24))),""))</f>
        <v/>
      </c>
      <c r="W25" s="70">
        <f>IF($BJ24&gt;0,IF(INDEX('Final Calculation Sheet'!$V$4:$V$40,$BJ24-3)="","",INDEX('Final Calculation Sheet'!$V$4:$V$40,$BJ24-3)),IF(OR($BI24=1,$BL24=1,$BH24&gt;0),"–",""))</f>
        <v/>
      </c>
      <c r="X25" s="70">
        <f>IF($BJ24&gt;0,IF(INDEX('Final Calculation Sheet'!$W$4:$W$40,$BJ24-3)="","",INDEX('Final Calculation Sheet'!$W$4:$W$40,$BJ24-3)),IF(OR($BI24=1,$BL24=1,$BH24&gt;0),IF($BI24=1,SUM('Final Calculation Sheet'!$W$4:$W$40),IF($BL24=1,SUM('Final Calculation Sheet'!$W$4:$W$40)-SUMIFS('Final Calculation Sheet'!$W$4:$W$40,$AZ$5:$AZ$41,10),SUMIFS('Final Calculation Sheet'!$W$4:$W$40,$AZ$5:$AZ$41,$BH24))),""))</f>
        <v/>
      </c>
      <c r="Y25" s="70">
        <f>IF($BJ24&gt;0,IF(INDEX('Final Calculation Sheet'!$X$4:$X$40,$BJ24-3)="","",INDEX('Final Calculation Sheet'!$X$4:$X$40,$BJ24-3)),IF(OR($BI24=1,$BL24=1,$BH24&gt;0),IF($BI24=1,SUM('Final Calculation Sheet'!$X$4:$X$40),IF($BL24=1,SUM('Final Calculation Sheet'!$X$4:$X$40)-SUMIFS('Final Calculation Sheet'!$X$4:$X$40,$AZ$5:$AZ$41,10),SUMIFS('Final Calculation Sheet'!$X$4:$X$40,$AZ$5:$AZ$41,$BH24))),""))</f>
        <v/>
      </c>
      <c r="Z25" s="70">
        <f>IF($BJ24&gt;0,IF(INDEX('Final Calculation Sheet'!$Y$4:$Y$40,$BJ24-3)="","",INDEX('Final Calculation Sheet'!$Y$4:$Y$40,$BJ24-3)),IF(OR($BI24=1,$BL24=1,$BH24&gt;0),"–",""))</f>
        <v/>
      </c>
      <c r="AA25" s="70">
        <f>IF($BJ24&gt;0,IF(INDEX('Final Calculation Sheet'!$Z$4:$Z$40,$BJ24-3)="","",INDEX('Final Calculation Sheet'!$Z$4:$Z$40,$BJ24-3)),IF(OR($BI24=1,$BL24=1,$BH24&gt;0),IF($BI24=1,SUM('Final Calculation Sheet'!$Z$4:$Z$40),IF($BL24=1,SUM('Final Calculation Sheet'!$Z$4:$Z$40)-SUMIFS('Final Calculation Sheet'!$Z$4:$Z$40,$AZ$5:$AZ$41,10),SUMIFS('Final Calculation Sheet'!$Z$4:$Z$40,$AZ$5:$AZ$41,$BH24))),""))</f>
        <v/>
      </c>
      <c r="AB25" s="70">
        <f>IF($BJ24&gt;0,IF(INDEX('Final Calculation Sheet'!$AA$4:$AA$40,$BJ24-3)="","",INDEX('Final Calculation Sheet'!$AA$4:$AA$40,$BJ24-3)),IF(OR($BI24=1,$BL24=1,$BH24&gt;0),IF($BI24=1,SUM('Final Calculation Sheet'!$AA$4:$AA$40),IF($BL24=1,SUM('Final Calculation Sheet'!$AA$4:$AA$40)-SUMIFS('Final Calculation Sheet'!$AA$4:$AA$40,$AZ$5:$AZ$41,10),SUMIFS('Final Calculation Sheet'!$AA$4:$AA$40,$AZ$5:$AZ$41,$BH24))),""))</f>
        <v/>
      </c>
      <c r="AC25" s="70">
        <f>IF($BJ24&gt;0,IF(INDEX('Final Calculation Sheet'!$AB$4:$AB$40,$BJ24-3)="","",INDEX('Final Calculation Sheet'!$AB$4:$AB$40,$BJ24-3)),IF(OR($BI24=1,$BL24=1,$BH24&gt;0),"–",""))</f>
        <v/>
      </c>
      <c r="AD25" s="70">
        <f>IF($BJ24&gt;0,IF(INDEX('Final Calculation Sheet'!$AC$4:$AC$40,$BJ24-3)="","",INDEX('Final Calculation Sheet'!$AC$4:$AC$40,$BJ24-3)),IF(OR($BI24=1,$BL24=1,$BH24&gt;0),IF($BI24=1,SUM('Final Calculation Sheet'!$AC$4:$AC$40),IF($BL24=1,SUM('Final Calculation Sheet'!$AC$4:$AC$40)-SUMIFS('Final Calculation Sheet'!$AC$4:$AC$40,$AZ$5:$AZ$41,10),SUMIFS('Final Calculation Sheet'!$AC$4:$AC$40,$AZ$5:$AZ$41,$BH24))),""))</f>
        <v/>
      </c>
      <c r="AE25" s="70">
        <f>IF($BJ24&gt;0,IF(INDEX('Final Calculation Sheet'!$AD$4:$AD$40,$BJ24-3)="","",INDEX('Final Calculation Sheet'!$AD$4:$AD$40,$BJ24-3)),IF(OR($BI24=1,$BL24=1,$BH24&gt;0),IF($BI24=1,SUM('Final Calculation Sheet'!$AD$4:$AD$40),IF($BL24=1,SUM('Final Calculation Sheet'!$AD$4:$AD$40)-SUMIFS('Final Calculation Sheet'!$AD$4:$AD$40,$AZ$5:$AZ$41,10),SUMIFS('Final Calculation Sheet'!$AD$4:$AD$40,$AZ$5:$AZ$41,$BH24))),""))</f>
        <v/>
      </c>
      <c r="AF25" s="75">
        <f>IF($BJ24&gt;0,IF(INDEX('Final Calculation Sheet'!$AD$4:$AD$40,$BJ24-3)="","",IF(INDEX('Final Calculation Sheet'!$AD$4:$AD$40,$BJ24-3)&lt;=5,"SETTLED","OUTSTANDING")),IF(OR($BI24=1,$BL24=1,$BH24&gt;0),IF(IF($BI24=1,SUM('Final Calculation Sheet'!$AD$4:$AD$40),IF($BL24=1,SUM('Final Calculation Sheet'!$AD$4:$AD$40)-SUMIFS('Final Calculation Sheet'!$AD$4:$AD$40,$AZ$5:$AZ$41,10),SUMIFS('Final Calculation Sheet'!$AD$4:$AD$40,$AZ$5:$AZ$41,$BH24)))&lt;=5,"ALL SETTLED","OUTSTANDING"),""))</f>
        <v/>
      </c>
      <c r="AG25" s="70">
        <f>IF($BJ24&gt;0,IF(INDEX('Final Calculation Sheet'!$AF$4:$AF$40,$BJ24-3)="","",INDEX('Final Calculation Sheet'!$AF$4:$AF$40,$BJ24-3)),IF(OR($BI24=1,$BL24=1,$BH24&gt;0),"–",""))</f>
        <v/>
      </c>
      <c r="AH25" s="74">
        <f>IF($BJ24&gt;0,IF(INDEX('Final Calculation Sheet'!$AG$4:$AG$40,$BJ24-3)="","",INDEX('Final Calculation Sheet'!$AG$4:$AG$40,$BJ24-3)),IF(OR($BI24=1,$BL24=1,$BH24&gt;0),"–",""))</f>
        <v/>
      </c>
      <c r="AI25" s="70">
        <f>IF($BJ24&gt;0,IF(INDEX('Final Calculation Sheet'!$AH$4:$AH$40,$BJ24-3)="","",INDEX('Final Calculation Sheet'!$AH$4:$AH$40,$BJ24-3)),IF(OR($BI24=1,$BL24=1,$BH24&gt;0),"–",""))</f>
        <v/>
      </c>
      <c r="AK25">
        <f>IF($F$3="Lot No.",'Final Calculation Sheet'!$F$24,IF($F$3="Buyer",'Final Calculation Sheet'!$G$24,IF($F$3="Lot Name",'Final Calculation Sheet'!$B$24,IF($F$3="Bid Sheet",'Final Calculation Sheet'!$D$24,IF($F$3="Unit",'Final Calculation Sheet'!$E$24,'Final Calculation Sheet'!$F$24&amp;" "&amp;'Final Calculation Sheet'!$G$24&amp;" "&amp;'Final Calculation Sheet'!$B$24)))))</f>
        <v/>
      </c>
      <c r="AL25">
        <f>AL24+IF($B$3="",0,--(SUMPRODUCT(--($AR$6:$AY$6&lt;&gt;""),--ISNUMBER(SEARCH($AR$6:$AY$6,$AK25)))&gt;0))</f>
        <v/>
      </c>
      <c r="AM25">
        <f>IF(COUNTIF($BM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AZ25">
        <f>IF($B$3="",IF(COUNTIF($A$4:$AI$4,"&lt;&gt;")=0,9,IF($AM25=1,9,10)),IF($AM25=0,10,IF(AND($AR$6&lt;&gt;"",ISNUMBER(SEARCH($AR$6,$AK25))),1,IF(AND($AS$6&lt;&gt;"",ISNUMBER(SEARCH($AS$6,$AK25))),2,IF(AND($AT$6&lt;&gt;"",ISNUMBER(SEARCH($AT$6,$AK25))),3,IF(AND($AU$6&lt;&gt;"",ISNUMBER(SEARCH($AU$6,$AK25))),4,IF(AND($AV$6&lt;&gt;"",ISNUMBER(SEARCH($AV$6,$AK25))),5,IF(AND($AW$6&lt;&gt;"",ISNUMBER(SEARCH($AW$6,$AK25))),6,IF(AND($AX$6&lt;&gt;"",ISNUMBER(SEARCH($AX$6,$AK25))),7,IF(AND($AY$6&lt;&gt;"",ISNUMBER(SEARCH($AY$6,$AK25))),8,0))))))))))</f>
        <v/>
      </c>
      <c r="BA25">
        <f>SUMPRODUCT(($AZ$5:$AZ$41=$AZ25)*($BC$5:$BC$41&lt;$BC25))+1</f>
        <v/>
      </c>
      <c r="BB25">
        <f>IF(INDEX($BF$4:$BF$13,$AZ25)=0,0,INDEX($BE$4:$BE$13,$AZ25)+$BA25-1)</f>
        <v/>
      </c>
      <c r="BC25" t="n">
        <v>24</v>
      </c>
      <c r="BH25">
        <f>IFERROR(MATCH(25,$BF$4:$BF$13,0),0)</f>
        <v/>
      </c>
      <c r="BI25">
        <f>IF(25=$BG$5,1,0)</f>
        <v/>
      </c>
      <c r="BJ25">
        <f>IF(OR($BH25&gt;0,$BI25=1,$BL25=1),0,IFERROR(INDEX($BC$5:$BC$41,MATCH(25,$BB$5:$BB$41,0)),0))</f>
        <v/>
      </c>
      <c r="BK25">
        <f>IF($BJ25&gt;0,IF(INDEX($AZ$5:$AZ$41,MATCH(25,$BB$5:$BB$41,0))=10,1,0),IF($BH25=10,1,0))</f>
        <v/>
      </c>
      <c r="BL25">
        <f>IF(25=$BG$4,1,0)</f>
        <v/>
      </c>
      <c r="BM25">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5">
        <f>IF($B$4="",1,--(OR(SUMPRODUCT(--(TRIM(MID(SUBSTITUTE(SUBSTITUTE($B$4,"/",","),",",REPT(" ",99)),(ROW($1:$8)-1)*99+1,99))&lt;&gt;""),--ISNUMBER(SEARCH(TRIM(MID(SUBSTITUTE(SUBSTITUTE($B$4,"/",","),",",REPT(" ",99)),(ROW($1:$8)-1)*99+1,99)),IFERROR(('Final Calculation Sheet'!$F$24)&amp;"",""))))&gt;0,AND(ISNUMBER(SEARCH("blank",$B$4)),NOT(ISNUMBER(SEARCH("nonblank",$B$4))),IFERROR(('Final Calculation Sheet'!$F$24)&amp;"","")=""),AND(OR(ISNUMBER(SEARCH("nonblank",$B$4)),ISNUMBER(SEARCH("&lt;&gt;",$B$4))),IFERROR(('Final Calculation Sheet'!$F$24)&amp;"","")&lt;&gt;""),AND(TRIM($B$4)="",IFERROR(('Final Calculation Sheet'!$F$24)&amp;"","")=""))))</f>
        <v/>
      </c>
      <c r="BO25">
        <f>IF($CW$3="",1,--(OR(SUMPRODUCT(--(TRIM(MID(SUBSTITUTE(SUBSTITUTE($CW$3,"/",","),",",REPT(" ",99)),(ROW($1:$8)-1)*99+1,99))&lt;&gt;""),--ISNUMBER(SEARCH(TRIM(MID(SUBSTITUTE(SUBSTITUTE($CW$3,"/",","),",",REPT(" ",99)),(ROW($1:$8)-1)*99+1,99)),IFERROR(('Final Calculation Sheet'!$G$24)&amp;"",""))))&gt;0,AND(ISNUMBER(SEARCH("blank",$CW$3)),NOT(ISNUMBER(SEARCH("nonblank",$CW$3))),IFERROR(('Final Calculation Sheet'!$G$24)&amp;"","")=""),AND(OR(ISNUMBER(SEARCH("nonblank",$CW$3)),ISNUMBER(SEARCH("&lt;&gt;",$CW$3))),IFERROR(('Final Calculation Sheet'!$G$24)&amp;"","")&lt;&gt;""),AND(TRIM($CW$3)="",IFERROR(('Final Calculation Sheet'!$G$24)&amp;"","")=""))))</f>
        <v/>
      </c>
      <c r="BP25">
        <f>IF($D$4="",1,--(OR(SUMPRODUCT(--(TRIM(MID(SUBSTITUTE(SUBSTITUTE($D$4,"/",","),",",REPT(" ",99)),(ROW($1:$8)-1)*99+1,99))&lt;&gt;""),--ISNUMBER(SEARCH(TRIM(MID(SUBSTITUTE(SUBSTITUTE($D$4,"/",","),",",REPT(" ",99)),(ROW($1:$8)-1)*99+1,99)),IFERROR(('Final Calculation Sheet'!$B$24)&amp;"",""))))&gt;0,AND(ISNUMBER(SEARCH("blank",$D$4)),NOT(ISNUMBER(SEARCH("nonblank",$D$4))),IFERROR(('Final Calculation Sheet'!$B$24)&amp;"","")=""),AND(OR(ISNUMBER(SEARCH("nonblank",$D$4)),ISNUMBER(SEARCH("&lt;&gt;",$D$4))),IFERROR(('Final Calculation Sheet'!$B$24)&amp;"","")&lt;&gt;""),AND(TRIM($D$4)="",IFERROR(('Final Calculation Sheet'!$B$24)&amp;"","")=""))))</f>
        <v/>
      </c>
      <c r="BQ25">
        <f>IF($E$4="",1,--(OR(SUMPRODUCT(--(TRIM(MID(SUBSTITUTE(SUBSTITUTE($E$4,"/",","),",",REPT(" ",99)),(ROW($1:$8)-1)*99+1,99))&lt;&gt;""),--ISNUMBER(SEARCH(TRIM(MID(SUBSTITUTE(SUBSTITUTE($E$4,"/",","),",",REPT(" ",99)),(ROW($1:$8)-1)*99+1,99)),IFERROR(('Final Calculation Sheet'!$D$24)&amp;"",""))))&gt;0,AND(ISNUMBER(SEARCH("blank",$E$4)),NOT(ISNUMBER(SEARCH("nonblank",$E$4))),IFERROR(('Final Calculation Sheet'!$D$24)&amp;"","")=""),AND(OR(ISNUMBER(SEARCH("nonblank",$E$4)),ISNUMBER(SEARCH("&lt;&gt;",$E$4))),IFERROR(('Final Calculation Sheet'!$D$24)&amp;"","")&lt;&gt;""),AND(TRIM($E$4)="",IFERROR(('Final Calculation Sheet'!$D$24)&amp;"","")=""))))</f>
        <v/>
      </c>
      <c r="BR25">
        <f>IF($F$4="",1,--(OR(SUMPRODUCT(--(TRIM(MID(SUBSTITUTE(SUBSTITUTE($F$4,"/",","),",",REPT(" ",99)),(ROW($1:$8)-1)*99+1,99))&lt;&gt;""),--ISNUMBER(SEARCH(TRIM(MID(SUBSTITUTE(SUBSTITUTE($F$4,"/",","),",",REPT(" ",99)),(ROW($1:$8)-1)*99+1,99)),IFERROR(('Final Calculation Sheet'!$A$24)&amp;"",""))))&gt;0,AND(ISNUMBER(SEARCH("blank",$F$4)),NOT(ISNUMBER(SEARCH("nonblank",$F$4))),IFERROR(('Final Calculation Sheet'!$A$24)&amp;"","")=""),AND(OR(ISNUMBER(SEARCH("nonblank",$F$4)),ISNUMBER(SEARCH("&lt;&gt;",$F$4))),IFERROR(('Final Calculation Sheet'!$A$24)&amp;"","")&lt;&gt;""),AND(TRIM($F$4)="",IFERROR(('Final Calculation Sheet'!$A$24)&amp;"","")=""))))</f>
        <v/>
      </c>
      <c r="BS25">
        <f>IF($G$4="",1,--(OR(SUMPRODUCT(--(TRIM(MID(SUBSTITUTE(SUBSTITUTE($G$4,"/",","),",",REPT(" ",99)),(ROW($1:$8)-1)*99+1,99))&lt;&gt;""),--ISNUMBER(SEARCH(TRIM(MID(SUBSTITUTE(SUBSTITUTE($G$4,"/",","),",",REPT(" ",99)),(ROW($1:$8)-1)*99+1,99)),IFERROR(('Final Calculation Sheet'!$E$24)&amp;"",""))))&gt;0,AND(ISNUMBER(SEARCH("blank",$G$4)),NOT(ISNUMBER(SEARCH("nonblank",$G$4))),IFERROR(('Final Calculation Sheet'!$E$24)&amp;"","")=""),AND(OR(ISNUMBER(SEARCH("nonblank",$G$4)),ISNUMBER(SEARCH("&lt;&gt;",$G$4))),IFERROR(('Final Calculation Sheet'!$E$24)&amp;"","")&lt;&gt;""),AND(TRIM($G$4)="",IFERROR(('Final Calculation Sheet'!$E$24)&amp;"","")=""))))</f>
        <v/>
      </c>
      <c r="BT25">
        <f>IF($H$4="",1,--(OR(SUMPRODUCT(--(TRIM(MID(SUBSTITUTE(SUBSTITUTE($H$4,"/",","),",",REPT(" ",99)),(ROW($1:$8)-1)*99+1,99))&lt;&gt;""),--ISNUMBER(SEARCH(TRIM(MID(SUBSTITUTE(SUBSTITUTE($H$4,"/",","),",",REPT(" ",99)),(ROW($1:$8)-1)*99+1,99)),IFERROR(('Final Calculation Sheet'!$C$24)&amp;"",""))))&gt;0,AND(ISNUMBER(SEARCH("blank",$H$4)),NOT(ISNUMBER(SEARCH("nonblank",$H$4))),IFERROR(('Final Calculation Sheet'!$C$24)&amp;"","")=""),AND(OR(ISNUMBER(SEARCH("nonblank",$H$4)),ISNUMBER(SEARCH("&lt;&gt;",$H$4))),IFERROR(('Final Calculation Sheet'!$C$24)&amp;"","")&lt;&gt;""),AND(TRIM($H$4)="",IFERROR(('Final Calculation Sheet'!$C$24)&amp;"","")=""))))</f>
        <v/>
      </c>
      <c r="BU25">
        <f>IF($I$4="",1,--(OR(SUMPRODUCT(--(TRIM(MID(SUBSTITUTE(SUBSTITUTE($I$4,"/",","),",",REPT(" ",99)),(ROW($1:$8)-1)*99+1,99))&lt;&gt;""),--ISNUMBER(SEARCH(TRIM(MID(SUBSTITUTE(SUBSTITUTE($I$4,"/",","),",",REPT(" ",99)),(ROW($1:$8)-1)*99+1,99)),IFERROR(('Final Calculation Sheet'!$H$24)&amp;"",""))))&gt;0,AND(ISNUMBER(SEARCH("blank",$I$4)),NOT(ISNUMBER(SEARCH("nonblank",$I$4))),IFERROR(('Final Calculation Sheet'!$H$24)&amp;"","")=""),AND(OR(ISNUMBER(SEARCH("nonblank",$I$4)),ISNUMBER(SEARCH("&lt;&gt;",$I$4))),IFERROR(('Final Calculation Sheet'!$H$24)&amp;"","")&lt;&gt;""),AND(TRIM($I$4)="",IFERROR(('Final Calculation Sheet'!$H$24)&amp;"","")=""))))</f>
        <v/>
      </c>
      <c r="BV25">
        <f>IF($J$4="",1,--(OR(SUMPRODUCT(--(TRIM(MID(SUBSTITUTE(SUBSTITUTE($J$4,"/",","),",",REPT(" ",99)),(ROW($1:$8)-1)*99+1,99))&lt;&gt;""),--ISNUMBER(SEARCH(TRIM(MID(SUBSTITUTE(SUBSTITUTE($J$4,"/",","),",",REPT(" ",99)),(ROW($1:$8)-1)*99+1,99)),IFERROR(('Final Calculation Sheet'!$I$24)&amp;"",""))))&gt;0,AND(ISNUMBER(SEARCH("blank",$J$4)),NOT(ISNUMBER(SEARCH("nonblank",$J$4))),IFERROR(('Final Calculation Sheet'!$I$24)&amp;"","")=""),AND(OR(ISNUMBER(SEARCH("nonblank",$J$4)),ISNUMBER(SEARCH("&lt;&gt;",$J$4))),IFERROR(('Final Calculation Sheet'!$I$24)&amp;"","")&lt;&gt;""),AND(TRIM($J$4)="",IFERROR(('Final Calculation Sheet'!$I$24)&amp;"","")=""))))</f>
        <v/>
      </c>
      <c r="BW25">
        <f>IF($K$4="",1,--(OR(SUMPRODUCT(--(TRIM(MID(SUBSTITUTE(SUBSTITUTE($K$4,"/",","),",",REPT(" ",99)),(ROW($1:$8)-1)*99+1,99))&lt;&gt;""),--ISNUMBER(SEARCH(TRIM(MID(SUBSTITUTE(SUBSTITUTE($K$4,"/",","),",",REPT(" ",99)),(ROW($1:$8)-1)*99+1,99)),IFERROR(('Final Calculation Sheet'!$J$24)&amp;"",""))))&gt;0,AND(ISNUMBER(SEARCH("blank",$K$4)),NOT(ISNUMBER(SEARCH("nonblank",$K$4))),IFERROR(('Final Calculation Sheet'!$J$24)&amp;"","")=""),AND(OR(ISNUMBER(SEARCH("nonblank",$K$4)),ISNUMBER(SEARCH("&lt;&gt;",$K$4))),IFERROR(('Final Calculation Sheet'!$J$24)&amp;"","")&lt;&gt;""),AND(TRIM($K$4)="",IFERROR(('Final Calculation Sheet'!$J$24)&amp;"","")=""))))</f>
        <v/>
      </c>
      <c r="BX25">
        <f>IF($L$4="",1,--(OR(SUMPRODUCT(--(TRIM(MID(SUBSTITUTE(SUBSTITUTE($L$4,"/",","),",",REPT(" ",99)),(ROW($1:$8)-1)*99+1,99))&lt;&gt;""),--ISNUMBER(SEARCH(TRIM(MID(SUBSTITUTE(SUBSTITUTE($L$4,"/",","),",",REPT(" ",99)),(ROW($1:$8)-1)*99+1,99)),IFERROR(('Final Calculation Sheet'!$K$24)&amp;"",""))))&gt;0,AND(ISNUMBER(SEARCH("blank",$L$4)),NOT(ISNUMBER(SEARCH("nonblank",$L$4))),IFERROR(('Final Calculation Sheet'!$K$24)&amp;"","")=""),AND(OR(ISNUMBER(SEARCH("nonblank",$L$4)),ISNUMBER(SEARCH("&lt;&gt;",$L$4))),IFERROR(('Final Calculation Sheet'!$K$24)&amp;"","")&lt;&gt;""),AND(TRIM($L$4)="",IFERROR(('Final Calculation Sheet'!$K$24)&amp;"","")=""))))</f>
        <v/>
      </c>
      <c r="BY25">
        <f>IF($M$4="",1,--(OR(SUMPRODUCT(--(TRIM(MID(SUBSTITUTE(SUBSTITUTE($M$4,"/",","),",",REPT(" ",99)),(ROW($1:$8)-1)*99+1,99))&lt;&gt;""),--ISNUMBER(SEARCH(TRIM(MID(SUBSTITUTE(SUBSTITUTE($M$4,"/",","),",",REPT(" ",99)),(ROW($1:$8)-1)*99+1,99)),IFERROR(('Final Calculation Sheet'!$L$24)&amp;"",""))))&gt;0,AND(ISNUMBER(SEARCH("blank",$M$4)),NOT(ISNUMBER(SEARCH("nonblank",$M$4))),IFERROR(('Final Calculation Sheet'!$L$24)&amp;"","")=""),AND(OR(ISNUMBER(SEARCH("nonblank",$M$4)),ISNUMBER(SEARCH("&lt;&gt;",$M$4))),IFERROR(('Final Calculation Sheet'!$L$24)&amp;"","")&lt;&gt;""),AND(TRIM($M$4)="",IFERROR(('Final Calculation Sheet'!$L$24)&amp;"","")=""))))</f>
        <v/>
      </c>
      <c r="BZ25">
        <f>IF($N$4="",1,--(OR(SUMPRODUCT(--(TRIM(MID(SUBSTITUTE(SUBSTITUTE($N$4,"/",","),",",REPT(" ",99)),(ROW($1:$8)-1)*99+1,99))&lt;&gt;""),--ISNUMBER(SEARCH(TRIM(MID(SUBSTITUTE(SUBSTITUTE($N$4,"/",","),",",REPT(" ",99)),(ROW($1:$8)-1)*99+1,99)),IFERROR(('Final Calculation Sheet'!$M$24)&amp;"",""))))&gt;0,AND(ISNUMBER(SEARCH("blank",$N$4)),NOT(ISNUMBER(SEARCH("nonblank",$N$4))),IFERROR(('Final Calculation Sheet'!$M$24)&amp;"","")=""),AND(OR(ISNUMBER(SEARCH("nonblank",$N$4)),ISNUMBER(SEARCH("&lt;&gt;",$N$4))),IFERROR(('Final Calculation Sheet'!$M$24)&amp;"","")&lt;&gt;""),AND(TRIM($N$4)="",IFERROR(('Final Calculation Sheet'!$M$24)&amp;"","")=""))))</f>
        <v/>
      </c>
      <c r="CA25">
        <f>IF($O$4="",1,--(OR(SUMPRODUCT(--(TRIM(MID(SUBSTITUTE(SUBSTITUTE($O$4,"/",","),",",REPT(" ",99)),(ROW($1:$8)-1)*99+1,99))&lt;&gt;""),--ISNUMBER(SEARCH(TRIM(MID(SUBSTITUTE(SUBSTITUTE($O$4,"/",","),",",REPT(" ",99)),(ROW($1:$8)-1)*99+1,99)),IFERROR(('Final Calculation Sheet'!$N$24)&amp;"",""))))&gt;0,AND(ISNUMBER(SEARCH("blank",$O$4)),NOT(ISNUMBER(SEARCH("nonblank",$O$4))),IFERROR(('Final Calculation Sheet'!$N$24)&amp;"","")=""),AND(OR(ISNUMBER(SEARCH("nonblank",$O$4)),ISNUMBER(SEARCH("&lt;&gt;",$O$4))),IFERROR(('Final Calculation Sheet'!$N$24)&amp;"","")&lt;&gt;""),AND(TRIM($O$4)="",IFERROR(('Final Calculation Sheet'!$N$24)&amp;"","")=""))))</f>
        <v/>
      </c>
      <c r="CB25">
        <f>IF($P$4="",1,--(OR(SUMPRODUCT(--(TRIM(MID(SUBSTITUTE(SUBSTITUTE($P$4,"/",","),",",REPT(" ",99)),(ROW($1:$8)-1)*99+1,99))&lt;&gt;""),--ISNUMBER(SEARCH(TRIM(MID(SUBSTITUTE(SUBSTITUTE($P$4,"/",","),",",REPT(" ",99)),(ROW($1:$8)-1)*99+1,99)),IFERROR(('Final Calculation Sheet'!$O$24)&amp;"",""))))&gt;0,AND(ISNUMBER(SEARCH("blank",$P$4)),NOT(ISNUMBER(SEARCH("nonblank",$P$4))),IFERROR(('Final Calculation Sheet'!$O$24)&amp;"","")=""),AND(OR(ISNUMBER(SEARCH("nonblank",$P$4)),ISNUMBER(SEARCH("&lt;&gt;",$P$4))),IFERROR(('Final Calculation Sheet'!$O$24)&amp;"","")&lt;&gt;""),AND(TRIM($P$4)="",IFERROR(('Final Calculation Sheet'!$O$24)&amp;"","")=""))))</f>
        <v/>
      </c>
      <c r="CC25">
        <f>IF($Q$4="",1,--(OR(SUMPRODUCT(--(TRIM(MID(SUBSTITUTE(SUBSTITUTE($Q$4,"/",","),",",REPT(" ",99)),(ROW($1:$8)-1)*99+1,99))&lt;&gt;""),--ISNUMBER(SEARCH(TRIM(MID(SUBSTITUTE(SUBSTITUTE($Q$4,"/",","),",",REPT(" ",99)),(ROW($1:$8)-1)*99+1,99)),IFERROR(('Final Calculation Sheet'!$P$24)&amp;"",""))))&gt;0,AND(ISNUMBER(SEARCH("blank",$Q$4)),NOT(ISNUMBER(SEARCH("nonblank",$Q$4))),IFERROR(('Final Calculation Sheet'!$P$24)&amp;"","")=""),AND(OR(ISNUMBER(SEARCH("nonblank",$Q$4)),ISNUMBER(SEARCH("&lt;&gt;",$Q$4))),IFERROR(('Final Calculation Sheet'!$P$24)&amp;"","")&lt;&gt;""),AND(TRIM($Q$4)="",IFERROR(('Final Calculation Sheet'!$P$24)&amp;"","")=""))))</f>
        <v/>
      </c>
      <c r="CD25">
        <f>IF($R$4="",1,--(OR(SUMPRODUCT(--(TRIM(MID(SUBSTITUTE(SUBSTITUTE($R$4,"/",","),",",REPT(" ",99)),(ROW($1:$8)-1)*99+1,99))&lt;&gt;""),--ISNUMBER(SEARCH(TRIM(MID(SUBSTITUTE(SUBSTITUTE($R$4,"/",","),",",REPT(" ",99)),(ROW($1:$8)-1)*99+1,99)),IFERROR(('Final Calculation Sheet'!$Q$24)&amp;"",""))))&gt;0,AND(ISNUMBER(SEARCH("blank",$R$4)),NOT(ISNUMBER(SEARCH("nonblank",$R$4))),IFERROR(('Final Calculation Sheet'!$Q$24)&amp;"","")=""),AND(OR(ISNUMBER(SEARCH("nonblank",$R$4)),ISNUMBER(SEARCH("&lt;&gt;",$R$4))),IFERROR(('Final Calculation Sheet'!$Q$24)&amp;"","")&lt;&gt;""),AND(TRIM($R$4)="",IFERROR(('Final Calculation Sheet'!$Q$24)&amp;"","")=""))))</f>
        <v/>
      </c>
      <c r="CE25">
        <f>IF($S$4="",1,--(OR(SUMPRODUCT(--(TRIM(MID(SUBSTITUTE(SUBSTITUTE($S$4,"/",","),",",REPT(" ",99)),(ROW($1:$8)-1)*99+1,99))&lt;&gt;""),--ISNUMBER(SEARCH(TRIM(MID(SUBSTITUTE(SUBSTITUTE($S$4,"/",","),",",REPT(" ",99)),(ROW($1:$8)-1)*99+1,99)),IFERROR(('Final Calculation Sheet'!$R$24)&amp;"",""))))&gt;0,AND(ISNUMBER(SEARCH("blank",$S$4)),NOT(ISNUMBER(SEARCH("nonblank",$S$4))),IFERROR(('Final Calculation Sheet'!$R$24)&amp;"","")=""),AND(OR(ISNUMBER(SEARCH("nonblank",$S$4)),ISNUMBER(SEARCH("&lt;&gt;",$S$4))),IFERROR(('Final Calculation Sheet'!$R$24)&amp;"","")&lt;&gt;""),AND(TRIM($S$4)="",IFERROR(('Final Calculation Sheet'!$R$24)&amp;"","")=""))))</f>
        <v/>
      </c>
      <c r="CF25">
        <f>IF($T$4="",1,--(OR(SUMPRODUCT(--(TRIM(MID(SUBSTITUTE(SUBSTITUTE($T$4,"/",","),",",REPT(" ",99)),(ROW($1:$8)-1)*99+1,99))&lt;&gt;""),--ISNUMBER(SEARCH(TRIM(MID(SUBSTITUTE(SUBSTITUTE($T$4,"/",","),",",REPT(" ",99)),(ROW($1:$8)-1)*99+1,99)),IFERROR(('Final Calculation Sheet'!$S$24)&amp;"",""))))&gt;0,AND(ISNUMBER(SEARCH("blank",$T$4)),NOT(ISNUMBER(SEARCH("nonblank",$T$4))),IFERROR(('Final Calculation Sheet'!$S$24)&amp;"","")=""),AND(OR(ISNUMBER(SEARCH("nonblank",$T$4)),ISNUMBER(SEARCH("&lt;&gt;",$T$4))),IFERROR(('Final Calculation Sheet'!$S$24)&amp;"","")&lt;&gt;""),AND(TRIM($T$4)="",IFERROR(('Final Calculation Sheet'!$S$24)&amp;"","")=""))))</f>
        <v/>
      </c>
      <c r="CG25">
        <f>IF($U$4="",1,--(OR(SUMPRODUCT(--(TRIM(MID(SUBSTITUTE(SUBSTITUTE($U$4,"/",","),",",REPT(" ",99)),(ROW($1:$8)-1)*99+1,99))&lt;&gt;""),--ISNUMBER(SEARCH(TRIM(MID(SUBSTITUTE(SUBSTITUTE($U$4,"/",","),",",REPT(" ",99)),(ROW($1:$8)-1)*99+1,99)),IFERROR(('Final Calculation Sheet'!$T$24)&amp;"",""))))&gt;0,AND(ISNUMBER(SEARCH("blank",$U$4)),NOT(ISNUMBER(SEARCH("nonblank",$U$4))),IFERROR(('Final Calculation Sheet'!$T$24)&amp;"","")=""),AND(OR(ISNUMBER(SEARCH("nonblank",$U$4)),ISNUMBER(SEARCH("&lt;&gt;",$U$4))),IFERROR(('Final Calculation Sheet'!$T$24)&amp;"","")&lt;&gt;""),AND(TRIM($U$4)="",IFERROR(('Final Calculation Sheet'!$T$24)&amp;"","")=""))))</f>
        <v/>
      </c>
      <c r="CH25">
        <f>IF($V$4="",1,--(OR(SUMPRODUCT(--(TRIM(MID(SUBSTITUTE(SUBSTITUTE($V$4,"/",","),",",REPT(" ",99)),(ROW($1:$8)-1)*99+1,99))&lt;&gt;""),--ISNUMBER(SEARCH(TRIM(MID(SUBSTITUTE(SUBSTITUTE($V$4,"/",","),",",REPT(" ",99)),(ROW($1:$8)-1)*99+1,99)),IFERROR(('Final Calculation Sheet'!$U$24)&amp;"",""))))&gt;0,AND(ISNUMBER(SEARCH("blank",$V$4)),NOT(ISNUMBER(SEARCH("nonblank",$V$4))),IFERROR(('Final Calculation Sheet'!$U$24)&amp;"","")=""),AND(OR(ISNUMBER(SEARCH("nonblank",$V$4)),ISNUMBER(SEARCH("&lt;&gt;",$V$4))),IFERROR(('Final Calculation Sheet'!$U$24)&amp;"","")&lt;&gt;""),AND(TRIM($V$4)="",IFERROR(('Final Calculation Sheet'!$U$24)&amp;"","")=""))))</f>
        <v/>
      </c>
      <c r="CI25">
        <f>IF($W$4="",1,--(OR(SUMPRODUCT(--(TRIM(MID(SUBSTITUTE(SUBSTITUTE($W$4,"/",","),",",REPT(" ",99)),(ROW($1:$8)-1)*99+1,99))&lt;&gt;""),--ISNUMBER(SEARCH(TRIM(MID(SUBSTITUTE(SUBSTITUTE($W$4,"/",","),",",REPT(" ",99)),(ROW($1:$8)-1)*99+1,99)),IFERROR(('Final Calculation Sheet'!$V$24)&amp;"",""))))&gt;0,AND(ISNUMBER(SEARCH("blank",$W$4)),NOT(ISNUMBER(SEARCH("nonblank",$W$4))),IFERROR(('Final Calculation Sheet'!$V$24)&amp;"","")=""),AND(OR(ISNUMBER(SEARCH("nonblank",$W$4)),ISNUMBER(SEARCH("&lt;&gt;",$W$4))),IFERROR(('Final Calculation Sheet'!$V$24)&amp;"","")&lt;&gt;""),AND(TRIM($W$4)="",IFERROR(('Final Calculation Sheet'!$V$24)&amp;"","")=""))))</f>
        <v/>
      </c>
      <c r="CJ25">
        <f>IF($X$4="",1,--(OR(SUMPRODUCT(--(TRIM(MID(SUBSTITUTE(SUBSTITUTE($X$4,"/",","),",",REPT(" ",99)),(ROW($1:$8)-1)*99+1,99))&lt;&gt;""),--ISNUMBER(SEARCH(TRIM(MID(SUBSTITUTE(SUBSTITUTE($X$4,"/",","),",",REPT(" ",99)),(ROW($1:$8)-1)*99+1,99)),IFERROR(('Final Calculation Sheet'!$W$24)&amp;"",""))))&gt;0,AND(ISNUMBER(SEARCH("blank",$X$4)),NOT(ISNUMBER(SEARCH("nonblank",$X$4))),IFERROR(('Final Calculation Sheet'!$W$24)&amp;"","")=""),AND(OR(ISNUMBER(SEARCH("nonblank",$X$4)),ISNUMBER(SEARCH("&lt;&gt;",$X$4))),IFERROR(('Final Calculation Sheet'!$W$24)&amp;"","")&lt;&gt;""),AND(TRIM($X$4)="",IFERROR(('Final Calculation Sheet'!$W$24)&amp;"","")=""))))</f>
        <v/>
      </c>
      <c r="CK25">
        <f>IF($Y$4="",1,--(OR(SUMPRODUCT(--(TRIM(MID(SUBSTITUTE(SUBSTITUTE($Y$4,"/",","),",",REPT(" ",99)),(ROW($1:$8)-1)*99+1,99))&lt;&gt;""),--ISNUMBER(SEARCH(TRIM(MID(SUBSTITUTE(SUBSTITUTE($Y$4,"/",","),",",REPT(" ",99)),(ROW($1:$8)-1)*99+1,99)),IFERROR(('Final Calculation Sheet'!$X$24)&amp;"",""))))&gt;0,AND(ISNUMBER(SEARCH("blank",$Y$4)),NOT(ISNUMBER(SEARCH("nonblank",$Y$4))),IFERROR(('Final Calculation Sheet'!$X$24)&amp;"","")=""),AND(OR(ISNUMBER(SEARCH("nonblank",$Y$4)),ISNUMBER(SEARCH("&lt;&gt;",$Y$4))),IFERROR(('Final Calculation Sheet'!$X$24)&amp;"","")&lt;&gt;""),AND(TRIM($Y$4)="",IFERROR(('Final Calculation Sheet'!$X$24)&amp;"","")=""))))</f>
        <v/>
      </c>
      <c r="CL25">
        <f>IF($Z$4="",1,--(OR(SUMPRODUCT(--(TRIM(MID(SUBSTITUTE(SUBSTITUTE($Z$4,"/",","),",",REPT(" ",99)),(ROW($1:$8)-1)*99+1,99))&lt;&gt;""),--ISNUMBER(SEARCH(TRIM(MID(SUBSTITUTE(SUBSTITUTE($Z$4,"/",","),",",REPT(" ",99)),(ROW($1:$8)-1)*99+1,99)),IFERROR(('Final Calculation Sheet'!$Y$24)&amp;"",""))))&gt;0,AND(ISNUMBER(SEARCH("blank",$Z$4)),NOT(ISNUMBER(SEARCH("nonblank",$Z$4))),IFERROR(('Final Calculation Sheet'!$Y$24)&amp;"","")=""),AND(OR(ISNUMBER(SEARCH("nonblank",$Z$4)),ISNUMBER(SEARCH("&lt;&gt;",$Z$4))),IFERROR(('Final Calculation Sheet'!$Y$24)&amp;"","")&lt;&gt;""),AND(TRIM($Z$4)="",IFERROR(('Final Calculation Sheet'!$Y$24)&amp;"","")=""))))</f>
        <v/>
      </c>
      <c r="CM25">
        <f>IF($AA$4="",1,--(OR(SUMPRODUCT(--(TRIM(MID(SUBSTITUTE(SUBSTITUTE($AA$4,"/",","),",",REPT(" ",99)),(ROW($1:$8)-1)*99+1,99))&lt;&gt;""),--ISNUMBER(SEARCH(TRIM(MID(SUBSTITUTE(SUBSTITUTE($AA$4,"/",","),",",REPT(" ",99)),(ROW($1:$8)-1)*99+1,99)),IFERROR(('Final Calculation Sheet'!$Z$24)&amp;"",""))))&gt;0,AND(ISNUMBER(SEARCH("blank",$AA$4)),NOT(ISNUMBER(SEARCH("nonblank",$AA$4))),IFERROR(('Final Calculation Sheet'!$Z$24)&amp;"","")=""),AND(OR(ISNUMBER(SEARCH("nonblank",$AA$4)),ISNUMBER(SEARCH("&lt;&gt;",$AA$4))),IFERROR(('Final Calculation Sheet'!$Z$24)&amp;"","")&lt;&gt;""),AND(TRIM($AA$4)="",IFERROR(('Final Calculation Sheet'!$Z$24)&amp;"","")=""))))</f>
        <v/>
      </c>
      <c r="CN25">
        <f>IF($AB$4="",1,--(OR(SUMPRODUCT(--(TRIM(MID(SUBSTITUTE(SUBSTITUTE($AB$4,"/",","),",",REPT(" ",99)),(ROW($1:$8)-1)*99+1,99))&lt;&gt;""),--ISNUMBER(SEARCH(TRIM(MID(SUBSTITUTE(SUBSTITUTE($AB$4,"/",","),",",REPT(" ",99)),(ROW($1:$8)-1)*99+1,99)),IFERROR(('Final Calculation Sheet'!$AA$24)&amp;"",""))))&gt;0,AND(ISNUMBER(SEARCH("blank",$AB$4)),NOT(ISNUMBER(SEARCH("nonblank",$AB$4))),IFERROR(('Final Calculation Sheet'!$AA$24)&amp;"","")=""),AND(OR(ISNUMBER(SEARCH("nonblank",$AB$4)),ISNUMBER(SEARCH("&lt;&gt;",$AB$4))),IFERROR(('Final Calculation Sheet'!$AA$24)&amp;"","")&lt;&gt;""),AND(TRIM($AB$4)="",IFERROR(('Final Calculation Sheet'!$AA$24)&amp;"","")=""))))</f>
        <v/>
      </c>
      <c r="CO25">
        <f>IF($AC$4="",1,--(OR(SUMPRODUCT(--(TRIM(MID(SUBSTITUTE(SUBSTITUTE($AC$4,"/",","),",",REPT(" ",99)),(ROW($1:$8)-1)*99+1,99))&lt;&gt;""),--ISNUMBER(SEARCH(TRIM(MID(SUBSTITUTE(SUBSTITUTE($AC$4,"/",","),",",REPT(" ",99)),(ROW($1:$8)-1)*99+1,99)),IFERROR(('Final Calculation Sheet'!$AB$24)&amp;"",""))))&gt;0,AND(ISNUMBER(SEARCH("blank",$AC$4)),NOT(ISNUMBER(SEARCH("nonblank",$AC$4))),IFERROR(('Final Calculation Sheet'!$AB$24)&amp;"","")=""),AND(OR(ISNUMBER(SEARCH("nonblank",$AC$4)),ISNUMBER(SEARCH("&lt;&gt;",$AC$4))),IFERROR(('Final Calculation Sheet'!$AB$24)&amp;"","")&lt;&gt;""),AND(TRIM($AC$4)="",IFERROR(('Final Calculation Sheet'!$AB$24)&amp;"","")=""))))</f>
        <v/>
      </c>
      <c r="CP25">
        <f>IF($AD$4="",1,--(OR(SUMPRODUCT(--(TRIM(MID(SUBSTITUTE(SUBSTITUTE($AD$4,"/",","),",",REPT(" ",99)),(ROW($1:$8)-1)*99+1,99))&lt;&gt;""),--ISNUMBER(SEARCH(TRIM(MID(SUBSTITUTE(SUBSTITUTE($AD$4,"/",","),",",REPT(" ",99)),(ROW($1:$8)-1)*99+1,99)),IFERROR(('Final Calculation Sheet'!$AC$24)&amp;"",""))))&gt;0,AND(ISNUMBER(SEARCH("blank",$AD$4)),NOT(ISNUMBER(SEARCH("nonblank",$AD$4))),IFERROR(('Final Calculation Sheet'!$AC$24)&amp;"","")=""),AND(OR(ISNUMBER(SEARCH("nonblank",$AD$4)),ISNUMBER(SEARCH("&lt;&gt;",$AD$4))),IFERROR(('Final Calculation Sheet'!$AC$24)&amp;"","")&lt;&gt;""),AND(TRIM($AD$4)="",IFERROR(('Final Calculation Sheet'!$AC$24)&amp;"","")=""))))</f>
        <v/>
      </c>
      <c r="CQ25">
        <f>IF($AE$4="",1,--(OR(SUMPRODUCT(--(TRIM(MID(SUBSTITUTE(SUBSTITUTE($AE$4,"/",","),",",REPT(" ",99)),(ROW($1:$8)-1)*99+1,99))&lt;&gt;""),--ISNUMBER(SEARCH(TRIM(MID(SUBSTITUTE(SUBSTITUTE($AE$4,"/",","),",",REPT(" ",99)),(ROW($1:$8)-1)*99+1,99)),IFERROR(('Final Calculation Sheet'!$AD$24)&amp;"",""))))&gt;0,AND(ISNUMBER(SEARCH("blank",$AE$4)),NOT(ISNUMBER(SEARCH("nonblank",$AE$4))),IFERROR(('Final Calculation Sheet'!$AD$24)&amp;"","")=""),AND(OR(ISNUMBER(SEARCH("nonblank",$AE$4)),ISNUMBER(SEARCH("&lt;&gt;",$AE$4))),IFERROR(('Final Calculation Sheet'!$AD$24)&amp;"","")&lt;&gt;""),AND(TRIM($AE$4)="",IFERROR(('Final Calculation Sheet'!$AD$24)&amp;"","")=""))))</f>
        <v/>
      </c>
      <c r="CR25">
        <f>IF($AG$4="",1,--(OR(SUMPRODUCT(--(TRIM(MID(SUBSTITUTE(SUBSTITUTE($AG$4,"/",","),",",REPT(" ",99)),(ROW($1:$8)-1)*99+1,99))&lt;&gt;""),--ISNUMBER(SEARCH(TRIM(MID(SUBSTITUTE(SUBSTITUTE($AG$4,"/",","),",",REPT(" ",99)),(ROW($1:$8)-1)*99+1,99)),IFERROR(('Final Calculation Sheet'!$AF$24)&amp;"",""))))&gt;0,AND(ISNUMBER(SEARCH("blank",$AG$4)),NOT(ISNUMBER(SEARCH("nonblank",$AG$4))),IFERROR(('Final Calculation Sheet'!$AF$24)&amp;"","")=""),AND(OR(ISNUMBER(SEARCH("nonblank",$AG$4)),ISNUMBER(SEARCH("&lt;&gt;",$AG$4))),IFERROR(('Final Calculation Sheet'!$AF$24)&amp;"","")&lt;&gt;""),AND(TRIM($AG$4)="",IFERROR(('Final Calculation Sheet'!$AF$24)&amp;"","")=""))))</f>
        <v/>
      </c>
      <c r="CS25">
        <f>IF($AH$4="",1,--(OR(SUMPRODUCT(--(TRIM(MID(SUBSTITUTE(SUBSTITUTE($AH$4,"/",","),",",REPT(" ",99)),(ROW($1:$8)-1)*99+1,99))&lt;&gt;""),--ISNUMBER(SEARCH(TRIM(MID(SUBSTITUTE(SUBSTITUTE($AH$4,"/",","),",",REPT(" ",99)),(ROW($1:$8)-1)*99+1,99)),IFERROR(('Final Calculation Sheet'!$AG$24)&amp;"",""))))&gt;0,AND(ISNUMBER(SEARCH("blank",$AH$4)),NOT(ISNUMBER(SEARCH("nonblank",$AH$4))),IFERROR(('Final Calculation Sheet'!$AG$24)&amp;"","")=""),AND(OR(ISNUMBER(SEARCH("nonblank",$AH$4)),ISNUMBER(SEARCH("&lt;&gt;",$AH$4))),IFERROR(('Final Calculation Sheet'!$AG$24)&amp;"","")&lt;&gt;""),AND(TRIM($AH$4)="",IFERROR(('Final Calculation Sheet'!$AG$24)&amp;"","")=""))))</f>
        <v/>
      </c>
      <c r="CT25">
        <f>IF($AI$4="",1,--(OR(SUMPRODUCT(--(TRIM(MID(SUBSTITUTE(SUBSTITUTE($AI$4,"/",","),",",REPT(" ",99)),(ROW($1:$8)-1)*99+1,99))&lt;&gt;""),--ISNUMBER(SEARCH(TRIM(MID(SUBSTITUTE(SUBSTITUTE($AI$4,"/",","),",",REPT(" ",99)),(ROW($1:$8)-1)*99+1,99)),IFERROR(('Final Calculation Sheet'!$AH$24)&amp;"",""))))&gt;0,AND(ISNUMBER(SEARCH("blank",$AI$4)),NOT(ISNUMBER(SEARCH("nonblank",$AI$4))),IFERROR(('Final Calculation Sheet'!$AH$24)&amp;"","")=""),AND(OR(ISNUMBER(SEARCH("nonblank",$AI$4)),ISNUMBER(SEARCH("&lt;&gt;",$AI$4))),IFERROR(('Final Calculation Sheet'!$AH$24)&amp;"","")&lt;&gt;""),AND(TRIM($AI$4)="",IFERROR(('Final Calculation Sheet'!$AH$24)&amp;"","")=""))))</f>
        <v/>
      </c>
      <c r="CU25">
        <f>IF($AF$4="",1,--(OR(SUMPRODUCT(--(TRIM(MID(SUBSTITUTE(SUBSTITUTE($AF$4,"/",","),",",REPT(" ",99)),(ROW($1:$8)-1)*99+1,99))&lt;&gt;""),--ISNUMBER(SEARCH(TRIM(MID(SUBSTITUTE(SUBSTITUTE($AF$4,"/",","),",",REPT(" ",99)),(ROW($1:$8)-1)*99+1,99)),IFERROR((IF('Final Calculation Sheet'!$AD$24&lt;=5,"SETTLED","OUTSTANDING"))&amp;"",""))))&gt;0,AND(ISNUMBER(SEARCH("blank",$AF$4)),NOT(ISNUMBER(SEARCH("nonblank",$AF$4))),IFERROR((IF('Final Calculation Sheet'!$AD$24&lt;=5,"SETTLED","OUTSTANDING"))&amp;"","")=""),AND(OR(ISNUMBER(SEARCH("nonblank",$AF$4)),ISNUMBER(SEARCH("&lt;&gt;",$AF$4))),IFERROR((IF('Final Calculation Sheet'!$AD$24&lt;=5,"SETTLED","OUTSTANDING"))&amp;"","")&lt;&gt;""),AND(TRIM($AF$4)="",IFERROR((IF('Final Calculation Sheet'!$AD$24&lt;=5,"SETTLED","OUTSTANDING"))&amp;"","")=""))))</f>
        <v/>
      </c>
    </row>
    <row r="26" ht="15" customHeight="1" s="137">
      <c r="A26" s="67">
        <f>IF($BJ25&gt;0,INDEX($BA$5:$BA$41,MATCH(25,$BB$5:$BB$41,0)),IF(OR($BI25=1,$BL25=1,$BH25&gt;0),"∑",""))</f>
        <v/>
      </c>
      <c r="B26" s="76">
        <f>IF($BJ25&gt;0,IF(INDEX('Final Calculation Sheet'!$F$4:$F$40,$BJ25-3)="","",INDEX('Final Calculation Sheet'!$F$4:$F$40,$BJ25-3)),"")</f>
        <v/>
      </c>
      <c r="C26" s="76">
        <f>IF($BJ25&gt;0,IF(INDEX('Final Calculation Sheet'!$G$4:$G$40,$BJ25-3)="","",INDEX('Final Calculation Sheet'!$G$4:$G$40,$BJ25-3)),IF(OR($BI25=1,$BL25=1,$BH25&gt;0),IF($BI25=1,37,IF($BL25=1,37-INDEX($BD$4:$BD$13,10),INDEX($BD$4:$BD$13,$BH25)))&amp;" lot(s)",""))</f>
        <v/>
      </c>
      <c r="D26" s="80">
        <f>IF($BJ25&gt;0,IF(INDEX('Final Calculation Sheet'!$B$4:$B$40,$BJ25-3)="","",INDEX('Final Calculation Sheet'!$B$4:$B$40,$BJ25-3)),IF(OR($BI25=1,$BL25=1,$BH25&gt;0),IF($BI25=1,"GRAND TOTAL  —  matching + remaining",IF($BL25=1,"TOTAL MATCHED  —  every group together",IF($BH25=10,"REMAINING  —  did not match the search",IF($BH25=9,IF(COUNTIF($A$4:$AI$4,"&lt;&gt;")&gt;0,"FILTERED LOTS  —  column fields","ALL LOTS  —  nothing typed in the box"),"GROUP "&amp;$BH25&amp;" TOTAL  —  lots matching  "&amp;INDEX($AR$6:$AY$6,$BH25))))),""))</f>
        <v/>
      </c>
      <c r="E26" s="80">
        <f>IF($BJ25&gt;0,IF(INDEX('Final Calculation Sheet'!$D$4:$D$40,$BJ25-3)="","",INDEX('Final Calculation Sheet'!$D$4:$D$40,$BJ25-3)),IF(OR($BI25=1,$BL25=1,$BH25&gt;0),"–",""))</f>
        <v/>
      </c>
      <c r="F26" s="80">
        <f>IF($BJ25&gt;0,IF(INDEX('Final Calculation Sheet'!$A$4:$A$40,$BJ25-3)="","",INDEX('Final Calculation Sheet'!$A$4:$A$40,$BJ25-3)),IF(OR($BI25=1,$BL25=1,$BH25&gt;0),IF($BI25=1,SUM('Final Calculation Sheet'!$A$4:$A$40),IF($BL25=1,SUM('Final Calculation Sheet'!$A$4:$A$40)-SUMIFS('Final Calculation Sheet'!$A$4:$A$40,$AZ$5:$AZ$41,10),SUMIFS('Final Calculation Sheet'!$A$4:$A$40,$AZ$5:$AZ$41,$BH25))),""))</f>
        <v/>
      </c>
      <c r="G26" s="80">
        <f>IF($BJ25&gt;0,IF(INDEX('Final Calculation Sheet'!$E$4:$E$40,$BJ25-3)="","",INDEX('Final Calculation Sheet'!$E$4:$E$40,$BJ25-3)),IF(OR($BI25=1,$BL25=1,$BH25&gt;0),"–",""))</f>
        <v/>
      </c>
      <c r="H26" s="70">
        <f>IF($BJ25&gt;0,IF(INDEX('Final Calculation Sheet'!$C$4:$C$40,$BJ25-3)="","",INDEX('Final Calculation Sheet'!$C$4:$C$40,$BJ25-3)),IF(OR($BI25=1,$BL25=1,$BH25&gt;0),"–",""))</f>
        <v/>
      </c>
      <c r="I26" s="70">
        <f>IF($BJ25&gt;0,IF(INDEX('Final Calculation Sheet'!$H$4:$H$40,$BJ25-3)="","",INDEX('Final Calculation Sheet'!$H$4:$H$40,$BJ25-3)),IF(OR($BI25=1,$BL25=1,$BH25&gt;0),IF($BI25=1,SUM('Final Calculation Sheet'!$H$4:$H$40),IF($BL25=1,SUM('Final Calculation Sheet'!$H$4:$H$40)-SUMIFS('Final Calculation Sheet'!$H$4:$H$40,$AZ$5:$AZ$41,10),SUMIFS('Final Calculation Sheet'!$H$4:$H$40,$AZ$5:$AZ$41,$BH25))),""))</f>
        <v/>
      </c>
      <c r="J26" s="70">
        <f>IF($BJ25&gt;0,IF(INDEX('Final Calculation Sheet'!$I$4:$I$40,$BJ25-3)="","",INDEX('Final Calculation Sheet'!$I$4:$I$40,$BJ25-3)),IF(OR($BI25=1,$BL25=1,$BH25&gt;0),IF($BI25=1,SUM('Final Calculation Sheet'!$I$4:$I$40),IF($BL25=1,SUM('Final Calculation Sheet'!$I$4:$I$40)-SUMIFS('Final Calculation Sheet'!$I$4:$I$40,$AZ$5:$AZ$41,10),SUMIFS('Final Calculation Sheet'!$I$4:$I$40,$AZ$5:$AZ$41,$BH25))),""))</f>
        <v/>
      </c>
      <c r="K26" s="70">
        <f>IF($BJ25&gt;0,IF(INDEX('Final Calculation Sheet'!$J$4:$J$40,$BJ25-3)="","",INDEX('Final Calculation Sheet'!$J$4:$J$40,$BJ25-3)),IF(OR($BI25=1,$BL25=1,$BH25&gt;0),IF($BI25=1,SUM('Final Calculation Sheet'!$J$4:$J$40),IF($BL25=1,SUM('Final Calculation Sheet'!$J$4:$J$40)-SUMIFS('Final Calculation Sheet'!$J$4:$J$40,$AZ$5:$AZ$41,10),SUMIFS('Final Calculation Sheet'!$J$4:$J$40,$AZ$5:$AZ$41,$BH25))),""))</f>
        <v/>
      </c>
      <c r="L26" s="70">
        <f>IF($BJ25&gt;0,IF(INDEX('Final Calculation Sheet'!$K$4:$K$40,$BJ25-3)="","",INDEX('Final Calculation Sheet'!$K$4:$K$40,$BJ25-3)),IF(OR($BI25=1,$BL25=1,$BH25&gt;0),IF($BI25=1,SUM('Final Calculation Sheet'!$K$4:$K$40),IF($BL25=1,SUM('Final Calculation Sheet'!$K$4:$K$40)-SUMIFS('Final Calculation Sheet'!$K$4:$K$40,$AZ$5:$AZ$41,10),SUMIFS('Final Calculation Sheet'!$K$4:$K$40,$AZ$5:$AZ$41,$BH25))),""))</f>
        <v/>
      </c>
      <c r="M26" s="70">
        <f>IF($BJ25&gt;0,IF(INDEX('Final Calculation Sheet'!$L$4:$L$40,$BJ25-3)="","",INDEX('Final Calculation Sheet'!$L$4:$L$40,$BJ25-3)),IF(OR($BI25=1,$BL25=1,$BH25&gt;0),IF($BI25=1,SUM('Final Calculation Sheet'!$L$4:$L$40),IF($BL25=1,SUM('Final Calculation Sheet'!$L$4:$L$40)-SUMIFS('Final Calculation Sheet'!$L$4:$L$40,$AZ$5:$AZ$41,10),SUMIFS('Final Calculation Sheet'!$L$4:$L$40,$AZ$5:$AZ$41,$BH25))),""))</f>
        <v/>
      </c>
      <c r="N26" s="70">
        <f>IF($BJ25&gt;0,IF(INDEX('Final Calculation Sheet'!$M$4:$M$40,$BJ25-3)="","",INDEX('Final Calculation Sheet'!$M$4:$M$40,$BJ25-3)),IF(OR($BI25=1,$BL25=1,$BH25&gt;0),IF($BI25=1,SUM('Final Calculation Sheet'!$M$4:$M$40),IF($BL25=1,SUM('Final Calculation Sheet'!$M$4:$M$40)-SUMIFS('Final Calculation Sheet'!$M$4:$M$40,$AZ$5:$AZ$41,10),SUMIFS('Final Calculation Sheet'!$M$4:$M$40,$AZ$5:$AZ$41,$BH25))),""))</f>
        <v/>
      </c>
      <c r="O26" s="71">
        <f>IF($BJ25&gt;0,IF(INDEX('Final Calculation Sheet'!$N$4:$N$40,$BJ25-3)="","",INDEX('Final Calculation Sheet'!$N$4:$N$40,$BJ25-3)),IF(OR($BI25=1,$BL25=1,$BH25&gt;0),IF($BI25=1,SUM('Final Calculation Sheet'!$N$4:$N$40),IF($BL25=1,SUM('Final Calculation Sheet'!$N$4:$N$40)-SUMIFS('Final Calculation Sheet'!$N$4:$N$40,$AZ$5:$AZ$41,10),SUMIFS('Final Calculation Sheet'!$N$4:$N$40,$AZ$5:$AZ$41,$BH25))),""))</f>
        <v/>
      </c>
      <c r="P26" s="70">
        <f>IF($BJ25&gt;0,IF(INDEX('Final Calculation Sheet'!$O$4:$O$40,$BJ25-3)="","",INDEX('Final Calculation Sheet'!$O$4:$O$40,$BJ25-3)),IF(OR($BI25=1,$BL25=1,$BH25&gt;0),IF($BI25=1,SUM('Final Calculation Sheet'!$O$4:$O$40),IF($BL25=1,SUM('Final Calculation Sheet'!$O$4:$O$40)-SUMIFS('Final Calculation Sheet'!$O$4:$O$40,$AZ$5:$AZ$41,10),SUMIFS('Final Calculation Sheet'!$O$4:$O$40,$AZ$5:$AZ$41,$BH25))),""))</f>
        <v/>
      </c>
      <c r="Q26" s="70">
        <f>IF($BJ25&gt;0,IF(INDEX('Final Calculation Sheet'!$P$4:$P$40,$BJ25-3)="","",INDEX('Final Calculation Sheet'!$P$4:$P$40,$BJ25-3)),IF(OR($BI25=1,$BL25=1,$BH25&gt;0),IF($BI25=1,SUM('Final Calculation Sheet'!$P$4:$P$40),IF($BL25=1,SUM('Final Calculation Sheet'!$P$4:$P$40)-SUMIFS('Final Calculation Sheet'!$P$4:$P$40,$AZ$5:$AZ$41,10),SUMIFS('Final Calculation Sheet'!$P$4:$P$40,$AZ$5:$AZ$41,$BH25))),""))</f>
        <v/>
      </c>
      <c r="R26" s="72">
        <f>IF($BJ25&gt;0,IF(INDEX('Final Calculation Sheet'!$Q$4:$Q$40,$BJ25-3)="","",INDEX('Final Calculation Sheet'!$Q$4:$Q$40,$BJ25-3)),IF(OR($BI25=1,$BL25=1,$BH25&gt;0),"–",""))</f>
        <v/>
      </c>
      <c r="S26" s="70">
        <f>IF($BJ25&gt;0,IF(INDEX('Final Calculation Sheet'!$R$4:$R$40,$BJ25-3)="","",INDEX('Final Calculation Sheet'!$R$4:$R$40,$BJ25-3)),IF(OR($BI25=1,$BL25=1,$BH25&gt;0),IF($BI25=1,SUM('Final Calculation Sheet'!$R$4:$R$40),IF($BL25=1,SUM('Final Calculation Sheet'!$R$4:$R$40)-SUMIFS('Final Calculation Sheet'!$R$4:$R$40,$AZ$5:$AZ$41,10),SUMIFS('Final Calculation Sheet'!$R$4:$R$40,$AZ$5:$AZ$41,$BH25))),""))</f>
        <v/>
      </c>
      <c r="T26" s="70">
        <f>IF($BJ25&gt;0,IF(INDEX('Final Calculation Sheet'!$S$4:$S$40,$BJ25-3)="","",INDEX('Final Calculation Sheet'!$S$4:$S$40,$BJ25-3)),IF(OR($BI25=1,$BL25=1,$BH25&gt;0),IF($BI25=1,SUM('Final Calculation Sheet'!$S$4:$S$40),IF($BL25=1,SUM('Final Calculation Sheet'!$S$4:$S$40)-SUMIFS('Final Calculation Sheet'!$S$4:$S$40,$AZ$5:$AZ$41,10),SUMIFS('Final Calculation Sheet'!$S$4:$S$40,$AZ$5:$AZ$41,$BH25))),""))</f>
        <v/>
      </c>
      <c r="U26" s="70">
        <f>IF($BJ25&gt;0,IF(INDEX('Final Calculation Sheet'!$T$4:$T$40,$BJ25-3)="","",INDEX('Final Calculation Sheet'!$T$4:$T$40,$BJ25-3)),IF(OR($BI25=1,$BL25=1,$BH25&gt;0),IF($BI25=1,SUM('Final Calculation Sheet'!$T$4:$T$40),IF($BL25=1,SUM('Final Calculation Sheet'!$T$4:$T$40)-SUMIFS('Final Calculation Sheet'!$T$4:$T$40,$AZ$5:$AZ$41,10),SUMIFS('Final Calculation Sheet'!$T$4:$T$40,$AZ$5:$AZ$41,$BH25))),""))</f>
        <v/>
      </c>
      <c r="V26" s="73">
        <f>IF($BJ25&gt;0,IF(INDEX('Final Calculation Sheet'!$U$4:$U$40,$BJ25-3)="","",INDEX('Final Calculation Sheet'!$U$4:$U$40,$BJ25-3)),IF(OR($BI25=1,$BL25=1,$BH25&gt;0),IF($BI25=1,SUM('Final Calculation Sheet'!$U$4:$U$40),IF($BL25=1,SUM('Final Calculation Sheet'!$U$4:$U$40)-SUMIFS('Final Calculation Sheet'!$U$4:$U$40,$AZ$5:$AZ$41,10),SUMIFS('Final Calculation Sheet'!$U$4:$U$40,$AZ$5:$AZ$41,$BH25))),""))</f>
        <v/>
      </c>
      <c r="W26" s="70">
        <f>IF($BJ25&gt;0,IF(INDEX('Final Calculation Sheet'!$V$4:$V$40,$BJ25-3)="","",INDEX('Final Calculation Sheet'!$V$4:$V$40,$BJ25-3)),IF(OR($BI25=1,$BL25=1,$BH25&gt;0),"–",""))</f>
        <v/>
      </c>
      <c r="X26" s="70">
        <f>IF($BJ25&gt;0,IF(INDEX('Final Calculation Sheet'!$W$4:$W$40,$BJ25-3)="","",INDEX('Final Calculation Sheet'!$W$4:$W$40,$BJ25-3)),IF(OR($BI25=1,$BL25=1,$BH25&gt;0),IF($BI25=1,SUM('Final Calculation Sheet'!$W$4:$W$40),IF($BL25=1,SUM('Final Calculation Sheet'!$W$4:$W$40)-SUMIFS('Final Calculation Sheet'!$W$4:$W$40,$AZ$5:$AZ$41,10),SUMIFS('Final Calculation Sheet'!$W$4:$W$40,$AZ$5:$AZ$41,$BH25))),""))</f>
        <v/>
      </c>
      <c r="Y26" s="70">
        <f>IF($BJ25&gt;0,IF(INDEX('Final Calculation Sheet'!$X$4:$X$40,$BJ25-3)="","",INDEX('Final Calculation Sheet'!$X$4:$X$40,$BJ25-3)),IF(OR($BI25=1,$BL25=1,$BH25&gt;0),IF($BI25=1,SUM('Final Calculation Sheet'!$X$4:$X$40),IF($BL25=1,SUM('Final Calculation Sheet'!$X$4:$X$40)-SUMIFS('Final Calculation Sheet'!$X$4:$X$40,$AZ$5:$AZ$41,10),SUMIFS('Final Calculation Sheet'!$X$4:$X$40,$AZ$5:$AZ$41,$BH25))),""))</f>
        <v/>
      </c>
      <c r="Z26" s="70">
        <f>IF($BJ25&gt;0,IF(INDEX('Final Calculation Sheet'!$Y$4:$Y$40,$BJ25-3)="","",INDEX('Final Calculation Sheet'!$Y$4:$Y$40,$BJ25-3)),IF(OR($BI25=1,$BL25=1,$BH25&gt;0),"–",""))</f>
        <v/>
      </c>
      <c r="AA26" s="70">
        <f>IF($BJ25&gt;0,IF(INDEX('Final Calculation Sheet'!$Z$4:$Z$40,$BJ25-3)="","",INDEX('Final Calculation Sheet'!$Z$4:$Z$40,$BJ25-3)),IF(OR($BI25=1,$BL25=1,$BH25&gt;0),IF($BI25=1,SUM('Final Calculation Sheet'!$Z$4:$Z$40),IF($BL25=1,SUM('Final Calculation Sheet'!$Z$4:$Z$40)-SUMIFS('Final Calculation Sheet'!$Z$4:$Z$40,$AZ$5:$AZ$41,10),SUMIFS('Final Calculation Sheet'!$Z$4:$Z$40,$AZ$5:$AZ$41,$BH25))),""))</f>
        <v/>
      </c>
      <c r="AB26" s="70">
        <f>IF($BJ25&gt;0,IF(INDEX('Final Calculation Sheet'!$AA$4:$AA$40,$BJ25-3)="","",INDEX('Final Calculation Sheet'!$AA$4:$AA$40,$BJ25-3)),IF(OR($BI25=1,$BL25=1,$BH25&gt;0),IF($BI25=1,SUM('Final Calculation Sheet'!$AA$4:$AA$40),IF($BL25=1,SUM('Final Calculation Sheet'!$AA$4:$AA$40)-SUMIFS('Final Calculation Sheet'!$AA$4:$AA$40,$AZ$5:$AZ$41,10),SUMIFS('Final Calculation Sheet'!$AA$4:$AA$40,$AZ$5:$AZ$41,$BH25))),""))</f>
        <v/>
      </c>
      <c r="AC26" s="70">
        <f>IF($BJ25&gt;0,IF(INDEX('Final Calculation Sheet'!$AB$4:$AB$40,$BJ25-3)="","",INDEX('Final Calculation Sheet'!$AB$4:$AB$40,$BJ25-3)),IF(OR($BI25=1,$BL25=1,$BH25&gt;0),"–",""))</f>
        <v/>
      </c>
      <c r="AD26" s="70">
        <f>IF($BJ25&gt;0,IF(INDEX('Final Calculation Sheet'!$AC$4:$AC$40,$BJ25-3)="","",INDEX('Final Calculation Sheet'!$AC$4:$AC$40,$BJ25-3)),IF(OR($BI25=1,$BL25=1,$BH25&gt;0),IF($BI25=1,SUM('Final Calculation Sheet'!$AC$4:$AC$40),IF($BL25=1,SUM('Final Calculation Sheet'!$AC$4:$AC$40)-SUMIFS('Final Calculation Sheet'!$AC$4:$AC$40,$AZ$5:$AZ$41,10),SUMIFS('Final Calculation Sheet'!$AC$4:$AC$40,$AZ$5:$AZ$41,$BH25))),""))</f>
        <v/>
      </c>
      <c r="AE26" s="70">
        <f>IF($BJ25&gt;0,IF(INDEX('Final Calculation Sheet'!$AD$4:$AD$40,$BJ25-3)="","",INDEX('Final Calculation Sheet'!$AD$4:$AD$40,$BJ25-3)),IF(OR($BI25=1,$BL25=1,$BH25&gt;0),IF($BI25=1,SUM('Final Calculation Sheet'!$AD$4:$AD$40),IF($BL25=1,SUM('Final Calculation Sheet'!$AD$4:$AD$40)-SUMIFS('Final Calculation Sheet'!$AD$4:$AD$40,$AZ$5:$AZ$41,10),SUMIFS('Final Calculation Sheet'!$AD$4:$AD$40,$AZ$5:$AZ$41,$BH25))),""))</f>
        <v/>
      </c>
      <c r="AF26" s="75">
        <f>IF($BJ25&gt;0,IF(INDEX('Final Calculation Sheet'!$AD$4:$AD$40,$BJ25-3)="","",IF(INDEX('Final Calculation Sheet'!$AD$4:$AD$40,$BJ25-3)&lt;=5,"SETTLED","OUTSTANDING")),IF(OR($BI25=1,$BL25=1,$BH25&gt;0),IF(IF($BI25=1,SUM('Final Calculation Sheet'!$AD$4:$AD$40),IF($BL25=1,SUM('Final Calculation Sheet'!$AD$4:$AD$40)-SUMIFS('Final Calculation Sheet'!$AD$4:$AD$40,$AZ$5:$AZ$41,10),SUMIFS('Final Calculation Sheet'!$AD$4:$AD$40,$AZ$5:$AZ$41,$BH25)))&lt;=5,"ALL SETTLED","OUTSTANDING"),""))</f>
        <v/>
      </c>
      <c r="AG26" s="70">
        <f>IF($BJ25&gt;0,IF(INDEX('Final Calculation Sheet'!$AF$4:$AF$40,$BJ25-3)="","",INDEX('Final Calculation Sheet'!$AF$4:$AF$40,$BJ25-3)),IF(OR($BI25=1,$BL25=1,$BH25&gt;0),"–",""))</f>
        <v/>
      </c>
      <c r="AH26" s="74">
        <f>IF($BJ25&gt;0,IF(INDEX('Final Calculation Sheet'!$AG$4:$AG$40,$BJ25-3)="","",INDEX('Final Calculation Sheet'!$AG$4:$AG$40,$BJ25-3)),IF(OR($BI25=1,$BL25=1,$BH25&gt;0),"–",""))</f>
        <v/>
      </c>
      <c r="AI26" s="70">
        <f>IF($BJ25&gt;0,IF(INDEX('Final Calculation Sheet'!$AH$4:$AH$40,$BJ25-3)="","",INDEX('Final Calculation Sheet'!$AH$4:$AH$40,$BJ25-3)),IF(OR($BI25=1,$BL25=1,$BH25&gt;0),"–",""))</f>
        <v/>
      </c>
      <c r="AK26">
        <f>IF($F$3="Lot No.",'Final Calculation Sheet'!$F$25,IF($F$3="Buyer",'Final Calculation Sheet'!$G$25,IF($F$3="Lot Name",'Final Calculation Sheet'!$B$25,IF($F$3="Bid Sheet",'Final Calculation Sheet'!$D$25,IF($F$3="Unit",'Final Calculation Sheet'!$E$25,'Final Calculation Sheet'!$F$25&amp;" "&amp;'Final Calculation Sheet'!$G$25&amp;" "&amp;'Final Calculation Sheet'!$B$25)))))</f>
        <v/>
      </c>
      <c r="AL26">
        <f>AL25+IF($B$3="",0,--(SUMPRODUCT(--($AR$6:$AY$6&lt;&gt;""),--ISNUMBER(SEARCH($AR$6:$AY$6,$AK26)))&gt;0))</f>
        <v/>
      </c>
      <c r="AM26">
        <f>IF(COUNTIF($BM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AZ26">
        <f>IF($B$3="",IF(COUNTIF($A$4:$AI$4,"&lt;&gt;")=0,9,IF($AM26=1,9,10)),IF($AM26=0,10,IF(AND($AR$6&lt;&gt;"",ISNUMBER(SEARCH($AR$6,$AK26))),1,IF(AND($AS$6&lt;&gt;"",ISNUMBER(SEARCH($AS$6,$AK26))),2,IF(AND($AT$6&lt;&gt;"",ISNUMBER(SEARCH($AT$6,$AK26))),3,IF(AND($AU$6&lt;&gt;"",ISNUMBER(SEARCH($AU$6,$AK26))),4,IF(AND($AV$6&lt;&gt;"",ISNUMBER(SEARCH($AV$6,$AK26))),5,IF(AND($AW$6&lt;&gt;"",ISNUMBER(SEARCH($AW$6,$AK26))),6,IF(AND($AX$6&lt;&gt;"",ISNUMBER(SEARCH($AX$6,$AK26))),7,IF(AND($AY$6&lt;&gt;"",ISNUMBER(SEARCH($AY$6,$AK26))),8,0))))))))))</f>
        <v/>
      </c>
      <c r="BA26">
        <f>SUMPRODUCT(($AZ$5:$AZ$41=$AZ26)*($BC$5:$BC$41&lt;$BC26))+1</f>
        <v/>
      </c>
      <c r="BB26">
        <f>IF(INDEX($BF$4:$BF$13,$AZ26)=0,0,INDEX($BE$4:$BE$13,$AZ26)+$BA26-1)</f>
        <v/>
      </c>
      <c r="BC26" t="n">
        <v>25</v>
      </c>
      <c r="BH26">
        <f>IFERROR(MATCH(26,$BF$4:$BF$13,0),0)</f>
        <v/>
      </c>
      <c r="BI26">
        <f>IF(26=$BG$5,1,0)</f>
        <v/>
      </c>
      <c r="BJ26">
        <f>IF(OR($BH26&gt;0,$BI26=1,$BL26=1),0,IFERROR(INDEX($BC$5:$BC$41,MATCH(26,$BB$5:$BB$41,0)),0))</f>
        <v/>
      </c>
      <c r="BK26">
        <f>IF($BJ26&gt;0,IF(INDEX($AZ$5:$AZ$41,MATCH(26,$BB$5:$BB$41,0))=10,1,0),IF($BH26=10,1,0))</f>
        <v/>
      </c>
      <c r="BL26">
        <f>IF(26=$BG$4,1,0)</f>
        <v/>
      </c>
      <c r="BM2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6">
        <f>IF($B$4="",1,--(OR(SUMPRODUCT(--(TRIM(MID(SUBSTITUTE(SUBSTITUTE($B$4,"/",","),",",REPT(" ",99)),(ROW($1:$8)-1)*99+1,99))&lt;&gt;""),--ISNUMBER(SEARCH(TRIM(MID(SUBSTITUTE(SUBSTITUTE($B$4,"/",","),",",REPT(" ",99)),(ROW($1:$8)-1)*99+1,99)),IFERROR(('Final Calculation Sheet'!$F$25)&amp;"",""))))&gt;0,AND(ISNUMBER(SEARCH("blank",$B$4)),NOT(ISNUMBER(SEARCH("nonblank",$B$4))),IFERROR(('Final Calculation Sheet'!$F$25)&amp;"","")=""),AND(OR(ISNUMBER(SEARCH("nonblank",$B$4)),ISNUMBER(SEARCH("&lt;&gt;",$B$4))),IFERROR(('Final Calculation Sheet'!$F$25)&amp;"","")&lt;&gt;""),AND(TRIM($B$4)="",IFERROR(('Final Calculation Sheet'!$F$25)&amp;"","")=""))))</f>
        <v/>
      </c>
      <c r="BO26">
        <f>IF($CW$3="",1,--(OR(SUMPRODUCT(--(TRIM(MID(SUBSTITUTE(SUBSTITUTE($CW$3,"/",","),",",REPT(" ",99)),(ROW($1:$8)-1)*99+1,99))&lt;&gt;""),--ISNUMBER(SEARCH(TRIM(MID(SUBSTITUTE(SUBSTITUTE($CW$3,"/",","),",",REPT(" ",99)),(ROW($1:$8)-1)*99+1,99)),IFERROR(('Final Calculation Sheet'!$G$25)&amp;"",""))))&gt;0,AND(ISNUMBER(SEARCH("blank",$CW$3)),NOT(ISNUMBER(SEARCH("nonblank",$CW$3))),IFERROR(('Final Calculation Sheet'!$G$25)&amp;"","")=""),AND(OR(ISNUMBER(SEARCH("nonblank",$CW$3)),ISNUMBER(SEARCH("&lt;&gt;",$CW$3))),IFERROR(('Final Calculation Sheet'!$G$25)&amp;"","")&lt;&gt;""),AND(TRIM($CW$3)="",IFERROR(('Final Calculation Sheet'!$G$25)&amp;"","")=""))))</f>
        <v/>
      </c>
      <c r="BP26">
        <f>IF($D$4="",1,--(OR(SUMPRODUCT(--(TRIM(MID(SUBSTITUTE(SUBSTITUTE($D$4,"/",","),",",REPT(" ",99)),(ROW($1:$8)-1)*99+1,99))&lt;&gt;""),--ISNUMBER(SEARCH(TRIM(MID(SUBSTITUTE(SUBSTITUTE($D$4,"/",","),",",REPT(" ",99)),(ROW($1:$8)-1)*99+1,99)),IFERROR(('Final Calculation Sheet'!$B$25)&amp;"",""))))&gt;0,AND(ISNUMBER(SEARCH("blank",$D$4)),NOT(ISNUMBER(SEARCH("nonblank",$D$4))),IFERROR(('Final Calculation Sheet'!$B$25)&amp;"","")=""),AND(OR(ISNUMBER(SEARCH("nonblank",$D$4)),ISNUMBER(SEARCH("&lt;&gt;",$D$4))),IFERROR(('Final Calculation Sheet'!$B$25)&amp;"","")&lt;&gt;""),AND(TRIM($D$4)="",IFERROR(('Final Calculation Sheet'!$B$25)&amp;"","")=""))))</f>
        <v/>
      </c>
      <c r="BQ26">
        <f>IF($E$4="",1,--(OR(SUMPRODUCT(--(TRIM(MID(SUBSTITUTE(SUBSTITUTE($E$4,"/",","),",",REPT(" ",99)),(ROW($1:$8)-1)*99+1,99))&lt;&gt;""),--ISNUMBER(SEARCH(TRIM(MID(SUBSTITUTE(SUBSTITUTE($E$4,"/",","),",",REPT(" ",99)),(ROW($1:$8)-1)*99+1,99)),IFERROR(('Final Calculation Sheet'!$D$25)&amp;"",""))))&gt;0,AND(ISNUMBER(SEARCH("blank",$E$4)),NOT(ISNUMBER(SEARCH("nonblank",$E$4))),IFERROR(('Final Calculation Sheet'!$D$25)&amp;"","")=""),AND(OR(ISNUMBER(SEARCH("nonblank",$E$4)),ISNUMBER(SEARCH("&lt;&gt;",$E$4))),IFERROR(('Final Calculation Sheet'!$D$25)&amp;"","")&lt;&gt;""),AND(TRIM($E$4)="",IFERROR(('Final Calculation Sheet'!$D$25)&amp;"","")=""))))</f>
        <v/>
      </c>
      <c r="BR26">
        <f>IF($F$4="",1,--(OR(SUMPRODUCT(--(TRIM(MID(SUBSTITUTE(SUBSTITUTE($F$4,"/",","),",",REPT(" ",99)),(ROW($1:$8)-1)*99+1,99))&lt;&gt;""),--ISNUMBER(SEARCH(TRIM(MID(SUBSTITUTE(SUBSTITUTE($F$4,"/",","),",",REPT(" ",99)),(ROW($1:$8)-1)*99+1,99)),IFERROR(('Final Calculation Sheet'!$A$25)&amp;"",""))))&gt;0,AND(ISNUMBER(SEARCH("blank",$F$4)),NOT(ISNUMBER(SEARCH("nonblank",$F$4))),IFERROR(('Final Calculation Sheet'!$A$25)&amp;"","")=""),AND(OR(ISNUMBER(SEARCH("nonblank",$F$4)),ISNUMBER(SEARCH("&lt;&gt;",$F$4))),IFERROR(('Final Calculation Sheet'!$A$25)&amp;"","")&lt;&gt;""),AND(TRIM($F$4)="",IFERROR(('Final Calculation Sheet'!$A$25)&amp;"","")=""))))</f>
        <v/>
      </c>
      <c r="BS26">
        <f>IF($G$4="",1,--(OR(SUMPRODUCT(--(TRIM(MID(SUBSTITUTE(SUBSTITUTE($G$4,"/",","),",",REPT(" ",99)),(ROW($1:$8)-1)*99+1,99))&lt;&gt;""),--ISNUMBER(SEARCH(TRIM(MID(SUBSTITUTE(SUBSTITUTE($G$4,"/",","),",",REPT(" ",99)),(ROW($1:$8)-1)*99+1,99)),IFERROR(('Final Calculation Sheet'!$E$25)&amp;"",""))))&gt;0,AND(ISNUMBER(SEARCH("blank",$G$4)),NOT(ISNUMBER(SEARCH("nonblank",$G$4))),IFERROR(('Final Calculation Sheet'!$E$25)&amp;"","")=""),AND(OR(ISNUMBER(SEARCH("nonblank",$G$4)),ISNUMBER(SEARCH("&lt;&gt;",$G$4))),IFERROR(('Final Calculation Sheet'!$E$25)&amp;"","")&lt;&gt;""),AND(TRIM($G$4)="",IFERROR(('Final Calculation Sheet'!$E$25)&amp;"","")=""))))</f>
        <v/>
      </c>
      <c r="BT26">
        <f>IF($H$4="",1,--(OR(SUMPRODUCT(--(TRIM(MID(SUBSTITUTE(SUBSTITUTE($H$4,"/",","),",",REPT(" ",99)),(ROW($1:$8)-1)*99+1,99))&lt;&gt;""),--ISNUMBER(SEARCH(TRIM(MID(SUBSTITUTE(SUBSTITUTE($H$4,"/",","),",",REPT(" ",99)),(ROW($1:$8)-1)*99+1,99)),IFERROR(('Final Calculation Sheet'!$C$25)&amp;"",""))))&gt;0,AND(ISNUMBER(SEARCH("blank",$H$4)),NOT(ISNUMBER(SEARCH("nonblank",$H$4))),IFERROR(('Final Calculation Sheet'!$C$25)&amp;"","")=""),AND(OR(ISNUMBER(SEARCH("nonblank",$H$4)),ISNUMBER(SEARCH("&lt;&gt;",$H$4))),IFERROR(('Final Calculation Sheet'!$C$25)&amp;"","")&lt;&gt;""),AND(TRIM($H$4)="",IFERROR(('Final Calculation Sheet'!$C$25)&amp;"","")=""))))</f>
        <v/>
      </c>
      <c r="BU26">
        <f>IF($I$4="",1,--(OR(SUMPRODUCT(--(TRIM(MID(SUBSTITUTE(SUBSTITUTE($I$4,"/",","),",",REPT(" ",99)),(ROW($1:$8)-1)*99+1,99))&lt;&gt;""),--ISNUMBER(SEARCH(TRIM(MID(SUBSTITUTE(SUBSTITUTE($I$4,"/",","),",",REPT(" ",99)),(ROW($1:$8)-1)*99+1,99)),IFERROR(('Final Calculation Sheet'!$H$25)&amp;"",""))))&gt;0,AND(ISNUMBER(SEARCH("blank",$I$4)),NOT(ISNUMBER(SEARCH("nonblank",$I$4))),IFERROR(('Final Calculation Sheet'!$H$25)&amp;"","")=""),AND(OR(ISNUMBER(SEARCH("nonblank",$I$4)),ISNUMBER(SEARCH("&lt;&gt;",$I$4))),IFERROR(('Final Calculation Sheet'!$H$25)&amp;"","")&lt;&gt;""),AND(TRIM($I$4)="",IFERROR(('Final Calculation Sheet'!$H$25)&amp;"","")=""))))</f>
        <v/>
      </c>
      <c r="BV26">
        <f>IF($J$4="",1,--(OR(SUMPRODUCT(--(TRIM(MID(SUBSTITUTE(SUBSTITUTE($J$4,"/",","),",",REPT(" ",99)),(ROW($1:$8)-1)*99+1,99))&lt;&gt;""),--ISNUMBER(SEARCH(TRIM(MID(SUBSTITUTE(SUBSTITUTE($J$4,"/",","),",",REPT(" ",99)),(ROW($1:$8)-1)*99+1,99)),IFERROR(('Final Calculation Sheet'!$I$25)&amp;"",""))))&gt;0,AND(ISNUMBER(SEARCH("blank",$J$4)),NOT(ISNUMBER(SEARCH("nonblank",$J$4))),IFERROR(('Final Calculation Sheet'!$I$25)&amp;"","")=""),AND(OR(ISNUMBER(SEARCH("nonblank",$J$4)),ISNUMBER(SEARCH("&lt;&gt;",$J$4))),IFERROR(('Final Calculation Sheet'!$I$25)&amp;"","")&lt;&gt;""),AND(TRIM($J$4)="",IFERROR(('Final Calculation Sheet'!$I$25)&amp;"","")=""))))</f>
        <v/>
      </c>
      <c r="BW26">
        <f>IF($K$4="",1,--(OR(SUMPRODUCT(--(TRIM(MID(SUBSTITUTE(SUBSTITUTE($K$4,"/",","),",",REPT(" ",99)),(ROW($1:$8)-1)*99+1,99))&lt;&gt;""),--ISNUMBER(SEARCH(TRIM(MID(SUBSTITUTE(SUBSTITUTE($K$4,"/",","),",",REPT(" ",99)),(ROW($1:$8)-1)*99+1,99)),IFERROR(('Final Calculation Sheet'!$J$25)&amp;"",""))))&gt;0,AND(ISNUMBER(SEARCH("blank",$K$4)),NOT(ISNUMBER(SEARCH("nonblank",$K$4))),IFERROR(('Final Calculation Sheet'!$J$25)&amp;"","")=""),AND(OR(ISNUMBER(SEARCH("nonblank",$K$4)),ISNUMBER(SEARCH("&lt;&gt;",$K$4))),IFERROR(('Final Calculation Sheet'!$J$25)&amp;"","")&lt;&gt;""),AND(TRIM($K$4)="",IFERROR(('Final Calculation Sheet'!$J$25)&amp;"","")=""))))</f>
        <v/>
      </c>
      <c r="BX26">
        <f>IF($L$4="",1,--(OR(SUMPRODUCT(--(TRIM(MID(SUBSTITUTE(SUBSTITUTE($L$4,"/",","),",",REPT(" ",99)),(ROW($1:$8)-1)*99+1,99))&lt;&gt;""),--ISNUMBER(SEARCH(TRIM(MID(SUBSTITUTE(SUBSTITUTE($L$4,"/",","),",",REPT(" ",99)),(ROW($1:$8)-1)*99+1,99)),IFERROR(('Final Calculation Sheet'!$K$25)&amp;"",""))))&gt;0,AND(ISNUMBER(SEARCH("blank",$L$4)),NOT(ISNUMBER(SEARCH("nonblank",$L$4))),IFERROR(('Final Calculation Sheet'!$K$25)&amp;"","")=""),AND(OR(ISNUMBER(SEARCH("nonblank",$L$4)),ISNUMBER(SEARCH("&lt;&gt;",$L$4))),IFERROR(('Final Calculation Sheet'!$K$25)&amp;"","")&lt;&gt;""),AND(TRIM($L$4)="",IFERROR(('Final Calculation Sheet'!$K$25)&amp;"","")=""))))</f>
        <v/>
      </c>
      <c r="BY26">
        <f>IF($M$4="",1,--(OR(SUMPRODUCT(--(TRIM(MID(SUBSTITUTE(SUBSTITUTE($M$4,"/",","),",",REPT(" ",99)),(ROW($1:$8)-1)*99+1,99))&lt;&gt;""),--ISNUMBER(SEARCH(TRIM(MID(SUBSTITUTE(SUBSTITUTE($M$4,"/",","),",",REPT(" ",99)),(ROW($1:$8)-1)*99+1,99)),IFERROR(('Final Calculation Sheet'!$L$25)&amp;"",""))))&gt;0,AND(ISNUMBER(SEARCH("blank",$M$4)),NOT(ISNUMBER(SEARCH("nonblank",$M$4))),IFERROR(('Final Calculation Sheet'!$L$25)&amp;"","")=""),AND(OR(ISNUMBER(SEARCH("nonblank",$M$4)),ISNUMBER(SEARCH("&lt;&gt;",$M$4))),IFERROR(('Final Calculation Sheet'!$L$25)&amp;"","")&lt;&gt;""),AND(TRIM($M$4)="",IFERROR(('Final Calculation Sheet'!$L$25)&amp;"","")=""))))</f>
        <v/>
      </c>
      <c r="BZ26">
        <f>IF($N$4="",1,--(OR(SUMPRODUCT(--(TRIM(MID(SUBSTITUTE(SUBSTITUTE($N$4,"/",","),",",REPT(" ",99)),(ROW($1:$8)-1)*99+1,99))&lt;&gt;""),--ISNUMBER(SEARCH(TRIM(MID(SUBSTITUTE(SUBSTITUTE($N$4,"/",","),",",REPT(" ",99)),(ROW($1:$8)-1)*99+1,99)),IFERROR(('Final Calculation Sheet'!$M$25)&amp;"",""))))&gt;0,AND(ISNUMBER(SEARCH("blank",$N$4)),NOT(ISNUMBER(SEARCH("nonblank",$N$4))),IFERROR(('Final Calculation Sheet'!$M$25)&amp;"","")=""),AND(OR(ISNUMBER(SEARCH("nonblank",$N$4)),ISNUMBER(SEARCH("&lt;&gt;",$N$4))),IFERROR(('Final Calculation Sheet'!$M$25)&amp;"","")&lt;&gt;""),AND(TRIM($N$4)="",IFERROR(('Final Calculation Sheet'!$M$25)&amp;"","")=""))))</f>
        <v/>
      </c>
      <c r="CA26">
        <f>IF($O$4="",1,--(OR(SUMPRODUCT(--(TRIM(MID(SUBSTITUTE(SUBSTITUTE($O$4,"/",","),",",REPT(" ",99)),(ROW($1:$8)-1)*99+1,99))&lt;&gt;""),--ISNUMBER(SEARCH(TRIM(MID(SUBSTITUTE(SUBSTITUTE($O$4,"/",","),",",REPT(" ",99)),(ROW($1:$8)-1)*99+1,99)),IFERROR(('Final Calculation Sheet'!$N$25)&amp;"",""))))&gt;0,AND(ISNUMBER(SEARCH("blank",$O$4)),NOT(ISNUMBER(SEARCH("nonblank",$O$4))),IFERROR(('Final Calculation Sheet'!$N$25)&amp;"","")=""),AND(OR(ISNUMBER(SEARCH("nonblank",$O$4)),ISNUMBER(SEARCH("&lt;&gt;",$O$4))),IFERROR(('Final Calculation Sheet'!$N$25)&amp;"","")&lt;&gt;""),AND(TRIM($O$4)="",IFERROR(('Final Calculation Sheet'!$N$25)&amp;"","")=""))))</f>
        <v/>
      </c>
      <c r="CB26">
        <f>IF($P$4="",1,--(OR(SUMPRODUCT(--(TRIM(MID(SUBSTITUTE(SUBSTITUTE($P$4,"/",","),",",REPT(" ",99)),(ROW($1:$8)-1)*99+1,99))&lt;&gt;""),--ISNUMBER(SEARCH(TRIM(MID(SUBSTITUTE(SUBSTITUTE($P$4,"/",","),",",REPT(" ",99)),(ROW($1:$8)-1)*99+1,99)),IFERROR(('Final Calculation Sheet'!$O$25)&amp;"",""))))&gt;0,AND(ISNUMBER(SEARCH("blank",$P$4)),NOT(ISNUMBER(SEARCH("nonblank",$P$4))),IFERROR(('Final Calculation Sheet'!$O$25)&amp;"","")=""),AND(OR(ISNUMBER(SEARCH("nonblank",$P$4)),ISNUMBER(SEARCH("&lt;&gt;",$P$4))),IFERROR(('Final Calculation Sheet'!$O$25)&amp;"","")&lt;&gt;""),AND(TRIM($P$4)="",IFERROR(('Final Calculation Sheet'!$O$25)&amp;"","")=""))))</f>
        <v/>
      </c>
      <c r="CC26">
        <f>IF($Q$4="",1,--(OR(SUMPRODUCT(--(TRIM(MID(SUBSTITUTE(SUBSTITUTE($Q$4,"/",","),",",REPT(" ",99)),(ROW($1:$8)-1)*99+1,99))&lt;&gt;""),--ISNUMBER(SEARCH(TRIM(MID(SUBSTITUTE(SUBSTITUTE($Q$4,"/",","),",",REPT(" ",99)),(ROW($1:$8)-1)*99+1,99)),IFERROR(('Final Calculation Sheet'!$P$25)&amp;"",""))))&gt;0,AND(ISNUMBER(SEARCH("blank",$Q$4)),NOT(ISNUMBER(SEARCH("nonblank",$Q$4))),IFERROR(('Final Calculation Sheet'!$P$25)&amp;"","")=""),AND(OR(ISNUMBER(SEARCH("nonblank",$Q$4)),ISNUMBER(SEARCH("&lt;&gt;",$Q$4))),IFERROR(('Final Calculation Sheet'!$P$25)&amp;"","")&lt;&gt;""),AND(TRIM($Q$4)="",IFERROR(('Final Calculation Sheet'!$P$25)&amp;"","")=""))))</f>
        <v/>
      </c>
      <c r="CD26">
        <f>IF($R$4="",1,--(OR(SUMPRODUCT(--(TRIM(MID(SUBSTITUTE(SUBSTITUTE($R$4,"/",","),",",REPT(" ",99)),(ROW($1:$8)-1)*99+1,99))&lt;&gt;""),--ISNUMBER(SEARCH(TRIM(MID(SUBSTITUTE(SUBSTITUTE($R$4,"/",","),",",REPT(" ",99)),(ROW($1:$8)-1)*99+1,99)),IFERROR(('Final Calculation Sheet'!$Q$25)&amp;"",""))))&gt;0,AND(ISNUMBER(SEARCH("blank",$R$4)),NOT(ISNUMBER(SEARCH("nonblank",$R$4))),IFERROR(('Final Calculation Sheet'!$Q$25)&amp;"","")=""),AND(OR(ISNUMBER(SEARCH("nonblank",$R$4)),ISNUMBER(SEARCH("&lt;&gt;",$R$4))),IFERROR(('Final Calculation Sheet'!$Q$25)&amp;"","")&lt;&gt;""),AND(TRIM($R$4)="",IFERROR(('Final Calculation Sheet'!$Q$25)&amp;"","")=""))))</f>
        <v/>
      </c>
      <c r="CE26">
        <f>IF($S$4="",1,--(OR(SUMPRODUCT(--(TRIM(MID(SUBSTITUTE(SUBSTITUTE($S$4,"/",","),",",REPT(" ",99)),(ROW($1:$8)-1)*99+1,99))&lt;&gt;""),--ISNUMBER(SEARCH(TRIM(MID(SUBSTITUTE(SUBSTITUTE($S$4,"/",","),",",REPT(" ",99)),(ROW($1:$8)-1)*99+1,99)),IFERROR(('Final Calculation Sheet'!$R$25)&amp;"",""))))&gt;0,AND(ISNUMBER(SEARCH("blank",$S$4)),NOT(ISNUMBER(SEARCH("nonblank",$S$4))),IFERROR(('Final Calculation Sheet'!$R$25)&amp;"","")=""),AND(OR(ISNUMBER(SEARCH("nonblank",$S$4)),ISNUMBER(SEARCH("&lt;&gt;",$S$4))),IFERROR(('Final Calculation Sheet'!$R$25)&amp;"","")&lt;&gt;""),AND(TRIM($S$4)="",IFERROR(('Final Calculation Sheet'!$R$25)&amp;"","")=""))))</f>
        <v/>
      </c>
      <c r="CF26">
        <f>IF($T$4="",1,--(OR(SUMPRODUCT(--(TRIM(MID(SUBSTITUTE(SUBSTITUTE($T$4,"/",","),",",REPT(" ",99)),(ROW($1:$8)-1)*99+1,99))&lt;&gt;""),--ISNUMBER(SEARCH(TRIM(MID(SUBSTITUTE(SUBSTITUTE($T$4,"/",","),",",REPT(" ",99)),(ROW($1:$8)-1)*99+1,99)),IFERROR(('Final Calculation Sheet'!$S$25)&amp;"",""))))&gt;0,AND(ISNUMBER(SEARCH("blank",$T$4)),NOT(ISNUMBER(SEARCH("nonblank",$T$4))),IFERROR(('Final Calculation Sheet'!$S$25)&amp;"","")=""),AND(OR(ISNUMBER(SEARCH("nonblank",$T$4)),ISNUMBER(SEARCH("&lt;&gt;",$T$4))),IFERROR(('Final Calculation Sheet'!$S$25)&amp;"","")&lt;&gt;""),AND(TRIM($T$4)="",IFERROR(('Final Calculation Sheet'!$S$25)&amp;"","")=""))))</f>
        <v/>
      </c>
      <c r="CG26">
        <f>IF($U$4="",1,--(OR(SUMPRODUCT(--(TRIM(MID(SUBSTITUTE(SUBSTITUTE($U$4,"/",","),",",REPT(" ",99)),(ROW($1:$8)-1)*99+1,99))&lt;&gt;""),--ISNUMBER(SEARCH(TRIM(MID(SUBSTITUTE(SUBSTITUTE($U$4,"/",","),",",REPT(" ",99)),(ROW($1:$8)-1)*99+1,99)),IFERROR(('Final Calculation Sheet'!$T$25)&amp;"",""))))&gt;0,AND(ISNUMBER(SEARCH("blank",$U$4)),NOT(ISNUMBER(SEARCH("nonblank",$U$4))),IFERROR(('Final Calculation Sheet'!$T$25)&amp;"","")=""),AND(OR(ISNUMBER(SEARCH("nonblank",$U$4)),ISNUMBER(SEARCH("&lt;&gt;",$U$4))),IFERROR(('Final Calculation Sheet'!$T$25)&amp;"","")&lt;&gt;""),AND(TRIM($U$4)="",IFERROR(('Final Calculation Sheet'!$T$25)&amp;"","")=""))))</f>
        <v/>
      </c>
      <c r="CH26">
        <f>IF($V$4="",1,--(OR(SUMPRODUCT(--(TRIM(MID(SUBSTITUTE(SUBSTITUTE($V$4,"/",","),",",REPT(" ",99)),(ROW($1:$8)-1)*99+1,99))&lt;&gt;""),--ISNUMBER(SEARCH(TRIM(MID(SUBSTITUTE(SUBSTITUTE($V$4,"/",","),",",REPT(" ",99)),(ROW($1:$8)-1)*99+1,99)),IFERROR(('Final Calculation Sheet'!$U$25)&amp;"",""))))&gt;0,AND(ISNUMBER(SEARCH("blank",$V$4)),NOT(ISNUMBER(SEARCH("nonblank",$V$4))),IFERROR(('Final Calculation Sheet'!$U$25)&amp;"","")=""),AND(OR(ISNUMBER(SEARCH("nonblank",$V$4)),ISNUMBER(SEARCH("&lt;&gt;",$V$4))),IFERROR(('Final Calculation Sheet'!$U$25)&amp;"","")&lt;&gt;""),AND(TRIM($V$4)="",IFERROR(('Final Calculation Sheet'!$U$25)&amp;"","")=""))))</f>
        <v/>
      </c>
      <c r="CI26">
        <f>IF($W$4="",1,--(OR(SUMPRODUCT(--(TRIM(MID(SUBSTITUTE(SUBSTITUTE($W$4,"/",","),",",REPT(" ",99)),(ROW($1:$8)-1)*99+1,99))&lt;&gt;""),--ISNUMBER(SEARCH(TRIM(MID(SUBSTITUTE(SUBSTITUTE($W$4,"/",","),",",REPT(" ",99)),(ROW($1:$8)-1)*99+1,99)),IFERROR(('Final Calculation Sheet'!$V$25)&amp;"",""))))&gt;0,AND(ISNUMBER(SEARCH("blank",$W$4)),NOT(ISNUMBER(SEARCH("nonblank",$W$4))),IFERROR(('Final Calculation Sheet'!$V$25)&amp;"","")=""),AND(OR(ISNUMBER(SEARCH("nonblank",$W$4)),ISNUMBER(SEARCH("&lt;&gt;",$W$4))),IFERROR(('Final Calculation Sheet'!$V$25)&amp;"","")&lt;&gt;""),AND(TRIM($W$4)="",IFERROR(('Final Calculation Sheet'!$V$25)&amp;"","")=""))))</f>
        <v/>
      </c>
      <c r="CJ26">
        <f>IF($X$4="",1,--(OR(SUMPRODUCT(--(TRIM(MID(SUBSTITUTE(SUBSTITUTE($X$4,"/",","),",",REPT(" ",99)),(ROW($1:$8)-1)*99+1,99))&lt;&gt;""),--ISNUMBER(SEARCH(TRIM(MID(SUBSTITUTE(SUBSTITUTE($X$4,"/",","),",",REPT(" ",99)),(ROW($1:$8)-1)*99+1,99)),IFERROR(('Final Calculation Sheet'!$W$25)&amp;"",""))))&gt;0,AND(ISNUMBER(SEARCH("blank",$X$4)),NOT(ISNUMBER(SEARCH("nonblank",$X$4))),IFERROR(('Final Calculation Sheet'!$W$25)&amp;"","")=""),AND(OR(ISNUMBER(SEARCH("nonblank",$X$4)),ISNUMBER(SEARCH("&lt;&gt;",$X$4))),IFERROR(('Final Calculation Sheet'!$W$25)&amp;"","")&lt;&gt;""),AND(TRIM($X$4)="",IFERROR(('Final Calculation Sheet'!$W$25)&amp;"","")=""))))</f>
        <v/>
      </c>
      <c r="CK26">
        <f>IF($Y$4="",1,--(OR(SUMPRODUCT(--(TRIM(MID(SUBSTITUTE(SUBSTITUTE($Y$4,"/",","),",",REPT(" ",99)),(ROW($1:$8)-1)*99+1,99))&lt;&gt;""),--ISNUMBER(SEARCH(TRIM(MID(SUBSTITUTE(SUBSTITUTE($Y$4,"/",","),",",REPT(" ",99)),(ROW($1:$8)-1)*99+1,99)),IFERROR(('Final Calculation Sheet'!$X$25)&amp;"",""))))&gt;0,AND(ISNUMBER(SEARCH("blank",$Y$4)),NOT(ISNUMBER(SEARCH("nonblank",$Y$4))),IFERROR(('Final Calculation Sheet'!$X$25)&amp;"","")=""),AND(OR(ISNUMBER(SEARCH("nonblank",$Y$4)),ISNUMBER(SEARCH("&lt;&gt;",$Y$4))),IFERROR(('Final Calculation Sheet'!$X$25)&amp;"","")&lt;&gt;""),AND(TRIM($Y$4)="",IFERROR(('Final Calculation Sheet'!$X$25)&amp;"","")=""))))</f>
        <v/>
      </c>
      <c r="CL26">
        <f>IF($Z$4="",1,--(OR(SUMPRODUCT(--(TRIM(MID(SUBSTITUTE(SUBSTITUTE($Z$4,"/",","),",",REPT(" ",99)),(ROW($1:$8)-1)*99+1,99))&lt;&gt;""),--ISNUMBER(SEARCH(TRIM(MID(SUBSTITUTE(SUBSTITUTE($Z$4,"/",","),",",REPT(" ",99)),(ROW($1:$8)-1)*99+1,99)),IFERROR(('Final Calculation Sheet'!$Y$25)&amp;"",""))))&gt;0,AND(ISNUMBER(SEARCH("blank",$Z$4)),NOT(ISNUMBER(SEARCH("nonblank",$Z$4))),IFERROR(('Final Calculation Sheet'!$Y$25)&amp;"","")=""),AND(OR(ISNUMBER(SEARCH("nonblank",$Z$4)),ISNUMBER(SEARCH("&lt;&gt;",$Z$4))),IFERROR(('Final Calculation Sheet'!$Y$25)&amp;"","")&lt;&gt;""),AND(TRIM($Z$4)="",IFERROR(('Final Calculation Sheet'!$Y$25)&amp;"","")=""))))</f>
        <v/>
      </c>
      <c r="CM26">
        <f>IF($AA$4="",1,--(OR(SUMPRODUCT(--(TRIM(MID(SUBSTITUTE(SUBSTITUTE($AA$4,"/",","),",",REPT(" ",99)),(ROW($1:$8)-1)*99+1,99))&lt;&gt;""),--ISNUMBER(SEARCH(TRIM(MID(SUBSTITUTE(SUBSTITUTE($AA$4,"/",","),",",REPT(" ",99)),(ROW($1:$8)-1)*99+1,99)),IFERROR(('Final Calculation Sheet'!$Z$25)&amp;"",""))))&gt;0,AND(ISNUMBER(SEARCH("blank",$AA$4)),NOT(ISNUMBER(SEARCH("nonblank",$AA$4))),IFERROR(('Final Calculation Sheet'!$Z$25)&amp;"","")=""),AND(OR(ISNUMBER(SEARCH("nonblank",$AA$4)),ISNUMBER(SEARCH("&lt;&gt;",$AA$4))),IFERROR(('Final Calculation Sheet'!$Z$25)&amp;"","")&lt;&gt;""),AND(TRIM($AA$4)="",IFERROR(('Final Calculation Sheet'!$Z$25)&amp;"","")=""))))</f>
        <v/>
      </c>
      <c r="CN26">
        <f>IF($AB$4="",1,--(OR(SUMPRODUCT(--(TRIM(MID(SUBSTITUTE(SUBSTITUTE($AB$4,"/",","),",",REPT(" ",99)),(ROW($1:$8)-1)*99+1,99))&lt;&gt;""),--ISNUMBER(SEARCH(TRIM(MID(SUBSTITUTE(SUBSTITUTE($AB$4,"/",","),",",REPT(" ",99)),(ROW($1:$8)-1)*99+1,99)),IFERROR(('Final Calculation Sheet'!$AA$25)&amp;"",""))))&gt;0,AND(ISNUMBER(SEARCH("blank",$AB$4)),NOT(ISNUMBER(SEARCH("nonblank",$AB$4))),IFERROR(('Final Calculation Sheet'!$AA$25)&amp;"","")=""),AND(OR(ISNUMBER(SEARCH("nonblank",$AB$4)),ISNUMBER(SEARCH("&lt;&gt;",$AB$4))),IFERROR(('Final Calculation Sheet'!$AA$25)&amp;"","")&lt;&gt;""),AND(TRIM($AB$4)="",IFERROR(('Final Calculation Sheet'!$AA$25)&amp;"","")=""))))</f>
        <v/>
      </c>
      <c r="CO26">
        <f>IF($AC$4="",1,--(OR(SUMPRODUCT(--(TRIM(MID(SUBSTITUTE(SUBSTITUTE($AC$4,"/",","),",",REPT(" ",99)),(ROW($1:$8)-1)*99+1,99))&lt;&gt;""),--ISNUMBER(SEARCH(TRIM(MID(SUBSTITUTE(SUBSTITUTE($AC$4,"/",","),",",REPT(" ",99)),(ROW($1:$8)-1)*99+1,99)),IFERROR(('Final Calculation Sheet'!$AB$25)&amp;"",""))))&gt;0,AND(ISNUMBER(SEARCH("blank",$AC$4)),NOT(ISNUMBER(SEARCH("nonblank",$AC$4))),IFERROR(('Final Calculation Sheet'!$AB$25)&amp;"","")=""),AND(OR(ISNUMBER(SEARCH("nonblank",$AC$4)),ISNUMBER(SEARCH("&lt;&gt;",$AC$4))),IFERROR(('Final Calculation Sheet'!$AB$25)&amp;"","")&lt;&gt;""),AND(TRIM($AC$4)="",IFERROR(('Final Calculation Sheet'!$AB$25)&amp;"","")=""))))</f>
        <v/>
      </c>
      <c r="CP26">
        <f>IF($AD$4="",1,--(OR(SUMPRODUCT(--(TRIM(MID(SUBSTITUTE(SUBSTITUTE($AD$4,"/",","),",",REPT(" ",99)),(ROW($1:$8)-1)*99+1,99))&lt;&gt;""),--ISNUMBER(SEARCH(TRIM(MID(SUBSTITUTE(SUBSTITUTE($AD$4,"/",","),",",REPT(" ",99)),(ROW($1:$8)-1)*99+1,99)),IFERROR(('Final Calculation Sheet'!$AC$25)&amp;"",""))))&gt;0,AND(ISNUMBER(SEARCH("blank",$AD$4)),NOT(ISNUMBER(SEARCH("nonblank",$AD$4))),IFERROR(('Final Calculation Sheet'!$AC$25)&amp;"","")=""),AND(OR(ISNUMBER(SEARCH("nonblank",$AD$4)),ISNUMBER(SEARCH("&lt;&gt;",$AD$4))),IFERROR(('Final Calculation Sheet'!$AC$25)&amp;"","")&lt;&gt;""),AND(TRIM($AD$4)="",IFERROR(('Final Calculation Sheet'!$AC$25)&amp;"","")=""))))</f>
        <v/>
      </c>
      <c r="CQ26">
        <f>IF($AE$4="",1,--(OR(SUMPRODUCT(--(TRIM(MID(SUBSTITUTE(SUBSTITUTE($AE$4,"/",","),",",REPT(" ",99)),(ROW($1:$8)-1)*99+1,99))&lt;&gt;""),--ISNUMBER(SEARCH(TRIM(MID(SUBSTITUTE(SUBSTITUTE($AE$4,"/",","),",",REPT(" ",99)),(ROW($1:$8)-1)*99+1,99)),IFERROR(('Final Calculation Sheet'!$AD$25)&amp;"",""))))&gt;0,AND(ISNUMBER(SEARCH("blank",$AE$4)),NOT(ISNUMBER(SEARCH("nonblank",$AE$4))),IFERROR(('Final Calculation Sheet'!$AD$25)&amp;"","")=""),AND(OR(ISNUMBER(SEARCH("nonblank",$AE$4)),ISNUMBER(SEARCH("&lt;&gt;",$AE$4))),IFERROR(('Final Calculation Sheet'!$AD$25)&amp;"","")&lt;&gt;""),AND(TRIM($AE$4)="",IFERROR(('Final Calculation Sheet'!$AD$25)&amp;"","")=""))))</f>
        <v/>
      </c>
      <c r="CR26">
        <f>IF($AG$4="",1,--(OR(SUMPRODUCT(--(TRIM(MID(SUBSTITUTE(SUBSTITUTE($AG$4,"/",","),",",REPT(" ",99)),(ROW($1:$8)-1)*99+1,99))&lt;&gt;""),--ISNUMBER(SEARCH(TRIM(MID(SUBSTITUTE(SUBSTITUTE($AG$4,"/",","),",",REPT(" ",99)),(ROW($1:$8)-1)*99+1,99)),IFERROR(('Final Calculation Sheet'!$AF$25)&amp;"",""))))&gt;0,AND(ISNUMBER(SEARCH("blank",$AG$4)),NOT(ISNUMBER(SEARCH("nonblank",$AG$4))),IFERROR(('Final Calculation Sheet'!$AF$25)&amp;"","")=""),AND(OR(ISNUMBER(SEARCH("nonblank",$AG$4)),ISNUMBER(SEARCH("&lt;&gt;",$AG$4))),IFERROR(('Final Calculation Sheet'!$AF$25)&amp;"","")&lt;&gt;""),AND(TRIM($AG$4)="",IFERROR(('Final Calculation Sheet'!$AF$25)&amp;"","")=""))))</f>
        <v/>
      </c>
      <c r="CS26">
        <f>IF($AH$4="",1,--(OR(SUMPRODUCT(--(TRIM(MID(SUBSTITUTE(SUBSTITUTE($AH$4,"/",","),",",REPT(" ",99)),(ROW($1:$8)-1)*99+1,99))&lt;&gt;""),--ISNUMBER(SEARCH(TRIM(MID(SUBSTITUTE(SUBSTITUTE($AH$4,"/",","),",",REPT(" ",99)),(ROW($1:$8)-1)*99+1,99)),IFERROR(('Final Calculation Sheet'!$AG$25)&amp;"",""))))&gt;0,AND(ISNUMBER(SEARCH("blank",$AH$4)),NOT(ISNUMBER(SEARCH("nonblank",$AH$4))),IFERROR(('Final Calculation Sheet'!$AG$25)&amp;"","")=""),AND(OR(ISNUMBER(SEARCH("nonblank",$AH$4)),ISNUMBER(SEARCH("&lt;&gt;",$AH$4))),IFERROR(('Final Calculation Sheet'!$AG$25)&amp;"","")&lt;&gt;""),AND(TRIM($AH$4)="",IFERROR(('Final Calculation Sheet'!$AG$25)&amp;"","")=""))))</f>
        <v/>
      </c>
      <c r="CT26">
        <f>IF($AI$4="",1,--(OR(SUMPRODUCT(--(TRIM(MID(SUBSTITUTE(SUBSTITUTE($AI$4,"/",","),",",REPT(" ",99)),(ROW($1:$8)-1)*99+1,99))&lt;&gt;""),--ISNUMBER(SEARCH(TRIM(MID(SUBSTITUTE(SUBSTITUTE($AI$4,"/",","),",",REPT(" ",99)),(ROW($1:$8)-1)*99+1,99)),IFERROR(('Final Calculation Sheet'!$AH$25)&amp;"",""))))&gt;0,AND(ISNUMBER(SEARCH("blank",$AI$4)),NOT(ISNUMBER(SEARCH("nonblank",$AI$4))),IFERROR(('Final Calculation Sheet'!$AH$25)&amp;"","")=""),AND(OR(ISNUMBER(SEARCH("nonblank",$AI$4)),ISNUMBER(SEARCH("&lt;&gt;",$AI$4))),IFERROR(('Final Calculation Sheet'!$AH$25)&amp;"","")&lt;&gt;""),AND(TRIM($AI$4)="",IFERROR(('Final Calculation Sheet'!$AH$25)&amp;"","")=""))))</f>
        <v/>
      </c>
      <c r="CU26">
        <f>IF($AF$4="",1,--(OR(SUMPRODUCT(--(TRIM(MID(SUBSTITUTE(SUBSTITUTE($AF$4,"/",","),",",REPT(" ",99)),(ROW($1:$8)-1)*99+1,99))&lt;&gt;""),--ISNUMBER(SEARCH(TRIM(MID(SUBSTITUTE(SUBSTITUTE($AF$4,"/",","),",",REPT(" ",99)),(ROW($1:$8)-1)*99+1,99)),IFERROR((IF('Final Calculation Sheet'!$AD$25&lt;=5,"SETTLED","OUTSTANDING"))&amp;"",""))))&gt;0,AND(ISNUMBER(SEARCH("blank",$AF$4)),NOT(ISNUMBER(SEARCH("nonblank",$AF$4))),IFERROR((IF('Final Calculation Sheet'!$AD$25&lt;=5,"SETTLED","OUTSTANDING"))&amp;"","")=""),AND(OR(ISNUMBER(SEARCH("nonblank",$AF$4)),ISNUMBER(SEARCH("&lt;&gt;",$AF$4))),IFERROR((IF('Final Calculation Sheet'!$AD$25&lt;=5,"SETTLED","OUTSTANDING"))&amp;"","")&lt;&gt;""),AND(TRIM($AF$4)="",IFERROR((IF('Final Calculation Sheet'!$AD$25&lt;=5,"SETTLED","OUTSTANDING"))&amp;"","")=""))))</f>
        <v/>
      </c>
    </row>
    <row r="27" ht="15" customHeight="1" s="137">
      <c r="A27" s="67">
        <f>IF($BJ26&gt;0,INDEX($BA$5:$BA$41,MATCH(26,$BB$5:$BB$41,0)),IF(OR($BI26=1,$BL26=1,$BH26&gt;0),"∑",""))</f>
        <v/>
      </c>
      <c r="B27" s="76">
        <f>IF($BJ26&gt;0,IF(INDEX('Final Calculation Sheet'!$F$4:$F$40,$BJ26-3)="","",INDEX('Final Calculation Sheet'!$F$4:$F$40,$BJ26-3)),"")</f>
        <v/>
      </c>
      <c r="C27" s="76">
        <f>IF($BJ26&gt;0,IF(INDEX('Final Calculation Sheet'!$G$4:$G$40,$BJ26-3)="","",INDEX('Final Calculation Sheet'!$G$4:$G$40,$BJ26-3)),IF(OR($BI26=1,$BL26=1,$BH26&gt;0),IF($BI26=1,37,IF($BL26=1,37-INDEX($BD$4:$BD$13,10),INDEX($BD$4:$BD$13,$BH26)))&amp;" lot(s)",""))</f>
        <v/>
      </c>
      <c r="D27" s="80">
        <f>IF($BJ26&gt;0,IF(INDEX('Final Calculation Sheet'!$B$4:$B$40,$BJ26-3)="","",INDEX('Final Calculation Sheet'!$B$4:$B$40,$BJ26-3)),IF(OR($BI26=1,$BL26=1,$BH26&gt;0),IF($BI26=1,"GRAND TOTAL  —  matching + remaining",IF($BL26=1,"TOTAL MATCHED  —  every group together",IF($BH26=10,"REMAINING  —  did not match the search",IF($BH26=9,IF(COUNTIF($A$4:$AI$4,"&lt;&gt;")&gt;0,"FILTERED LOTS  —  column fields","ALL LOTS  —  nothing typed in the box"),"GROUP "&amp;$BH26&amp;" TOTAL  —  lots matching  "&amp;INDEX($AR$6:$AY$6,$BH26))))),""))</f>
        <v/>
      </c>
      <c r="E27" s="80">
        <f>IF($BJ26&gt;0,IF(INDEX('Final Calculation Sheet'!$D$4:$D$40,$BJ26-3)="","",INDEX('Final Calculation Sheet'!$D$4:$D$40,$BJ26-3)),IF(OR($BI26=1,$BL26=1,$BH26&gt;0),"–",""))</f>
        <v/>
      </c>
      <c r="F27" s="80">
        <f>IF($BJ26&gt;0,IF(INDEX('Final Calculation Sheet'!$A$4:$A$40,$BJ26-3)="","",INDEX('Final Calculation Sheet'!$A$4:$A$40,$BJ26-3)),IF(OR($BI26=1,$BL26=1,$BH26&gt;0),IF($BI26=1,SUM('Final Calculation Sheet'!$A$4:$A$40),IF($BL26=1,SUM('Final Calculation Sheet'!$A$4:$A$40)-SUMIFS('Final Calculation Sheet'!$A$4:$A$40,$AZ$5:$AZ$41,10),SUMIFS('Final Calculation Sheet'!$A$4:$A$40,$AZ$5:$AZ$41,$BH26))),""))</f>
        <v/>
      </c>
      <c r="G27" s="80">
        <f>IF($BJ26&gt;0,IF(INDEX('Final Calculation Sheet'!$E$4:$E$40,$BJ26-3)="","",INDEX('Final Calculation Sheet'!$E$4:$E$40,$BJ26-3)),IF(OR($BI26=1,$BL26=1,$BH26&gt;0),"–",""))</f>
        <v/>
      </c>
      <c r="H27" s="70">
        <f>IF($BJ26&gt;0,IF(INDEX('Final Calculation Sheet'!$C$4:$C$40,$BJ26-3)="","",INDEX('Final Calculation Sheet'!$C$4:$C$40,$BJ26-3)),IF(OR($BI26=1,$BL26=1,$BH26&gt;0),"–",""))</f>
        <v/>
      </c>
      <c r="I27" s="70">
        <f>IF($BJ26&gt;0,IF(INDEX('Final Calculation Sheet'!$H$4:$H$40,$BJ26-3)="","",INDEX('Final Calculation Sheet'!$H$4:$H$40,$BJ26-3)),IF(OR($BI26=1,$BL26=1,$BH26&gt;0),IF($BI26=1,SUM('Final Calculation Sheet'!$H$4:$H$40),IF($BL26=1,SUM('Final Calculation Sheet'!$H$4:$H$40)-SUMIFS('Final Calculation Sheet'!$H$4:$H$40,$AZ$5:$AZ$41,10),SUMIFS('Final Calculation Sheet'!$H$4:$H$40,$AZ$5:$AZ$41,$BH26))),""))</f>
        <v/>
      </c>
      <c r="J27" s="70">
        <f>IF($BJ26&gt;0,IF(INDEX('Final Calculation Sheet'!$I$4:$I$40,$BJ26-3)="","",INDEX('Final Calculation Sheet'!$I$4:$I$40,$BJ26-3)),IF(OR($BI26=1,$BL26=1,$BH26&gt;0),IF($BI26=1,SUM('Final Calculation Sheet'!$I$4:$I$40),IF($BL26=1,SUM('Final Calculation Sheet'!$I$4:$I$40)-SUMIFS('Final Calculation Sheet'!$I$4:$I$40,$AZ$5:$AZ$41,10),SUMIFS('Final Calculation Sheet'!$I$4:$I$40,$AZ$5:$AZ$41,$BH26))),""))</f>
        <v/>
      </c>
      <c r="K27" s="70">
        <f>IF($BJ26&gt;0,IF(INDEX('Final Calculation Sheet'!$J$4:$J$40,$BJ26-3)="","",INDEX('Final Calculation Sheet'!$J$4:$J$40,$BJ26-3)),IF(OR($BI26=1,$BL26=1,$BH26&gt;0),IF($BI26=1,SUM('Final Calculation Sheet'!$J$4:$J$40),IF($BL26=1,SUM('Final Calculation Sheet'!$J$4:$J$40)-SUMIFS('Final Calculation Sheet'!$J$4:$J$40,$AZ$5:$AZ$41,10),SUMIFS('Final Calculation Sheet'!$J$4:$J$40,$AZ$5:$AZ$41,$BH26))),""))</f>
        <v/>
      </c>
      <c r="L27" s="70">
        <f>IF($BJ26&gt;0,IF(INDEX('Final Calculation Sheet'!$K$4:$K$40,$BJ26-3)="","",INDEX('Final Calculation Sheet'!$K$4:$K$40,$BJ26-3)),IF(OR($BI26=1,$BL26=1,$BH26&gt;0),IF($BI26=1,SUM('Final Calculation Sheet'!$K$4:$K$40),IF($BL26=1,SUM('Final Calculation Sheet'!$K$4:$K$40)-SUMIFS('Final Calculation Sheet'!$K$4:$K$40,$AZ$5:$AZ$41,10),SUMIFS('Final Calculation Sheet'!$K$4:$K$40,$AZ$5:$AZ$41,$BH26))),""))</f>
        <v/>
      </c>
      <c r="M27" s="70">
        <f>IF($BJ26&gt;0,IF(INDEX('Final Calculation Sheet'!$L$4:$L$40,$BJ26-3)="","",INDEX('Final Calculation Sheet'!$L$4:$L$40,$BJ26-3)),IF(OR($BI26=1,$BL26=1,$BH26&gt;0),IF($BI26=1,SUM('Final Calculation Sheet'!$L$4:$L$40),IF($BL26=1,SUM('Final Calculation Sheet'!$L$4:$L$40)-SUMIFS('Final Calculation Sheet'!$L$4:$L$40,$AZ$5:$AZ$41,10),SUMIFS('Final Calculation Sheet'!$L$4:$L$40,$AZ$5:$AZ$41,$BH26))),""))</f>
        <v/>
      </c>
      <c r="N27" s="70">
        <f>IF($BJ26&gt;0,IF(INDEX('Final Calculation Sheet'!$M$4:$M$40,$BJ26-3)="","",INDEX('Final Calculation Sheet'!$M$4:$M$40,$BJ26-3)),IF(OR($BI26=1,$BL26=1,$BH26&gt;0),IF($BI26=1,SUM('Final Calculation Sheet'!$M$4:$M$40),IF($BL26=1,SUM('Final Calculation Sheet'!$M$4:$M$40)-SUMIFS('Final Calculation Sheet'!$M$4:$M$40,$AZ$5:$AZ$41,10),SUMIFS('Final Calculation Sheet'!$M$4:$M$40,$AZ$5:$AZ$41,$BH26))),""))</f>
        <v/>
      </c>
      <c r="O27" s="71">
        <f>IF($BJ26&gt;0,IF(INDEX('Final Calculation Sheet'!$N$4:$N$40,$BJ26-3)="","",INDEX('Final Calculation Sheet'!$N$4:$N$40,$BJ26-3)),IF(OR($BI26=1,$BL26=1,$BH26&gt;0),IF($BI26=1,SUM('Final Calculation Sheet'!$N$4:$N$40),IF($BL26=1,SUM('Final Calculation Sheet'!$N$4:$N$40)-SUMIFS('Final Calculation Sheet'!$N$4:$N$40,$AZ$5:$AZ$41,10),SUMIFS('Final Calculation Sheet'!$N$4:$N$40,$AZ$5:$AZ$41,$BH26))),""))</f>
        <v/>
      </c>
      <c r="P27" s="70">
        <f>IF($BJ26&gt;0,IF(INDEX('Final Calculation Sheet'!$O$4:$O$40,$BJ26-3)="","",INDEX('Final Calculation Sheet'!$O$4:$O$40,$BJ26-3)),IF(OR($BI26=1,$BL26=1,$BH26&gt;0),IF($BI26=1,SUM('Final Calculation Sheet'!$O$4:$O$40),IF($BL26=1,SUM('Final Calculation Sheet'!$O$4:$O$40)-SUMIFS('Final Calculation Sheet'!$O$4:$O$40,$AZ$5:$AZ$41,10),SUMIFS('Final Calculation Sheet'!$O$4:$O$40,$AZ$5:$AZ$41,$BH26))),""))</f>
        <v/>
      </c>
      <c r="Q27" s="70">
        <f>IF($BJ26&gt;0,IF(INDEX('Final Calculation Sheet'!$P$4:$P$40,$BJ26-3)="","",INDEX('Final Calculation Sheet'!$P$4:$P$40,$BJ26-3)),IF(OR($BI26=1,$BL26=1,$BH26&gt;0),IF($BI26=1,SUM('Final Calculation Sheet'!$P$4:$P$40),IF($BL26=1,SUM('Final Calculation Sheet'!$P$4:$P$40)-SUMIFS('Final Calculation Sheet'!$P$4:$P$40,$AZ$5:$AZ$41,10),SUMIFS('Final Calculation Sheet'!$P$4:$P$40,$AZ$5:$AZ$41,$BH26))),""))</f>
        <v/>
      </c>
      <c r="R27" s="72">
        <f>IF($BJ26&gt;0,IF(INDEX('Final Calculation Sheet'!$Q$4:$Q$40,$BJ26-3)="","",INDEX('Final Calculation Sheet'!$Q$4:$Q$40,$BJ26-3)),IF(OR($BI26=1,$BL26=1,$BH26&gt;0),"–",""))</f>
        <v/>
      </c>
      <c r="S27" s="70">
        <f>IF($BJ26&gt;0,IF(INDEX('Final Calculation Sheet'!$R$4:$R$40,$BJ26-3)="","",INDEX('Final Calculation Sheet'!$R$4:$R$40,$BJ26-3)),IF(OR($BI26=1,$BL26=1,$BH26&gt;0),IF($BI26=1,SUM('Final Calculation Sheet'!$R$4:$R$40),IF($BL26=1,SUM('Final Calculation Sheet'!$R$4:$R$40)-SUMIFS('Final Calculation Sheet'!$R$4:$R$40,$AZ$5:$AZ$41,10),SUMIFS('Final Calculation Sheet'!$R$4:$R$40,$AZ$5:$AZ$41,$BH26))),""))</f>
        <v/>
      </c>
      <c r="T27" s="70">
        <f>IF($BJ26&gt;0,IF(INDEX('Final Calculation Sheet'!$S$4:$S$40,$BJ26-3)="","",INDEX('Final Calculation Sheet'!$S$4:$S$40,$BJ26-3)),IF(OR($BI26=1,$BL26=1,$BH26&gt;0),IF($BI26=1,SUM('Final Calculation Sheet'!$S$4:$S$40),IF($BL26=1,SUM('Final Calculation Sheet'!$S$4:$S$40)-SUMIFS('Final Calculation Sheet'!$S$4:$S$40,$AZ$5:$AZ$41,10),SUMIFS('Final Calculation Sheet'!$S$4:$S$40,$AZ$5:$AZ$41,$BH26))),""))</f>
        <v/>
      </c>
      <c r="U27" s="70">
        <f>IF($BJ26&gt;0,IF(INDEX('Final Calculation Sheet'!$T$4:$T$40,$BJ26-3)="","",INDEX('Final Calculation Sheet'!$T$4:$T$40,$BJ26-3)),IF(OR($BI26=1,$BL26=1,$BH26&gt;0),IF($BI26=1,SUM('Final Calculation Sheet'!$T$4:$T$40),IF($BL26=1,SUM('Final Calculation Sheet'!$T$4:$T$40)-SUMIFS('Final Calculation Sheet'!$T$4:$T$40,$AZ$5:$AZ$41,10),SUMIFS('Final Calculation Sheet'!$T$4:$T$40,$AZ$5:$AZ$41,$BH26))),""))</f>
        <v/>
      </c>
      <c r="V27" s="73">
        <f>IF($BJ26&gt;0,IF(INDEX('Final Calculation Sheet'!$U$4:$U$40,$BJ26-3)="","",INDEX('Final Calculation Sheet'!$U$4:$U$40,$BJ26-3)),IF(OR($BI26=1,$BL26=1,$BH26&gt;0),IF($BI26=1,SUM('Final Calculation Sheet'!$U$4:$U$40),IF($BL26=1,SUM('Final Calculation Sheet'!$U$4:$U$40)-SUMIFS('Final Calculation Sheet'!$U$4:$U$40,$AZ$5:$AZ$41,10),SUMIFS('Final Calculation Sheet'!$U$4:$U$40,$AZ$5:$AZ$41,$BH26))),""))</f>
        <v/>
      </c>
      <c r="W27" s="70">
        <f>IF($BJ26&gt;0,IF(INDEX('Final Calculation Sheet'!$V$4:$V$40,$BJ26-3)="","",INDEX('Final Calculation Sheet'!$V$4:$V$40,$BJ26-3)),IF(OR($BI26=1,$BL26=1,$BH26&gt;0),"–",""))</f>
        <v/>
      </c>
      <c r="X27" s="70">
        <f>IF($BJ26&gt;0,IF(INDEX('Final Calculation Sheet'!$W$4:$W$40,$BJ26-3)="","",INDEX('Final Calculation Sheet'!$W$4:$W$40,$BJ26-3)),IF(OR($BI26=1,$BL26=1,$BH26&gt;0),IF($BI26=1,SUM('Final Calculation Sheet'!$W$4:$W$40),IF($BL26=1,SUM('Final Calculation Sheet'!$W$4:$W$40)-SUMIFS('Final Calculation Sheet'!$W$4:$W$40,$AZ$5:$AZ$41,10),SUMIFS('Final Calculation Sheet'!$W$4:$W$40,$AZ$5:$AZ$41,$BH26))),""))</f>
        <v/>
      </c>
      <c r="Y27" s="70">
        <f>IF($BJ26&gt;0,IF(INDEX('Final Calculation Sheet'!$X$4:$X$40,$BJ26-3)="","",INDEX('Final Calculation Sheet'!$X$4:$X$40,$BJ26-3)),IF(OR($BI26=1,$BL26=1,$BH26&gt;0),IF($BI26=1,SUM('Final Calculation Sheet'!$X$4:$X$40),IF($BL26=1,SUM('Final Calculation Sheet'!$X$4:$X$40)-SUMIFS('Final Calculation Sheet'!$X$4:$X$40,$AZ$5:$AZ$41,10),SUMIFS('Final Calculation Sheet'!$X$4:$X$40,$AZ$5:$AZ$41,$BH26))),""))</f>
        <v/>
      </c>
      <c r="Z27" s="70">
        <f>IF($BJ26&gt;0,IF(INDEX('Final Calculation Sheet'!$Y$4:$Y$40,$BJ26-3)="","",INDEX('Final Calculation Sheet'!$Y$4:$Y$40,$BJ26-3)),IF(OR($BI26=1,$BL26=1,$BH26&gt;0),"–",""))</f>
        <v/>
      </c>
      <c r="AA27" s="70">
        <f>IF($BJ26&gt;0,IF(INDEX('Final Calculation Sheet'!$Z$4:$Z$40,$BJ26-3)="","",INDEX('Final Calculation Sheet'!$Z$4:$Z$40,$BJ26-3)),IF(OR($BI26=1,$BL26=1,$BH26&gt;0),IF($BI26=1,SUM('Final Calculation Sheet'!$Z$4:$Z$40),IF($BL26=1,SUM('Final Calculation Sheet'!$Z$4:$Z$40)-SUMIFS('Final Calculation Sheet'!$Z$4:$Z$40,$AZ$5:$AZ$41,10),SUMIFS('Final Calculation Sheet'!$Z$4:$Z$40,$AZ$5:$AZ$41,$BH26))),""))</f>
        <v/>
      </c>
      <c r="AB27" s="70">
        <f>IF($BJ26&gt;0,IF(INDEX('Final Calculation Sheet'!$AA$4:$AA$40,$BJ26-3)="","",INDEX('Final Calculation Sheet'!$AA$4:$AA$40,$BJ26-3)),IF(OR($BI26=1,$BL26=1,$BH26&gt;0),IF($BI26=1,SUM('Final Calculation Sheet'!$AA$4:$AA$40),IF($BL26=1,SUM('Final Calculation Sheet'!$AA$4:$AA$40)-SUMIFS('Final Calculation Sheet'!$AA$4:$AA$40,$AZ$5:$AZ$41,10),SUMIFS('Final Calculation Sheet'!$AA$4:$AA$40,$AZ$5:$AZ$41,$BH26))),""))</f>
        <v/>
      </c>
      <c r="AC27" s="70">
        <f>IF($BJ26&gt;0,IF(INDEX('Final Calculation Sheet'!$AB$4:$AB$40,$BJ26-3)="","",INDEX('Final Calculation Sheet'!$AB$4:$AB$40,$BJ26-3)),IF(OR($BI26=1,$BL26=1,$BH26&gt;0),"–",""))</f>
        <v/>
      </c>
      <c r="AD27" s="70">
        <f>IF($BJ26&gt;0,IF(INDEX('Final Calculation Sheet'!$AC$4:$AC$40,$BJ26-3)="","",INDEX('Final Calculation Sheet'!$AC$4:$AC$40,$BJ26-3)),IF(OR($BI26=1,$BL26=1,$BH26&gt;0),IF($BI26=1,SUM('Final Calculation Sheet'!$AC$4:$AC$40),IF($BL26=1,SUM('Final Calculation Sheet'!$AC$4:$AC$40)-SUMIFS('Final Calculation Sheet'!$AC$4:$AC$40,$AZ$5:$AZ$41,10),SUMIFS('Final Calculation Sheet'!$AC$4:$AC$40,$AZ$5:$AZ$41,$BH26))),""))</f>
        <v/>
      </c>
      <c r="AE27" s="70">
        <f>IF($BJ26&gt;0,IF(INDEX('Final Calculation Sheet'!$AD$4:$AD$40,$BJ26-3)="","",INDEX('Final Calculation Sheet'!$AD$4:$AD$40,$BJ26-3)),IF(OR($BI26=1,$BL26=1,$BH26&gt;0),IF($BI26=1,SUM('Final Calculation Sheet'!$AD$4:$AD$40),IF($BL26=1,SUM('Final Calculation Sheet'!$AD$4:$AD$40)-SUMIFS('Final Calculation Sheet'!$AD$4:$AD$40,$AZ$5:$AZ$41,10),SUMIFS('Final Calculation Sheet'!$AD$4:$AD$40,$AZ$5:$AZ$41,$BH26))),""))</f>
        <v/>
      </c>
      <c r="AF27" s="75">
        <f>IF($BJ26&gt;0,IF(INDEX('Final Calculation Sheet'!$AD$4:$AD$40,$BJ26-3)="","",IF(INDEX('Final Calculation Sheet'!$AD$4:$AD$40,$BJ26-3)&lt;=5,"SETTLED","OUTSTANDING")),IF(OR($BI26=1,$BL26=1,$BH26&gt;0),IF(IF($BI26=1,SUM('Final Calculation Sheet'!$AD$4:$AD$40),IF($BL26=1,SUM('Final Calculation Sheet'!$AD$4:$AD$40)-SUMIFS('Final Calculation Sheet'!$AD$4:$AD$40,$AZ$5:$AZ$41,10),SUMIFS('Final Calculation Sheet'!$AD$4:$AD$40,$AZ$5:$AZ$41,$BH26)))&lt;=5,"ALL SETTLED","OUTSTANDING"),""))</f>
        <v/>
      </c>
      <c r="AG27" s="70">
        <f>IF($BJ26&gt;0,IF(INDEX('Final Calculation Sheet'!$AF$4:$AF$40,$BJ26-3)="","",INDEX('Final Calculation Sheet'!$AF$4:$AF$40,$BJ26-3)),IF(OR($BI26=1,$BL26=1,$BH26&gt;0),"–",""))</f>
        <v/>
      </c>
      <c r="AH27" s="74">
        <f>IF($BJ26&gt;0,IF(INDEX('Final Calculation Sheet'!$AG$4:$AG$40,$BJ26-3)="","",INDEX('Final Calculation Sheet'!$AG$4:$AG$40,$BJ26-3)),IF(OR($BI26=1,$BL26=1,$BH26&gt;0),"–",""))</f>
        <v/>
      </c>
      <c r="AI27" s="70">
        <f>IF($BJ26&gt;0,IF(INDEX('Final Calculation Sheet'!$AH$4:$AH$40,$BJ26-3)="","",INDEX('Final Calculation Sheet'!$AH$4:$AH$40,$BJ26-3)),IF(OR($BI26=1,$BL26=1,$BH26&gt;0),"–",""))</f>
        <v/>
      </c>
      <c r="AK27">
        <f>IF($F$3="Lot No.",'Final Calculation Sheet'!$F$26,IF($F$3="Buyer",'Final Calculation Sheet'!$G$26,IF($F$3="Lot Name",'Final Calculation Sheet'!$B$26,IF($F$3="Bid Sheet",'Final Calculation Sheet'!$D$26,IF($F$3="Unit",'Final Calculation Sheet'!$E$26,'Final Calculation Sheet'!$F$26&amp;" "&amp;'Final Calculation Sheet'!$G$26&amp;" "&amp;'Final Calculation Sheet'!$B$26)))))</f>
        <v/>
      </c>
      <c r="AL27">
        <f>AL26+IF($B$3="",0,--(SUMPRODUCT(--($AR$6:$AY$6&lt;&gt;""),--ISNUMBER(SEARCH($AR$6:$AY$6,$AK27)))&gt;0))</f>
        <v/>
      </c>
      <c r="AM27">
        <f>IF(COUNTIF($BM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AZ27">
        <f>IF($B$3="",IF(COUNTIF($A$4:$AI$4,"&lt;&gt;")=0,9,IF($AM27=1,9,10)),IF($AM27=0,10,IF(AND($AR$6&lt;&gt;"",ISNUMBER(SEARCH($AR$6,$AK27))),1,IF(AND($AS$6&lt;&gt;"",ISNUMBER(SEARCH($AS$6,$AK27))),2,IF(AND($AT$6&lt;&gt;"",ISNUMBER(SEARCH($AT$6,$AK27))),3,IF(AND($AU$6&lt;&gt;"",ISNUMBER(SEARCH($AU$6,$AK27))),4,IF(AND($AV$6&lt;&gt;"",ISNUMBER(SEARCH($AV$6,$AK27))),5,IF(AND($AW$6&lt;&gt;"",ISNUMBER(SEARCH($AW$6,$AK27))),6,IF(AND($AX$6&lt;&gt;"",ISNUMBER(SEARCH($AX$6,$AK27))),7,IF(AND($AY$6&lt;&gt;"",ISNUMBER(SEARCH($AY$6,$AK27))),8,0))))))))))</f>
        <v/>
      </c>
      <c r="BA27">
        <f>SUMPRODUCT(($AZ$5:$AZ$41=$AZ27)*($BC$5:$BC$41&lt;$BC27))+1</f>
        <v/>
      </c>
      <c r="BB27">
        <f>IF(INDEX($BF$4:$BF$13,$AZ27)=0,0,INDEX($BE$4:$BE$13,$AZ27)+$BA27-1)</f>
        <v/>
      </c>
      <c r="BC27" t="n">
        <v>26</v>
      </c>
      <c r="BH27">
        <f>IFERROR(MATCH(27,$BF$4:$BF$13,0),0)</f>
        <v/>
      </c>
      <c r="BI27">
        <f>IF(27=$BG$5,1,0)</f>
        <v/>
      </c>
      <c r="BJ27">
        <f>IF(OR($BH27&gt;0,$BI27=1,$BL27=1),0,IFERROR(INDEX($BC$5:$BC$41,MATCH(27,$BB$5:$BB$41,0)),0))</f>
        <v/>
      </c>
      <c r="BK27">
        <f>IF($BJ27&gt;0,IF(INDEX($AZ$5:$AZ$41,MATCH(27,$BB$5:$BB$41,0))=10,1,0),IF($BH27=10,1,0))</f>
        <v/>
      </c>
      <c r="BL27">
        <f>IF(27=$BG$4,1,0)</f>
        <v/>
      </c>
      <c r="BM27">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7">
        <f>IF($B$4="",1,--(OR(SUMPRODUCT(--(TRIM(MID(SUBSTITUTE(SUBSTITUTE($B$4,"/",","),",",REPT(" ",99)),(ROW($1:$8)-1)*99+1,99))&lt;&gt;""),--ISNUMBER(SEARCH(TRIM(MID(SUBSTITUTE(SUBSTITUTE($B$4,"/",","),",",REPT(" ",99)),(ROW($1:$8)-1)*99+1,99)),IFERROR(('Final Calculation Sheet'!$F$26)&amp;"",""))))&gt;0,AND(ISNUMBER(SEARCH("blank",$B$4)),NOT(ISNUMBER(SEARCH("nonblank",$B$4))),IFERROR(('Final Calculation Sheet'!$F$26)&amp;"","")=""),AND(OR(ISNUMBER(SEARCH("nonblank",$B$4)),ISNUMBER(SEARCH("&lt;&gt;",$B$4))),IFERROR(('Final Calculation Sheet'!$F$26)&amp;"","")&lt;&gt;""),AND(TRIM($B$4)="",IFERROR(('Final Calculation Sheet'!$F$26)&amp;"","")=""))))</f>
        <v/>
      </c>
      <c r="BO27">
        <f>IF($CW$3="",1,--(OR(SUMPRODUCT(--(TRIM(MID(SUBSTITUTE(SUBSTITUTE($CW$3,"/",","),",",REPT(" ",99)),(ROW($1:$8)-1)*99+1,99))&lt;&gt;""),--ISNUMBER(SEARCH(TRIM(MID(SUBSTITUTE(SUBSTITUTE($CW$3,"/",","),",",REPT(" ",99)),(ROW($1:$8)-1)*99+1,99)),IFERROR(('Final Calculation Sheet'!$G$26)&amp;"",""))))&gt;0,AND(ISNUMBER(SEARCH("blank",$CW$3)),NOT(ISNUMBER(SEARCH("nonblank",$CW$3))),IFERROR(('Final Calculation Sheet'!$G$26)&amp;"","")=""),AND(OR(ISNUMBER(SEARCH("nonblank",$CW$3)),ISNUMBER(SEARCH("&lt;&gt;",$CW$3))),IFERROR(('Final Calculation Sheet'!$G$26)&amp;"","")&lt;&gt;""),AND(TRIM($CW$3)="",IFERROR(('Final Calculation Sheet'!$G$26)&amp;"","")=""))))</f>
        <v/>
      </c>
      <c r="BP27">
        <f>IF($D$4="",1,--(OR(SUMPRODUCT(--(TRIM(MID(SUBSTITUTE(SUBSTITUTE($D$4,"/",","),",",REPT(" ",99)),(ROW($1:$8)-1)*99+1,99))&lt;&gt;""),--ISNUMBER(SEARCH(TRIM(MID(SUBSTITUTE(SUBSTITUTE($D$4,"/",","),",",REPT(" ",99)),(ROW($1:$8)-1)*99+1,99)),IFERROR(('Final Calculation Sheet'!$B$26)&amp;"",""))))&gt;0,AND(ISNUMBER(SEARCH("blank",$D$4)),NOT(ISNUMBER(SEARCH("nonblank",$D$4))),IFERROR(('Final Calculation Sheet'!$B$26)&amp;"","")=""),AND(OR(ISNUMBER(SEARCH("nonblank",$D$4)),ISNUMBER(SEARCH("&lt;&gt;",$D$4))),IFERROR(('Final Calculation Sheet'!$B$26)&amp;"","")&lt;&gt;""),AND(TRIM($D$4)="",IFERROR(('Final Calculation Sheet'!$B$26)&amp;"","")=""))))</f>
        <v/>
      </c>
      <c r="BQ27">
        <f>IF($E$4="",1,--(OR(SUMPRODUCT(--(TRIM(MID(SUBSTITUTE(SUBSTITUTE($E$4,"/",","),",",REPT(" ",99)),(ROW($1:$8)-1)*99+1,99))&lt;&gt;""),--ISNUMBER(SEARCH(TRIM(MID(SUBSTITUTE(SUBSTITUTE($E$4,"/",","),",",REPT(" ",99)),(ROW($1:$8)-1)*99+1,99)),IFERROR(('Final Calculation Sheet'!$D$26)&amp;"",""))))&gt;0,AND(ISNUMBER(SEARCH("blank",$E$4)),NOT(ISNUMBER(SEARCH("nonblank",$E$4))),IFERROR(('Final Calculation Sheet'!$D$26)&amp;"","")=""),AND(OR(ISNUMBER(SEARCH("nonblank",$E$4)),ISNUMBER(SEARCH("&lt;&gt;",$E$4))),IFERROR(('Final Calculation Sheet'!$D$26)&amp;"","")&lt;&gt;""),AND(TRIM($E$4)="",IFERROR(('Final Calculation Sheet'!$D$26)&amp;"","")=""))))</f>
        <v/>
      </c>
      <c r="BR27">
        <f>IF($F$4="",1,--(OR(SUMPRODUCT(--(TRIM(MID(SUBSTITUTE(SUBSTITUTE($F$4,"/",","),",",REPT(" ",99)),(ROW($1:$8)-1)*99+1,99))&lt;&gt;""),--ISNUMBER(SEARCH(TRIM(MID(SUBSTITUTE(SUBSTITUTE($F$4,"/",","),",",REPT(" ",99)),(ROW($1:$8)-1)*99+1,99)),IFERROR(('Final Calculation Sheet'!$A$26)&amp;"",""))))&gt;0,AND(ISNUMBER(SEARCH("blank",$F$4)),NOT(ISNUMBER(SEARCH("nonblank",$F$4))),IFERROR(('Final Calculation Sheet'!$A$26)&amp;"","")=""),AND(OR(ISNUMBER(SEARCH("nonblank",$F$4)),ISNUMBER(SEARCH("&lt;&gt;",$F$4))),IFERROR(('Final Calculation Sheet'!$A$26)&amp;"","")&lt;&gt;""),AND(TRIM($F$4)="",IFERROR(('Final Calculation Sheet'!$A$26)&amp;"","")=""))))</f>
        <v/>
      </c>
      <c r="BS27">
        <f>IF($G$4="",1,--(OR(SUMPRODUCT(--(TRIM(MID(SUBSTITUTE(SUBSTITUTE($G$4,"/",","),",",REPT(" ",99)),(ROW($1:$8)-1)*99+1,99))&lt;&gt;""),--ISNUMBER(SEARCH(TRIM(MID(SUBSTITUTE(SUBSTITUTE($G$4,"/",","),",",REPT(" ",99)),(ROW($1:$8)-1)*99+1,99)),IFERROR(('Final Calculation Sheet'!$E$26)&amp;"",""))))&gt;0,AND(ISNUMBER(SEARCH("blank",$G$4)),NOT(ISNUMBER(SEARCH("nonblank",$G$4))),IFERROR(('Final Calculation Sheet'!$E$26)&amp;"","")=""),AND(OR(ISNUMBER(SEARCH("nonblank",$G$4)),ISNUMBER(SEARCH("&lt;&gt;",$G$4))),IFERROR(('Final Calculation Sheet'!$E$26)&amp;"","")&lt;&gt;""),AND(TRIM($G$4)="",IFERROR(('Final Calculation Sheet'!$E$26)&amp;"","")=""))))</f>
        <v/>
      </c>
      <c r="BT27">
        <f>IF($H$4="",1,--(OR(SUMPRODUCT(--(TRIM(MID(SUBSTITUTE(SUBSTITUTE($H$4,"/",","),",",REPT(" ",99)),(ROW($1:$8)-1)*99+1,99))&lt;&gt;""),--ISNUMBER(SEARCH(TRIM(MID(SUBSTITUTE(SUBSTITUTE($H$4,"/",","),",",REPT(" ",99)),(ROW($1:$8)-1)*99+1,99)),IFERROR(('Final Calculation Sheet'!$C$26)&amp;"",""))))&gt;0,AND(ISNUMBER(SEARCH("blank",$H$4)),NOT(ISNUMBER(SEARCH("nonblank",$H$4))),IFERROR(('Final Calculation Sheet'!$C$26)&amp;"","")=""),AND(OR(ISNUMBER(SEARCH("nonblank",$H$4)),ISNUMBER(SEARCH("&lt;&gt;",$H$4))),IFERROR(('Final Calculation Sheet'!$C$26)&amp;"","")&lt;&gt;""),AND(TRIM($H$4)="",IFERROR(('Final Calculation Sheet'!$C$26)&amp;"","")=""))))</f>
        <v/>
      </c>
      <c r="BU27">
        <f>IF($I$4="",1,--(OR(SUMPRODUCT(--(TRIM(MID(SUBSTITUTE(SUBSTITUTE($I$4,"/",","),",",REPT(" ",99)),(ROW($1:$8)-1)*99+1,99))&lt;&gt;""),--ISNUMBER(SEARCH(TRIM(MID(SUBSTITUTE(SUBSTITUTE($I$4,"/",","),",",REPT(" ",99)),(ROW($1:$8)-1)*99+1,99)),IFERROR(('Final Calculation Sheet'!$H$26)&amp;"",""))))&gt;0,AND(ISNUMBER(SEARCH("blank",$I$4)),NOT(ISNUMBER(SEARCH("nonblank",$I$4))),IFERROR(('Final Calculation Sheet'!$H$26)&amp;"","")=""),AND(OR(ISNUMBER(SEARCH("nonblank",$I$4)),ISNUMBER(SEARCH("&lt;&gt;",$I$4))),IFERROR(('Final Calculation Sheet'!$H$26)&amp;"","")&lt;&gt;""),AND(TRIM($I$4)="",IFERROR(('Final Calculation Sheet'!$H$26)&amp;"","")=""))))</f>
        <v/>
      </c>
      <c r="BV27">
        <f>IF($J$4="",1,--(OR(SUMPRODUCT(--(TRIM(MID(SUBSTITUTE(SUBSTITUTE($J$4,"/",","),",",REPT(" ",99)),(ROW($1:$8)-1)*99+1,99))&lt;&gt;""),--ISNUMBER(SEARCH(TRIM(MID(SUBSTITUTE(SUBSTITUTE($J$4,"/",","),",",REPT(" ",99)),(ROW($1:$8)-1)*99+1,99)),IFERROR(('Final Calculation Sheet'!$I$26)&amp;"",""))))&gt;0,AND(ISNUMBER(SEARCH("blank",$J$4)),NOT(ISNUMBER(SEARCH("nonblank",$J$4))),IFERROR(('Final Calculation Sheet'!$I$26)&amp;"","")=""),AND(OR(ISNUMBER(SEARCH("nonblank",$J$4)),ISNUMBER(SEARCH("&lt;&gt;",$J$4))),IFERROR(('Final Calculation Sheet'!$I$26)&amp;"","")&lt;&gt;""),AND(TRIM($J$4)="",IFERROR(('Final Calculation Sheet'!$I$26)&amp;"","")=""))))</f>
        <v/>
      </c>
      <c r="BW27">
        <f>IF($K$4="",1,--(OR(SUMPRODUCT(--(TRIM(MID(SUBSTITUTE(SUBSTITUTE($K$4,"/",","),",",REPT(" ",99)),(ROW($1:$8)-1)*99+1,99))&lt;&gt;""),--ISNUMBER(SEARCH(TRIM(MID(SUBSTITUTE(SUBSTITUTE($K$4,"/",","),",",REPT(" ",99)),(ROW($1:$8)-1)*99+1,99)),IFERROR(('Final Calculation Sheet'!$J$26)&amp;"",""))))&gt;0,AND(ISNUMBER(SEARCH("blank",$K$4)),NOT(ISNUMBER(SEARCH("nonblank",$K$4))),IFERROR(('Final Calculation Sheet'!$J$26)&amp;"","")=""),AND(OR(ISNUMBER(SEARCH("nonblank",$K$4)),ISNUMBER(SEARCH("&lt;&gt;",$K$4))),IFERROR(('Final Calculation Sheet'!$J$26)&amp;"","")&lt;&gt;""),AND(TRIM($K$4)="",IFERROR(('Final Calculation Sheet'!$J$26)&amp;"","")=""))))</f>
        <v/>
      </c>
      <c r="BX27">
        <f>IF($L$4="",1,--(OR(SUMPRODUCT(--(TRIM(MID(SUBSTITUTE(SUBSTITUTE($L$4,"/",","),",",REPT(" ",99)),(ROW($1:$8)-1)*99+1,99))&lt;&gt;""),--ISNUMBER(SEARCH(TRIM(MID(SUBSTITUTE(SUBSTITUTE($L$4,"/",","),",",REPT(" ",99)),(ROW($1:$8)-1)*99+1,99)),IFERROR(('Final Calculation Sheet'!$K$26)&amp;"",""))))&gt;0,AND(ISNUMBER(SEARCH("blank",$L$4)),NOT(ISNUMBER(SEARCH("nonblank",$L$4))),IFERROR(('Final Calculation Sheet'!$K$26)&amp;"","")=""),AND(OR(ISNUMBER(SEARCH("nonblank",$L$4)),ISNUMBER(SEARCH("&lt;&gt;",$L$4))),IFERROR(('Final Calculation Sheet'!$K$26)&amp;"","")&lt;&gt;""),AND(TRIM($L$4)="",IFERROR(('Final Calculation Sheet'!$K$26)&amp;"","")=""))))</f>
        <v/>
      </c>
      <c r="BY27">
        <f>IF($M$4="",1,--(OR(SUMPRODUCT(--(TRIM(MID(SUBSTITUTE(SUBSTITUTE($M$4,"/",","),",",REPT(" ",99)),(ROW($1:$8)-1)*99+1,99))&lt;&gt;""),--ISNUMBER(SEARCH(TRIM(MID(SUBSTITUTE(SUBSTITUTE($M$4,"/",","),",",REPT(" ",99)),(ROW($1:$8)-1)*99+1,99)),IFERROR(('Final Calculation Sheet'!$L$26)&amp;"",""))))&gt;0,AND(ISNUMBER(SEARCH("blank",$M$4)),NOT(ISNUMBER(SEARCH("nonblank",$M$4))),IFERROR(('Final Calculation Sheet'!$L$26)&amp;"","")=""),AND(OR(ISNUMBER(SEARCH("nonblank",$M$4)),ISNUMBER(SEARCH("&lt;&gt;",$M$4))),IFERROR(('Final Calculation Sheet'!$L$26)&amp;"","")&lt;&gt;""),AND(TRIM($M$4)="",IFERROR(('Final Calculation Sheet'!$L$26)&amp;"","")=""))))</f>
        <v/>
      </c>
      <c r="BZ27">
        <f>IF($N$4="",1,--(OR(SUMPRODUCT(--(TRIM(MID(SUBSTITUTE(SUBSTITUTE($N$4,"/",","),",",REPT(" ",99)),(ROW($1:$8)-1)*99+1,99))&lt;&gt;""),--ISNUMBER(SEARCH(TRIM(MID(SUBSTITUTE(SUBSTITUTE($N$4,"/",","),",",REPT(" ",99)),(ROW($1:$8)-1)*99+1,99)),IFERROR(('Final Calculation Sheet'!$M$26)&amp;"",""))))&gt;0,AND(ISNUMBER(SEARCH("blank",$N$4)),NOT(ISNUMBER(SEARCH("nonblank",$N$4))),IFERROR(('Final Calculation Sheet'!$M$26)&amp;"","")=""),AND(OR(ISNUMBER(SEARCH("nonblank",$N$4)),ISNUMBER(SEARCH("&lt;&gt;",$N$4))),IFERROR(('Final Calculation Sheet'!$M$26)&amp;"","")&lt;&gt;""),AND(TRIM($N$4)="",IFERROR(('Final Calculation Sheet'!$M$26)&amp;"","")=""))))</f>
        <v/>
      </c>
      <c r="CA27">
        <f>IF($O$4="",1,--(OR(SUMPRODUCT(--(TRIM(MID(SUBSTITUTE(SUBSTITUTE($O$4,"/",","),",",REPT(" ",99)),(ROW($1:$8)-1)*99+1,99))&lt;&gt;""),--ISNUMBER(SEARCH(TRIM(MID(SUBSTITUTE(SUBSTITUTE($O$4,"/",","),",",REPT(" ",99)),(ROW($1:$8)-1)*99+1,99)),IFERROR(('Final Calculation Sheet'!$N$26)&amp;"",""))))&gt;0,AND(ISNUMBER(SEARCH("blank",$O$4)),NOT(ISNUMBER(SEARCH("nonblank",$O$4))),IFERROR(('Final Calculation Sheet'!$N$26)&amp;"","")=""),AND(OR(ISNUMBER(SEARCH("nonblank",$O$4)),ISNUMBER(SEARCH("&lt;&gt;",$O$4))),IFERROR(('Final Calculation Sheet'!$N$26)&amp;"","")&lt;&gt;""),AND(TRIM($O$4)="",IFERROR(('Final Calculation Sheet'!$N$26)&amp;"","")=""))))</f>
        <v/>
      </c>
      <c r="CB27">
        <f>IF($P$4="",1,--(OR(SUMPRODUCT(--(TRIM(MID(SUBSTITUTE(SUBSTITUTE($P$4,"/",","),",",REPT(" ",99)),(ROW($1:$8)-1)*99+1,99))&lt;&gt;""),--ISNUMBER(SEARCH(TRIM(MID(SUBSTITUTE(SUBSTITUTE($P$4,"/",","),",",REPT(" ",99)),(ROW($1:$8)-1)*99+1,99)),IFERROR(('Final Calculation Sheet'!$O$26)&amp;"",""))))&gt;0,AND(ISNUMBER(SEARCH("blank",$P$4)),NOT(ISNUMBER(SEARCH("nonblank",$P$4))),IFERROR(('Final Calculation Sheet'!$O$26)&amp;"","")=""),AND(OR(ISNUMBER(SEARCH("nonblank",$P$4)),ISNUMBER(SEARCH("&lt;&gt;",$P$4))),IFERROR(('Final Calculation Sheet'!$O$26)&amp;"","")&lt;&gt;""),AND(TRIM($P$4)="",IFERROR(('Final Calculation Sheet'!$O$26)&amp;"","")=""))))</f>
        <v/>
      </c>
      <c r="CC27">
        <f>IF($Q$4="",1,--(OR(SUMPRODUCT(--(TRIM(MID(SUBSTITUTE(SUBSTITUTE($Q$4,"/",","),",",REPT(" ",99)),(ROW($1:$8)-1)*99+1,99))&lt;&gt;""),--ISNUMBER(SEARCH(TRIM(MID(SUBSTITUTE(SUBSTITUTE($Q$4,"/",","),",",REPT(" ",99)),(ROW($1:$8)-1)*99+1,99)),IFERROR(('Final Calculation Sheet'!$P$26)&amp;"",""))))&gt;0,AND(ISNUMBER(SEARCH("blank",$Q$4)),NOT(ISNUMBER(SEARCH("nonblank",$Q$4))),IFERROR(('Final Calculation Sheet'!$P$26)&amp;"","")=""),AND(OR(ISNUMBER(SEARCH("nonblank",$Q$4)),ISNUMBER(SEARCH("&lt;&gt;",$Q$4))),IFERROR(('Final Calculation Sheet'!$P$26)&amp;"","")&lt;&gt;""),AND(TRIM($Q$4)="",IFERROR(('Final Calculation Sheet'!$P$26)&amp;"","")=""))))</f>
        <v/>
      </c>
      <c r="CD27">
        <f>IF($R$4="",1,--(OR(SUMPRODUCT(--(TRIM(MID(SUBSTITUTE(SUBSTITUTE($R$4,"/",","),",",REPT(" ",99)),(ROW($1:$8)-1)*99+1,99))&lt;&gt;""),--ISNUMBER(SEARCH(TRIM(MID(SUBSTITUTE(SUBSTITUTE($R$4,"/",","),",",REPT(" ",99)),(ROW($1:$8)-1)*99+1,99)),IFERROR(('Final Calculation Sheet'!$Q$26)&amp;"",""))))&gt;0,AND(ISNUMBER(SEARCH("blank",$R$4)),NOT(ISNUMBER(SEARCH("nonblank",$R$4))),IFERROR(('Final Calculation Sheet'!$Q$26)&amp;"","")=""),AND(OR(ISNUMBER(SEARCH("nonblank",$R$4)),ISNUMBER(SEARCH("&lt;&gt;",$R$4))),IFERROR(('Final Calculation Sheet'!$Q$26)&amp;"","")&lt;&gt;""),AND(TRIM($R$4)="",IFERROR(('Final Calculation Sheet'!$Q$26)&amp;"","")=""))))</f>
        <v/>
      </c>
      <c r="CE27">
        <f>IF($S$4="",1,--(OR(SUMPRODUCT(--(TRIM(MID(SUBSTITUTE(SUBSTITUTE($S$4,"/",","),",",REPT(" ",99)),(ROW($1:$8)-1)*99+1,99))&lt;&gt;""),--ISNUMBER(SEARCH(TRIM(MID(SUBSTITUTE(SUBSTITUTE($S$4,"/",","),",",REPT(" ",99)),(ROW($1:$8)-1)*99+1,99)),IFERROR(('Final Calculation Sheet'!$R$26)&amp;"",""))))&gt;0,AND(ISNUMBER(SEARCH("blank",$S$4)),NOT(ISNUMBER(SEARCH("nonblank",$S$4))),IFERROR(('Final Calculation Sheet'!$R$26)&amp;"","")=""),AND(OR(ISNUMBER(SEARCH("nonblank",$S$4)),ISNUMBER(SEARCH("&lt;&gt;",$S$4))),IFERROR(('Final Calculation Sheet'!$R$26)&amp;"","")&lt;&gt;""),AND(TRIM($S$4)="",IFERROR(('Final Calculation Sheet'!$R$26)&amp;"","")=""))))</f>
        <v/>
      </c>
      <c r="CF27">
        <f>IF($T$4="",1,--(OR(SUMPRODUCT(--(TRIM(MID(SUBSTITUTE(SUBSTITUTE($T$4,"/",","),",",REPT(" ",99)),(ROW($1:$8)-1)*99+1,99))&lt;&gt;""),--ISNUMBER(SEARCH(TRIM(MID(SUBSTITUTE(SUBSTITUTE($T$4,"/",","),",",REPT(" ",99)),(ROW($1:$8)-1)*99+1,99)),IFERROR(('Final Calculation Sheet'!$S$26)&amp;"",""))))&gt;0,AND(ISNUMBER(SEARCH("blank",$T$4)),NOT(ISNUMBER(SEARCH("nonblank",$T$4))),IFERROR(('Final Calculation Sheet'!$S$26)&amp;"","")=""),AND(OR(ISNUMBER(SEARCH("nonblank",$T$4)),ISNUMBER(SEARCH("&lt;&gt;",$T$4))),IFERROR(('Final Calculation Sheet'!$S$26)&amp;"","")&lt;&gt;""),AND(TRIM($T$4)="",IFERROR(('Final Calculation Sheet'!$S$26)&amp;"","")=""))))</f>
        <v/>
      </c>
      <c r="CG27">
        <f>IF($U$4="",1,--(OR(SUMPRODUCT(--(TRIM(MID(SUBSTITUTE(SUBSTITUTE($U$4,"/",","),",",REPT(" ",99)),(ROW($1:$8)-1)*99+1,99))&lt;&gt;""),--ISNUMBER(SEARCH(TRIM(MID(SUBSTITUTE(SUBSTITUTE($U$4,"/",","),",",REPT(" ",99)),(ROW($1:$8)-1)*99+1,99)),IFERROR(('Final Calculation Sheet'!$T$26)&amp;"",""))))&gt;0,AND(ISNUMBER(SEARCH("blank",$U$4)),NOT(ISNUMBER(SEARCH("nonblank",$U$4))),IFERROR(('Final Calculation Sheet'!$T$26)&amp;"","")=""),AND(OR(ISNUMBER(SEARCH("nonblank",$U$4)),ISNUMBER(SEARCH("&lt;&gt;",$U$4))),IFERROR(('Final Calculation Sheet'!$T$26)&amp;"","")&lt;&gt;""),AND(TRIM($U$4)="",IFERROR(('Final Calculation Sheet'!$T$26)&amp;"","")=""))))</f>
        <v/>
      </c>
      <c r="CH27">
        <f>IF($V$4="",1,--(OR(SUMPRODUCT(--(TRIM(MID(SUBSTITUTE(SUBSTITUTE($V$4,"/",","),",",REPT(" ",99)),(ROW($1:$8)-1)*99+1,99))&lt;&gt;""),--ISNUMBER(SEARCH(TRIM(MID(SUBSTITUTE(SUBSTITUTE($V$4,"/",","),",",REPT(" ",99)),(ROW($1:$8)-1)*99+1,99)),IFERROR(('Final Calculation Sheet'!$U$26)&amp;"",""))))&gt;0,AND(ISNUMBER(SEARCH("blank",$V$4)),NOT(ISNUMBER(SEARCH("nonblank",$V$4))),IFERROR(('Final Calculation Sheet'!$U$26)&amp;"","")=""),AND(OR(ISNUMBER(SEARCH("nonblank",$V$4)),ISNUMBER(SEARCH("&lt;&gt;",$V$4))),IFERROR(('Final Calculation Sheet'!$U$26)&amp;"","")&lt;&gt;""),AND(TRIM($V$4)="",IFERROR(('Final Calculation Sheet'!$U$26)&amp;"","")=""))))</f>
        <v/>
      </c>
      <c r="CI27">
        <f>IF($W$4="",1,--(OR(SUMPRODUCT(--(TRIM(MID(SUBSTITUTE(SUBSTITUTE($W$4,"/",","),",",REPT(" ",99)),(ROW($1:$8)-1)*99+1,99))&lt;&gt;""),--ISNUMBER(SEARCH(TRIM(MID(SUBSTITUTE(SUBSTITUTE($W$4,"/",","),",",REPT(" ",99)),(ROW($1:$8)-1)*99+1,99)),IFERROR(('Final Calculation Sheet'!$V$26)&amp;"",""))))&gt;0,AND(ISNUMBER(SEARCH("blank",$W$4)),NOT(ISNUMBER(SEARCH("nonblank",$W$4))),IFERROR(('Final Calculation Sheet'!$V$26)&amp;"","")=""),AND(OR(ISNUMBER(SEARCH("nonblank",$W$4)),ISNUMBER(SEARCH("&lt;&gt;",$W$4))),IFERROR(('Final Calculation Sheet'!$V$26)&amp;"","")&lt;&gt;""),AND(TRIM($W$4)="",IFERROR(('Final Calculation Sheet'!$V$26)&amp;"","")=""))))</f>
        <v/>
      </c>
      <c r="CJ27">
        <f>IF($X$4="",1,--(OR(SUMPRODUCT(--(TRIM(MID(SUBSTITUTE(SUBSTITUTE($X$4,"/",","),",",REPT(" ",99)),(ROW($1:$8)-1)*99+1,99))&lt;&gt;""),--ISNUMBER(SEARCH(TRIM(MID(SUBSTITUTE(SUBSTITUTE($X$4,"/",","),",",REPT(" ",99)),(ROW($1:$8)-1)*99+1,99)),IFERROR(('Final Calculation Sheet'!$W$26)&amp;"",""))))&gt;0,AND(ISNUMBER(SEARCH("blank",$X$4)),NOT(ISNUMBER(SEARCH("nonblank",$X$4))),IFERROR(('Final Calculation Sheet'!$W$26)&amp;"","")=""),AND(OR(ISNUMBER(SEARCH("nonblank",$X$4)),ISNUMBER(SEARCH("&lt;&gt;",$X$4))),IFERROR(('Final Calculation Sheet'!$W$26)&amp;"","")&lt;&gt;""),AND(TRIM($X$4)="",IFERROR(('Final Calculation Sheet'!$W$26)&amp;"","")=""))))</f>
        <v/>
      </c>
      <c r="CK27">
        <f>IF($Y$4="",1,--(OR(SUMPRODUCT(--(TRIM(MID(SUBSTITUTE(SUBSTITUTE($Y$4,"/",","),",",REPT(" ",99)),(ROW($1:$8)-1)*99+1,99))&lt;&gt;""),--ISNUMBER(SEARCH(TRIM(MID(SUBSTITUTE(SUBSTITUTE($Y$4,"/",","),",",REPT(" ",99)),(ROW($1:$8)-1)*99+1,99)),IFERROR(('Final Calculation Sheet'!$X$26)&amp;"",""))))&gt;0,AND(ISNUMBER(SEARCH("blank",$Y$4)),NOT(ISNUMBER(SEARCH("nonblank",$Y$4))),IFERROR(('Final Calculation Sheet'!$X$26)&amp;"","")=""),AND(OR(ISNUMBER(SEARCH("nonblank",$Y$4)),ISNUMBER(SEARCH("&lt;&gt;",$Y$4))),IFERROR(('Final Calculation Sheet'!$X$26)&amp;"","")&lt;&gt;""),AND(TRIM($Y$4)="",IFERROR(('Final Calculation Sheet'!$X$26)&amp;"","")=""))))</f>
        <v/>
      </c>
      <c r="CL27">
        <f>IF($Z$4="",1,--(OR(SUMPRODUCT(--(TRIM(MID(SUBSTITUTE(SUBSTITUTE($Z$4,"/",","),",",REPT(" ",99)),(ROW($1:$8)-1)*99+1,99))&lt;&gt;""),--ISNUMBER(SEARCH(TRIM(MID(SUBSTITUTE(SUBSTITUTE($Z$4,"/",","),",",REPT(" ",99)),(ROW($1:$8)-1)*99+1,99)),IFERROR(('Final Calculation Sheet'!$Y$26)&amp;"",""))))&gt;0,AND(ISNUMBER(SEARCH("blank",$Z$4)),NOT(ISNUMBER(SEARCH("nonblank",$Z$4))),IFERROR(('Final Calculation Sheet'!$Y$26)&amp;"","")=""),AND(OR(ISNUMBER(SEARCH("nonblank",$Z$4)),ISNUMBER(SEARCH("&lt;&gt;",$Z$4))),IFERROR(('Final Calculation Sheet'!$Y$26)&amp;"","")&lt;&gt;""),AND(TRIM($Z$4)="",IFERROR(('Final Calculation Sheet'!$Y$26)&amp;"","")=""))))</f>
        <v/>
      </c>
      <c r="CM27">
        <f>IF($AA$4="",1,--(OR(SUMPRODUCT(--(TRIM(MID(SUBSTITUTE(SUBSTITUTE($AA$4,"/",","),",",REPT(" ",99)),(ROW($1:$8)-1)*99+1,99))&lt;&gt;""),--ISNUMBER(SEARCH(TRIM(MID(SUBSTITUTE(SUBSTITUTE($AA$4,"/",","),",",REPT(" ",99)),(ROW($1:$8)-1)*99+1,99)),IFERROR(('Final Calculation Sheet'!$Z$26)&amp;"",""))))&gt;0,AND(ISNUMBER(SEARCH("blank",$AA$4)),NOT(ISNUMBER(SEARCH("nonblank",$AA$4))),IFERROR(('Final Calculation Sheet'!$Z$26)&amp;"","")=""),AND(OR(ISNUMBER(SEARCH("nonblank",$AA$4)),ISNUMBER(SEARCH("&lt;&gt;",$AA$4))),IFERROR(('Final Calculation Sheet'!$Z$26)&amp;"","")&lt;&gt;""),AND(TRIM($AA$4)="",IFERROR(('Final Calculation Sheet'!$Z$26)&amp;"","")=""))))</f>
        <v/>
      </c>
      <c r="CN27">
        <f>IF($AB$4="",1,--(OR(SUMPRODUCT(--(TRIM(MID(SUBSTITUTE(SUBSTITUTE($AB$4,"/",","),",",REPT(" ",99)),(ROW($1:$8)-1)*99+1,99))&lt;&gt;""),--ISNUMBER(SEARCH(TRIM(MID(SUBSTITUTE(SUBSTITUTE($AB$4,"/",","),",",REPT(" ",99)),(ROW($1:$8)-1)*99+1,99)),IFERROR(('Final Calculation Sheet'!$AA$26)&amp;"",""))))&gt;0,AND(ISNUMBER(SEARCH("blank",$AB$4)),NOT(ISNUMBER(SEARCH("nonblank",$AB$4))),IFERROR(('Final Calculation Sheet'!$AA$26)&amp;"","")=""),AND(OR(ISNUMBER(SEARCH("nonblank",$AB$4)),ISNUMBER(SEARCH("&lt;&gt;",$AB$4))),IFERROR(('Final Calculation Sheet'!$AA$26)&amp;"","")&lt;&gt;""),AND(TRIM($AB$4)="",IFERROR(('Final Calculation Sheet'!$AA$26)&amp;"","")=""))))</f>
        <v/>
      </c>
      <c r="CO27">
        <f>IF($AC$4="",1,--(OR(SUMPRODUCT(--(TRIM(MID(SUBSTITUTE(SUBSTITUTE($AC$4,"/",","),",",REPT(" ",99)),(ROW($1:$8)-1)*99+1,99))&lt;&gt;""),--ISNUMBER(SEARCH(TRIM(MID(SUBSTITUTE(SUBSTITUTE($AC$4,"/",","),",",REPT(" ",99)),(ROW($1:$8)-1)*99+1,99)),IFERROR(('Final Calculation Sheet'!$AB$26)&amp;"",""))))&gt;0,AND(ISNUMBER(SEARCH("blank",$AC$4)),NOT(ISNUMBER(SEARCH("nonblank",$AC$4))),IFERROR(('Final Calculation Sheet'!$AB$26)&amp;"","")=""),AND(OR(ISNUMBER(SEARCH("nonblank",$AC$4)),ISNUMBER(SEARCH("&lt;&gt;",$AC$4))),IFERROR(('Final Calculation Sheet'!$AB$26)&amp;"","")&lt;&gt;""),AND(TRIM($AC$4)="",IFERROR(('Final Calculation Sheet'!$AB$26)&amp;"","")=""))))</f>
        <v/>
      </c>
      <c r="CP27">
        <f>IF($AD$4="",1,--(OR(SUMPRODUCT(--(TRIM(MID(SUBSTITUTE(SUBSTITUTE($AD$4,"/",","),",",REPT(" ",99)),(ROW($1:$8)-1)*99+1,99))&lt;&gt;""),--ISNUMBER(SEARCH(TRIM(MID(SUBSTITUTE(SUBSTITUTE($AD$4,"/",","),",",REPT(" ",99)),(ROW($1:$8)-1)*99+1,99)),IFERROR(('Final Calculation Sheet'!$AC$26)&amp;"",""))))&gt;0,AND(ISNUMBER(SEARCH("blank",$AD$4)),NOT(ISNUMBER(SEARCH("nonblank",$AD$4))),IFERROR(('Final Calculation Sheet'!$AC$26)&amp;"","")=""),AND(OR(ISNUMBER(SEARCH("nonblank",$AD$4)),ISNUMBER(SEARCH("&lt;&gt;",$AD$4))),IFERROR(('Final Calculation Sheet'!$AC$26)&amp;"","")&lt;&gt;""),AND(TRIM($AD$4)="",IFERROR(('Final Calculation Sheet'!$AC$26)&amp;"","")=""))))</f>
        <v/>
      </c>
      <c r="CQ27">
        <f>IF($AE$4="",1,--(OR(SUMPRODUCT(--(TRIM(MID(SUBSTITUTE(SUBSTITUTE($AE$4,"/",","),",",REPT(" ",99)),(ROW($1:$8)-1)*99+1,99))&lt;&gt;""),--ISNUMBER(SEARCH(TRIM(MID(SUBSTITUTE(SUBSTITUTE($AE$4,"/",","),",",REPT(" ",99)),(ROW($1:$8)-1)*99+1,99)),IFERROR(('Final Calculation Sheet'!$AD$26)&amp;"",""))))&gt;0,AND(ISNUMBER(SEARCH("blank",$AE$4)),NOT(ISNUMBER(SEARCH("nonblank",$AE$4))),IFERROR(('Final Calculation Sheet'!$AD$26)&amp;"","")=""),AND(OR(ISNUMBER(SEARCH("nonblank",$AE$4)),ISNUMBER(SEARCH("&lt;&gt;",$AE$4))),IFERROR(('Final Calculation Sheet'!$AD$26)&amp;"","")&lt;&gt;""),AND(TRIM($AE$4)="",IFERROR(('Final Calculation Sheet'!$AD$26)&amp;"","")=""))))</f>
        <v/>
      </c>
      <c r="CR27">
        <f>IF($AG$4="",1,--(OR(SUMPRODUCT(--(TRIM(MID(SUBSTITUTE(SUBSTITUTE($AG$4,"/",","),",",REPT(" ",99)),(ROW($1:$8)-1)*99+1,99))&lt;&gt;""),--ISNUMBER(SEARCH(TRIM(MID(SUBSTITUTE(SUBSTITUTE($AG$4,"/",","),",",REPT(" ",99)),(ROW($1:$8)-1)*99+1,99)),IFERROR(('Final Calculation Sheet'!$AF$26)&amp;"",""))))&gt;0,AND(ISNUMBER(SEARCH("blank",$AG$4)),NOT(ISNUMBER(SEARCH("nonblank",$AG$4))),IFERROR(('Final Calculation Sheet'!$AF$26)&amp;"","")=""),AND(OR(ISNUMBER(SEARCH("nonblank",$AG$4)),ISNUMBER(SEARCH("&lt;&gt;",$AG$4))),IFERROR(('Final Calculation Sheet'!$AF$26)&amp;"","")&lt;&gt;""),AND(TRIM($AG$4)="",IFERROR(('Final Calculation Sheet'!$AF$26)&amp;"","")=""))))</f>
        <v/>
      </c>
      <c r="CS27">
        <f>IF($AH$4="",1,--(OR(SUMPRODUCT(--(TRIM(MID(SUBSTITUTE(SUBSTITUTE($AH$4,"/",","),",",REPT(" ",99)),(ROW($1:$8)-1)*99+1,99))&lt;&gt;""),--ISNUMBER(SEARCH(TRIM(MID(SUBSTITUTE(SUBSTITUTE($AH$4,"/",","),",",REPT(" ",99)),(ROW($1:$8)-1)*99+1,99)),IFERROR(('Final Calculation Sheet'!$AG$26)&amp;"",""))))&gt;0,AND(ISNUMBER(SEARCH("blank",$AH$4)),NOT(ISNUMBER(SEARCH("nonblank",$AH$4))),IFERROR(('Final Calculation Sheet'!$AG$26)&amp;"","")=""),AND(OR(ISNUMBER(SEARCH("nonblank",$AH$4)),ISNUMBER(SEARCH("&lt;&gt;",$AH$4))),IFERROR(('Final Calculation Sheet'!$AG$26)&amp;"","")&lt;&gt;""),AND(TRIM($AH$4)="",IFERROR(('Final Calculation Sheet'!$AG$26)&amp;"","")=""))))</f>
        <v/>
      </c>
      <c r="CT27">
        <f>IF($AI$4="",1,--(OR(SUMPRODUCT(--(TRIM(MID(SUBSTITUTE(SUBSTITUTE($AI$4,"/",","),",",REPT(" ",99)),(ROW($1:$8)-1)*99+1,99))&lt;&gt;""),--ISNUMBER(SEARCH(TRIM(MID(SUBSTITUTE(SUBSTITUTE($AI$4,"/",","),",",REPT(" ",99)),(ROW($1:$8)-1)*99+1,99)),IFERROR(('Final Calculation Sheet'!$AH$26)&amp;"",""))))&gt;0,AND(ISNUMBER(SEARCH("blank",$AI$4)),NOT(ISNUMBER(SEARCH("nonblank",$AI$4))),IFERROR(('Final Calculation Sheet'!$AH$26)&amp;"","")=""),AND(OR(ISNUMBER(SEARCH("nonblank",$AI$4)),ISNUMBER(SEARCH("&lt;&gt;",$AI$4))),IFERROR(('Final Calculation Sheet'!$AH$26)&amp;"","")&lt;&gt;""),AND(TRIM($AI$4)="",IFERROR(('Final Calculation Sheet'!$AH$26)&amp;"","")=""))))</f>
        <v/>
      </c>
      <c r="CU27">
        <f>IF($AF$4="",1,--(OR(SUMPRODUCT(--(TRIM(MID(SUBSTITUTE(SUBSTITUTE($AF$4,"/",","),",",REPT(" ",99)),(ROW($1:$8)-1)*99+1,99))&lt;&gt;""),--ISNUMBER(SEARCH(TRIM(MID(SUBSTITUTE(SUBSTITUTE($AF$4,"/",","),",",REPT(" ",99)),(ROW($1:$8)-1)*99+1,99)),IFERROR((IF('Final Calculation Sheet'!$AD$26&lt;=5,"SETTLED","OUTSTANDING"))&amp;"",""))))&gt;0,AND(ISNUMBER(SEARCH("blank",$AF$4)),NOT(ISNUMBER(SEARCH("nonblank",$AF$4))),IFERROR((IF('Final Calculation Sheet'!$AD$26&lt;=5,"SETTLED","OUTSTANDING"))&amp;"","")=""),AND(OR(ISNUMBER(SEARCH("nonblank",$AF$4)),ISNUMBER(SEARCH("&lt;&gt;",$AF$4))),IFERROR((IF('Final Calculation Sheet'!$AD$26&lt;=5,"SETTLED","OUTSTANDING"))&amp;"","")&lt;&gt;""),AND(TRIM($AF$4)="",IFERROR((IF('Final Calculation Sheet'!$AD$26&lt;=5,"SETTLED","OUTSTANDING"))&amp;"","")=""))))</f>
        <v/>
      </c>
    </row>
    <row r="28" ht="15" customHeight="1" s="137">
      <c r="A28" s="67">
        <f>IF($BJ27&gt;0,INDEX($BA$5:$BA$41,MATCH(27,$BB$5:$BB$41,0)),IF(OR($BI27=1,$BL27=1,$BH27&gt;0),"∑",""))</f>
        <v/>
      </c>
      <c r="B28" s="76">
        <f>IF($BJ27&gt;0,IF(INDEX('Final Calculation Sheet'!$F$4:$F$40,$BJ27-3)="","",INDEX('Final Calculation Sheet'!$F$4:$F$40,$BJ27-3)),"")</f>
        <v/>
      </c>
      <c r="C28" s="76">
        <f>IF($BJ27&gt;0,IF(INDEX('Final Calculation Sheet'!$G$4:$G$40,$BJ27-3)="","",INDEX('Final Calculation Sheet'!$G$4:$G$40,$BJ27-3)),IF(OR($BI27=1,$BL27=1,$BH27&gt;0),IF($BI27=1,37,IF($BL27=1,37-INDEX($BD$4:$BD$13,10),INDEX($BD$4:$BD$13,$BH27)))&amp;" lot(s)",""))</f>
        <v/>
      </c>
      <c r="D28" s="80">
        <f>IF($BJ27&gt;0,IF(INDEX('Final Calculation Sheet'!$B$4:$B$40,$BJ27-3)="","",INDEX('Final Calculation Sheet'!$B$4:$B$40,$BJ27-3)),IF(OR($BI27=1,$BL27=1,$BH27&gt;0),IF($BI27=1,"GRAND TOTAL  —  matching + remaining",IF($BL27=1,"TOTAL MATCHED  —  every group together",IF($BH27=10,"REMAINING  —  did not match the search",IF($BH27=9,IF(COUNTIF($A$4:$AI$4,"&lt;&gt;")&gt;0,"FILTERED LOTS  —  column fields","ALL LOTS  —  nothing typed in the box"),"GROUP "&amp;$BH27&amp;" TOTAL  —  lots matching  "&amp;INDEX($AR$6:$AY$6,$BH27))))),""))</f>
        <v/>
      </c>
      <c r="E28" s="80">
        <f>IF($BJ27&gt;0,IF(INDEX('Final Calculation Sheet'!$D$4:$D$40,$BJ27-3)="","",INDEX('Final Calculation Sheet'!$D$4:$D$40,$BJ27-3)),IF(OR($BI27=1,$BL27=1,$BH27&gt;0),"–",""))</f>
        <v/>
      </c>
      <c r="F28" s="80">
        <f>IF($BJ27&gt;0,IF(INDEX('Final Calculation Sheet'!$A$4:$A$40,$BJ27-3)="","",INDEX('Final Calculation Sheet'!$A$4:$A$40,$BJ27-3)),IF(OR($BI27=1,$BL27=1,$BH27&gt;0),IF($BI27=1,SUM('Final Calculation Sheet'!$A$4:$A$40),IF($BL27=1,SUM('Final Calculation Sheet'!$A$4:$A$40)-SUMIFS('Final Calculation Sheet'!$A$4:$A$40,$AZ$5:$AZ$41,10),SUMIFS('Final Calculation Sheet'!$A$4:$A$40,$AZ$5:$AZ$41,$BH27))),""))</f>
        <v/>
      </c>
      <c r="G28" s="80">
        <f>IF($BJ27&gt;0,IF(INDEX('Final Calculation Sheet'!$E$4:$E$40,$BJ27-3)="","",INDEX('Final Calculation Sheet'!$E$4:$E$40,$BJ27-3)),IF(OR($BI27=1,$BL27=1,$BH27&gt;0),"–",""))</f>
        <v/>
      </c>
      <c r="H28" s="70">
        <f>IF($BJ27&gt;0,IF(INDEX('Final Calculation Sheet'!$C$4:$C$40,$BJ27-3)="","",INDEX('Final Calculation Sheet'!$C$4:$C$40,$BJ27-3)),IF(OR($BI27=1,$BL27=1,$BH27&gt;0),"–",""))</f>
        <v/>
      </c>
      <c r="I28" s="70">
        <f>IF($BJ27&gt;0,IF(INDEX('Final Calculation Sheet'!$H$4:$H$40,$BJ27-3)="","",INDEX('Final Calculation Sheet'!$H$4:$H$40,$BJ27-3)),IF(OR($BI27=1,$BL27=1,$BH27&gt;0),IF($BI27=1,SUM('Final Calculation Sheet'!$H$4:$H$40),IF($BL27=1,SUM('Final Calculation Sheet'!$H$4:$H$40)-SUMIFS('Final Calculation Sheet'!$H$4:$H$40,$AZ$5:$AZ$41,10),SUMIFS('Final Calculation Sheet'!$H$4:$H$40,$AZ$5:$AZ$41,$BH27))),""))</f>
        <v/>
      </c>
      <c r="J28" s="70">
        <f>IF($BJ27&gt;0,IF(INDEX('Final Calculation Sheet'!$I$4:$I$40,$BJ27-3)="","",INDEX('Final Calculation Sheet'!$I$4:$I$40,$BJ27-3)),IF(OR($BI27=1,$BL27=1,$BH27&gt;0),IF($BI27=1,SUM('Final Calculation Sheet'!$I$4:$I$40),IF($BL27=1,SUM('Final Calculation Sheet'!$I$4:$I$40)-SUMIFS('Final Calculation Sheet'!$I$4:$I$40,$AZ$5:$AZ$41,10),SUMIFS('Final Calculation Sheet'!$I$4:$I$40,$AZ$5:$AZ$41,$BH27))),""))</f>
        <v/>
      </c>
      <c r="K28" s="70">
        <f>IF($BJ27&gt;0,IF(INDEX('Final Calculation Sheet'!$J$4:$J$40,$BJ27-3)="","",INDEX('Final Calculation Sheet'!$J$4:$J$40,$BJ27-3)),IF(OR($BI27=1,$BL27=1,$BH27&gt;0),IF($BI27=1,SUM('Final Calculation Sheet'!$J$4:$J$40),IF($BL27=1,SUM('Final Calculation Sheet'!$J$4:$J$40)-SUMIFS('Final Calculation Sheet'!$J$4:$J$40,$AZ$5:$AZ$41,10),SUMIFS('Final Calculation Sheet'!$J$4:$J$40,$AZ$5:$AZ$41,$BH27))),""))</f>
        <v/>
      </c>
      <c r="L28" s="70">
        <f>IF($BJ27&gt;0,IF(INDEX('Final Calculation Sheet'!$K$4:$K$40,$BJ27-3)="","",INDEX('Final Calculation Sheet'!$K$4:$K$40,$BJ27-3)),IF(OR($BI27=1,$BL27=1,$BH27&gt;0),IF($BI27=1,SUM('Final Calculation Sheet'!$K$4:$K$40),IF($BL27=1,SUM('Final Calculation Sheet'!$K$4:$K$40)-SUMIFS('Final Calculation Sheet'!$K$4:$K$40,$AZ$5:$AZ$41,10),SUMIFS('Final Calculation Sheet'!$K$4:$K$40,$AZ$5:$AZ$41,$BH27))),""))</f>
        <v/>
      </c>
      <c r="M28" s="70">
        <f>IF($BJ27&gt;0,IF(INDEX('Final Calculation Sheet'!$L$4:$L$40,$BJ27-3)="","",INDEX('Final Calculation Sheet'!$L$4:$L$40,$BJ27-3)),IF(OR($BI27=1,$BL27=1,$BH27&gt;0),IF($BI27=1,SUM('Final Calculation Sheet'!$L$4:$L$40),IF($BL27=1,SUM('Final Calculation Sheet'!$L$4:$L$40)-SUMIFS('Final Calculation Sheet'!$L$4:$L$40,$AZ$5:$AZ$41,10),SUMIFS('Final Calculation Sheet'!$L$4:$L$40,$AZ$5:$AZ$41,$BH27))),""))</f>
        <v/>
      </c>
      <c r="N28" s="70">
        <f>IF($BJ27&gt;0,IF(INDEX('Final Calculation Sheet'!$M$4:$M$40,$BJ27-3)="","",INDEX('Final Calculation Sheet'!$M$4:$M$40,$BJ27-3)),IF(OR($BI27=1,$BL27=1,$BH27&gt;0),IF($BI27=1,SUM('Final Calculation Sheet'!$M$4:$M$40),IF($BL27=1,SUM('Final Calculation Sheet'!$M$4:$M$40)-SUMIFS('Final Calculation Sheet'!$M$4:$M$40,$AZ$5:$AZ$41,10),SUMIFS('Final Calculation Sheet'!$M$4:$M$40,$AZ$5:$AZ$41,$BH27))),""))</f>
        <v/>
      </c>
      <c r="O28" s="71">
        <f>IF($BJ27&gt;0,IF(INDEX('Final Calculation Sheet'!$N$4:$N$40,$BJ27-3)="","",INDEX('Final Calculation Sheet'!$N$4:$N$40,$BJ27-3)),IF(OR($BI27=1,$BL27=1,$BH27&gt;0),IF($BI27=1,SUM('Final Calculation Sheet'!$N$4:$N$40),IF($BL27=1,SUM('Final Calculation Sheet'!$N$4:$N$40)-SUMIFS('Final Calculation Sheet'!$N$4:$N$40,$AZ$5:$AZ$41,10),SUMIFS('Final Calculation Sheet'!$N$4:$N$40,$AZ$5:$AZ$41,$BH27))),""))</f>
        <v/>
      </c>
      <c r="P28" s="70">
        <f>IF($BJ27&gt;0,IF(INDEX('Final Calculation Sheet'!$O$4:$O$40,$BJ27-3)="","",INDEX('Final Calculation Sheet'!$O$4:$O$40,$BJ27-3)),IF(OR($BI27=1,$BL27=1,$BH27&gt;0),IF($BI27=1,SUM('Final Calculation Sheet'!$O$4:$O$40),IF($BL27=1,SUM('Final Calculation Sheet'!$O$4:$O$40)-SUMIFS('Final Calculation Sheet'!$O$4:$O$40,$AZ$5:$AZ$41,10),SUMIFS('Final Calculation Sheet'!$O$4:$O$40,$AZ$5:$AZ$41,$BH27))),""))</f>
        <v/>
      </c>
      <c r="Q28" s="70">
        <f>IF($BJ27&gt;0,IF(INDEX('Final Calculation Sheet'!$P$4:$P$40,$BJ27-3)="","",INDEX('Final Calculation Sheet'!$P$4:$P$40,$BJ27-3)),IF(OR($BI27=1,$BL27=1,$BH27&gt;0),IF($BI27=1,SUM('Final Calculation Sheet'!$P$4:$P$40),IF($BL27=1,SUM('Final Calculation Sheet'!$P$4:$P$40)-SUMIFS('Final Calculation Sheet'!$P$4:$P$40,$AZ$5:$AZ$41,10),SUMIFS('Final Calculation Sheet'!$P$4:$P$40,$AZ$5:$AZ$41,$BH27))),""))</f>
        <v/>
      </c>
      <c r="R28" s="72">
        <f>IF($BJ27&gt;0,IF(INDEX('Final Calculation Sheet'!$Q$4:$Q$40,$BJ27-3)="","",INDEX('Final Calculation Sheet'!$Q$4:$Q$40,$BJ27-3)),IF(OR($BI27=1,$BL27=1,$BH27&gt;0),"–",""))</f>
        <v/>
      </c>
      <c r="S28" s="70">
        <f>IF($BJ27&gt;0,IF(INDEX('Final Calculation Sheet'!$R$4:$R$40,$BJ27-3)="","",INDEX('Final Calculation Sheet'!$R$4:$R$40,$BJ27-3)),IF(OR($BI27=1,$BL27=1,$BH27&gt;0),IF($BI27=1,SUM('Final Calculation Sheet'!$R$4:$R$40),IF($BL27=1,SUM('Final Calculation Sheet'!$R$4:$R$40)-SUMIFS('Final Calculation Sheet'!$R$4:$R$40,$AZ$5:$AZ$41,10),SUMIFS('Final Calculation Sheet'!$R$4:$R$40,$AZ$5:$AZ$41,$BH27))),""))</f>
        <v/>
      </c>
      <c r="T28" s="70">
        <f>IF($BJ27&gt;0,IF(INDEX('Final Calculation Sheet'!$S$4:$S$40,$BJ27-3)="","",INDEX('Final Calculation Sheet'!$S$4:$S$40,$BJ27-3)),IF(OR($BI27=1,$BL27=1,$BH27&gt;0),IF($BI27=1,SUM('Final Calculation Sheet'!$S$4:$S$40),IF($BL27=1,SUM('Final Calculation Sheet'!$S$4:$S$40)-SUMIFS('Final Calculation Sheet'!$S$4:$S$40,$AZ$5:$AZ$41,10),SUMIFS('Final Calculation Sheet'!$S$4:$S$40,$AZ$5:$AZ$41,$BH27))),""))</f>
        <v/>
      </c>
      <c r="U28" s="70">
        <f>IF($BJ27&gt;0,IF(INDEX('Final Calculation Sheet'!$T$4:$T$40,$BJ27-3)="","",INDEX('Final Calculation Sheet'!$T$4:$T$40,$BJ27-3)),IF(OR($BI27=1,$BL27=1,$BH27&gt;0),IF($BI27=1,SUM('Final Calculation Sheet'!$T$4:$T$40),IF($BL27=1,SUM('Final Calculation Sheet'!$T$4:$T$40)-SUMIFS('Final Calculation Sheet'!$T$4:$T$40,$AZ$5:$AZ$41,10),SUMIFS('Final Calculation Sheet'!$T$4:$T$40,$AZ$5:$AZ$41,$BH27))),""))</f>
        <v/>
      </c>
      <c r="V28" s="73">
        <f>IF($BJ27&gt;0,IF(INDEX('Final Calculation Sheet'!$U$4:$U$40,$BJ27-3)="","",INDEX('Final Calculation Sheet'!$U$4:$U$40,$BJ27-3)),IF(OR($BI27=1,$BL27=1,$BH27&gt;0),IF($BI27=1,SUM('Final Calculation Sheet'!$U$4:$U$40),IF($BL27=1,SUM('Final Calculation Sheet'!$U$4:$U$40)-SUMIFS('Final Calculation Sheet'!$U$4:$U$40,$AZ$5:$AZ$41,10),SUMIFS('Final Calculation Sheet'!$U$4:$U$40,$AZ$5:$AZ$41,$BH27))),""))</f>
        <v/>
      </c>
      <c r="W28" s="70">
        <f>IF($BJ27&gt;0,IF(INDEX('Final Calculation Sheet'!$V$4:$V$40,$BJ27-3)="","",INDEX('Final Calculation Sheet'!$V$4:$V$40,$BJ27-3)),IF(OR($BI27=1,$BL27=1,$BH27&gt;0),"–",""))</f>
        <v/>
      </c>
      <c r="X28" s="70">
        <f>IF($BJ27&gt;0,IF(INDEX('Final Calculation Sheet'!$W$4:$W$40,$BJ27-3)="","",INDEX('Final Calculation Sheet'!$W$4:$W$40,$BJ27-3)),IF(OR($BI27=1,$BL27=1,$BH27&gt;0),IF($BI27=1,SUM('Final Calculation Sheet'!$W$4:$W$40),IF($BL27=1,SUM('Final Calculation Sheet'!$W$4:$W$40)-SUMIFS('Final Calculation Sheet'!$W$4:$W$40,$AZ$5:$AZ$41,10),SUMIFS('Final Calculation Sheet'!$W$4:$W$40,$AZ$5:$AZ$41,$BH27))),""))</f>
        <v/>
      </c>
      <c r="Y28" s="70">
        <f>IF($BJ27&gt;0,IF(INDEX('Final Calculation Sheet'!$X$4:$X$40,$BJ27-3)="","",INDEX('Final Calculation Sheet'!$X$4:$X$40,$BJ27-3)),IF(OR($BI27=1,$BL27=1,$BH27&gt;0),IF($BI27=1,SUM('Final Calculation Sheet'!$X$4:$X$40),IF($BL27=1,SUM('Final Calculation Sheet'!$X$4:$X$40)-SUMIFS('Final Calculation Sheet'!$X$4:$X$40,$AZ$5:$AZ$41,10),SUMIFS('Final Calculation Sheet'!$X$4:$X$40,$AZ$5:$AZ$41,$BH27))),""))</f>
        <v/>
      </c>
      <c r="Z28" s="70">
        <f>IF($BJ27&gt;0,IF(INDEX('Final Calculation Sheet'!$Y$4:$Y$40,$BJ27-3)="","",INDEX('Final Calculation Sheet'!$Y$4:$Y$40,$BJ27-3)),IF(OR($BI27=1,$BL27=1,$BH27&gt;0),"–",""))</f>
        <v/>
      </c>
      <c r="AA28" s="70">
        <f>IF($BJ27&gt;0,IF(INDEX('Final Calculation Sheet'!$Z$4:$Z$40,$BJ27-3)="","",INDEX('Final Calculation Sheet'!$Z$4:$Z$40,$BJ27-3)),IF(OR($BI27=1,$BL27=1,$BH27&gt;0),IF($BI27=1,SUM('Final Calculation Sheet'!$Z$4:$Z$40),IF($BL27=1,SUM('Final Calculation Sheet'!$Z$4:$Z$40)-SUMIFS('Final Calculation Sheet'!$Z$4:$Z$40,$AZ$5:$AZ$41,10),SUMIFS('Final Calculation Sheet'!$Z$4:$Z$40,$AZ$5:$AZ$41,$BH27))),""))</f>
        <v/>
      </c>
      <c r="AB28" s="70">
        <f>IF($BJ27&gt;0,IF(INDEX('Final Calculation Sheet'!$AA$4:$AA$40,$BJ27-3)="","",INDEX('Final Calculation Sheet'!$AA$4:$AA$40,$BJ27-3)),IF(OR($BI27=1,$BL27=1,$BH27&gt;0),IF($BI27=1,SUM('Final Calculation Sheet'!$AA$4:$AA$40),IF($BL27=1,SUM('Final Calculation Sheet'!$AA$4:$AA$40)-SUMIFS('Final Calculation Sheet'!$AA$4:$AA$40,$AZ$5:$AZ$41,10),SUMIFS('Final Calculation Sheet'!$AA$4:$AA$40,$AZ$5:$AZ$41,$BH27))),""))</f>
        <v/>
      </c>
      <c r="AC28" s="70">
        <f>IF($BJ27&gt;0,IF(INDEX('Final Calculation Sheet'!$AB$4:$AB$40,$BJ27-3)="","",INDEX('Final Calculation Sheet'!$AB$4:$AB$40,$BJ27-3)),IF(OR($BI27=1,$BL27=1,$BH27&gt;0),"–",""))</f>
        <v/>
      </c>
      <c r="AD28" s="70">
        <f>IF($BJ27&gt;0,IF(INDEX('Final Calculation Sheet'!$AC$4:$AC$40,$BJ27-3)="","",INDEX('Final Calculation Sheet'!$AC$4:$AC$40,$BJ27-3)),IF(OR($BI27=1,$BL27=1,$BH27&gt;0),IF($BI27=1,SUM('Final Calculation Sheet'!$AC$4:$AC$40),IF($BL27=1,SUM('Final Calculation Sheet'!$AC$4:$AC$40)-SUMIFS('Final Calculation Sheet'!$AC$4:$AC$40,$AZ$5:$AZ$41,10),SUMIFS('Final Calculation Sheet'!$AC$4:$AC$40,$AZ$5:$AZ$41,$BH27))),""))</f>
        <v/>
      </c>
      <c r="AE28" s="70">
        <f>IF($BJ27&gt;0,IF(INDEX('Final Calculation Sheet'!$AD$4:$AD$40,$BJ27-3)="","",INDEX('Final Calculation Sheet'!$AD$4:$AD$40,$BJ27-3)),IF(OR($BI27=1,$BL27=1,$BH27&gt;0),IF($BI27=1,SUM('Final Calculation Sheet'!$AD$4:$AD$40),IF($BL27=1,SUM('Final Calculation Sheet'!$AD$4:$AD$40)-SUMIFS('Final Calculation Sheet'!$AD$4:$AD$40,$AZ$5:$AZ$41,10),SUMIFS('Final Calculation Sheet'!$AD$4:$AD$40,$AZ$5:$AZ$41,$BH27))),""))</f>
        <v/>
      </c>
      <c r="AF28" s="75">
        <f>IF($BJ27&gt;0,IF(INDEX('Final Calculation Sheet'!$AD$4:$AD$40,$BJ27-3)="","",IF(INDEX('Final Calculation Sheet'!$AD$4:$AD$40,$BJ27-3)&lt;=5,"SETTLED","OUTSTANDING")),IF(OR($BI27=1,$BL27=1,$BH27&gt;0),IF(IF($BI27=1,SUM('Final Calculation Sheet'!$AD$4:$AD$40),IF($BL27=1,SUM('Final Calculation Sheet'!$AD$4:$AD$40)-SUMIFS('Final Calculation Sheet'!$AD$4:$AD$40,$AZ$5:$AZ$41,10),SUMIFS('Final Calculation Sheet'!$AD$4:$AD$40,$AZ$5:$AZ$41,$BH27)))&lt;=5,"ALL SETTLED","OUTSTANDING"),""))</f>
        <v/>
      </c>
      <c r="AG28" s="70">
        <f>IF($BJ27&gt;0,IF(INDEX('Final Calculation Sheet'!$AF$4:$AF$40,$BJ27-3)="","",INDEX('Final Calculation Sheet'!$AF$4:$AF$40,$BJ27-3)),IF(OR($BI27=1,$BL27=1,$BH27&gt;0),"–",""))</f>
        <v/>
      </c>
      <c r="AH28" s="74">
        <f>IF($BJ27&gt;0,IF(INDEX('Final Calculation Sheet'!$AG$4:$AG$40,$BJ27-3)="","",INDEX('Final Calculation Sheet'!$AG$4:$AG$40,$BJ27-3)),IF(OR($BI27=1,$BL27=1,$BH27&gt;0),"–",""))</f>
        <v/>
      </c>
      <c r="AI28" s="70">
        <f>IF($BJ27&gt;0,IF(INDEX('Final Calculation Sheet'!$AH$4:$AH$40,$BJ27-3)="","",INDEX('Final Calculation Sheet'!$AH$4:$AH$40,$BJ27-3)),IF(OR($BI27=1,$BL27=1,$BH27&gt;0),"–",""))</f>
        <v/>
      </c>
      <c r="AK28">
        <f>IF($F$3="Lot No.",'Final Calculation Sheet'!$F$27,IF($F$3="Buyer",'Final Calculation Sheet'!$G$27,IF($F$3="Lot Name",'Final Calculation Sheet'!$B$27,IF($F$3="Bid Sheet",'Final Calculation Sheet'!$D$27,IF($F$3="Unit",'Final Calculation Sheet'!$E$27,'Final Calculation Sheet'!$F$27&amp;" "&amp;'Final Calculation Sheet'!$G$27&amp;" "&amp;'Final Calculation Sheet'!$B$27)))))</f>
        <v/>
      </c>
      <c r="AL28">
        <f>AL27+IF($B$3="",0,--(SUMPRODUCT(--($AR$6:$AY$6&lt;&gt;""),--ISNUMBER(SEARCH($AR$6:$AY$6,$AK28)))&gt;0))</f>
        <v/>
      </c>
      <c r="AM28">
        <f>IF(COUNTIF($BM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AZ28">
        <f>IF($B$3="",IF(COUNTIF($A$4:$AI$4,"&lt;&gt;")=0,9,IF($AM28=1,9,10)),IF($AM28=0,10,IF(AND($AR$6&lt;&gt;"",ISNUMBER(SEARCH($AR$6,$AK28))),1,IF(AND($AS$6&lt;&gt;"",ISNUMBER(SEARCH($AS$6,$AK28))),2,IF(AND($AT$6&lt;&gt;"",ISNUMBER(SEARCH($AT$6,$AK28))),3,IF(AND($AU$6&lt;&gt;"",ISNUMBER(SEARCH($AU$6,$AK28))),4,IF(AND($AV$6&lt;&gt;"",ISNUMBER(SEARCH($AV$6,$AK28))),5,IF(AND($AW$6&lt;&gt;"",ISNUMBER(SEARCH($AW$6,$AK28))),6,IF(AND($AX$6&lt;&gt;"",ISNUMBER(SEARCH($AX$6,$AK28))),7,IF(AND($AY$6&lt;&gt;"",ISNUMBER(SEARCH($AY$6,$AK28))),8,0))))))))))</f>
        <v/>
      </c>
      <c r="BA28">
        <f>SUMPRODUCT(($AZ$5:$AZ$41=$AZ28)*($BC$5:$BC$41&lt;$BC28))+1</f>
        <v/>
      </c>
      <c r="BB28">
        <f>IF(INDEX($BF$4:$BF$13,$AZ28)=0,0,INDEX($BE$4:$BE$13,$AZ28)+$BA28-1)</f>
        <v/>
      </c>
      <c r="BC28" t="n">
        <v>27</v>
      </c>
      <c r="BH28">
        <f>IFERROR(MATCH(28,$BF$4:$BF$13,0),0)</f>
        <v/>
      </c>
      <c r="BI28">
        <f>IF(28=$BG$5,1,0)</f>
        <v/>
      </c>
      <c r="BJ28">
        <f>IF(OR($BH28&gt;0,$BI28=1,$BL28=1),0,IFERROR(INDEX($BC$5:$BC$41,MATCH(28,$BB$5:$BB$41,0)),0))</f>
        <v/>
      </c>
      <c r="BK28">
        <f>IF($BJ28&gt;0,IF(INDEX($AZ$5:$AZ$41,MATCH(28,$BB$5:$BB$41,0))=10,1,0),IF($BH28=10,1,0))</f>
        <v/>
      </c>
      <c r="BL28">
        <f>IF(28=$BG$4,1,0)</f>
        <v/>
      </c>
      <c r="BM28">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8">
        <f>IF($B$4="",1,--(OR(SUMPRODUCT(--(TRIM(MID(SUBSTITUTE(SUBSTITUTE($B$4,"/",","),",",REPT(" ",99)),(ROW($1:$8)-1)*99+1,99))&lt;&gt;""),--ISNUMBER(SEARCH(TRIM(MID(SUBSTITUTE(SUBSTITUTE($B$4,"/",","),",",REPT(" ",99)),(ROW($1:$8)-1)*99+1,99)),IFERROR(('Final Calculation Sheet'!$F$27)&amp;"",""))))&gt;0,AND(ISNUMBER(SEARCH("blank",$B$4)),NOT(ISNUMBER(SEARCH("nonblank",$B$4))),IFERROR(('Final Calculation Sheet'!$F$27)&amp;"","")=""),AND(OR(ISNUMBER(SEARCH("nonblank",$B$4)),ISNUMBER(SEARCH("&lt;&gt;",$B$4))),IFERROR(('Final Calculation Sheet'!$F$27)&amp;"","")&lt;&gt;""),AND(TRIM($B$4)="",IFERROR(('Final Calculation Sheet'!$F$27)&amp;"","")=""))))</f>
        <v/>
      </c>
      <c r="BO28">
        <f>IF($CW$3="",1,--(OR(SUMPRODUCT(--(TRIM(MID(SUBSTITUTE(SUBSTITUTE($CW$3,"/",","),",",REPT(" ",99)),(ROW($1:$8)-1)*99+1,99))&lt;&gt;""),--ISNUMBER(SEARCH(TRIM(MID(SUBSTITUTE(SUBSTITUTE($CW$3,"/",","),",",REPT(" ",99)),(ROW($1:$8)-1)*99+1,99)),IFERROR(('Final Calculation Sheet'!$G$27)&amp;"",""))))&gt;0,AND(ISNUMBER(SEARCH("blank",$CW$3)),NOT(ISNUMBER(SEARCH("nonblank",$CW$3))),IFERROR(('Final Calculation Sheet'!$G$27)&amp;"","")=""),AND(OR(ISNUMBER(SEARCH("nonblank",$CW$3)),ISNUMBER(SEARCH("&lt;&gt;",$CW$3))),IFERROR(('Final Calculation Sheet'!$G$27)&amp;"","")&lt;&gt;""),AND(TRIM($CW$3)="",IFERROR(('Final Calculation Sheet'!$G$27)&amp;"","")=""))))</f>
        <v/>
      </c>
      <c r="BP28">
        <f>IF($D$4="",1,--(OR(SUMPRODUCT(--(TRIM(MID(SUBSTITUTE(SUBSTITUTE($D$4,"/",","),",",REPT(" ",99)),(ROW($1:$8)-1)*99+1,99))&lt;&gt;""),--ISNUMBER(SEARCH(TRIM(MID(SUBSTITUTE(SUBSTITUTE($D$4,"/",","),",",REPT(" ",99)),(ROW($1:$8)-1)*99+1,99)),IFERROR(('Final Calculation Sheet'!$B$27)&amp;"",""))))&gt;0,AND(ISNUMBER(SEARCH("blank",$D$4)),NOT(ISNUMBER(SEARCH("nonblank",$D$4))),IFERROR(('Final Calculation Sheet'!$B$27)&amp;"","")=""),AND(OR(ISNUMBER(SEARCH("nonblank",$D$4)),ISNUMBER(SEARCH("&lt;&gt;",$D$4))),IFERROR(('Final Calculation Sheet'!$B$27)&amp;"","")&lt;&gt;""),AND(TRIM($D$4)="",IFERROR(('Final Calculation Sheet'!$B$27)&amp;"","")=""))))</f>
        <v/>
      </c>
      <c r="BQ28">
        <f>IF($E$4="",1,--(OR(SUMPRODUCT(--(TRIM(MID(SUBSTITUTE(SUBSTITUTE($E$4,"/",","),",",REPT(" ",99)),(ROW($1:$8)-1)*99+1,99))&lt;&gt;""),--ISNUMBER(SEARCH(TRIM(MID(SUBSTITUTE(SUBSTITUTE($E$4,"/",","),",",REPT(" ",99)),(ROW($1:$8)-1)*99+1,99)),IFERROR(('Final Calculation Sheet'!$D$27)&amp;"",""))))&gt;0,AND(ISNUMBER(SEARCH("blank",$E$4)),NOT(ISNUMBER(SEARCH("nonblank",$E$4))),IFERROR(('Final Calculation Sheet'!$D$27)&amp;"","")=""),AND(OR(ISNUMBER(SEARCH("nonblank",$E$4)),ISNUMBER(SEARCH("&lt;&gt;",$E$4))),IFERROR(('Final Calculation Sheet'!$D$27)&amp;"","")&lt;&gt;""),AND(TRIM($E$4)="",IFERROR(('Final Calculation Sheet'!$D$27)&amp;"","")=""))))</f>
        <v/>
      </c>
      <c r="BR28">
        <f>IF($F$4="",1,--(OR(SUMPRODUCT(--(TRIM(MID(SUBSTITUTE(SUBSTITUTE($F$4,"/",","),",",REPT(" ",99)),(ROW($1:$8)-1)*99+1,99))&lt;&gt;""),--ISNUMBER(SEARCH(TRIM(MID(SUBSTITUTE(SUBSTITUTE($F$4,"/",","),",",REPT(" ",99)),(ROW($1:$8)-1)*99+1,99)),IFERROR(('Final Calculation Sheet'!$A$27)&amp;"",""))))&gt;0,AND(ISNUMBER(SEARCH("blank",$F$4)),NOT(ISNUMBER(SEARCH("nonblank",$F$4))),IFERROR(('Final Calculation Sheet'!$A$27)&amp;"","")=""),AND(OR(ISNUMBER(SEARCH("nonblank",$F$4)),ISNUMBER(SEARCH("&lt;&gt;",$F$4))),IFERROR(('Final Calculation Sheet'!$A$27)&amp;"","")&lt;&gt;""),AND(TRIM($F$4)="",IFERROR(('Final Calculation Sheet'!$A$27)&amp;"","")=""))))</f>
        <v/>
      </c>
      <c r="BS28">
        <f>IF($G$4="",1,--(OR(SUMPRODUCT(--(TRIM(MID(SUBSTITUTE(SUBSTITUTE($G$4,"/",","),",",REPT(" ",99)),(ROW($1:$8)-1)*99+1,99))&lt;&gt;""),--ISNUMBER(SEARCH(TRIM(MID(SUBSTITUTE(SUBSTITUTE($G$4,"/",","),",",REPT(" ",99)),(ROW($1:$8)-1)*99+1,99)),IFERROR(('Final Calculation Sheet'!$E$27)&amp;"",""))))&gt;0,AND(ISNUMBER(SEARCH("blank",$G$4)),NOT(ISNUMBER(SEARCH("nonblank",$G$4))),IFERROR(('Final Calculation Sheet'!$E$27)&amp;"","")=""),AND(OR(ISNUMBER(SEARCH("nonblank",$G$4)),ISNUMBER(SEARCH("&lt;&gt;",$G$4))),IFERROR(('Final Calculation Sheet'!$E$27)&amp;"","")&lt;&gt;""),AND(TRIM($G$4)="",IFERROR(('Final Calculation Sheet'!$E$27)&amp;"","")=""))))</f>
        <v/>
      </c>
      <c r="BT28">
        <f>IF($H$4="",1,--(OR(SUMPRODUCT(--(TRIM(MID(SUBSTITUTE(SUBSTITUTE($H$4,"/",","),",",REPT(" ",99)),(ROW($1:$8)-1)*99+1,99))&lt;&gt;""),--ISNUMBER(SEARCH(TRIM(MID(SUBSTITUTE(SUBSTITUTE($H$4,"/",","),",",REPT(" ",99)),(ROW($1:$8)-1)*99+1,99)),IFERROR(('Final Calculation Sheet'!$C$27)&amp;"",""))))&gt;0,AND(ISNUMBER(SEARCH("blank",$H$4)),NOT(ISNUMBER(SEARCH("nonblank",$H$4))),IFERROR(('Final Calculation Sheet'!$C$27)&amp;"","")=""),AND(OR(ISNUMBER(SEARCH("nonblank",$H$4)),ISNUMBER(SEARCH("&lt;&gt;",$H$4))),IFERROR(('Final Calculation Sheet'!$C$27)&amp;"","")&lt;&gt;""),AND(TRIM($H$4)="",IFERROR(('Final Calculation Sheet'!$C$27)&amp;"","")=""))))</f>
        <v/>
      </c>
      <c r="BU28">
        <f>IF($I$4="",1,--(OR(SUMPRODUCT(--(TRIM(MID(SUBSTITUTE(SUBSTITUTE($I$4,"/",","),",",REPT(" ",99)),(ROW($1:$8)-1)*99+1,99))&lt;&gt;""),--ISNUMBER(SEARCH(TRIM(MID(SUBSTITUTE(SUBSTITUTE($I$4,"/",","),",",REPT(" ",99)),(ROW($1:$8)-1)*99+1,99)),IFERROR(('Final Calculation Sheet'!$H$27)&amp;"",""))))&gt;0,AND(ISNUMBER(SEARCH("blank",$I$4)),NOT(ISNUMBER(SEARCH("nonblank",$I$4))),IFERROR(('Final Calculation Sheet'!$H$27)&amp;"","")=""),AND(OR(ISNUMBER(SEARCH("nonblank",$I$4)),ISNUMBER(SEARCH("&lt;&gt;",$I$4))),IFERROR(('Final Calculation Sheet'!$H$27)&amp;"","")&lt;&gt;""),AND(TRIM($I$4)="",IFERROR(('Final Calculation Sheet'!$H$27)&amp;"","")=""))))</f>
        <v/>
      </c>
      <c r="BV28">
        <f>IF($J$4="",1,--(OR(SUMPRODUCT(--(TRIM(MID(SUBSTITUTE(SUBSTITUTE($J$4,"/",","),",",REPT(" ",99)),(ROW($1:$8)-1)*99+1,99))&lt;&gt;""),--ISNUMBER(SEARCH(TRIM(MID(SUBSTITUTE(SUBSTITUTE($J$4,"/",","),",",REPT(" ",99)),(ROW($1:$8)-1)*99+1,99)),IFERROR(('Final Calculation Sheet'!$I$27)&amp;"",""))))&gt;0,AND(ISNUMBER(SEARCH("blank",$J$4)),NOT(ISNUMBER(SEARCH("nonblank",$J$4))),IFERROR(('Final Calculation Sheet'!$I$27)&amp;"","")=""),AND(OR(ISNUMBER(SEARCH("nonblank",$J$4)),ISNUMBER(SEARCH("&lt;&gt;",$J$4))),IFERROR(('Final Calculation Sheet'!$I$27)&amp;"","")&lt;&gt;""),AND(TRIM($J$4)="",IFERROR(('Final Calculation Sheet'!$I$27)&amp;"","")=""))))</f>
        <v/>
      </c>
      <c r="BW28">
        <f>IF($K$4="",1,--(OR(SUMPRODUCT(--(TRIM(MID(SUBSTITUTE(SUBSTITUTE($K$4,"/",","),",",REPT(" ",99)),(ROW($1:$8)-1)*99+1,99))&lt;&gt;""),--ISNUMBER(SEARCH(TRIM(MID(SUBSTITUTE(SUBSTITUTE($K$4,"/",","),",",REPT(" ",99)),(ROW($1:$8)-1)*99+1,99)),IFERROR(('Final Calculation Sheet'!$J$27)&amp;"",""))))&gt;0,AND(ISNUMBER(SEARCH("blank",$K$4)),NOT(ISNUMBER(SEARCH("nonblank",$K$4))),IFERROR(('Final Calculation Sheet'!$J$27)&amp;"","")=""),AND(OR(ISNUMBER(SEARCH("nonblank",$K$4)),ISNUMBER(SEARCH("&lt;&gt;",$K$4))),IFERROR(('Final Calculation Sheet'!$J$27)&amp;"","")&lt;&gt;""),AND(TRIM($K$4)="",IFERROR(('Final Calculation Sheet'!$J$27)&amp;"","")=""))))</f>
        <v/>
      </c>
      <c r="BX28">
        <f>IF($L$4="",1,--(OR(SUMPRODUCT(--(TRIM(MID(SUBSTITUTE(SUBSTITUTE($L$4,"/",","),",",REPT(" ",99)),(ROW($1:$8)-1)*99+1,99))&lt;&gt;""),--ISNUMBER(SEARCH(TRIM(MID(SUBSTITUTE(SUBSTITUTE($L$4,"/",","),",",REPT(" ",99)),(ROW($1:$8)-1)*99+1,99)),IFERROR(('Final Calculation Sheet'!$K$27)&amp;"",""))))&gt;0,AND(ISNUMBER(SEARCH("blank",$L$4)),NOT(ISNUMBER(SEARCH("nonblank",$L$4))),IFERROR(('Final Calculation Sheet'!$K$27)&amp;"","")=""),AND(OR(ISNUMBER(SEARCH("nonblank",$L$4)),ISNUMBER(SEARCH("&lt;&gt;",$L$4))),IFERROR(('Final Calculation Sheet'!$K$27)&amp;"","")&lt;&gt;""),AND(TRIM($L$4)="",IFERROR(('Final Calculation Sheet'!$K$27)&amp;"","")=""))))</f>
        <v/>
      </c>
      <c r="BY28">
        <f>IF($M$4="",1,--(OR(SUMPRODUCT(--(TRIM(MID(SUBSTITUTE(SUBSTITUTE($M$4,"/",","),",",REPT(" ",99)),(ROW($1:$8)-1)*99+1,99))&lt;&gt;""),--ISNUMBER(SEARCH(TRIM(MID(SUBSTITUTE(SUBSTITUTE($M$4,"/",","),",",REPT(" ",99)),(ROW($1:$8)-1)*99+1,99)),IFERROR(('Final Calculation Sheet'!$L$27)&amp;"",""))))&gt;0,AND(ISNUMBER(SEARCH("blank",$M$4)),NOT(ISNUMBER(SEARCH("nonblank",$M$4))),IFERROR(('Final Calculation Sheet'!$L$27)&amp;"","")=""),AND(OR(ISNUMBER(SEARCH("nonblank",$M$4)),ISNUMBER(SEARCH("&lt;&gt;",$M$4))),IFERROR(('Final Calculation Sheet'!$L$27)&amp;"","")&lt;&gt;""),AND(TRIM($M$4)="",IFERROR(('Final Calculation Sheet'!$L$27)&amp;"","")=""))))</f>
        <v/>
      </c>
      <c r="BZ28">
        <f>IF($N$4="",1,--(OR(SUMPRODUCT(--(TRIM(MID(SUBSTITUTE(SUBSTITUTE($N$4,"/",","),",",REPT(" ",99)),(ROW($1:$8)-1)*99+1,99))&lt;&gt;""),--ISNUMBER(SEARCH(TRIM(MID(SUBSTITUTE(SUBSTITUTE($N$4,"/",","),",",REPT(" ",99)),(ROW($1:$8)-1)*99+1,99)),IFERROR(('Final Calculation Sheet'!$M$27)&amp;"",""))))&gt;0,AND(ISNUMBER(SEARCH("blank",$N$4)),NOT(ISNUMBER(SEARCH("nonblank",$N$4))),IFERROR(('Final Calculation Sheet'!$M$27)&amp;"","")=""),AND(OR(ISNUMBER(SEARCH("nonblank",$N$4)),ISNUMBER(SEARCH("&lt;&gt;",$N$4))),IFERROR(('Final Calculation Sheet'!$M$27)&amp;"","")&lt;&gt;""),AND(TRIM($N$4)="",IFERROR(('Final Calculation Sheet'!$M$27)&amp;"","")=""))))</f>
        <v/>
      </c>
      <c r="CA28">
        <f>IF($O$4="",1,--(OR(SUMPRODUCT(--(TRIM(MID(SUBSTITUTE(SUBSTITUTE($O$4,"/",","),",",REPT(" ",99)),(ROW($1:$8)-1)*99+1,99))&lt;&gt;""),--ISNUMBER(SEARCH(TRIM(MID(SUBSTITUTE(SUBSTITUTE($O$4,"/",","),",",REPT(" ",99)),(ROW($1:$8)-1)*99+1,99)),IFERROR(('Final Calculation Sheet'!$N$27)&amp;"",""))))&gt;0,AND(ISNUMBER(SEARCH("blank",$O$4)),NOT(ISNUMBER(SEARCH("nonblank",$O$4))),IFERROR(('Final Calculation Sheet'!$N$27)&amp;"","")=""),AND(OR(ISNUMBER(SEARCH("nonblank",$O$4)),ISNUMBER(SEARCH("&lt;&gt;",$O$4))),IFERROR(('Final Calculation Sheet'!$N$27)&amp;"","")&lt;&gt;""),AND(TRIM($O$4)="",IFERROR(('Final Calculation Sheet'!$N$27)&amp;"","")=""))))</f>
        <v/>
      </c>
      <c r="CB28">
        <f>IF($P$4="",1,--(OR(SUMPRODUCT(--(TRIM(MID(SUBSTITUTE(SUBSTITUTE($P$4,"/",","),",",REPT(" ",99)),(ROW($1:$8)-1)*99+1,99))&lt;&gt;""),--ISNUMBER(SEARCH(TRIM(MID(SUBSTITUTE(SUBSTITUTE($P$4,"/",","),",",REPT(" ",99)),(ROW($1:$8)-1)*99+1,99)),IFERROR(('Final Calculation Sheet'!$O$27)&amp;"",""))))&gt;0,AND(ISNUMBER(SEARCH("blank",$P$4)),NOT(ISNUMBER(SEARCH("nonblank",$P$4))),IFERROR(('Final Calculation Sheet'!$O$27)&amp;"","")=""),AND(OR(ISNUMBER(SEARCH("nonblank",$P$4)),ISNUMBER(SEARCH("&lt;&gt;",$P$4))),IFERROR(('Final Calculation Sheet'!$O$27)&amp;"","")&lt;&gt;""),AND(TRIM($P$4)="",IFERROR(('Final Calculation Sheet'!$O$27)&amp;"","")=""))))</f>
        <v/>
      </c>
      <c r="CC28">
        <f>IF($Q$4="",1,--(OR(SUMPRODUCT(--(TRIM(MID(SUBSTITUTE(SUBSTITUTE($Q$4,"/",","),",",REPT(" ",99)),(ROW($1:$8)-1)*99+1,99))&lt;&gt;""),--ISNUMBER(SEARCH(TRIM(MID(SUBSTITUTE(SUBSTITUTE($Q$4,"/",","),",",REPT(" ",99)),(ROW($1:$8)-1)*99+1,99)),IFERROR(('Final Calculation Sheet'!$P$27)&amp;"",""))))&gt;0,AND(ISNUMBER(SEARCH("blank",$Q$4)),NOT(ISNUMBER(SEARCH("nonblank",$Q$4))),IFERROR(('Final Calculation Sheet'!$P$27)&amp;"","")=""),AND(OR(ISNUMBER(SEARCH("nonblank",$Q$4)),ISNUMBER(SEARCH("&lt;&gt;",$Q$4))),IFERROR(('Final Calculation Sheet'!$P$27)&amp;"","")&lt;&gt;""),AND(TRIM($Q$4)="",IFERROR(('Final Calculation Sheet'!$P$27)&amp;"","")=""))))</f>
        <v/>
      </c>
      <c r="CD28">
        <f>IF($R$4="",1,--(OR(SUMPRODUCT(--(TRIM(MID(SUBSTITUTE(SUBSTITUTE($R$4,"/",","),",",REPT(" ",99)),(ROW($1:$8)-1)*99+1,99))&lt;&gt;""),--ISNUMBER(SEARCH(TRIM(MID(SUBSTITUTE(SUBSTITUTE($R$4,"/",","),",",REPT(" ",99)),(ROW($1:$8)-1)*99+1,99)),IFERROR(('Final Calculation Sheet'!$Q$27)&amp;"",""))))&gt;0,AND(ISNUMBER(SEARCH("blank",$R$4)),NOT(ISNUMBER(SEARCH("nonblank",$R$4))),IFERROR(('Final Calculation Sheet'!$Q$27)&amp;"","")=""),AND(OR(ISNUMBER(SEARCH("nonblank",$R$4)),ISNUMBER(SEARCH("&lt;&gt;",$R$4))),IFERROR(('Final Calculation Sheet'!$Q$27)&amp;"","")&lt;&gt;""),AND(TRIM($R$4)="",IFERROR(('Final Calculation Sheet'!$Q$27)&amp;"","")=""))))</f>
        <v/>
      </c>
      <c r="CE28">
        <f>IF($S$4="",1,--(OR(SUMPRODUCT(--(TRIM(MID(SUBSTITUTE(SUBSTITUTE($S$4,"/",","),",",REPT(" ",99)),(ROW($1:$8)-1)*99+1,99))&lt;&gt;""),--ISNUMBER(SEARCH(TRIM(MID(SUBSTITUTE(SUBSTITUTE($S$4,"/",","),",",REPT(" ",99)),(ROW($1:$8)-1)*99+1,99)),IFERROR(('Final Calculation Sheet'!$R$27)&amp;"",""))))&gt;0,AND(ISNUMBER(SEARCH("blank",$S$4)),NOT(ISNUMBER(SEARCH("nonblank",$S$4))),IFERROR(('Final Calculation Sheet'!$R$27)&amp;"","")=""),AND(OR(ISNUMBER(SEARCH("nonblank",$S$4)),ISNUMBER(SEARCH("&lt;&gt;",$S$4))),IFERROR(('Final Calculation Sheet'!$R$27)&amp;"","")&lt;&gt;""),AND(TRIM($S$4)="",IFERROR(('Final Calculation Sheet'!$R$27)&amp;"","")=""))))</f>
        <v/>
      </c>
      <c r="CF28">
        <f>IF($T$4="",1,--(OR(SUMPRODUCT(--(TRIM(MID(SUBSTITUTE(SUBSTITUTE($T$4,"/",","),",",REPT(" ",99)),(ROW($1:$8)-1)*99+1,99))&lt;&gt;""),--ISNUMBER(SEARCH(TRIM(MID(SUBSTITUTE(SUBSTITUTE($T$4,"/",","),",",REPT(" ",99)),(ROW($1:$8)-1)*99+1,99)),IFERROR(('Final Calculation Sheet'!$S$27)&amp;"",""))))&gt;0,AND(ISNUMBER(SEARCH("blank",$T$4)),NOT(ISNUMBER(SEARCH("nonblank",$T$4))),IFERROR(('Final Calculation Sheet'!$S$27)&amp;"","")=""),AND(OR(ISNUMBER(SEARCH("nonblank",$T$4)),ISNUMBER(SEARCH("&lt;&gt;",$T$4))),IFERROR(('Final Calculation Sheet'!$S$27)&amp;"","")&lt;&gt;""),AND(TRIM($T$4)="",IFERROR(('Final Calculation Sheet'!$S$27)&amp;"","")=""))))</f>
        <v/>
      </c>
      <c r="CG28">
        <f>IF($U$4="",1,--(OR(SUMPRODUCT(--(TRIM(MID(SUBSTITUTE(SUBSTITUTE($U$4,"/",","),",",REPT(" ",99)),(ROW($1:$8)-1)*99+1,99))&lt;&gt;""),--ISNUMBER(SEARCH(TRIM(MID(SUBSTITUTE(SUBSTITUTE($U$4,"/",","),",",REPT(" ",99)),(ROW($1:$8)-1)*99+1,99)),IFERROR(('Final Calculation Sheet'!$T$27)&amp;"",""))))&gt;0,AND(ISNUMBER(SEARCH("blank",$U$4)),NOT(ISNUMBER(SEARCH("nonblank",$U$4))),IFERROR(('Final Calculation Sheet'!$T$27)&amp;"","")=""),AND(OR(ISNUMBER(SEARCH("nonblank",$U$4)),ISNUMBER(SEARCH("&lt;&gt;",$U$4))),IFERROR(('Final Calculation Sheet'!$T$27)&amp;"","")&lt;&gt;""),AND(TRIM($U$4)="",IFERROR(('Final Calculation Sheet'!$T$27)&amp;"","")=""))))</f>
        <v/>
      </c>
      <c r="CH28">
        <f>IF($V$4="",1,--(OR(SUMPRODUCT(--(TRIM(MID(SUBSTITUTE(SUBSTITUTE($V$4,"/",","),",",REPT(" ",99)),(ROW($1:$8)-1)*99+1,99))&lt;&gt;""),--ISNUMBER(SEARCH(TRIM(MID(SUBSTITUTE(SUBSTITUTE($V$4,"/",","),",",REPT(" ",99)),(ROW($1:$8)-1)*99+1,99)),IFERROR(('Final Calculation Sheet'!$U$27)&amp;"",""))))&gt;0,AND(ISNUMBER(SEARCH("blank",$V$4)),NOT(ISNUMBER(SEARCH("nonblank",$V$4))),IFERROR(('Final Calculation Sheet'!$U$27)&amp;"","")=""),AND(OR(ISNUMBER(SEARCH("nonblank",$V$4)),ISNUMBER(SEARCH("&lt;&gt;",$V$4))),IFERROR(('Final Calculation Sheet'!$U$27)&amp;"","")&lt;&gt;""),AND(TRIM($V$4)="",IFERROR(('Final Calculation Sheet'!$U$27)&amp;"","")=""))))</f>
        <v/>
      </c>
      <c r="CI28">
        <f>IF($W$4="",1,--(OR(SUMPRODUCT(--(TRIM(MID(SUBSTITUTE(SUBSTITUTE($W$4,"/",","),",",REPT(" ",99)),(ROW($1:$8)-1)*99+1,99))&lt;&gt;""),--ISNUMBER(SEARCH(TRIM(MID(SUBSTITUTE(SUBSTITUTE($W$4,"/",","),",",REPT(" ",99)),(ROW($1:$8)-1)*99+1,99)),IFERROR(('Final Calculation Sheet'!$V$27)&amp;"",""))))&gt;0,AND(ISNUMBER(SEARCH("blank",$W$4)),NOT(ISNUMBER(SEARCH("nonblank",$W$4))),IFERROR(('Final Calculation Sheet'!$V$27)&amp;"","")=""),AND(OR(ISNUMBER(SEARCH("nonblank",$W$4)),ISNUMBER(SEARCH("&lt;&gt;",$W$4))),IFERROR(('Final Calculation Sheet'!$V$27)&amp;"","")&lt;&gt;""),AND(TRIM($W$4)="",IFERROR(('Final Calculation Sheet'!$V$27)&amp;"","")=""))))</f>
        <v/>
      </c>
      <c r="CJ28">
        <f>IF($X$4="",1,--(OR(SUMPRODUCT(--(TRIM(MID(SUBSTITUTE(SUBSTITUTE($X$4,"/",","),",",REPT(" ",99)),(ROW($1:$8)-1)*99+1,99))&lt;&gt;""),--ISNUMBER(SEARCH(TRIM(MID(SUBSTITUTE(SUBSTITUTE($X$4,"/",","),",",REPT(" ",99)),(ROW($1:$8)-1)*99+1,99)),IFERROR(('Final Calculation Sheet'!$W$27)&amp;"",""))))&gt;0,AND(ISNUMBER(SEARCH("blank",$X$4)),NOT(ISNUMBER(SEARCH("nonblank",$X$4))),IFERROR(('Final Calculation Sheet'!$W$27)&amp;"","")=""),AND(OR(ISNUMBER(SEARCH("nonblank",$X$4)),ISNUMBER(SEARCH("&lt;&gt;",$X$4))),IFERROR(('Final Calculation Sheet'!$W$27)&amp;"","")&lt;&gt;""),AND(TRIM($X$4)="",IFERROR(('Final Calculation Sheet'!$W$27)&amp;"","")=""))))</f>
        <v/>
      </c>
      <c r="CK28">
        <f>IF($Y$4="",1,--(OR(SUMPRODUCT(--(TRIM(MID(SUBSTITUTE(SUBSTITUTE($Y$4,"/",","),",",REPT(" ",99)),(ROW($1:$8)-1)*99+1,99))&lt;&gt;""),--ISNUMBER(SEARCH(TRIM(MID(SUBSTITUTE(SUBSTITUTE($Y$4,"/",","),",",REPT(" ",99)),(ROW($1:$8)-1)*99+1,99)),IFERROR(('Final Calculation Sheet'!$X$27)&amp;"",""))))&gt;0,AND(ISNUMBER(SEARCH("blank",$Y$4)),NOT(ISNUMBER(SEARCH("nonblank",$Y$4))),IFERROR(('Final Calculation Sheet'!$X$27)&amp;"","")=""),AND(OR(ISNUMBER(SEARCH("nonblank",$Y$4)),ISNUMBER(SEARCH("&lt;&gt;",$Y$4))),IFERROR(('Final Calculation Sheet'!$X$27)&amp;"","")&lt;&gt;""),AND(TRIM($Y$4)="",IFERROR(('Final Calculation Sheet'!$X$27)&amp;"","")=""))))</f>
        <v/>
      </c>
      <c r="CL28">
        <f>IF($Z$4="",1,--(OR(SUMPRODUCT(--(TRIM(MID(SUBSTITUTE(SUBSTITUTE($Z$4,"/",","),",",REPT(" ",99)),(ROW($1:$8)-1)*99+1,99))&lt;&gt;""),--ISNUMBER(SEARCH(TRIM(MID(SUBSTITUTE(SUBSTITUTE($Z$4,"/",","),",",REPT(" ",99)),(ROW($1:$8)-1)*99+1,99)),IFERROR(('Final Calculation Sheet'!$Y$27)&amp;"",""))))&gt;0,AND(ISNUMBER(SEARCH("blank",$Z$4)),NOT(ISNUMBER(SEARCH("nonblank",$Z$4))),IFERROR(('Final Calculation Sheet'!$Y$27)&amp;"","")=""),AND(OR(ISNUMBER(SEARCH("nonblank",$Z$4)),ISNUMBER(SEARCH("&lt;&gt;",$Z$4))),IFERROR(('Final Calculation Sheet'!$Y$27)&amp;"","")&lt;&gt;""),AND(TRIM($Z$4)="",IFERROR(('Final Calculation Sheet'!$Y$27)&amp;"","")=""))))</f>
        <v/>
      </c>
      <c r="CM28">
        <f>IF($AA$4="",1,--(OR(SUMPRODUCT(--(TRIM(MID(SUBSTITUTE(SUBSTITUTE($AA$4,"/",","),",",REPT(" ",99)),(ROW($1:$8)-1)*99+1,99))&lt;&gt;""),--ISNUMBER(SEARCH(TRIM(MID(SUBSTITUTE(SUBSTITUTE($AA$4,"/",","),",",REPT(" ",99)),(ROW($1:$8)-1)*99+1,99)),IFERROR(('Final Calculation Sheet'!$Z$27)&amp;"",""))))&gt;0,AND(ISNUMBER(SEARCH("blank",$AA$4)),NOT(ISNUMBER(SEARCH("nonblank",$AA$4))),IFERROR(('Final Calculation Sheet'!$Z$27)&amp;"","")=""),AND(OR(ISNUMBER(SEARCH("nonblank",$AA$4)),ISNUMBER(SEARCH("&lt;&gt;",$AA$4))),IFERROR(('Final Calculation Sheet'!$Z$27)&amp;"","")&lt;&gt;""),AND(TRIM($AA$4)="",IFERROR(('Final Calculation Sheet'!$Z$27)&amp;"","")=""))))</f>
        <v/>
      </c>
      <c r="CN28">
        <f>IF($AB$4="",1,--(OR(SUMPRODUCT(--(TRIM(MID(SUBSTITUTE(SUBSTITUTE($AB$4,"/",","),",",REPT(" ",99)),(ROW($1:$8)-1)*99+1,99))&lt;&gt;""),--ISNUMBER(SEARCH(TRIM(MID(SUBSTITUTE(SUBSTITUTE($AB$4,"/",","),",",REPT(" ",99)),(ROW($1:$8)-1)*99+1,99)),IFERROR(('Final Calculation Sheet'!$AA$27)&amp;"",""))))&gt;0,AND(ISNUMBER(SEARCH("blank",$AB$4)),NOT(ISNUMBER(SEARCH("nonblank",$AB$4))),IFERROR(('Final Calculation Sheet'!$AA$27)&amp;"","")=""),AND(OR(ISNUMBER(SEARCH("nonblank",$AB$4)),ISNUMBER(SEARCH("&lt;&gt;",$AB$4))),IFERROR(('Final Calculation Sheet'!$AA$27)&amp;"","")&lt;&gt;""),AND(TRIM($AB$4)="",IFERROR(('Final Calculation Sheet'!$AA$27)&amp;"","")=""))))</f>
        <v/>
      </c>
      <c r="CO28">
        <f>IF($AC$4="",1,--(OR(SUMPRODUCT(--(TRIM(MID(SUBSTITUTE(SUBSTITUTE($AC$4,"/",","),",",REPT(" ",99)),(ROW($1:$8)-1)*99+1,99))&lt;&gt;""),--ISNUMBER(SEARCH(TRIM(MID(SUBSTITUTE(SUBSTITUTE($AC$4,"/",","),",",REPT(" ",99)),(ROW($1:$8)-1)*99+1,99)),IFERROR(('Final Calculation Sheet'!$AB$27)&amp;"",""))))&gt;0,AND(ISNUMBER(SEARCH("blank",$AC$4)),NOT(ISNUMBER(SEARCH("nonblank",$AC$4))),IFERROR(('Final Calculation Sheet'!$AB$27)&amp;"","")=""),AND(OR(ISNUMBER(SEARCH("nonblank",$AC$4)),ISNUMBER(SEARCH("&lt;&gt;",$AC$4))),IFERROR(('Final Calculation Sheet'!$AB$27)&amp;"","")&lt;&gt;""),AND(TRIM($AC$4)="",IFERROR(('Final Calculation Sheet'!$AB$27)&amp;"","")=""))))</f>
        <v/>
      </c>
      <c r="CP28">
        <f>IF($AD$4="",1,--(OR(SUMPRODUCT(--(TRIM(MID(SUBSTITUTE(SUBSTITUTE($AD$4,"/",","),",",REPT(" ",99)),(ROW($1:$8)-1)*99+1,99))&lt;&gt;""),--ISNUMBER(SEARCH(TRIM(MID(SUBSTITUTE(SUBSTITUTE($AD$4,"/",","),",",REPT(" ",99)),(ROW($1:$8)-1)*99+1,99)),IFERROR(('Final Calculation Sheet'!$AC$27)&amp;"",""))))&gt;0,AND(ISNUMBER(SEARCH("blank",$AD$4)),NOT(ISNUMBER(SEARCH("nonblank",$AD$4))),IFERROR(('Final Calculation Sheet'!$AC$27)&amp;"","")=""),AND(OR(ISNUMBER(SEARCH("nonblank",$AD$4)),ISNUMBER(SEARCH("&lt;&gt;",$AD$4))),IFERROR(('Final Calculation Sheet'!$AC$27)&amp;"","")&lt;&gt;""),AND(TRIM($AD$4)="",IFERROR(('Final Calculation Sheet'!$AC$27)&amp;"","")=""))))</f>
        <v/>
      </c>
      <c r="CQ28">
        <f>IF($AE$4="",1,--(OR(SUMPRODUCT(--(TRIM(MID(SUBSTITUTE(SUBSTITUTE($AE$4,"/",","),",",REPT(" ",99)),(ROW($1:$8)-1)*99+1,99))&lt;&gt;""),--ISNUMBER(SEARCH(TRIM(MID(SUBSTITUTE(SUBSTITUTE($AE$4,"/",","),",",REPT(" ",99)),(ROW($1:$8)-1)*99+1,99)),IFERROR(('Final Calculation Sheet'!$AD$27)&amp;"",""))))&gt;0,AND(ISNUMBER(SEARCH("blank",$AE$4)),NOT(ISNUMBER(SEARCH("nonblank",$AE$4))),IFERROR(('Final Calculation Sheet'!$AD$27)&amp;"","")=""),AND(OR(ISNUMBER(SEARCH("nonblank",$AE$4)),ISNUMBER(SEARCH("&lt;&gt;",$AE$4))),IFERROR(('Final Calculation Sheet'!$AD$27)&amp;"","")&lt;&gt;""),AND(TRIM($AE$4)="",IFERROR(('Final Calculation Sheet'!$AD$27)&amp;"","")=""))))</f>
        <v/>
      </c>
      <c r="CR28">
        <f>IF($AG$4="",1,--(OR(SUMPRODUCT(--(TRIM(MID(SUBSTITUTE(SUBSTITUTE($AG$4,"/",","),",",REPT(" ",99)),(ROW($1:$8)-1)*99+1,99))&lt;&gt;""),--ISNUMBER(SEARCH(TRIM(MID(SUBSTITUTE(SUBSTITUTE($AG$4,"/",","),",",REPT(" ",99)),(ROW($1:$8)-1)*99+1,99)),IFERROR(('Final Calculation Sheet'!$AF$27)&amp;"",""))))&gt;0,AND(ISNUMBER(SEARCH("blank",$AG$4)),NOT(ISNUMBER(SEARCH("nonblank",$AG$4))),IFERROR(('Final Calculation Sheet'!$AF$27)&amp;"","")=""),AND(OR(ISNUMBER(SEARCH("nonblank",$AG$4)),ISNUMBER(SEARCH("&lt;&gt;",$AG$4))),IFERROR(('Final Calculation Sheet'!$AF$27)&amp;"","")&lt;&gt;""),AND(TRIM($AG$4)="",IFERROR(('Final Calculation Sheet'!$AF$27)&amp;"","")=""))))</f>
        <v/>
      </c>
      <c r="CS28">
        <f>IF($AH$4="",1,--(OR(SUMPRODUCT(--(TRIM(MID(SUBSTITUTE(SUBSTITUTE($AH$4,"/",","),",",REPT(" ",99)),(ROW($1:$8)-1)*99+1,99))&lt;&gt;""),--ISNUMBER(SEARCH(TRIM(MID(SUBSTITUTE(SUBSTITUTE($AH$4,"/",","),",",REPT(" ",99)),(ROW($1:$8)-1)*99+1,99)),IFERROR(('Final Calculation Sheet'!$AG$27)&amp;"",""))))&gt;0,AND(ISNUMBER(SEARCH("blank",$AH$4)),NOT(ISNUMBER(SEARCH("nonblank",$AH$4))),IFERROR(('Final Calculation Sheet'!$AG$27)&amp;"","")=""),AND(OR(ISNUMBER(SEARCH("nonblank",$AH$4)),ISNUMBER(SEARCH("&lt;&gt;",$AH$4))),IFERROR(('Final Calculation Sheet'!$AG$27)&amp;"","")&lt;&gt;""),AND(TRIM($AH$4)="",IFERROR(('Final Calculation Sheet'!$AG$27)&amp;"","")=""))))</f>
        <v/>
      </c>
      <c r="CT28">
        <f>IF($AI$4="",1,--(OR(SUMPRODUCT(--(TRIM(MID(SUBSTITUTE(SUBSTITUTE($AI$4,"/",","),",",REPT(" ",99)),(ROW($1:$8)-1)*99+1,99))&lt;&gt;""),--ISNUMBER(SEARCH(TRIM(MID(SUBSTITUTE(SUBSTITUTE($AI$4,"/",","),",",REPT(" ",99)),(ROW($1:$8)-1)*99+1,99)),IFERROR(('Final Calculation Sheet'!$AH$27)&amp;"",""))))&gt;0,AND(ISNUMBER(SEARCH("blank",$AI$4)),NOT(ISNUMBER(SEARCH("nonblank",$AI$4))),IFERROR(('Final Calculation Sheet'!$AH$27)&amp;"","")=""),AND(OR(ISNUMBER(SEARCH("nonblank",$AI$4)),ISNUMBER(SEARCH("&lt;&gt;",$AI$4))),IFERROR(('Final Calculation Sheet'!$AH$27)&amp;"","")&lt;&gt;""),AND(TRIM($AI$4)="",IFERROR(('Final Calculation Sheet'!$AH$27)&amp;"","")=""))))</f>
        <v/>
      </c>
      <c r="CU28">
        <f>IF($AF$4="",1,--(OR(SUMPRODUCT(--(TRIM(MID(SUBSTITUTE(SUBSTITUTE($AF$4,"/",","),",",REPT(" ",99)),(ROW($1:$8)-1)*99+1,99))&lt;&gt;""),--ISNUMBER(SEARCH(TRIM(MID(SUBSTITUTE(SUBSTITUTE($AF$4,"/",","),",",REPT(" ",99)),(ROW($1:$8)-1)*99+1,99)),IFERROR((IF('Final Calculation Sheet'!$AD$27&lt;=5,"SETTLED","OUTSTANDING"))&amp;"",""))))&gt;0,AND(ISNUMBER(SEARCH("blank",$AF$4)),NOT(ISNUMBER(SEARCH("nonblank",$AF$4))),IFERROR((IF('Final Calculation Sheet'!$AD$27&lt;=5,"SETTLED","OUTSTANDING"))&amp;"","")=""),AND(OR(ISNUMBER(SEARCH("nonblank",$AF$4)),ISNUMBER(SEARCH("&lt;&gt;",$AF$4))),IFERROR((IF('Final Calculation Sheet'!$AD$27&lt;=5,"SETTLED","OUTSTANDING"))&amp;"","")&lt;&gt;""),AND(TRIM($AF$4)="",IFERROR((IF('Final Calculation Sheet'!$AD$27&lt;=5,"SETTLED","OUTSTANDING"))&amp;"","")=""))))</f>
        <v/>
      </c>
    </row>
    <row r="29" ht="15" customHeight="1" s="137">
      <c r="A29" s="67">
        <f>IF($BJ28&gt;0,INDEX($BA$5:$BA$41,MATCH(28,$BB$5:$BB$41,0)),IF(OR($BI28=1,$BL28=1,$BH28&gt;0),"∑",""))</f>
        <v/>
      </c>
      <c r="B29" s="76">
        <f>IF($BJ28&gt;0,IF(INDEX('Final Calculation Sheet'!$F$4:$F$40,$BJ28-3)="","",INDEX('Final Calculation Sheet'!$F$4:$F$40,$BJ28-3)),"")</f>
        <v/>
      </c>
      <c r="C29" s="76">
        <f>IF($BJ28&gt;0,IF(INDEX('Final Calculation Sheet'!$G$4:$G$40,$BJ28-3)="","",INDEX('Final Calculation Sheet'!$G$4:$G$40,$BJ28-3)),IF(OR($BI28=1,$BL28=1,$BH28&gt;0),IF($BI28=1,37,IF($BL28=1,37-INDEX($BD$4:$BD$13,10),INDEX($BD$4:$BD$13,$BH28)))&amp;" lot(s)",""))</f>
        <v/>
      </c>
      <c r="D29" s="80">
        <f>IF($BJ28&gt;0,IF(INDEX('Final Calculation Sheet'!$B$4:$B$40,$BJ28-3)="","",INDEX('Final Calculation Sheet'!$B$4:$B$40,$BJ28-3)),IF(OR($BI28=1,$BL28=1,$BH28&gt;0),IF($BI28=1,"GRAND TOTAL  —  matching + remaining",IF($BL28=1,"TOTAL MATCHED  —  every group together",IF($BH28=10,"REMAINING  —  did not match the search",IF($BH28=9,IF(COUNTIF($A$4:$AI$4,"&lt;&gt;")&gt;0,"FILTERED LOTS  —  column fields","ALL LOTS  —  nothing typed in the box"),"GROUP "&amp;$BH28&amp;" TOTAL  —  lots matching  "&amp;INDEX($AR$6:$AY$6,$BH28))))),""))</f>
        <v/>
      </c>
      <c r="E29" s="80">
        <f>IF($BJ28&gt;0,IF(INDEX('Final Calculation Sheet'!$D$4:$D$40,$BJ28-3)="","",INDEX('Final Calculation Sheet'!$D$4:$D$40,$BJ28-3)),IF(OR($BI28=1,$BL28=1,$BH28&gt;0),"–",""))</f>
        <v/>
      </c>
      <c r="F29" s="80">
        <f>IF($BJ28&gt;0,IF(INDEX('Final Calculation Sheet'!$A$4:$A$40,$BJ28-3)="","",INDEX('Final Calculation Sheet'!$A$4:$A$40,$BJ28-3)),IF(OR($BI28=1,$BL28=1,$BH28&gt;0),IF($BI28=1,SUM('Final Calculation Sheet'!$A$4:$A$40),IF($BL28=1,SUM('Final Calculation Sheet'!$A$4:$A$40)-SUMIFS('Final Calculation Sheet'!$A$4:$A$40,$AZ$5:$AZ$41,10),SUMIFS('Final Calculation Sheet'!$A$4:$A$40,$AZ$5:$AZ$41,$BH28))),""))</f>
        <v/>
      </c>
      <c r="G29" s="80">
        <f>IF($BJ28&gt;0,IF(INDEX('Final Calculation Sheet'!$E$4:$E$40,$BJ28-3)="","",INDEX('Final Calculation Sheet'!$E$4:$E$40,$BJ28-3)),IF(OR($BI28=1,$BL28=1,$BH28&gt;0),"–",""))</f>
        <v/>
      </c>
      <c r="H29" s="70">
        <f>IF($BJ28&gt;0,IF(INDEX('Final Calculation Sheet'!$C$4:$C$40,$BJ28-3)="","",INDEX('Final Calculation Sheet'!$C$4:$C$40,$BJ28-3)),IF(OR($BI28=1,$BL28=1,$BH28&gt;0),"–",""))</f>
        <v/>
      </c>
      <c r="I29" s="70">
        <f>IF($BJ28&gt;0,IF(INDEX('Final Calculation Sheet'!$H$4:$H$40,$BJ28-3)="","",INDEX('Final Calculation Sheet'!$H$4:$H$40,$BJ28-3)),IF(OR($BI28=1,$BL28=1,$BH28&gt;0),IF($BI28=1,SUM('Final Calculation Sheet'!$H$4:$H$40),IF($BL28=1,SUM('Final Calculation Sheet'!$H$4:$H$40)-SUMIFS('Final Calculation Sheet'!$H$4:$H$40,$AZ$5:$AZ$41,10),SUMIFS('Final Calculation Sheet'!$H$4:$H$40,$AZ$5:$AZ$41,$BH28))),""))</f>
        <v/>
      </c>
      <c r="J29" s="70">
        <f>IF($BJ28&gt;0,IF(INDEX('Final Calculation Sheet'!$I$4:$I$40,$BJ28-3)="","",INDEX('Final Calculation Sheet'!$I$4:$I$40,$BJ28-3)),IF(OR($BI28=1,$BL28=1,$BH28&gt;0),IF($BI28=1,SUM('Final Calculation Sheet'!$I$4:$I$40),IF($BL28=1,SUM('Final Calculation Sheet'!$I$4:$I$40)-SUMIFS('Final Calculation Sheet'!$I$4:$I$40,$AZ$5:$AZ$41,10),SUMIFS('Final Calculation Sheet'!$I$4:$I$40,$AZ$5:$AZ$41,$BH28))),""))</f>
        <v/>
      </c>
      <c r="K29" s="70">
        <f>IF($BJ28&gt;0,IF(INDEX('Final Calculation Sheet'!$J$4:$J$40,$BJ28-3)="","",INDEX('Final Calculation Sheet'!$J$4:$J$40,$BJ28-3)),IF(OR($BI28=1,$BL28=1,$BH28&gt;0),IF($BI28=1,SUM('Final Calculation Sheet'!$J$4:$J$40),IF($BL28=1,SUM('Final Calculation Sheet'!$J$4:$J$40)-SUMIFS('Final Calculation Sheet'!$J$4:$J$40,$AZ$5:$AZ$41,10),SUMIFS('Final Calculation Sheet'!$J$4:$J$40,$AZ$5:$AZ$41,$BH28))),""))</f>
        <v/>
      </c>
      <c r="L29" s="70">
        <f>IF($BJ28&gt;0,IF(INDEX('Final Calculation Sheet'!$K$4:$K$40,$BJ28-3)="","",INDEX('Final Calculation Sheet'!$K$4:$K$40,$BJ28-3)),IF(OR($BI28=1,$BL28=1,$BH28&gt;0),IF($BI28=1,SUM('Final Calculation Sheet'!$K$4:$K$40),IF($BL28=1,SUM('Final Calculation Sheet'!$K$4:$K$40)-SUMIFS('Final Calculation Sheet'!$K$4:$K$40,$AZ$5:$AZ$41,10),SUMIFS('Final Calculation Sheet'!$K$4:$K$40,$AZ$5:$AZ$41,$BH28))),""))</f>
        <v/>
      </c>
      <c r="M29" s="70">
        <f>IF($BJ28&gt;0,IF(INDEX('Final Calculation Sheet'!$L$4:$L$40,$BJ28-3)="","",INDEX('Final Calculation Sheet'!$L$4:$L$40,$BJ28-3)),IF(OR($BI28=1,$BL28=1,$BH28&gt;0),IF($BI28=1,SUM('Final Calculation Sheet'!$L$4:$L$40),IF($BL28=1,SUM('Final Calculation Sheet'!$L$4:$L$40)-SUMIFS('Final Calculation Sheet'!$L$4:$L$40,$AZ$5:$AZ$41,10),SUMIFS('Final Calculation Sheet'!$L$4:$L$40,$AZ$5:$AZ$41,$BH28))),""))</f>
        <v/>
      </c>
      <c r="N29" s="70">
        <f>IF($BJ28&gt;0,IF(INDEX('Final Calculation Sheet'!$M$4:$M$40,$BJ28-3)="","",INDEX('Final Calculation Sheet'!$M$4:$M$40,$BJ28-3)),IF(OR($BI28=1,$BL28=1,$BH28&gt;0),IF($BI28=1,SUM('Final Calculation Sheet'!$M$4:$M$40),IF($BL28=1,SUM('Final Calculation Sheet'!$M$4:$M$40)-SUMIFS('Final Calculation Sheet'!$M$4:$M$40,$AZ$5:$AZ$41,10),SUMIFS('Final Calculation Sheet'!$M$4:$M$40,$AZ$5:$AZ$41,$BH28))),""))</f>
        <v/>
      </c>
      <c r="O29" s="71">
        <f>IF($BJ28&gt;0,IF(INDEX('Final Calculation Sheet'!$N$4:$N$40,$BJ28-3)="","",INDEX('Final Calculation Sheet'!$N$4:$N$40,$BJ28-3)),IF(OR($BI28=1,$BL28=1,$BH28&gt;0),IF($BI28=1,SUM('Final Calculation Sheet'!$N$4:$N$40),IF($BL28=1,SUM('Final Calculation Sheet'!$N$4:$N$40)-SUMIFS('Final Calculation Sheet'!$N$4:$N$40,$AZ$5:$AZ$41,10),SUMIFS('Final Calculation Sheet'!$N$4:$N$40,$AZ$5:$AZ$41,$BH28))),""))</f>
        <v/>
      </c>
      <c r="P29" s="70">
        <f>IF($BJ28&gt;0,IF(INDEX('Final Calculation Sheet'!$O$4:$O$40,$BJ28-3)="","",INDEX('Final Calculation Sheet'!$O$4:$O$40,$BJ28-3)),IF(OR($BI28=1,$BL28=1,$BH28&gt;0),IF($BI28=1,SUM('Final Calculation Sheet'!$O$4:$O$40),IF($BL28=1,SUM('Final Calculation Sheet'!$O$4:$O$40)-SUMIFS('Final Calculation Sheet'!$O$4:$O$40,$AZ$5:$AZ$41,10),SUMIFS('Final Calculation Sheet'!$O$4:$O$40,$AZ$5:$AZ$41,$BH28))),""))</f>
        <v/>
      </c>
      <c r="Q29" s="70">
        <f>IF($BJ28&gt;0,IF(INDEX('Final Calculation Sheet'!$P$4:$P$40,$BJ28-3)="","",INDEX('Final Calculation Sheet'!$P$4:$P$40,$BJ28-3)),IF(OR($BI28=1,$BL28=1,$BH28&gt;0),IF($BI28=1,SUM('Final Calculation Sheet'!$P$4:$P$40),IF($BL28=1,SUM('Final Calculation Sheet'!$P$4:$P$40)-SUMIFS('Final Calculation Sheet'!$P$4:$P$40,$AZ$5:$AZ$41,10),SUMIFS('Final Calculation Sheet'!$P$4:$P$40,$AZ$5:$AZ$41,$BH28))),""))</f>
        <v/>
      </c>
      <c r="R29" s="72">
        <f>IF($BJ28&gt;0,IF(INDEX('Final Calculation Sheet'!$Q$4:$Q$40,$BJ28-3)="","",INDEX('Final Calculation Sheet'!$Q$4:$Q$40,$BJ28-3)),IF(OR($BI28=1,$BL28=1,$BH28&gt;0),"–",""))</f>
        <v/>
      </c>
      <c r="S29" s="70">
        <f>IF($BJ28&gt;0,IF(INDEX('Final Calculation Sheet'!$R$4:$R$40,$BJ28-3)="","",INDEX('Final Calculation Sheet'!$R$4:$R$40,$BJ28-3)),IF(OR($BI28=1,$BL28=1,$BH28&gt;0),IF($BI28=1,SUM('Final Calculation Sheet'!$R$4:$R$40),IF($BL28=1,SUM('Final Calculation Sheet'!$R$4:$R$40)-SUMIFS('Final Calculation Sheet'!$R$4:$R$40,$AZ$5:$AZ$41,10),SUMIFS('Final Calculation Sheet'!$R$4:$R$40,$AZ$5:$AZ$41,$BH28))),""))</f>
        <v/>
      </c>
      <c r="T29" s="70">
        <f>IF($BJ28&gt;0,IF(INDEX('Final Calculation Sheet'!$S$4:$S$40,$BJ28-3)="","",INDEX('Final Calculation Sheet'!$S$4:$S$40,$BJ28-3)),IF(OR($BI28=1,$BL28=1,$BH28&gt;0),IF($BI28=1,SUM('Final Calculation Sheet'!$S$4:$S$40),IF($BL28=1,SUM('Final Calculation Sheet'!$S$4:$S$40)-SUMIFS('Final Calculation Sheet'!$S$4:$S$40,$AZ$5:$AZ$41,10),SUMIFS('Final Calculation Sheet'!$S$4:$S$40,$AZ$5:$AZ$41,$BH28))),""))</f>
        <v/>
      </c>
      <c r="U29" s="70">
        <f>IF($BJ28&gt;0,IF(INDEX('Final Calculation Sheet'!$T$4:$T$40,$BJ28-3)="","",INDEX('Final Calculation Sheet'!$T$4:$T$40,$BJ28-3)),IF(OR($BI28=1,$BL28=1,$BH28&gt;0),IF($BI28=1,SUM('Final Calculation Sheet'!$T$4:$T$40),IF($BL28=1,SUM('Final Calculation Sheet'!$T$4:$T$40)-SUMIFS('Final Calculation Sheet'!$T$4:$T$40,$AZ$5:$AZ$41,10),SUMIFS('Final Calculation Sheet'!$T$4:$T$40,$AZ$5:$AZ$41,$BH28))),""))</f>
        <v/>
      </c>
      <c r="V29" s="73">
        <f>IF($BJ28&gt;0,IF(INDEX('Final Calculation Sheet'!$U$4:$U$40,$BJ28-3)="","",INDEX('Final Calculation Sheet'!$U$4:$U$40,$BJ28-3)),IF(OR($BI28=1,$BL28=1,$BH28&gt;0),IF($BI28=1,SUM('Final Calculation Sheet'!$U$4:$U$40),IF($BL28=1,SUM('Final Calculation Sheet'!$U$4:$U$40)-SUMIFS('Final Calculation Sheet'!$U$4:$U$40,$AZ$5:$AZ$41,10),SUMIFS('Final Calculation Sheet'!$U$4:$U$40,$AZ$5:$AZ$41,$BH28))),""))</f>
        <v/>
      </c>
      <c r="W29" s="70">
        <f>IF($BJ28&gt;0,IF(INDEX('Final Calculation Sheet'!$V$4:$V$40,$BJ28-3)="","",INDEX('Final Calculation Sheet'!$V$4:$V$40,$BJ28-3)),IF(OR($BI28=1,$BL28=1,$BH28&gt;0),"–",""))</f>
        <v/>
      </c>
      <c r="X29" s="70">
        <f>IF($BJ28&gt;0,IF(INDEX('Final Calculation Sheet'!$W$4:$W$40,$BJ28-3)="","",INDEX('Final Calculation Sheet'!$W$4:$W$40,$BJ28-3)),IF(OR($BI28=1,$BL28=1,$BH28&gt;0),IF($BI28=1,SUM('Final Calculation Sheet'!$W$4:$W$40),IF($BL28=1,SUM('Final Calculation Sheet'!$W$4:$W$40)-SUMIFS('Final Calculation Sheet'!$W$4:$W$40,$AZ$5:$AZ$41,10),SUMIFS('Final Calculation Sheet'!$W$4:$W$40,$AZ$5:$AZ$41,$BH28))),""))</f>
        <v/>
      </c>
      <c r="Y29" s="70">
        <f>IF($BJ28&gt;0,IF(INDEX('Final Calculation Sheet'!$X$4:$X$40,$BJ28-3)="","",INDEX('Final Calculation Sheet'!$X$4:$X$40,$BJ28-3)),IF(OR($BI28=1,$BL28=1,$BH28&gt;0),IF($BI28=1,SUM('Final Calculation Sheet'!$X$4:$X$40),IF($BL28=1,SUM('Final Calculation Sheet'!$X$4:$X$40)-SUMIFS('Final Calculation Sheet'!$X$4:$X$40,$AZ$5:$AZ$41,10),SUMIFS('Final Calculation Sheet'!$X$4:$X$40,$AZ$5:$AZ$41,$BH28))),""))</f>
        <v/>
      </c>
      <c r="Z29" s="70">
        <f>IF($BJ28&gt;0,IF(INDEX('Final Calculation Sheet'!$Y$4:$Y$40,$BJ28-3)="","",INDEX('Final Calculation Sheet'!$Y$4:$Y$40,$BJ28-3)),IF(OR($BI28=1,$BL28=1,$BH28&gt;0),"–",""))</f>
        <v/>
      </c>
      <c r="AA29" s="70">
        <f>IF($BJ28&gt;0,IF(INDEX('Final Calculation Sheet'!$Z$4:$Z$40,$BJ28-3)="","",INDEX('Final Calculation Sheet'!$Z$4:$Z$40,$BJ28-3)),IF(OR($BI28=1,$BL28=1,$BH28&gt;0),IF($BI28=1,SUM('Final Calculation Sheet'!$Z$4:$Z$40),IF($BL28=1,SUM('Final Calculation Sheet'!$Z$4:$Z$40)-SUMIFS('Final Calculation Sheet'!$Z$4:$Z$40,$AZ$5:$AZ$41,10),SUMIFS('Final Calculation Sheet'!$Z$4:$Z$40,$AZ$5:$AZ$41,$BH28))),""))</f>
        <v/>
      </c>
      <c r="AB29" s="70">
        <f>IF($BJ28&gt;0,IF(INDEX('Final Calculation Sheet'!$AA$4:$AA$40,$BJ28-3)="","",INDEX('Final Calculation Sheet'!$AA$4:$AA$40,$BJ28-3)),IF(OR($BI28=1,$BL28=1,$BH28&gt;0),IF($BI28=1,SUM('Final Calculation Sheet'!$AA$4:$AA$40),IF($BL28=1,SUM('Final Calculation Sheet'!$AA$4:$AA$40)-SUMIFS('Final Calculation Sheet'!$AA$4:$AA$40,$AZ$5:$AZ$41,10),SUMIFS('Final Calculation Sheet'!$AA$4:$AA$40,$AZ$5:$AZ$41,$BH28))),""))</f>
        <v/>
      </c>
      <c r="AC29" s="70">
        <f>IF($BJ28&gt;0,IF(INDEX('Final Calculation Sheet'!$AB$4:$AB$40,$BJ28-3)="","",INDEX('Final Calculation Sheet'!$AB$4:$AB$40,$BJ28-3)),IF(OR($BI28=1,$BL28=1,$BH28&gt;0),"–",""))</f>
        <v/>
      </c>
      <c r="AD29" s="70">
        <f>IF($BJ28&gt;0,IF(INDEX('Final Calculation Sheet'!$AC$4:$AC$40,$BJ28-3)="","",INDEX('Final Calculation Sheet'!$AC$4:$AC$40,$BJ28-3)),IF(OR($BI28=1,$BL28=1,$BH28&gt;0),IF($BI28=1,SUM('Final Calculation Sheet'!$AC$4:$AC$40),IF($BL28=1,SUM('Final Calculation Sheet'!$AC$4:$AC$40)-SUMIFS('Final Calculation Sheet'!$AC$4:$AC$40,$AZ$5:$AZ$41,10),SUMIFS('Final Calculation Sheet'!$AC$4:$AC$40,$AZ$5:$AZ$41,$BH28))),""))</f>
        <v/>
      </c>
      <c r="AE29" s="70">
        <f>IF($BJ28&gt;0,IF(INDEX('Final Calculation Sheet'!$AD$4:$AD$40,$BJ28-3)="","",INDEX('Final Calculation Sheet'!$AD$4:$AD$40,$BJ28-3)),IF(OR($BI28=1,$BL28=1,$BH28&gt;0),IF($BI28=1,SUM('Final Calculation Sheet'!$AD$4:$AD$40),IF($BL28=1,SUM('Final Calculation Sheet'!$AD$4:$AD$40)-SUMIFS('Final Calculation Sheet'!$AD$4:$AD$40,$AZ$5:$AZ$41,10),SUMIFS('Final Calculation Sheet'!$AD$4:$AD$40,$AZ$5:$AZ$41,$BH28))),""))</f>
        <v/>
      </c>
      <c r="AF29" s="75">
        <f>IF($BJ28&gt;0,IF(INDEX('Final Calculation Sheet'!$AD$4:$AD$40,$BJ28-3)="","",IF(INDEX('Final Calculation Sheet'!$AD$4:$AD$40,$BJ28-3)&lt;=5,"SETTLED","OUTSTANDING")),IF(OR($BI28=1,$BL28=1,$BH28&gt;0),IF(IF($BI28=1,SUM('Final Calculation Sheet'!$AD$4:$AD$40),IF($BL28=1,SUM('Final Calculation Sheet'!$AD$4:$AD$40)-SUMIFS('Final Calculation Sheet'!$AD$4:$AD$40,$AZ$5:$AZ$41,10),SUMIFS('Final Calculation Sheet'!$AD$4:$AD$40,$AZ$5:$AZ$41,$BH28)))&lt;=5,"ALL SETTLED","OUTSTANDING"),""))</f>
        <v/>
      </c>
      <c r="AG29" s="70">
        <f>IF($BJ28&gt;0,IF(INDEX('Final Calculation Sheet'!$AF$4:$AF$40,$BJ28-3)="","",INDEX('Final Calculation Sheet'!$AF$4:$AF$40,$BJ28-3)),IF(OR($BI28=1,$BL28=1,$BH28&gt;0),"–",""))</f>
        <v/>
      </c>
      <c r="AH29" s="74">
        <f>IF($BJ28&gt;0,IF(INDEX('Final Calculation Sheet'!$AG$4:$AG$40,$BJ28-3)="","",INDEX('Final Calculation Sheet'!$AG$4:$AG$40,$BJ28-3)),IF(OR($BI28=1,$BL28=1,$BH28&gt;0),"–",""))</f>
        <v/>
      </c>
      <c r="AI29" s="70">
        <f>IF($BJ28&gt;0,IF(INDEX('Final Calculation Sheet'!$AH$4:$AH$40,$BJ28-3)="","",INDEX('Final Calculation Sheet'!$AH$4:$AH$40,$BJ28-3)),IF(OR($BI28=1,$BL28=1,$BH28&gt;0),"–",""))</f>
        <v/>
      </c>
      <c r="AK29">
        <f>IF($F$3="Lot No.",'Final Calculation Sheet'!$F$28,IF($F$3="Buyer",'Final Calculation Sheet'!$G$28,IF($F$3="Lot Name",'Final Calculation Sheet'!$B$28,IF($F$3="Bid Sheet",'Final Calculation Sheet'!$D$28,IF($F$3="Unit",'Final Calculation Sheet'!$E$28,'Final Calculation Sheet'!$F$28&amp;" "&amp;'Final Calculation Sheet'!$G$28&amp;" "&amp;'Final Calculation Sheet'!$B$28)))))</f>
        <v/>
      </c>
      <c r="AL29">
        <f>AL28+IF($B$3="",0,--(SUMPRODUCT(--($AR$6:$AY$6&lt;&gt;""),--ISNUMBER(SEARCH($AR$6:$AY$6,$AK29)))&gt;0))</f>
        <v/>
      </c>
      <c r="AM29">
        <f>IF(COUNTIF($BM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AZ29">
        <f>IF($B$3="",IF(COUNTIF($A$4:$AI$4,"&lt;&gt;")=0,9,IF($AM29=1,9,10)),IF($AM29=0,10,IF(AND($AR$6&lt;&gt;"",ISNUMBER(SEARCH($AR$6,$AK29))),1,IF(AND($AS$6&lt;&gt;"",ISNUMBER(SEARCH($AS$6,$AK29))),2,IF(AND($AT$6&lt;&gt;"",ISNUMBER(SEARCH($AT$6,$AK29))),3,IF(AND($AU$6&lt;&gt;"",ISNUMBER(SEARCH($AU$6,$AK29))),4,IF(AND($AV$6&lt;&gt;"",ISNUMBER(SEARCH($AV$6,$AK29))),5,IF(AND($AW$6&lt;&gt;"",ISNUMBER(SEARCH($AW$6,$AK29))),6,IF(AND($AX$6&lt;&gt;"",ISNUMBER(SEARCH($AX$6,$AK29))),7,IF(AND($AY$6&lt;&gt;"",ISNUMBER(SEARCH($AY$6,$AK29))),8,0))))))))))</f>
        <v/>
      </c>
      <c r="BA29">
        <f>SUMPRODUCT(($AZ$5:$AZ$41=$AZ29)*($BC$5:$BC$41&lt;$BC29))+1</f>
        <v/>
      </c>
      <c r="BB29">
        <f>IF(INDEX($BF$4:$BF$13,$AZ29)=0,0,INDEX($BE$4:$BE$13,$AZ29)+$BA29-1)</f>
        <v/>
      </c>
      <c r="BC29" t="n">
        <v>28</v>
      </c>
      <c r="BH29">
        <f>IFERROR(MATCH(29,$BF$4:$BF$13,0),0)</f>
        <v/>
      </c>
      <c r="BI29">
        <f>IF(29=$BG$5,1,0)</f>
        <v/>
      </c>
      <c r="BJ29">
        <f>IF(OR($BH29&gt;0,$BI29=1,$BL29=1),0,IFERROR(INDEX($BC$5:$BC$41,MATCH(29,$BB$5:$BB$41,0)),0))</f>
        <v/>
      </c>
      <c r="BK29">
        <f>IF($BJ29&gt;0,IF(INDEX($AZ$5:$AZ$41,MATCH(29,$BB$5:$BB$41,0))=10,1,0),IF($BH29=10,1,0))</f>
        <v/>
      </c>
      <c r="BL29">
        <f>IF(29=$BG$4,1,0)</f>
        <v/>
      </c>
      <c r="BM29">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9">
        <f>IF($B$4="",1,--(OR(SUMPRODUCT(--(TRIM(MID(SUBSTITUTE(SUBSTITUTE($B$4,"/",","),",",REPT(" ",99)),(ROW($1:$8)-1)*99+1,99))&lt;&gt;""),--ISNUMBER(SEARCH(TRIM(MID(SUBSTITUTE(SUBSTITUTE($B$4,"/",","),",",REPT(" ",99)),(ROW($1:$8)-1)*99+1,99)),IFERROR(('Final Calculation Sheet'!$F$28)&amp;"",""))))&gt;0,AND(ISNUMBER(SEARCH("blank",$B$4)),NOT(ISNUMBER(SEARCH("nonblank",$B$4))),IFERROR(('Final Calculation Sheet'!$F$28)&amp;"","")=""),AND(OR(ISNUMBER(SEARCH("nonblank",$B$4)),ISNUMBER(SEARCH("&lt;&gt;",$B$4))),IFERROR(('Final Calculation Sheet'!$F$28)&amp;"","")&lt;&gt;""),AND(TRIM($B$4)="",IFERROR(('Final Calculation Sheet'!$F$28)&amp;"","")=""))))</f>
        <v/>
      </c>
      <c r="BO29">
        <f>IF($CW$3="",1,--(OR(SUMPRODUCT(--(TRIM(MID(SUBSTITUTE(SUBSTITUTE($CW$3,"/",","),",",REPT(" ",99)),(ROW($1:$8)-1)*99+1,99))&lt;&gt;""),--ISNUMBER(SEARCH(TRIM(MID(SUBSTITUTE(SUBSTITUTE($CW$3,"/",","),",",REPT(" ",99)),(ROW($1:$8)-1)*99+1,99)),IFERROR(('Final Calculation Sheet'!$G$28)&amp;"",""))))&gt;0,AND(ISNUMBER(SEARCH("blank",$CW$3)),NOT(ISNUMBER(SEARCH("nonblank",$CW$3))),IFERROR(('Final Calculation Sheet'!$G$28)&amp;"","")=""),AND(OR(ISNUMBER(SEARCH("nonblank",$CW$3)),ISNUMBER(SEARCH("&lt;&gt;",$CW$3))),IFERROR(('Final Calculation Sheet'!$G$28)&amp;"","")&lt;&gt;""),AND(TRIM($CW$3)="",IFERROR(('Final Calculation Sheet'!$G$28)&amp;"","")=""))))</f>
        <v/>
      </c>
      <c r="BP29">
        <f>IF($D$4="",1,--(OR(SUMPRODUCT(--(TRIM(MID(SUBSTITUTE(SUBSTITUTE($D$4,"/",","),",",REPT(" ",99)),(ROW($1:$8)-1)*99+1,99))&lt;&gt;""),--ISNUMBER(SEARCH(TRIM(MID(SUBSTITUTE(SUBSTITUTE($D$4,"/",","),",",REPT(" ",99)),(ROW($1:$8)-1)*99+1,99)),IFERROR(('Final Calculation Sheet'!$B$28)&amp;"",""))))&gt;0,AND(ISNUMBER(SEARCH("blank",$D$4)),NOT(ISNUMBER(SEARCH("nonblank",$D$4))),IFERROR(('Final Calculation Sheet'!$B$28)&amp;"","")=""),AND(OR(ISNUMBER(SEARCH("nonblank",$D$4)),ISNUMBER(SEARCH("&lt;&gt;",$D$4))),IFERROR(('Final Calculation Sheet'!$B$28)&amp;"","")&lt;&gt;""),AND(TRIM($D$4)="",IFERROR(('Final Calculation Sheet'!$B$28)&amp;"","")=""))))</f>
        <v/>
      </c>
      <c r="BQ29">
        <f>IF($E$4="",1,--(OR(SUMPRODUCT(--(TRIM(MID(SUBSTITUTE(SUBSTITUTE($E$4,"/",","),",",REPT(" ",99)),(ROW($1:$8)-1)*99+1,99))&lt;&gt;""),--ISNUMBER(SEARCH(TRIM(MID(SUBSTITUTE(SUBSTITUTE($E$4,"/",","),",",REPT(" ",99)),(ROW($1:$8)-1)*99+1,99)),IFERROR(('Final Calculation Sheet'!$D$28)&amp;"",""))))&gt;0,AND(ISNUMBER(SEARCH("blank",$E$4)),NOT(ISNUMBER(SEARCH("nonblank",$E$4))),IFERROR(('Final Calculation Sheet'!$D$28)&amp;"","")=""),AND(OR(ISNUMBER(SEARCH("nonblank",$E$4)),ISNUMBER(SEARCH("&lt;&gt;",$E$4))),IFERROR(('Final Calculation Sheet'!$D$28)&amp;"","")&lt;&gt;""),AND(TRIM($E$4)="",IFERROR(('Final Calculation Sheet'!$D$28)&amp;"","")=""))))</f>
        <v/>
      </c>
      <c r="BR29">
        <f>IF($F$4="",1,--(OR(SUMPRODUCT(--(TRIM(MID(SUBSTITUTE(SUBSTITUTE($F$4,"/",","),",",REPT(" ",99)),(ROW($1:$8)-1)*99+1,99))&lt;&gt;""),--ISNUMBER(SEARCH(TRIM(MID(SUBSTITUTE(SUBSTITUTE($F$4,"/",","),",",REPT(" ",99)),(ROW($1:$8)-1)*99+1,99)),IFERROR(('Final Calculation Sheet'!$A$28)&amp;"",""))))&gt;0,AND(ISNUMBER(SEARCH("blank",$F$4)),NOT(ISNUMBER(SEARCH("nonblank",$F$4))),IFERROR(('Final Calculation Sheet'!$A$28)&amp;"","")=""),AND(OR(ISNUMBER(SEARCH("nonblank",$F$4)),ISNUMBER(SEARCH("&lt;&gt;",$F$4))),IFERROR(('Final Calculation Sheet'!$A$28)&amp;"","")&lt;&gt;""),AND(TRIM($F$4)="",IFERROR(('Final Calculation Sheet'!$A$28)&amp;"","")=""))))</f>
        <v/>
      </c>
      <c r="BS29">
        <f>IF($G$4="",1,--(OR(SUMPRODUCT(--(TRIM(MID(SUBSTITUTE(SUBSTITUTE($G$4,"/",","),",",REPT(" ",99)),(ROW($1:$8)-1)*99+1,99))&lt;&gt;""),--ISNUMBER(SEARCH(TRIM(MID(SUBSTITUTE(SUBSTITUTE($G$4,"/",","),",",REPT(" ",99)),(ROW($1:$8)-1)*99+1,99)),IFERROR(('Final Calculation Sheet'!$E$28)&amp;"",""))))&gt;0,AND(ISNUMBER(SEARCH("blank",$G$4)),NOT(ISNUMBER(SEARCH("nonblank",$G$4))),IFERROR(('Final Calculation Sheet'!$E$28)&amp;"","")=""),AND(OR(ISNUMBER(SEARCH("nonblank",$G$4)),ISNUMBER(SEARCH("&lt;&gt;",$G$4))),IFERROR(('Final Calculation Sheet'!$E$28)&amp;"","")&lt;&gt;""),AND(TRIM($G$4)="",IFERROR(('Final Calculation Sheet'!$E$28)&amp;"","")=""))))</f>
        <v/>
      </c>
      <c r="BT29">
        <f>IF($H$4="",1,--(OR(SUMPRODUCT(--(TRIM(MID(SUBSTITUTE(SUBSTITUTE($H$4,"/",","),",",REPT(" ",99)),(ROW($1:$8)-1)*99+1,99))&lt;&gt;""),--ISNUMBER(SEARCH(TRIM(MID(SUBSTITUTE(SUBSTITUTE($H$4,"/",","),",",REPT(" ",99)),(ROW($1:$8)-1)*99+1,99)),IFERROR(('Final Calculation Sheet'!$C$28)&amp;"",""))))&gt;0,AND(ISNUMBER(SEARCH("blank",$H$4)),NOT(ISNUMBER(SEARCH("nonblank",$H$4))),IFERROR(('Final Calculation Sheet'!$C$28)&amp;"","")=""),AND(OR(ISNUMBER(SEARCH("nonblank",$H$4)),ISNUMBER(SEARCH("&lt;&gt;",$H$4))),IFERROR(('Final Calculation Sheet'!$C$28)&amp;"","")&lt;&gt;""),AND(TRIM($H$4)="",IFERROR(('Final Calculation Sheet'!$C$28)&amp;"","")=""))))</f>
        <v/>
      </c>
      <c r="BU29">
        <f>IF($I$4="",1,--(OR(SUMPRODUCT(--(TRIM(MID(SUBSTITUTE(SUBSTITUTE($I$4,"/",","),",",REPT(" ",99)),(ROW($1:$8)-1)*99+1,99))&lt;&gt;""),--ISNUMBER(SEARCH(TRIM(MID(SUBSTITUTE(SUBSTITUTE($I$4,"/",","),",",REPT(" ",99)),(ROW($1:$8)-1)*99+1,99)),IFERROR(('Final Calculation Sheet'!$H$28)&amp;"",""))))&gt;0,AND(ISNUMBER(SEARCH("blank",$I$4)),NOT(ISNUMBER(SEARCH("nonblank",$I$4))),IFERROR(('Final Calculation Sheet'!$H$28)&amp;"","")=""),AND(OR(ISNUMBER(SEARCH("nonblank",$I$4)),ISNUMBER(SEARCH("&lt;&gt;",$I$4))),IFERROR(('Final Calculation Sheet'!$H$28)&amp;"","")&lt;&gt;""),AND(TRIM($I$4)="",IFERROR(('Final Calculation Sheet'!$H$28)&amp;"","")=""))))</f>
        <v/>
      </c>
      <c r="BV29">
        <f>IF($J$4="",1,--(OR(SUMPRODUCT(--(TRIM(MID(SUBSTITUTE(SUBSTITUTE($J$4,"/",","),",",REPT(" ",99)),(ROW($1:$8)-1)*99+1,99))&lt;&gt;""),--ISNUMBER(SEARCH(TRIM(MID(SUBSTITUTE(SUBSTITUTE($J$4,"/",","),",",REPT(" ",99)),(ROW($1:$8)-1)*99+1,99)),IFERROR(('Final Calculation Sheet'!$I$28)&amp;"",""))))&gt;0,AND(ISNUMBER(SEARCH("blank",$J$4)),NOT(ISNUMBER(SEARCH("nonblank",$J$4))),IFERROR(('Final Calculation Sheet'!$I$28)&amp;"","")=""),AND(OR(ISNUMBER(SEARCH("nonblank",$J$4)),ISNUMBER(SEARCH("&lt;&gt;",$J$4))),IFERROR(('Final Calculation Sheet'!$I$28)&amp;"","")&lt;&gt;""),AND(TRIM($J$4)="",IFERROR(('Final Calculation Sheet'!$I$28)&amp;"","")=""))))</f>
        <v/>
      </c>
      <c r="BW29">
        <f>IF($K$4="",1,--(OR(SUMPRODUCT(--(TRIM(MID(SUBSTITUTE(SUBSTITUTE($K$4,"/",","),",",REPT(" ",99)),(ROW($1:$8)-1)*99+1,99))&lt;&gt;""),--ISNUMBER(SEARCH(TRIM(MID(SUBSTITUTE(SUBSTITUTE($K$4,"/",","),",",REPT(" ",99)),(ROW($1:$8)-1)*99+1,99)),IFERROR(('Final Calculation Sheet'!$J$28)&amp;"",""))))&gt;0,AND(ISNUMBER(SEARCH("blank",$K$4)),NOT(ISNUMBER(SEARCH("nonblank",$K$4))),IFERROR(('Final Calculation Sheet'!$J$28)&amp;"","")=""),AND(OR(ISNUMBER(SEARCH("nonblank",$K$4)),ISNUMBER(SEARCH("&lt;&gt;",$K$4))),IFERROR(('Final Calculation Sheet'!$J$28)&amp;"","")&lt;&gt;""),AND(TRIM($K$4)="",IFERROR(('Final Calculation Sheet'!$J$28)&amp;"","")=""))))</f>
        <v/>
      </c>
      <c r="BX29">
        <f>IF($L$4="",1,--(OR(SUMPRODUCT(--(TRIM(MID(SUBSTITUTE(SUBSTITUTE($L$4,"/",","),",",REPT(" ",99)),(ROW($1:$8)-1)*99+1,99))&lt;&gt;""),--ISNUMBER(SEARCH(TRIM(MID(SUBSTITUTE(SUBSTITUTE($L$4,"/",","),",",REPT(" ",99)),(ROW($1:$8)-1)*99+1,99)),IFERROR(('Final Calculation Sheet'!$K$28)&amp;"",""))))&gt;0,AND(ISNUMBER(SEARCH("blank",$L$4)),NOT(ISNUMBER(SEARCH("nonblank",$L$4))),IFERROR(('Final Calculation Sheet'!$K$28)&amp;"","")=""),AND(OR(ISNUMBER(SEARCH("nonblank",$L$4)),ISNUMBER(SEARCH("&lt;&gt;",$L$4))),IFERROR(('Final Calculation Sheet'!$K$28)&amp;"","")&lt;&gt;""),AND(TRIM($L$4)="",IFERROR(('Final Calculation Sheet'!$K$28)&amp;"","")=""))))</f>
        <v/>
      </c>
      <c r="BY29">
        <f>IF($M$4="",1,--(OR(SUMPRODUCT(--(TRIM(MID(SUBSTITUTE(SUBSTITUTE($M$4,"/",","),",",REPT(" ",99)),(ROW($1:$8)-1)*99+1,99))&lt;&gt;""),--ISNUMBER(SEARCH(TRIM(MID(SUBSTITUTE(SUBSTITUTE($M$4,"/",","),",",REPT(" ",99)),(ROW($1:$8)-1)*99+1,99)),IFERROR(('Final Calculation Sheet'!$L$28)&amp;"",""))))&gt;0,AND(ISNUMBER(SEARCH("blank",$M$4)),NOT(ISNUMBER(SEARCH("nonblank",$M$4))),IFERROR(('Final Calculation Sheet'!$L$28)&amp;"","")=""),AND(OR(ISNUMBER(SEARCH("nonblank",$M$4)),ISNUMBER(SEARCH("&lt;&gt;",$M$4))),IFERROR(('Final Calculation Sheet'!$L$28)&amp;"","")&lt;&gt;""),AND(TRIM($M$4)="",IFERROR(('Final Calculation Sheet'!$L$28)&amp;"","")=""))))</f>
        <v/>
      </c>
      <c r="BZ29">
        <f>IF($N$4="",1,--(OR(SUMPRODUCT(--(TRIM(MID(SUBSTITUTE(SUBSTITUTE($N$4,"/",","),",",REPT(" ",99)),(ROW($1:$8)-1)*99+1,99))&lt;&gt;""),--ISNUMBER(SEARCH(TRIM(MID(SUBSTITUTE(SUBSTITUTE($N$4,"/",","),",",REPT(" ",99)),(ROW($1:$8)-1)*99+1,99)),IFERROR(('Final Calculation Sheet'!$M$28)&amp;"",""))))&gt;0,AND(ISNUMBER(SEARCH("blank",$N$4)),NOT(ISNUMBER(SEARCH("nonblank",$N$4))),IFERROR(('Final Calculation Sheet'!$M$28)&amp;"","")=""),AND(OR(ISNUMBER(SEARCH("nonblank",$N$4)),ISNUMBER(SEARCH("&lt;&gt;",$N$4))),IFERROR(('Final Calculation Sheet'!$M$28)&amp;"","")&lt;&gt;""),AND(TRIM($N$4)="",IFERROR(('Final Calculation Sheet'!$M$28)&amp;"","")=""))))</f>
        <v/>
      </c>
      <c r="CA29">
        <f>IF($O$4="",1,--(OR(SUMPRODUCT(--(TRIM(MID(SUBSTITUTE(SUBSTITUTE($O$4,"/",","),",",REPT(" ",99)),(ROW($1:$8)-1)*99+1,99))&lt;&gt;""),--ISNUMBER(SEARCH(TRIM(MID(SUBSTITUTE(SUBSTITUTE($O$4,"/",","),",",REPT(" ",99)),(ROW($1:$8)-1)*99+1,99)),IFERROR(('Final Calculation Sheet'!$N$28)&amp;"",""))))&gt;0,AND(ISNUMBER(SEARCH("blank",$O$4)),NOT(ISNUMBER(SEARCH("nonblank",$O$4))),IFERROR(('Final Calculation Sheet'!$N$28)&amp;"","")=""),AND(OR(ISNUMBER(SEARCH("nonblank",$O$4)),ISNUMBER(SEARCH("&lt;&gt;",$O$4))),IFERROR(('Final Calculation Sheet'!$N$28)&amp;"","")&lt;&gt;""),AND(TRIM($O$4)="",IFERROR(('Final Calculation Sheet'!$N$28)&amp;"","")=""))))</f>
        <v/>
      </c>
      <c r="CB29">
        <f>IF($P$4="",1,--(OR(SUMPRODUCT(--(TRIM(MID(SUBSTITUTE(SUBSTITUTE($P$4,"/",","),",",REPT(" ",99)),(ROW($1:$8)-1)*99+1,99))&lt;&gt;""),--ISNUMBER(SEARCH(TRIM(MID(SUBSTITUTE(SUBSTITUTE($P$4,"/",","),",",REPT(" ",99)),(ROW($1:$8)-1)*99+1,99)),IFERROR(('Final Calculation Sheet'!$O$28)&amp;"",""))))&gt;0,AND(ISNUMBER(SEARCH("blank",$P$4)),NOT(ISNUMBER(SEARCH("nonblank",$P$4))),IFERROR(('Final Calculation Sheet'!$O$28)&amp;"","")=""),AND(OR(ISNUMBER(SEARCH("nonblank",$P$4)),ISNUMBER(SEARCH("&lt;&gt;",$P$4))),IFERROR(('Final Calculation Sheet'!$O$28)&amp;"","")&lt;&gt;""),AND(TRIM($P$4)="",IFERROR(('Final Calculation Sheet'!$O$28)&amp;"","")=""))))</f>
        <v/>
      </c>
      <c r="CC29">
        <f>IF($Q$4="",1,--(OR(SUMPRODUCT(--(TRIM(MID(SUBSTITUTE(SUBSTITUTE($Q$4,"/",","),",",REPT(" ",99)),(ROW($1:$8)-1)*99+1,99))&lt;&gt;""),--ISNUMBER(SEARCH(TRIM(MID(SUBSTITUTE(SUBSTITUTE($Q$4,"/",","),",",REPT(" ",99)),(ROW($1:$8)-1)*99+1,99)),IFERROR(('Final Calculation Sheet'!$P$28)&amp;"",""))))&gt;0,AND(ISNUMBER(SEARCH("blank",$Q$4)),NOT(ISNUMBER(SEARCH("nonblank",$Q$4))),IFERROR(('Final Calculation Sheet'!$P$28)&amp;"","")=""),AND(OR(ISNUMBER(SEARCH("nonblank",$Q$4)),ISNUMBER(SEARCH("&lt;&gt;",$Q$4))),IFERROR(('Final Calculation Sheet'!$P$28)&amp;"","")&lt;&gt;""),AND(TRIM($Q$4)="",IFERROR(('Final Calculation Sheet'!$P$28)&amp;"","")=""))))</f>
        <v/>
      </c>
      <c r="CD29">
        <f>IF($R$4="",1,--(OR(SUMPRODUCT(--(TRIM(MID(SUBSTITUTE(SUBSTITUTE($R$4,"/",","),",",REPT(" ",99)),(ROW($1:$8)-1)*99+1,99))&lt;&gt;""),--ISNUMBER(SEARCH(TRIM(MID(SUBSTITUTE(SUBSTITUTE($R$4,"/",","),",",REPT(" ",99)),(ROW($1:$8)-1)*99+1,99)),IFERROR(('Final Calculation Sheet'!$Q$28)&amp;"",""))))&gt;0,AND(ISNUMBER(SEARCH("blank",$R$4)),NOT(ISNUMBER(SEARCH("nonblank",$R$4))),IFERROR(('Final Calculation Sheet'!$Q$28)&amp;"","")=""),AND(OR(ISNUMBER(SEARCH("nonblank",$R$4)),ISNUMBER(SEARCH("&lt;&gt;",$R$4))),IFERROR(('Final Calculation Sheet'!$Q$28)&amp;"","")&lt;&gt;""),AND(TRIM($R$4)="",IFERROR(('Final Calculation Sheet'!$Q$28)&amp;"","")=""))))</f>
        <v/>
      </c>
      <c r="CE29">
        <f>IF($S$4="",1,--(OR(SUMPRODUCT(--(TRIM(MID(SUBSTITUTE(SUBSTITUTE($S$4,"/",","),",",REPT(" ",99)),(ROW($1:$8)-1)*99+1,99))&lt;&gt;""),--ISNUMBER(SEARCH(TRIM(MID(SUBSTITUTE(SUBSTITUTE($S$4,"/",","),",",REPT(" ",99)),(ROW($1:$8)-1)*99+1,99)),IFERROR(('Final Calculation Sheet'!$R$28)&amp;"",""))))&gt;0,AND(ISNUMBER(SEARCH("blank",$S$4)),NOT(ISNUMBER(SEARCH("nonblank",$S$4))),IFERROR(('Final Calculation Sheet'!$R$28)&amp;"","")=""),AND(OR(ISNUMBER(SEARCH("nonblank",$S$4)),ISNUMBER(SEARCH("&lt;&gt;",$S$4))),IFERROR(('Final Calculation Sheet'!$R$28)&amp;"","")&lt;&gt;""),AND(TRIM($S$4)="",IFERROR(('Final Calculation Sheet'!$R$28)&amp;"","")=""))))</f>
        <v/>
      </c>
      <c r="CF29">
        <f>IF($T$4="",1,--(OR(SUMPRODUCT(--(TRIM(MID(SUBSTITUTE(SUBSTITUTE($T$4,"/",","),",",REPT(" ",99)),(ROW($1:$8)-1)*99+1,99))&lt;&gt;""),--ISNUMBER(SEARCH(TRIM(MID(SUBSTITUTE(SUBSTITUTE($T$4,"/",","),",",REPT(" ",99)),(ROW($1:$8)-1)*99+1,99)),IFERROR(('Final Calculation Sheet'!$S$28)&amp;"",""))))&gt;0,AND(ISNUMBER(SEARCH("blank",$T$4)),NOT(ISNUMBER(SEARCH("nonblank",$T$4))),IFERROR(('Final Calculation Sheet'!$S$28)&amp;"","")=""),AND(OR(ISNUMBER(SEARCH("nonblank",$T$4)),ISNUMBER(SEARCH("&lt;&gt;",$T$4))),IFERROR(('Final Calculation Sheet'!$S$28)&amp;"","")&lt;&gt;""),AND(TRIM($T$4)="",IFERROR(('Final Calculation Sheet'!$S$28)&amp;"","")=""))))</f>
        <v/>
      </c>
      <c r="CG29">
        <f>IF($U$4="",1,--(OR(SUMPRODUCT(--(TRIM(MID(SUBSTITUTE(SUBSTITUTE($U$4,"/",","),",",REPT(" ",99)),(ROW($1:$8)-1)*99+1,99))&lt;&gt;""),--ISNUMBER(SEARCH(TRIM(MID(SUBSTITUTE(SUBSTITUTE($U$4,"/",","),",",REPT(" ",99)),(ROW($1:$8)-1)*99+1,99)),IFERROR(('Final Calculation Sheet'!$T$28)&amp;"",""))))&gt;0,AND(ISNUMBER(SEARCH("blank",$U$4)),NOT(ISNUMBER(SEARCH("nonblank",$U$4))),IFERROR(('Final Calculation Sheet'!$T$28)&amp;"","")=""),AND(OR(ISNUMBER(SEARCH("nonblank",$U$4)),ISNUMBER(SEARCH("&lt;&gt;",$U$4))),IFERROR(('Final Calculation Sheet'!$T$28)&amp;"","")&lt;&gt;""),AND(TRIM($U$4)="",IFERROR(('Final Calculation Sheet'!$T$28)&amp;"","")=""))))</f>
        <v/>
      </c>
      <c r="CH29">
        <f>IF($V$4="",1,--(OR(SUMPRODUCT(--(TRIM(MID(SUBSTITUTE(SUBSTITUTE($V$4,"/",","),",",REPT(" ",99)),(ROW($1:$8)-1)*99+1,99))&lt;&gt;""),--ISNUMBER(SEARCH(TRIM(MID(SUBSTITUTE(SUBSTITUTE($V$4,"/",","),",",REPT(" ",99)),(ROW($1:$8)-1)*99+1,99)),IFERROR(('Final Calculation Sheet'!$U$28)&amp;"",""))))&gt;0,AND(ISNUMBER(SEARCH("blank",$V$4)),NOT(ISNUMBER(SEARCH("nonblank",$V$4))),IFERROR(('Final Calculation Sheet'!$U$28)&amp;"","")=""),AND(OR(ISNUMBER(SEARCH("nonblank",$V$4)),ISNUMBER(SEARCH("&lt;&gt;",$V$4))),IFERROR(('Final Calculation Sheet'!$U$28)&amp;"","")&lt;&gt;""),AND(TRIM($V$4)="",IFERROR(('Final Calculation Sheet'!$U$28)&amp;"","")=""))))</f>
        <v/>
      </c>
      <c r="CI29">
        <f>IF($W$4="",1,--(OR(SUMPRODUCT(--(TRIM(MID(SUBSTITUTE(SUBSTITUTE($W$4,"/",","),",",REPT(" ",99)),(ROW($1:$8)-1)*99+1,99))&lt;&gt;""),--ISNUMBER(SEARCH(TRIM(MID(SUBSTITUTE(SUBSTITUTE($W$4,"/",","),",",REPT(" ",99)),(ROW($1:$8)-1)*99+1,99)),IFERROR(('Final Calculation Sheet'!$V$28)&amp;"",""))))&gt;0,AND(ISNUMBER(SEARCH("blank",$W$4)),NOT(ISNUMBER(SEARCH("nonblank",$W$4))),IFERROR(('Final Calculation Sheet'!$V$28)&amp;"","")=""),AND(OR(ISNUMBER(SEARCH("nonblank",$W$4)),ISNUMBER(SEARCH("&lt;&gt;",$W$4))),IFERROR(('Final Calculation Sheet'!$V$28)&amp;"","")&lt;&gt;""),AND(TRIM($W$4)="",IFERROR(('Final Calculation Sheet'!$V$28)&amp;"","")=""))))</f>
        <v/>
      </c>
      <c r="CJ29">
        <f>IF($X$4="",1,--(OR(SUMPRODUCT(--(TRIM(MID(SUBSTITUTE(SUBSTITUTE($X$4,"/",","),",",REPT(" ",99)),(ROW($1:$8)-1)*99+1,99))&lt;&gt;""),--ISNUMBER(SEARCH(TRIM(MID(SUBSTITUTE(SUBSTITUTE($X$4,"/",","),",",REPT(" ",99)),(ROW($1:$8)-1)*99+1,99)),IFERROR(('Final Calculation Sheet'!$W$28)&amp;"",""))))&gt;0,AND(ISNUMBER(SEARCH("blank",$X$4)),NOT(ISNUMBER(SEARCH("nonblank",$X$4))),IFERROR(('Final Calculation Sheet'!$W$28)&amp;"","")=""),AND(OR(ISNUMBER(SEARCH("nonblank",$X$4)),ISNUMBER(SEARCH("&lt;&gt;",$X$4))),IFERROR(('Final Calculation Sheet'!$W$28)&amp;"","")&lt;&gt;""),AND(TRIM($X$4)="",IFERROR(('Final Calculation Sheet'!$W$28)&amp;"","")=""))))</f>
        <v/>
      </c>
      <c r="CK29">
        <f>IF($Y$4="",1,--(OR(SUMPRODUCT(--(TRIM(MID(SUBSTITUTE(SUBSTITUTE($Y$4,"/",","),",",REPT(" ",99)),(ROW($1:$8)-1)*99+1,99))&lt;&gt;""),--ISNUMBER(SEARCH(TRIM(MID(SUBSTITUTE(SUBSTITUTE($Y$4,"/",","),",",REPT(" ",99)),(ROW($1:$8)-1)*99+1,99)),IFERROR(('Final Calculation Sheet'!$X$28)&amp;"",""))))&gt;0,AND(ISNUMBER(SEARCH("blank",$Y$4)),NOT(ISNUMBER(SEARCH("nonblank",$Y$4))),IFERROR(('Final Calculation Sheet'!$X$28)&amp;"","")=""),AND(OR(ISNUMBER(SEARCH("nonblank",$Y$4)),ISNUMBER(SEARCH("&lt;&gt;",$Y$4))),IFERROR(('Final Calculation Sheet'!$X$28)&amp;"","")&lt;&gt;""),AND(TRIM($Y$4)="",IFERROR(('Final Calculation Sheet'!$X$28)&amp;"","")=""))))</f>
        <v/>
      </c>
      <c r="CL29">
        <f>IF($Z$4="",1,--(OR(SUMPRODUCT(--(TRIM(MID(SUBSTITUTE(SUBSTITUTE($Z$4,"/",","),",",REPT(" ",99)),(ROW($1:$8)-1)*99+1,99))&lt;&gt;""),--ISNUMBER(SEARCH(TRIM(MID(SUBSTITUTE(SUBSTITUTE($Z$4,"/",","),",",REPT(" ",99)),(ROW($1:$8)-1)*99+1,99)),IFERROR(('Final Calculation Sheet'!$Y$28)&amp;"",""))))&gt;0,AND(ISNUMBER(SEARCH("blank",$Z$4)),NOT(ISNUMBER(SEARCH("nonblank",$Z$4))),IFERROR(('Final Calculation Sheet'!$Y$28)&amp;"","")=""),AND(OR(ISNUMBER(SEARCH("nonblank",$Z$4)),ISNUMBER(SEARCH("&lt;&gt;",$Z$4))),IFERROR(('Final Calculation Sheet'!$Y$28)&amp;"","")&lt;&gt;""),AND(TRIM($Z$4)="",IFERROR(('Final Calculation Sheet'!$Y$28)&amp;"","")=""))))</f>
        <v/>
      </c>
      <c r="CM29">
        <f>IF($AA$4="",1,--(OR(SUMPRODUCT(--(TRIM(MID(SUBSTITUTE(SUBSTITUTE($AA$4,"/",","),",",REPT(" ",99)),(ROW($1:$8)-1)*99+1,99))&lt;&gt;""),--ISNUMBER(SEARCH(TRIM(MID(SUBSTITUTE(SUBSTITUTE($AA$4,"/",","),",",REPT(" ",99)),(ROW($1:$8)-1)*99+1,99)),IFERROR(('Final Calculation Sheet'!$Z$28)&amp;"",""))))&gt;0,AND(ISNUMBER(SEARCH("blank",$AA$4)),NOT(ISNUMBER(SEARCH("nonblank",$AA$4))),IFERROR(('Final Calculation Sheet'!$Z$28)&amp;"","")=""),AND(OR(ISNUMBER(SEARCH("nonblank",$AA$4)),ISNUMBER(SEARCH("&lt;&gt;",$AA$4))),IFERROR(('Final Calculation Sheet'!$Z$28)&amp;"","")&lt;&gt;""),AND(TRIM($AA$4)="",IFERROR(('Final Calculation Sheet'!$Z$28)&amp;"","")=""))))</f>
        <v/>
      </c>
      <c r="CN29">
        <f>IF($AB$4="",1,--(OR(SUMPRODUCT(--(TRIM(MID(SUBSTITUTE(SUBSTITUTE($AB$4,"/",","),",",REPT(" ",99)),(ROW($1:$8)-1)*99+1,99))&lt;&gt;""),--ISNUMBER(SEARCH(TRIM(MID(SUBSTITUTE(SUBSTITUTE($AB$4,"/",","),",",REPT(" ",99)),(ROW($1:$8)-1)*99+1,99)),IFERROR(('Final Calculation Sheet'!$AA$28)&amp;"",""))))&gt;0,AND(ISNUMBER(SEARCH("blank",$AB$4)),NOT(ISNUMBER(SEARCH("nonblank",$AB$4))),IFERROR(('Final Calculation Sheet'!$AA$28)&amp;"","")=""),AND(OR(ISNUMBER(SEARCH("nonblank",$AB$4)),ISNUMBER(SEARCH("&lt;&gt;",$AB$4))),IFERROR(('Final Calculation Sheet'!$AA$28)&amp;"","")&lt;&gt;""),AND(TRIM($AB$4)="",IFERROR(('Final Calculation Sheet'!$AA$28)&amp;"","")=""))))</f>
        <v/>
      </c>
      <c r="CO29">
        <f>IF($AC$4="",1,--(OR(SUMPRODUCT(--(TRIM(MID(SUBSTITUTE(SUBSTITUTE($AC$4,"/",","),",",REPT(" ",99)),(ROW($1:$8)-1)*99+1,99))&lt;&gt;""),--ISNUMBER(SEARCH(TRIM(MID(SUBSTITUTE(SUBSTITUTE($AC$4,"/",","),",",REPT(" ",99)),(ROW($1:$8)-1)*99+1,99)),IFERROR(('Final Calculation Sheet'!$AB$28)&amp;"",""))))&gt;0,AND(ISNUMBER(SEARCH("blank",$AC$4)),NOT(ISNUMBER(SEARCH("nonblank",$AC$4))),IFERROR(('Final Calculation Sheet'!$AB$28)&amp;"","")=""),AND(OR(ISNUMBER(SEARCH("nonblank",$AC$4)),ISNUMBER(SEARCH("&lt;&gt;",$AC$4))),IFERROR(('Final Calculation Sheet'!$AB$28)&amp;"","")&lt;&gt;""),AND(TRIM($AC$4)="",IFERROR(('Final Calculation Sheet'!$AB$28)&amp;"","")=""))))</f>
        <v/>
      </c>
      <c r="CP29">
        <f>IF($AD$4="",1,--(OR(SUMPRODUCT(--(TRIM(MID(SUBSTITUTE(SUBSTITUTE($AD$4,"/",","),",",REPT(" ",99)),(ROW($1:$8)-1)*99+1,99))&lt;&gt;""),--ISNUMBER(SEARCH(TRIM(MID(SUBSTITUTE(SUBSTITUTE($AD$4,"/",","),",",REPT(" ",99)),(ROW($1:$8)-1)*99+1,99)),IFERROR(('Final Calculation Sheet'!$AC$28)&amp;"",""))))&gt;0,AND(ISNUMBER(SEARCH("blank",$AD$4)),NOT(ISNUMBER(SEARCH("nonblank",$AD$4))),IFERROR(('Final Calculation Sheet'!$AC$28)&amp;"","")=""),AND(OR(ISNUMBER(SEARCH("nonblank",$AD$4)),ISNUMBER(SEARCH("&lt;&gt;",$AD$4))),IFERROR(('Final Calculation Sheet'!$AC$28)&amp;"","")&lt;&gt;""),AND(TRIM($AD$4)="",IFERROR(('Final Calculation Sheet'!$AC$28)&amp;"","")=""))))</f>
        <v/>
      </c>
      <c r="CQ29">
        <f>IF($AE$4="",1,--(OR(SUMPRODUCT(--(TRIM(MID(SUBSTITUTE(SUBSTITUTE($AE$4,"/",","),",",REPT(" ",99)),(ROW($1:$8)-1)*99+1,99))&lt;&gt;""),--ISNUMBER(SEARCH(TRIM(MID(SUBSTITUTE(SUBSTITUTE($AE$4,"/",","),",",REPT(" ",99)),(ROW($1:$8)-1)*99+1,99)),IFERROR(('Final Calculation Sheet'!$AD$28)&amp;"",""))))&gt;0,AND(ISNUMBER(SEARCH("blank",$AE$4)),NOT(ISNUMBER(SEARCH("nonblank",$AE$4))),IFERROR(('Final Calculation Sheet'!$AD$28)&amp;"","")=""),AND(OR(ISNUMBER(SEARCH("nonblank",$AE$4)),ISNUMBER(SEARCH("&lt;&gt;",$AE$4))),IFERROR(('Final Calculation Sheet'!$AD$28)&amp;"","")&lt;&gt;""),AND(TRIM($AE$4)="",IFERROR(('Final Calculation Sheet'!$AD$28)&amp;"","")=""))))</f>
        <v/>
      </c>
      <c r="CR29">
        <f>IF($AG$4="",1,--(OR(SUMPRODUCT(--(TRIM(MID(SUBSTITUTE(SUBSTITUTE($AG$4,"/",","),",",REPT(" ",99)),(ROW($1:$8)-1)*99+1,99))&lt;&gt;""),--ISNUMBER(SEARCH(TRIM(MID(SUBSTITUTE(SUBSTITUTE($AG$4,"/",","),",",REPT(" ",99)),(ROW($1:$8)-1)*99+1,99)),IFERROR(('Final Calculation Sheet'!$AF$28)&amp;"",""))))&gt;0,AND(ISNUMBER(SEARCH("blank",$AG$4)),NOT(ISNUMBER(SEARCH("nonblank",$AG$4))),IFERROR(('Final Calculation Sheet'!$AF$28)&amp;"","")=""),AND(OR(ISNUMBER(SEARCH("nonblank",$AG$4)),ISNUMBER(SEARCH("&lt;&gt;",$AG$4))),IFERROR(('Final Calculation Sheet'!$AF$28)&amp;"","")&lt;&gt;""),AND(TRIM($AG$4)="",IFERROR(('Final Calculation Sheet'!$AF$28)&amp;"","")=""))))</f>
        <v/>
      </c>
      <c r="CS29">
        <f>IF($AH$4="",1,--(OR(SUMPRODUCT(--(TRIM(MID(SUBSTITUTE(SUBSTITUTE($AH$4,"/",","),",",REPT(" ",99)),(ROW($1:$8)-1)*99+1,99))&lt;&gt;""),--ISNUMBER(SEARCH(TRIM(MID(SUBSTITUTE(SUBSTITUTE($AH$4,"/",","),",",REPT(" ",99)),(ROW($1:$8)-1)*99+1,99)),IFERROR(('Final Calculation Sheet'!$AG$28)&amp;"",""))))&gt;0,AND(ISNUMBER(SEARCH("blank",$AH$4)),NOT(ISNUMBER(SEARCH("nonblank",$AH$4))),IFERROR(('Final Calculation Sheet'!$AG$28)&amp;"","")=""),AND(OR(ISNUMBER(SEARCH("nonblank",$AH$4)),ISNUMBER(SEARCH("&lt;&gt;",$AH$4))),IFERROR(('Final Calculation Sheet'!$AG$28)&amp;"","")&lt;&gt;""),AND(TRIM($AH$4)="",IFERROR(('Final Calculation Sheet'!$AG$28)&amp;"","")=""))))</f>
        <v/>
      </c>
      <c r="CT29">
        <f>IF($AI$4="",1,--(OR(SUMPRODUCT(--(TRIM(MID(SUBSTITUTE(SUBSTITUTE($AI$4,"/",","),",",REPT(" ",99)),(ROW($1:$8)-1)*99+1,99))&lt;&gt;""),--ISNUMBER(SEARCH(TRIM(MID(SUBSTITUTE(SUBSTITUTE($AI$4,"/",","),",",REPT(" ",99)),(ROW($1:$8)-1)*99+1,99)),IFERROR(('Final Calculation Sheet'!$AH$28)&amp;"",""))))&gt;0,AND(ISNUMBER(SEARCH("blank",$AI$4)),NOT(ISNUMBER(SEARCH("nonblank",$AI$4))),IFERROR(('Final Calculation Sheet'!$AH$28)&amp;"","")=""),AND(OR(ISNUMBER(SEARCH("nonblank",$AI$4)),ISNUMBER(SEARCH("&lt;&gt;",$AI$4))),IFERROR(('Final Calculation Sheet'!$AH$28)&amp;"","")&lt;&gt;""),AND(TRIM($AI$4)="",IFERROR(('Final Calculation Sheet'!$AH$28)&amp;"","")=""))))</f>
        <v/>
      </c>
      <c r="CU29">
        <f>IF($AF$4="",1,--(OR(SUMPRODUCT(--(TRIM(MID(SUBSTITUTE(SUBSTITUTE($AF$4,"/",","),",",REPT(" ",99)),(ROW($1:$8)-1)*99+1,99))&lt;&gt;""),--ISNUMBER(SEARCH(TRIM(MID(SUBSTITUTE(SUBSTITUTE($AF$4,"/",","),",",REPT(" ",99)),(ROW($1:$8)-1)*99+1,99)),IFERROR((IF('Final Calculation Sheet'!$AD$28&lt;=5,"SETTLED","OUTSTANDING"))&amp;"",""))))&gt;0,AND(ISNUMBER(SEARCH("blank",$AF$4)),NOT(ISNUMBER(SEARCH("nonblank",$AF$4))),IFERROR((IF('Final Calculation Sheet'!$AD$28&lt;=5,"SETTLED","OUTSTANDING"))&amp;"","")=""),AND(OR(ISNUMBER(SEARCH("nonblank",$AF$4)),ISNUMBER(SEARCH("&lt;&gt;",$AF$4))),IFERROR((IF('Final Calculation Sheet'!$AD$28&lt;=5,"SETTLED","OUTSTANDING"))&amp;"","")&lt;&gt;""),AND(TRIM($AF$4)="",IFERROR((IF('Final Calculation Sheet'!$AD$28&lt;=5,"SETTLED","OUTSTANDING"))&amp;"","")=""))))</f>
        <v/>
      </c>
    </row>
    <row r="30" ht="15" customHeight="1" s="137">
      <c r="A30" s="67">
        <f>IF($BJ29&gt;0,INDEX($BA$5:$BA$41,MATCH(29,$BB$5:$BB$41,0)),IF(OR($BI29=1,$BL29=1,$BH29&gt;0),"∑",""))</f>
        <v/>
      </c>
      <c r="B30" s="76">
        <f>IF($BJ29&gt;0,IF(INDEX('Final Calculation Sheet'!$F$4:$F$40,$BJ29-3)="","",INDEX('Final Calculation Sheet'!$F$4:$F$40,$BJ29-3)),"")</f>
        <v/>
      </c>
      <c r="C30" s="76">
        <f>IF($BJ29&gt;0,IF(INDEX('Final Calculation Sheet'!$G$4:$G$40,$BJ29-3)="","",INDEX('Final Calculation Sheet'!$G$4:$G$40,$BJ29-3)),IF(OR($BI29=1,$BL29=1,$BH29&gt;0),IF($BI29=1,37,IF($BL29=1,37-INDEX($BD$4:$BD$13,10),INDEX($BD$4:$BD$13,$BH29)))&amp;" lot(s)",""))</f>
        <v/>
      </c>
      <c r="D30" s="80">
        <f>IF($BJ29&gt;0,IF(INDEX('Final Calculation Sheet'!$B$4:$B$40,$BJ29-3)="","",INDEX('Final Calculation Sheet'!$B$4:$B$40,$BJ29-3)),IF(OR($BI29=1,$BL29=1,$BH29&gt;0),IF($BI29=1,"GRAND TOTAL  —  matching + remaining",IF($BL29=1,"TOTAL MATCHED  —  every group together",IF($BH29=10,"REMAINING  —  did not match the search",IF($BH29=9,IF(COUNTIF($A$4:$AI$4,"&lt;&gt;")&gt;0,"FILTERED LOTS  —  column fields","ALL LOTS  —  nothing typed in the box"),"GROUP "&amp;$BH29&amp;" TOTAL  —  lots matching  "&amp;INDEX($AR$6:$AY$6,$BH29))))),""))</f>
        <v/>
      </c>
      <c r="E30" s="80">
        <f>IF($BJ29&gt;0,IF(INDEX('Final Calculation Sheet'!$D$4:$D$40,$BJ29-3)="","",INDEX('Final Calculation Sheet'!$D$4:$D$40,$BJ29-3)),IF(OR($BI29=1,$BL29=1,$BH29&gt;0),"–",""))</f>
        <v/>
      </c>
      <c r="F30" s="80">
        <f>IF($BJ29&gt;0,IF(INDEX('Final Calculation Sheet'!$A$4:$A$40,$BJ29-3)="","",INDEX('Final Calculation Sheet'!$A$4:$A$40,$BJ29-3)),IF(OR($BI29=1,$BL29=1,$BH29&gt;0),IF($BI29=1,SUM('Final Calculation Sheet'!$A$4:$A$40),IF($BL29=1,SUM('Final Calculation Sheet'!$A$4:$A$40)-SUMIFS('Final Calculation Sheet'!$A$4:$A$40,$AZ$5:$AZ$41,10),SUMIFS('Final Calculation Sheet'!$A$4:$A$40,$AZ$5:$AZ$41,$BH29))),""))</f>
        <v/>
      </c>
      <c r="G30" s="80">
        <f>IF($BJ29&gt;0,IF(INDEX('Final Calculation Sheet'!$E$4:$E$40,$BJ29-3)="","",INDEX('Final Calculation Sheet'!$E$4:$E$40,$BJ29-3)),IF(OR($BI29=1,$BL29=1,$BH29&gt;0),"–",""))</f>
        <v/>
      </c>
      <c r="H30" s="70">
        <f>IF($BJ29&gt;0,IF(INDEX('Final Calculation Sheet'!$C$4:$C$40,$BJ29-3)="","",INDEX('Final Calculation Sheet'!$C$4:$C$40,$BJ29-3)),IF(OR($BI29=1,$BL29=1,$BH29&gt;0),"–",""))</f>
        <v/>
      </c>
      <c r="I30" s="70">
        <f>IF($BJ29&gt;0,IF(INDEX('Final Calculation Sheet'!$H$4:$H$40,$BJ29-3)="","",INDEX('Final Calculation Sheet'!$H$4:$H$40,$BJ29-3)),IF(OR($BI29=1,$BL29=1,$BH29&gt;0),IF($BI29=1,SUM('Final Calculation Sheet'!$H$4:$H$40),IF($BL29=1,SUM('Final Calculation Sheet'!$H$4:$H$40)-SUMIFS('Final Calculation Sheet'!$H$4:$H$40,$AZ$5:$AZ$41,10),SUMIFS('Final Calculation Sheet'!$H$4:$H$40,$AZ$5:$AZ$41,$BH29))),""))</f>
        <v/>
      </c>
      <c r="J30" s="70">
        <f>IF($BJ29&gt;0,IF(INDEX('Final Calculation Sheet'!$I$4:$I$40,$BJ29-3)="","",INDEX('Final Calculation Sheet'!$I$4:$I$40,$BJ29-3)),IF(OR($BI29=1,$BL29=1,$BH29&gt;0),IF($BI29=1,SUM('Final Calculation Sheet'!$I$4:$I$40),IF($BL29=1,SUM('Final Calculation Sheet'!$I$4:$I$40)-SUMIFS('Final Calculation Sheet'!$I$4:$I$40,$AZ$5:$AZ$41,10),SUMIFS('Final Calculation Sheet'!$I$4:$I$40,$AZ$5:$AZ$41,$BH29))),""))</f>
        <v/>
      </c>
      <c r="K30" s="70">
        <f>IF($BJ29&gt;0,IF(INDEX('Final Calculation Sheet'!$J$4:$J$40,$BJ29-3)="","",INDEX('Final Calculation Sheet'!$J$4:$J$40,$BJ29-3)),IF(OR($BI29=1,$BL29=1,$BH29&gt;0),IF($BI29=1,SUM('Final Calculation Sheet'!$J$4:$J$40),IF($BL29=1,SUM('Final Calculation Sheet'!$J$4:$J$40)-SUMIFS('Final Calculation Sheet'!$J$4:$J$40,$AZ$5:$AZ$41,10),SUMIFS('Final Calculation Sheet'!$J$4:$J$40,$AZ$5:$AZ$41,$BH29))),""))</f>
        <v/>
      </c>
      <c r="L30" s="70">
        <f>IF($BJ29&gt;0,IF(INDEX('Final Calculation Sheet'!$K$4:$K$40,$BJ29-3)="","",INDEX('Final Calculation Sheet'!$K$4:$K$40,$BJ29-3)),IF(OR($BI29=1,$BL29=1,$BH29&gt;0),IF($BI29=1,SUM('Final Calculation Sheet'!$K$4:$K$40),IF($BL29=1,SUM('Final Calculation Sheet'!$K$4:$K$40)-SUMIFS('Final Calculation Sheet'!$K$4:$K$40,$AZ$5:$AZ$41,10),SUMIFS('Final Calculation Sheet'!$K$4:$K$40,$AZ$5:$AZ$41,$BH29))),""))</f>
        <v/>
      </c>
      <c r="M30" s="70">
        <f>IF($BJ29&gt;0,IF(INDEX('Final Calculation Sheet'!$L$4:$L$40,$BJ29-3)="","",INDEX('Final Calculation Sheet'!$L$4:$L$40,$BJ29-3)),IF(OR($BI29=1,$BL29=1,$BH29&gt;0),IF($BI29=1,SUM('Final Calculation Sheet'!$L$4:$L$40),IF($BL29=1,SUM('Final Calculation Sheet'!$L$4:$L$40)-SUMIFS('Final Calculation Sheet'!$L$4:$L$40,$AZ$5:$AZ$41,10),SUMIFS('Final Calculation Sheet'!$L$4:$L$40,$AZ$5:$AZ$41,$BH29))),""))</f>
        <v/>
      </c>
      <c r="N30" s="70">
        <f>IF($BJ29&gt;0,IF(INDEX('Final Calculation Sheet'!$M$4:$M$40,$BJ29-3)="","",INDEX('Final Calculation Sheet'!$M$4:$M$40,$BJ29-3)),IF(OR($BI29=1,$BL29=1,$BH29&gt;0),IF($BI29=1,SUM('Final Calculation Sheet'!$M$4:$M$40),IF($BL29=1,SUM('Final Calculation Sheet'!$M$4:$M$40)-SUMIFS('Final Calculation Sheet'!$M$4:$M$40,$AZ$5:$AZ$41,10),SUMIFS('Final Calculation Sheet'!$M$4:$M$40,$AZ$5:$AZ$41,$BH29))),""))</f>
        <v/>
      </c>
      <c r="O30" s="71">
        <f>IF($BJ29&gt;0,IF(INDEX('Final Calculation Sheet'!$N$4:$N$40,$BJ29-3)="","",INDEX('Final Calculation Sheet'!$N$4:$N$40,$BJ29-3)),IF(OR($BI29=1,$BL29=1,$BH29&gt;0),IF($BI29=1,SUM('Final Calculation Sheet'!$N$4:$N$40),IF($BL29=1,SUM('Final Calculation Sheet'!$N$4:$N$40)-SUMIFS('Final Calculation Sheet'!$N$4:$N$40,$AZ$5:$AZ$41,10),SUMIFS('Final Calculation Sheet'!$N$4:$N$40,$AZ$5:$AZ$41,$BH29))),""))</f>
        <v/>
      </c>
      <c r="P30" s="70">
        <f>IF($BJ29&gt;0,IF(INDEX('Final Calculation Sheet'!$O$4:$O$40,$BJ29-3)="","",INDEX('Final Calculation Sheet'!$O$4:$O$40,$BJ29-3)),IF(OR($BI29=1,$BL29=1,$BH29&gt;0),IF($BI29=1,SUM('Final Calculation Sheet'!$O$4:$O$40),IF($BL29=1,SUM('Final Calculation Sheet'!$O$4:$O$40)-SUMIFS('Final Calculation Sheet'!$O$4:$O$40,$AZ$5:$AZ$41,10),SUMIFS('Final Calculation Sheet'!$O$4:$O$40,$AZ$5:$AZ$41,$BH29))),""))</f>
        <v/>
      </c>
      <c r="Q30" s="70">
        <f>IF($BJ29&gt;0,IF(INDEX('Final Calculation Sheet'!$P$4:$P$40,$BJ29-3)="","",INDEX('Final Calculation Sheet'!$P$4:$P$40,$BJ29-3)),IF(OR($BI29=1,$BL29=1,$BH29&gt;0),IF($BI29=1,SUM('Final Calculation Sheet'!$P$4:$P$40),IF($BL29=1,SUM('Final Calculation Sheet'!$P$4:$P$40)-SUMIFS('Final Calculation Sheet'!$P$4:$P$40,$AZ$5:$AZ$41,10),SUMIFS('Final Calculation Sheet'!$P$4:$P$40,$AZ$5:$AZ$41,$BH29))),""))</f>
        <v/>
      </c>
      <c r="R30" s="72">
        <f>IF($BJ29&gt;0,IF(INDEX('Final Calculation Sheet'!$Q$4:$Q$40,$BJ29-3)="","",INDEX('Final Calculation Sheet'!$Q$4:$Q$40,$BJ29-3)),IF(OR($BI29=1,$BL29=1,$BH29&gt;0),"–",""))</f>
        <v/>
      </c>
      <c r="S30" s="70">
        <f>IF($BJ29&gt;0,IF(INDEX('Final Calculation Sheet'!$R$4:$R$40,$BJ29-3)="","",INDEX('Final Calculation Sheet'!$R$4:$R$40,$BJ29-3)),IF(OR($BI29=1,$BL29=1,$BH29&gt;0),IF($BI29=1,SUM('Final Calculation Sheet'!$R$4:$R$40),IF($BL29=1,SUM('Final Calculation Sheet'!$R$4:$R$40)-SUMIFS('Final Calculation Sheet'!$R$4:$R$40,$AZ$5:$AZ$41,10),SUMIFS('Final Calculation Sheet'!$R$4:$R$40,$AZ$5:$AZ$41,$BH29))),""))</f>
        <v/>
      </c>
      <c r="T30" s="70">
        <f>IF($BJ29&gt;0,IF(INDEX('Final Calculation Sheet'!$S$4:$S$40,$BJ29-3)="","",INDEX('Final Calculation Sheet'!$S$4:$S$40,$BJ29-3)),IF(OR($BI29=1,$BL29=1,$BH29&gt;0),IF($BI29=1,SUM('Final Calculation Sheet'!$S$4:$S$40),IF($BL29=1,SUM('Final Calculation Sheet'!$S$4:$S$40)-SUMIFS('Final Calculation Sheet'!$S$4:$S$40,$AZ$5:$AZ$41,10),SUMIFS('Final Calculation Sheet'!$S$4:$S$40,$AZ$5:$AZ$41,$BH29))),""))</f>
        <v/>
      </c>
      <c r="U30" s="70">
        <f>IF($BJ29&gt;0,IF(INDEX('Final Calculation Sheet'!$T$4:$T$40,$BJ29-3)="","",INDEX('Final Calculation Sheet'!$T$4:$T$40,$BJ29-3)),IF(OR($BI29=1,$BL29=1,$BH29&gt;0),IF($BI29=1,SUM('Final Calculation Sheet'!$T$4:$T$40),IF($BL29=1,SUM('Final Calculation Sheet'!$T$4:$T$40)-SUMIFS('Final Calculation Sheet'!$T$4:$T$40,$AZ$5:$AZ$41,10),SUMIFS('Final Calculation Sheet'!$T$4:$T$40,$AZ$5:$AZ$41,$BH29))),""))</f>
        <v/>
      </c>
      <c r="V30" s="73">
        <f>IF($BJ29&gt;0,IF(INDEX('Final Calculation Sheet'!$U$4:$U$40,$BJ29-3)="","",INDEX('Final Calculation Sheet'!$U$4:$U$40,$BJ29-3)),IF(OR($BI29=1,$BL29=1,$BH29&gt;0),IF($BI29=1,SUM('Final Calculation Sheet'!$U$4:$U$40),IF($BL29=1,SUM('Final Calculation Sheet'!$U$4:$U$40)-SUMIFS('Final Calculation Sheet'!$U$4:$U$40,$AZ$5:$AZ$41,10),SUMIFS('Final Calculation Sheet'!$U$4:$U$40,$AZ$5:$AZ$41,$BH29))),""))</f>
        <v/>
      </c>
      <c r="W30" s="70">
        <f>IF($BJ29&gt;0,IF(INDEX('Final Calculation Sheet'!$V$4:$V$40,$BJ29-3)="","",INDEX('Final Calculation Sheet'!$V$4:$V$40,$BJ29-3)),IF(OR($BI29=1,$BL29=1,$BH29&gt;0),"–",""))</f>
        <v/>
      </c>
      <c r="X30" s="70">
        <f>IF($BJ29&gt;0,IF(INDEX('Final Calculation Sheet'!$W$4:$W$40,$BJ29-3)="","",INDEX('Final Calculation Sheet'!$W$4:$W$40,$BJ29-3)),IF(OR($BI29=1,$BL29=1,$BH29&gt;0),IF($BI29=1,SUM('Final Calculation Sheet'!$W$4:$W$40),IF($BL29=1,SUM('Final Calculation Sheet'!$W$4:$W$40)-SUMIFS('Final Calculation Sheet'!$W$4:$W$40,$AZ$5:$AZ$41,10),SUMIFS('Final Calculation Sheet'!$W$4:$W$40,$AZ$5:$AZ$41,$BH29))),""))</f>
        <v/>
      </c>
      <c r="Y30" s="70">
        <f>IF($BJ29&gt;0,IF(INDEX('Final Calculation Sheet'!$X$4:$X$40,$BJ29-3)="","",INDEX('Final Calculation Sheet'!$X$4:$X$40,$BJ29-3)),IF(OR($BI29=1,$BL29=1,$BH29&gt;0),IF($BI29=1,SUM('Final Calculation Sheet'!$X$4:$X$40),IF($BL29=1,SUM('Final Calculation Sheet'!$X$4:$X$40)-SUMIFS('Final Calculation Sheet'!$X$4:$X$40,$AZ$5:$AZ$41,10),SUMIFS('Final Calculation Sheet'!$X$4:$X$40,$AZ$5:$AZ$41,$BH29))),""))</f>
        <v/>
      </c>
      <c r="Z30" s="70">
        <f>IF($BJ29&gt;0,IF(INDEX('Final Calculation Sheet'!$Y$4:$Y$40,$BJ29-3)="","",INDEX('Final Calculation Sheet'!$Y$4:$Y$40,$BJ29-3)),IF(OR($BI29=1,$BL29=1,$BH29&gt;0),"–",""))</f>
        <v/>
      </c>
      <c r="AA30" s="70">
        <f>IF($BJ29&gt;0,IF(INDEX('Final Calculation Sheet'!$Z$4:$Z$40,$BJ29-3)="","",INDEX('Final Calculation Sheet'!$Z$4:$Z$40,$BJ29-3)),IF(OR($BI29=1,$BL29=1,$BH29&gt;0),IF($BI29=1,SUM('Final Calculation Sheet'!$Z$4:$Z$40),IF($BL29=1,SUM('Final Calculation Sheet'!$Z$4:$Z$40)-SUMIFS('Final Calculation Sheet'!$Z$4:$Z$40,$AZ$5:$AZ$41,10),SUMIFS('Final Calculation Sheet'!$Z$4:$Z$40,$AZ$5:$AZ$41,$BH29))),""))</f>
        <v/>
      </c>
      <c r="AB30" s="70">
        <f>IF($BJ29&gt;0,IF(INDEX('Final Calculation Sheet'!$AA$4:$AA$40,$BJ29-3)="","",INDEX('Final Calculation Sheet'!$AA$4:$AA$40,$BJ29-3)),IF(OR($BI29=1,$BL29=1,$BH29&gt;0),IF($BI29=1,SUM('Final Calculation Sheet'!$AA$4:$AA$40),IF($BL29=1,SUM('Final Calculation Sheet'!$AA$4:$AA$40)-SUMIFS('Final Calculation Sheet'!$AA$4:$AA$40,$AZ$5:$AZ$41,10),SUMIFS('Final Calculation Sheet'!$AA$4:$AA$40,$AZ$5:$AZ$41,$BH29))),""))</f>
        <v/>
      </c>
      <c r="AC30" s="70">
        <f>IF($BJ29&gt;0,IF(INDEX('Final Calculation Sheet'!$AB$4:$AB$40,$BJ29-3)="","",INDEX('Final Calculation Sheet'!$AB$4:$AB$40,$BJ29-3)),IF(OR($BI29=1,$BL29=1,$BH29&gt;0),"–",""))</f>
        <v/>
      </c>
      <c r="AD30" s="70">
        <f>IF($BJ29&gt;0,IF(INDEX('Final Calculation Sheet'!$AC$4:$AC$40,$BJ29-3)="","",INDEX('Final Calculation Sheet'!$AC$4:$AC$40,$BJ29-3)),IF(OR($BI29=1,$BL29=1,$BH29&gt;0),IF($BI29=1,SUM('Final Calculation Sheet'!$AC$4:$AC$40),IF($BL29=1,SUM('Final Calculation Sheet'!$AC$4:$AC$40)-SUMIFS('Final Calculation Sheet'!$AC$4:$AC$40,$AZ$5:$AZ$41,10),SUMIFS('Final Calculation Sheet'!$AC$4:$AC$40,$AZ$5:$AZ$41,$BH29))),""))</f>
        <v/>
      </c>
      <c r="AE30" s="70">
        <f>IF($BJ29&gt;0,IF(INDEX('Final Calculation Sheet'!$AD$4:$AD$40,$BJ29-3)="","",INDEX('Final Calculation Sheet'!$AD$4:$AD$40,$BJ29-3)),IF(OR($BI29=1,$BL29=1,$BH29&gt;0),IF($BI29=1,SUM('Final Calculation Sheet'!$AD$4:$AD$40),IF($BL29=1,SUM('Final Calculation Sheet'!$AD$4:$AD$40)-SUMIFS('Final Calculation Sheet'!$AD$4:$AD$40,$AZ$5:$AZ$41,10),SUMIFS('Final Calculation Sheet'!$AD$4:$AD$40,$AZ$5:$AZ$41,$BH29))),""))</f>
        <v/>
      </c>
      <c r="AF30" s="75">
        <f>IF($BJ29&gt;0,IF(INDEX('Final Calculation Sheet'!$AD$4:$AD$40,$BJ29-3)="","",IF(INDEX('Final Calculation Sheet'!$AD$4:$AD$40,$BJ29-3)&lt;=5,"SETTLED","OUTSTANDING")),IF(OR($BI29=1,$BL29=1,$BH29&gt;0),IF(IF($BI29=1,SUM('Final Calculation Sheet'!$AD$4:$AD$40),IF($BL29=1,SUM('Final Calculation Sheet'!$AD$4:$AD$40)-SUMIFS('Final Calculation Sheet'!$AD$4:$AD$40,$AZ$5:$AZ$41,10),SUMIFS('Final Calculation Sheet'!$AD$4:$AD$40,$AZ$5:$AZ$41,$BH29)))&lt;=5,"ALL SETTLED","OUTSTANDING"),""))</f>
        <v/>
      </c>
      <c r="AG30" s="70">
        <f>IF($BJ29&gt;0,IF(INDEX('Final Calculation Sheet'!$AF$4:$AF$40,$BJ29-3)="","",INDEX('Final Calculation Sheet'!$AF$4:$AF$40,$BJ29-3)),IF(OR($BI29=1,$BL29=1,$BH29&gt;0),"–",""))</f>
        <v/>
      </c>
      <c r="AH30" s="74">
        <f>IF($BJ29&gt;0,IF(INDEX('Final Calculation Sheet'!$AG$4:$AG$40,$BJ29-3)="","",INDEX('Final Calculation Sheet'!$AG$4:$AG$40,$BJ29-3)),IF(OR($BI29=1,$BL29=1,$BH29&gt;0),"–",""))</f>
        <v/>
      </c>
      <c r="AI30" s="70">
        <f>IF($BJ29&gt;0,IF(INDEX('Final Calculation Sheet'!$AH$4:$AH$40,$BJ29-3)="","",INDEX('Final Calculation Sheet'!$AH$4:$AH$40,$BJ29-3)),IF(OR($BI29=1,$BL29=1,$BH29&gt;0),"–",""))</f>
        <v/>
      </c>
      <c r="AK30">
        <f>IF($F$3="Lot No.",'Final Calculation Sheet'!$F$29,IF($F$3="Buyer",'Final Calculation Sheet'!$G$29,IF($F$3="Lot Name",'Final Calculation Sheet'!$B$29,IF($F$3="Bid Sheet",'Final Calculation Sheet'!$D$29,IF($F$3="Unit",'Final Calculation Sheet'!$E$29,'Final Calculation Sheet'!$F$29&amp;" "&amp;'Final Calculation Sheet'!$G$29&amp;" "&amp;'Final Calculation Sheet'!$B$29)))))</f>
        <v/>
      </c>
      <c r="AL30">
        <f>AL29+IF($B$3="",0,--(SUMPRODUCT(--($AR$6:$AY$6&lt;&gt;""),--ISNUMBER(SEARCH($AR$6:$AY$6,$AK30)))&gt;0))</f>
        <v/>
      </c>
      <c r="AM30">
        <f>IF(COUNTIF($BM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AZ30">
        <f>IF($B$3="",IF(COUNTIF($A$4:$AI$4,"&lt;&gt;")=0,9,IF($AM30=1,9,10)),IF($AM30=0,10,IF(AND($AR$6&lt;&gt;"",ISNUMBER(SEARCH($AR$6,$AK30))),1,IF(AND($AS$6&lt;&gt;"",ISNUMBER(SEARCH($AS$6,$AK30))),2,IF(AND($AT$6&lt;&gt;"",ISNUMBER(SEARCH($AT$6,$AK30))),3,IF(AND($AU$6&lt;&gt;"",ISNUMBER(SEARCH($AU$6,$AK30))),4,IF(AND($AV$6&lt;&gt;"",ISNUMBER(SEARCH($AV$6,$AK30))),5,IF(AND($AW$6&lt;&gt;"",ISNUMBER(SEARCH($AW$6,$AK30))),6,IF(AND($AX$6&lt;&gt;"",ISNUMBER(SEARCH($AX$6,$AK30))),7,IF(AND($AY$6&lt;&gt;"",ISNUMBER(SEARCH($AY$6,$AK30))),8,0))))))))))</f>
        <v/>
      </c>
      <c r="BA30">
        <f>SUMPRODUCT(($AZ$5:$AZ$41=$AZ30)*($BC$5:$BC$41&lt;$BC30))+1</f>
        <v/>
      </c>
      <c r="BB30">
        <f>IF(INDEX($BF$4:$BF$13,$AZ30)=0,0,INDEX($BE$4:$BE$13,$AZ30)+$BA30-1)</f>
        <v/>
      </c>
      <c r="BC30" t="n">
        <v>29</v>
      </c>
      <c r="BH30">
        <f>IFERROR(MATCH(30,$BF$4:$BF$13,0),0)</f>
        <v/>
      </c>
      <c r="BI30">
        <f>IF(30=$BG$5,1,0)</f>
        <v/>
      </c>
      <c r="BJ30">
        <f>IF(OR($BH30&gt;0,$BI30=1,$BL30=1),0,IFERROR(INDEX($BC$5:$BC$41,MATCH(30,$BB$5:$BB$41,0)),0))</f>
        <v/>
      </c>
      <c r="BK30">
        <f>IF($BJ30&gt;0,IF(INDEX($AZ$5:$AZ$41,MATCH(30,$BB$5:$BB$41,0))=10,1,0),IF($BH30=10,1,0))</f>
        <v/>
      </c>
      <c r="BL30">
        <f>IF(30=$BG$4,1,0)</f>
        <v/>
      </c>
      <c r="BM30">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0">
        <f>IF($B$4="",1,--(OR(SUMPRODUCT(--(TRIM(MID(SUBSTITUTE(SUBSTITUTE($B$4,"/",","),",",REPT(" ",99)),(ROW($1:$8)-1)*99+1,99))&lt;&gt;""),--ISNUMBER(SEARCH(TRIM(MID(SUBSTITUTE(SUBSTITUTE($B$4,"/",","),",",REPT(" ",99)),(ROW($1:$8)-1)*99+1,99)),IFERROR(('Final Calculation Sheet'!$F$29)&amp;"",""))))&gt;0,AND(ISNUMBER(SEARCH("blank",$B$4)),NOT(ISNUMBER(SEARCH("nonblank",$B$4))),IFERROR(('Final Calculation Sheet'!$F$29)&amp;"","")=""),AND(OR(ISNUMBER(SEARCH("nonblank",$B$4)),ISNUMBER(SEARCH("&lt;&gt;",$B$4))),IFERROR(('Final Calculation Sheet'!$F$29)&amp;"","")&lt;&gt;""),AND(TRIM($B$4)="",IFERROR(('Final Calculation Sheet'!$F$29)&amp;"","")=""))))</f>
        <v/>
      </c>
      <c r="BO30">
        <f>IF($CW$3="",1,--(OR(SUMPRODUCT(--(TRIM(MID(SUBSTITUTE(SUBSTITUTE($CW$3,"/",","),",",REPT(" ",99)),(ROW($1:$8)-1)*99+1,99))&lt;&gt;""),--ISNUMBER(SEARCH(TRIM(MID(SUBSTITUTE(SUBSTITUTE($CW$3,"/",","),",",REPT(" ",99)),(ROW($1:$8)-1)*99+1,99)),IFERROR(('Final Calculation Sheet'!$G$29)&amp;"",""))))&gt;0,AND(ISNUMBER(SEARCH("blank",$CW$3)),NOT(ISNUMBER(SEARCH("nonblank",$CW$3))),IFERROR(('Final Calculation Sheet'!$G$29)&amp;"","")=""),AND(OR(ISNUMBER(SEARCH("nonblank",$CW$3)),ISNUMBER(SEARCH("&lt;&gt;",$CW$3))),IFERROR(('Final Calculation Sheet'!$G$29)&amp;"","")&lt;&gt;""),AND(TRIM($CW$3)="",IFERROR(('Final Calculation Sheet'!$G$29)&amp;"","")=""))))</f>
        <v/>
      </c>
      <c r="BP30">
        <f>IF($D$4="",1,--(OR(SUMPRODUCT(--(TRIM(MID(SUBSTITUTE(SUBSTITUTE($D$4,"/",","),",",REPT(" ",99)),(ROW($1:$8)-1)*99+1,99))&lt;&gt;""),--ISNUMBER(SEARCH(TRIM(MID(SUBSTITUTE(SUBSTITUTE($D$4,"/",","),",",REPT(" ",99)),(ROW($1:$8)-1)*99+1,99)),IFERROR(('Final Calculation Sheet'!$B$29)&amp;"",""))))&gt;0,AND(ISNUMBER(SEARCH("blank",$D$4)),NOT(ISNUMBER(SEARCH("nonblank",$D$4))),IFERROR(('Final Calculation Sheet'!$B$29)&amp;"","")=""),AND(OR(ISNUMBER(SEARCH("nonblank",$D$4)),ISNUMBER(SEARCH("&lt;&gt;",$D$4))),IFERROR(('Final Calculation Sheet'!$B$29)&amp;"","")&lt;&gt;""),AND(TRIM($D$4)="",IFERROR(('Final Calculation Sheet'!$B$29)&amp;"","")=""))))</f>
        <v/>
      </c>
      <c r="BQ30">
        <f>IF($E$4="",1,--(OR(SUMPRODUCT(--(TRIM(MID(SUBSTITUTE(SUBSTITUTE($E$4,"/",","),",",REPT(" ",99)),(ROW($1:$8)-1)*99+1,99))&lt;&gt;""),--ISNUMBER(SEARCH(TRIM(MID(SUBSTITUTE(SUBSTITUTE($E$4,"/",","),",",REPT(" ",99)),(ROW($1:$8)-1)*99+1,99)),IFERROR(('Final Calculation Sheet'!$D$29)&amp;"",""))))&gt;0,AND(ISNUMBER(SEARCH("blank",$E$4)),NOT(ISNUMBER(SEARCH("nonblank",$E$4))),IFERROR(('Final Calculation Sheet'!$D$29)&amp;"","")=""),AND(OR(ISNUMBER(SEARCH("nonblank",$E$4)),ISNUMBER(SEARCH("&lt;&gt;",$E$4))),IFERROR(('Final Calculation Sheet'!$D$29)&amp;"","")&lt;&gt;""),AND(TRIM($E$4)="",IFERROR(('Final Calculation Sheet'!$D$29)&amp;"","")=""))))</f>
        <v/>
      </c>
      <c r="BR30">
        <f>IF($F$4="",1,--(OR(SUMPRODUCT(--(TRIM(MID(SUBSTITUTE(SUBSTITUTE($F$4,"/",","),",",REPT(" ",99)),(ROW($1:$8)-1)*99+1,99))&lt;&gt;""),--ISNUMBER(SEARCH(TRIM(MID(SUBSTITUTE(SUBSTITUTE($F$4,"/",","),",",REPT(" ",99)),(ROW($1:$8)-1)*99+1,99)),IFERROR(('Final Calculation Sheet'!$A$29)&amp;"",""))))&gt;0,AND(ISNUMBER(SEARCH("blank",$F$4)),NOT(ISNUMBER(SEARCH("nonblank",$F$4))),IFERROR(('Final Calculation Sheet'!$A$29)&amp;"","")=""),AND(OR(ISNUMBER(SEARCH("nonblank",$F$4)),ISNUMBER(SEARCH("&lt;&gt;",$F$4))),IFERROR(('Final Calculation Sheet'!$A$29)&amp;"","")&lt;&gt;""),AND(TRIM($F$4)="",IFERROR(('Final Calculation Sheet'!$A$29)&amp;"","")=""))))</f>
        <v/>
      </c>
      <c r="BS30">
        <f>IF($G$4="",1,--(OR(SUMPRODUCT(--(TRIM(MID(SUBSTITUTE(SUBSTITUTE($G$4,"/",","),",",REPT(" ",99)),(ROW($1:$8)-1)*99+1,99))&lt;&gt;""),--ISNUMBER(SEARCH(TRIM(MID(SUBSTITUTE(SUBSTITUTE($G$4,"/",","),",",REPT(" ",99)),(ROW($1:$8)-1)*99+1,99)),IFERROR(('Final Calculation Sheet'!$E$29)&amp;"",""))))&gt;0,AND(ISNUMBER(SEARCH("blank",$G$4)),NOT(ISNUMBER(SEARCH("nonblank",$G$4))),IFERROR(('Final Calculation Sheet'!$E$29)&amp;"","")=""),AND(OR(ISNUMBER(SEARCH("nonblank",$G$4)),ISNUMBER(SEARCH("&lt;&gt;",$G$4))),IFERROR(('Final Calculation Sheet'!$E$29)&amp;"","")&lt;&gt;""),AND(TRIM($G$4)="",IFERROR(('Final Calculation Sheet'!$E$29)&amp;"","")=""))))</f>
        <v/>
      </c>
      <c r="BT30">
        <f>IF($H$4="",1,--(OR(SUMPRODUCT(--(TRIM(MID(SUBSTITUTE(SUBSTITUTE($H$4,"/",","),",",REPT(" ",99)),(ROW($1:$8)-1)*99+1,99))&lt;&gt;""),--ISNUMBER(SEARCH(TRIM(MID(SUBSTITUTE(SUBSTITUTE($H$4,"/",","),",",REPT(" ",99)),(ROW($1:$8)-1)*99+1,99)),IFERROR(('Final Calculation Sheet'!$C$29)&amp;"",""))))&gt;0,AND(ISNUMBER(SEARCH("blank",$H$4)),NOT(ISNUMBER(SEARCH("nonblank",$H$4))),IFERROR(('Final Calculation Sheet'!$C$29)&amp;"","")=""),AND(OR(ISNUMBER(SEARCH("nonblank",$H$4)),ISNUMBER(SEARCH("&lt;&gt;",$H$4))),IFERROR(('Final Calculation Sheet'!$C$29)&amp;"","")&lt;&gt;""),AND(TRIM($H$4)="",IFERROR(('Final Calculation Sheet'!$C$29)&amp;"","")=""))))</f>
        <v/>
      </c>
      <c r="BU30">
        <f>IF($I$4="",1,--(OR(SUMPRODUCT(--(TRIM(MID(SUBSTITUTE(SUBSTITUTE($I$4,"/",","),",",REPT(" ",99)),(ROW($1:$8)-1)*99+1,99))&lt;&gt;""),--ISNUMBER(SEARCH(TRIM(MID(SUBSTITUTE(SUBSTITUTE($I$4,"/",","),",",REPT(" ",99)),(ROW($1:$8)-1)*99+1,99)),IFERROR(('Final Calculation Sheet'!$H$29)&amp;"",""))))&gt;0,AND(ISNUMBER(SEARCH("blank",$I$4)),NOT(ISNUMBER(SEARCH("nonblank",$I$4))),IFERROR(('Final Calculation Sheet'!$H$29)&amp;"","")=""),AND(OR(ISNUMBER(SEARCH("nonblank",$I$4)),ISNUMBER(SEARCH("&lt;&gt;",$I$4))),IFERROR(('Final Calculation Sheet'!$H$29)&amp;"","")&lt;&gt;""),AND(TRIM($I$4)="",IFERROR(('Final Calculation Sheet'!$H$29)&amp;"","")=""))))</f>
        <v/>
      </c>
      <c r="BV30">
        <f>IF($J$4="",1,--(OR(SUMPRODUCT(--(TRIM(MID(SUBSTITUTE(SUBSTITUTE($J$4,"/",","),",",REPT(" ",99)),(ROW($1:$8)-1)*99+1,99))&lt;&gt;""),--ISNUMBER(SEARCH(TRIM(MID(SUBSTITUTE(SUBSTITUTE($J$4,"/",","),",",REPT(" ",99)),(ROW($1:$8)-1)*99+1,99)),IFERROR(('Final Calculation Sheet'!$I$29)&amp;"",""))))&gt;0,AND(ISNUMBER(SEARCH("blank",$J$4)),NOT(ISNUMBER(SEARCH("nonblank",$J$4))),IFERROR(('Final Calculation Sheet'!$I$29)&amp;"","")=""),AND(OR(ISNUMBER(SEARCH("nonblank",$J$4)),ISNUMBER(SEARCH("&lt;&gt;",$J$4))),IFERROR(('Final Calculation Sheet'!$I$29)&amp;"","")&lt;&gt;""),AND(TRIM($J$4)="",IFERROR(('Final Calculation Sheet'!$I$29)&amp;"","")=""))))</f>
        <v/>
      </c>
      <c r="BW30">
        <f>IF($K$4="",1,--(OR(SUMPRODUCT(--(TRIM(MID(SUBSTITUTE(SUBSTITUTE($K$4,"/",","),",",REPT(" ",99)),(ROW($1:$8)-1)*99+1,99))&lt;&gt;""),--ISNUMBER(SEARCH(TRIM(MID(SUBSTITUTE(SUBSTITUTE($K$4,"/",","),",",REPT(" ",99)),(ROW($1:$8)-1)*99+1,99)),IFERROR(('Final Calculation Sheet'!$J$29)&amp;"",""))))&gt;0,AND(ISNUMBER(SEARCH("blank",$K$4)),NOT(ISNUMBER(SEARCH("nonblank",$K$4))),IFERROR(('Final Calculation Sheet'!$J$29)&amp;"","")=""),AND(OR(ISNUMBER(SEARCH("nonblank",$K$4)),ISNUMBER(SEARCH("&lt;&gt;",$K$4))),IFERROR(('Final Calculation Sheet'!$J$29)&amp;"","")&lt;&gt;""),AND(TRIM($K$4)="",IFERROR(('Final Calculation Sheet'!$J$29)&amp;"","")=""))))</f>
        <v/>
      </c>
      <c r="BX30">
        <f>IF($L$4="",1,--(OR(SUMPRODUCT(--(TRIM(MID(SUBSTITUTE(SUBSTITUTE($L$4,"/",","),",",REPT(" ",99)),(ROW($1:$8)-1)*99+1,99))&lt;&gt;""),--ISNUMBER(SEARCH(TRIM(MID(SUBSTITUTE(SUBSTITUTE($L$4,"/",","),",",REPT(" ",99)),(ROW($1:$8)-1)*99+1,99)),IFERROR(('Final Calculation Sheet'!$K$29)&amp;"",""))))&gt;0,AND(ISNUMBER(SEARCH("blank",$L$4)),NOT(ISNUMBER(SEARCH("nonblank",$L$4))),IFERROR(('Final Calculation Sheet'!$K$29)&amp;"","")=""),AND(OR(ISNUMBER(SEARCH("nonblank",$L$4)),ISNUMBER(SEARCH("&lt;&gt;",$L$4))),IFERROR(('Final Calculation Sheet'!$K$29)&amp;"","")&lt;&gt;""),AND(TRIM($L$4)="",IFERROR(('Final Calculation Sheet'!$K$29)&amp;"","")=""))))</f>
        <v/>
      </c>
      <c r="BY30">
        <f>IF($M$4="",1,--(OR(SUMPRODUCT(--(TRIM(MID(SUBSTITUTE(SUBSTITUTE($M$4,"/",","),",",REPT(" ",99)),(ROW($1:$8)-1)*99+1,99))&lt;&gt;""),--ISNUMBER(SEARCH(TRIM(MID(SUBSTITUTE(SUBSTITUTE($M$4,"/",","),",",REPT(" ",99)),(ROW($1:$8)-1)*99+1,99)),IFERROR(('Final Calculation Sheet'!$L$29)&amp;"",""))))&gt;0,AND(ISNUMBER(SEARCH("blank",$M$4)),NOT(ISNUMBER(SEARCH("nonblank",$M$4))),IFERROR(('Final Calculation Sheet'!$L$29)&amp;"","")=""),AND(OR(ISNUMBER(SEARCH("nonblank",$M$4)),ISNUMBER(SEARCH("&lt;&gt;",$M$4))),IFERROR(('Final Calculation Sheet'!$L$29)&amp;"","")&lt;&gt;""),AND(TRIM($M$4)="",IFERROR(('Final Calculation Sheet'!$L$29)&amp;"","")=""))))</f>
        <v/>
      </c>
      <c r="BZ30">
        <f>IF($N$4="",1,--(OR(SUMPRODUCT(--(TRIM(MID(SUBSTITUTE(SUBSTITUTE($N$4,"/",","),",",REPT(" ",99)),(ROW($1:$8)-1)*99+1,99))&lt;&gt;""),--ISNUMBER(SEARCH(TRIM(MID(SUBSTITUTE(SUBSTITUTE($N$4,"/",","),",",REPT(" ",99)),(ROW($1:$8)-1)*99+1,99)),IFERROR(('Final Calculation Sheet'!$M$29)&amp;"",""))))&gt;0,AND(ISNUMBER(SEARCH("blank",$N$4)),NOT(ISNUMBER(SEARCH("nonblank",$N$4))),IFERROR(('Final Calculation Sheet'!$M$29)&amp;"","")=""),AND(OR(ISNUMBER(SEARCH("nonblank",$N$4)),ISNUMBER(SEARCH("&lt;&gt;",$N$4))),IFERROR(('Final Calculation Sheet'!$M$29)&amp;"","")&lt;&gt;""),AND(TRIM($N$4)="",IFERROR(('Final Calculation Sheet'!$M$29)&amp;"","")=""))))</f>
        <v/>
      </c>
      <c r="CA30">
        <f>IF($O$4="",1,--(OR(SUMPRODUCT(--(TRIM(MID(SUBSTITUTE(SUBSTITUTE($O$4,"/",","),",",REPT(" ",99)),(ROW($1:$8)-1)*99+1,99))&lt;&gt;""),--ISNUMBER(SEARCH(TRIM(MID(SUBSTITUTE(SUBSTITUTE($O$4,"/",","),",",REPT(" ",99)),(ROW($1:$8)-1)*99+1,99)),IFERROR(('Final Calculation Sheet'!$N$29)&amp;"",""))))&gt;0,AND(ISNUMBER(SEARCH("blank",$O$4)),NOT(ISNUMBER(SEARCH("nonblank",$O$4))),IFERROR(('Final Calculation Sheet'!$N$29)&amp;"","")=""),AND(OR(ISNUMBER(SEARCH("nonblank",$O$4)),ISNUMBER(SEARCH("&lt;&gt;",$O$4))),IFERROR(('Final Calculation Sheet'!$N$29)&amp;"","")&lt;&gt;""),AND(TRIM($O$4)="",IFERROR(('Final Calculation Sheet'!$N$29)&amp;"","")=""))))</f>
        <v/>
      </c>
      <c r="CB30">
        <f>IF($P$4="",1,--(OR(SUMPRODUCT(--(TRIM(MID(SUBSTITUTE(SUBSTITUTE($P$4,"/",","),",",REPT(" ",99)),(ROW($1:$8)-1)*99+1,99))&lt;&gt;""),--ISNUMBER(SEARCH(TRIM(MID(SUBSTITUTE(SUBSTITUTE($P$4,"/",","),",",REPT(" ",99)),(ROW($1:$8)-1)*99+1,99)),IFERROR(('Final Calculation Sheet'!$O$29)&amp;"",""))))&gt;0,AND(ISNUMBER(SEARCH("blank",$P$4)),NOT(ISNUMBER(SEARCH("nonblank",$P$4))),IFERROR(('Final Calculation Sheet'!$O$29)&amp;"","")=""),AND(OR(ISNUMBER(SEARCH("nonblank",$P$4)),ISNUMBER(SEARCH("&lt;&gt;",$P$4))),IFERROR(('Final Calculation Sheet'!$O$29)&amp;"","")&lt;&gt;""),AND(TRIM($P$4)="",IFERROR(('Final Calculation Sheet'!$O$29)&amp;"","")=""))))</f>
        <v/>
      </c>
      <c r="CC30">
        <f>IF($Q$4="",1,--(OR(SUMPRODUCT(--(TRIM(MID(SUBSTITUTE(SUBSTITUTE($Q$4,"/",","),",",REPT(" ",99)),(ROW($1:$8)-1)*99+1,99))&lt;&gt;""),--ISNUMBER(SEARCH(TRIM(MID(SUBSTITUTE(SUBSTITUTE($Q$4,"/",","),",",REPT(" ",99)),(ROW($1:$8)-1)*99+1,99)),IFERROR(('Final Calculation Sheet'!$P$29)&amp;"",""))))&gt;0,AND(ISNUMBER(SEARCH("blank",$Q$4)),NOT(ISNUMBER(SEARCH("nonblank",$Q$4))),IFERROR(('Final Calculation Sheet'!$P$29)&amp;"","")=""),AND(OR(ISNUMBER(SEARCH("nonblank",$Q$4)),ISNUMBER(SEARCH("&lt;&gt;",$Q$4))),IFERROR(('Final Calculation Sheet'!$P$29)&amp;"","")&lt;&gt;""),AND(TRIM($Q$4)="",IFERROR(('Final Calculation Sheet'!$P$29)&amp;"","")=""))))</f>
        <v/>
      </c>
      <c r="CD30">
        <f>IF($R$4="",1,--(OR(SUMPRODUCT(--(TRIM(MID(SUBSTITUTE(SUBSTITUTE($R$4,"/",","),",",REPT(" ",99)),(ROW($1:$8)-1)*99+1,99))&lt;&gt;""),--ISNUMBER(SEARCH(TRIM(MID(SUBSTITUTE(SUBSTITUTE($R$4,"/",","),",",REPT(" ",99)),(ROW($1:$8)-1)*99+1,99)),IFERROR(('Final Calculation Sheet'!$Q$29)&amp;"",""))))&gt;0,AND(ISNUMBER(SEARCH("blank",$R$4)),NOT(ISNUMBER(SEARCH("nonblank",$R$4))),IFERROR(('Final Calculation Sheet'!$Q$29)&amp;"","")=""),AND(OR(ISNUMBER(SEARCH("nonblank",$R$4)),ISNUMBER(SEARCH("&lt;&gt;",$R$4))),IFERROR(('Final Calculation Sheet'!$Q$29)&amp;"","")&lt;&gt;""),AND(TRIM($R$4)="",IFERROR(('Final Calculation Sheet'!$Q$29)&amp;"","")=""))))</f>
        <v/>
      </c>
      <c r="CE30">
        <f>IF($S$4="",1,--(OR(SUMPRODUCT(--(TRIM(MID(SUBSTITUTE(SUBSTITUTE($S$4,"/",","),",",REPT(" ",99)),(ROW($1:$8)-1)*99+1,99))&lt;&gt;""),--ISNUMBER(SEARCH(TRIM(MID(SUBSTITUTE(SUBSTITUTE($S$4,"/",","),",",REPT(" ",99)),(ROW($1:$8)-1)*99+1,99)),IFERROR(('Final Calculation Sheet'!$R$29)&amp;"",""))))&gt;0,AND(ISNUMBER(SEARCH("blank",$S$4)),NOT(ISNUMBER(SEARCH("nonblank",$S$4))),IFERROR(('Final Calculation Sheet'!$R$29)&amp;"","")=""),AND(OR(ISNUMBER(SEARCH("nonblank",$S$4)),ISNUMBER(SEARCH("&lt;&gt;",$S$4))),IFERROR(('Final Calculation Sheet'!$R$29)&amp;"","")&lt;&gt;""),AND(TRIM($S$4)="",IFERROR(('Final Calculation Sheet'!$R$29)&amp;"","")=""))))</f>
        <v/>
      </c>
      <c r="CF30">
        <f>IF($T$4="",1,--(OR(SUMPRODUCT(--(TRIM(MID(SUBSTITUTE(SUBSTITUTE($T$4,"/",","),",",REPT(" ",99)),(ROW($1:$8)-1)*99+1,99))&lt;&gt;""),--ISNUMBER(SEARCH(TRIM(MID(SUBSTITUTE(SUBSTITUTE($T$4,"/",","),",",REPT(" ",99)),(ROW($1:$8)-1)*99+1,99)),IFERROR(('Final Calculation Sheet'!$S$29)&amp;"",""))))&gt;0,AND(ISNUMBER(SEARCH("blank",$T$4)),NOT(ISNUMBER(SEARCH("nonblank",$T$4))),IFERROR(('Final Calculation Sheet'!$S$29)&amp;"","")=""),AND(OR(ISNUMBER(SEARCH("nonblank",$T$4)),ISNUMBER(SEARCH("&lt;&gt;",$T$4))),IFERROR(('Final Calculation Sheet'!$S$29)&amp;"","")&lt;&gt;""),AND(TRIM($T$4)="",IFERROR(('Final Calculation Sheet'!$S$29)&amp;"","")=""))))</f>
        <v/>
      </c>
      <c r="CG30">
        <f>IF($U$4="",1,--(OR(SUMPRODUCT(--(TRIM(MID(SUBSTITUTE(SUBSTITUTE($U$4,"/",","),",",REPT(" ",99)),(ROW($1:$8)-1)*99+1,99))&lt;&gt;""),--ISNUMBER(SEARCH(TRIM(MID(SUBSTITUTE(SUBSTITUTE($U$4,"/",","),",",REPT(" ",99)),(ROW($1:$8)-1)*99+1,99)),IFERROR(('Final Calculation Sheet'!$T$29)&amp;"",""))))&gt;0,AND(ISNUMBER(SEARCH("blank",$U$4)),NOT(ISNUMBER(SEARCH("nonblank",$U$4))),IFERROR(('Final Calculation Sheet'!$T$29)&amp;"","")=""),AND(OR(ISNUMBER(SEARCH("nonblank",$U$4)),ISNUMBER(SEARCH("&lt;&gt;",$U$4))),IFERROR(('Final Calculation Sheet'!$T$29)&amp;"","")&lt;&gt;""),AND(TRIM($U$4)="",IFERROR(('Final Calculation Sheet'!$T$29)&amp;"","")=""))))</f>
        <v/>
      </c>
      <c r="CH30">
        <f>IF($V$4="",1,--(OR(SUMPRODUCT(--(TRIM(MID(SUBSTITUTE(SUBSTITUTE($V$4,"/",","),",",REPT(" ",99)),(ROW($1:$8)-1)*99+1,99))&lt;&gt;""),--ISNUMBER(SEARCH(TRIM(MID(SUBSTITUTE(SUBSTITUTE($V$4,"/",","),",",REPT(" ",99)),(ROW($1:$8)-1)*99+1,99)),IFERROR(('Final Calculation Sheet'!$U$29)&amp;"",""))))&gt;0,AND(ISNUMBER(SEARCH("blank",$V$4)),NOT(ISNUMBER(SEARCH("nonblank",$V$4))),IFERROR(('Final Calculation Sheet'!$U$29)&amp;"","")=""),AND(OR(ISNUMBER(SEARCH("nonblank",$V$4)),ISNUMBER(SEARCH("&lt;&gt;",$V$4))),IFERROR(('Final Calculation Sheet'!$U$29)&amp;"","")&lt;&gt;""),AND(TRIM($V$4)="",IFERROR(('Final Calculation Sheet'!$U$29)&amp;"","")=""))))</f>
        <v/>
      </c>
      <c r="CI30">
        <f>IF($W$4="",1,--(OR(SUMPRODUCT(--(TRIM(MID(SUBSTITUTE(SUBSTITUTE($W$4,"/",","),",",REPT(" ",99)),(ROW($1:$8)-1)*99+1,99))&lt;&gt;""),--ISNUMBER(SEARCH(TRIM(MID(SUBSTITUTE(SUBSTITUTE($W$4,"/",","),",",REPT(" ",99)),(ROW($1:$8)-1)*99+1,99)),IFERROR(('Final Calculation Sheet'!$V$29)&amp;"",""))))&gt;0,AND(ISNUMBER(SEARCH("blank",$W$4)),NOT(ISNUMBER(SEARCH("nonblank",$W$4))),IFERROR(('Final Calculation Sheet'!$V$29)&amp;"","")=""),AND(OR(ISNUMBER(SEARCH("nonblank",$W$4)),ISNUMBER(SEARCH("&lt;&gt;",$W$4))),IFERROR(('Final Calculation Sheet'!$V$29)&amp;"","")&lt;&gt;""),AND(TRIM($W$4)="",IFERROR(('Final Calculation Sheet'!$V$29)&amp;"","")=""))))</f>
        <v/>
      </c>
      <c r="CJ30">
        <f>IF($X$4="",1,--(OR(SUMPRODUCT(--(TRIM(MID(SUBSTITUTE(SUBSTITUTE($X$4,"/",","),",",REPT(" ",99)),(ROW($1:$8)-1)*99+1,99))&lt;&gt;""),--ISNUMBER(SEARCH(TRIM(MID(SUBSTITUTE(SUBSTITUTE($X$4,"/",","),",",REPT(" ",99)),(ROW($1:$8)-1)*99+1,99)),IFERROR(('Final Calculation Sheet'!$W$29)&amp;"",""))))&gt;0,AND(ISNUMBER(SEARCH("blank",$X$4)),NOT(ISNUMBER(SEARCH("nonblank",$X$4))),IFERROR(('Final Calculation Sheet'!$W$29)&amp;"","")=""),AND(OR(ISNUMBER(SEARCH("nonblank",$X$4)),ISNUMBER(SEARCH("&lt;&gt;",$X$4))),IFERROR(('Final Calculation Sheet'!$W$29)&amp;"","")&lt;&gt;""),AND(TRIM($X$4)="",IFERROR(('Final Calculation Sheet'!$W$29)&amp;"","")=""))))</f>
        <v/>
      </c>
      <c r="CK30">
        <f>IF($Y$4="",1,--(OR(SUMPRODUCT(--(TRIM(MID(SUBSTITUTE(SUBSTITUTE($Y$4,"/",","),",",REPT(" ",99)),(ROW($1:$8)-1)*99+1,99))&lt;&gt;""),--ISNUMBER(SEARCH(TRIM(MID(SUBSTITUTE(SUBSTITUTE($Y$4,"/",","),",",REPT(" ",99)),(ROW($1:$8)-1)*99+1,99)),IFERROR(('Final Calculation Sheet'!$X$29)&amp;"",""))))&gt;0,AND(ISNUMBER(SEARCH("blank",$Y$4)),NOT(ISNUMBER(SEARCH("nonblank",$Y$4))),IFERROR(('Final Calculation Sheet'!$X$29)&amp;"","")=""),AND(OR(ISNUMBER(SEARCH("nonblank",$Y$4)),ISNUMBER(SEARCH("&lt;&gt;",$Y$4))),IFERROR(('Final Calculation Sheet'!$X$29)&amp;"","")&lt;&gt;""),AND(TRIM($Y$4)="",IFERROR(('Final Calculation Sheet'!$X$29)&amp;"","")=""))))</f>
        <v/>
      </c>
      <c r="CL30">
        <f>IF($Z$4="",1,--(OR(SUMPRODUCT(--(TRIM(MID(SUBSTITUTE(SUBSTITUTE($Z$4,"/",","),",",REPT(" ",99)),(ROW($1:$8)-1)*99+1,99))&lt;&gt;""),--ISNUMBER(SEARCH(TRIM(MID(SUBSTITUTE(SUBSTITUTE($Z$4,"/",","),",",REPT(" ",99)),(ROW($1:$8)-1)*99+1,99)),IFERROR(('Final Calculation Sheet'!$Y$29)&amp;"",""))))&gt;0,AND(ISNUMBER(SEARCH("blank",$Z$4)),NOT(ISNUMBER(SEARCH("nonblank",$Z$4))),IFERROR(('Final Calculation Sheet'!$Y$29)&amp;"","")=""),AND(OR(ISNUMBER(SEARCH("nonblank",$Z$4)),ISNUMBER(SEARCH("&lt;&gt;",$Z$4))),IFERROR(('Final Calculation Sheet'!$Y$29)&amp;"","")&lt;&gt;""),AND(TRIM($Z$4)="",IFERROR(('Final Calculation Sheet'!$Y$29)&amp;"","")=""))))</f>
        <v/>
      </c>
      <c r="CM30">
        <f>IF($AA$4="",1,--(OR(SUMPRODUCT(--(TRIM(MID(SUBSTITUTE(SUBSTITUTE($AA$4,"/",","),",",REPT(" ",99)),(ROW($1:$8)-1)*99+1,99))&lt;&gt;""),--ISNUMBER(SEARCH(TRIM(MID(SUBSTITUTE(SUBSTITUTE($AA$4,"/",","),",",REPT(" ",99)),(ROW($1:$8)-1)*99+1,99)),IFERROR(('Final Calculation Sheet'!$Z$29)&amp;"",""))))&gt;0,AND(ISNUMBER(SEARCH("blank",$AA$4)),NOT(ISNUMBER(SEARCH("nonblank",$AA$4))),IFERROR(('Final Calculation Sheet'!$Z$29)&amp;"","")=""),AND(OR(ISNUMBER(SEARCH("nonblank",$AA$4)),ISNUMBER(SEARCH("&lt;&gt;",$AA$4))),IFERROR(('Final Calculation Sheet'!$Z$29)&amp;"","")&lt;&gt;""),AND(TRIM($AA$4)="",IFERROR(('Final Calculation Sheet'!$Z$29)&amp;"","")=""))))</f>
        <v/>
      </c>
      <c r="CN30">
        <f>IF($AB$4="",1,--(OR(SUMPRODUCT(--(TRIM(MID(SUBSTITUTE(SUBSTITUTE($AB$4,"/",","),",",REPT(" ",99)),(ROW($1:$8)-1)*99+1,99))&lt;&gt;""),--ISNUMBER(SEARCH(TRIM(MID(SUBSTITUTE(SUBSTITUTE($AB$4,"/",","),",",REPT(" ",99)),(ROW($1:$8)-1)*99+1,99)),IFERROR(('Final Calculation Sheet'!$AA$29)&amp;"",""))))&gt;0,AND(ISNUMBER(SEARCH("blank",$AB$4)),NOT(ISNUMBER(SEARCH("nonblank",$AB$4))),IFERROR(('Final Calculation Sheet'!$AA$29)&amp;"","")=""),AND(OR(ISNUMBER(SEARCH("nonblank",$AB$4)),ISNUMBER(SEARCH("&lt;&gt;",$AB$4))),IFERROR(('Final Calculation Sheet'!$AA$29)&amp;"","")&lt;&gt;""),AND(TRIM($AB$4)="",IFERROR(('Final Calculation Sheet'!$AA$29)&amp;"","")=""))))</f>
        <v/>
      </c>
      <c r="CO30">
        <f>IF($AC$4="",1,--(OR(SUMPRODUCT(--(TRIM(MID(SUBSTITUTE(SUBSTITUTE($AC$4,"/",","),",",REPT(" ",99)),(ROW($1:$8)-1)*99+1,99))&lt;&gt;""),--ISNUMBER(SEARCH(TRIM(MID(SUBSTITUTE(SUBSTITUTE($AC$4,"/",","),",",REPT(" ",99)),(ROW($1:$8)-1)*99+1,99)),IFERROR(('Final Calculation Sheet'!$AB$29)&amp;"",""))))&gt;0,AND(ISNUMBER(SEARCH("blank",$AC$4)),NOT(ISNUMBER(SEARCH("nonblank",$AC$4))),IFERROR(('Final Calculation Sheet'!$AB$29)&amp;"","")=""),AND(OR(ISNUMBER(SEARCH("nonblank",$AC$4)),ISNUMBER(SEARCH("&lt;&gt;",$AC$4))),IFERROR(('Final Calculation Sheet'!$AB$29)&amp;"","")&lt;&gt;""),AND(TRIM($AC$4)="",IFERROR(('Final Calculation Sheet'!$AB$29)&amp;"","")=""))))</f>
        <v/>
      </c>
      <c r="CP30">
        <f>IF($AD$4="",1,--(OR(SUMPRODUCT(--(TRIM(MID(SUBSTITUTE(SUBSTITUTE($AD$4,"/",","),",",REPT(" ",99)),(ROW($1:$8)-1)*99+1,99))&lt;&gt;""),--ISNUMBER(SEARCH(TRIM(MID(SUBSTITUTE(SUBSTITUTE($AD$4,"/",","),",",REPT(" ",99)),(ROW($1:$8)-1)*99+1,99)),IFERROR(('Final Calculation Sheet'!$AC$29)&amp;"",""))))&gt;0,AND(ISNUMBER(SEARCH("blank",$AD$4)),NOT(ISNUMBER(SEARCH("nonblank",$AD$4))),IFERROR(('Final Calculation Sheet'!$AC$29)&amp;"","")=""),AND(OR(ISNUMBER(SEARCH("nonblank",$AD$4)),ISNUMBER(SEARCH("&lt;&gt;",$AD$4))),IFERROR(('Final Calculation Sheet'!$AC$29)&amp;"","")&lt;&gt;""),AND(TRIM($AD$4)="",IFERROR(('Final Calculation Sheet'!$AC$29)&amp;"","")=""))))</f>
        <v/>
      </c>
      <c r="CQ30">
        <f>IF($AE$4="",1,--(OR(SUMPRODUCT(--(TRIM(MID(SUBSTITUTE(SUBSTITUTE($AE$4,"/",","),",",REPT(" ",99)),(ROW($1:$8)-1)*99+1,99))&lt;&gt;""),--ISNUMBER(SEARCH(TRIM(MID(SUBSTITUTE(SUBSTITUTE($AE$4,"/",","),",",REPT(" ",99)),(ROW($1:$8)-1)*99+1,99)),IFERROR(('Final Calculation Sheet'!$AD$29)&amp;"",""))))&gt;0,AND(ISNUMBER(SEARCH("blank",$AE$4)),NOT(ISNUMBER(SEARCH("nonblank",$AE$4))),IFERROR(('Final Calculation Sheet'!$AD$29)&amp;"","")=""),AND(OR(ISNUMBER(SEARCH("nonblank",$AE$4)),ISNUMBER(SEARCH("&lt;&gt;",$AE$4))),IFERROR(('Final Calculation Sheet'!$AD$29)&amp;"","")&lt;&gt;""),AND(TRIM($AE$4)="",IFERROR(('Final Calculation Sheet'!$AD$29)&amp;"","")=""))))</f>
        <v/>
      </c>
      <c r="CR30">
        <f>IF($AG$4="",1,--(OR(SUMPRODUCT(--(TRIM(MID(SUBSTITUTE(SUBSTITUTE($AG$4,"/",","),",",REPT(" ",99)),(ROW($1:$8)-1)*99+1,99))&lt;&gt;""),--ISNUMBER(SEARCH(TRIM(MID(SUBSTITUTE(SUBSTITUTE($AG$4,"/",","),",",REPT(" ",99)),(ROW($1:$8)-1)*99+1,99)),IFERROR(('Final Calculation Sheet'!$AF$29)&amp;"",""))))&gt;0,AND(ISNUMBER(SEARCH("blank",$AG$4)),NOT(ISNUMBER(SEARCH("nonblank",$AG$4))),IFERROR(('Final Calculation Sheet'!$AF$29)&amp;"","")=""),AND(OR(ISNUMBER(SEARCH("nonblank",$AG$4)),ISNUMBER(SEARCH("&lt;&gt;",$AG$4))),IFERROR(('Final Calculation Sheet'!$AF$29)&amp;"","")&lt;&gt;""),AND(TRIM($AG$4)="",IFERROR(('Final Calculation Sheet'!$AF$29)&amp;"","")=""))))</f>
        <v/>
      </c>
      <c r="CS30">
        <f>IF($AH$4="",1,--(OR(SUMPRODUCT(--(TRIM(MID(SUBSTITUTE(SUBSTITUTE($AH$4,"/",","),",",REPT(" ",99)),(ROW($1:$8)-1)*99+1,99))&lt;&gt;""),--ISNUMBER(SEARCH(TRIM(MID(SUBSTITUTE(SUBSTITUTE($AH$4,"/",","),",",REPT(" ",99)),(ROW($1:$8)-1)*99+1,99)),IFERROR(('Final Calculation Sheet'!$AG$29)&amp;"",""))))&gt;0,AND(ISNUMBER(SEARCH("blank",$AH$4)),NOT(ISNUMBER(SEARCH("nonblank",$AH$4))),IFERROR(('Final Calculation Sheet'!$AG$29)&amp;"","")=""),AND(OR(ISNUMBER(SEARCH("nonblank",$AH$4)),ISNUMBER(SEARCH("&lt;&gt;",$AH$4))),IFERROR(('Final Calculation Sheet'!$AG$29)&amp;"","")&lt;&gt;""),AND(TRIM($AH$4)="",IFERROR(('Final Calculation Sheet'!$AG$29)&amp;"","")=""))))</f>
        <v/>
      </c>
      <c r="CT30">
        <f>IF($AI$4="",1,--(OR(SUMPRODUCT(--(TRIM(MID(SUBSTITUTE(SUBSTITUTE($AI$4,"/",","),",",REPT(" ",99)),(ROW($1:$8)-1)*99+1,99))&lt;&gt;""),--ISNUMBER(SEARCH(TRIM(MID(SUBSTITUTE(SUBSTITUTE($AI$4,"/",","),",",REPT(" ",99)),(ROW($1:$8)-1)*99+1,99)),IFERROR(('Final Calculation Sheet'!$AH$29)&amp;"",""))))&gt;0,AND(ISNUMBER(SEARCH("blank",$AI$4)),NOT(ISNUMBER(SEARCH("nonblank",$AI$4))),IFERROR(('Final Calculation Sheet'!$AH$29)&amp;"","")=""),AND(OR(ISNUMBER(SEARCH("nonblank",$AI$4)),ISNUMBER(SEARCH("&lt;&gt;",$AI$4))),IFERROR(('Final Calculation Sheet'!$AH$29)&amp;"","")&lt;&gt;""),AND(TRIM($AI$4)="",IFERROR(('Final Calculation Sheet'!$AH$29)&amp;"","")=""))))</f>
        <v/>
      </c>
      <c r="CU30">
        <f>IF($AF$4="",1,--(OR(SUMPRODUCT(--(TRIM(MID(SUBSTITUTE(SUBSTITUTE($AF$4,"/",","),",",REPT(" ",99)),(ROW($1:$8)-1)*99+1,99))&lt;&gt;""),--ISNUMBER(SEARCH(TRIM(MID(SUBSTITUTE(SUBSTITUTE($AF$4,"/",","),",",REPT(" ",99)),(ROW($1:$8)-1)*99+1,99)),IFERROR((IF('Final Calculation Sheet'!$AD$29&lt;=5,"SETTLED","OUTSTANDING"))&amp;"",""))))&gt;0,AND(ISNUMBER(SEARCH("blank",$AF$4)),NOT(ISNUMBER(SEARCH("nonblank",$AF$4))),IFERROR((IF('Final Calculation Sheet'!$AD$29&lt;=5,"SETTLED","OUTSTANDING"))&amp;"","")=""),AND(OR(ISNUMBER(SEARCH("nonblank",$AF$4)),ISNUMBER(SEARCH("&lt;&gt;",$AF$4))),IFERROR((IF('Final Calculation Sheet'!$AD$29&lt;=5,"SETTLED","OUTSTANDING"))&amp;"","")&lt;&gt;""),AND(TRIM($AF$4)="",IFERROR((IF('Final Calculation Sheet'!$AD$29&lt;=5,"SETTLED","OUTSTANDING"))&amp;"","")=""))))</f>
        <v/>
      </c>
    </row>
    <row r="31" ht="15" customHeight="1" s="137">
      <c r="A31" s="67">
        <f>IF($BJ30&gt;0,INDEX($BA$5:$BA$41,MATCH(30,$BB$5:$BB$41,0)),IF(OR($BI30=1,$BL30=1,$BH30&gt;0),"∑",""))</f>
        <v/>
      </c>
      <c r="B31" s="76">
        <f>IF($BJ30&gt;0,IF(INDEX('Final Calculation Sheet'!$F$4:$F$40,$BJ30-3)="","",INDEX('Final Calculation Sheet'!$F$4:$F$40,$BJ30-3)),"")</f>
        <v/>
      </c>
      <c r="C31" s="76">
        <f>IF($BJ30&gt;0,IF(INDEX('Final Calculation Sheet'!$G$4:$G$40,$BJ30-3)="","",INDEX('Final Calculation Sheet'!$G$4:$G$40,$BJ30-3)),IF(OR($BI30=1,$BL30=1,$BH30&gt;0),IF($BI30=1,37,IF($BL30=1,37-INDEX($BD$4:$BD$13,10),INDEX($BD$4:$BD$13,$BH30)))&amp;" lot(s)",""))</f>
        <v/>
      </c>
      <c r="D31" s="80">
        <f>IF($BJ30&gt;0,IF(INDEX('Final Calculation Sheet'!$B$4:$B$40,$BJ30-3)="","",INDEX('Final Calculation Sheet'!$B$4:$B$40,$BJ30-3)),IF(OR($BI30=1,$BL30=1,$BH30&gt;0),IF($BI30=1,"GRAND TOTAL  —  matching + remaining",IF($BL30=1,"TOTAL MATCHED  —  every group together",IF($BH30=10,"REMAINING  —  did not match the search",IF($BH30=9,IF(COUNTIF($A$4:$AI$4,"&lt;&gt;")&gt;0,"FILTERED LOTS  —  column fields","ALL LOTS  —  nothing typed in the box"),"GROUP "&amp;$BH30&amp;" TOTAL  —  lots matching  "&amp;INDEX($AR$6:$AY$6,$BH30))))),""))</f>
        <v/>
      </c>
      <c r="E31" s="80">
        <f>IF($BJ30&gt;0,IF(INDEX('Final Calculation Sheet'!$D$4:$D$40,$BJ30-3)="","",INDEX('Final Calculation Sheet'!$D$4:$D$40,$BJ30-3)),IF(OR($BI30=1,$BL30=1,$BH30&gt;0),"–",""))</f>
        <v/>
      </c>
      <c r="F31" s="80">
        <f>IF($BJ30&gt;0,IF(INDEX('Final Calculation Sheet'!$A$4:$A$40,$BJ30-3)="","",INDEX('Final Calculation Sheet'!$A$4:$A$40,$BJ30-3)),IF(OR($BI30=1,$BL30=1,$BH30&gt;0),IF($BI30=1,SUM('Final Calculation Sheet'!$A$4:$A$40),IF($BL30=1,SUM('Final Calculation Sheet'!$A$4:$A$40)-SUMIFS('Final Calculation Sheet'!$A$4:$A$40,$AZ$5:$AZ$41,10),SUMIFS('Final Calculation Sheet'!$A$4:$A$40,$AZ$5:$AZ$41,$BH30))),""))</f>
        <v/>
      </c>
      <c r="G31" s="80">
        <f>IF($BJ30&gt;0,IF(INDEX('Final Calculation Sheet'!$E$4:$E$40,$BJ30-3)="","",INDEX('Final Calculation Sheet'!$E$4:$E$40,$BJ30-3)),IF(OR($BI30=1,$BL30=1,$BH30&gt;0),"–",""))</f>
        <v/>
      </c>
      <c r="H31" s="70">
        <f>IF($BJ30&gt;0,IF(INDEX('Final Calculation Sheet'!$C$4:$C$40,$BJ30-3)="","",INDEX('Final Calculation Sheet'!$C$4:$C$40,$BJ30-3)),IF(OR($BI30=1,$BL30=1,$BH30&gt;0),"–",""))</f>
        <v/>
      </c>
      <c r="I31" s="70">
        <f>IF($BJ30&gt;0,IF(INDEX('Final Calculation Sheet'!$H$4:$H$40,$BJ30-3)="","",INDEX('Final Calculation Sheet'!$H$4:$H$40,$BJ30-3)),IF(OR($BI30=1,$BL30=1,$BH30&gt;0),IF($BI30=1,SUM('Final Calculation Sheet'!$H$4:$H$40),IF($BL30=1,SUM('Final Calculation Sheet'!$H$4:$H$40)-SUMIFS('Final Calculation Sheet'!$H$4:$H$40,$AZ$5:$AZ$41,10),SUMIFS('Final Calculation Sheet'!$H$4:$H$40,$AZ$5:$AZ$41,$BH30))),""))</f>
        <v/>
      </c>
      <c r="J31" s="70">
        <f>IF($BJ30&gt;0,IF(INDEX('Final Calculation Sheet'!$I$4:$I$40,$BJ30-3)="","",INDEX('Final Calculation Sheet'!$I$4:$I$40,$BJ30-3)),IF(OR($BI30=1,$BL30=1,$BH30&gt;0),IF($BI30=1,SUM('Final Calculation Sheet'!$I$4:$I$40),IF($BL30=1,SUM('Final Calculation Sheet'!$I$4:$I$40)-SUMIFS('Final Calculation Sheet'!$I$4:$I$40,$AZ$5:$AZ$41,10),SUMIFS('Final Calculation Sheet'!$I$4:$I$40,$AZ$5:$AZ$41,$BH30))),""))</f>
        <v/>
      </c>
      <c r="K31" s="70">
        <f>IF($BJ30&gt;0,IF(INDEX('Final Calculation Sheet'!$J$4:$J$40,$BJ30-3)="","",INDEX('Final Calculation Sheet'!$J$4:$J$40,$BJ30-3)),IF(OR($BI30=1,$BL30=1,$BH30&gt;0),IF($BI30=1,SUM('Final Calculation Sheet'!$J$4:$J$40),IF($BL30=1,SUM('Final Calculation Sheet'!$J$4:$J$40)-SUMIFS('Final Calculation Sheet'!$J$4:$J$40,$AZ$5:$AZ$41,10),SUMIFS('Final Calculation Sheet'!$J$4:$J$40,$AZ$5:$AZ$41,$BH30))),""))</f>
        <v/>
      </c>
      <c r="L31" s="70">
        <f>IF($BJ30&gt;0,IF(INDEX('Final Calculation Sheet'!$K$4:$K$40,$BJ30-3)="","",INDEX('Final Calculation Sheet'!$K$4:$K$40,$BJ30-3)),IF(OR($BI30=1,$BL30=1,$BH30&gt;0),IF($BI30=1,SUM('Final Calculation Sheet'!$K$4:$K$40),IF($BL30=1,SUM('Final Calculation Sheet'!$K$4:$K$40)-SUMIFS('Final Calculation Sheet'!$K$4:$K$40,$AZ$5:$AZ$41,10),SUMIFS('Final Calculation Sheet'!$K$4:$K$40,$AZ$5:$AZ$41,$BH30))),""))</f>
        <v/>
      </c>
      <c r="M31" s="70">
        <f>IF($BJ30&gt;0,IF(INDEX('Final Calculation Sheet'!$L$4:$L$40,$BJ30-3)="","",INDEX('Final Calculation Sheet'!$L$4:$L$40,$BJ30-3)),IF(OR($BI30=1,$BL30=1,$BH30&gt;0),IF($BI30=1,SUM('Final Calculation Sheet'!$L$4:$L$40),IF($BL30=1,SUM('Final Calculation Sheet'!$L$4:$L$40)-SUMIFS('Final Calculation Sheet'!$L$4:$L$40,$AZ$5:$AZ$41,10),SUMIFS('Final Calculation Sheet'!$L$4:$L$40,$AZ$5:$AZ$41,$BH30))),""))</f>
        <v/>
      </c>
      <c r="N31" s="70">
        <f>IF($BJ30&gt;0,IF(INDEX('Final Calculation Sheet'!$M$4:$M$40,$BJ30-3)="","",INDEX('Final Calculation Sheet'!$M$4:$M$40,$BJ30-3)),IF(OR($BI30=1,$BL30=1,$BH30&gt;0),IF($BI30=1,SUM('Final Calculation Sheet'!$M$4:$M$40),IF($BL30=1,SUM('Final Calculation Sheet'!$M$4:$M$40)-SUMIFS('Final Calculation Sheet'!$M$4:$M$40,$AZ$5:$AZ$41,10),SUMIFS('Final Calculation Sheet'!$M$4:$M$40,$AZ$5:$AZ$41,$BH30))),""))</f>
        <v/>
      </c>
      <c r="O31" s="71">
        <f>IF($BJ30&gt;0,IF(INDEX('Final Calculation Sheet'!$N$4:$N$40,$BJ30-3)="","",INDEX('Final Calculation Sheet'!$N$4:$N$40,$BJ30-3)),IF(OR($BI30=1,$BL30=1,$BH30&gt;0),IF($BI30=1,SUM('Final Calculation Sheet'!$N$4:$N$40),IF($BL30=1,SUM('Final Calculation Sheet'!$N$4:$N$40)-SUMIFS('Final Calculation Sheet'!$N$4:$N$40,$AZ$5:$AZ$41,10),SUMIFS('Final Calculation Sheet'!$N$4:$N$40,$AZ$5:$AZ$41,$BH30))),""))</f>
        <v/>
      </c>
      <c r="P31" s="70">
        <f>IF($BJ30&gt;0,IF(INDEX('Final Calculation Sheet'!$O$4:$O$40,$BJ30-3)="","",INDEX('Final Calculation Sheet'!$O$4:$O$40,$BJ30-3)),IF(OR($BI30=1,$BL30=1,$BH30&gt;0),IF($BI30=1,SUM('Final Calculation Sheet'!$O$4:$O$40),IF($BL30=1,SUM('Final Calculation Sheet'!$O$4:$O$40)-SUMIFS('Final Calculation Sheet'!$O$4:$O$40,$AZ$5:$AZ$41,10),SUMIFS('Final Calculation Sheet'!$O$4:$O$40,$AZ$5:$AZ$41,$BH30))),""))</f>
        <v/>
      </c>
      <c r="Q31" s="70">
        <f>IF($BJ30&gt;0,IF(INDEX('Final Calculation Sheet'!$P$4:$P$40,$BJ30-3)="","",INDEX('Final Calculation Sheet'!$P$4:$P$40,$BJ30-3)),IF(OR($BI30=1,$BL30=1,$BH30&gt;0),IF($BI30=1,SUM('Final Calculation Sheet'!$P$4:$P$40),IF($BL30=1,SUM('Final Calculation Sheet'!$P$4:$P$40)-SUMIFS('Final Calculation Sheet'!$P$4:$P$40,$AZ$5:$AZ$41,10),SUMIFS('Final Calculation Sheet'!$P$4:$P$40,$AZ$5:$AZ$41,$BH30))),""))</f>
        <v/>
      </c>
      <c r="R31" s="72">
        <f>IF($BJ30&gt;0,IF(INDEX('Final Calculation Sheet'!$Q$4:$Q$40,$BJ30-3)="","",INDEX('Final Calculation Sheet'!$Q$4:$Q$40,$BJ30-3)),IF(OR($BI30=1,$BL30=1,$BH30&gt;0),"–",""))</f>
        <v/>
      </c>
      <c r="S31" s="70">
        <f>IF($BJ30&gt;0,IF(INDEX('Final Calculation Sheet'!$R$4:$R$40,$BJ30-3)="","",INDEX('Final Calculation Sheet'!$R$4:$R$40,$BJ30-3)),IF(OR($BI30=1,$BL30=1,$BH30&gt;0),IF($BI30=1,SUM('Final Calculation Sheet'!$R$4:$R$40),IF($BL30=1,SUM('Final Calculation Sheet'!$R$4:$R$40)-SUMIFS('Final Calculation Sheet'!$R$4:$R$40,$AZ$5:$AZ$41,10),SUMIFS('Final Calculation Sheet'!$R$4:$R$40,$AZ$5:$AZ$41,$BH30))),""))</f>
        <v/>
      </c>
      <c r="T31" s="70">
        <f>IF($BJ30&gt;0,IF(INDEX('Final Calculation Sheet'!$S$4:$S$40,$BJ30-3)="","",INDEX('Final Calculation Sheet'!$S$4:$S$40,$BJ30-3)),IF(OR($BI30=1,$BL30=1,$BH30&gt;0),IF($BI30=1,SUM('Final Calculation Sheet'!$S$4:$S$40),IF($BL30=1,SUM('Final Calculation Sheet'!$S$4:$S$40)-SUMIFS('Final Calculation Sheet'!$S$4:$S$40,$AZ$5:$AZ$41,10),SUMIFS('Final Calculation Sheet'!$S$4:$S$40,$AZ$5:$AZ$41,$BH30))),""))</f>
        <v/>
      </c>
      <c r="U31" s="70">
        <f>IF($BJ30&gt;0,IF(INDEX('Final Calculation Sheet'!$T$4:$T$40,$BJ30-3)="","",INDEX('Final Calculation Sheet'!$T$4:$T$40,$BJ30-3)),IF(OR($BI30=1,$BL30=1,$BH30&gt;0),IF($BI30=1,SUM('Final Calculation Sheet'!$T$4:$T$40),IF($BL30=1,SUM('Final Calculation Sheet'!$T$4:$T$40)-SUMIFS('Final Calculation Sheet'!$T$4:$T$40,$AZ$5:$AZ$41,10),SUMIFS('Final Calculation Sheet'!$T$4:$T$40,$AZ$5:$AZ$41,$BH30))),""))</f>
        <v/>
      </c>
      <c r="V31" s="73">
        <f>IF($BJ30&gt;0,IF(INDEX('Final Calculation Sheet'!$U$4:$U$40,$BJ30-3)="","",INDEX('Final Calculation Sheet'!$U$4:$U$40,$BJ30-3)),IF(OR($BI30=1,$BL30=1,$BH30&gt;0),IF($BI30=1,SUM('Final Calculation Sheet'!$U$4:$U$40),IF($BL30=1,SUM('Final Calculation Sheet'!$U$4:$U$40)-SUMIFS('Final Calculation Sheet'!$U$4:$U$40,$AZ$5:$AZ$41,10),SUMIFS('Final Calculation Sheet'!$U$4:$U$40,$AZ$5:$AZ$41,$BH30))),""))</f>
        <v/>
      </c>
      <c r="W31" s="70">
        <f>IF($BJ30&gt;0,IF(INDEX('Final Calculation Sheet'!$V$4:$V$40,$BJ30-3)="","",INDEX('Final Calculation Sheet'!$V$4:$V$40,$BJ30-3)),IF(OR($BI30=1,$BL30=1,$BH30&gt;0),"–",""))</f>
        <v/>
      </c>
      <c r="X31" s="70">
        <f>IF($BJ30&gt;0,IF(INDEX('Final Calculation Sheet'!$W$4:$W$40,$BJ30-3)="","",INDEX('Final Calculation Sheet'!$W$4:$W$40,$BJ30-3)),IF(OR($BI30=1,$BL30=1,$BH30&gt;0),IF($BI30=1,SUM('Final Calculation Sheet'!$W$4:$W$40),IF($BL30=1,SUM('Final Calculation Sheet'!$W$4:$W$40)-SUMIFS('Final Calculation Sheet'!$W$4:$W$40,$AZ$5:$AZ$41,10),SUMIFS('Final Calculation Sheet'!$W$4:$W$40,$AZ$5:$AZ$41,$BH30))),""))</f>
        <v/>
      </c>
      <c r="Y31" s="70">
        <f>IF($BJ30&gt;0,IF(INDEX('Final Calculation Sheet'!$X$4:$X$40,$BJ30-3)="","",INDEX('Final Calculation Sheet'!$X$4:$X$40,$BJ30-3)),IF(OR($BI30=1,$BL30=1,$BH30&gt;0),IF($BI30=1,SUM('Final Calculation Sheet'!$X$4:$X$40),IF($BL30=1,SUM('Final Calculation Sheet'!$X$4:$X$40)-SUMIFS('Final Calculation Sheet'!$X$4:$X$40,$AZ$5:$AZ$41,10),SUMIFS('Final Calculation Sheet'!$X$4:$X$40,$AZ$5:$AZ$41,$BH30))),""))</f>
        <v/>
      </c>
      <c r="Z31" s="70">
        <f>IF($BJ30&gt;0,IF(INDEX('Final Calculation Sheet'!$Y$4:$Y$40,$BJ30-3)="","",INDEX('Final Calculation Sheet'!$Y$4:$Y$40,$BJ30-3)),IF(OR($BI30=1,$BL30=1,$BH30&gt;0),"–",""))</f>
        <v/>
      </c>
      <c r="AA31" s="70">
        <f>IF($BJ30&gt;0,IF(INDEX('Final Calculation Sheet'!$Z$4:$Z$40,$BJ30-3)="","",INDEX('Final Calculation Sheet'!$Z$4:$Z$40,$BJ30-3)),IF(OR($BI30=1,$BL30=1,$BH30&gt;0),IF($BI30=1,SUM('Final Calculation Sheet'!$Z$4:$Z$40),IF($BL30=1,SUM('Final Calculation Sheet'!$Z$4:$Z$40)-SUMIFS('Final Calculation Sheet'!$Z$4:$Z$40,$AZ$5:$AZ$41,10),SUMIFS('Final Calculation Sheet'!$Z$4:$Z$40,$AZ$5:$AZ$41,$BH30))),""))</f>
        <v/>
      </c>
      <c r="AB31" s="70">
        <f>IF($BJ30&gt;0,IF(INDEX('Final Calculation Sheet'!$AA$4:$AA$40,$BJ30-3)="","",INDEX('Final Calculation Sheet'!$AA$4:$AA$40,$BJ30-3)),IF(OR($BI30=1,$BL30=1,$BH30&gt;0),IF($BI30=1,SUM('Final Calculation Sheet'!$AA$4:$AA$40),IF($BL30=1,SUM('Final Calculation Sheet'!$AA$4:$AA$40)-SUMIFS('Final Calculation Sheet'!$AA$4:$AA$40,$AZ$5:$AZ$41,10),SUMIFS('Final Calculation Sheet'!$AA$4:$AA$40,$AZ$5:$AZ$41,$BH30))),""))</f>
        <v/>
      </c>
      <c r="AC31" s="70">
        <f>IF($BJ30&gt;0,IF(INDEX('Final Calculation Sheet'!$AB$4:$AB$40,$BJ30-3)="","",INDEX('Final Calculation Sheet'!$AB$4:$AB$40,$BJ30-3)),IF(OR($BI30=1,$BL30=1,$BH30&gt;0),"–",""))</f>
        <v/>
      </c>
      <c r="AD31" s="70">
        <f>IF($BJ30&gt;0,IF(INDEX('Final Calculation Sheet'!$AC$4:$AC$40,$BJ30-3)="","",INDEX('Final Calculation Sheet'!$AC$4:$AC$40,$BJ30-3)),IF(OR($BI30=1,$BL30=1,$BH30&gt;0),IF($BI30=1,SUM('Final Calculation Sheet'!$AC$4:$AC$40),IF($BL30=1,SUM('Final Calculation Sheet'!$AC$4:$AC$40)-SUMIFS('Final Calculation Sheet'!$AC$4:$AC$40,$AZ$5:$AZ$41,10),SUMIFS('Final Calculation Sheet'!$AC$4:$AC$40,$AZ$5:$AZ$41,$BH30))),""))</f>
        <v/>
      </c>
      <c r="AE31" s="70">
        <f>IF($BJ30&gt;0,IF(INDEX('Final Calculation Sheet'!$AD$4:$AD$40,$BJ30-3)="","",INDEX('Final Calculation Sheet'!$AD$4:$AD$40,$BJ30-3)),IF(OR($BI30=1,$BL30=1,$BH30&gt;0),IF($BI30=1,SUM('Final Calculation Sheet'!$AD$4:$AD$40),IF($BL30=1,SUM('Final Calculation Sheet'!$AD$4:$AD$40)-SUMIFS('Final Calculation Sheet'!$AD$4:$AD$40,$AZ$5:$AZ$41,10),SUMIFS('Final Calculation Sheet'!$AD$4:$AD$40,$AZ$5:$AZ$41,$BH30))),""))</f>
        <v/>
      </c>
      <c r="AF31" s="75">
        <f>IF($BJ30&gt;0,IF(INDEX('Final Calculation Sheet'!$AD$4:$AD$40,$BJ30-3)="","",IF(INDEX('Final Calculation Sheet'!$AD$4:$AD$40,$BJ30-3)&lt;=5,"SETTLED","OUTSTANDING")),IF(OR($BI30=1,$BL30=1,$BH30&gt;0),IF(IF($BI30=1,SUM('Final Calculation Sheet'!$AD$4:$AD$40),IF($BL30=1,SUM('Final Calculation Sheet'!$AD$4:$AD$40)-SUMIFS('Final Calculation Sheet'!$AD$4:$AD$40,$AZ$5:$AZ$41,10),SUMIFS('Final Calculation Sheet'!$AD$4:$AD$40,$AZ$5:$AZ$41,$BH30)))&lt;=5,"ALL SETTLED","OUTSTANDING"),""))</f>
        <v/>
      </c>
      <c r="AG31" s="70">
        <f>IF($BJ30&gt;0,IF(INDEX('Final Calculation Sheet'!$AF$4:$AF$40,$BJ30-3)="","",INDEX('Final Calculation Sheet'!$AF$4:$AF$40,$BJ30-3)),IF(OR($BI30=1,$BL30=1,$BH30&gt;0),"–",""))</f>
        <v/>
      </c>
      <c r="AH31" s="74">
        <f>IF($BJ30&gt;0,IF(INDEX('Final Calculation Sheet'!$AG$4:$AG$40,$BJ30-3)="","",INDEX('Final Calculation Sheet'!$AG$4:$AG$40,$BJ30-3)),IF(OR($BI30=1,$BL30=1,$BH30&gt;0),"–",""))</f>
        <v/>
      </c>
      <c r="AI31" s="70">
        <f>IF($BJ30&gt;0,IF(INDEX('Final Calculation Sheet'!$AH$4:$AH$40,$BJ30-3)="","",INDEX('Final Calculation Sheet'!$AH$4:$AH$40,$BJ30-3)),IF(OR($BI30=1,$BL30=1,$BH30&gt;0),"–",""))</f>
        <v/>
      </c>
      <c r="AK31">
        <f>IF($F$3="Lot No.",'Final Calculation Sheet'!$F$30,IF($F$3="Buyer",'Final Calculation Sheet'!$G$30,IF($F$3="Lot Name",'Final Calculation Sheet'!$B$30,IF($F$3="Bid Sheet",'Final Calculation Sheet'!$D$30,IF($F$3="Unit",'Final Calculation Sheet'!$E$30,'Final Calculation Sheet'!$F$30&amp;" "&amp;'Final Calculation Sheet'!$G$30&amp;" "&amp;'Final Calculation Sheet'!$B$30)))))</f>
        <v/>
      </c>
      <c r="AL31">
        <f>AL30+IF($B$3="",0,--(SUMPRODUCT(--($AR$6:$AY$6&lt;&gt;""),--ISNUMBER(SEARCH($AR$6:$AY$6,$AK31)))&gt;0))</f>
        <v/>
      </c>
      <c r="AM31">
        <f>IF(COUNTIF($BM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AZ31">
        <f>IF($B$3="",IF(COUNTIF($A$4:$AI$4,"&lt;&gt;")=0,9,IF($AM31=1,9,10)),IF($AM31=0,10,IF(AND($AR$6&lt;&gt;"",ISNUMBER(SEARCH($AR$6,$AK31))),1,IF(AND($AS$6&lt;&gt;"",ISNUMBER(SEARCH($AS$6,$AK31))),2,IF(AND($AT$6&lt;&gt;"",ISNUMBER(SEARCH($AT$6,$AK31))),3,IF(AND($AU$6&lt;&gt;"",ISNUMBER(SEARCH($AU$6,$AK31))),4,IF(AND($AV$6&lt;&gt;"",ISNUMBER(SEARCH($AV$6,$AK31))),5,IF(AND($AW$6&lt;&gt;"",ISNUMBER(SEARCH($AW$6,$AK31))),6,IF(AND($AX$6&lt;&gt;"",ISNUMBER(SEARCH($AX$6,$AK31))),7,IF(AND($AY$6&lt;&gt;"",ISNUMBER(SEARCH($AY$6,$AK31))),8,0))))))))))</f>
        <v/>
      </c>
      <c r="BA31">
        <f>SUMPRODUCT(($AZ$5:$AZ$41=$AZ31)*($BC$5:$BC$41&lt;$BC31))+1</f>
        <v/>
      </c>
      <c r="BB31">
        <f>IF(INDEX($BF$4:$BF$13,$AZ31)=0,0,INDEX($BE$4:$BE$13,$AZ31)+$BA31-1)</f>
        <v/>
      </c>
      <c r="BC31" t="n">
        <v>30</v>
      </c>
      <c r="BH31">
        <f>IFERROR(MATCH(31,$BF$4:$BF$13,0),0)</f>
        <v/>
      </c>
      <c r="BI31">
        <f>IF(31=$BG$5,1,0)</f>
        <v/>
      </c>
      <c r="BJ31">
        <f>IF(OR($BH31&gt;0,$BI31=1,$BL31=1),0,IFERROR(INDEX($BC$5:$BC$41,MATCH(31,$BB$5:$BB$41,0)),0))</f>
        <v/>
      </c>
      <c r="BK31">
        <f>IF($BJ31&gt;0,IF(INDEX($AZ$5:$AZ$41,MATCH(31,$BB$5:$BB$41,0))=10,1,0),IF($BH31=10,1,0))</f>
        <v/>
      </c>
      <c r="BL31">
        <f>IF(31=$BG$4,1,0)</f>
        <v/>
      </c>
      <c r="BM31">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1">
        <f>IF($B$4="",1,--(OR(SUMPRODUCT(--(TRIM(MID(SUBSTITUTE(SUBSTITUTE($B$4,"/",","),",",REPT(" ",99)),(ROW($1:$8)-1)*99+1,99))&lt;&gt;""),--ISNUMBER(SEARCH(TRIM(MID(SUBSTITUTE(SUBSTITUTE($B$4,"/",","),",",REPT(" ",99)),(ROW($1:$8)-1)*99+1,99)),IFERROR(('Final Calculation Sheet'!$F$30)&amp;"",""))))&gt;0,AND(ISNUMBER(SEARCH("blank",$B$4)),NOT(ISNUMBER(SEARCH("nonblank",$B$4))),IFERROR(('Final Calculation Sheet'!$F$30)&amp;"","")=""),AND(OR(ISNUMBER(SEARCH("nonblank",$B$4)),ISNUMBER(SEARCH("&lt;&gt;",$B$4))),IFERROR(('Final Calculation Sheet'!$F$30)&amp;"","")&lt;&gt;""),AND(TRIM($B$4)="",IFERROR(('Final Calculation Sheet'!$F$30)&amp;"","")=""))))</f>
        <v/>
      </c>
      <c r="BO31">
        <f>IF($CW$3="",1,--(OR(SUMPRODUCT(--(TRIM(MID(SUBSTITUTE(SUBSTITUTE($CW$3,"/",","),",",REPT(" ",99)),(ROW($1:$8)-1)*99+1,99))&lt;&gt;""),--ISNUMBER(SEARCH(TRIM(MID(SUBSTITUTE(SUBSTITUTE($CW$3,"/",","),",",REPT(" ",99)),(ROW($1:$8)-1)*99+1,99)),IFERROR(('Final Calculation Sheet'!$G$30)&amp;"",""))))&gt;0,AND(ISNUMBER(SEARCH("blank",$CW$3)),NOT(ISNUMBER(SEARCH("nonblank",$CW$3))),IFERROR(('Final Calculation Sheet'!$G$30)&amp;"","")=""),AND(OR(ISNUMBER(SEARCH("nonblank",$CW$3)),ISNUMBER(SEARCH("&lt;&gt;",$CW$3))),IFERROR(('Final Calculation Sheet'!$G$30)&amp;"","")&lt;&gt;""),AND(TRIM($CW$3)="",IFERROR(('Final Calculation Sheet'!$G$30)&amp;"","")=""))))</f>
        <v/>
      </c>
      <c r="BP31">
        <f>IF($D$4="",1,--(OR(SUMPRODUCT(--(TRIM(MID(SUBSTITUTE(SUBSTITUTE($D$4,"/",","),",",REPT(" ",99)),(ROW($1:$8)-1)*99+1,99))&lt;&gt;""),--ISNUMBER(SEARCH(TRIM(MID(SUBSTITUTE(SUBSTITUTE($D$4,"/",","),",",REPT(" ",99)),(ROW($1:$8)-1)*99+1,99)),IFERROR(('Final Calculation Sheet'!$B$30)&amp;"",""))))&gt;0,AND(ISNUMBER(SEARCH("blank",$D$4)),NOT(ISNUMBER(SEARCH("nonblank",$D$4))),IFERROR(('Final Calculation Sheet'!$B$30)&amp;"","")=""),AND(OR(ISNUMBER(SEARCH("nonblank",$D$4)),ISNUMBER(SEARCH("&lt;&gt;",$D$4))),IFERROR(('Final Calculation Sheet'!$B$30)&amp;"","")&lt;&gt;""),AND(TRIM($D$4)="",IFERROR(('Final Calculation Sheet'!$B$30)&amp;"","")=""))))</f>
        <v/>
      </c>
      <c r="BQ31">
        <f>IF($E$4="",1,--(OR(SUMPRODUCT(--(TRIM(MID(SUBSTITUTE(SUBSTITUTE($E$4,"/",","),",",REPT(" ",99)),(ROW($1:$8)-1)*99+1,99))&lt;&gt;""),--ISNUMBER(SEARCH(TRIM(MID(SUBSTITUTE(SUBSTITUTE($E$4,"/",","),",",REPT(" ",99)),(ROW($1:$8)-1)*99+1,99)),IFERROR(('Final Calculation Sheet'!$D$30)&amp;"",""))))&gt;0,AND(ISNUMBER(SEARCH("blank",$E$4)),NOT(ISNUMBER(SEARCH("nonblank",$E$4))),IFERROR(('Final Calculation Sheet'!$D$30)&amp;"","")=""),AND(OR(ISNUMBER(SEARCH("nonblank",$E$4)),ISNUMBER(SEARCH("&lt;&gt;",$E$4))),IFERROR(('Final Calculation Sheet'!$D$30)&amp;"","")&lt;&gt;""),AND(TRIM($E$4)="",IFERROR(('Final Calculation Sheet'!$D$30)&amp;"","")=""))))</f>
        <v/>
      </c>
      <c r="BR31">
        <f>IF($F$4="",1,--(OR(SUMPRODUCT(--(TRIM(MID(SUBSTITUTE(SUBSTITUTE($F$4,"/",","),",",REPT(" ",99)),(ROW($1:$8)-1)*99+1,99))&lt;&gt;""),--ISNUMBER(SEARCH(TRIM(MID(SUBSTITUTE(SUBSTITUTE($F$4,"/",","),",",REPT(" ",99)),(ROW($1:$8)-1)*99+1,99)),IFERROR(('Final Calculation Sheet'!$A$30)&amp;"",""))))&gt;0,AND(ISNUMBER(SEARCH("blank",$F$4)),NOT(ISNUMBER(SEARCH("nonblank",$F$4))),IFERROR(('Final Calculation Sheet'!$A$30)&amp;"","")=""),AND(OR(ISNUMBER(SEARCH("nonblank",$F$4)),ISNUMBER(SEARCH("&lt;&gt;",$F$4))),IFERROR(('Final Calculation Sheet'!$A$30)&amp;"","")&lt;&gt;""),AND(TRIM($F$4)="",IFERROR(('Final Calculation Sheet'!$A$30)&amp;"","")=""))))</f>
        <v/>
      </c>
      <c r="BS31">
        <f>IF($G$4="",1,--(OR(SUMPRODUCT(--(TRIM(MID(SUBSTITUTE(SUBSTITUTE($G$4,"/",","),",",REPT(" ",99)),(ROW($1:$8)-1)*99+1,99))&lt;&gt;""),--ISNUMBER(SEARCH(TRIM(MID(SUBSTITUTE(SUBSTITUTE($G$4,"/",","),",",REPT(" ",99)),(ROW($1:$8)-1)*99+1,99)),IFERROR(('Final Calculation Sheet'!$E$30)&amp;"",""))))&gt;0,AND(ISNUMBER(SEARCH("blank",$G$4)),NOT(ISNUMBER(SEARCH("nonblank",$G$4))),IFERROR(('Final Calculation Sheet'!$E$30)&amp;"","")=""),AND(OR(ISNUMBER(SEARCH("nonblank",$G$4)),ISNUMBER(SEARCH("&lt;&gt;",$G$4))),IFERROR(('Final Calculation Sheet'!$E$30)&amp;"","")&lt;&gt;""),AND(TRIM($G$4)="",IFERROR(('Final Calculation Sheet'!$E$30)&amp;"","")=""))))</f>
        <v/>
      </c>
      <c r="BT31">
        <f>IF($H$4="",1,--(OR(SUMPRODUCT(--(TRIM(MID(SUBSTITUTE(SUBSTITUTE($H$4,"/",","),",",REPT(" ",99)),(ROW($1:$8)-1)*99+1,99))&lt;&gt;""),--ISNUMBER(SEARCH(TRIM(MID(SUBSTITUTE(SUBSTITUTE($H$4,"/",","),",",REPT(" ",99)),(ROW($1:$8)-1)*99+1,99)),IFERROR(('Final Calculation Sheet'!$C$30)&amp;"",""))))&gt;0,AND(ISNUMBER(SEARCH("blank",$H$4)),NOT(ISNUMBER(SEARCH("nonblank",$H$4))),IFERROR(('Final Calculation Sheet'!$C$30)&amp;"","")=""),AND(OR(ISNUMBER(SEARCH("nonblank",$H$4)),ISNUMBER(SEARCH("&lt;&gt;",$H$4))),IFERROR(('Final Calculation Sheet'!$C$30)&amp;"","")&lt;&gt;""),AND(TRIM($H$4)="",IFERROR(('Final Calculation Sheet'!$C$30)&amp;"","")=""))))</f>
        <v/>
      </c>
      <c r="BU31">
        <f>IF($I$4="",1,--(OR(SUMPRODUCT(--(TRIM(MID(SUBSTITUTE(SUBSTITUTE($I$4,"/",","),",",REPT(" ",99)),(ROW($1:$8)-1)*99+1,99))&lt;&gt;""),--ISNUMBER(SEARCH(TRIM(MID(SUBSTITUTE(SUBSTITUTE($I$4,"/",","),",",REPT(" ",99)),(ROW($1:$8)-1)*99+1,99)),IFERROR(('Final Calculation Sheet'!$H$30)&amp;"",""))))&gt;0,AND(ISNUMBER(SEARCH("blank",$I$4)),NOT(ISNUMBER(SEARCH("nonblank",$I$4))),IFERROR(('Final Calculation Sheet'!$H$30)&amp;"","")=""),AND(OR(ISNUMBER(SEARCH("nonblank",$I$4)),ISNUMBER(SEARCH("&lt;&gt;",$I$4))),IFERROR(('Final Calculation Sheet'!$H$30)&amp;"","")&lt;&gt;""),AND(TRIM($I$4)="",IFERROR(('Final Calculation Sheet'!$H$30)&amp;"","")=""))))</f>
        <v/>
      </c>
      <c r="BV31">
        <f>IF($J$4="",1,--(OR(SUMPRODUCT(--(TRIM(MID(SUBSTITUTE(SUBSTITUTE($J$4,"/",","),",",REPT(" ",99)),(ROW($1:$8)-1)*99+1,99))&lt;&gt;""),--ISNUMBER(SEARCH(TRIM(MID(SUBSTITUTE(SUBSTITUTE($J$4,"/",","),",",REPT(" ",99)),(ROW($1:$8)-1)*99+1,99)),IFERROR(('Final Calculation Sheet'!$I$30)&amp;"",""))))&gt;0,AND(ISNUMBER(SEARCH("blank",$J$4)),NOT(ISNUMBER(SEARCH("nonblank",$J$4))),IFERROR(('Final Calculation Sheet'!$I$30)&amp;"","")=""),AND(OR(ISNUMBER(SEARCH("nonblank",$J$4)),ISNUMBER(SEARCH("&lt;&gt;",$J$4))),IFERROR(('Final Calculation Sheet'!$I$30)&amp;"","")&lt;&gt;""),AND(TRIM($J$4)="",IFERROR(('Final Calculation Sheet'!$I$30)&amp;"","")=""))))</f>
        <v/>
      </c>
      <c r="BW31">
        <f>IF($K$4="",1,--(OR(SUMPRODUCT(--(TRIM(MID(SUBSTITUTE(SUBSTITUTE($K$4,"/",","),",",REPT(" ",99)),(ROW($1:$8)-1)*99+1,99))&lt;&gt;""),--ISNUMBER(SEARCH(TRIM(MID(SUBSTITUTE(SUBSTITUTE($K$4,"/",","),",",REPT(" ",99)),(ROW($1:$8)-1)*99+1,99)),IFERROR(('Final Calculation Sheet'!$J$30)&amp;"",""))))&gt;0,AND(ISNUMBER(SEARCH("blank",$K$4)),NOT(ISNUMBER(SEARCH("nonblank",$K$4))),IFERROR(('Final Calculation Sheet'!$J$30)&amp;"","")=""),AND(OR(ISNUMBER(SEARCH("nonblank",$K$4)),ISNUMBER(SEARCH("&lt;&gt;",$K$4))),IFERROR(('Final Calculation Sheet'!$J$30)&amp;"","")&lt;&gt;""),AND(TRIM($K$4)="",IFERROR(('Final Calculation Sheet'!$J$30)&amp;"","")=""))))</f>
        <v/>
      </c>
      <c r="BX31">
        <f>IF($L$4="",1,--(OR(SUMPRODUCT(--(TRIM(MID(SUBSTITUTE(SUBSTITUTE($L$4,"/",","),",",REPT(" ",99)),(ROW($1:$8)-1)*99+1,99))&lt;&gt;""),--ISNUMBER(SEARCH(TRIM(MID(SUBSTITUTE(SUBSTITUTE($L$4,"/",","),",",REPT(" ",99)),(ROW($1:$8)-1)*99+1,99)),IFERROR(('Final Calculation Sheet'!$K$30)&amp;"",""))))&gt;0,AND(ISNUMBER(SEARCH("blank",$L$4)),NOT(ISNUMBER(SEARCH("nonblank",$L$4))),IFERROR(('Final Calculation Sheet'!$K$30)&amp;"","")=""),AND(OR(ISNUMBER(SEARCH("nonblank",$L$4)),ISNUMBER(SEARCH("&lt;&gt;",$L$4))),IFERROR(('Final Calculation Sheet'!$K$30)&amp;"","")&lt;&gt;""),AND(TRIM($L$4)="",IFERROR(('Final Calculation Sheet'!$K$30)&amp;"","")=""))))</f>
        <v/>
      </c>
      <c r="BY31">
        <f>IF($M$4="",1,--(OR(SUMPRODUCT(--(TRIM(MID(SUBSTITUTE(SUBSTITUTE($M$4,"/",","),",",REPT(" ",99)),(ROW($1:$8)-1)*99+1,99))&lt;&gt;""),--ISNUMBER(SEARCH(TRIM(MID(SUBSTITUTE(SUBSTITUTE($M$4,"/",","),",",REPT(" ",99)),(ROW($1:$8)-1)*99+1,99)),IFERROR(('Final Calculation Sheet'!$L$30)&amp;"",""))))&gt;0,AND(ISNUMBER(SEARCH("blank",$M$4)),NOT(ISNUMBER(SEARCH("nonblank",$M$4))),IFERROR(('Final Calculation Sheet'!$L$30)&amp;"","")=""),AND(OR(ISNUMBER(SEARCH("nonblank",$M$4)),ISNUMBER(SEARCH("&lt;&gt;",$M$4))),IFERROR(('Final Calculation Sheet'!$L$30)&amp;"","")&lt;&gt;""),AND(TRIM($M$4)="",IFERROR(('Final Calculation Sheet'!$L$30)&amp;"","")=""))))</f>
        <v/>
      </c>
      <c r="BZ31">
        <f>IF($N$4="",1,--(OR(SUMPRODUCT(--(TRIM(MID(SUBSTITUTE(SUBSTITUTE($N$4,"/",","),",",REPT(" ",99)),(ROW($1:$8)-1)*99+1,99))&lt;&gt;""),--ISNUMBER(SEARCH(TRIM(MID(SUBSTITUTE(SUBSTITUTE($N$4,"/",","),",",REPT(" ",99)),(ROW($1:$8)-1)*99+1,99)),IFERROR(('Final Calculation Sheet'!$M$30)&amp;"",""))))&gt;0,AND(ISNUMBER(SEARCH("blank",$N$4)),NOT(ISNUMBER(SEARCH("nonblank",$N$4))),IFERROR(('Final Calculation Sheet'!$M$30)&amp;"","")=""),AND(OR(ISNUMBER(SEARCH("nonblank",$N$4)),ISNUMBER(SEARCH("&lt;&gt;",$N$4))),IFERROR(('Final Calculation Sheet'!$M$30)&amp;"","")&lt;&gt;""),AND(TRIM($N$4)="",IFERROR(('Final Calculation Sheet'!$M$30)&amp;"","")=""))))</f>
        <v/>
      </c>
      <c r="CA31">
        <f>IF($O$4="",1,--(OR(SUMPRODUCT(--(TRIM(MID(SUBSTITUTE(SUBSTITUTE($O$4,"/",","),",",REPT(" ",99)),(ROW($1:$8)-1)*99+1,99))&lt;&gt;""),--ISNUMBER(SEARCH(TRIM(MID(SUBSTITUTE(SUBSTITUTE($O$4,"/",","),",",REPT(" ",99)),(ROW($1:$8)-1)*99+1,99)),IFERROR(('Final Calculation Sheet'!$N$30)&amp;"",""))))&gt;0,AND(ISNUMBER(SEARCH("blank",$O$4)),NOT(ISNUMBER(SEARCH("nonblank",$O$4))),IFERROR(('Final Calculation Sheet'!$N$30)&amp;"","")=""),AND(OR(ISNUMBER(SEARCH("nonblank",$O$4)),ISNUMBER(SEARCH("&lt;&gt;",$O$4))),IFERROR(('Final Calculation Sheet'!$N$30)&amp;"","")&lt;&gt;""),AND(TRIM($O$4)="",IFERROR(('Final Calculation Sheet'!$N$30)&amp;"","")=""))))</f>
        <v/>
      </c>
      <c r="CB31">
        <f>IF($P$4="",1,--(OR(SUMPRODUCT(--(TRIM(MID(SUBSTITUTE(SUBSTITUTE($P$4,"/",","),",",REPT(" ",99)),(ROW($1:$8)-1)*99+1,99))&lt;&gt;""),--ISNUMBER(SEARCH(TRIM(MID(SUBSTITUTE(SUBSTITUTE($P$4,"/",","),",",REPT(" ",99)),(ROW($1:$8)-1)*99+1,99)),IFERROR(('Final Calculation Sheet'!$O$30)&amp;"",""))))&gt;0,AND(ISNUMBER(SEARCH("blank",$P$4)),NOT(ISNUMBER(SEARCH("nonblank",$P$4))),IFERROR(('Final Calculation Sheet'!$O$30)&amp;"","")=""),AND(OR(ISNUMBER(SEARCH("nonblank",$P$4)),ISNUMBER(SEARCH("&lt;&gt;",$P$4))),IFERROR(('Final Calculation Sheet'!$O$30)&amp;"","")&lt;&gt;""),AND(TRIM($P$4)="",IFERROR(('Final Calculation Sheet'!$O$30)&amp;"","")=""))))</f>
        <v/>
      </c>
      <c r="CC31">
        <f>IF($Q$4="",1,--(OR(SUMPRODUCT(--(TRIM(MID(SUBSTITUTE(SUBSTITUTE($Q$4,"/",","),",",REPT(" ",99)),(ROW($1:$8)-1)*99+1,99))&lt;&gt;""),--ISNUMBER(SEARCH(TRIM(MID(SUBSTITUTE(SUBSTITUTE($Q$4,"/",","),",",REPT(" ",99)),(ROW($1:$8)-1)*99+1,99)),IFERROR(('Final Calculation Sheet'!$P$30)&amp;"",""))))&gt;0,AND(ISNUMBER(SEARCH("blank",$Q$4)),NOT(ISNUMBER(SEARCH("nonblank",$Q$4))),IFERROR(('Final Calculation Sheet'!$P$30)&amp;"","")=""),AND(OR(ISNUMBER(SEARCH("nonblank",$Q$4)),ISNUMBER(SEARCH("&lt;&gt;",$Q$4))),IFERROR(('Final Calculation Sheet'!$P$30)&amp;"","")&lt;&gt;""),AND(TRIM($Q$4)="",IFERROR(('Final Calculation Sheet'!$P$30)&amp;"","")=""))))</f>
        <v/>
      </c>
      <c r="CD31">
        <f>IF($R$4="",1,--(OR(SUMPRODUCT(--(TRIM(MID(SUBSTITUTE(SUBSTITUTE($R$4,"/",","),",",REPT(" ",99)),(ROW($1:$8)-1)*99+1,99))&lt;&gt;""),--ISNUMBER(SEARCH(TRIM(MID(SUBSTITUTE(SUBSTITUTE($R$4,"/",","),",",REPT(" ",99)),(ROW($1:$8)-1)*99+1,99)),IFERROR(('Final Calculation Sheet'!$Q$30)&amp;"",""))))&gt;0,AND(ISNUMBER(SEARCH("blank",$R$4)),NOT(ISNUMBER(SEARCH("nonblank",$R$4))),IFERROR(('Final Calculation Sheet'!$Q$30)&amp;"","")=""),AND(OR(ISNUMBER(SEARCH("nonblank",$R$4)),ISNUMBER(SEARCH("&lt;&gt;",$R$4))),IFERROR(('Final Calculation Sheet'!$Q$30)&amp;"","")&lt;&gt;""),AND(TRIM($R$4)="",IFERROR(('Final Calculation Sheet'!$Q$30)&amp;"","")=""))))</f>
        <v/>
      </c>
      <c r="CE31">
        <f>IF($S$4="",1,--(OR(SUMPRODUCT(--(TRIM(MID(SUBSTITUTE(SUBSTITUTE($S$4,"/",","),",",REPT(" ",99)),(ROW($1:$8)-1)*99+1,99))&lt;&gt;""),--ISNUMBER(SEARCH(TRIM(MID(SUBSTITUTE(SUBSTITUTE($S$4,"/",","),",",REPT(" ",99)),(ROW($1:$8)-1)*99+1,99)),IFERROR(('Final Calculation Sheet'!$R$30)&amp;"",""))))&gt;0,AND(ISNUMBER(SEARCH("blank",$S$4)),NOT(ISNUMBER(SEARCH("nonblank",$S$4))),IFERROR(('Final Calculation Sheet'!$R$30)&amp;"","")=""),AND(OR(ISNUMBER(SEARCH("nonblank",$S$4)),ISNUMBER(SEARCH("&lt;&gt;",$S$4))),IFERROR(('Final Calculation Sheet'!$R$30)&amp;"","")&lt;&gt;""),AND(TRIM($S$4)="",IFERROR(('Final Calculation Sheet'!$R$30)&amp;"","")=""))))</f>
        <v/>
      </c>
      <c r="CF31">
        <f>IF($T$4="",1,--(OR(SUMPRODUCT(--(TRIM(MID(SUBSTITUTE(SUBSTITUTE($T$4,"/",","),",",REPT(" ",99)),(ROW($1:$8)-1)*99+1,99))&lt;&gt;""),--ISNUMBER(SEARCH(TRIM(MID(SUBSTITUTE(SUBSTITUTE($T$4,"/",","),",",REPT(" ",99)),(ROW($1:$8)-1)*99+1,99)),IFERROR(('Final Calculation Sheet'!$S$30)&amp;"",""))))&gt;0,AND(ISNUMBER(SEARCH("blank",$T$4)),NOT(ISNUMBER(SEARCH("nonblank",$T$4))),IFERROR(('Final Calculation Sheet'!$S$30)&amp;"","")=""),AND(OR(ISNUMBER(SEARCH("nonblank",$T$4)),ISNUMBER(SEARCH("&lt;&gt;",$T$4))),IFERROR(('Final Calculation Sheet'!$S$30)&amp;"","")&lt;&gt;""),AND(TRIM($T$4)="",IFERROR(('Final Calculation Sheet'!$S$30)&amp;"","")=""))))</f>
        <v/>
      </c>
      <c r="CG31">
        <f>IF($U$4="",1,--(OR(SUMPRODUCT(--(TRIM(MID(SUBSTITUTE(SUBSTITUTE($U$4,"/",","),",",REPT(" ",99)),(ROW($1:$8)-1)*99+1,99))&lt;&gt;""),--ISNUMBER(SEARCH(TRIM(MID(SUBSTITUTE(SUBSTITUTE($U$4,"/",","),",",REPT(" ",99)),(ROW($1:$8)-1)*99+1,99)),IFERROR(('Final Calculation Sheet'!$T$30)&amp;"",""))))&gt;0,AND(ISNUMBER(SEARCH("blank",$U$4)),NOT(ISNUMBER(SEARCH("nonblank",$U$4))),IFERROR(('Final Calculation Sheet'!$T$30)&amp;"","")=""),AND(OR(ISNUMBER(SEARCH("nonblank",$U$4)),ISNUMBER(SEARCH("&lt;&gt;",$U$4))),IFERROR(('Final Calculation Sheet'!$T$30)&amp;"","")&lt;&gt;""),AND(TRIM($U$4)="",IFERROR(('Final Calculation Sheet'!$T$30)&amp;"","")=""))))</f>
        <v/>
      </c>
      <c r="CH31">
        <f>IF($V$4="",1,--(OR(SUMPRODUCT(--(TRIM(MID(SUBSTITUTE(SUBSTITUTE($V$4,"/",","),",",REPT(" ",99)),(ROW($1:$8)-1)*99+1,99))&lt;&gt;""),--ISNUMBER(SEARCH(TRIM(MID(SUBSTITUTE(SUBSTITUTE($V$4,"/",","),",",REPT(" ",99)),(ROW($1:$8)-1)*99+1,99)),IFERROR(('Final Calculation Sheet'!$U$30)&amp;"",""))))&gt;0,AND(ISNUMBER(SEARCH("blank",$V$4)),NOT(ISNUMBER(SEARCH("nonblank",$V$4))),IFERROR(('Final Calculation Sheet'!$U$30)&amp;"","")=""),AND(OR(ISNUMBER(SEARCH("nonblank",$V$4)),ISNUMBER(SEARCH("&lt;&gt;",$V$4))),IFERROR(('Final Calculation Sheet'!$U$30)&amp;"","")&lt;&gt;""),AND(TRIM($V$4)="",IFERROR(('Final Calculation Sheet'!$U$30)&amp;"","")=""))))</f>
        <v/>
      </c>
      <c r="CI31">
        <f>IF($W$4="",1,--(OR(SUMPRODUCT(--(TRIM(MID(SUBSTITUTE(SUBSTITUTE($W$4,"/",","),",",REPT(" ",99)),(ROW($1:$8)-1)*99+1,99))&lt;&gt;""),--ISNUMBER(SEARCH(TRIM(MID(SUBSTITUTE(SUBSTITUTE($W$4,"/",","),",",REPT(" ",99)),(ROW($1:$8)-1)*99+1,99)),IFERROR(('Final Calculation Sheet'!$V$30)&amp;"",""))))&gt;0,AND(ISNUMBER(SEARCH("blank",$W$4)),NOT(ISNUMBER(SEARCH("nonblank",$W$4))),IFERROR(('Final Calculation Sheet'!$V$30)&amp;"","")=""),AND(OR(ISNUMBER(SEARCH("nonblank",$W$4)),ISNUMBER(SEARCH("&lt;&gt;",$W$4))),IFERROR(('Final Calculation Sheet'!$V$30)&amp;"","")&lt;&gt;""),AND(TRIM($W$4)="",IFERROR(('Final Calculation Sheet'!$V$30)&amp;"","")=""))))</f>
        <v/>
      </c>
      <c r="CJ31">
        <f>IF($X$4="",1,--(OR(SUMPRODUCT(--(TRIM(MID(SUBSTITUTE(SUBSTITUTE($X$4,"/",","),",",REPT(" ",99)),(ROW($1:$8)-1)*99+1,99))&lt;&gt;""),--ISNUMBER(SEARCH(TRIM(MID(SUBSTITUTE(SUBSTITUTE($X$4,"/",","),",",REPT(" ",99)),(ROW($1:$8)-1)*99+1,99)),IFERROR(('Final Calculation Sheet'!$W$30)&amp;"",""))))&gt;0,AND(ISNUMBER(SEARCH("blank",$X$4)),NOT(ISNUMBER(SEARCH("nonblank",$X$4))),IFERROR(('Final Calculation Sheet'!$W$30)&amp;"","")=""),AND(OR(ISNUMBER(SEARCH("nonblank",$X$4)),ISNUMBER(SEARCH("&lt;&gt;",$X$4))),IFERROR(('Final Calculation Sheet'!$W$30)&amp;"","")&lt;&gt;""),AND(TRIM($X$4)="",IFERROR(('Final Calculation Sheet'!$W$30)&amp;"","")=""))))</f>
        <v/>
      </c>
      <c r="CK31">
        <f>IF($Y$4="",1,--(OR(SUMPRODUCT(--(TRIM(MID(SUBSTITUTE(SUBSTITUTE($Y$4,"/",","),",",REPT(" ",99)),(ROW($1:$8)-1)*99+1,99))&lt;&gt;""),--ISNUMBER(SEARCH(TRIM(MID(SUBSTITUTE(SUBSTITUTE($Y$4,"/",","),",",REPT(" ",99)),(ROW($1:$8)-1)*99+1,99)),IFERROR(('Final Calculation Sheet'!$X$30)&amp;"",""))))&gt;0,AND(ISNUMBER(SEARCH("blank",$Y$4)),NOT(ISNUMBER(SEARCH("nonblank",$Y$4))),IFERROR(('Final Calculation Sheet'!$X$30)&amp;"","")=""),AND(OR(ISNUMBER(SEARCH("nonblank",$Y$4)),ISNUMBER(SEARCH("&lt;&gt;",$Y$4))),IFERROR(('Final Calculation Sheet'!$X$30)&amp;"","")&lt;&gt;""),AND(TRIM($Y$4)="",IFERROR(('Final Calculation Sheet'!$X$30)&amp;"","")=""))))</f>
        <v/>
      </c>
      <c r="CL31">
        <f>IF($Z$4="",1,--(OR(SUMPRODUCT(--(TRIM(MID(SUBSTITUTE(SUBSTITUTE($Z$4,"/",","),",",REPT(" ",99)),(ROW($1:$8)-1)*99+1,99))&lt;&gt;""),--ISNUMBER(SEARCH(TRIM(MID(SUBSTITUTE(SUBSTITUTE($Z$4,"/",","),",",REPT(" ",99)),(ROW($1:$8)-1)*99+1,99)),IFERROR(('Final Calculation Sheet'!$Y$30)&amp;"",""))))&gt;0,AND(ISNUMBER(SEARCH("blank",$Z$4)),NOT(ISNUMBER(SEARCH("nonblank",$Z$4))),IFERROR(('Final Calculation Sheet'!$Y$30)&amp;"","")=""),AND(OR(ISNUMBER(SEARCH("nonblank",$Z$4)),ISNUMBER(SEARCH("&lt;&gt;",$Z$4))),IFERROR(('Final Calculation Sheet'!$Y$30)&amp;"","")&lt;&gt;""),AND(TRIM($Z$4)="",IFERROR(('Final Calculation Sheet'!$Y$30)&amp;"","")=""))))</f>
        <v/>
      </c>
      <c r="CM31">
        <f>IF($AA$4="",1,--(OR(SUMPRODUCT(--(TRIM(MID(SUBSTITUTE(SUBSTITUTE($AA$4,"/",","),",",REPT(" ",99)),(ROW($1:$8)-1)*99+1,99))&lt;&gt;""),--ISNUMBER(SEARCH(TRIM(MID(SUBSTITUTE(SUBSTITUTE($AA$4,"/",","),",",REPT(" ",99)),(ROW($1:$8)-1)*99+1,99)),IFERROR(('Final Calculation Sheet'!$Z$30)&amp;"",""))))&gt;0,AND(ISNUMBER(SEARCH("blank",$AA$4)),NOT(ISNUMBER(SEARCH("nonblank",$AA$4))),IFERROR(('Final Calculation Sheet'!$Z$30)&amp;"","")=""),AND(OR(ISNUMBER(SEARCH("nonblank",$AA$4)),ISNUMBER(SEARCH("&lt;&gt;",$AA$4))),IFERROR(('Final Calculation Sheet'!$Z$30)&amp;"","")&lt;&gt;""),AND(TRIM($AA$4)="",IFERROR(('Final Calculation Sheet'!$Z$30)&amp;"","")=""))))</f>
        <v/>
      </c>
      <c r="CN31">
        <f>IF($AB$4="",1,--(OR(SUMPRODUCT(--(TRIM(MID(SUBSTITUTE(SUBSTITUTE($AB$4,"/",","),",",REPT(" ",99)),(ROW($1:$8)-1)*99+1,99))&lt;&gt;""),--ISNUMBER(SEARCH(TRIM(MID(SUBSTITUTE(SUBSTITUTE($AB$4,"/",","),",",REPT(" ",99)),(ROW($1:$8)-1)*99+1,99)),IFERROR(('Final Calculation Sheet'!$AA$30)&amp;"",""))))&gt;0,AND(ISNUMBER(SEARCH("blank",$AB$4)),NOT(ISNUMBER(SEARCH("nonblank",$AB$4))),IFERROR(('Final Calculation Sheet'!$AA$30)&amp;"","")=""),AND(OR(ISNUMBER(SEARCH("nonblank",$AB$4)),ISNUMBER(SEARCH("&lt;&gt;",$AB$4))),IFERROR(('Final Calculation Sheet'!$AA$30)&amp;"","")&lt;&gt;""),AND(TRIM($AB$4)="",IFERROR(('Final Calculation Sheet'!$AA$30)&amp;"","")=""))))</f>
        <v/>
      </c>
      <c r="CO31">
        <f>IF($AC$4="",1,--(OR(SUMPRODUCT(--(TRIM(MID(SUBSTITUTE(SUBSTITUTE($AC$4,"/",","),",",REPT(" ",99)),(ROW($1:$8)-1)*99+1,99))&lt;&gt;""),--ISNUMBER(SEARCH(TRIM(MID(SUBSTITUTE(SUBSTITUTE($AC$4,"/",","),",",REPT(" ",99)),(ROW($1:$8)-1)*99+1,99)),IFERROR(('Final Calculation Sheet'!$AB$30)&amp;"",""))))&gt;0,AND(ISNUMBER(SEARCH("blank",$AC$4)),NOT(ISNUMBER(SEARCH("nonblank",$AC$4))),IFERROR(('Final Calculation Sheet'!$AB$30)&amp;"","")=""),AND(OR(ISNUMBER(SEARCH("nonblank",$AC$4)),ISNUMBER(SEARCH("&lt;&gt;",$AC$4))),IFERROR(('Final Calculation Sheet'!$AB$30)&amp;"","")&lt;&gt;""),AND(TRIM($AC$4)="",IFERROR(('Final Calculation Sheet'!$AB$30)&amp;"","")=""))))</f>
        <v/>
      </c>
      <c r="CP31">
        <f>IF($AD$4="",1,--(OR(SUMPRODUCT(--(TRIM(MID(SUBSTITUTE(SUBSTITUTE($AD$4,"/",","),",",REPT(" ",99)),(ROW($1:$8)-1)*99+1,99))&lt;&gt;""),--ISNUMBER(SEARCH(TRIM(MID(SUBSTITUTE(SUBSTITUTE($AD$4,"/",","),",",REPT(" ",99)),(ROW($1:$8)-1)*99+1,99)),IFERROR(('Final Calculation Sheet'!$AC$30)&amp;"",""))))&gt;0,AND(ISNUMBER(SEARCH("blank",$AD$4)),NOT(ISNUMBER(SEARCH("nonblank",$AD$4))),IFERROR(('Final Calculation Sheet'!$AC$30)&amp;"","")=""),AND(OR(ISNUMBER(SEARCH("nonblank",$AD$4)),ISNUMBER(SEARCH("&lt;&gt;",$AD$4))),IFERROR(('Final Calculation Sheet'!$AC$30)&amp;"","")&lt;&gt;""),AND(TRIM($AD$4)="",IFERROR(('Final Calculation Sheet'!$AC$30)&amp;"","")=""))))</f>
        <v/>
      </c>
      <c r="CQ31">
        <f>IF($AE$4="",1,--(OR(SUMPRODUCT(--(TRIM(MID(SUBSTITUTE(SUBSTITUTE($AE$4,"/",","),",",REPT(" ",99)),(ROW($1:$8)-1)*99+1,99))&lt;&gt;""),--ISNUMBER(SEARCH(TRIM(MID(SUBSTITUTE(SUBSTITUTE($AE$4,"/",","),",",REPT(" ",99)),(ROW($1:$8)-1)*99+1,99)),IFERROR(('Final Calculation Sheet'!$AD$30)&amp;"",""))))&gt;0,AND(ISNUMBER(SEARCH("blank",$AE$4)),NOT(ISNUMBER(SEARCH("nonblank",$AE$4))),IFERROR(('Final Calculation Sheet'!$AD$30)&amp;"","")=""),AND(OR(ISNUMBER(SEARCH("nonblank",$AE$4)),ISNUMBER(SEARCH("&lt;&gt;",$AE$4))),IFERROR(('Final Calculation Sheet'!$AD$30)&amp;"","")&lt;&gt;""),AND(TRIM($AE$4)="",IFERROR(('Final Calculation Sheet'!$AD$30)&amp;"","")=""))))</f>
        <v/>
      </c>
      <c r="CR31">
        <f>IF($AG$4="",1,--(OR(SUMPRODUCT(--(TRIM(MID(SUBSTITUTE(SUBSTITUTE($AG$4,"/",","),",",REPT(" ",99)),(ROW($1:$8)-1)*99+1,99))&lt;&gt;""),--ISNUMBER(SEARCH(TRIM(MID(SUBSTITUTE(SUBSTITUTE($AG$4,"/",","),",",REPT(" ",99)),(ROW($1:$8)-1)*99+1,99)),IFERROR(('Final Calculation Sheet'!$AF$30)&amp;"",""))))&gt;0,AND(ISNUMBER(SEARCH("blank",$AG$4)),NOT(ISNUMBER(SEARCH("nonblank",$AG$4))),IFERROR(('Final Calculation Sheet'!$AF$30)&amp;"","")=""),AND(OR(ISNUMBER(SEARCH("nonblank",$AG$4)),ISNUMBER(SEARCH("&lt;&gt;",$AG$4))),IFERROR(('Final Calculation Sheet'!$AF$30)&amp;"","")&lt;&gt;""),AND(TRIM($AG$4)="",IFERROR(('Final Calculation Sheet'!$AF$30)&amp;"","")=""))))</f>
        <v/>
      </c>
      <c r="CS31">
        <f>IF($AH$4="",1,--(OR(SUMPRODUCT(--(TRIM(MID(SUBSTITUTE(SUBSTITUTE($AH$4,"/",","),",",REPT(" ",99)),(ROW($1:$8)-1)*99+1,99))&lt;&gt;""),--ISNUMBER(SEARCH(TRIM(MID(SUBSTITUTE(SUBSTITUTE($AH$4,"/",","),",",REPT(" ",99)),(ROW($1:$8)-1)*99+1,99)),IFERROR(('Final Calculation Sheet'!$AG$30)&amp;"",""))))&gt;0,AND(ISNUMBER(SEARCH("blank",$AH$4)),NOT(ISNUMBER(SEARCH("nonblank",$AH$4))),IFERROR(('Final Calculation Sheet'!$AG$30)&amp;"","")=""),AND(OR(ISNUMBER(SEARCH("nonblank",$AH$4)),ISNUMBER(SEARCH("&lt;&gt;",$AH$4))),IFERROR(('Final Calculation Sheet'!$AG$30)&amp;"","")&lt;&gt;""),AND(TRIM($AH$4)="",IFERROR(('Final Calculation Sheet'!$AG$30)&amp;"","")=""))))</f>
        <v/>
      </c>
      <c r="CT31">
        <f>IF($AI$4="",1,--(OR(SUMPRODUCT(--(TRIM(MID(SUBSTITUTE(SUBSTITUTE($AI$4,"/",","),",",REPT(" ",99)),(ROW($1:$8)-1)*99+1,99))&lt;&gt;""),--ISNUMBER(SEARCH(TRIM(MID(SUBSTITUTE(SUBSTITUTE($AI$4,"/",","),",",REPT(" ",99)),(ROW($1:$8)-1)*99+1,99)),IFERROR(('Final Calculation Sheet'!$AH$30)&amp;"",""))))&gt;0,AND(ISNUMBER(SEARCH("blank",$AI$4)),NOT(ISNUMBER(SEARCH("nonblank",$AI$4))),IFERROR(('Final Calculation Sheet'!$AH$30)&amp;"","")=""),AND(OR(ISNUMBER(SEARCH("nonblank",$AI$4)),ISNUMBER(SEARCH("&lt;&gt;",$AI$4))),IFERROR(('Final Calculation Sheet'!$AH$30)&amp;"","")&lt;&gt;""),AND(TRIM($AI$4)="",IFERROR(('Final Calculation Sheet'!$AH$30)&amp;"","")=""))))</f>
        <v/>
      </c>
      <c r="CU31">
        <f>IF($AF$4="",1,--(OR(SUMPRODUCT(--(TRIM(MID(SUBSTITUTE(SUBSTITUTE($AF$4,"/",","),",",REPT(" ",99)),(ROW($1:$8)-1)*99+1,99))&lt;&gt;""),--ISNUMBER(SEARCH(TRIM(MID(SUBSTITUTE(SUBSTITUTE($AF$4,"/",","),",",REPT(" ",99)),(ROW($1:$8)-1)*99+1,99)),IFERROR((IF('Final Calculation Sheet'!$AD$30&lt;=5,"SETTLED","OUTSTANDING"))&amp;"",""))))&gt;0,AND(ISNUMBER(SEARCH("blank",$AF$4)),NOT(ISNUMBER(SEARCH("nonblank",$AF$4))),IFERROR((IF('Final Calculation Sheet'!$AD$30&lt;=5,"SETTLED","OUTSTANDING"))&amp;"","")=""),AND(OR(ISNUMBER(SEARCH("nonblank",$AF$4)),ISNUMBER(SEARCH("&lt;&gt;",$AF$4))),IFERROR((IF('Final Calculation Sheet'!$AD$30&lt;=5,"SETTLED","OUTSTANDING"))&amp;"","")&lt;&gt;""),AND(TRIM($AF$4)="",IFERROR((IF('Final Calculation Sheet'!$AD$30&lt;=5,"SETTLED","OUTSTANDING"))&amp;"","")=""))))</f>
        <v/>
      </c>
    </row>
    <row r="32" ht="15" customHeight="1" s="137">
      <c r="A32" s="67">
        <f>IF($BJ31&gt;0,INDEX($BA$5:$BA$41,MATCH(31,$BB$5:$BB$41,0)),IF(OR($BI31=1,$BL31=1,$BH31&gt;0),"∑",""))</f>
        <v/>
      </c>
      <c r="B32" s="76">
        <f>IF($BJ31&gt;0,IF(INDEX('Final Calculation Sheet'!$F$4:$F$40,$BJ31-3)="","",INDEX('Final Calculation Sheet'!$F$4:$F$40,$BJ31-3)),"")</f>
        <v/>
      </c>
      <c r="C32" s="76">
        <f>IF($BJ31&gt;0,IF(INDEX('Final Calculation Sheet'!$G$4:$G$40,$BJ31-3)="","",INDEX('Final Calculation Sheet'!$G$4:$G$40,$BJ31-3)),IF(OR($BI31=1,$BL31=1,$BH31&gt;0),IF($BI31=1,37,IF($BL31=1,37-INDEX($BD$4:$BD$13,10),INDEX($BD$4:$BD$13,$BH31)))&amp;" lot(s)",""))</f>
        <v/>
      </c>
      <c r="D32" s="80">
        <f>IF($BJ31&gt;0,IF(INDEX('Final Calculation Sheet'!$B$4:$B$40,$BJ31-3)="","",INDEX('Final Calculation Sheet'!$B$4:$B$40,$BJ31-3)),IF(OR($BI31=1,$BL31=1,$BH31&gt;0),IF($BI31=1,"GRAND TOTAL  —  matching + remaining",IF($BL31=1,"TOTAL MATCHED  —  every group together",IF($BH31=10,"REMAINING  —  did not match the search",IF($BH31=9,IF(COUNTIF($A$4:$AI$4,"&lt;&gt;")&gt;0,"FILTERED LOTS  —  column fields","ALL LOTS  —  nothing typed in the box"),"GROUP "&amp;$BH31&amp;" TOTAL  —  lots matching  "&amp;INDEX($AR$6:$AY$6,$BH31))))),""))</f>
        <v/>
      </c>
      <c r="E32" s="80">
        <f>IF($BJ31&gt;0,IF(INDEX('Final Calculation Sheet'!$D$4:$D$40,$BJ31-3)="","",INDEX('Final Calculation Sheet'!$D$4:$D$40,$BJ31-3)),IF(OR($BI31=1,$BL31=1,$BH31&gt;0),"–",""))</f>
        <v/>
      </c>
      <c r="F32" s="80">
        <f>IF($BJ31&gt;0,IF(INDEX('Final Calculation Sheet'!$A$4:$A$40,$BJ31-3)="","",INDEX('Final Calculation Sheet'!$A$4:$A$40,$BJ31-3)),IF(OR($BI31=1,$BL31=1,$BH31&gt;0),IF($BI31=1,SUM('Final Calculation Sheet'!$A$4:$A$40),IF($BL31=1,SUM('Final Calculation Sheet'!$A$4:$A$40)-SUMIFS('Final Calculation Sheet'!$A$4:$A$40,$AZ$5:$AZ$41,10),SUMIFS('Final Calculation Sheet'!$A$4:$A$40,$AZ$5:$AZ$41,$BH31))),""))</f>
        <v/>
      </c>
      <c r="G32" s="80">
        <f>IF($BJ31&gt;0,IF(INDEX('Final Calculation Sheet'!$E$4:$E$40,$BJ31-3)="","",INDEX('Final Calculation Sheet'!$E$4:$E$40,$BJ31-3)),IF(OR($BI31=1,$BL31=1,$BH31&gt;0),"–",""))</f>
        <v/>
      </c>
      <c r="H32" s="70">
        <f>IF($BJ31&gt;0,IF(INDEX('Final Calculation Sheet'!$C$4:$C$40,$BJ31-3)="","",INDEX('Final Calculation Sheet'!$C$4:$C$40,$BJ31-3)),IF(OR($BI31=1,$BL31=1,$BH31&gt;0),"–",""))</f>
        <v/>
      </c>
      <c r="I32" s="70">
        <f>IF($BJ31&gt;0,IF(INDEX('Final Calculation Sheet'!$H$4:$H$40,$BJ31-3)="","",INDEX('Final Calculation Sheet'!$H$4:$H$40,$BJ31-3)),IF(OR($BI31=1,$BL31=1,$BH31&gt;0),IF($BI31=1,SUM('Final Calculation Sheet'!$H$4:$H$40),IF($BL31=1,SUM('Final Calculation Sheet'!$H$4:$H$40)-SUMIFS('Final Calculation Sheet'!$H$4:$H$40,$AZ$5:$AZ$41,10),SUMIFS('Final Calculation Sheet'!$H$4:$H$40,$AZ$5:$AZ$41,$BH31))),""))</f>
        <v/>
      </c>
      <c r="J32" s="70">
        <f>IF($BJ31&gt;0,IF(INDEX('Final Calculation Sheet'!$I$4:$I$40,$BJ31-3)="","",INDEX('Final Calculation Sheet'!$I$4:$I$40,$BJ31-3)),IF(OR($BI31=1,$BL31=1,$BH31&gt;0),IF($BI31=1,SUM('Final Calculation Sheet'!$I$4:$I$40),IF($BL31=1,SUM('Final Calculation Sheet'!$I$4:$I$40)-SUMIFS('Final Calculation Sheet'!$I$4:$I$40,$AZ$5:$AZ$41,10),SUMIFS('Final Calculation Sheet'!$I$4:$I$40,$AZ$5:$AZ$41,$BH31))),""))</f>
        <v/>
      </c>
      <c r="K32" s="70">
        <f>IF($BJ31&gt;0,IF(INDEX('Final Calculation Sheet'!$J$4:$J$40,$BJ31-3)="","",INDEX('Final Calculation Sheet'!$J$4:$J$40,$BJ31-3)),IF(OR($BI31=1,$BL31=1,$BH31&gt;0),IF($BI31=1,SUM('Final Calculation Sheet'!$J$4:$J$40),IF($BL31=1,SUM('Final Calculation Sheet'!$J$4:$J$40)-SUMIFS('Final Calculation Sheet'!$J$4:$J$40,$AZ$5:$AZ$41,10),SUMIFS('Final Calculation Sheet'!$J$4:$J$40,$AZ$5:$AZ$41,$BH31))),""))</f>
        <v/>
      </c>
      <c r="L32" s="70">
        <f>IF($BJ31&gt;0,IF(INDEX('Final Calculation Sheet'!$K$4:$K$40,$BJ31-3)="","",INDEX('Final Calculation Sheet'!$K$4:$K$40,$BJ31-3)),IF(OR($BI31=1,$BL31=1,$BH31&gt;0),IF($BI31=1,SUM('Final Calculation Sheet'!$K$4:$K$40),IF($BL31=1,SUM('Final Calculation Sheet'!$K$4:$K$40)-SUMIFS('Final Calculation Sheet'!$K$4:$K$40,$AZ$5:$AZ$41,10),SUMIFS('Final Calculation Sheet'!$K$4:$K$40,$AZ$5:$AZ$41,$BH31))),""))</f>
        <v/>
      </c>
      <c r="M32" s="70">
        <f>IF($BJ31&gt;0,IF(INDEX('Final Calculation Sheet'!$L$4:$L$40,$BJ31-3)="","",INDEX('Final Calculation Sheet'!$L$4:$L$40,$BJ31-3)),IF(OR($BI31=1,$BL31=1,$BH31&gt;0),IF($BI31=1,SUM('Final Calculation Sheet'!$L$4:$L$40),IF($BL31=1,SUM('Final Calculation Sheet'!$L$4:$L$40)-SUMIFS('Final Calculation Sheet'!$L$4:$L$40,$AZ$5:$AZ$41,10),SUMIFS('Final Calculation Sheet'!$L$4:$L$40,$AZ$5:$AZ$41,$BH31))),""))</f>
        <v/>
      </c>
      <c r="N32" s="70">
        <f>IF($BJ31&gt;0,IF(INDEX('Final Calculation Sheet'!$M$4:$M$40,$BJ31-3)="","",INDEX('Final Calculation Sheet'!$M$4:$M$40,$BJ31-3)),IF(OR($BI31=1,$BL31=1,$BH31&gt;0),IF($BI31=1,SUM('Final Calculation Sheet'!$M$4:$M$40),IF($BL31=1,SUM('Final Calculation Sheet'!$M$4:$M$40)-SUMIFS('Final Calculation Sheet'!$M$4:$M$40,$AZ$5:$AZ$41,10),SUMIFS('Final Calculation Sheet'!$M$4:$M$40,$AZ$5:$AZ$41,$BH31))),""))</f>
        <v/>
      </c>
      <c r="O32" s="71">
        <f>IF($BJ31&gt;0,IF(INDEX('Final Calculation Sheet'!$N$4:$N$40,$BJ31-3)="","",INDEX('Final Calculation Sheet'!$N$4:$N$40,$BJ31-3)),IF(OR($BI31=1,$BL31=1,$BH31&gt;0),IF($BI31=1,SUM('Final Calculation Sheet'!$N$4:$N$40),IF($BL31=1,SUM('Final Calculation Sheet'!$N$4:$N$40)-SUMIFS('Final Calculation Sheet'!$N$4:$N$40,$AZ$5:$AZ$41,10),SUMIFS('Final Calculation Sheet'!$N$4:$N$40,$AZ$5:$AZ$41,$BH31))),""))</f>
        <v/>
      </c>
      <c r="P32" s="70">
        <f>IF($BJ31&gt;0,IF(INDEX('Final Calculation Sheet'!$O$4:$O$40,$BJ31-3)="","",INDEX('Final Calculation Sheet'!$O$4:$O$40,$BJ31-3)),IF(OR($BI31=1,$BL31=1,$BH31&gt;0),IF($BI31=1,SUM('Final Calculation Sheet'!$O$4:$O$40),IF($BL31=1,SUM('Final Calculation Sheet'!$O$4:$O$40)-SUMIFS('Final Calculation Sheet'!$O$4:$O$40,$AZ$5:$AZ$41,10),SUMIFS('Final Calculation Sheet'!$O$4:$O$40,$AZ$5:$AZ$41,$BH31))),""))</f>
        <v/>
      </c>
      <c r="Q32" s="70">
        <f>IF($BJ31&gt;0,IF(INDEX('Final Calculation Sheet'!$P$4:$P$40,$BJ31-3)="","",INDEX('Final Calculation Sheet'!$P$4:$P$40,$BJ31-3)),IF(OR($BI31=1,$BL31=1,$BH31&gt;0),IF($BI31=1,SUM('Final Calculation Sheet'!$P$4:$P$40),IF($BL31=1,SUM('Final Calculation Sheet'!$P$4:$P$40)-SUMIFS('Final Calculation Sheet'!$P$4:$P$40,$AZ$5:$AZ$41,10),SUMIFS('Final Calculation Sheet'!$P$4:$P$40,$AZ$5:$AZ$41,$BH31))),""))</f>
        <v/>
      </c>
      <c r="R32" s="72">
        <f>IF($BJ31&gt;0,IF(INDEX('Final Calculation Sheet'!$Q$4:$Q$40,$BJ31-3)="","",INDEX('Final Calculation Sheet'!$Q$4:$Q$40,$BJ31-3)),IF(OR($BI31=1,$BL31=1,$BH31&gt;0),"–",""))</f>
        <v/>
      </c>
      <c r="S32" s="70">
        <f>IF($BJ31&gt;0,IF(INDEX('Final Calculation Sheet'!$R$4:$R$40,$BJ31-3)="","",INDEX('Final Calculation Sheet'!$R$4:$R$40,$BJ31-3)),IF(OR($BI31=1,$BL31=1,$BH31&gt;0),IF($BI31=1,SUM('Final Calculation Sheet'!$R$4:$R$40),IF($BL31=1,SUM('Final Calculation Sheet'!$R$4:$R$40)-SUMIFS('Final Calculation Sheet'!$R$4:$R$40,$AZ$5:$AZ$41,10),SUMIFS('Final Calculation Sheet'!$R$4:$R$40,$AZ$5:$AZ$41,$BH31))),""))</f>
        <v/>
      </c>
      <c r="T32" s="70">
        <f>IF($BJ31&gt;0,IF(INDEX('Final Calculation Sheet'!$S$4:$S$40,$BJ31-3)="","",INDEX('Final Calculation Sheet'!$S$4:$S$40,$BJ31-3)),IF(OR($BI31=1,$BL31=1,$BH31&gt;0),IF($BI31=1,SUM('Final Calculation Sheet'!$S$4:$S$40),IF($BL31=1,SUM('Final Calculation Sheet'!$S$4:$S$40)-SUMIFS('Final Calculation Sheet'!$S$4:$S$40,$AZ$5:$AZ$41,10),SUMIFS('Final Calculation Sheet'!$S$4:$S$40,$AZ$5:$AZ$41,$BH31))),""))</f>
        <v/>
      </c>
      <c r="U32" s="70">
        <f>IF($BJ31&gt;0,IF(INDEX('Final Calculation Sheet'!$T$4:$T$40,$BJ31-3)="","",INDEX('Final Calculation Sheet'!$T$4:$T$40,$BJ31-3)),IF(OR($BI31=1,$BL31=1,$BH31&gt;0),IF($BI31=1,SUM('Final Calculation Sheet'!$T$4:$T$40),IF($BL31=1,SUM('Final Calculation Sheet'!$T$4:$T$40)-SUMIFS('Final Calculation Sheet'!$T$4:$T$40,$AZ$5:$AZ$41,10),SUMIFS('Final Calculation Sheet'!$T$4:$T$40,$AZ$5:$AZ$41,$BH31))),""))</f>
        <v/>
      </c>
      <c r="V32" s="73">
        <f>IF($BJ31&gt;0,IF(INDEX('Final Calculation Sheet'!$U$4:$U$40,$BJ31-3)="","",INDEX('Final Calculation Sheet'!$U$4:$U$40,$BJ31-3)),IF(OR($BI31=1,$BL31=1,$BH31&gt;0),IF($BI31=1,SUM('Final Calculation Sheet'!$U$4:$U$40),IF($BL31=1,SUM('Final Calculation Sheet'!$U$4:$U$40)-SUMIFS('Final Calculation Sheet'!$U$4:$U$40,$AZ$5:$AZ$41,10),SUMIFS('Final Calculation Sheet'!$U$4:$U$40,$AZ$5:$AZ$41,$BH31))),""))</f>
        <v/>
      </c>
      <c r="W32" s="70">
        <f>IF($BJ31&gt;0,IF(INDEX('Final Calculation Sheet'!$V$4:$V$40,$BJ31-3)="","",INDEX('Final Calculation Sheet'!$V$4:$V$40,$BJ31-3)),IF(OR($BI31=1,$BL31=1,$BH31&gt;0),"–",""))</f>
        <v/>
      </c>
      <c r="X32" s="70">
        <f>IF($BJ31&gt;0,IF(INDEX('Final Calculation Sheet'!$W$4:$W$40,$BJ31-3)="","",INDEX('Final Calculation Sheet'!$W$4:$W$40,$BJ31-3)),IF(OR($BI31=1,$BL31=1,$BH31&gt;0),IF($BI31=1,SUM('Final Calculation Sheet'!$W$4:$W$40),IF($BL31=1,SUM('Final Calculation Sheet'!$W$4:$W$40)-SUMIFS('Final Calculation Sheet'!$W$4:$W$40,$AZ$5:$AZ$41,10),SUMIFS('Final Calculation Sheet'!$W$4:$W$40,$AZ$5:$AZ$41,$BH31))),""))</f>
        <v/>
      </c>
      <c r="Y32" s="70">
        <f>IF($BJ31&gt;0,IF(INDEX('Final Calculation Sheet'!$X$4:$X$40,$BJ31-3)="","",INDEX('Final Calculation Sheet'!$X$4:$X$40,$BJ31-3)),IF(OR($BI31=1,$BL31=1,$BH31&gt;0),IF($BI31=1,SUM('Final Calculation Sheet'!$X$4:$X$40),IF($BL31=1,SUM('Final Calculation Sheet'!$X$4:$X$40)-SUMIFS('Final Calculation Sheet'!$X$4:$X$40,$AZ$5:$AZ$41,10),SUMIFS('Final Calculation Sheet'!$X$4:$X$40,$AZ$5:$AZ$41,$BH31))),""))</f>
        <v/>
      </c>
      <c r="Z32" s="70">
        <f>IF($BJ31&gt;0,IF(INDEX('Final Calculation Sheet'!$Y$4:$Y$40,$BJ31-3)="","",INDEX('Final Calculation Sheet'!$Y$4:$Y$40,$BJ31-3)),IF(OR($BI31=1,$BL31=1,$BH31&gt;0),"–",""))</f>
        <v/>
      </c>
      <c r="AA32" s="70">
        <f>IF($BJ31&gt;0,IF(INDEX('Final Calculation Sheet'!$Z$4:$Z$40,$BJ31-3)="","",INDEX('Final Calculation Sheet'!$Z$4:$Z$40,$BJ31-3)),IF(OR($BI31=1,$BL31=1,$BH31&gt;0),IF($BI31=1,SUM('Final Calculation Sheet'!$Z$4:$Z$40),IF($BL31=1,SUM('Final Calculation Sheet'!$Z$4:$Z$40)-SUMIFS('Final Calculation Sheet'!$Z$4:$Z$40,$AZ$5:$AZ$41,10),SUMIFS('Final Calculation Sheet'!$Z$4:$Z$40,$AZ$5:$AZ$41,$BH31))),""))</f>
        <v/>
      </c>
      <c r="AB32" s="70">
        <f>IF($BJ31&gt;0,IF(INDEX('Final Calculation Sheet'!$AA$4:$AA$40,$BJ31-3)="","",INDEX('Final Calculation Sheet'!$AA$4:$AA$40,$BJ31-3)),IF(OR($BI31=1,$BL31=1,$BH31&gt;0),IF($BI31=1,SUM('Final Calculation Sheet'!$AA$4:$AA$40),IF($BL31=1,SUM('Final Calculation Sheet'!$AA$4:$AA$40)-SUMIFS('Final Calculation Sheet'!$AA$4:$AA$40,$AZ$5:$AZ$41,10),SUMIFS('Final Calculation Sheet'!$AA$4:$AA$40,$AZ$5:$AZ$41,$BH31))),""))</f>
        <v/>
      </c>
      <c r="AC32" s="70">
        <f>IF($BJ31&gt;0,IF(INDEX('Final Calculation Sheet'!$AB$4:$AB$40,$BJ31-3)="","",INDEX('Final Calculation Sheet'!$AB$4:$AB$40,$BJ31-3)),IF(OR($BI31=1,$BL31=1,$BH31&gt;0),"–",""))</f>
        <v/>
      </c>
      <c r="AD32" s="70">
        <f>IF($BJ31&gt;0,IF(INDEX('Final Calculation Sheet'!$AC$4:$AC$40,$BJ31-3)="","",INDEX('Final Calculation Sheet'!$AC$4:$AC$40,$BJ31-3)),IF(OR($BI31=1,$BL31=1,$BH31&gt;0),IF($BI31=1,SUM('Final Calculation Sheet'!$AC$4:$AC$40),IF($BL31=1,SUM('Final Calculation Sheet'!$AC$4:$AC$40)-SUMIFS('Final Calculation Sheet'!$AC$4:$AC$40,$AZ$5:$AZ$41,10),SUMIFS('Final Calculation Sheet'!$AC$4:$AC$40,$AZ$5:$AZ$41,$BH31))),""))</f>
        <v/>
      </c>
      <c r="AE32" s="70">
        <f>IF($BJ31&gt;0,IF(INDEX('Final Calculation Sheet'!$AD$4:$AD$40,$BJ31-3)="","",INDEX('Final Calculation Sheet'!$AD$4:$AD$40,$BJ31-3)),IF(OR($BI31=1,$BL31=1,$BH31&gt;0),IF($BI31=1,SUM('Final Calculation Sheet'!$AD$4:$AD$40),IF($BL31=1,SUM('Final Calculation Sheet'!$AD$4:$AD$40)-SUMIFS('Final Calculation Sheet'!$AD$4:$AD$40,$AZ$5:$AZ$41,10),SUMIFS('Final Calculation Sheet'!$AD$4:$AD$40,$AZ$5:$AZ$41,$BH31))),""))</f>
        <v/>
      </c>
      <c r="AF32" s="75">
        <f>IF($BJ31&gt;0,IF(INDEX('Final Calculation Sheet'!$AD$4:$AD$40,$BJ31-3)="","",IF(INDEX('Final Calculation Sheet'!$AD$4:$AD$40,$BJ31-3)&lt;=5,"SETTLED","OUTSTANDING")),IF(OR($BI31=1,$BL31=1,$BH31&gt;0),IF(IF($BI31=1,SUM('Final Calculation Sheet'!$AD$4:$AD$40),IF($BL31=1,SUM('Final Calculation Sheet'!$AD$4:$AD$40)-SUMIFS('Final Calculation Sheet'!$AD$4:$AD$40,$AZ$5:$AZ$41,10),SUMIFS('Final Calculation Sheet'!$AD$4:$AD$40,$AZ$5:$AZ$41,$BH31)))&lt;=5,"ALL SETTLED","OUTSTANDING"),""))</f>
        <v/>
      </c>
      <c r="AG32" s="70">
        <f>IF($BJ31&gt;0,IF(INDEX('Final Calculation Sheet'!$AF$4:$AF$40,$BJ31-3)="","",INDEX('Final Calculation Sheet'!$AF$4:$AF$40,$BJ31-3)),IF(OR($BI31=1,$BL31=1,$BH31&gt;0),"–",""))</f>
        <v/>
      </c>
      <c r="AH32" s="74">
        <f>IF($BJ31&gt;0,IF(INDEX('Final Calculation Sheet'!$AG$4:$AG$40,$BJ31-3)="","",INDEX('Final Calculation Sheet'!$AG$4:$AG$40,$BJ31-3)),IF(OR($BI31=1,$BL31=1,$BH31&gt;0),"–",""))</f>
        <v/>
      </c>
      <c r="AI32" s="70">
        <f>IF($BJ31&gt;0,IF(INDEX('Final Calculation Sheet'!$AH$4:$AH$40,$BJ31-3)="","",INDEX('Final Calculation Sheet'!$AH$4:$AH$40,$BJ31-3)),IF(OR($BI31=1,$BL31=1,$BH31&gt;0),"–",""))</f>
        <v/>
      </c>
      <c r="AK32">
        <f>IF($F$3="Lot No.",'Final Calculation Sheet'!$F$31,IF($F$3="Buyer",'Final Calculation Sheet'!$G$31,IF($F$3="Lot Name",'Final Calculation Sheet'!$B$31,IF($F$3="Bid Sheet",'Final Calculation Sheet'!$D$31,IF($F$3="Unit",'Final Calculation Sheet'!$E$31,'Final Calculation Sheet'!$F$31&amp;" "&amp;'Final Calculation Sheet'!$G$31&amp;" "&amp;'Final Calculation Sheet'!$B$31)))))</f>
        <v/>
      </c>
      <c r="AL32">
        <f>AL31+IF($B$3="",0,--(SUMPRODUCT(--($AR$6:$AY$6&lt;&gt;""),--ISNUMBER(SEARCH($AR$6:$AY$6,$AK32)))&gt;0))</f>
        <v/>
      </c>
      <c r="AM32">
        <f>IF(COUNTIF($BM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AZ32">
        <f>IF($B$3="",IF(COUNTIF($A$4:$AI$4,"&lt;&gt;")=0,9,IF($AM32=1,9,10)),IF($AM32=0,10,IF(AND($AR$6&lt;&gt;"",ISNUMBER(SEARCH($AR$6,$AK32))),1,IF(AND($AS$6&lt;&gt;"",ISNUMBER(SEARCH($AS$6,$AK32))),2,IF(AND($AT$6&lt;&gt;"",ISNUMBER(SEARCH($AT$6,$AK32))),3,IF(AND($AU$6&lt;&gt;"",ISNUMBER(SEARCH($AU$6,$AK32))),4,IF(AND($AV$6&lt;&gt;"",ISNUMBER(SEARCH($AV$6,$AK32))),5,IF(AND($AW$6&lt;&gt;"",ISNUMBER(SEARCH($AW$6,$AK32))),6,IF(AND($AX$6&lt;&gt;"",ISNUMBER(SEARCH($AX$6,$AK32))),7,IF(AND($AY$6&lt;&gt;"",ISNUMBER(SEARCH($AY$6,$AK32))),8,0))))))))))</f>
        <v/>
      </c>
      <c r="BA32">
        <f>SUMPRODUCT(($AZ$5:$AZ$41=$AZ32)*($BC$5:$BC$41&lt;$BC32))+1</f>
        <v/>
      </c>
      <c r="BB32">
        <f>IF(INDEX($BF$4:$BF$13,$AZ32)=0,0,INDEX($BE$4:$BE$13,$AZ32)+$BA32-1)</f>
        <v/>
      </c>
      <c r="BC32" t="n">
        <v>31</v>
      </c>
      <c r="BH32">
        <f>IFERROR(MATCH(32,$BF$4:$BF$13,0),0)</f>
        <v/>
      </c>
      <c r="BI32">
        <f>IF(32=$BG$5,1,0)</f>
        <v/>
      </c>
      <c r="BJ32">
        <f>IF(OR($BH32&gt;0,$BI32=1,$BL32=1),0,IFERROR(INDEX($BC$5:$BC$41,MATCH(32,$BB$5:$BB$41,0)),0))</f>
        <v/>
      </c>
      <c r="BK32">
        <f>IF($BJ32&gt;0,IF(INDEX($AZ$5:$AZ$41,MATCH(32,$BB$5:$BB$41,0))=10,1,0),IF($BH32=10,1,0))</f>
        <v/>
      </c>
      <c r="BL32">
        <f>IF(32=$BG$4,1,0)</f>
        <v/>
      </c>
      <c r="BM32">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2">
        <f>IF($B$4="",1,--(OR(SUMPRODUCT(--(TRIM(MID(SUBSTITUTE(SUBSTITUTE($B$4,"/",","),",",REPT(" ",99)),(ROW($1:$8)-1)*99+1,99))&lt;&gt;""),--ISNUMBER(SEARCH(TRIM(MID(SUBSTITUTE(SUBSTITUTE($B$4,"/",","),",",REPT(" ",99)),(ROW($1:$8)-1)*99+1,99)),IFERROR(('Final Calculation Sheet'!$F$31)&amp;"",""))))&gt;0,AND(ISNUMBER(SEARCH("blank",$B$4)),NOT(ISNUMBER(SEARCH("nonblank",$B$4))),IFERROR(('Final Calculation Sheet'!$F$31)&amp;"","")=""),AND(OR(ISNUMBER(SEARCH("nonblank",$B$4)),ISNUMBER(SEARCH("&lt;&gt;",$B$4))),IFERROR(('Final Calculation Sheet'!$F$31)&amp;"","")&lt;&gt;""),AND(TRIM($B$4)="",IFERROR(('Final Calculation Sheet'!$F$31)&amp;"","")=""))))</f>
        <v/>
      </c>
      <c r="BO32">
        <f>IF($CW$3="",1,--(OR(SUMPRODUCT(--(TRIM(MID(SUBSTITUTE(SUBSTITUTE($CW$3,"/",","),",",REPT(" ",99)),(ROW($1:$8)-1)*99+1,99))&lt;&gt;""),--ISNUMBER(SEARCH(TRIM(MID(SUBSTITUTE(SUBSTITUTE($CW$3,"/",","),",",REPT(" ",99)),(ROW($1:$8)-1)*99+1,99)),IFERROR(('Final Calculation Sheet'!$G$31)&amp;"",""))))&gt;0,AND(ISNUMBER(SEARCH("blank",$CW$3)),NOT(ISNUMBER(SEARCH("nonblank",$CW$3))),IFERROR(('Final Calculation Sheet'!$G$31)&amp;"","")=""),AND(OR(ISNUMBER(SEARCH("nonblank",$CW$3)),ISNUMBER(SEARCH("&lt;&gt;",$CW$3))),IFERROR(('Final Calculation Sheet'!$G$31)&amp;"","")&lt;&gt;""),AND(TRIM($CW$3)="",IFERROR(('Final Calculation Sheet'!$G$31)&amp;"","")=""))))</f>
        <v/>
      </c>
      <c r="BP32">
        <f>IF($D$4="",1,--(OR(SUMPRODUCT(--(TRIM(MID(SUBSTITUTE(SUBSTITUTE($D$4,"/",","),",",REPT(" ",99)),(ROW($1:$8)-1)*99+1,99))&lt;&gt;""),--ISNUMBER(SEARCH(TRIM(MID(SUBSTITUTE(SUBSTITUTE($D$4,"/",","),",",REPT(" ",99)),(ROW($1:$8)-1)*99+1,99)),IFERROR(('Final Calculation Sheet'!$B$31)&amp;"",""))))&gt;0,AND(ISNUMBER(SEARCH("blank",$D$4)),NOT(ISNUMBER(SEARCH("nonblank",$D$4))),IFERROR(('Final Calculation Sheet'!$B$31)&amp;"","")=""),AND(OR(ISNUMBER(SEARCH("nonblank",$D$4)),ISNUMBER(SEARCH("&lt;&gt;",$D$4))),IFERROR(('Final Calculation Sheet'!$B$31)&amp;"","")&lt;&gt;""),AND(TRIM($D$4)="",IFERROR(('Final Calculation Sheet'!$B$31)&amp;"","")=""))))</f>
        <v/>
      </c>
      <c r="BQ32">
        <f>IF($E$4="",1,--(OR(SUMPRODUCT(--(TRIM(MID(SUBSTITUTE(SUBSTITUTE($E$4,"/",","),",",REPT(" ",99)),(ROW($1:$8)-1)*99+1,99))&lt;&gt;""),--ISNUMBER(SEARCH(TRIM(MID(SUBSTITUTE(SUBSTITUTE($E$4,"/",","),",",REPT(" ",99)),(ROW($1:$8)-1)*99+1,99)),IFERROR(('Final Calculation Sheet'!$D$31)&amp;"",""))))&gt;0,AND(ISNUMBER(SEARCH("blank",$E$4)),NOT(ISNUMBER(SEARCH("nonblank",$E$4))),IFERROR(('Final Calculation Sheet'!$D$31)&amp;"","")=""),AND(OR(ISNUMBER(SEARCH("nonblank",$E$4)),ISNUMBER(SEARCH("&lt;&gt;",$E$4))),IFERROR(('Final Calculation Sheet'!$D$31)&amp;"","")&lt;&gt;""),AND(TRIM($E$4)="",IFERROR(('Final Calculation Sheet'!$D$31)&amp;"","")=""))))</f>
        <v/>
      </c>
      <c r="BR32">
        <f>IF($F$4="",1,--(OR(SUMPRODUCT(--(TRIM(MID(SUBSTITUTE(SUBSTITUTE($F$4,"/",","),",",REPT(" ",99)),(ROW($1:$8)-1)*99+1,99))&lt;&gt;""),--ISNUMBER(SEARCH(TRIM(MID(SUBSTITUTE(SUBSTITUTE($F$4,"/",","),",",REPT(" ",99)),(ROW($1:$8)-1)*99+1,99)),IFERROR(('Final Calculation Sheet'!$A$31)&amp;"",""))))&gt;0,AND(ISNUMBER(SEARCH("blank",$F$4)),NOT(ISNUMBER(SEARCH("nonblank",$F$4))),IFERROR(('Final Calculation Sheet'!$A$31)&amp;"","")=""),AND(OR(ISNUMBER(SEARCH("nonblank",$F$4)),ISNUMBER(SEARCH("&lt;&gt;",$F$4))),IFERROR(('Final Calculation Sheet'!$A$31)&amp;"","")&lt;&gt;""),AND(TRIM($F$4)="",IFERROR(('Final Calculation Sheet'!$A$31)&amp;"","")=""))))</f>
        <v/>
      </c>
      <c r="BS32">
        <f>IF($G$4="",1,--(OR(SUMPRODUCT(--(TRIM(MID(SUBSTITUTE(SUBSTITUTE($G$4,"/",","),",",REPT(" ",99)),(ROW($1:$8)-1)*99+1,99))&lt;&gt;""),--ISNUMBER(SEARCH(TRIM(MID(SUBSTITUTE(SUBSTITUTE($G$4,"/",","),",",REPT(" ",99)),(ROW($1:$8)-1)*99+1,99)),IFERROR(('Final Calculation Sheet'!$E$31)&amp;"",""))))&gt;0,AND(ISNUMBER(SEARCH("blank",$G$4)),NOT(ISNUMBER(SEARCH("nonblank",$G$4))),IFERROR(('Final Calculation Sheet'!$E$31)&amp;"","")=""),AND(OR(ISNUMBER(SEARCH("nonblank",$G$4)),ISNUMBER(SEARCH("&lt;&gt;",$G$4))),IFERROR(('Final Calculation Sheet'!$E$31)&amp;"","")&lt;&gt;""),AND(TRIM($G$4)="",IFERROR(('Final Calculation Sheet'!$E$31)&amp;"","")=""))))</f>
        <v/>
      </c>
      <c r="BT32">
        <f>IF($H$4="",1,--(OR(SUMPRODUCT(--(TRIM(MID(SUBSTITUTE(SUBSTITUTE($H$4,"/",","),",",REPT(" ",99)),(ROW($1:$8)-1)*99+1,99))&lt;&gt;""),--ISNUMBER(SEARCH(TRIM(MID(SUBSTITUTE(SUBSTITUTE($H$4,"/",","),",",REPT(" ",99)),(ROW($1:$8)-1)*99+1,99)),IFERROR(('Final Calculation Sheet'!$C$31)&amp;"",""))))&gt;0,AND(ISNUMBER(SEARCH("blank",$H$4)),NOT(ISNUMBER(SEARCH("nonblank",$H$4))),IFERROR(('Final Calculation Sheet'!$C$31)&amp;"","")=""),AND(OR(ISNUMBER(SEARCH("nonblank",$H$4)),ISNUMBER(SEARCH("&lt;&gt;",$H$4))),IFERROR(('Final Calculation Sheet'!$C$31)&amp;"","")&lt;&gt;""),AND(TRIM($H$4)="",IFERROR(('Final Calculation Sheet'!$C$31)&amp;"","")=""))))</f>
        <v/>
      </c>
      <c r="BU32">
        <f>IF($I$4="",1,--(OR(SUMPRODUCT(--(TRIM(MID(SUBSTITUTE(SUBSTITUTE($I$4,"/",","),",",REPT(" ",99)),(ROW($1:$8)-1)*99+1,99))&lt;&gt;""),--ISNUMBER(SEARCH(TRIM(MID(SUBSTITUTE(SUBSTITUTE($I$4,"/",","),",",REPT(" ",99)),(ROW($1:$8)-1)*99+1,99)),IFERROR(('Final Calculation Sheet'!$H$31)&amp;"",""))))&gt;0,AND(ISNUMBER(SEARCH("blank",$I$4)),NOT(ISNUMBER(SEARCH("nonblank",$I$4))),IFERROR(('Final Calculation Sheet'!$H$31)&amp;"","")=""),AND(OR(ISNUMBER(SEARCH("nonblank",$I$4)),ISNUMBER(SEARCH("&lt;&gt;",$I$4))),IFERROR(('Final Calculation Sheet'!$H$31)&amp;"","")&lt;&gt;""),AND(TRIM($I$4)="",IFERROR(('Final Calculation Sheet'!$H$31)&amp;"","")=""))))</f>
        <v/>
      </c>
      <c r="BV32">
        <f>IF($J$4="",1,--(OR(SUMPRODUCT(--(TRIM(MID(SUBSTITUTE(SUBSTITUTE($J$4,"/",","),",",REPT(" ",99)),(ROW($1:$8)-1)*99+1,99))&lt;&gt;""),--ISNUMBER(SEARCH(TRIM(MID(SUBSTITUTE(SUBSTITUTE($J$4,"/",","),",",REPT(" ",99)),(ROW($1:$8)-1)*99+1,99)),IFERROR(('Final Calculation Sheet'!$I$31)&amp;"",""))))&gt;0,AND(ISNUMBER(SEARCH("blank",$J$4)),NOT(ISNUMBER(SEARCH("nonblank",$J$4))),IFERROR(('Final Calculation Sheet'!$I$31)&amp;"","")=""),AND(OR(ISNUMBER(SEARCH("nonblank",$J$4)),ISNUMBER(SEARCH("&lt;&gt;",$J$4))),IFERROR(('Final Calculation Sheet'!$I$31)&amp;"","")&lt;&gt;""),AND(TRIM($J$4)="",IFERROR(('Final Calculation Sheet'!$I$31)&amp;"","")=""))))</f>
        <v/>
      </c>
      <c r="BW32">
        <f>IF($K$4="",1,--(OR(SUMPRODUCT(--(TRIM(MID(SUBSTITUTE(SUBSTITUTE($K$4,"/",","),",",REPT(" ",99)),(ROW($1:$8)-1)*99+1,99))&lt;&gt;""),--ISNUMBER(SEARCH(TRIM(MID(SUBSTITUTE(SUBSTITUTE($K$4,"/",","),",",REPT(" ",99)),(ROW($1:$8)-1)*99+1,99)),IFERROR(('Final Calculation Sheet'!$J$31)&amp;"",""))))&gt;0,AND(ISNUMBER(SEARCH("blank",$K$4)),NOT(ISNUMBER(SEARCH("nonblank",$K$4))),IFERROR(('Final Calculation Sheet'!$J$31)&amp;"","")=""),AND(OR(ISNUMBER(SEARCH("nonblank",$K$4)),ISNUMBER(SEARCH("&lt;&gt;",$K$4))),IFERROR(('Final Calculation Sheet'!$J$31)&amp;"","")&lt;&gt;""),AND(TRIM($K$4)="",IFERROR(('Final Calculation Sheet'!$J$31)&amp;"","")=""))))</f>
        <v/>
      </c>
      <c r="BX32">
        <f>IF($L$4="",1,--(OR(SUMPRODUCT(--(TRIM(MID(SUBSTITUTE(SUBSTITUTE($L$4,"/",","),",",REPT(" ",99)),(ROW($1:$8)-1)*99+1,99))&lt;&gt;""),--ISNUMBER(SEARCH(TRIM(MID(SUBSTITUTE(SUBSTITUTE($L$4,"/",","),",",REPT(" ",99)),(ROW($1:$8)-1)*99+1,99)),IFERROR(('Final Calculation Sheet'!$K$31)&amp;"",""))))&gt;0,AND(ISNUMBER(SEARCH("blank",$L$4)),NOT(ISNUMBER(SEARCH("nonblank",$L$4))),IFERROR(('Final Calculation Sheet'!$K$31)&amp;"","")=""),AND(OR(ISNUMBER(SEARCH("nonblank",$L$4)),ISNUMBER(SEARCH("&lt;&gt;",$L$4))),IFERROR(('Final Calculation Sheet'!$K$31)&amp;"","")&lt;&gt;""),AND(TRIM($L$4)="",IFERROR(('Final Calculation Sheet'!$K$31)&amp;"","")=""))))</f>
        <v/>
      </c>
      <c r="BY32">
        <f>IF($M$4="",1,--(OR(SUMPRODUCT(--(TRIM(MID(SUBSTITUTE(SUBSTITUTE($M$4,"/",","),",",REPT(" ",99)),(ROW($1:$8)-1)*99+1,99))&lt;&gt;""),--ISNUMBER(SEARCH(TRIM(MID(SUBSTITUTE(SUBSTITUTE($M$4,"/",","),",",REPT(" ",99)),(ROW($1:$8)-1)*99+1,99)),IFERROR(('Final Calculation Sheet'!$L$31)&amp;"",""))))&gt;0,AND(ISNUMBER(SEARCH("blank",$M$4)),NOT(ISNUMBER(SEARCH("nonblank",$M$4))),IFERROR(('Final Calculation Sheet'!$L$31)&amp;"","")=""),AND(OR(ISNUMBER(SEARCH("nonblank",$M$4)),ISNUMBER(SEARCH("&lt;&gt;",$M$4))),IFERROR(('Final Calculation Sheet'!$L$31)&amp;"","")&lt;&gt;""),AND(TRIM($M$4)="",IFERROR(('Final Calculation Sheet'!$L$31)&amp;"","")=""))))</f>
        <v/>
      </c>
      <c r="BZ32">
        <f>IF($N$4="",1,--(OR(SUMPRODUCT(--(TRIM(MID(SUBSTITUTE(SUBSTITUTE($N$4,"/",","),",",REPT(" ",99)),(ROW($1:$8)-1)*99+1,99))&lt;&gt;""),--ISNUMBER(SEARCH(TRIM(MID(SUBSTITUTE(SUBSTITUTE($N$4,"/",","),",",REPT(" ",99)),(ROW($1:$8)-1)*99+1,99)),IFERROR(('Final Calculation Sheet'!$M$31)&amp;"",""))))&gt;0,AND(ISNUMBER(SEARCH("blank",$N$4)),NOT(ISNUMBER(SEARCH("nonblank",$N$4))),IFERROR(('Final Calculation Sheet'!$M$31)&amp;"","")=""),AND(OR(ISNUMBER(SEARCH("nonblank",$N$4)),ISNUMBER(SEARCH("&lt;&gt;",$N$4))),IFERROR(('Final Calculation Sheet'!$M$31)&amp;"","")&lt;&gt;""),AND(TRIM($N$4)="",IFERROR(('Final Calculation Sheet'!$M$31)&amp;"","")=""))))</f>
        <v/>
      </c>
      <c r="CA32">
        <f>IF($O$4="",1,--(OR(SUMPRODUCT(--(TRIM(MID(SUBSTITUTE(SUBSTITUTE($O$4,"/",","),",",REPT(" ",99)),(ROW($1:$8)-1)*99+1,99))&lt;&gt;""),--ISNUMBER(SEARCH(TRIM(MID(SUBSTITUTE(SUBSTITUTE($O$4,"/",","),",",REPT(" ",99)),(ROW($1:$8)-1)*99+1,99)),IFERROR(('Final Calculation Sheet'!$N$31)&amp;"",""))))&gt;0,AND(ISNUMBER(SEARCH("blank",$O$4)),NOT(ISNUMBER(SEARCH("nonblank",$O$4))),IFERROR(('Final Calculation Sheet'!$N$31)&amp;"","")=""),AND(OR(ISNUMBER(SEARCH("nonblank",$O$4)),ISNUMBER(SEARCH("&lt;&gt;",$O$4))),IFERROR(('Final Calculation Sheet'!$N$31)&amp;"","")&lt;&gt;""),AND(TRIM($O$4)="",IFERROR(('Final Calculation Sheet'!$N$31)&amp;"","")=""))))</f>
        <v/>
      </c>
      <c r="CB32">
        <f>IF($P$4="",1,--(OR(SUMPRODUCT(--(TRIM(MID(SUBSTITUTE(SUBSTITUTE($P$4,"/",","),",",REPT(" ",99)),(ROW($1:$8)-1)*99+1,99))&lt;&gt;""),--ISNUMBER(SEARCH(TRIM(MID(SUBSTITUTE(SUBSTITUTE($P$4,"/",","),",",REPT(" ",99)),(ROW($1:$8)-1)*99+1,99)),IFERROR(('Final Calculation Sheet'!$O$31)&amp;"",""))))&gt;0,AND(ISNUMBER(SEARCH("blank",$P$4)),NOT(ISNUMBER(SEARCH("nonblank",$P$4))),IFERROR(('Final Calculation Sheet'!$O$31)&amp;"","")=""),AND(OR(ISNUMBER(SEARCH("nonblank",$P$4)),ISNUMBER(SEARCH("&lt;&gt;",$P$4))),IFERROR(('Final Calculation Sheet'!$O$31)&amp;"","")&lt;&gt;""),AND(TRIM($P$4)="",IFERROR(('Final Calculation Sheet'!$O$31)&amp;"","")=""))))</f>
        <v/>
      </c>
      <c r="CC32">
        <f>IF($Q$4="",1,--(OR(SUMPRODUCT(--(TRIM(MID(SUBSTITUTE(SUBSTITUTE($Q$4,"/",","),",",REPT(" ",99)),(ROW($1:$8)-1)*99+1,99))&lt;&gt;""),--ISNUMBER(SEARCH(TRIM(MID(SUBSTITUTE(SUBSTITUTE($Q$4,"/",","),",",REPT(" ",99)),(ROW($1:$8)-1)*99+1,99)),IFERROR(('Final Calculation Sheet'!$P$31)&amp;"",""))))&gt;0,AND(ISNUMBER(SEARCH("blank",$Q$4)),NOT(ISNUMBER(SEARCH("nonblank",$Q$4))),IFERROR(('Final Calculation Sheet'!$P$31)&amp;"","")=""),AND(OR(ISNUMBER(SEARCH("nonblank",$Q$4)),ISNUMBER(SEARCH("&lt;&gt;",$Q$4))),IFERROR(('Final Calculation Sheet'!$P$31)&amp;"","")&lt;&gt;""),AND(TRIM($Q$4)="",IFERROR(('Final Calculation Sheet'!$P$31)&amp;"","")=""))))</f>
        <v/>
      </c>
      <c r="CD32">
        <f>IF($R$4="",1,--(OR(SUMPRODUCT(--(TRIM(MID(SUBSTITUTE(SUBSTITUTE($R$4,"/",","),",",REPT(" ",99)),(ROW($1:$8)-1)*99+1,99))&lt;&gt;""),--ISNUMBER(SEARCH(TRIM(MID(SUBSTITUTE(SUBSTITUTE($R$4,"/",","),",",REPT(" ",99)),(ROW($1:$8)-1)*99+1,99)),IFERROR(('Final Calculation Sheet'!$Q$31)&amp;"",""))))&gt;0,AND(ISNUMBER(SEARCH("blank",$R$4)),NOT(ISNUMBER(SEARCH("nonblank",$R$4))),IFERROR(('Final Calculation Sheet'!$Q$31)&amp;"","")=""),AND(OR(ISNUMBER(SEARCH("nonblank",$R$4)),ISNUMBER(SEARCH("&lt;&gt;",$R$4))),IFERROR(('Final Calculation Sheet'!$Q$31)&amp;"","")&lt;&gt;""),AND(TRIM($R$4)="",IFERROR(('Final Calculation Sheet'!$Q$31)&amp;"","")=""))))</f>
        <v/>
      </c>
      <c r="CE32">
        <f>IF($S$4="",1,--(OR(SUMPRODUCT(--(TRIM(MID(SUBSTITUTE(SUBSTITUTE($S$4,"/",","),",",REPT(" ",99)),(ROW($1:$8)-1)*99+1,99))&lt;&gt;""),--ISNUMBER(SEARCH(TRIM(MID(SUBSTITUTE(SUBSTITUTE($S$4,"/",","),",",REPT(" ",99)),(ROW($1:$8)-1)*99+1,99)),IFERROR(('Final Calculation Sheet'!$R$31)&amp;"",""))))&gt;0,AND(ISNUMBER(SEARCH("blank",$S$4)),NOT(ISNUMBER(SEARCH("nonblank",$S$4))),IFERROR(('Final Calculation Sheet'!$R$31)&amp;"","")=""),AND(OR(ISNUMBER(SEARCH("nonblank",$S$4)),ISNUMBER(SEARCH("&lt;&gt;",$S$4))),IFERROR(('Final Calculation Sheet'!$R$31)&amp;"","")&lt;&gt;""),AND(TRIM($S$4)="",IFERROR(('Final Calculation Sheet'!$R$31)&amp;"","")=""))))</f>
        <v/>
      </c>
      <c r="CF32">
        <f>IF($T$4="",1,--(OR(SUMPRODUCT(--(TRIM(MID(SUBSTITUTE(SUBSTITUTE($T$4,"/",","),",",REPT(" ",99)),(ROW($1:$8)-1)*99+1,99))&lt;&gt;""),--ISNUMBER(SEARCH(TRIM(MID(SUBSTITUTE(SUBSTITUTE($T$4,"/",","),",",REPT(" ",99)),(ROW($1:$8)-1)*99+1,99)),IFERROR(('Final Calculation Sheet'!$S$31)&amp;"",""))))&gt;0,AND(ISNUMBER(SEARCH("blank",$T$4)),NOT(ISNUMBER(SEARCH("nonblank",$T$4))),IFERROR(('Final Calculation Sheet'!$S$31)&amp;"","")=""),AND(OR(ISNUMBER(SEARCH("nonblank",$T$4)),ISNUMBER(SEARCH("&lt;&gt;",$T$4))),IFERROR(('Final Calculation Sheet'!$S$31)&amp;"","")&lt;&gt;""),AND(TRIM($T$4)="",IFERROR(('Final Calculation Sheet'!$S$31)&amp;"","")=""))))</f>
        <v/>
      </c>
      <c r="CG32">
        <f>IF($U$4="",1,--(OR(SUMPRODUCT(--(TRIM(MID(SUBSTITUTE(SUBSTITUTE($U$4,"/",","),",",REPT(" ",99)),(ROW($1:$8)-1)*99+1,99))&lt;&gt;""),--ISNUMBER(SEARCH(TRIM(MID(SUBSTITUTE(SUBSTITUTE($U$4,"/",","),",",REPT(" ",99)),(ROW($1:$8)-1)*99+1,99)),IFERROR(('Final Calculation Sheet'!$T$31)&amp;"",""))))&gt;0,AND(ISNUMBER(SEARCH("blank",$U$4)),NOT(ISNUMBER(SEARCH("nonblank",$U$4))),IFERROR(('Final Calculation Sheet'!$T$31)&amp;"","")=""),AND(OR(ISNUMBER(SEARCH("nonblank",$U$4)),ISNUMBER(SEARCH("&lt;&gt;",$U$4))),IFERROR(('Final Calculation Sheet'!$T$31)&amp;"","")&lt;&gt;""),AND(TRIM($U$4)="",IFERROR(('Final Calculation Sheet'!$T$31)&amp;"","")=""))))</f>
        <v/>
      </c>
      <c r="CH32">
        <f>IF($V$4="",1,--(OR(SUMPRODUCT(--(TRIM(MID(SUBSTITUTE(SUBSTITUTE($V$4,"/",","),",",REPT(" ",99)),(ROW($1:$8)-1)*99+1,99))&lt;&gt;""),--ISNUMBER(SEARCH(TRIM(MID(SUBSTITUTE(SUBSTITUTE($V$4,"/",","),",",REPT(" ",99)),(ROW($1:$8)-1)*99+1,99)),IFERROR(('Final Calculation Sheet'!$U$31)&amp;"",""))))&gt;0,AND(ISNUMBER(SEARCH("blank",$V$4)),NOT(ISNUMBER(SEARCH("nonblank",$V$4))),IFERROR(('Final Calculation Sheet'!$U$31)&amp;"","")=""),AND(OR(ISNUMBER(SEARCH("nonblank",$V$4)),ISNUMBER(SEARCH("&lt;&gt;",$V$4))),IFERROR(('Final Calculation Sheet'!$U$31)&amp;"","")&lt;&gt;""),AND(TRIM($V$4)="",IFERROR(('Final Calculation Sheet'!$U$31)&amp;"","")=""))))</f>
        <v/>
      </c>
      <c r="CI32">
        <f>IF($W$4="",1,--(OR(SUMPRODUCT(--(TRIM(MID(SUBSTITUTE(SUBSTITUTE($W$4,"/",","),",",REPT(" ",99)),(ROW($1:$8)-1)*99+1,99))&lt;&gt;""),--ISNUMBER(SEARCH(TRIM(MID(SUBSTITUTE(SUBSTITUTE($W$4,"/",","),",",REPT(" ",99)),(ROW($1:$8)-1)*99+1,99)),IFERROR(('Final Calculation Sheet'!$V$31)&amp;"",""))))&gt;0,AND(ISNUMBER(SEARCH("blank",$W$4)),NOT(ISNUMBER(SEARCH("nonblank",$W$4))),IFERROR(('Final Calculation Sheet'!$V$31)&amp;"","")=""),AND(OR(ISNUMBER(SEARCH("nonblank",$W$4)),ISNUMBER(SEARCH("&lt;&gt;",$W$4))),IFERROR(('Final Calculation Sheet'!$V$31)&amp;"","")&lt;&gt;""),AND(TRIM($W$4)="",IFERROR(('Final Calculation Sheet'!$V$31)&amp;"","")=""))))</f>
        <v/>
      </c>
      <c r="CJ32">
        <f>IF($X$4="",1,--(OR(SUMPRODUCT(--(TRIM(MID(SUBSTITUTE(SUBSTITUTE($X$4,"/",","),",",REPT(" ",99)),(ROW($1:$8)-1)*99+1,99))&lt;&gt;""),--ISNUMBER(SEARCH(TRIM(MID(SUBSTITUTE(SUBSTITUTE($X$4,"/",","),",",REPT(" ",99)),(ROW($1:$8)-1)*99+1,99)),IFERROR(('Final Calculation Sheet'!$W$31)&amp;"",""))))&gt;0,AND(ISNUMBER(SEARCH("blank",$X$4)),NOT(ISNUMBER(SEARCH("nonblank",$X$4))),IFERROR(('Final Calculation Sheet'!$W$31)&amp;"","")=""),AND(OR(ISNUMBER(SEARCH("nonblank",$X$4)),ISNUMBER(SEARCH("&lt;&gt;",$X$4))),IFERROR(('Final Calculation Sheet'!$W$31)&amp;"","")&lt;&gt;""),AND(TRIM($X$4)="",IFERROR(('Final Calculation Sheet'!$W$31)&amp;"","")=""))))</f>
        <v/>
      </c>
      <c r="CK32">
        <f>IF($Y$4="",1,--(OR(SUMPRODUCT(--(TRIM(MID(SUBSTITUTE(SUBSTITUTE($Y$4,"/",","),",",REPT(" ",99)),(ROW($1:$8)-1)*99+1,99))&lt;&gt;""),--ISNUMBER(SEARCH(TRIM(MID(SUBSTITUTE(SUBSTITUTE($Y$4,"/",","),",",REPT(" ",99)),(ROW($1:$8)-1)*99+1,99)),IFERROR(('Final Calculation Sheet'!$X$31)&amp;"",""))))&gt;0,AND(ISNUMBER(SEARCH("blank",$Y$4)),NOT(ISNUMBER(SEARCH("nonblank",$Y$4))),IFERROR(('Final Calculation Sheet'!$X$31)&amp;"","")=""),AND(OR(ISNUMBER(SEARCH("nonblank",$Y$4)),ISNUMBER(SEARCH("&lt;&gt;",$Y$4))),IFERROR(('Final Calculation Sheet'!$X$31)&amp;"","")&lt;&gt;""),AND(TRIM($Y$4)="",IFERROR(('Final Calculation Sheet'!$X$31)&amp;"","")=""))))</f>
        <v/>
      </c>
      <c r="CL32">
        <f>IF($Z$4="",1,--(OR(SUMPRODUCT(--(TRIM(MID(SUBSTITUTE(SUBSTITUTE($Z$4,"/",","),",",REPT(" ",99)),(ROW($1:$8)-1)*99+1,99))&lt;&gt;""),--ISNUMBER(SEARCH(TRIM(MID(SUBSTITUTE(SUBSTITUTE($Z$4,"/",","),",",REPT(" ",99)),(ROW($1:$8)-1)*99+1,99)),IFERROR(('Final Calculation Sheet'!$Y$31)&amp;"",""))))&gt;0,AND(ISNUMBER(SEARCH("blank",$Z$4)),NOT(ISNUMBER(SEARCH("nonblank",$Z$4))),IFERROR(('Final Calculation Sheet'!$Y$31)&amp;"","")=""),AND(OR(ISNUMBER(SEARCH("nonblank",$Z$4)),ISNUMBER(SEARCH("&lt;&gt;",$Z$4))),IFERROR(('Final Calculation Sheet'!$Y$31)&amp;"","")&lt;&gt;""),AND(TRIM($Z$4)="",IFERROR(('Final Calculation Sheet'!$Y$31)&amp;"","")=""))))</f>
        <v/>
      </c>
      <c r="CM32">
        <f>IF($AA$4="",1,--(OR(SUMPRODUCT(--(TRIM(MID(SUBSTITUTE(SUBSTITUTE($AA$4,"/",","),",",REPT(" ",99)),(ROW($1:$8)-1)*99+1,99))&lt;&gt;""),--ISNUMBER(SEARCH(TRIM(MID(SUBSTITUTE(SUBSTITUTE($AA$4,"/",","),",",REPT(" ",99)),(ROW($1:$8)-1)*99+1,99)),IFERROR(('Final Calculation Sheet'!$Z$31)&amp;"",""))))&gt;0,AND(ISNUMBER(SEARCH("blank",$AA$4)),NOT(ISNUMBER(SEARCH("nonblank",$AA$4))),IFERROR(('Final Calculation Sheet'!$Z$31)&amp;"","")=""),AND(OR(ISNUMBER(SEARCH("nonblank",$AA$4)),ISNUMBER(SEARCH("&lt;&gt;",$AA$4))),IFERROR(('Final Calculation Sheet'!$Z$31)&amp;"","")&lt;&gt;""),AND(TRIM($AA$4)="",IFERROR(('Final Calculation Sheet'!$Z$31)&amp;"","")=""))))</f>
        <v/>
      </c>
      <c r="CN32">
        <f>IF($AB$4="",1,--(OR(SUMPRODUCT(--(TRIM(MID(SUBSTITUTE(SUBSTITUTE($AB$4,"/",","),",",REPT(" ",99)),(ROW($1:$8)-1)*99+1,99))&lt;&gt;""),--ISNUMBER(SEARCH(TRIM(MID(SUBSTITUTE(SUBSTITUTE($AB$4,"/",","),",",REPT(" ",99)),(ROW($1:$8)-1)*99+1,99)),IFERROR(('Final Calculation Sheet'!$AA$31)&amp;"",""))))&gt;0,AND(ISNUMBER(SEARCH("blank",$AB$4)),NOT(ISNUMBER(SEARCH("nonblank",$AB$4))),IFERROR(('Final Calculation Sheet'!$AA$31)&amp;"","")=""),AND(OR(ISNUMBER(SEARCH("nonblank",$AB$4)),ISNUMBER(SEARCH("&lt;&gt;",$AB$4))),IFERROR(('Final Calculation Sheet'!$AA$31)&amp;"","")&lt;&gt;""),AND(TRIM($AB$4)="",IFERROR(('Final Calculation Sheet'!$AA$31)&amp;"","")=""))))</f>
        <v/>
      </c>
      <c r="CO32">
        <f>IF($AC$4="",1,--(OR(SUMPRODUCT(--(TRIM(MID(SUBSTITUTE(SUBSTITUTE($AC$4,"/",","),",",REPT(" ",99)),(ROW($1:$8)-1)*99+1,99))&lt;&gt;""),--ISNUMBER(SEARCH(TRIM(MID(SUBSTITUTE(SUBSTITUTE($AC$4,"/",","),",",REPT(" ",99)),(ROW($1:$8)-1)*99+1,99)),IFERROR(('Final Calculation Sheet'!$AB$31)&amp;"",""))))&gt;0,AND(ISNUMBER(SEARCH("blank",$AC$4)),NOT(ISNUMBER(SEARCH("nonblank",$AC$4))),IFERROR(('Final Calculation Sheet'!$AB$31)&amp;"","")=""),AND(OR(ISNUMBER(SEARCH("nonblank",$AC$4)),ISNUMBER(SEARCH("&lt;&gt;",$AC$4))),IFERROR(('Final Calculation Sheet'!$AB$31)&amp;"","")&lt;&gt;""),AND(TRIM($AC$4)="",IFERROR(('Final Calculation Sheet'!$AB$31)&amp;"","")=""))))</f>
        <v/>
      </c>
      <c r="CP32">
        <f>IF($AD$4="",1,--(OR(SUMPRODUCT(--(TRIM(MID(SUBSTITUTE(SUBSTITUTE($AD$4,"/",","),",",REPT(" ",99)),(ROW($1:$8)-1)*99+1,99))&lt;&gt;""),--ISNUMBER(SEARCH(TRIM(MID(SUBSTITUTE(SUBSTITUTE($AD$4,"/",","),",",REPT(" ",99)),(ROW($1:$8)-1)*99+1,99)),IFERROR(('Final Calculation Sheet'!$AC$31)&amp;"",""))))&gt;0,AND(ISNUMBER(SEARCH("blank",$AD$4)),NOT(ISNUMBER(SEARCH("nonblank",$AD$4))),IFERROR(('Final Calculation Sheet'!$AC$31)&amp;"","")=""),AND(OR(ISNUMBER(SEARCH("nonblank",$AD$4)),ISNUMBER(SEARCH("&lt;&gt;",$AD$4))),IFERROR(('Final Calculation Sheet'!$AC$31)&amp;"","")&lt;&gt;""),AND(TRIM($AD$4)="",IFERROR(('Final Calculation Sheet'!$AC$31)&amp;"","")=""))))</f>
        <v/>
      </c>
      <c r="CQ32">
        <f>IF($AE$4="",1,--(OR(SUMPRODUCT(--(TRIM(MID(SUBSTITUTE(SUBSTITUTE($AE$4,"/",","),",",REPT(" ",99)),(ROW($1:$8)-1)*99+1,99))&lt;&gt;""),--ISNUMBER(SEARCH(TRIM(MID(SUBSTITUTE(SUBSTITUTE($AE$4,"/",","),",",REPT(" ",99)),(ROW($1:$8)-1)*99+1,99)),IFERROR(('Final Calculation Sheet'!$AD$31)&amp;"",""))))&gt;0,AND(ISNUMBER(SEARCH("blank",$AE$4)),NOT(ISNUMBER(SEARCH("nonblank",$AE$4))),IFERROR(('Final Calculation Sheet'!$AD$31)&amp;"","")=""),AND(OR(ISNUMBER(SEARCH("nonblank",$AE$4)),ISNUMBER(SEARCH("&lt;&gt;",$AE$4))),IFERROR(('Final Calculation Sheet'!$AD$31)&amp;"","")&lt;&gt;""),AND(TRIM($AE$4)="",IFERROR(('Final Calculation Sheet'!$AD$31)&amp;"","")=""))))</f>
        <v/>
      </c>
      <c r="CR32">
        <f>IF($AG$4="",1,--(OR(SUMPRODUCT(--(TRIM(MID(SUBSTITUTE(SUBSTITUTE($AG$4,"/",","),",",REPT(" ",99)),(ROW($1:$8)-1)*99+1,99))&lt;&gt;""),--ISNUMBER(SEARCH(TRIM(MID(SUBSTITUTE(SUBSTITUTE($AG$4,"/",","),",",REPT(" ",99)),(ROW($1:$8)-1)*99+1,99)),IFERROR(('Final Calculation Sheet'!$AF$31)&amp;"",""))))&gt;0,AND(ISNUMBER(SEARCH("blank",$AG$4)),NOT(ISNUMBER(SEARCH("nonblank",$AG$4))),IFERROR(('Final Calculation Sheet'!$AF$31)&amp;"","")=""),AND(OR(ISNUMBER(SEARCH("nonblank",$AG$4)),ISNUMBER(SEARCH("&lt;&gt;",$AG$4))),IFERROR(('Final Calculation Sheet'!$AF$31)&amp;"","")&lt;&gt;""),AND(TRIM($AG$4)="",IFERROR(('Final Calculation Sheet'!$AF$31)&amp;"","")=""))))</f>
        <v/>
      </c>
      <c r="CS32">
        <f>IF($AH$4="",1,--(OR(SUMPRODUCT(--(TRIM(MID(SUBSTITUTE(SUBSTITUTE($AH$4,"/",","),",",REPT(" ",99)),(ROW($1:$8)-1)*99+1,99))&lt;&gt;""),--ISNUMBER(SEARCH(TRIM(MID(SUBSTITUTE(SUBSTITUTE($AH$4,"/",","),",",REPT(" ",99)),(ROW($1:$8)-1)*99+1,99)),IFERROR(('Final Calculation Sheet'!$AG$31)&amp;"",""))))&gt;0,AND(ISNUMBER(SEARCH("blank",$AH$4)),NOT(ISNUMBER(SEARCH("nonblank",$AH$4))),IFERROR(('Final Calculation Sheet'!$AG$31)&amp;"","")=""),AND(OR(ISNUMBER(SEARCH("nonblank",$AH$4)),ISNUMBER(SEARCH("&lt;&gt;",$AH$4))),IFERROR(('Final Calculation Sheet'!$AG$31)&amp;"","")&lt;&gt;""),AND(TRIM($AH$4)="",IFERROR(('Final Calculation Sheet'!$AG$31)&amp;"","")=""))))</f>
        <v/>
      </c>
      <c r="CT32">
        <f>IF($AI$4="",1,--(OR(SUMPRODUCT(--(TRIM(MID(SUBSTITUTE(SUBSTITUTE($AI$4,"/",","),",",REPT(" ",99)),(ROW($1:$8)-1)*99+1,99))&lt;&gt;""),--ISNUMBER(SEARCH(TRIM(MID(SUBSTITUTE(SUBSTITUTE($AI$4,"/",","),",",REPT(" ",99)),(ROW($1:$8)-1)*99+1,99)),IFERROR(('Final Calculation Sheet'!$AH$31)&amp;"",""))))&gt;0,AND(ISNUMBER(SEARCH("blank",$AI$4)),NOT(ISNUMBER(SEARCH("nonblank",$AI$4))),IFERROR(('Final Calculation Sheet'!$AH$31)&amp;"","")=""),AND(OR(ISNUMBER(SEARCH("nonblank",$AI$4)),ISNUMBER(SEARCH("&lt;&gt;",$AI$4))),IFERROR(('Final Calculation Sheet'!$AH$31)&amp;"","")&lt;&gt;""),AND(TRIM($AI$4)="",IFERROR(('Final Calculation Sheet'!$AH$31)&amp;"","")=""))))</f>
        <v/>
      </c>
      <c r="CU32">
        <f>IF($AF$4="",1,--(OR(SUMPRODUCT(--(TRIM(MID(SUBSTITUTE(SUBSTITUTE($AF$4,"/",","),",",REPT(" ",99)),(ROW($1:$8)-1)*99+1,99))&lt;&gt;""),--ISNUMBER(SEARCH(TRIM(MID(SUBSTITUTE(SUBSTITUTE($AF$4,"/",","),",",REPT(" ",99)),(ROW($1:$8)-1)*99+1,99)),IFERROR((IF('Final Calculation Sheet'!$AD$31&lt;=5,"SETTLED","OUTSTANDING"))&amp;"",""))))&gt;0,AND(ISNUMBER(SEARCH("blank",$AF$4)),NOT(ISNUMBER(SEARCH("nonblank",$AF$4))),IFERROR((IF('Final Calculation Sheet'!$AD$31&lt;=5,"SETTLED","OUTSTANDING"))&amp;"","")=""),AND(OR(ISNUMBER(SEARCH("nonblank",$AF$4)),ISNUMBER(SEARCH("&lt;&gt;",$AF$4))),IFERROR((IF('Final Calculation Sheet'!$AD$31&lt;=5,"SETTLED","OUTSTANDING"))&amp;"","")&lt;&gt;""),AND(TRIM($AF$4)="",IFERROR((IF('Final Calculation Sheet'!$AD$31&lt;=5,"SETTLED","OUTSTANDING"))&amp;"","")=""))))</f>
        <v/>
      </c>
    </row>
    <row r="33" ht="15" customHeight="1" s="137">
      <c r="A33" s="67">
        <f>IF($BJ32&gt;0,INDEX($BA$5:$BA$41,MATCH(32,$BB$5:$BB$41,0)),IF(OR($BI32=1,$BL32=1,$BH32&gt;0),"∑",""))</f>
        <v/>
      </c>
      <c r="B33" s="76">
        <f>IF($BJ32&gt;0,IF(INDEX('Final Calculation Sheet'!$F$4:$F$40,$BJ32-3)="","",INDEX('Final Calculation Sheet'!$F$4:$F$40,$BJ32-3)),"")</f>
        <v/>
      </c>
      <c r="C33" s="76">
        <f>IF($BJ32&gt;0,IF(INDEX('Final Calculation Sheet'!$G$4:$G$40,$BJ32-3)="","",INDEX('Final Calculation Sheet'!$G$4:$G$40,$BJ32-3)),IF(OR($BI32=1,$BL32=1,$BH32&gt;0),IF($BI32=1,37,IF($BL32=1,37-INDEX($BD$4:$BD$13,10),INDEX($BD$4:$BD$13,$BH32)))&amp;" lot(s)",""))</f>
        <v/>
      </c>
      <c r="D33" s="80">
        <f>IF($BJ32&gt;0,IF(INDEX('Final Calculation Sheet'!$B$4:$B$40,$BJ32-3)="","",INDEX('Final Calculation Sheet'!$B$4:$B$40,$BJ32-3)),IF(OR($BI32=1,$BL32=1,$BH32&gt;0),IF($BI32=1,"GRAND TOTAL  —  matching + remaining",IF($BL32=1,"TOTAL MATCHED  —  every group together",IF($BH32=10,"REMAINING  —  did not match the search",IF($BH32=9,IF(COUNTIF($A$4:$AI$4,"&lt;&gt;")&gt;0,"FILTERED LOTS  —  column fields","ALL LOTS  —  nothing typed in the box"),"GROUP "&amp;$BH32&amp;" TOTAL  —  lots matching  "&amp;INDEX($AR$6:$AY$6,$BH32))))),""))</f>
        <v/>
      </c>
      <c r="E33" s="80">
        <f>IF($BJ32&gt;0,IF(INDEX('Final Calculation Sheet'!$D$4:$D$40,$BJ32-3)="","",INDEX('Final Calculation Sheet'!$D$4:$D$40,$BJ32-3)),IF(OR($BI32=1,$BL32=1,$BH32&gt;0),"–",""))</f>
        <v/>
      </c>
      <c r="F33" s="80">
        <f>IF($BJ32&gt;0,IF(INDEX('Final Calculation Sheet'!$A$4:$A$40,$BJ32-3)="","",INDEX('Final Calculation Sheet'!$A$4:$A$40,$BJ32-3)),IF(OR($BI32=1,$BL32=1,$BH32&gt;0),IF($BI32=1,SUM('Final Calculation Sheet'!$A$4:$A$40),IF($BL32=1,SUM('Final Calculation Sheet'!$A$4:$A$40)-SUMIFS('Final Calculation Sheet'!$A$4:$A$40,$AZ$5:$AZ$41,10),SUMIFS('Final Calculation Sheet'!$A$4:$A$40,$AZ$5:$AZ$41,$BH32))),""))</f>
        <v/>
      </c>
      <c r="G33" s="80">
        <f>IF($BJ32&gt;0,IF(INDEX('Final Calculation Sheet'!$E$4:$E$40,$BJ32-3)="","",INDEX('Final Calculation Sheet'!$E$4:$E$40,$BJ32-3)),IF(OR($BI32=1,$BL32=1,$BH32&gt;0),"–",""))</f>
        <v/>
      </c>
      <c r="H33" s="70">
        <f>IF($BJ32&gt;0,IF(INDEX('Final Calculation Sheet'!$C$4:$C$40,$BJ32-3)="","",INDEX('Final Calculation Sheet'!$C$4:$C$40,$BJ32-3)),IF(OR($BI32=1,$BL32=1,$BH32&gt;0),"–",""))</f>
        <v/>
      </c>
      <c r="I33" s="70">
        <f>IF($BJ32&gt;0,IF(INDEX('Final Calculation Sheet'!$H$4:$H$40,$BJ32-3)="","",INDEX('Final Calculation Sheet'!$H$4:$H$40,$BJ32-3)),IF(OR($BI32=1,$BL32=1,$BH32&gt;0),IF($BI32=1,SUM('Final Calculation Sheet'!$H$4:$H$40),IF($BL32=1,SUM('Final Calculation Sheet'!$H$4:$H$40)-SUMIFS('Final Calculation Sheet'!$H$4:$H$40,$AZ$5:$AZ$41,10),SUMIFS('Final Calculation Sheet'!$H$4:$H$40,$AZ$5:$AZ$41,$BH32))),""))</f>
        <v/>
      </c>
      <c r="J33" s="70">
        <f>IF($BJ32&gt;0,IF(INDEX('Final Calculation Sheet'!$I$4:$I$40,$BJ32-3)="","",INDEX('Final Calculation Sheet'!$I$4:$I$40,$BJ32-3)),IF(OR($BI32=1,$BL32=1,$BH32&gt;0),IF($BI32=1,SUM('Final Calculation Sheet'!$I$4:$I$40),IF($BL32=1,SUM('Final Calculation Sheet'!$I$4:$I$40)-SUMIFS('Final Calculation Sheet'!$I$4:$I$40,$AZ$5:$AZ$41,10),SUMIFS('Final Calculation Sheet'!$I$4:$I$40,$AZ$5:$AZ$41,$BH32))),""))</f>
        <v/>
      </c>
      <c r="K33" s="70">
        <f>IF($BJ32&gt;0,IF(INDEX('Final Calculation Sheet'!$J$4:$J$40,$BJ32-3)="","",INDEX('Final Calculation Sheet'!$J$4:$J$40,$BJ32-3)),IF(OR($BI32=1,$BL32=1,$BH32&gt;0),IF($BI32=1,SUM('Final Calculation Sheet'!$J$4:$J$40),IF($BL32=1,SUM('Final Calculation Sheet'!$J$4:$J$40)-SUMIFS('Final Calculation Sheet'!$J$4:$J$40,$AZ$5:$AZ$41,10),SUMIFS('Final Calculation Sheet'!$J$4:$J$40,$AZ$5:$AZ$41,$BH32))),""))</f>
        <v/>
      </c>
      <c r="L33" s="70">
        <f>IF($BJ32&gt;0,IF(INDEX('Final Calculation Sheet'!$K$4:$K$40,$BJ32-3)="","",INDEX('Final Calculation Sheet'!$K$4:$K$40,$BJ32-3)),IF(OR($BI32=1,$BL32=1,$BH32&gt;0),IF($BI32=1,SUM('Final Calculation Sheet'!$K$4:$K$40),IF($BL32=1,SUM('Final Calculation Sheet'!$K$4:$K$40)-SUMIFS('Final Calculation Sheet'!$K$4:$K$40,$AZ$5:$AZ$41,10),SUMIFS('Final Calculation Sheet'!$K$4:$K$40,$AZ$5:$AZ$41,$BH32))),""))</f>
        <v/>
      </c>
      <c r="M33" s="70">
        <f>IF($BJ32&gt;0,IF(INDEX('Final Calculation Sheet'!$L$4:$L$40,$BJ32-3)="","",INDEX('Final Calculation Sheet'!$L$4:$L$40,$BJ32-3)),IF(OR($BI32=1,$BL32=1,$BH32&gt;0),IF($BI32=1,SUM('Final Calculation Sheet'!$L$4:$L$40),IF($BL32=1,SUM('Final Calculation Sheet'!$L$4:$L$40)-SUMIFS('Final Calculation Sheet'!$L$4:$L$40,$AZ$5:$AZ$41,10),SUMIFS('Final Calculation Sheet'!$L$4:$L$40,$AZ$5:$AZ$41,$BH32))),""))</f>
        <v/>
      </c>
      <c r="N33" s="70">
        <f>IF($BJ32&gt;0,IF(INDEX('Final Calculation Sheet'!$M$4:$M$40,$BJ32-3)="","",INDEX('Final Calculation Sheet'!$M$4:$M$40,$BJ32-3)),IF(OR($BI32=1,$BL32=1,$BH32&gt;0),IF($BI32=1,SUM('Final Calculation Sheet'!$M$4:$M$40),IF($BL32=1,SUM('Final Calculation Sheet'!$M$4:$M$40)-SUMIFS('Final Calculation Sheet'!$M$4:$M$40,$AZ$5:$AZ$41,10),SUMIFS('Final Calculation Sheet'!$M$4:$M$40,$AZ$5:$AZ$41,$BH32))),""))</f>
        <v/>
      </c>
      <c r="O33" s="71">
        <f>IF($BJ32&gt;0,IF(INDEX('Final Calculation Sheet'!$N$4:$N$40,$BJ32-3)="","",INDEX('Final Calculation Sheet'!$N$4:$N$40,$BJ32-3)),IF(OR($BI32=1,$BL32=1,$BH32&gt;0),IF($BI32=1,SUM('Final Calculation Sheet'!$N$4:$N$40),IF($BL32=1,SUM('Final Calculation Sheet'!$N$4:$N$40)-SUMIFS('Final Calculation Sheet'!$N$4:$N$40,$AZ$5:$AZ$41,10),SUMIFS('Final Calculation Sheet'!$N$4:$N$40,$AZ$5:$AZ$41,$BH32))),""))</f>
        <v/>
      </c>
      <c r="P33" s="70">
        <f>IF($BJ32&gt;0,IF(INDEX('Final Calculation Sheet'!$O$4:$O$40,$BJ32-3)="","",INDEX('Final Calculation Sheet'!$O$4:$O$40,$BJ32-3)),IF(OR($BI32=1,$BL32=1,$BH32&gt;0),IF($BI32=1,SUM('Final Calculation Sheet'!$O$4:$O$40),IF($BL32=1,SUM('Final Calculation Sheet'!$O$4:$O$40)-SUMIFS('Final Calculation Sheet'!$O$4:$O$40,$AZ$5:$AZ$41,10),SUMIFS('Final Calculation Sheet'!$O$4:$O$40,$AZ$5:$AZ$41,$BH32))),""))</f>
        <v/>
      </c>
      <c r="Q33" s="70">
        <f>IF($BJ32&gt;0,IF(INDEX('Final Calculation Sheet'!$P$4:$P$40,$BJ32-3)="","",INDEX('Final Calculation Sheet'!$P$4:$P$40,$BJ32-3)),IF(OR($BI32=1,$BL32=1,$BH32&gt;0),IF($BI32=1,SUM('Final Calculation Sheet'!$P$4:$P$40),IF($BL32=1,SUM('Final Calculation Sheet'!$P$4:$P$40)-SUMIFS('Final Calculation Sheet'!$P$4:$P$40,$AZ$5:$AZ$41,10),SUMIFS('Final Calculation Sheet'!$P$4:$P$40,$AZ$5:$AZ$41,$BH32))),""))</f>
        <v/>
      </c>
      <c r="R33" s="72">
        <f>IF($BJ32&gt;0,IF(INDEX('Final Calculation Sheet'!$Q$4:$Q$40,$BJ32-3)="","",INDEX('Final Calculation Sheet'!$Q$4:$Q$40,$BJ32-3)),IF(OR($BI32=1,$BL32=1,$BH32&gt;0),"–",""))</f>
        <v/>
      </c>
      <c r="S33" s="70">
        <f>IF($BJ32&gt;0,IF(INDEX('Final Calculation Sheet'!$R$4:$R$40,$BJ32-3)="","",INDEX('Final Calculation Sheet'!$R$4:$R$40,$BJ32-3)),IF(OR($BI32=1,$BL32=1,$BH32&gt;0),IF($BI32=1,SUM('Final Calculation Sheet'!$R$4:$R$40),IF($BL32=1,SUM('Final Calculation Sheet'!$R$4:$R$40)-SUMIFS('Final Calculation Sheet'!$R$4:$R$40,$AZ$5:$AZ$41,10),SUMIFS('Final Calculation Sheet'!$R$4:$R$40,$AZ$5:$AZ$41,$BH32))),""))</f>
        <v/>
      </c>
      <c r="T33" s="70">
        <f>IF($BJ32&gt;0,IF(INDEX('Final Calculation Sheet'!$S$4:$S$40,$BJ32-3)="","",INDEX('Final Calculation Sheet'!$S$4:$S$40,$BJ32-3)),IF(OR($BI32=1,$BL32=1,$BH32&gt;0),IF($BI32=1,SUM('Final Calculation Sheet'!$S$4:$S$40),IF($BL32=1,SUM('Final Calculation Sheet'!$S$4:$S$40)-SUMIFS('Final Calculation Sheet'!$S$4:$S$40,$AZ$5:$AZ$41,10),SUMIFS('Final Calculation Sheet'!$S$4:$S$40,$AZ$5:$AZ$41,$BH32))),""))</f>
        <v/>
      </c>
      <c r="U33" s="70">
        <f>IF($BJ32&gt;0,IF(INDEX('Final Calculation Sheet'!$T$4:$T$40,$BJ32-3)="","",INDEX('Final Calculation Sheet'!$T$4:$T$40,$BJ32-3)),IF(OR($BI32=1,$BL32=1,$BH32&gt;0),IF($BI32=1,SUM('Final Calculation Sheet'!$T$4:$T$40),IF($BL32=1,SUM('Final Calculation Sheet'!$T$4:$T$40)-SUMIFS('Final Calculation Sheet'!$T$4:$T$40,$AZ$5:$AZ$41,10),SUMIFS('Final Calculation Sheet'!$T$4:$T$40,$AZ$5:$AZ$41,$BH32))),""))</f>
        <v/>
      </c>
      <c r="V33" s="73">
        <f>IF($BJ32&gt;0,IF(INDEX('Final Calculation Sheet'!$U$4:$U$40,$BJ32-3)="","",INDEX('Final Calculation Sheet'!$U$4:$U$40,$BJ32-3)),IF(OR($BI32=1,$BL32=1,$BH32&gt;0),IF($BI32=1,SUM('Final Calculation Sheet'!$U$4:$U$40),IF($BL32=1,SUM('Final Calculation Sheet'!$U$4:$U$40)-SUMIFS('Final Calculation Sheet'!$U$4:$U$40,$AZ$5:$AZ$41,10),SUMIFS('Final Calculation Sheet'!$U$4:$U$40,$AZ$5:$AZ$41,$BH32))),""))</f>
        <v/>
      </c>
      <c r="W33" s="70">
        <f>IF($BJ32&gt;0,IF(INDEX('Final Calculation Sheet'!$V$4:$V$40,$BJ32-3)="","",INDEX('Final Calculation Sheet'!$V$4:$V$40,$BJ32-3)),IF(OR($BI32=1,$BL32=1,$BH32&gt;0),"–",""))</f>
        <v/>
      </c>
      <c r="X33" s="70">
        <f>IF($BJ32&gt;0,IF(INDEX('Final Calculation Sheet'!$W$4:$W$40,$BJ32-3)="","",INDEX('Final Calculation Sheet'!$W$4:$W$40,$BJ32-3)),IF(OR($BI32=1,$BL32=1,$BH32&gt;0),IF($BI32=1,SUM('Final Calculation Sheet'!$W$4:$W$40),IF($BL32=1,SUM('Final Calculation Sheet'!$W$4:$W$40)-SUMIFS('Final Calculation Sheet'!$W$4:$W$40,$AZ$5:$AZ$41,10),SUMIFS('Final Calculation Sheet'!$W$4:$W$40,$AZ$5:$AZ$41,$BH32))),""))</f>
        <v/>
      </c>
      <c r="Y33" s="70">
        <f>IF($BJ32&gt;0,IF(INDEX('Final Calculation Sheet'!$X$4:$X$40,$BJ32-3)="","",INDEX('Final Calculation Sheet'!$X$4:$X$40,$BJ32-3)),IF(OR($BI32=1,$BL32=1,$BH32&gt;0),IF($BI32=1,SUM('Final Calculation Sheet'!$X$4:$X$40),IF($BL32=1,SUM('Final Calculation Sheet'!$X$4:$X$40)-SUMIFS('Final Calculation Sheet'!$X$4:$X$40,$AZ$5:$AZ$41,10),SUMIFS('Final Calculation Sheet'!$X$4:$X$40,$AZ$5:$AZ$41,$BH32))),""))</f>
        <v/>
      </c>
      <c r="Z33" s="70">
        <f>IF($BJ32&gt;0,IF(INDEX('Final Calculation Sheet'!$Y$4:$Y$40,$BJ32-3)="","",INDEX('Final Calculation Sheet'!$Y$4:$Y$40,$BJ32-3)),IF(OR($BI32=1,$BL32=1,$BH32&gt;0),"–",""))</f>
        <v/>
      </c>
      <c r="AA33" s="70">
        <f>IF($BJ32&gt;0,IF(INDEX('Final Calculation Sheet'!$Z$4:$Z$40,$BJ32-3)="","",INDEX('Final Calculation Sheet'!$Z$4:$Z$40,$BJ32-3)),IF(OR($BI32=1,$BL32=1,$BH32&gt;0),IF($BI32=1,SUM('Final Calculation Sheet'!$Z$4:$Z$40),IF($BL32=1,SUM('Final Calculation Sheet'!$Z$4:$Z$40)-SUMIFS('Final Calculation Sheet'!$Z$4:$Z$40,$AZ$5:$AZ$41,10),SUMIFS('Final Calculation Sheet'!$Z$4:$Z$40,$AZ$5:$AZ$41,$BH32))),""))</f>
        <v/>
      </c>
      <c r="AB33" s="70">
        <f>IF($BJ32&gt;0,IF(INDEX('Final Calculation Sheet'!$AA$4:$AA$40,$BJ32-3)="","",INDEX('Final Calculation Sheet'!$AA$4:$AA$40,$BJ32-3)),IF(OR($BI32=1,$BL32=1,$BH32&gt;0),IF($BI32=1,SUM('Final Calculation Sheet'!$AA$4:$AA$40),IF($BL32=1,SUM('Final Calculation Sheet'!$AA$4:$AA$40)-SUMIFS('Final Calculation Sheet'!$AA$4:$AA$40,$AZ$5:$AZ$41,10),SUMIFS('Final Calculation Sheet'!$AA$4:$AA$40,$AZ$5:$AZ$41,$BH32))),""))</f>
        <v/>
      </c>
      <c r="AC33" s="70">
        <f>IF($BJ32&gt;0,IF(INDEX('Final Calculation Sheet'!$AB$4:$AB$40,$BJ32-3)="","",INDEX('Final Calculation Sheet'!$AB$4:$AB$40,$BJ32-3)),IF(OR($BI32=1,$BL32=1,$BH32&gt;0),"–",""))</f>
        <v/>
      </c>
      <c r="AD33" s="70">
        <f>IF($BJ32&gt;0,IF(INDEX('Final Calculation Sheet'!$AC$4:$AC$40,$BJ32-3)="","",INDEX('Final Calculation Sheet'!$AC$4:$AC$40,$BJ32-3)),IF(OR($BI32=1,$BL32=1,$BH32&gt;0),IF($BI32=1,SUM('Final Calculation Sheet'!$AC$4:$AC$40),IF($BL32=1,SUM('Final Calculation Sheet'!$AC$4:$AC$40)-SUMIFS('Final Calculation Sheet'!$AC$4:$AC$40,$AZ$5:$AZ$41,10),SUMIFS('Final Calculation Sheet'!$AC$4:$AC$40,$AZ$5:$AZ$41,$BH32))),""))</f>
        <v/>
      </c>
      <c r="AE33" s="70">
        <f>IF($BJ32&gt;0,IF(INDEX('Final Calculation Sheet'!$AD$4:$AD$40,$BJ32-3)="","",INDEX('Final Calculation Sheet'!$AD$4:$AD$40,$BJ32-3)),IF(OR($BI32=1,$BL32=1,$BH32&gt;0),IF($BI32=1,SUM('Final Calculation Sheet'!$AD$4:$AD$40),IF($BL32=1,SUM('Final Calculation Sheet'!$AD$4:$AD$40)-SUMIFS('Final Calculation Sheet'!$AD$4:$AD$40,$AZ$5:$AZ$41,10),SUMIFS('Final Calculation Sheet'!$AD$4:$AD$40,$AZ$5:$AZ$41,$BH32))),""))</f>
        <v/>
      </c>
      <c r="AF33" s="75">
        <f>IF($BJ32&gt;0,IF(INDEX('Final Calculation Sheet'!$AD$4:$AD$40,$BJ32-3)="","",IF(INDEX('Final Calculation Sheet'!$AD$4:$AD$40,$BJ32-3)&lt;=5,"SETTLED","OUTSTANDING")),IF(OR($BI32=1,$BL32=1,$BH32&gt;0),IF(IF($BI32=1,SUM('Final Calculation Sheet'!$AD$4:$AD$40),IF($BL32=1,SUM('Final Calculation Sheet'!$AD$4:$AD$40)-SUMIFS('Final Calculation Sheet'!$AD$4:$AD$40,$AZ$5:$AZ$41,10),SUMIFS('Final Calculation Sheet'!$AD$4:$AD$40,$AZ$5:$AZ$41,$BH32)))&lt;=5,"ALL SETTLED","OUTSTANDING"),""))</f>
        <v/>
      </c>
      <c r="AG33" s="70">
        <f>IF($BJ32&gt;0,IF(INDEX('Final Calculation Sheet'!$AF$4:$AF$40,$BJ32-3)="","",INDEX('Final Calculation Sheet'!$AF$4:$AF$40,$BJ32-3)),IF(OR($BI32=1,$BL32=1,$BH32&gt;0),"–",""))</f>
        <v/>
      </c>
      <c r="AH33" s="74">
        <f>IF($BJ32&gt;0,IF(INDEX('Final Calculation Sheet'!$AG$4:$AG$40,$BJ32-3)="","",INDEX('Final Calculation Sheet'!$AG$4:$AG$40,$BJ32-3)),IF(OR($BI32=1,$BL32=1,$BH32&gt;0),"–",""))</f>
        <v/>
      </c>
      <c r="AI33" s="70">
        <f>IF($BJ32&gt;0,IF(INDEX('Final Calculation Sheet'!$AH$4:$AH$40,$BJ32-3)="","",INDEX('Final Calculation Sheet'!$AH$4:$AH$40,$BJ32-3)),IF(OR($BI32=1,$BL32=1,$BH32&gt;0),"–",""))</f>
        <v/>
      </c>
      <c r="AK33">
        <f>IF($F$3="Lot No.",'Final Calculation Sheet'!$F$32,IF($F$3="Buyer",'Final Calculation Sheet'!$G$32,IF($F$3="Lot Name",'Final Calculation Sheet'!$B$32,IF($F$3="Bid Sheet",'Final Calculation Sheet'!$D$32,IF($F$3="Unit",'Final Calculation Sheet'!$E$32,'Final Calculation Sheet'!$F$32&amp;" "&amp;'Final Calculation Sheet'!$G$32&amp;" "&amp;'Final Calculation Sheet'!$B$32)))))</f>
        <v/>
      </c>
      <c r="AL33">
        <f>AL32+IF($B$3="",0,--(SUMPRODUCT(--($AR$6:$AY$6&lt;&gt;""),--ISNUMBER(SEARCH($AR$6:$AY$6,$AK33)))&gt;0))</f>
        <v/>
      </c>
      <c r="AM33">
        <f>IF(COUNTIF($BM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AZ33">
        <f>IF($B$3="",IF(COUNTIF($A$4:$AI$4,"&lt;&gt;")=0,9,IF($AM33=1,9,10)),IF($AM33=0,10,IF(AND($AR$6&lt;&gt;"",ISNUMBER(SEARCH($AR$6,$AK33))),1,IF(AND($AS$6&lt;&gt;"",ISNUMBER(SEARCH($AS$6,$AK33))),2,IF(AND($AT$6&lt;&gt;"",ISNUMBER(SEARCH($AT$6,$AK33))),3,IF(AND($AU$6&lt;&gt;"",ISNUMBER(SEARCH($AU$6,$AK33))),4,IF(AND($AV$6&lt;&gt;"",ISNUMBER(SEARCH($AV$6,$AK33))),5,IF(AND($AW$6&lt;&gt;"",ISNUMBER(SEARCH($AW$6,$AK33))),6,IF(AND($AX$6&lt;&gt;"",ISNUMBER(SEARCH($AX$6,$AK33))),7,IF(AND($AY$6&lt;&gt;"",ISNUMBER(SEARCH($AY$6,$AK33))),8,0))))))))))</f>
        <v/>
      </c>
      <c r="BA33">
        <f>SUMPRODUCT(($AZ$5:$AZ$41=$AZ33)*($BC$5:$BC$41&lt;$BC33))+1</f>
        <v/>
      </c>
      <c r="BB33">
        <f>IF(INDEX($BF$4:$BF$13,$AZ33)=0,0,INDEX($BE$4:$BE$13,$AZ33)+$BA33-1)</f>
        <v/>
      </c>
      <c r="BC33" t="n">
        <v>32</v>
      </c>
      <c r="BH33">
        <f>IFERROR(MATCH(33,$BF$4:$BF$13,0),0)</f>
        <v/>
      </c>
      <c r="BI33">
        <f>IF(33=$BG$5,1,0)</f>
        <v/>
      </c>
      <c r="BJ33">
        <f>IF(OR($BH33&gt;0,$BI33=1,$BL33=1),0,IFERROR(INDEX($BC$5:$BC$41,MATCH(33,$BB$5:$BB$41,0)),0))</f>
        <v/>
      </c>
      <c r="BK33">
        <f>IF($BJ33&gt;0,IF(INDEX($AZ$5:$AZ$41,MATCH(33,$BB$5:$BB$41,0))=10,1,0),IF($BH33=10,1,0))</f>
        <v/>
      </c>
      <c r="BL33">
        <f>IF(33=$BG$4,1,0)</f>
        <v/>
      </c>
      <c r="BM33">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3">
        <f>IF($B$4="",1,--(OR(SUMPRODUCT(--(TRIM(MID(SUBSTITUTE(SUBSTITUTE($B$4,"/",","),",",REPT(" ",99)),(ROW($1:$8)-1)*99+1,99))&lt;&gt;""),--ISNUMBER(SEARCH(TRIM(MID(SUBSTITUTE(SUBSTITUTE($B$4,"/",","),",",REPT(" ",99)),(ROW($1:$8)-1)*99+1,99)),IFERROR(('Final Calculation Sheet'!$F$32)&amp;"",""))))&gt;0,AND(ISNUMBER(SEARCH("blank",$B$4)),NOT(ISNUMBER(SEARCH("nonblank",$B$4))),IFERROR(('Final Calculation Sheet'!$F$32)&amp;"","")=""),AND(OR(ISNUMBER(SEARCH("nonblank",$B$4)),ISNUMBER(SEARCH("&lt;&gt;",$B$4))),IFERROR(('Final Calculation Sheet'!$F$32)&amp;"","")&lt;&gt;""),AND(TRIM($B$4)="",IFERROR(('Final Calculation Sheet'!$F$32)&amp;"","")=""))))</f>
        <v/>
      </c>
      <c r="BO33">
        <f>IF($CW$3="",1,--(OR(SUMPRODUCT(--(TRIM(MID(SUBSTITUTE(SUBSTITUTE($CW$3,"/",","),",",REPT(" ",99)),(ROW($1:$8)-1)*99+1,99))&lt;&gt;""),--ISNUMBER(SEARCH(TRIM(MID(SUBSTITUTE(SUBSTITUTE($CW$3,"/",","),",",REPT(" ",99)),(ROW($1:$8)-1)*99+1,99)),IFERROR(('Final Calculation Sheet'!$G$32)&amp;"",""))))&gt;0,AND(ISNUMBER(SEARCH("blank",$CW$3)),NOT(ISNUMBER(SEARCH("nonblank",$CW$3))),IFERROR(('Final Calculation Sheet'!$G$32)&amp;"","")=""),AND(OR(ISNUMBER(SEARCH("nonblank",$CW$3)),ISNUMBER(SEARCH("&lt;&gt;",$CW$3))),IFERROR(('Final Calculation Sheet'!$G$32)&amp;"","")&lt;&gt;""),AND(TRIM($CW$3)="",IFERROR(('Final Calculation Sheet'!$G$32)&amp;"","")=""))))</f>
        <v/>
      </c>
      <c r="BP33">
        <f>IF($D$4="",1,--(OR(SUMPRODUCT(--(TRIM(MID(SUBSTITUTE(SUBSTITUTE($D$4,"/",","),",",REPT(" ",99)),(ROW($1:$8)-1)*99+1,99))&lt;&gt;""),--ISNUMBER(SEARCH(TRIM(MID(SUBSTITUTE(SUBSTITUTE($D$4,"/",","),",",REPT(" ",99)),(ROW($1:$8)-1)*99+1,99)),IFERROR(('Final Calculation Sheet'!$B$32)&amp;"",""))))&gt;0,AND(ISNUMBER(SEARCH("blank",$D$4)),NOT(ISNUMBER(SEARCH("nonblank",$D$4))),IFERROR(('Final Calculation Sheet'!$B$32)&amp;"","")=""),AND(OR(ISNUMBER(SEARCH("nonblank",$D$4)),ISNUMBER(SEARCH("&lt;&gt;",$D$4))),IFERROR(('Final Calculation Sheet'!$B$32)&amp;"","")&lt;&gt;""),AND(TRIM($D$4)="",IFERROR(('Final Calculation Sheet'!$B$32)&amp;"","")=""))))</f>
        <v/>
      </c>
      <c r="BQ33">
        <f>IF($E$4="",1,--(OR(SUMPRODUCT(--(TRIM(MID(SUBSTITUTE(SUBSTITUTE($E$4,"/",","),",",REPT(" ",99)),(ROW($1:$8)-1)*99+1,99))&lt;&gt;""),--ISNUMBER(SEARCH(TRIM(MID(SUBSTITUTE(SUBSTITUTE($E$4,"/",","),",",REPT(" ",99)),(ROW($1:$8)-1)*99+1,99)),IFERROR(('Final Calculation Sheet'!$D$32)&amp;"",""))))&gt;0,AND(ISNUMBER(SEARCH("blank",$E$4)),NOT(ISNUMBER(SEARCH("nonblank",$E$4))),IFERROR(('Final Calculation Sheet'!$D$32)&amp;"","")=""),AND(OR(ISNUMBER(SEARCH("nonblank",$E$4)),ISNUMBER(SEARCH("&lt;&gt;",$E$4))),IFERROR(('Final Calculation Sheet'!$D$32)&amp;"","")&lt;&gt;""),AND(TRIM($E$4)="",IFERROR(('Final Calculation Sheet'!$D$32)&amp;"","")=""))))</f>
        <v/>
      </c>
      <c r="BR33">
        <f>IF($F$4="",1,--(OR(SUMPRODUCT(--(TRIM(MID(SUBSTITUTE(SUBSTITUTE($F$4,"/",","),",",REPT(" ",99)),(ROW($1:$8)-1)*99+1,99))&lt;&gt;""),--ISNUMBER(SEARCH(TRIM(MID(SUBSTITUTE(SUBSTITUTE($F$4,"/",","),",",REPT(" ",99)),(ROW($1:$8)-1)*99+1,99)),IFERROR(('Final Calculation Sheet'!$A$32)&amp;"",""))))&gt;0,AND(ISNUMBER(SEARCH("blank",$F$4)),NOT(ISNUMBER(SEARCH("nonblank",$F$4))),IFERROR(('Final Calculation Sheet'!$A$32)&amp;"","")=""),AND(OR(ISNUMBER(SEARCH("nonblank",$F$4)),ISNUMBER(SEARCH("&lt;&gt;",$F$4))),IFERROR(('Final Calculation Sheet'!$A$32)&amp;"","")&lt;&gt;""),AND(TRIM($F$4)="",IFERROR(('Final Calculation Sheet'!$A$32)&amp;"","")=""))))</f>
        <v/>
      </c>
      <c r="BS33">
        <f>IF($G$4="",1,--(OR(SUMPRODUCT(--(TRIM(MID(SUBSTITUTE(SUBSTITUTE($G$4,"/",","),",",REPT(" ",99)),(ROW($1:$8)-1)*99+1,99))&lt;&gt;""),--ISNUMBER(SEARCH(TRIM(MID(SUBSTITUTE(SUBSTITUTE($G$4,"/",","),",",REPT(" ",99)),(ROW($1:$8)-1)*99+1,99)),IFERROR(('Final Calculation Sheet'!$E$32)&amp;"",""))))&gt;0,AND(ISNUMBER(SEARCH("blank",$G$4)),NOT(ISNUMBER(SEARCH("nonblank",$G$4))),IFERROR(('Final Calculation Sheet'!$E$32)&amp;"","")=""),AND(OR(ISNUMBER(SEARCH("nonblank",$G$4)),ISNUMBER(SEARCH("&lt;&gt;",$G$4))),IFERROR(('Final Calculation Sheet'!$E$32)&amp;"","")&lt;&gt;""),AND(TRIM($G$4)="",IFERROR(('Final Calculation Sheet'!$E$32)&amp;"","")=""))))</f>
        <v/>
      </c>
      <c r="BT33">
        <f>IF($H$4="",1,--(OR(SUMPRODUCT(--(TRIM(MID(SUBSTITUTE(SUBSTITUTE($H$4,"/",","),",",REPT(" ",99)),(ROW($1:$8)-1)*99+1,99))&lt;&gt;""),--ISNUMBER(SEARCH(TRIM(MID(SUBSTITUTE(SUBSTITUTE($H$4,"/",","),",",REPT(" ",99)),(ROW($1:$8)-1)*99+1,99)),IFERROR(('Final Calculation Sheet'!$C$32)&amp;"",""))))&gt;0,AND(ISNUMBER(SEARCH("blank",$H$4)),NOT(ISNUMBER(SEARCH("nonblank",$H$4))),IFERROR(('Final Calculation Sheet'!$C$32)&amp;"","")=""),AND(OR(ISNUMBER(SEARCH("nonblank",$H$4)),ISNUMBER(SEARCH("&lt;&gt;",$H$4))),IFERROR(('Final Calculation Sheet'!$C$32)&amp;"","")&lt;&gt;""),AND(TRIM($H$4)="",IFERROR(('Final Calculation Sheet'!$C$32)&amp;"","")=""))))</f>
        <v/>
      </c>
      <c r="BU33">
        <f>IF($I$4="",1,--(OR(SUMPRODUCT(--(TRIM(MID(SUBSTITUTE(SUBSTITUTE($I$4,"/",","),",",REPT(" ",99)),(ROW($1:$8)-1)*99+1,99))&lt;&gt;""),--ISNUMBER(SEARCH(TRIM(MID(SUBSTITUTE(SUBSTITUTE($I$4,"/",","),",",REPT(" ",99)),(ROW($1:$8)-1)*99+1,99)),IFERROR(('Final Calculation Sheet'!$H$32)&amp;"",""))))&gt;0,AND(ISNUMBER(SEARCH("blank",$I$4)),NOT(ISNUMBER(SEARCH("nonblank",$I$4))),IFERROR(('Final Calculation Sheet'!$H$32)&amp;"","")=""),AND(OR(ISNUMBER(SEARCH("nonblank",$I$4)),ISNUMBER(SEARCH("&lt;&gt;",$I$4))),IFERROR(('Final Calculation Sheet'!$H$32)&amp;"","")&lt;&gt;""),AND(TRIM($I$4)="",IFERROR(('Final Calculation Sheet'!$H$32)&amp;"","")=""))))</f>
        <v/>
      </c>
      <c r="BV33">
        <f>IF($J$4="",1,--(OR(SUMPRODUCT(--(TRIM(MID(SUBSTITUTE(SUBSTITUTE($J$4,"/",","),",",REPT(" ",99)),(ROW($1:$8)-1)*99+1,99))&lt;&gt;""),--ISNUMBER(SEARCH(TRIM(MID(SUBSTITUTE(SUBSTITUTE($J$4,"/",","),",",REPT(" ",99)),(ROW($1:$8)-1)*99+1,99)),IFERROR(('Final Calculation Sheet'!$I$32)&amp;"",""))))&gt;0,AND(ISNUMBER(SEARCH("blank",$J$4)),NOT(ISNUMBER(SEARCH("nonblank",$J$4))),IFERROR(('Final Calculation Sheet'!$I$32)&amp;"","")=""),AND(OR(ISNUMBER(SEARCH("nonblank",$J$4)),ISNUMBER(SEARCH("&lt;&gt;",$J$4))),IFERROR(('Final Calculation Sheet'!$I$32)&amp;"","")&lt;&gt;""),AND(TRIM($J$4)="",IFERROR(('Final Calculation Sheet'!$I$32)&amp;"","")=""))))</f>
        <v/>
      </c>
      <c r="BW33">
        <f>IF($K$4="",1,--(OR(SUMPRODUCT(--(TRIM(MID(SUBSTITUTE(SUBSTITUTE($K$4,"/",","),",",REPT(" ",99)),(ROW($1:$8)-1)*99+1,99))&lt;&gt;""),--ISNUMBER(SEARCH(TRIM(MID(SUBSTITUTE(SUBSTITUTE($K$4,"/",","),",",REPT(" ",99)),(ROW($1:$8)-1)*99+1,99)),IFERROR(('Final Calculation Sheet'!$J$32)&amp;"",""))))&gt;0,AND(ISNUMBER(SEARCH("blank",$K$4)),NOT(ISNUMBER(SEARCH("nonblank",$K$4))),IFERROR(('Final Calculation Sheet'!$J$32)&amp;"","")=""),AND(OR(ISNUMBER(SEARCH("nonblank",$K$4)),ISNUMBER(SEARCH("&lt;&gt;",$K$4))),IFERROR(('Final Calculation Sheet'!$J$32)&amp;"","")&lt;&gt;""),AND(TRIM($K$4)="",IFERROR(('Final Calculation Sheet'!$J$32)&amp;"","")=""))))</f>
        <v/>
      </c>
      <c r="BX33">
        <f>IF($L$4="",1,--(OR(SUMPRODUCT(--(TRIM(MID(SUBSTITUTE(SUBSTITUTE($L$4,"/",","),",",REPT(" ",99)),(ROW($1:$8)-1)*99+1,99))&lt;&gt;""),--ISNUMBER(SEARCH(TRIM(MID(SUBSTITUTE(SUBSTITUTE($L$4,"/",","),",",REPT(" ",99)),(ROW($1:$8)-1)*99+1,99)),IFERROR(('Final Calculation Sheet'!$K$32)&amp;"",""))))&gt;0,AND(ISNUMBER(SEARCH("blank",$L$4)),NOT(ISNUMBER(SEARCH("nonblank",$L$4))),IFERROR(('Final Calculation Sheet'!$K$32)&amp;"","")=""),AND(OR(ISNUMBER(SEARCH("nonblank",$L$4)),ISNUMBER(SEARCH("&lt;&gt;",$L$4))),IFERROR(('Final Calculation Sheet'!$K$32)&amp;"","")&lt;&gt;""),AND(TRIM($L$4)="",IFERROR(('Final Calculation Sheet'!$K$32)&amp;"","")=""))))</f>
        <v/>
      </c>
      <c r="BY33">
        <f>IF($M$4="",1,--(OR(SUMPRODUCT(--(TRIM(MID(SUBSTITUTE(SUBSTITUTE($M$4,"/",","),",",REPT(" ",99)),(ROW($1:$8)-1)*99+1,99))&lt;&gt;""),--ISNUMBER(SEARCH(TRIM(MID(SUBSTITUTE(SUBSTITUTE($M$4,"/",","),",",REPT(" ",99)),(ROW($1:$8)-1)*99+1,99)),IFERROR(('Final Calculation Sheet'!$L$32)&amp;"",""))))&gt;0,AND(ISNUMBER(SEARCH("blank",$M$4)),NOT(ISNUMBER(SEARCH("nonblank",$M$4))),IFERROR(('Final Calculation Sheet'!$L$32)&amp;"","")=""),AND(OR(ISNUMBER(SEARCH("nonblank",$M$4)),ISNUMBER(SEARCH("&lt;&gt;",$M$4))),IFERROR(('Final Calculation Sheet'!$L$32)&amp;"","")&lt;&gt;""),AND(TRIM($M$4)="",IFERROR(('Final Calculation Sheet'!$L$32)&amp;"","")=""))))</f>
        <v/>
      </c>
      <c r="BZ33">
        <f>IF($N$4="",1,--(OR(SUMPRODUCT(--(TRIM(MID(SUBSTITUTE(SUBSTITUTE($N$4,"/",","),",",REPT(" ",99)),(ROW($1:$8)-1)*99+1,99))&lt;&gt;""),--ISNUMBER(SEARCH(TRIM(MID(SUBSTITUTE(SUBSTITUTE($N$4,"/",","),",",REPT(" ",99)),(ROW($1:$8)-1)*99+1,99)),IFERROR(('Final Calculation Sheet'!$M$32)&amp;"",""))))&gt;0,AND(ISNUMBER(SEARCH("blank",$N$4)),NOT(ISNUMBER(SEARCH("nonblank",$N$4))),IFERROR(('Final Calculation Sheet'!$M$32)&amp;"","")=""),AND(OR(ISNUMBER(SEARCH("nonblank",$N$4)),ISNUMBER(SEARCH("&lt;&gt;",$N$4))),IFERROR(('Final Calculation Sheet'!$M$32)&amp;"","")&lt;&gt;""),AND(TRIM($N$4)="",IFERROR(('Final Calculation Sheet'!$M$32)&amp;"","")=""))))</f>
        <v/>
      </c>
      <c r="CA33">
        <f>IF($O$4="",1,--(OR(SUMPRODUCT(--(TRIM(MID(SUBSTITUTE(SUBSTITUTE($O$4,"/",","),",",REPT(" ",99)),(ROW($1:$8)-1)*99+1,99))&lt;&gt;""),--ISNUMBER(SEARCH(TRIM(MID(SUBSTITUTE(SUBSTITUTE($O$4,"/",","),",",REPT(" ",99)),(ROW($1:$8)-1)*99+1,99)),IFERROR(('Final Calculation Sheet'!$N$32)&amp;"",""))))&gt;0,AND(ISNUMBER(SEARCH("blank",$O$4)),NOT(ISNUMBER(SEARCH("nonblank",$O$4))),IFERROR(('Final Calculation Sheet'!$N$32)&amp;"","")=""),AND(OR(ISNUMBER(SEARCH("nonblank",$O$4)),ISNUMBER(SEARCH("&lt;&gt;",$O$4))),IFERROR(('Final Calculation Sheet'!$N$32)&amp;"","")&lt;&gt;""),AND(TRIM($O$4)="",IFERROR(('Final Calculation Sheet'!$N$32)&amp;"","")=""))))</f>
        <v/>
      </c>
      <c r="CB33">
        <f>IF($P$4="",1,--(OR(SUMPRODUCT(--(TRIM(MID(SUBSTITUTE(SUBSTITUTE($P$4,"/",","),",",REPT(" ",99)),(ROW($1:$8)-1)*99+1,99))&lt;&gt;""),--ISNUMBER(SEARCH(TRIM(MID(SUBSTITUTE(SUBSTITUTE($P$4,"/",","),",",REPT(" ",99)),(ROW($1:$8)-1)*99+1,99)),IFERROR(('Final Calculation Sheet'!$O$32)&amp;"",""))))&gt;0,AND(ISNUMBER(SEARCH("blank",$P$4)),NOT(ISNUMBER(SEARCH("nonblank",$P$4))),IFERROR(('Final Calculation Sheet'!$O$32)&amp;"","")=""),AND(OR(ISNUMBER(SEARCH("nonblank",$P$4)),ISNUMBER(SEARCH("&lt;&gt;",$P$4))),IFERROR(('Final Calculation Sheet'!$O$32)&amp;"","")&lt;&gt;""),AND(TRIM($P$4)="",IFERROR(('Final Calculation Sheet'!$O$32)&amp;"","")=""))))</f>
        <v/>
      </c>
      <c r="CC33">
        <f>IF($Q$4="",1,--(OR(SUMPRODUCT(--(TRIM(MID(SUBSTITUTE(SUBSTITUTE($Q$4,"/",","),",",REPT(" ",99)),(ROW($1:$8)-1)*99+1,99))&lt;&gt;""),--ISNUMBER(SEARCH(TRIM(MID(SUBSTITUTE(SUBSTITUTE($Q$4,"/",","),",",REPT(" ",99)),(ROW($1:$8)-1)*99+1,99)),IFERROR(('Final Calculation Sheet'!$P$32)&amp;"",""))))&gt;0,AND(ISNUMBER(SEARCH("blank",$Q$4)),NOT(ISNUMBER(SEARCH("nonblank",$Q$4))),IFERROR(('Final Calculation Sheet'!$P$32)&amp;"","")=""),AND(OR(ISNUMBER(SEARCH("nonblank",$Q$4)),ISNUMBER(SEARCH("&lt;&gt;",$Q$4))),IFERROR(('Final Calculation Sheet'!$P$32)&amp;"","")&lt;&gt;""),AND(TRIM($Q$4)="",IFERROR(('Final Calculation Sheet'!$P$32)&amp;"","")=""))))</f>
        <v/>
      </c>
      <c r="CD33">
        <f>IF($R$4="",1,--(OR(SUMPRODUCT(--(TRIM(MID(SUBSTITUTE(SUBSTITUTE($R$4,"/",","),",",REPT(" ",99)),(ROW($1:$8)-1)*99+1,99))&lt;&gt;""),--ISNUMBER(SEARCH(TRIM(MID(SUBSTITUTE(SUBSTITUTE($R$4,"/",","),",",REPT(" ",99)),(ROW($1:$8)-1)*99+1,99)),IFERROR(('Final Calculation Sheet'!$Q$32)&amp;"",""))))&gt;0,AND(ISNUMBER(SEARCH("blank",$R$4)),NOT(ISNUMBER(SEARCH("nonblank",$R$4))),IFERROR(('Final Calculation Sheet'!$Q$32)&amp;"","")=""),AND(OR(ISNUMBER(SEARCH("nonblank",$R$4)),ISNUMBER(SEARCH("&lt;&gt;",$R$4))),IFERROR(('Final Calculation Sheet'!$Q$32)&amp;"","")&lt;&gt;""),AND(TRIM($R$4)="",IFERROR(('Final Calculation Sheet'!$Q$32)&amp;"","")=""))))</f>
        <v/>
      </c>
      <c r="CE33">
        <f>IF($S$4="",1,--(OR(SUMPRODUCT(--(TRIM(MID(SUBSTITUTE(SUBSTITUTE($S$4,"/",","),",",REPT(" ",99)),(ROW($1:$8)-1)*99+1,99))&lt;&gt;""),--ISNUMBER(SEARCH(TRIM(MID(SUBSTITUTE(SUBSTITUTE($S$4,"/",","),",",REPT(" ",99)),(ROW($1:$8)-1)*99+1,99)),IFERROR(('Final Calculation Sheet'!$R$32)&amp;"",""))))&gt;0,AND(ISNUMBER(SEARCH("blank",$S$4)),NOT(ISNUMBER(SEARCH("nonblank",$S$4))),IFERROR(('Final Calculation Sheet'!$R$32)&amp;"","")=""),AND(OR(ISNUMBER(SEARCH("nonblank",$S$4)),ISNUMBER(SEARCH("&lt;&gt;",$S$4))),IFERROR(('Final Calculation Sheet'!$R$32)&amp;"","")&lt;&gt;""),AND(TRIM($S$4)="",IFERROR(('Final Calculation Sheet'!$R$32)&amp;"","")=""))))</f>
        <v/>
      </c>
      <c r="CF33">
        <f>IF($T$4="",1,--(OR(SUMPRODUCT(--(TRIM(MID(SUBSTITUTE(SUBSTITUTE($T$4,"/",","),",",REPT(" ",99)),(ROW($1:$8)-1)*99+1,99))&lt;&gt;""),--ISNUMBER(SEARCH(TRIM(MID(SUBSTITUTE(SUBSTITUTE($T$4,"/",","),",",REPT(" ",99)),(ROW($1:$8)-1)*99+1,99)),IFERROR(('Final Calculation Sheet'!$S$32)&amp;"",""))))&gt;0,AND(ISNUMBER(SEARCH("blank",$T$4)),NOT(ISNUMBER(SEARCH("nonblank",$T$4))),IFERROR(('Final Calculation Sheet'!$S$32)&amp;"","")=""),AND(OR(ISNUMBER(SEARCH("nonblank",$T$4)),ISNUMBER(SEARCH("&lt;&gt;",$T$4))),IFERROR(('Final Calculation Sheet'!$S$32)&amp;"","")&lt;&gt;""),AND(TRIM($T$4)="",IFERROR(('Final Calculation Sheet'!$S$32)&amp;"","")=""))))</f>
        <v/>
      </c>
      <c r="CG33">
        <f>IF($U$4="",1,--(OR(SUMPRODUCT(--(TRIM(MID(SUBSTITUTE(SUBSTITUTE($U$4,"/",","),",",REPT(" ",99)),(ROW($1:$8)-1)*99+1,99))&lt;&gt;""),--ISNUMBER(SEARCH(TRIM(MID(SUBSTITUTE(SUBSTITUTE($U$4,"/",","),",",REPT(" ",99)),(ROW($1:$8)-1)*99+1,99)),IFERROR(('Final Calculation Sheet'!$T$32)&amp;"",""))))&gt;0,AND(ISNUMBER(SEARCH("blank",$U$4)),NOT(ISNUMBER(SEARCH("nonblank",$U$4))),IFERROR(('Final Calculation Sheet'!$T$32)&amp;"","")=""),AND(OR(ISNUMBER(SEARCH("nonblank",$U$4)),ISNUMBER(SEARCH("&lt;&gt;",$U$4))),IFERROR(('Final Calculation Sheet'!$T$32)&amp;"","")&lt;&gt;""),AND(TRIM($U$4)="",IFERROR(('Final Calculation Sheet'!$T$32)&amp;"","")=""))))</f>
        <v/>
      </c>
      <c r="CH33">
        <f>IF($V$4="",1,--(OR(SUMPRODUCT(--(TRIM(MID(SUBSTITUTE(SUBSTITUTE($V$4,"/",","),",",REPT(" ",99)),(ROW($1:$8)-1)*99+1,99))&lt;&gt;""),--ISNUMBER(SEARCH(TRIM(MID(SUBSTITUTE(SUBSTITUTE($V$4,"/",","),",",REPT(" ",99)),(ROW($1:$8)-1)*99+1,99)),IFERROR(('Final Calculation Sheet'!$U$32)&amp;"",""))))&gt;0,AND(ISNUMBER(SEARCH("blank",$V$4)),NOT(ISNUMBER(SEARCH("nonblank",$V$4))),IFERROR(('Final Calculation Sheet'!$U$32)&amp;"","")=""),AND(OR(ISNUMBER(SEARCH("nonblank",$V$4)),ISNUMBER(SEARCH("&lt;&gt;",$V$4))),IFERROR(('Final Calculation Sheet'!$U$32)&amp;"","")&lt;&gt;""),AND(TRIM($V$4)="",IFERROR(('Final Calculation Sheet'!$U$32)&amp;"","")=""))))</f>
        <v/>
      </c>
      <c r="CI33">
        <f>IF($W$4="",1,--(OR(SUMPRODUCT(--(TRIM(MID(SUBSTITUTE(SUBSTITUTE($W$4,"/",","),",",REPT(" ",99)),(ROW($1:$8)-1)*99+1,99))&lt;&gt;""),--ISNUMBER(SEARCH(TRIM(MID(SUBSTITUTE(SUBSTITUTE($W$4,"/",","),",",REPT(" ",99)),(ROW($1:$8)-1)*99+1,99)),IFERROR(('Final Calculation Sheet'!$V$32)&amp;"",""))))&gt;0,AND(ISNUMBER(SEARCH("blank",$W$4)),NOT(ISNUMBER(SEARCH("nonblank",$W$4))),IFERROR(('Final Calculation Sheet'!$V$32)&amp;"","")=""),AND(OR(ISNUMBER(SEARCH("nonblank",$W$4)),ISNUMBER(SEARCH("&lt;&gt;",$W$4))),IFERROR(('Final Calculation Sheet'!$V$32)&amp;"","")&lt;&gt;""),AND(TRIM($W$4)="",IFERROR(('Final Calculation Sheet'!$V$32)&amp;"","")=""))))</f>
        <v/>
      </c>
      <c r="CJ33">
        <f>IF($X$4="",1,--(OR(SUMPRODUCT(--(TRIM(MID(SUBSTITUTE(SUBSTITUTE($X$4,"/",","),",",REPT(" ",99)),(ROW($1:$8)-1)*99+1,99))&lt;&gt;""),--ISNUMBER(SEARCH(TRIM(MID(SUBSTITUTE(SUBSTITUTE($X$4,"/",","),",",REPT(" ",99)),(ROW($1:$8)-1)*99+1,99)),IFERROR(('Final Calculation Sheet'!$W$32)&amp;"",""))))&gt;0,AND(ISNUMBER(SEARCH("blank",$X$4)),NOT(ISNUMBER(SEARCH("nonblank",$X$4))),IFERROR(('Final Calculation Sheet'!$W$32)&amp;"","")=""),AND(OR(ISNUMBER(SEARCH("nonblank",$X$4)),ISNUMBER(SEARCH("&lt;&gt;",$X$4))),IFERROR(('Final Calculation Sheet'!$W$32)&amp;"","")&lt;&gt;""),AND(TRIM($X$4)="",IFERROR(('Final Calculation Sheet'!$W$32)&amp;"","")=""))))</f>
        <v/>
      </c>
      <c r="CK33">
        <f>IF($Y$4="",1,--(OR(SUMPRODUCT(--(TRIM(MID(SUBSTITUTE(SUBSTITUTE($Y$4,"/",","),",",REPT(" ",99)),(ROW($1:$8)-1)*99+1,99))&lt;&gt;""),--ISNUMBER(SEARCH(TRIM(MID(SUBSTITUTE(SUBSTITUTE($Y$4,"/",","),",",REPT(" ",99)),(ROW($1:$8)-1)*99+1,99)),IFERROR(('Final Calculation Sheet'!$X$32)&amp;"",""))))&gt;0,AND(ISNUMBER(SEARCH("blank",$Y$4)),NOT(ISNUMBER(SEARCH("nonblank",$Y$4))),IFERROR(('Final Calculation Sheet'!$X$32)&amp;"","")=""),AND(OR(ISNUMBER(SEARCH("nonblank",$Y$4)),ISNUMBER(SEARCH("&lt;&gt;",$Y$4))),IFERROR(('Final Calculation Sheet'!$X$32)&amp;"","")&lt;&gt;""),AND(TRIM($Y$4)="",IFERROR(('Final Calculation Sheet'!$X$32)&amp;"","")=""))))</f>
        <v/>
      </c>
      <c r="CL33">
        <f>IF($Z$4="",1,--(OR(SUMPRODUCT(--(TRIM(MID(SUBSTITUTE(SUBSTITUTE($Z$4,"/",","),",",REPT(" ",99)),(ROW($1:$8)-1)*99+1,99))&lt;&gt;""),--ISNUMBER(SEARCH(TRIM(MID(SUBSTITUTE(SUBSTITUTE($Z$4,"/",","),",",REPT(" ",99)),(ROW($1:$8)-1)*99+1,99)),IFERROR(('Final Calculation Sheet'!$Y$32)&amp;"",""))))&gt;0,AND(ISNUMBER(SEARCH("blank",$Z$4)),NOT(ISNUMBER(SEARCH("nonblank",$Z$4))),IFERROR(('Final Calculation Sheet'!$Y$32)&amp;"","")=""),AND(OR(ISNUMBER(SEARCH("nonblank",$Z$4)),ISNUMBER(SEARCH("&lt;&gt;",$Z$4))),IFERROR(('Final Calculation Sheet'!$Y$32)&amp;"","")&lt;&gt;""),AND(TRIM($Z$4)="",IFERROR(('Final Calculation Sheet'!$Y$32)&amp;"","")=""))))</f>
        <v/>
      </c>
      <c r="CM33">
        <f>IF($AA$4="",1,--(OR(SUMPRODUCT(--(TRIM(MID(SUBSTITUTE(SUBSTITUTE($AA$4,"/",","),",",REPT(" ",99)),(ROW($1:$8)-1)*99+1,99))&lt;&gt;""),--ISNUMBER(SEARCH(TRIM(MID(SUBSTITUTE(SUBSTITUTE($AA$4,"/",","),",",REPT(" ",99)),(ROW($1:$8)-1)*99+1,99)),IFERROR(('Final Calculation Sheet'!$Z$32)&amp;"",""))))&gt;0,AND(ISNUMBER(SEARCH("blank",$AA$4)),NOT(ISNUMBER(SEARCH("nonblank",$AA$4))),IFERROR(('Final Calculation Sheet'!$Z$32)&amp;"","")=""),AND(OR(ISNUMBER(SEARCH("nonblank",$AA$4)),ISNUMBER(SEARCH("&lt;&gt;",$AA$4))),IFERROR(('Final Calculation Sheet'!$Z$32)&amp;"","")&lt;&gt;""),AND(TRIM($AA$4)="",IFERROR(('Final Calculation Sheet'!$Z$32)&amp;"","")=""))))</f>
        <v/>
      </c>
      <c r="CN33">
        <f>IF($AB$4="",1,--(OR(SUMPRODUCT(--(TRIM(MID(SUBSTITUTE(SUBSTITUTE($AB$4,"/",","),",",REPT(" ",99)),(ROW($1:$8)-1)*99+1,99))&lt;&gt;""),--ISNUMBER(SEARCH(TRIM(MID(SUBSTITUTE(SUBSTITUTE($AB$4,"/",","),",",REPT(" ",99)),(ROW($1:$8)-1)*99+1,99)),IFERROR(('Final Calculation Sheet'!$AA$32)&amp;"",""))))&gt;0,AND(ISNUMBER(SEARCH("blank",$AB$4)),NOT(ISNUMBER(SEARCH("nonblank",$AB$4))),IFERROR(('Final Calculation Sheet'!$AA$32)&amp;"","")=""),AND(OR(ISNUMBER(SEARCH("nonblank",$AB$4)),ISNUMBER(SEARCH("&lt;&gt;",$AB$4))),IFERROR(('Final Calculation Sheet'!$AA$32)&amp;"","")&lt;&gt;""),AND(TRIM($AB$4)="",IFERROR(('Final Calculation Sheet'!$AA$32)&amp;"","")=""))))</f>
        <v/>
      </c>
      <c r="CO33">
        <f>IF($AC$4="",1,--(OR(SUMPRODUCT(--(TRIM(MID(SUBSTITUTE(SUBSTITUTE($AC$4,"/",","),",",REPT(" ",99)),(ROW($1:$8)-1)*99+1,99))&lt;&gt;""),--ISNUMBER(SEARCH(TRIM(MID(SUBSTITUTE(SUBSTITUTE($AC$4,"/",","),",",REPT(" ",99)),(ROW($1:$8)-1)*99+1,99)),IFERROR(('Final Calculation Sheet'!$AB$32)&amp;"",""))))&gt;0,AND(ISNUMBER(SEARCH("blank",$AC$4)),NOT(ISNUMBER(SEARCH("nonblank",$AC$4))),IFERROR(('Final Calculation Sheet'!$AB$32)&amp;"","")=""),AND(OR(ISNUMBER(SEARCH("nonblank",$AC$4)),ISNUMBER(SEARCH("&lt;&gt;",$AC$4))),IFERROR(('Final Calculation Sheet'!$AB$32)&amp;"","")&lt;&gt;""),AND(TRIM($AC$4)="",IFERROR(('Final Calculation Sheet'!$AB$32)&amp;"","")=""))))</f>
        <v/>
      </c>
      <c r="CP33">
        <f>IF($AD$4="",1,--(OR(SUMPRODUCT(--(TRIM(MID(SUBSTITUTE(SUBSTITUTE($AD$4,"/",","),",",REPT(" ",99)),(ROW($1:$8)-1)*99+1,99))&lt;&gt;""),--ISNUMBER(SEARCH(TRIM(MID(SUBSTITUTE(SUBSTITUTE($AD$4,"/",","),",",REPT(" ",99)),(ROW($1:$8)-1)*99+1,99)),IFERROR(('Final Calculation Sheet'!$AC$32)&amp;"",""))))&gt;0,AND(ISNUMBER(SEARCH("blank",$AD$4)),NOT(ISNUMBER(SEARCH("nonblank",$AD$4))),IFERROR(('Final Calculation Sheet'!$AC$32)&amp;"","")=""),AND(OR(ISNUMBER(SEARCH("nonblank",$AD$4)),ISNUMBER(SEARCH("&lt;&gt;",$AD$4))),IFERROR(('Final Calculation Sheet'!$AC$32)&amp;"","")&lt;&gt;""),AND(TRIM($AD$4)="",IFERROR(('Final Calculation Sheet'!$AC$32)&amp;"","")=""))))</f>
        <v/>
      </c>
      <c r="CQ33">
        <f>IF($AE$4="",1,--(OR(SUMPRODUCT(--(TRIM(MID(SUBSTITUTE(SUBSTITUTE($AE$4,"/",","),",",REPT(" ",99)),(ROW($1:$8)-1)*99+1,99))&lt;&gt;""),--ISNUMBER(SEARCH(TRIM(MID(SUBSTITUTE(SUBSTITUTE($AE$4,"/",","),",",REPT(" ",99)),(ROW($1:$8)-1)*99+1,99)),IFERROR(('Final Calculation Sheet'!$AD$32)&amp;"",""))))&gt;0,AND(ISNUMBER(SEARCH("blank",$AE$4)),NOT(ISNUMBER(SEARCH("nonblank",$AE$4))),IFERROR(('Final Calculation Sheet'!$AD$32)&amp;"","")=""),AND(OR(ISNUMBER(SEARCH("nonblank",$AE$4)),ISNUMBER(SEARCH("&lt;&gt;",$AE$4))),IFERROR(('Final Calculation Sheet'!$AD$32)&amp;"","")&lt;&gt;""),AND(TRIM($AE$4)="",IFERROR(('Final Calculation Sheet'!$AD$32)&amp;"","")=""))))</f>
        <v/>
      </c>
      <c r="CR33">
        <f>IF($AG$4="",1,--(OR(SUMPRODUCT(--(TRIM(MID(SUBSTITUTE(SUBSTITUTE($AG$4,"/",","),",",REPT(" ",99)),(ROW($1:$8)-1)*99+1,99))&lt;&gt;""),--ISNUMBER(SEARCH(TRIM(MID(SUBSTITUTE(SUBSTITUTE($AG$4,"/",","),",",REPT(" ",99)),(ROW($1:$8)-1)*99+1,99)),IFERROR(('Final Calculation Sheet'!$AF$32)&amp;"",""))))&gt;0,AND(ISNUMBER(SEARCH("blank",$AG$4)),NOT(ISNUMBER(SEARCH("nonblank",$AG$4))),IFERROR(('Final Calculation Sheet'!$AF$32)&amp;"","")=""),AND(OR(ISNUMBER(SEARCH("nonblank",$AG$4)),ISNUMBER(SEARCH("&lt;&gt;",$AG$4))),IFERROR(('Final Calculation Sheet'!$AF$32)&amp;"","")&lt;&gt;""),AND(TRIM($AG$4)="",IFERROR(('Final Calculation Sheet'!$AF$32)&amp;"","")=""))))</f>
        <v/>
      </c>
      <c r="CS33">
        <f>IF($AH$4="",1,--(OR(SUMPRODUCT(--(TRIM(MID(SUBSTITUTE(SUBSTITUTE($AH$4,"/",","),",",REPT(" ",99)),(ROW($1:$8)-1)*99+1,99))&lt;&gt;""),--ISNUMBER(SEARCH(TRIM(MID(SUBSTITUTE(SUBSTITUTE($AH$4,"/",","),",",REPT(" ",99)),(ROW($1:$8)-1)*99+1,99)),IFERROR(('Final Calculation Sheet'!$AG$32)&amp;"",""))))&gt;0,AND(ISNUMBER(SEARCH("blank",$AH$4)),NOT(ISNUMBER(SEARCH("nonblank",$AH$4))),IFERROR(('Final Calculation Sheet'!$AG$32)&amp;"","")=""),AND(OR(ISNUMBER(SEARCH("nonblank",$AH$4)),ISNUMBER(SEARCH("&lt;&gt;",$AH$4))),IFERROR(('Final Calculation Sheet'!$AG$32)&amp;"","")&lt;&gt;""),AND(TRIM($AH$4)="",IFERROR(('Final Calculation Sheet'!$AG$32)&amp;"","")=""))))</f>
        <v/>
      </c>
      <c r="CT33">
        <f>IF($AI$4="",1,--(OR(SUMPRODUCT(--(TRIM(MID(SUBSTITUTE(SUBSTITUTE($AI$4,"/",","),",",REPT(" ",99)),(ROW($1:$8)-1)*99+1,99))&lt;&gt;""),--ISNUMBER(SEARCH(TRIM(MID(SUBSTITUTE(SUBSTITUTE($AI$4,"/",","),",",REPT(" ",99)),(ROW($1:$8)-1)*99+1,99)),IFERROR(('Final Calculation Sheet'!$AH$32)&amp;"",""))))&gt;0,AND(ISNUMBER(SEARCH("blank",$AI$4)),NOT(ISNUMBER(SEARCH("nonblank",$AI$4))),IFERROR(('Final Calculation Sheet'!$AH$32)&amp;"","")=""),AND(OR(ISNUMBER(SEARCH("nonblank",$AI$4)),ISNUMBER(SEARCH("&lt;&gt;",$AI$4))),IFERROR(('Final Calculation Sheet'!$AH$32)&amp;"","")&lt;&gt;""),AND(TRIM($AI$4)="",IFERROR(('Final Calculation Sheet'!$AH$32)&amp;"","")=""))))</f>
        <v/>
      </c>
      <c r="CU33">
        <f>IF($AF$4="",1,--(OR(SUMPRODUCT(--(TRIM(MID(SUBSTITUTE(SUBSTITUTE($AF$4,"/",","),",",REPT(" ",99)),(ROW($1:$8)-1)*99+1,99))&lt;&gt;""),--ISNUMBER(SEARCH(TRIM(MID(SUBSTITUTE(SUBSTITUTE($AF$4,"/",","),",",REPT(" ",99)),(ROW($1:$8)-1)*99+1,99)),IFERROR((IF('Final Calculation Sheet'!$AD$32&lt;=5,"SETTLED","OUTSTANDING"))&amp;"",""))))&gt;0,AND(ISNUMBER(SEARCH("blank",$AF$4)),NOT(ISNUMBER(SEARCH("nonblank",$AF$4))),IFERROR((IF('Final Calculation Sheet'!$AD$32&lt;=5,"SETTLED","OUTSTANDING"))&amp;"","")=""),AND(OR(ISNUMBER(SEARCH("nonblank",$AF$4)),ISNUMBER(SEARCH("&lt;&gt;",$AF$4))),IFERROR((IF('Final Calculation Sheet'!$AD$32&lt;=5,"SETTLED","OUTSTANDING"))&amp;"","")&lt;&gt;""),AND(TRIM($AF$4)="",IFERROR((IF('Final Calculation Sheet'!$AD$32&lt;=5,"SETTLED","OUTSTANDING"))&amp;"","")=""))))</f>
        <v/>
      </c>
    </row>
    <row r="34" ht="15" customHeight="1" s="137">
      <c r="A34" s="67">
        <f>IF($BJ33&gt;0,INDEX($BA$5:$BA$41,MATCH(33,$BB$5:$BB$41,0)),IF(OR($BI33=1,$BL33=1,$BH33&gt;0),"∑",""))</f>
        <v/>
      </c>
      <c r="B34" s="76">
        <f>IF($BJ33&gt;0,IF(INDEX('Final Calculation Sheet'!$F$4:$F$40,$BJ33-3)="","",INDEX('Final Calculation Sheet'!$F$4:$F$40,$BJ33-3)),"")</f>
        <v/>
      </c>
      <c r="C34" s="76">
        <f>IF($BJ33&gt;0,IF(INDEX('Final Calculation Sheet'!$G$4:$G$40,$BJ33-3)="","",INDEX('Final Calculation Sheet'!$G$4:$G$40,$BJ33-3)),IF(OR($BI33=1,$BL33=1,$BH33&gt;0),IF($BI33=1,37,IF($BL33=1,37-INDEX($BD$4:$BD$13,10),INDEX($BD$4:$BD$13,$BH33)))&amp;" lot(s)",""))</f>
        <v/>
      </c>
      <c r="D34" s="80">
        <f>IF($BJ33&gt;0,IF(INDEX('Final Calculation Sheet'!$B$4:$B$40,$BJ33-3)="","",INDEX('Final Calculation Sheet'!$B$4:$B$40,$BJ33-3)),IF(OR($BI33=1,$BL33=1,$BH33&gt;0),IF($BI33=1,"GRAND TOTAL  —  matching + remaining",IF($BL33=1,"TOTAL MATCHED  —  every group together",IF($BH33=10,"REMAINING  —  did not match the search",IF($BH33=9,IF(COUNTIF($A$4:$AI$4,"&lt;&gt;")&gt;0,"FILTERED LOTS  —  column fields","ALL LOTS  —  nothing typed in the box"),"GROUP "&amp;$BH33&amp;" TOTAL  —  lots matching  "&amp;INDEX($AR$6:$AY$6,$BH33))))),""))</f>
        <v/>
      </c>
      <c r="E34" s="80">
        <f>IF($BJ33&gt;0,IF(INDEX('Final Calculation Sheet'!$D$4:$D$40,$BJ33-3)="","",INDEX('Final Calculation Sheet'!$D$4:$D$40,$BJ33-3)),IF(OR($BI33=1,$BL33=1,$BH33&gt;0),"–",""))</f>
        <v/>
      </c>
      <c r="F34" s="80">
        <f>IF($BJ33&gt;0,IF(INDEX('Final Calculation Sheet'!$A$4:$A$40,$BJ33-3)="","",INDEX('Final Calculation Sheet'!$A$4:$A$40,$BJ33-3)),IF(OR($BI33=1,$BL33=1,$BH33&gt;0),IF($BI33=1,SUM('Final Calculation Sheet'!$A$4:$A$40),IF($BL33=1,SUM('Final Calculation Sheet'!$A$4:$A$40)-SUMIFS('Final Calculation Sheet'!$A$4:$A$40,$AZ$5:$AZ$41,10),SUMIFS('Final Calculation Sheet'!$A$4:$A$40,$AZ$5:$AZ$41,$BH33))),""))</f>
        <v/>
      </c>
      <c r="G34" s="80">
        <f>IF($BJ33&gt;0,IF(INDEX('Final Calculation Sheet'!$E$4:$E$40,$BJ33-3)="","",INDEX('Final Calculation Sheet'!$E$4:$E$40,$BJ33-3)),IF(OR($BI33=1,$BL33=1,$BH33&gt;0),"–",""))</f>
        <v/>
      </c>
      <c r="H34" s="70">
        <f>IF($BJ33&gt;0,IF(INDEX('Final Calculation Sheet'!$C$4:$C$40,$BJ33-3)="","",INDEX('Final Calculation Sheet'!$C$4:$C$40,$BJ33-3)),IF(OR($BI33=1,$BL33=1,$BH33&gt;0),"–",""))</f>
        <v/>
      </c>
      <c r="I34" s="70">
        <f>IF($BJ33&gt;0,IF(INDEX('Final Calculation Sheet'!$H$4:$H$40,$BJ33-3)="","",INDEX('Final Calculation Sheet'!$H$4:$H$40,$BJ33-3)),IF(OR($BI33=1,$BL33=1,$BH33&gt;0),IF($BI33=1,SUM('Final Calculation Sheet'!$H$4:$H$40),IF($BL33=1,SUM('Final Calculation Sheet'!$H$4:$H$40)-SUMIFS('Final Calculation Sheet'!$H$4:$H$40,$AZ$5:$AZ$41,10),SUMIFS('Final Calculation Sheet'!$H$4:$H$40,$AZ$5:$AZ$41,$BH33))),""))</f>
        <v/>
      </c>
      <c r="J34" s="70">
        <f>IF($BJ33&gt;0,IF(INDEX('Final Calculation Sheet'!$I$4:$I$40,$BJ33-3)="","",INDEX('Final Calculation Sheet'!$I$4:$I$40,$BJ33-3)),IF(OR($BI33=1,$BL33=1,$BH33&gt;0),IF($BI33=1,SUM('Final Calculation Sheet'!$I$4:$I$40),IF($BL33=1,SUM('Final Calculation Sheet'!$I$4:$I$40)-SUMIFS('Final Calculation Sheet'!$I$4:$I$40,$AZ$5:$AZ$41,10),SUMIFS('Final Calculation Sheet'!$I$4:$I$40,$AZ$5:$AZ$41,$BH33))),""))</f>
        <v/>
      </c>
      <c r="K34" s="70">
        <f>IF($BJ33&gt;0,IF(INDEX('Final Calculation Sheet'!$J$4:$J$40,$BJ33-3)="","",INDEX('Final Calculation Sheet'!$J$4:$J$40,$BJ33-3)),IF(OR($BI33=1,$BL33=1,$BH33&gt;0),IF($BI33=1,SUM('Final Calculation Sheet'!$J$4:$J$40),IF($BL33=1,SUM('Final Calculation Sheet'!$J$4:$J$40)-SUMIFS('Final Calculation Sheet'!$J$4:$J$40,$AZ$5:$AZ$41,10),SUMIFS('Final Calculation Sheet'!$J$4:$J$40,$AZ$5:$AZ$41,$BH33))),""))</f>
        <v/>
      </c>
      <c r="L34" s="70">
        <f>IF($BJ33&gt;0,IF(INDEX('Final Calculation Sheet'!$K$4:$K$40,$BJ33-3)="","",INDEX('Final Calculation Sheet'!$K$4:$K$40,$BJ33-3)),IF(OR($BI33=1,$BL33=1,$BH33&gt;0),IF($BI33=1,SUM('Final Calculation Sheet'!$K$4:$K$40),IF($BL33=1,SUM('Final Calculation Sheet'!$K$4:$K$40)-SUMIFS('Final Calculation Sheet'!$K$4:$K$40,$AZ$5:$AZ$41,10),SUMIFS('Final Calculation Sheet'!$K$4:$K$40,$AZ$5:$AZ$41,$BH33))),""))</f>
        <v/>
      </c>
      <c r="M34" s="70">
        <f>IF($BJ33&gt;0,IF(INDEX('Final Calculation Sheet'!$L$4:$L$40,$BJ33-3)="","",INDEX('Final Calculation Sheet'!$L$4:$L$40,$BJ33-3)),IF(OR($BI33=1,$BL33=1,$BH33&gt;0),IF($BI33=1,SUM('Final Calculation Sheet'!$L$4:$L$40),IF($BL33=1,SUM('Final Calculation Sheet'!$L$4:$L$40)-SUMIFS('Final Calculation Sheet'!$L$4:$L$40,$AZ$5:$AZ$41,10),SUMIFS('Final Calculation Sheet'!$L$4:$L$40,$AZ$5:$AZ$41,$BH33))),""))</f>
        <v/>
      </c>
      <c r="N34" s="70">
        <f>IF($BJ33&gt;0,IF(INDEX('Final Calculation Sheet'!$M$4:$M$40,$BJ33-3)="","",INDEX('Final Calculation Sheet'!$M$4:$M$40,$BJ33-3)),IF(OR($BI33=1,$BL33=1,$BH33&gt;0),IF($BI33=1,SUM('Final Calculation Sheet'!$M$4:$M$40),IF($BL33=1,SUM('Final Calculation Sheet'!$M$4:$M$40)-SUMIFS('Final Calculation Sheet'!$M$4:$M$40,$AZ$5:$AZ$41,10),SUMIFS('Final Calculation Sheet'!$M$4:$M$40,$AZ$5:$AZ$41,$BH33))),""))</f>
        <v/>
      </c>
      <c r="O34" s="71">
        <f>IF($BJ33&gt;0,IF(INDEX('Final Calculation Sheet'!$N$4:$N$40,$BJ33-3)="","",INDEX('Final Calculation Sheet'!$N$4:$N$40,$BJ33-3)),IF(OR($BI33=1,$BL33=1,$BH33&gt;0),IF($BI33=1,SUM('Final Calculation Sheet'!$N$4:$N$40),IF($BL33=1,SUM('Final Calculation Sheet'!$N$4:$N$40)-SUMIFS('Final Calculation Sheet'!$N$4:$N$40,$AZ$5:$AZ$41,10),SUMIFS('Final Calculation Sheet'!$N$4:$N$40,$AZ$5:$AZ$41,$BH33))),""))</f>
        <v/>
      </c>
      <c r="P34" s="70">
        <f>IF($BJ33&gt;0,IF(INDEX('Final Calculation Sheet'!$O$4:$O$40,$BJ33-3)="","",INDEX('Final Calculation Sheet'!$O$4:$O$40,$BJ33-3)),IF(OR($BI33=1,$BL33=1,$BH33&gt;0),IF($BI33=1,SUM('Final Calculation Sheet'!$O$4:$O$40),IF($BL33=1,SUM('Final Calculation Sheet'!$O$4:$O$40)-SUMIFS('Final Calculation Sheet'!$O$4:$O$40,$AZ$5:$AZ$41,10),SUMIFS('Final Calculation Sheet'!$O$4:$O$40,$AZ$5:$AZ$41,$BH33))),""))</f>
        <v/>
      </c>
      <c r="Q34" s="70">
        <f>IF($BJ33&gt;0,IF(INDEX('Final Calculation Sheet'!$P$4:$P$40,$BJ33-3)="","",INDEX('Final Calculation Sheet'!$P$4:$P$40,$BJ33-3)),IF(OR($BI33=1,$BL33=1,$BH33&gt;0),IF($BI33=1,SUM('Final Calculation Sheet'!$P$4:$P$40),IF($BL33=1,SUM('Final Calculation Sheet'!$P$4:$P$40)-SUMIFS('Final Calculation Sheet'!$P$4:$P$40,$AZ$5:$AZ$41,10),SUMIFS('Final Calculation Sheet'!$P$4:$P$40,$AZ$5:$AZ$41,$BH33))),""))</f>
        <v/>
      </c>
      <c r="R34" s="72">
        <f>IF($BJ33&gt;0,IF(INDEX('Final Calculation Sheet'!$Q$4:$Q$40,$BJ33-3)="","",INDEX('Final Calculation Sheet'!$Q$4:$Q$40,$BJ33-3)),IF(OR($BI33=1,$BL33=1,$BH33&gt;0),"–",""))</f>
        <v/>
      </c>
      <c r="S34" s="70">
        <f>IF($BJ33&gt;0,IF(INDEX('Final Calculation Sheet'!$R$4:$R$40,$BJ33-3)="","",INDEX('Final Calculation Sheet'!$R$4:$R$40,$BJ33-3)),IF(OR($BI33=1,$BL33=1,$BH33&gt;0),IF($BI33=1,SUM('Final Calculation Sheet'!$R$4:$R$40),IF($BL33=1,SUM('Final Calculation Sheet'!$R$4:$R$40)-SUMIFS('Final Calculation Sheet'!$R$4:$R$40,$AZ$5:$AZ$41,10),SUMIFS('Final Calculation Sheet'!$R$4:$R$40,$AZ$5:$AZ$41,$BH33))),""))</f>
        <v/>
      </c>
      <c r="T34" s="70">
        <f>IF($BJ33&gt;0,IF(INDEX('Final Calculation Sheet'!$S$4:$S$40,$BJ33-3)="","",INDEX('Final Calculation Sheet'!$S$4:$S$40,$BJ33-3)),IF(OR($BI33=1,$BL33=1,$BH33&gt;0),IF($BI33=1,SUM('Final Calculation Sheet'!$S$4:$S$40),IF($BL33=1,SUM('Final Calculation Sheet'!$S$4:$S$40)-SUMIFS('Final Calculation Sheet'!$S$4:$S$40,$AZ$5:$AZ$41,10),SUMIFS('Final Calculation Sheet'!$S$4:$S$40,$AZ$5:$AZ$41,$BH33))),""))</f>
        <v/>
      </c>
      <c r="U34" s="70">
        <f>IF($BJ33&gt;0,IF(INDEX('Final Calculation Sheet'!$T$4:$T$40,$BJ33-3)="","",INDEX('Final Calculation Sheet'!$T$4:$T$40,$BJ33-3)),IF(OR($BI33=1,$BL33=1,$BH33&gt;0),IF($BI33=1,SUM('Final Calculation Sheet'!$T$4:$T$40),IF($BL33=1,SUM('Final Calculation Sheet'!$T$4:$T$40)-SUMIFS('Final Calculation Sheet'!$T$4:$T$40,$AZ$5:$AZ$41,10),SUMIFS('Final Calculation Sheet'!$T$4:$T$40,$AZ$5:$AZ$41,$BH33))),""))</f>
        <v/>
      </c>
      <c r="V34" s="73">
        <f>IF($BJ33&gt;0,IF(INDEX('Final Calculation Sheet'!$U$4:$U$40,$BJ33-3)="","",INDEX('Final Calculation Sheet'!$U$4:$U$40,$BJ33-3)),IF(OR($BI33=1,$BL33=1,$BH33&gt;0),IF($BI33=1,SUM('Final Calculation Sheet'!$U$4:$U$40),IF($BL33=1,SUM('Final Calculation Sheet'!$U$4:$U$40)-SUMIFS('Final Calculation Sheet'!$U$4:$U$40,$AZ$5:$AZ$41,10),SUMIFS('Final Calculation Sheet'!$U$4:$U$40,$AZ$5:$AZ$41,$BH33))),""))</f>
        <v/>
      </c>
      <c r="W34" s="70">
        <f>IF($BJ33&gt;0,IF(INDEX('Final Calculation Sheet'!$V$4:$V$40,$BJ33-3)="","",INDEX('Final Calculation Sheet'!$V$4:$V$40,$BJ33-3)),IF(OR($BI33=1,$BL33=1,$BH33&gt;0),"–",""))</f>
        <v/>
      </c>
      <c r="X34" s="70">
        <f>IF($BJ33&gt;0,IF(INDEX('Final Calculation Sheet'!$W$4:$W$40,$BJ33-3)="","",INDEX('Final Calculation Sheet'!$W$4:$W$40,$BJ33-3)),IF(OR($BI33=1,$BL33=1,$BH33&gt;0),IF($BI33=1,SUM('Final Calculation Sheet'!$W$4:$W$40),IF($BL33=1,SUM('Final Calculation Sheet'!$W$4:$W$40)-SUMIFS('Final Calculation Sheet'!$W$4:$W$40,$AZ$5:$AZ$41,10),SUMIFS('Final Calculation Sheet'!$W$4:$W$40,$AZ$5:$AZ$41,$BH33))),""))</f>
        <v/>
      </c>
      <c r="Y34" s="70">
        <f>IF($BJ33&gt;0,IF(INDEX('Final Calculation Sheet'!$X$4:$X$40,$BJ33-3)="","",INDEX('Final Calculation Sheet'!$X$4:$X$40,$BJ33-3)),IF(OR($BI33=1,$BL33=1,$BH33&gt;0),IF($BI33=1,SUM('Final Calculation Sheet'!$X$4:$X$40),IF($BL33=1,SUM('Final Calculation Sheet'!$X$4:$X$40)-SUMIFS('Final Calculation Sheet'!$X$4:$X$40,$AZ$5:$AZ$41,10),SUMIFS('Final Calculation Sheet'!$X$4:$X$40,$AZ$5:$AZ$41,$BH33))),""))</f>
        <v/>
      </c>
      <c r="Z34" s="70">
        <f>IF($BJ33&gt;0,IF(INDEX('Final Calculation Sheet'!$Y$4:$Y$40,$BJ33-3)="","",INDEX('Final Calculation Sheet'!$Y$4:$Y$40,$BJ33-3)),IF(OR($BI33=1,$BL33=1,$BH33&gt;0),"–",""))</f>
        <v/>
      </c>
      <c r="AA34" s="70">
        <f>IF($BJ33&gt;0,IF(INDEX('Final Calculation Sheet'!$Z$4:$Z$40,$BJ33-3)="","",INDEX('Final Calculation Sheet'!$Z$4:$Z$40,$BJ33-3)),IF(OR($BI33=1,$BL33=1,$BH33&gt;0),IF($BI33=1,SUM('Final Calculation Sheet'!$Z$4:$Z$40),IF($BL33=1,SUM('Final Calculation Sheet'!$Z$4:$Z$40)-SUMIFS('Final Calculation Sheet'!$Z$4:$Z$40,$AZ$5:$AZ$41,10),SUMIFS('Final Calculation Sheet'!$Z$4:$Z$40,$AZ$5:$AZ$41,$BH33))),""))</f>
        <v/>
      </c>
      <c r="AB34" s="70">
        <f>IF($BJ33&gt;0,IF(INDEX('Final Calculation Sheet'!$AA$4:$AA$40,$BJ33-3)="","",INDEX('Final Calculation Sheet'!$AA$4:$AA$40,$BJ33-3)),IF(OR($BI33=1,$BL33=1,$BH33&gt;0),IF($BI33=1,SUM('Final Calculation Sheet'!$AA$4:$AA$40),IF($BL33=1,SUM('Final Calculation Sheet'!$AA$4:$AA$40)-SUMIFS('Final Calculation Sheet'!$AA$4:$AA$40,$AZ$5:$AZ$41,10),SUMIFS('Final Calculation Sheet'!$AA$4:$AA$40,$AZ$5:$AZ$41,$BH33))),""))</f>
        <v/>
      </c>
      <c r="AC34" s="70">
        <f>IF($BJ33&gt;0,IF(INDEX('Final Calculation Sheet'!$AB$4:$AB$40,$BJ33-3)="","",INDEX('Final Calculation Sheet'!$AB$4:$AB$40,$BJ33-3)),IF(OR($BI33=1,$BL33=1,$BH33&gt;0),"–",""))</f>
        <v/>
      </c>
      <c r="AD34" s="70">
        <f>IF($BJ33&gt;0,IF(INDEX('Final Calculation Sheet'!$AC$4:$AC$40,$BJ33-3)="","",INDEX('Final Calculation Sheet'!$AC$4:$AC$40,$BJ33-3)),IF(OR($BI33=1,$BL33=1,$BH33&gt;0),IF($BI33=1,SUM('Final Calculation Sheet'!$AC$4:$AC$40),IF($BL33=1,SUM('Final Calculation Sheet'!$AC$4:$AC$40)-SUMIFS('Final Calculation Sheet'!$AC$4:$AC$40,$AZ$5:$AZ$41,10),SUMIFS('Final Calculation Sheet'!$AC$4:$AC$40,$AZ$5:$AZ$41,$BH33))),""))</f>
        <v/>
      </c>
      <c r="AE34" s="70">
        <f>IF($BJ33&gt;0,IF(INDEX('Final Calculation Sheet'!$AD$4:$AD$40,$BJ33-3)="","",INDEX('Final Calculation Sheet'!$AD$4:$AD$40,$BJ33-3)),IF(OR($BI33=1,$BL33=1,$BH33&gt;0),IF($BI33=1,SUM('Final Calculation Sheet'!$AD$4:$AD$40),IF($BL33=1,SUM('Final Calculation Sheet'!$AD$4:$AD$40)-SUMIFS('Final Calculation Sheet'!$AD$4:$AD$40,$AZ$5:$AZ$41,10),SUMIFS('Final Calculation Sheet'!$AD$4:$AD$40,$AZ$5:$AZ$41,$BH33))),""))</f>
        <v/>
      </c>
      <c r="AF34" s="75">
        <f>IF($BJ33&gt;0,IF(INDEX('Final Calculation Sheet'!$AD$4:$AD$40,$BJ33-3)="","",IF(INDEX('Final Calculation Sheet'!$AD$4:$AD$40,$BJ33-3)&lt;=5,"SETTLED","OUTSTANDING")),IF(OR($BI33=1,$BL33=1,$BH33&gt;0),IF(IF($BI33=1,SUM('Final Calculation Sheet'!$AD$4:$AD$40),IF($BL33=1,SUM('Final Calculation Sheet'!$AD$4:$AD$40)-SUMIFS('Final Calculation Sheet'!$AD$4:$AD$40,$AZ$5:$AZ$41,10),SUMIFS('Final Calculation Sheet'!$AD$4:$AD$40,$AZ$5:$AZ$41,$BH33)))&lt;=5,"ALL SETTLED","OUTSTANDING"),""))</f>
        <v/>
      </c>
      <c r="AG34" s="70">
        <f>IF($BJ33&gt;0,IF(INDEX('Final Calculation Sheet'!$AF$4:$AF$40,$BJ33-3)="","",INDEX('Final Calculation Sheet'!$AF$4:$AF$40,$BJ33-3)),IF(OR($BI33=1,$BL33=1,$BH33&gt;0),"–",""))</f>
        <v/>
      </c>
      <c r="AH34" s="74">
        <f>IF($BJ33&gt;0,IF(INDEX('Final Calculation Sheet'!$AG$4:$AG$40,$BJ33-3)="","",INDEX('Final Calculation Sheet'!$AG$4:$AG$40,$BJ33-3)),IF(OR($BI33=1,$BL33=1,$BH33&gt;0),"–",""))</f>
        <v/>
      </c>
      <c r="AI34" s="70">
        <f>IF($BJ33&gt;0,IF(INDEX('Final Calculation Sheet'!$AH$4:$AH$40,$BJ33-3)="","",INDEX('Final Calculation Sheet'!$AH$4:$AH$40,$BJ33-3)),IF(OR($BI33=1,$BL33=1,$BH33&gt;0),"–",""))</f>
        <v/>
      </c>
      <c r="AK34">
        <f>IF($F$3="Lot No.",'Final Calculation Sheet'!$F$33,IF($F$3="Buyer",'Final Calculation Sheet'!$G$33,IF($F$3="Lot Name",'Final Calculation Sheet'!$B$33,IF($F$3="Bid Sheet",'Final Calculation Sheet'!$D$33,IF($F$3="Unit",'Final Calculation Sheet'!$E$33,'Final Calculation Sheet'!$F$33&amp;" "&amp;'Final Calculation Sheet'!$G$33&amp;" "&amp;'Final Calculation Sheet'!$B$33)))))</f>
        <v/>
      </c>
      <c r="AL34">
        <f>AL33+IF($B$3="",0,--(SUMPRODUCT(--($AR$6:$AY$6&lt;&gt;""),--ISNUMBER(SEARCH($AR$6:$AY$6,$AK34)))&gt;0))</f>
        <v/>
      </c>
      <c r="AM34">
        <f>IF(COUNTIF($BM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AZ34">
        <f>IF($B$3="",IF(COUNTIF($A$4:$AI$4,"&lt;&gt;")=0,9,IF($AM34=1,9,10)),IF($AM34=0,10,IF(AND($AR$6&lt;&gt;"",ISNUMBER(SEARCH($AR$6,$AK34))),1,IF(AND($AS$6&lt;&gt;"",ISNUMBER(SEARCH($AS$6,$AK34))),2,IF(AND($AT$6&lt;&gt;"",ISNUMBER(SEARCH($AT$6,$AK34))),3,IF(AND($AU$6&lt;&gt;"",ISNUMBER(SEARCH($AU$6,$AK34))),4,IF(AND($AV$6&lt;&gt;"",ISNUMBER(SEARCH($AV$6,$AK34))),5,IF(AND($AW$6&lt;&gt;"",ISNUMBER(SEARCH($AW$6,$AK34))),6,IF(AND($AX$6&lt;&gt;"",ISNUMBER(SEARCH($AX$6,$AK34))),7,IF(AND($AY$6&lt;&gt;"",ISNUMBER(SEARCH($AY$6,$AK34))),8,0))))))))))</f>
        <v/>
      </c>
      <c r="BA34">
        <f>SUMPRODUCT(($AZ$5:$AZ$41=$AZ34)*($BC$5:$BC$41&lt;$BC34))+1</f>
        <v/>
      </c>
      <c r="BB34">
        <f>IF(INDEX($BF$4:$BF$13,$AZ34)=0,0,INDEX($BE$4:$BE$13,$AZ34)+$BA34-1)</f>
        <v/>
      </c>
      <c r="BC34" t="n">
        <v>33</v>
      </c>
      <c r="BH34">
        <f>IFERROR(MATCH(34,$BF$4:$BF$13,0),0)</f>
        <v/>
      </c>
      <c r="BI34">
        <f>IF(34=$BG$5,1,0)</f>
        <v/>
      </c>
      <c r="BJ34">
        <f>IF(OR($BH34&gt;0,$BI34=1,$BL34=1),0,IFERROR(INDEX($BC$5:$BC$41,MATCH(34,$BB$5:$BB$41,0)),0))</f>
        <v/>
      </c>
      <c r="BK34">
        <f>IF($BJ34&gt;0,IF(INDEX($AZ$5:$AZ$41,MATCH(34,$BB$5:$BB$41,0))=10,1,0),IF($BH34=10,1,0))</f>
        <v/>
      </c>
      <c r="BL34">
        <f>IF(34=$BG$4,1,0)</f>
        <v/>
      </c>
      <c r="BM34">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4">
        <f>IF($B$4="",1,--(OR(SUMPRODUCT(--(TRIM(MID(SUBSTITUTE(SUBSTITUTE($B$4,"/",","),",",REPT(" ",99)),(ROW($1:$8)-1)*99+1,99))&lt;&gt;""),--ISNUMBER(SEARCH(TRIM(MID(SUBSTITUTE(SUBSTITUTE($B$4,"/",","),",",REPT(" ",99)),(ROW($1:$8)-1)*99+1,99)),IFERROR(('Final Calculation Sheet'!$F$33)&amp;"",""))))&gt;0,AND(ISNUMBER(SEARCH("blank",$B$4)),NOT(ISNUMBER(SEARCH("nonblank",$B$4))),IFERROR(('Final Calculation Sheet'!$F$33)&amp;"","")=""),AND(OR(ISNUMBER(SEARCH("nonblank",$B$4)),ISNUMBER(SEARCH("&lt;&gt;",$B$4))),IFERROR(('Final Calculation Sheet'!$F$33)&amp;"","")&lt;&gt;""),AND(TRIM($B$4)="",IFERROR(('Final Calculation Sheet'!$F$33)&amp;"","")=""))))</f>
        <v/>
      </c>
      <c r="BO34">
        <f>IF($CW$3="",1,--(OR(SUMPRODUCT(--(TRIM(MID(SUBSTITUTE(SUBSTITUTE($CW$3,"/",","),",",REPT(" ",99)),(ROW($1:$8)-1)*99+1,99))&lt;&gt;""),--ISNUMBER(SEARCH(TRIM(MID(SUBSTITUTE(SUBSTITUTE($CW$3,"/",","),",",REPT(" ",99)),(ROW($1:$8)-1)*99+1,99)),IFERROR(('Final Calculation Sheet'!$G$33)&amp;"",""))))&gt;0,AND(ISNUMBER(SEARCH("blank",$CW$3)),NOT(ISNUMBER(SEARCH("nonblank",$CW$3))),IFERROR(('Final Calculation Sheet'!$G$33)&amp;"","")=""),AND(OR(ISNUMBER(SEARCH("nonblank",$CW$3)),ISNUMBER(SEARCH("&lt;&gt;",$CW$3))),IFERROR(('Final Calculation Sheet'!$G$33)&amp;"","")&lt;&gt;""),AND(TRIM($CW$3)="",IFERROR(('Final Calculation Sheet'!$G$33)&amp;"","")=""))))</f>
        <v/>
      </c>
      <c r="BP34">
        <f>IF($D$4="",1,--(OR(SUMPRODUCT(--(TRIM(MID(SUBSTITUTE(SUBSTITUTE($D$4,"/",","),",",REPT(" ",99)),(ROW($1:$8)-1)*99+1,99))&lt;&gt;""),--ISNUMBER(SEARCH(TRIM(MID(SUBSTITUTE(SUBSTITUTE($D$4,"/",","),",",REPT(" ",99)),(ROW($1:$8)-1)*99+1,99)),IFERROR(('Final Calculation Sheet'!$B$33)&amp;"",""))))&gt;0,AND(ISNUMBER(SEARCH("blank",$D$4)),NOT(ISNUMBER(SEARCH("nonblank",$D$4))),IFERROR(('Final Calculation Sheet'!$B$33)&amp;"","")=""),AND(OR(ISNUMBER(SEARCH("nonblank",$D$4)),ISNUMBER(SEARCH("&lt;&gt;",$D$4))),IFERROR(('Final Calculation Sheet'!$B$33)&amp;"","")&lt;&gt;""),AND(TRIM($D$4)="",IFERROR(('Final Calculation Sheet'!$B$33)&amp;"","")=""))))</f>
        <v/>
      </c>
      <c r="BQ34">
        <f>IF($E$4="",1,--(OR(SUMPRODUCT(--(TRIM(MID(SUBSTITUTE(SUBSTITUTE($E$4,"/",","),",",REPT(" ",99)),(ROW($1:$8)-1)*99+1,99))&lt;&gt;""),--ISNUMBER(SEARCH(TRIM(MID(SUBSTITUTE(SUBSTITUTE($E$4,"/",","),",",REPT(" ",99)),(ROW($1:$8)-1)*99+1,99)),IFERROR(('Final Calculation Sheet'!$D$33)&amp;"",""))))&gt;0,AND(ISNUMBER(SEARCH("blank",$E$4)),NOT(ISNUMBER(SEARCH("nonblank",$E$4))),IFERROR(('Final Calculation Sheet'!$D$33)&amp;"","")=""),AND(OR(ISNUMBER(SEARCH("nonblank",$E$4)),ISNUMBER(SEARCH("&lt;&gt;",$E$4))),IFERROR(('Final Calculation Sheet'!$D$33)&amp;"","")&lt;&gt;""),AND(TRIM($E$4)="",IFERROR(('Final Calculation Sheet'!$D$33)&amp;"","")=""))))</f>
        <v/>
      </c>
      <c r="BR34">
        <f>IF($F$4="",1,--(OR(SUMPRODUCT(--(TRIM(MID(SUBSTITUTE(SUBSTITUTE($F$4,"/",","),",",REPT(" ",99)),(ROW($1:$8)-1)*99+1,99))&lt;&gt;""),--ISNUMBER(SEARCH(TRIM(MID(SUBSTITUTE(SUBSTITUTE($F$4,"/",","),",",REPT(" ",99)),(ROW($1:$8)-1)*99+1,99)),IFERROR(('Final Calculation Sheet'!$A$33)&amp;"",""))))&gt;0,AND(ISNUMBER(SEARCH("blank",$F$4)),NOT(ISNUMBER(SEARCH("nonblank",$F$4))),IFERROR(('Final Calculation Sheet'!$A$33)&amp;"","")=""),AND(OR(ISNUMBER(SEARCH("nonblank",$F$4)),ISNUMBER(SEARCH("&lt;&gt;",$F$4))),IFERROR(('Final Calculation Sheet'!$A$33)&amp;"","")&lt;&gt;""),AND(TRIM($F$4)="",IFERROR(('Final Calculation Sheet'!$A$33)&amp;"","")=""))))</f>
        <v/>
      </c>
      <c r="BS34">
        <f>IF($G$4="",1,--(OR(SUMPRODUCT(--(TRIM(MID(SUBSTITUTE(SUBSTITUTE($G$4,"/",","),",",REPT(" ",99)),(ROW($1:$8)-1)*99+1,99))&lt;&gt;""),--ISNUMBER(SEARCH(TRIM(MID(SUBSTITUTE(SUBSTITUTE($G$4,"/",","),",",REPT(" ",99)),(ROW($1:$8)-1)*99+1,99)),IFERROR(('Final Calculation Sheet'!$E$33)&amp;"",""))))&gt;0,AND(ISNUMBER(SEARCH("blank",$G$4)),NOT(ISNUMBER(SEARCH("nonblank",$G$4))),IFERROR(('Final Calculation Sheet'!$E$33)&amp;"","")=""),AND(OR(ISNUMBER(SEARCH("nonblank",$G$4)),ISNUMBER(SEARCH("&lt;&gt;",$G$4))),IFERROR(('Final Calculation Sheet'!$E$33)&amp;"","")&lt;&gt;""),AND(TRIM($G$4)="",IFERROR(('Final Calculation Sheet'!$E$33)&amp;"","")=""))))</f>
        <v/>
      </c>
      <c r="BT34">
        <f>IF($H$4="",1,--(OR(SUMPRODUCT(--(TRIM(MID(SUBSTITUTE(SUBSTITUTE($H$4,"/",","),",",REPT(" ",99)),(ROW($1:$8)-1)*99+1,99))&lt;&gt;""),--ISNUMBER(SEARCH(TRIM(MID(SUBSTITUTE(SUBSTITUTE($H$4,"/",","),",",REPT(" ",99)),(ROW($1:$8)-1)*99+1,99)),IFERROR(('Final Calculation Sheet'!$C$33)&amp;"",""))))&gt;0,AND(ISNUMBER(SEARCH("blank",$H$4)),NOT(ISNUMBER(SEARCH("nonblank",$H$4))),IFERROR(('Final Calculation Sheet'!$C$33)&amp;"","")=""),AND(OR(ISNUMBER(SEARCH("nonblank",$H$4)),ISNUMBER(SEARCH("&lt;&gt;",$H$4))),IFERROR(('Final Calculation Sheet'!$C$33)&amp;"","")&lt;&gt;""),AND(TRIM($H$4)="",IFERROR(('Final Calculation Sheet'!$C$33)&amp;"","")=""))))</f>
        <v/>
      </c>
      <c r="BU34">
        <f>IF($I$4="",1,--(OR(SUMPRODUCT(--(TRIM(MID(SUBSTITUTE(SUBSTITUTE($I$4,"/",","),",",REPT(" ",99)),(ROW($1:$8)-1)*99+1,99))&lt;&gt;""),--ISNUMBER(SEARCH(TRIM(MID(SUBSTITUTE(SUBSTITUTE($I$4,"/",","),",",REPT(" ",99)),(ROW($1:$8)-1)*99+1,99)),IFERROR(('Final Calculation Sheet'!$H$33)&amp;"",""))))&gt;0,AND(ISNUMBER(SEARCH("blank",$I$4)),NOT(ISNUMBER(SEARCH("nonblank",$I$4))),IFERROR(('Final Calculation Sheet'!$H$33)&amp;"","")=""),AND(OR(ISNUMBER(SEARCH("nonblank",$I$4)),ISNUMBER(SEARCH("&lt;&gt;",$I$4))),IFERROR(('Final Calculation Sheet'!$H$33)&amp;"","")&lt;&gt;""),AND(TRIM($I$4)="",IFERROR(('Final Calculation Sheet'!$H$33)&amp;"","")=""))))</f>
        <v/>
      </c>
      <c r="BV34">
        <f>IF($J$4="",1,--(OR(SUMPRODUCT(--(TRIM(MID(SUBSTITUTE(SUBSTITUTE($J$4,"/",","),",",REPT(" ",99)),(ROW($1:$8)-1)*99+1,99))&lt;&gt;""),--ISNUMBER(SEARCH(TRIM(MID(SUBSTITUTE(SUBSTITUTE($J$4,"/",","),",",REPT(" ",99)),(ROW($1:$8)-1)*99+1,99)),IFERROR(('Final Calculation Sheet'!$I$33)&amp;"",""))))&gt;0,AND(ISNUMBER(SEARCH("blank",$J$4)),NOT(ISNUMBER(SEARCH("nonblank",$J$4))),IFERROR(('Final Calculation Sheet'!$I$33)&amp;"","")=""),AND(OR(ISNUMBER(SEARCH("nonblank",$J$4)),ISNUMBER(SEARCH("&lt;&gt;",$J$4))),IFERROR(('Final Calculation Sheet'!$I$33)&amp;"","")&lt;&gt;""),AND(TRIM($J$4)="",IFERROR(('Final Calculation Sheet'!$I$33)&amp;"","")=""))))</f>
        <v/>
      </c>
      <c r="BW34">
        <f>IF($K$4="",1,--(OR(SUMPRODUCT(--(TRIM(MID(SUBSTITUTE(SUBSTITUTE($K$4,"/",","),",",REPT(" ",99)),(ROW($1:$8)-1)*99+1,99))&lt;&gt;""),--ISNUMBER(SEARCH(TRIM(MID(SUBSTITUTE(SUBSTITUTE($K$4,"/",","),",",REPT(" ",99)),(ROW($1:$8)-1)*99+1,99)),IFERROR(('Final Calculation Sheet'!$J$33)&amp;"",""))))&gt;0,AND(ISNUMBER(SEARCH("blank",$K$4)),NOT(ISNUMBER(SEARCH("nonblank",$K$4))),IFERROR(('Final Calculation Sheet'!$J$33)&amp;"","")=""),AND(OR(ISNUMBER(SEARCH("nonblank",$K$4)),ISNUMBER(SEARCH("&lt;&gt;",$K$4))),IFERROR(('Final Calculation Sheet'!$J$33)&amp;"","")&lt;&gt;""),AND(TRIM($K$4)="",IFERROR(('Final Calculation Sheet'!$J$33)&amp;"","")=""))))</f>
        <v/>
      </c>
      <c r="BX34">
        <f>IF($L$4="",1,--(OR(SUMPRODUCT(--(TRIM(MID(SUBSTITUTE(SUBSTITUTE($L$4,"/",","),",",REPT(" ",99)),(ROW($1:$8)-1)*99+1,99))&lt;&gt;""),--ISNUMBER(SEARCH(TRIM(MID(SUBSTITUTE(SUBSTITUTE($L$4,"/",","),",",REPT(" ",99)),(ROW($1:$8)-1)*99+1,99)),IFERROR(('Final Calculation Sheet'!$K$33)&amp;"",""))))&gt;0,AND(ISNUMBER(SEARCH("blank",$L$4)),NOT(ISNUMBER(SEARCH("nonblank",$L$4))),IFERROR(('Final Calculation Sheet'!$K$33)&amp;"","")=""),AND(OR(ISNUMBER(SEARCH("nonblank",$L$4)),ISNUMBER(SEARCH("&lt;&gt;",$L$4))),IFERROR(('Final Calculation Sheet'!$K$33)&amp;"","")&lt;&gt;""),AND(TRIM($L$4)="",IFERROR(('Final Calculation Sheet'!$K$33)&amp;"","")=""))))</f>
        <v/>
      </c>
      <c r="BY34">
        <f>IF($M$4="",1,--(OR(SUMPRODUCT(--(TRIM(MID(SUBSTITUTE(SUBSTITUTE($M$4,"/",","),",",REPT(" ",99)),(ROW($1:$8)-1)*99+1,99))&lt;&gt;""),--ISNUMBER(SEARCH(TRIM(MID(SUBSTITUTE(SUBSTITUTE($M$4,"/",","),",",REPT(" ",99)),(ROW($1:$8)-1)*99+1,99)),IFERROR(('Final Calculation Sheet'!$L$33)&amp;"",""))))&gt;0,AND(ISNUMBER(SEARCH("blank",$M$4)),NOT(ISNUMBER(SEARCH("nonblank",$M$4))),IFERROR(('Final Calculation Sheet'!$L$33)&amp;"","")=""),AND(OR(ISNUMBER(SEARCH("nonblank",$M$4)),ISNUMBER(SEARCH("&lt;&gt;",$M$4))),IFERROR(('Final Calculation Sheet'!$L$33)&amp;"","")&lt;&gt;""),AND(TRIM($M$4)="",IFERROR(('Final Calculation Sheet'!$L$33)&amp;"","")=""))))</f>
        <v/>
      </c>
      <c r="BZ34">
        <f>IF($N$4="",1,--(OR(SUMPRODUCT(--(TRIM(MID(SUBSTITUTE(SUBSTITUTE($N$4,"/",","),",",REPT(" ",99)),(ROW($1:$8)-1)*99+1,99))&lt;&gt;""),--ISNUMBER(SEARCH(TRIM(MID(SUBSTITUTE(SUBSTITUTE($N$4,"/",","),",",REPT(" ",99)),(ROW($1:$8)-1)*99+1,99)),IFERROR(('Final Calculation Sheet'!$M$33)&amp;"",""))))&gt;0,AND(ISNUMBER(SEARCH("blank",$N$4)),NOT(ISNUMBER(SEARCH("nonblank",$N$4))),IFERROR(('Final Calculation Sheet'!$M$33)&amp;"","")=""),AND(OR(ISNUMBER(SEARCH("nonblank",$N$4)),ISNUMBER(SEARCH("&lt;&gt;",$N$4))),IFERROR(('Final Calculation Sheet'!$M$33)&amp;"","")&lt;&gt;""),AND(TRIM($N$4)="",IFERROR(('Final Calculation Sheet'!$M$33)&amp;"","")=""))))</f>
        <v/>
      </c>
      <c r="CA34">
        <f>IF($O$4="",1,--(OR(SUMPRODUCT(--(TRIM(MID(SUBSTITUTE(SUBSTITUTE($O$4,"/",","),",",REPT(" ",99)),(ROW($1:$8)-1)*99+1,99))&lt;&gt;""),--ISNUMBER(SEARCH(TRIM(MID(SUBSTITUTE(SUBSTITUTE($O$4,"/",","),",",REPT(" ",99)),(ROW($1:$8)-1)*99+1,99)),IFERROR(('Final Calculation Sheet'!$N$33)&amp;"",""))))&gt;0,AND(ISNUMBER(SEARCH("blank",$O$4)),NOT(ISNUMBER(SEARCH("nonblank",$O$4))),IFERROR(('Final Calculation Sheet'!$N$33)&amp;"","")=""),AND(OR(ISNUMBER(SEARCH("nonblank",$O$4)),ISNUMBER(SEARCH("&lt;&gt;",$O$4))),IFERROR(('Final Calculation Sheet'!$N$33)&amp;"","")&lt;&gt;""),AND(TRIM($O$4)="",IFERROR(('Final Calculation Sheet'!$N$33)&amp;"","")=""))))</f>
        <v/>
      </c>
      <c r="CB34">
        <f>IF($P$4="",1,--(OR(SUMPRODUCT(--(TRIM(MID(SUBSTITUTE(SUBSTITUTE($P$4,"/",","),",",REPT(" ",99)),(ROW($1:$8)-1)*99+1,99))&lt;&gt;""),--ISNUMBER(SEARCH(TRIM(MID(SUBSTITUTE(SUBSTITUTE($P$4,"/",","),",",REPT(" ",99)),(ROW($1:$8)-1)*99+1,99)),IFERROR(('Final Calculation Sheet'!$O$33)&amp;"",""))))&gt;0,AND(ISNUMBER(SEARCH("blank",$P$4)),NOT(ISNUMBER(SEARCH("nonblank",$P$4))),IFERROR(('Final Calculation Sheet'!$O$33)&amp;"","")=""),AND(OR(ISNUMBER(SEARCH("nonblank",$P$4)),ISNUMBER(SEARCH("&lt;&gt;",$P$4))),IFERROR(('Final Calculation Sheet'!$O$33)&amp;"","")&lt;&gt;""),AND(TRIM($P$4)="",IFERROR(('Final Calculation Sheet'!$O$33)&amp;"","")=""))))</f>
        <v/>
      </c>
      <c r="CC34">
        <f>IF($Q$4="",1,--(OR(SUMPRODUCT(--(TRIM(MID(SUBSTITUTE(SUBSTITUTE($Q$4,"/",","),",",REPT(" ",99)),(ROW($1:$8)-1)*99+1,99))&lt;&gt;""),--ISNUMBER(SEARCH(TRIM(MID(SUBSTITUTE(SUBSTITUTE($Q$4,"/",","),",",REPT(" ",99)),(ROW($1:$8)-1)*99+1,99)),IFERROR(('Final Calculation Sheet'!$P$33)&amp;"",""))))&gt;0,AND(ISNUMBER(SEARCH("blank",$Q$4)),NOT(ISNUMBER(SEARCH("nonblank",$Q$4))),IFERROR(('Final Calculation Sheet'!$P$33)&amp;"","")=""),AND(OR(ISNUMBER(SEARCH("nonblank",$Q$4)),ISNUMBER(SEARCH("&lt;&gt;",$Q$4))),IFERROR(('Final Calculation Sheet'!$P$33)&amp;"","")&lt;&gt;""),AND(TRIM($Q$4)="",IFERROR(('Final Calculation Sheet'!$P$33)&amp;"","")=""))))</f>
        <v/>
      </c>
      <c r="CD34">
        <f>IF($R$4="",1,--(OR(SUMPRODUCT(--(TRIM(MID(SUBSTITUTE(SUBSTITUTE($R$4,"/",","),",",REPT(" ",99)),(ROW($1:$8)-1)*99+1,99))&lt;&gt;""),--ISNUMBER(SEARCH(TRIM(MID(SUBSTITUTE(SUBSTITUTE($R$4,"/",","),",",REPT(" ",99)),(ROW($1:$8)-1)*99+1,99)),IFERROR(('Final Calculation Sheet'!$Q$33)&amp;"",""))))&gt;0,AND(ISNUMBER(SEARCH("blank",$R$4)),NOT(ISNUMBER(SEARCH("nonblank",$R$4))),IFERROR(('Final Calculation Sheet'!$Q$33)&amp;"","")=""),AND(OR(ISNUMBER(SEARCH("nonblank",$R$4)),ISNUMBER(SEARCH("&lt;&gt;",$R$4))),IFERROR(('Final Calculation Sheet'!$Q$33)&amp;"","")&lt;&gt;""),AND(TRIM($R$4)="",IFERROR(('Final Calculation Sheet'!$Q$33)&amp;"","")=""))))</f>
        <v/>
      </c>
      <c r="CE34">
        <f>IF($S$4="",1,--(OR(SUMPRODUCT(--(TRIM(MID(SUBSTITUTE(SUBSTITUTE($S$4,"/",","),",",REPT(" ",99)),(ROW($1:$8)-1)*99+1,99))&lt;&gt;""),--ISNUMBER(SEARCH(TRIM(MID(SUBSTITUTE(SUBSTITUTE($S$4,"/",","),",",REPT(" ",99)),(ROW($1:$8)-1)*99+1,99)),IFERROR(('Final Calculation Sheet'!$R$33)&amp;"",""))))&gt;0,AND(ISNUMBER(SEARCH("blank",$S$4)),NOT(ISNUMBER(SEARCH("nonblank",$S$4))),IFERROR(('Final Calculation Sheet'!$R$33)&amp;"","")=""),AND(OR(ISNUMBER(SEARCH("nonblank",$S$4)),ISNUMBER(SEARCH("&lt;&gt;",$S$4))),IFERROR(('Final Calculation Sheet'!$R$33)&amp;"","")&lt;&gt;""),AND(TRIM($S$4)="",IFERROR(('Final Calculation Sheet'!$R$33)&amp;"","")=""))))</f>
        <v/>
      </c>
      <c r="CF34">
        <f>IF($T$4="",1,--(OR(SUMPRODUCT(--(TRIM(MID(SUBSTITUTE(SUBSTITUTE($T$4,"/",","),",",REPT(" ",99)),(ROW($1:$8)-1)*99+1,99))&lt;&gt;""),--ISNUMBER(SEARCH(TRIM(MID(SUBSTITUTE(SUBSTITUTE($T$4,"/",","),",",REPT(" ",99)),(ROW($1:$8)-1)*99+1,99)),IFERROR(('Final Calculation Sheet'!$S$33)&amp;"",""))))&gt;0,AND(ISNUMBER(SEARCH("blank",$T$4)),NOT(ISNUMBER(SEARCH("nonblank",$T$4))),IFERROR(('Final Calculation Sheet'!$S$33)&amp;"","")=""),AND(OR(ISNUMBER(SEARCH("nonblank",$T$4)),ISNUMBER(SEARCH("&lt;&gt;",$T$4))),IFERROR(('Final Calculation Sheet'!$S$33)&amp;"","")&lt;&gt;""),AND(TRIM($T$4)="",IFERROR(('Final Calculation Sheet'!$S$33)&amp;"","")=""))))</f>
        <v/>
      </c>
      <c r="CG34">
        <f>IF($U$4="",1,--(OR(SUMPRODUCT(--(TRIM(MID(SUBSTITUTE(SUBSTITUTE($U$4,"/",","),",",REPT(" ",99)),(ROW($1:$8)-1)*99+1,99))&lt;&gt;""),--ISNUMBER(SEARCH(TRIM(MID(SUBSTITUTE(SUBSTITUTE($U$4,"/",","),",",REPT(" ",99)),(ROW($1:$8)-1)*99+1,99)),IFERROR(('Final Calculation Sheet'!$T$33)&amp;"",""))))&gt;0,AND(ISNUMBER(SEARCH("blank",$U$4)),NOT(ISNUMBER(SEARCH("nonblank",$U$4))),IFERROR(('Final Calculation Sheet'!$T$33)&amp;"","")=""),AND(OR(ISNUMBER(SEARCH("nonblank",$U$4)),ISNUMBER(SEARCH("&lt;&gt;",$U$4))),IFERROR(('Final Calculation Sheet'!$T$33)&amp;"","")&lt;&gt;""),AND(TRIM($U$4)="",IFERROR(('Final Calculation Sheet'!$T$33)&amp;"","")=""))))</f>
        <v/>
      </c>
      <c r="CH34">
        <f>IF($V$4="",1,--(OR(SUMPRODUCT(--(TRIM(MID(SUBSTITUTE(SUBSTITUTE($V$4,"/",","),",",REPT(" ",99)),(ROW($1:$8)-1)*99+1,99))&lt;&gt;""),--ISNUMBER(SEARCH(TRIM(MID(SUBSTITUTE(SUBSTITUTE($V$4,"/",","),",",REPT(" ",99)),(ROW($1:$8)-1)*99+1,99)),IFERROR(('Final Calculation Sheet'!$U$33)&amp;"",""))))&gt;0,AND(ISNUMBER(SEARCH("blank",$V$4)),NOT(ISNUMBER(SEARCH("nonblank",$V$4))),IFERROR(('Final Calculation Sheet'!$U$33)&amp;"","")=""),AND(OR(ISNUMBER(SEARCH("nonblank",$V$4)),ISNUMBER(SEARCH("&lt;&gt;",$V$4))),IFERROR(('Final Calculation Sheet'!$U$33)&amp;"","")&lt;&gt;""),AND(TRIM($V$4)="",IFERROR(('Final Calculation Sheet'!$U$33)&amp;"","")=""))))</f>
        <v/>
      </c>
      <c r="CI34">
        <f>IF($W$4="",1,--(OR(SUMPRODUCT(--(TRIM(MID(SUBSTITUTE(SUBSTITUTE($W$4,"/",","),",",REPT(" ",99)),(ROW($1:$8)-1)*99+1,99))&lt;&gt;""),--ISNUMBER(SEARCH(TRIM(MID(SUBSTITUTE(SUBSTITUTE($W$4,"/",","),",",REPT(" ",99)),(ROW($1:$8)-1)*99+1,99)),IFERROR(('Final Calculation Sheet'!$V$33)&amp;"",""))))&gt;0,AND(ISNUMBER(SEARCH("blank",$W$4)),NOT(ISNUMBER(SEARCH("nonblank",$W$4))),IFERROR(('Final Calculation Sheet'!$V$33)&amp;"","")=""),AND(OR(ISNUMBER(SEARCH("nonblank",$W$4)),ISNUMBER(SEARCH("&lt;&gt;",$W$4))),IFERROR(('Final Calculation Sheet'!$V$33)&amp;"","")&lt;&gt;""),AND(TRIM($W$4)="",IFERROR(('Final Calculation Sheet'!$V$33)&amp;"","")=""))))</f>
        <v/>
      </c>
      <c r="CJ34">
        <f>IF($X$4="",1,--(OR(SUMPRODUCT(--(TRIM(MID(SUBSTITUTE(SUBSTITUTE($X$4,"/",","),",",REPT(" ",99)),(ROW($1:$8)-1)*99+1,99))&lt;&gt;""),--ISNUMBER(SEARCH(TRIM(MID(SUBSTITUTE(SUBSTITUTE($X$4,"/",","),",",REPT(" ",99)),(ROW($1:$8)-1)*99+1,99)),IFERROR(('Final Calculation Sheet'!$W$33)&amp;"",""))))&gt;0,AND(ISNUMBER(SEARCH("blank",$X$4)),NOT(ISNUMBER(SEARCH("nonblank",$X$4))),IFERROR(('Final Calculation Sheet'!$W$33)&amp;"","")=""),AND(OR(ISNUMBER(SEARCH("nonblank",$X$4)),ISNUMBER(SEARCH("&lt;&gt;",$X$4))),IFERROR(('Final Calculation Sheet'!$W$33)&amp;"","")&lt;&gt;""),AND(TRIM($X$4)="",IFERROR(('Final Calculation Sheet'!$W$33)&amp;"","")=""))))</f>
        <v/>
      </c>
      <c r="CK34">
        <f>IF($Y$4="",1,--(OR(SUMPRODUCT(--(TRIM(MID(SUBSTITUTE(SUBSTITUTE($Y$4,"/",","),",",REPT(" ",99)),(ROW($1:$8)-1)*99+1,99))&lt;&gt;""),--ISNUMBER(SEARCH(TRIM(MID(SUBSTITUTE(SUBSTITUTE($Y$4,"/",","),",",REPT(" ",99)),(ROW($1:$8)-1)*99+1,99)),IFERROR(('Final Calculation Sheet'!$X$33)&amp;"",""))))&gt;0,AND(ISNUMBER(SEARCH("blank",$Y$4)),NOT(ISNUMBER(SEARCH("nonblank",$Y$4))),IFERROR(('Final Calculation Sheet'!$X$33)&amp;"","")=""),AND(OR(ISNUMBER(SEARCH("nonblank",$Y$4)),ISNUMBER(SEARCH("&lt;&gt;",$Y$4))),IFERROR(('Final Calculation Sheet'!$X$33)&amp;"","")&lt;&gt;""),AND(TRIM($Y$4)="",IFERROR(('Final Calculation Sheet'!$X$33)&amp;"","")=""))))</f>
        <v/>
      </c>
      <c r="CL34">
        <f>IF($Z$4="",1,--(OR(SUMPRODUCT(--(TRIM(MID(SUBSTITUTE(SUBSTITUTE($Z$4,"/",","),",",REPT(" ",99)),(ROW($1:$8)-1)*99+1,99))&lt;&gt;""),--ISNUMBER(SEARCH(TRIM(MID(SUBSTITUTE(SUBSTITUTE($Z$4,"/",","),",",REPT(" ",99)),(ROW($1:$8)-1)*99+1,99)),IFERROR(('Final Calculation Sheet'!$Y$33)&amp;"",""))))&gt;0,AND(ISNUMBER(SEARCH("blank",$Z$4)),NOT(ISNUMBER(SEARCH("nonblank",$Z$4))),IFERROR(('Final Calculation Sheet'!$Y$33)&amp;"","")=""),AND(OR(ISNUMBER(SEARCH("nonblank",$Z$4)),ISNUMBER(SEARCH("&lt;&gt;",$Z$4))),IFERROR(('Final Calculation Sheet'!$Y$33)&amp;"","")&lt;&gt;""),AND(TRIM($Z$4)="",IFERROR(('Final Calculation Sheet'!$Y$33)&amp;"","")=""))))</f>
        <v/>
      </c>
      <c r="CM34">
        <f>IF($AA$4="",1,--(OR(SUMPRODUCT(--(TRIM(MID(SUBSTITUTE(SUBSTITUTE($AA$4,"/",","),",",REPT(" ",99)),(ROW($1:$8)-1)*99+1,99))&lt;&gt;""),--ISNUMBER(SEARCH(TRIM(MID(SUBSTITUTE(SUBSTITUTE($AA$4,"/",","),",",REPT(" ",99)),(ROW($1:$8)-1)*99+1,99)),IFERROR(('Final Calculation Sheet'!$Z$33)&amp;"",""))))&gt;0,AND(ISNUMBER(SEARCH("blank",$AA$4)),NOT(ISNUMBER(SEARCH("nonblank",$AA$4))),IFERROR(('Final Calculation Sheet'!$Z$33)&amp;"","")=""),AND(OR(ISNUMBER(SEARCH("nonblank",$AA$4)),ISNUMBER(SEARCH("&lt;&gt;",$AA$4))),IFERROR(('Final Calculation Sheet'!$Z$33)&amp;"","")&lt;&gt;""),AND(TRIM($AA$4)="",IFERROR(('Final Calculation Sheet'!$Z$33)&amp;"","")=""))))</f>
        <v/>
      </c>
      <c r="CN34">
        <f>IF($AB$4="",1,--(OR(SUMPRODUCT(--(TRIM(MID(SUBSTITUTE(SUBSTITUTE($AB$4,"/",","),",",REPT(" ",99)),(ROW($1:$8)-1)*99+1,99))&lt;&gt;""),--ISNUMBER(SEARCH(TRIM(MID(SUBSTITUTE(SUBSTITUTE($AB$4,"/",","),",",REPT(" ",99)),(ROW($1:$8)-1)*99+1,99)),IFERROR(('Final Calculation Sheet'!$AA$33)&amp;"",""))))&gt;0,AND(ISNUMBER(SEARCH("blank",$AB$4)),NOT(ISNUMBER(SEARCH("nonblank",$AB$4))),IFERROR(('Final Calculation Sheet'!$AA$33)&amp;"","")=""),AND(OR(ISNUMBER(SEARCH("nonblank",$AB$4)),ISNUMBER(SEARCH("&lt;&gt;",$AB$4))),IFERROR(('Final Calculation Sheet'!$AA$33)&amp;"","")&lt;&gt;""),AND(TRIM($AB$4)="",IFERROR(('Final Calculation Sheet'!$AA$33)&amp;"","")=""))))</f>
        <v/>
      </c>
      <c r="CO34">
        <f>IF($AC$4="",1,--(OR(SUMPRODUCT(--(TRIM(MID(SUBSTITUTE(SUBSTITUTE($AC$4,"/",","),",",REPT(" ",99)),(ROW($1:$8)-1)*99+1,99))&lt;&gt;""),--ISNUMBER(SEARCH(TRIM(MID(SUBSTITUTE(SUBSTITUTE($AC$4,"/",","),",",REPT(" ",99)),(ROW($1:$8)-1)*99+1,99)),IFERROR(('Final Calculation Sheet'!$AB$33)&amp;"",""))))&gt;0,AND(ISNUMBER(SEARCH("blank",$AC$4)),NOT(ISNUMBER(SEARCH("nonblank",$AC$4))),IFERROR(('Final Calculation Sheet'!$AB$33)&amp;"","")=""),AND(OR(ISNUMBER(SEARCH("nonblank",$AC$4)),ISNUMBER(SEARCH("&lt;&gt;",$AC$4))),IFERROR(('Final Calculation Sheet'!$AB$33)&amp;"","")&lt;&gt;""),AND(TRIM($AC$4)="",IFERROR(('Final Calculation Sheet'!$AB$33)&amp;"","")=""))))</f>
        <v/>
      </c>
      <c r="CP34">
        <f>IF($AD$4="",1,--(OR(SUMPRODUCT(--(TRIM(MID(SUBSTITUTE(SUBSTITUTE($AD$4,"/",","),",",REPT(" ",99)),(ROW($1:$8)-1)*99+1,99))&lt;&gt;""),--ISNUMBER(SEARCH(TRIM(MID(SUBSTITUTE(SUBSTITUTE($AD$4,"/",","),",",REPT(" ",99)),(ROW($1:$8)-1)*99+1,99)),IFERROR(('Final Calculation Sheet'!$AC$33)&amp;"",""))))&gt;0,AND(ISNUMBER(SEARCH("blank",$AD$4)),NOT(ISNUMBER(SEARCH("nonblank",$AD$4))),IFERROR(('Final Calculation Sheet'!$AC$33)&amp;"","")=""),AND(OR(ISNUMBER(SEARCH("nonblank",$AD$4)),ISNUMBER(SEARCH("&lt;&gt;",$AD$4))),IFERROR(('Final Calculation Sheet'!$AC$33)&amp;"","")&lt;&gt;""),AND(TRIM($AD$4)="",IFERROR(('Final Calculation Sheet'!$AC$33)&amp;"","")=""))))</f>
        <v/>
      </c>
      <c r="CQ34">
        <f>IF($AE$4="",1,--(OR(SUMPRODUCT(--(TRIM(MID(SUBSTITUTE(SUBSTITUTE($AE$4,"/",","),",",REPT(" ",99)),(ROW($1:$8)-1)*99+1,99))&lt;&gt;""),--ISNUMBER(SEARCH(TRIM(MID(SUBSTITUTE(SUBSTITUTE($AE$4,"/",","),",",REPT(" ",99)),(ROW($1:$8)-1)*99+1,99)),IFERROR(('Final Calculation Sheet'!$AD$33)&amp;"",""))))&gt;0,AND(ISNUMBER(SEARCH("blank",$AE$4)),NOT(ISNUMBER(SEARCH("nonblank",$AE$4))),IFERROR(('Final Calculation Sheet'!$AD$33)&amp;"","")=""),AND(OR(ISNUMBER(SEARCH("nonblank",$AE$4)),ISNUMBER(SEARCH("&lt;&gt;",$AE$4))),IFERROR(('Final Calculation Sheet'!$AD$33)&amp;"","")&lt;&gt;""),AND(TRIM($AE$4)="",IFERROR(('Final Calculation Sheet'!$AD$33)&amp;"","")=""))))</f>
        <v/>
      </c>
      <c r="CR34">
        <f>IF($AG$4="",1,--(OR(SUMPRODUCT(--(TRIM(MID(SUBSTITUTE(SUBSTITUTE($AG$4,"/",","),",",REPT(" ",99)),(ROW($1:$8)-1)*99+1,99))&lt;&gt;""),--ISNUMBER(SEARCH(TRIM(MID(SUBSTITUTE(SUBSTITUTE($AG$4,"/",","),",",REPT(" ",99)),(ROW($1:$8)-1)*99+1,99)),IFERROR(('Final Calculation Sheet'!$AF$33)&amp;"",""))))&gt;0,AND(ISNUMBER(SEARCH("blank",$AG$4)),NOT(ISNUMBER(SEARCH("nonblank",$AG$4))),IFERROR(('Final Calculation Sheet'!$AF$33)&amp;"","")=""),AND(OR(ISNUMBER(SEARCH("nonblank",$AG$4)),ISNUMBER(SEARCH("&lt;&gt;",$AG$4))),IFERROR(('Final Calculation Sheet'!$AF$33)&amp;"","")&lt;&gt;""),AND(TRIM($AG$4)="",IFERROR(('Final Calculation Sheet'!$AF$33)&amp;"","")=""))))</f>
        <v/>
      </c>
      <c r="CS34">
        <f>IF($AH$4="",1,--(OR(SUMPRODUCT(--(TRIM(MID(SUBSTITUTE(SUBSTITUTE($AH$4,"/",","),",",REPT(" ",99)),(ROW($1:$8)-1)*99+1,99))&lt;&gt;""),--ISNUMBER(SEARCH(TRIM(MID(SUBSTITUTE(SUBSTITUTE($AH$4,"/",","),",",REPT(" ",99)),(ROW($1:$8)-1)*99+1,99)),IFERROR(('Final Calculation Sheet'!$AG$33)&amp;"",""))))&gt;0,AND(ISNUMBER(SEARCH("blank",$AH$4)),NOT(ISNUMBER(SEARCH("nonblank",$AH$4))),IFERROR(('Final Calculation Sheet'!$AG$33)&amp;"","")=""),AND(OR(ISNUMBER(SEARCH("nonblank",$AH$4)),ISNUMBER(SEARCH("&lt;&gt;",$AH$4))),IFERROR(('Final Calculation Sheet'!$AG$33)&amp;"","")&lt;&gt;""),AND(TRIM($AH$4)="",IFERROR(('Final Calculation Sheet'!$AG$33)&amp;"","")=""))))</f>
        <v/>
      </c>
      <c r="CT34">
        <f>IF($AI$4="",1,--(OR(SUMPRODUCT(--(TRIM(MID(SUBSTITUTE(SUBSTITUTE($AI$4,"/",","),",",REPT(" ",99)),(ROW($1:$8)-1)*99+1,99))&lt;&gt;""),--ISNUMBER(SEARCH(TRIM(MID(SUBSTITUTE(SUBSTITUTE($AI$4,"/",","),",",REPT(" ",99)),(ROW($1:$8)-1)*99+1,99)),IFERROR(('Final Calculation Sheet'!$AH$33)&amp;"",""))))&gt;0,AND(ISNUMBER(SEARCH("blank",$AI$4)),NOT(ISNUMBER(SEARCH("nonblank",$AI$4))),IFERROR(('Final Calculation Sheet'!$AH$33)&amp;"","")=""),AND(OR(ISNUMBER(SEARCH("nonblank",$AI$4)),ISNUMBER(SEARCH("&lt;&gt;",$AI$4))),IFERROR(('Final Calculation Sheet'!$AH$33)&amp;"","")&lt;&gt;""),AND(TRIM($AI$4)="",IFERROR(('Final Calculation Sheet'!$AH$33)&amp;"","")=""))))</f>
        <v/>
      </c>
      <c r="CU34">
        <f>IF($AF$4="",1,--(OR(SUMPRODUCT(--(TRIM(MID(SUBSTITUTE(SUBSTITUTE($AF$4,"/",","),",",REPT(" ",99)),(ROW($1:$8)-1)*99+1,99))&lt;&gt;""),--ISNUMBER(SEARCH(TRIM(MID(SUBSTITUTE(SUBSTITUTE($AF$4,"/",","),",",REPT(" ",99)),(ROW($1:$8)-1)*99+1,99)),IFERROR((IF('Final Calculation Sheet'!$AD$33&lt;=5,"SETTLED","OUTSTANDING"))&amp;"",""))))&gt;0,AND(ISNUMBER(SEARCH("blank",$AF$4)),NOT(ISNUMBER(SEARCH("nonblank",$AF$4))),IFERROR((IF('Final Calculation Sheet'!$AD$33&lt;=5,"SETTLED","OUTSTANDING"))&amp;"","")=""),AND(OR(ISNUMBER(SEARCH("nonblank",$AF$4)),ISNUMBER(SEARCH("&lt;&gt;",$AF$4))),IFERROR((IF('Final Calculation Sheet'!$AD$33&lt;=5,"SETTLED","OUTSTANDING"))&amp;"","")&lt;&gt;""),AND(TRIM($AF$4)="",IFERROR((IF('Final Calculation Sheet'!$AD$33&lt;=5,"SETTLED","OUTSTANDING"))&amp;"","")=""))))</f>
        <v/>
      </c>
    </row>
    <row r="35" ht="15" customHeight="1" s="137">
      <c r="A35" s="67">
        <f>IF($BJ34&gt;0,INDEX($BA$5:$BA$41,MATCH(34,$BB$5:$BB$41,0)),IF(OR($BI34=1,$BL34=1,$BH34&gt;0),"∑",""))</f>
        <v/>
      </c>
      <c r="B35" s="76">
        <f>IF($BJ34&gt;0,IF(INDEX('Final Calculation Sheet'!$F$4:$F$40,$BJ34-3)="","",INDEX('Final Calculation Sheet'!$F$4:$F$40,$BJ34-3)),"")</f>
        <v/>
      </c>
      <c r="C35" s="76">
        <f>IF($BJ34&gt;0,IF(INDEX('Final Calculation Sheet'!$G$4:$G$40,$BJ34-3)="","",INDEX('Final Calculation Sheet'!$G$4:$G$40,$BJ34-3)),IF(OR($BI34=1,$BL34=1,$BH34&gt;0),IF($BI34=1,37,IF($BL34=1,37-INDEX($BD$4:$BD$13,10),INDEX($BD$4:$BD$13,$BH34)))&amp;" lot(s)",""))</f>
        <v/>
      </c>
      <c r="D35" s="80">
        <f>IF($BJ34&gt;0,IF(INDEX('Final Calculation Sheet'!$B$4:$B$40,$BJ34-3)="","",INDEX('Final Calculation Sheet'!$B$4:$B$40,$BJ34-3)),IF(OR($BI34=1,$BL34=1,$BH34&gt;0),IF($BI34=1,"GRAND TOTAL  —  matching + remaining",IF($BL34=1,"TOTAL MATCHED  —  every group together",IF($BH34=10,"REMAINING  —  did not match the search",IF($BH34=9,IF(COUNTIF($A$4:$AI$4,"&lt;&gt;")&gt;0,"FILTERED LOTS  —  column fields","ALL LOTS  —  nothing typed in the box"),"GROUP "&amp;$BH34&amp;" TOTAL  —  lots matching  "&amp;INDEX($AR$6:$AY$6,$BH34))))),""))</f>
        <v/>
      </c>
      <c r="E35" s="80">
        <f>IF($BJ34&gt;0,IF(INDEX('Final Calculation Sheet'!$D$4:$D$40,$BJ34-3)="","",INDEX('Final Calculation Sheet'!$D$4:$D$40,$BJ34-3)),IF(OR($BI34=1,$BL34=1,$BH34&gt;0),"–",""))</f>
        <v/>
      </c>
      <c r="F35" s="80">
        <f>IF($BJ34&gt;0,IF(INDEX('Final Calculation Sheet'!$A$4:$A$40,$BJ34-3)="","",INDEX('Final Calculation Sheet'!$A$4:$A$40,$BJ34-3)),IF(OR($BI34=1,$BL34=1,$BH34&gt;0),IF($BI34=1,SUM('Final Calculation Sheet'!$A$4:$A$40),IF($BL34=1,SUM('Final Calculation Sheet'!$A$4:$A$40)-SUMIFS('Final Calculation Sheet'!$A$4:$A$40,$AZ$5:$AZ$41,10),SUMIFS('Final Calculation Sheet'!$A$4:$A$40,$AZ$5:$AZ$41,$BH34))),""))</f>
        <v/>
      </c>
      <c r="G35" s="80">
        <f>IF($BJ34&gt;0,IF(INDEX('Final Calculation Sheet'!$E$4:$E$40,$BJ34-3)="","",INDEX('Final Calculation Sheet'!$E$4:$E$40,$BJ34-3)),IF(OR($BI34=1,$BL34=1,$BH34&gt;0),"–",""))</f>
        <v/>
      </c>
      <c r="H35" s="70">
        <f>IF($BJ34&gt;0,IF(INDEX('Final Calculation Sheet'!$C$4:$C$40,$BJ34-3)="","",INDEX('Final Calculation Sheet'!$C$4:$C$40,$BJ34-3)),IF(OR($BI34=1,$BL34=1,$BH34&gt;0),"–",""))</f>
        <v/>
      </c>
      <c r="I35" s="70">
        <f>IF($BJ34&gt;0,IF(INDEX('Final Calculation Sheet'!$H$4:$H$40,$BJ34-3)="","",INDEX('Final Calculation Sheet'!$H$4:$H$40,$BJ34-3)),IF(OR($BI34=1,$BL34=1,$BH34&gt;0),IF($BI34=1,SUM('Final Calculation Sheet'!$H$4:$H$40),IF($BL34=1,SUM('Final Calculation Sheet'!$H$4:$H$40)-SUMIFS('Final Calculation Sheet'!$H$4:$H$40,$AZ$5:$AZ$41,10),SUMIFS('Final Calculation Sheet'!$H$4:$H$40,$AZ$5:$AZ$41,$BH34))),""))</f>
        <v/>
      </c>
      <c r="J35" s="70">
        <f>IF($BJ34&gt;0,IF(INDEX('Final Calculation Sheet'!$I$4:$I$40,$BJ34-3)="","",INDEX('Final Calculation Sheet'!$I$4:$I$40,$BJ34-3)),IF(OR($BI34=1,$BL34=1,$BH34&gt;0),IF($BI34=1,SUM('Final Calculation Sheet'!$I$4:$I$40),IF($BL34=1,SUM('Final Calculation Sheet'!$I$4:$I$40)-SUMIFS('Final Calculation Sheet'!$I$4:$I$40,$AZ$5:$AZ$41,10),SUMIFS('Final Calculation Sheet'!$I$4:$I$40,$AZ$5:$AZ$41,$BH34))),""))</f>
        <v/>
      </c>
      <c r="K35" s="70">
        <f>IF($BJ34&gt;0,IF(INDEX('Final Calculation Sheet'!$J$4:$J$40,$BJ34-3)="","",INDEX('Final Calculation Sheet'!$J$4:$J$40,$BJ34-3)),IF(OR($BI34=1,$BL34=1,$BH34&gt;0),IF($BI34=1,SUM('Final Calculation Sheet'!$J$4:$J$40),IF($BL34=1,SUM('Final Calculation Sheet'!$J$4:$J$40)-SUMIFS('Final Calculation Sheet'!$J$4:$J$40,$AZ$5:$AZ$41,10),SUMIFS('Final Calculation Sheet'!$J$4:$J$40,$AZ$5:$AZ$41,$BH34))),""))</f>
        <v/>
      </c>
      <c r="L35" s="70">
        <f>IF($BJ34&gt;0,IF(INDEX('Final Calculation Sheet'!$K$4:$K$40,$BJ34-3)="","",INDEX('Final Calculation Sheet'!$K$4:$K$40,$BJ34-3)),IF(OR($BI34=1,$BL34=1,$BH34&gt;0),IF($BI34=1,SUM('Final Calculation Sheet'!$K$4:$K$40),IF($BL34=1,SUM('Final Calculation Sheet'!$K$4:$K$40)-SUMIFS('Final Calculation Sheet'!$K$4:$K$40,$AZ$5:$AZ$41,10),SUMIFS('Final Calculation Sheet'!$K$4:$K$40,$AZ$5:$AZ$41,$BH34))),""))</f>
        <v/>
      </c>
      <c r="M35" s="70">
        <f>IF($BJ34&gt;0,IF(INDEX('Final Calculation Sheet'!$L$4:$L$40,$BJ34-3)="","",INDEX('Final Calculation Sheet'!$L$4:$L$40,$BJ34-3)),IF(OR($BI34=1,$BL34=1,$BH34&gt;0),IF($BI34=1,SUM('Final Calculation Sheet'!$L$4:$L$40),IF($BL34=1,SUM('Final Calculation Sheet'!$L$4:$L$40)-SUMIFS('Final Calculation Sheet'!$L$4:$L$40,$AZ$5:$AZ$41,10),SUMIFS('Final Calculation Sheet'!$L$4:$L$40,$AZ$5:$AZ$41,$BH34))),""))</f>
        <v/>
      </c>
      <c r="N35" s="70">
        <f>IF($BJ34&gt;0,IF(INDEX('Final Calculation Sheet'!$M$4:$M$40,$BJ34-3)="","",INDEX('Final Calculation Sheet'!$M$4:$M$40,$BJ34-3)),IF(OR($BI34=1,$BL34=1,$BH34&gt;0),IF($BI34=1,SUM('Final Calculation Sheet'!$M$4:$M$40),IF($BL34=1,SUM('Final Calculation Sheet'!$M$4:$M$40)-SUMIFS('Final Calculation Sheet'!$M$4:$M$40,$AZ$5:$AZ$41,10),SUMIFS('Final Calculation Sheet'!$M$4:$M$40,$AZ$5:$AZ$41,$BH34))),""))</f>
        <v/>
      </c>
      <c r="O35" s="71">
        <f>IF($BJ34&gt;0,IF(INDEX('Final Calculation Sheet'!$N$4:$N$40,$BJ34-3)="","",INDEX('Final Calculation Sheet'!$N$4:$N$40,$BJ34-3)),IF(OR($BI34=1,$BL34=1,$BH34&gt;0),IF($BI34=1,SUM('Final Calculation Sheet'!$N$4:$N$40),IF($BL34=1,SUM('Final Calculation Sheet'!$N$4:$N$40)-SUMIFS('Final Calculation Sheet'!$N$4:$N$40,$AZ$5:$AZ$41,10),SUMIFS('Final Calculation Sheet'!$N$4:$N$40,$AZ$5:$AZ$41,$BH34))),""))</f>
        <v/>
      </c>
      <c r="P35" s="70">
        <f>IF($BJ34&gt;0,IF(INDEX('Final Calculation Sheet'!$O$4:$O$40,$BJ34-3)="","",INDEX('Final Calculation Sheet'!$O$4:$O$40,$BJ34-3)),IF(OR($BI34=1,$BL34=1,$BH34&gt;0),IF($BI34=1,SUM('Final Calculation Sheet'!$O$4:$O$40),IF($BL34=1,SUM('Final Calculation Sheet'!$O$4:$O$40)-SUMIFS('Final Calculation Sheet'!$O$4:$O$40,$AZ$5:$AZ$41,10),SUMIFS('Final Calculation Sheet'!$O$4:$O$40,$AZ$5:$AZ$41,$BH34))),""))</f>
        <v/>
      </c>
      <c r="Q35" s="70">
        <f>IF($BJ34&gt;0,IF(INDEX('Final Calculation Sheet'!$P$4:$P$40,$BJ34-3)="","",INDEX('Final Calculation Sheet'!$P$4:$P$40,$BJ34-3)),IF(OR($BI34=1,$BL34=1,$BH34&gt;0),IF($BI34=1,SUM('Final Calculation Sheet'!$P$4:$P$40),IF($BL34=1,SUM('Final Calculation Sheet'!$P$4:$P$40)-SUMIFS('Final Calculation Sheet'!$P$4:$P$40,$AZ$5:$AZ$41,10),SUMIFS('Final Calculation Sheet'!$P$4:$P$40,$AZ$5:$AZ$41,$BH34))),""))</f>
        <v/>
      </c>
      <c r="R35" s="72">
        <f>IF($BJ34&gt;0,IF(INDEX('Final Calculation Sheet'!$Q$4:$Q$40,$BJ34-3)="","",INDEX('Final Calculation Sheet'!$Q$4:$Q$40,$BJ34-3)),IF(OR($BI34=1,$BL34=1,$BH34&gt;0),"–",""))</f>
        <v/>
      </c>
      <c r="S35" s="70">
        <f>IF($BJ34&gt;0,IF(INDEX('Final Calculation Sheet'!$R$4:$R$40,$BJ34-3)="","",INDEX('Final Calculation Sheet'!$R$4:$R$40,$BJ34-3)),IF(OR($BI34=1,$BL34=1,$BH34&gt;0),IF($BI34=1,SUM('Final Calculation Sheet'!$R$4:$R$40),IF($BL34=1,SUM('Final Calculation Sheet'!$R$4:$R$40)-SUMIFS('Final Calculation Sheet'!$R$4:$R$40,$AZ$5:$AZ$41,10),SUMIFS('Final Calculation Sheet'!$R$4:$R$40,$AZ$5:$AZ$41,$BH34))),""))</f>
        <v/>
      </c>
      <c r="T35" s="70">
        <f>IF($BJ34&gt;0,IF(INDEX('Final Calculation Sheet'!$S$4:$S$40,$BJ34-3)="","",INDEX('Final Calculation Sheet'!$S$4:$S$40,$BJ34-3)),IF(OR($BI34=1,$BL34=1,$BH34&gt;0),IF($BI34=1,SUM('Final Calculation Sheet'!$S$4:$S$40),IF($BL34=1,SUM('Final Calculation Sheet'!$S$4:$S$40)-SUMIFS('Final Calculation Sheet'!$S$4:$S$40,$AZ$5:$AZ$41,10),SUMIFS('Final Calculation Sheet'!$S$4:$S$40,$AZ$5:$AZ$41,$BH34))),""))</f>
        <v/>
      </c>
      <c r="U35" s="70">
        <f>IF($BJ34&gt;0,IF(INDEX('Final Calculation Sheet'!$T$4:$T$40,$BJ34-3)="","",INDEX('Final Calculation Sheet'!$T$4:$T$40,$BJ34-3)),IF(OR($BI34=1,$BL34=1,$BH34&gt;0),IF($BI34=1,SUM('Final Calculation Sheet'!$T$4:$T$40),IF($BL34=1,SUM('Final Calculation Sheet'!$T$4:$T$40)-SUMIFS('Final Calculation Sheet'!$T$4:$T$40,$AZ$5:$AZ$41,10),SUMIFS('Final Calculation Sheet'!$T$4:$T$40,$AZ$5:$AZ$41,$BH34))),""))</f>
        <v/>
      </c>
      <c r="V35" s="73">
        <f>IF($BJ34&gt;0,IF(INDEX('Final Calculation Sheet'!$U$4:$U$40,$BJ34-3)="","",INDEX('Final Calculation Sheet'!$U$4:$U$40,$BJ34-3)),IF(OR($BI34=1,$BL34=1,$BH34&gt;0),IF($BI34=1,SUM('Final Calculation Sheet'!$U$4:$U$40),IF($BL34=1,SUM('Final Calculation Sheet'!$U$4:$U$40)-SUMIFS('Final Calculation Sheet'!$U$4:$U$40,$AZ$5:$AZ$41,10),SUMIFS('Final Calculation Sheet'!$U$4:$U$40,$AZ$5:$AZ$41,$BH34))),""))</f>
        <v/>
      </c>
      <c r="W35" s="70">
        <f>IF($BJ34&gt;0,IF(INDEX('Final Calculation Sheet'!$V$4:$V$40,$BJ34-3)="","",INDEX('Final Calculation Sheet'!$V$4:$V$40,$BJ34-3)),IF(OR($BI34=1,$BL34=1,$BH34&gt;0),"–",""))</f>
        <v/>
      </c>
      <c r="X35" s="70">
        <f>IF($BJ34&gt;0,IF(INDEX('Final Calculation Sheet'!$W$4:$W$40,$BJ34-3)="","",INDEX('Final Calculation Sheet'!$W$4:$W$40,$BJ34-3)),IF(OR($BI34=1,$BL34=1,$BH34&gt;0),IF($BI34=1,SUM('Final Calculation Sheet'!$W$4:$W$40),IF($BL34=1,SUM('Final Calculation Sheet'!$W$4:$W$40)-SUMIFS('Final Calculation Sheet'!$W$4:$W$40,$AZ$5:$AZ$41,10),SUMIFS('Final Calculation Sheet'!$W$4:$W$40,$AZ$5:$AZ$41,$BH34))),""))</f>
        <v/>
      </c>
      <c r="Y35" s="70">
        <f>IF($BJ34&gt;0,IF(INDEX('Final Calculation Sheet'!$X$4:$X$40,$BJ34-3)="","",INDEX('Final Calculation Sheet'!$X$4:$X$40,$BJ34-3)),IF(OR($BI34=1,$BL34=1,$BH34&gt;0),IF($BI34=1,SUM('Final Calculation Sheet'!$X$4:$X$40),IF($BL34=1,SUM('Final Calculation Sheet'!$X$4:$X$40)-SUMIFS('Final Calculation Sheet'!$X$4:$X$40,$AZ$5:$AZ$41,10),SUMIFS('Final Calculation Sheet'!$X$4:$X$40,$AZ$5:$AZ$41,$BH34))),""))</f>
        <v/>
      </c>
      <c r="Z35" s="70">
        <f>IF($BJ34&gt;0,IF(INDEX('Final Calculation Sheet'!$Y$4:$Y$40,$BJ34-3)="","",INDEX('Final Calculation Sheet'!$Y$4:$Y$40,$BJ34-3)),IF(OR($BI34=1,$BL34=1,$BH34&gt;0),"–",""))</f>
        <v/>
      </c>
      <c r="AA35" s="70">
        <f>IF($BJ34&gt;0,IF(INDEX('Final Calculation Sheet'!$Z$4:$Z$40,$BJ34-3)="","",INDEX('Final Calculation Sheet'!$Z$4:$Z$40,$BJ34-3)),IF(OR($BI34=1,$BL34=1,$BH34&gt;0),IF($BI34=1,SUM('Final Calculation Sheet'!$Z$4:$Z$40),IF($BL34=1,SUM('Final Calculation Sheet'!$Z$4:$Z$40)-SUMIFS('Final Calculation Sheet'!$Z$4:$Z$40,$AZ$5:$AZ$41,10),SUMIFS('Final Calculation Sheet'!$Z$4:$Z$40,$AZ$5:$AZ$41,$BH34))),""))</f>
        <v/>
      </c>
      <c r="AB35" s="70">
        <f>IF($BJ34&gt;0,IF(INDEX('Final Calculation Sheet'!$AA$4:$AA$40,$BJ34-3)="","",INDEX('Final Calculation Sheet'!$AA$4:$AA$40,$BJ34-3)),IF(OR($BI34=1,$BL34=1,$BH34&gt;0),IF($BI34=1,SUM('Final Calculation Sheet'!$AA$4:$AA$40),IF($BL34=1,SUM('Final Calculation Sheet'!$AA$4:$AA$40)-SUMIFS('Final Calculation Sheet'!$AA$4:$AA$40,$AZ$5:$AZ$41,10),SUMIFS('Final Calculation Sheet'!$AA$4:$AA$40,$AZ$5:$AZ$41,$BH34))),""))</f>
        <v/>
      </c>
      <c r="AC35" s="70">
        <f>IF($BJ34&gt;0,IF(INDEX('Final Calculation Sheet'!$AB$4:$AB$40,$BJ34-3)="","",INDEX('Final Calculation Sheet'!$AB$4:$AB$40,$BJ34-3)),IF(OR($BI34=1,$BL34=1,$BH34&gt;0),"–",""))</f>
        <v/>
      </c>
      <c r="AD35" s="70">
        <f>IF($BJ34&gt;0,IF(INDEX('Final Calculation Sheet'!$AC$4:$AC$40,$BJ34-3)="","",INDEX('Final Calculation Sheet'!$AC$4:$AC$40,$BJ34-3)),IF(OR($BI34=1,$BL34=1,$BH34&gt;0),IF($BI34=1,SUM('Final Calculation Sheet'!$AC$4:$AC$40),IF($BL34=1,SUM('Final Calculation Sheet'!$AC$4:$AC$40)-SUMIFS('Final Calculation Sheet'!$AC$4:$AC$40,$AZ$5:$AZ$41,10),SUMIFS('Final Calculation Sheet'!$AC$4:$AC$40,$AZ$5:$AZ$41,$BH34))),""))</f>
        <v/>
      </c>
      <c r="AE35" s="70">
        <f>IF($BJ34&gt;0,IF(INDEX('Final Calculation Sheet'!$AD$4:$AD$40,$BJ34-3)="","",INDEX('Final Calculation Sheet'!$AD$4:$AD$40,$BJ34-3)),IF(OR($BI34=1,$BL34=1,$BH34&gt;0),IF($BI34=1,SUM('Final Calculation Sheet'!$AD$4:$AD$40),IF($BL34=1,SUM('Final Calculation Sheet'!$AD$4:$AD$40)-SUMIFS('Final Calculation Sheet'!$AD$4:$AD$40,$AZ$5:$AZ$41,10),SUMIFS('Final Calculation Sheet'!$AD$4:$AD$40,$AZ$5:$AZ$41,$BH34))),""))</f>
        <v/>
      </c>
      <c r="AF35" s="75">
        <f>IF($BJ34&gt;0,IF(INDEX('Final Calculation Sheet'!$AD$4:$AD$40,$BJ34-3)="","",IF(INDEX('Final Calculation Sheet'!$AD$4:$AD$40,$BJ34-3)&lt;=5,"SETTLED","OUTSTANDING")),IF(OR($BI34=1,$BL34=1,$BH34&gt;0),IF(IF($BI34=1,SUM('Final Calculation Sheet'!$AD$4:$AD$40),IF($BL34=1,SUM('Final Calculation Sheet'!$AD$4:$AD$40)-SUMIFS('Final Calculation Sheet'!$AD$4:$AD$40,$AZ$5:$AZ$41,10),SUMIFS('Final Calculation Sheet'!$AD$4:$AD$40,$AZ$5:$AZ$41,$BH34)))&lt;=5,"ALL SETTLED","OUTSTANDING"),""))</f>
        <v/>
      </c>
      <c r="AG35" s="70">
        <f>IF($BJ34&gt;0,IF(INDEX('Final Calculation Sheet'!$AF$4:$AF$40,$BJ34-3)="","",INDEX('Final Calculation Sheet'!$AF$4:$AF$40,$BJ34-3)),IF(OR($BI34=1,$BL34=1,$BH34&gt;0),"–",""))</f>
        <v/>
      </c>
      <c r="AH35" s="74">
        <f>IF($BJ34&gt;0,IF(INDEX('Final Calculation Sheet'!$AG$4:$AG$40,$BJ34-3)="","",INDEX('Final Calculation Sheet'!$AG$4:$AG$40,$BJ34-3)),IF(OR($BI34=1,$BL34=1,$BH34&gt;0),"–",""))</f>
        <v/>
      </c>
      <c r="AI35" s="70">
        <f>IF($BJ34&gt;0,IF(INDEX('Final Calculation Sheet'!$AH$4:$AH$40,$BJ34-3)="","",INDEX('Final Calculation Sheet'!$AH$4:$AH$40,$BJ34-3)),IF(OR($BI34=1,$BL34=1,$BH34&gt;0),"–",""))</f>
        <v/>
      </c>
      <c r="AK35">
        <f>IF($F$3="Lot No.",'Final Calculation Sheet'!$F$34,IF($F$3="Buyer",'Final Calculation Sheet'!$G$34,IF($F$3="Lot Name",'Final Calculation Sheet'!$B$34,IF($F$3="Bid Sheet",'Final Calculation Sheet'!$D$34,IF($F$3="Unit",'Final Calculation Sheet'!$E$34,'Final Calculation Sheet'!$F$34&amp;" "&amp;'Final Calculation Sheet'!$G$34&amp;" "&amp;'Final Calculation Sheet'!$B$34)))))</f>
        <v/>
      </c>
      <c r="AL35">
        <f>AL34+IF($B$3="",0,--(SUMPRODUCT(--($AR$6:$AY$6&lt;&gt;""),--ISNUMBER(SEARCH($AR$6:$AY$6,$AK35)))&gt;0))</f>
        <v/>
      </c>
      <c r="AM35">
        <f>IF(COUNTIF($BM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AZ35">
        <f>IF($B$3="",IF(COUNTIF($A$4:$AI$4,"&lt;&gt;")=0,9,IF($AM35=1,9,10)),IF($AM35=0,10,IF(AND($AR$6&lt;&gt;"",ISNUMBER(SEARCH($AR$6,$AK35))),1,IF(AND($AS$6&lt;&gt;"",ISNUMBER(SEARCH($AS$6,$AK35))),2,IF(AND($AT$6&lt;&gt;"",ISNUMBER(SEARCH($AT$6,$AK35))),3,IF(AND($AU$6&lt;&gt;"",ISNUMBER(SEARCH($AU$6,$AK35))),4,IF(AND($AV$6&lt;&gt;"",ISNUMBER(SEARCH($AV$6,$AK35))),5,IF(AND($AW$6&lt;&gt;"",ISNUMBER(SEARCH($AW$6,$AK35))),6,IF(AND($AX$6&lt;&gt;"",ISNUMBER(SEARCH($AX$6,$AK35))),7,IF(AND($AY$6&lt;&gt;"",ISNUMBER(SEARCH($AY$6,$AK35))),8,0))))))))))</f>
        <v/>
      </c>
      <c r="BA35">
        <f>SUMPRODUCT(($AZ$5:$AZ$41=$AZ35)*($BC$5:$BC$41&lt;$BC35))+1</f>
        <v/>
      </c>
      <c r="BB35">
        <f>IF(INDEX($BF$4:$BF$13,$AZ35)=0,0,INDEX($BE$4:$BE$13,$AZ35)+$BA35-1)</f>
        <v/>
      </c>
      <c r="BC35" t="n">
        <v>34</v>
      </c>
      <c r="BH35">
        <f>IFERROR(MATCH(35,$BF$4:$BF$13,0),0)</f>
        <v/>
      </c>
      <c r="BI35">
        <f>IF(35=$BG$5,1,0)</f>
        <v/>
      </c>
      <c r="BJ35">
        <f>IF(OR($BH35&gt;0,$BI35=1,$BL35=1),0,IFERROR(INDEX($BC$5:$BC$41,MATCH(35,$BB$5:$BB$41,0)),0))</f>
        <v/>
      </c>
      <c r="BK35">
        <f>IF($BJ35&gt;0,IF(INDEX($AZ$5:$AZ$41,MATCH(35,$BB$5:$BB$41,0))=10,1,0),IF($BH35=10,1,0))</f>
        <v/>
      </c>
      <c r="BL35">
        <f>IF(35=$BG$4,1,0)</f>
        <v/>
      </c>
      <c r="BM35">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5">
        <f>IF($B$4="",1,--(OR(SUMPRODUCT(--(TRIM(MID(SUBSTITUTE(SUBSTITUTE($B$4,"/",","),",",REPT(" ",99)),(ROW($1:$8)-1)*99+1,99))&lt;&gt;""),--ISNUMBER(SEARCH(TRIM(MID(SUBSTITUTE(SUBSTITUTE($B$4,"/",","),",",REPT(" ",99)),(ROW($1:$8)-1)*99+1,99)),IFERROR(('Final Calculation Sheet'!$F$34)&amp;"",""))))&gt;0,AND(ISNUMBER(SEARCH("blank",$B$4)),NOT(ISNUMBER(SEARCH("nonblank",$B$4))),IFERROR(('Final Calculation Sheet'!$F$34)&amp;"","")=""),AND(OR(ISNUMBER(SEARCH("nonblank",$B$4)),ISNUMBER(SEARCH("&lt;&gt;",$B$4))),IFERROR(('Final Calculation Sheet'!$F$34)&amp;"","")&lt;&gt;""),AND(TRIM($B$4)="",IFERROR(('Final Calculation Sheet'!$F$34)&amp;"","")=""))))</f>
        <v/>
      </c>
      <c r="BO35">
        <f>IF($CW$3="",1,--(OR(SUMPRODUCT(--(TRIM(MID(SUBSTITUTE(SUBSTITUTE($CW$3,"/",","),",",REPT(" ",99)),(ROW($1:$8)-1)*99+1,99))&lt;&gt;""),--ISNUMBER(SEARCH(TRIM(MID(SUBSTITUTE(SUBSTITUTE($CW$3,"/",","),",",REPT(" ",99)),(ROW($1:$8)-1)*99+1,99)),IFERROR(('Final Calculation Sheet'!$G$34)&amp;"",""))))&gt;0,AND(ISNUMBER(SEARCH("blank",$CW$3)),NOT(ISNUMBER(SEARCH("nonblank",$CW$3))),IFERROR(('Final Calculation Sheet'!$G$34)&amp;"","")=""),AND(OR(ISNUMBER(SEARCH("nonblank",$CW$3)),ISNUMBER(SEARCH("&lt;&gt;",$CW$3))),IFERROR(('Final Calculation Sheet'!$G$34)&amp;"","")&lt;&gt;""),AND(TRIM($CW$3)="",IFERROR(('Final Calculation Sheet'!$G$34)&amp;"","")=""))))</f>
        <v/>
      </c>
      <c r="BP35">
        <f>IF($D$4="",1,--(OR(SUMPRODUCT(--(TRIM(MID(SUBSTITUTE(SUBSTITUTE($D$4,"/",","),",",REPT(" ",99)),(ROW($1:$8)-1)*99+1,99))&lt;&gt;""),--ISNUMBER(SEARCH(TRIM(MID(SUBSTITUTE(SUBSTITUTE($D$4,"/",","),",",REPT(" ",99)),(ROW($1:$8)-1)*99+1,99)),IFERROR(('Final Calculation Sheet'!$B$34)&amp;"",""))))&gt;0,AND(ISNUMBER(SEARCH("blank",$D$4)),NOT(ISNUMBER(SEARCH("nonblank",$D$4))),IFERROR(('Final Calculation Sheet'!$B$34)&amp;"","")=""),AND(OR(ISNUMBER(SEARCH("nonblank",$D$4)),ISNUMBER(SEARCH("&lt;&gt;",$D$4))),IFERROR(('Final Calculation Sheet'!$B$34)&amp;"","")&lt;&gt;""),AND(TRIM($D$4)="",IFERROR(('Final Calculation Sheet'!$B$34)&amp;"","")=""))))</f>
        <v/>
      </c>
      <c r="BQ35">
        <f>IF($E$4="",1,--(OR(SUMPRODUCT(--(TRIM(MID(SUBSTITUTE(SUBSTITUTE($E$4,"/",","),",",REPT(" ",99)),(ROW($1:$8)-1)*99+1,99))&lt;&gt;""),--ISNUMBER(SEARCH(TRIM(MID(SUBSTITUTE(SUBSTITUTE($E$4,"/",","),",",REPT(" ",99)),(ROW($1:$8)-1)*99+1,99)),IFERROR(('Final Calculation Sheet'!$D$34)&amp;"",""))))&gt;0,AND(ISNUMBER(SEARCH("blank",$E$4)),NOT(ISNUMBER(SEARCH("nonblank",$E$4))),IFERROR(('Final Calculation Sheet'!$D$34)&amp;"","")=""),AND(OR(ISNUMBER(SEARCH("nonblank",$E$4)),ISNUMBER(SEARCH("&lt;&gt;",$E$4))),IFERROR(('Final Calculation Sheet'!$D$34)&amp;"","")&lt;&gt;""),AND(TRIM($E$4)="",IFERROR(('Final Calculation Sheet'!$D$34)&amp;"","")=""))))</f>
        <v/>
      </c>
      <c r="BR35">
        <f>IF($F$4="",1,--(OR(SUMPRODUCT(--(TRIM(MID(SUBSTITUTE(SUBSTITUTE($F$4,"/",","),",",REPT(" ",99)),(ROW($1:$8)-1)*99+1,99))&lt;&gt;""),--ISNUMBER(SEARCH(TRIM(MID(SUBSTITUTE(SUBSTITUTE($F$4,"/",","),",",REPT(" ",99)),(ROW($1:$8)-1)*99+1,99)),IFERROR(('Final Calculation Sheet'!$A$34)&amp;"",""))))&gt;0,AND(ISNUMBER(SEARCH("blank",$F$4)),NOT(ISNUMBER(SEARCH("nonblank",$F$4))),IFERROR(('Final Calculation Sheet'!$A$34)&amp;"","")=""),AND(OR(ISNUMBER(SEARCH("nonblank",$F$4)),ISNUMBER(SEARCH("&lt;&gt;",$F$4))),IFERROR(('Final Calculation Sheet'!$A$34)&amp;"","")&lt;&gt;""),AND(TRIM($F$4)="",IFERROR(('Final Calculation Sheet'!$A$34)&amp;"","")=""))))</f>
        <v/>
      </c>
      <c r="BS35">
        <f>IF($G$4="",1,--(OR(SUMPRODUCT(--(TRIM(MID(SUBSTITUTE(SUBSTITUTE($G$4,"/",","),",",REPT(" ",99)),(ROW($1:$8)-1)*99+1,99))&lt;&gt;""),--ISNUMBER(SEARCH(TRIM(MID(SUBSTITUTE(SUBSTITUTE($G$4,"/",","),",",REPT(" ",99)),(ROW($1:$8)-1)*99+1,99)),IFERROR(('Final Calculation Sheet'!$E$34)&amp;"",""))))&gt;0,AND(ISNUMBER(SEARCH("blank",$G$4)),NOT(ISNUMBER(SEARCH("nonblank",$G$4))),IFERROR(('Final Calculation Sheet'!$E$34)&amp;"","")=""),AND(OR(ISNUMBER(SEARCH("nonblank",$G$4)),ISNUMBER(SEARCH("&lt;&gt;",$G$4))),IFERROR(('Final Calculation Sheet'!$E$34)&amp;"","")&lt;&gt;""),AND(TRIM($G$4)="",IFERROR(('Final Calculation Sheet'!$E$34)&amp;"","")=""))))</f>
        <v/>
      </c>
      <c r="BT35">
        <f>IF($H$4="",1,--(OR(SUMPRODUCT(--(TRIM(MID(SUBSTITUTE(SUBSTITUTE($H$4,"/",","),",",REPT(" ",99)),(ROW($1:$8)-1)*99+1,99))&lt;&gt;""),--ISNUMBER(SEARCH(TRIM(MID(SUBSTITUTE(SUBSTITUTE($H$4,"/",","),",",REPT(" ",99)),(ROW($1:$8)-1)*99+1,99)),IFERROR(('Final Calculation Sheet'!$C$34)&amp;"",""))))&gt;0,AND(ISNUMBER(SEARCH("blank",$H$4)),NOT(ISNUMBER(SEARCH("nonblank",$H$4))),IFERROR(('Final Calculation Sheet'!$C$34)&amp;"","")=""),AND(OR(ISNUMBER(SEARCH("nonblank",$H$4)),ISNUMBER(SEARCH("&lt;&gt;",$H$4))),IFERROR(('Final Calculation Sheet'!$C$34)&amp;"","")&lt;&gt;""),AND(TRIM($H$4)="",IFERROR(('Final Calculation Sheet'!$C$34)&amp;"","")=""))))</f>
        <v/>
      </c>
      <c r="BU35">
        <f>IF($I$4="",1,--(OR(SUMPRODUCT(--(TRIM(MID(SUBSTITUTE(SUBSTITUTE($I$4,"/",","),",",REPT(" ",99)),(ROW($1:$8)-1)*99+1,99))&lt;&gt;""),--ISNUMBER(SEARCH(TRIM(MID(SUBSTITUTE(SUBSTITUTE($I$4,"/",","),",",REPT(" ",99)),(ROW($1:$8)-1)*99+1,99)),IFERROR(('Final Calculation Sheet'!$H$34)&amp;"",""))))&gt;0,AND(ISNUMBER(SEARCH("blank",$I$4)),NOT(ISNUMBER(SEARCH("nonblank",$I$4))),IFERROR(('Final Calculation Sheet'!$H$34)&amp;"","")=""),AND(OR(ISNUMBER(SEARCH("nonblank",$I$4)),ISNUMBER(SEARCH("&lt;&gt;",$I$4))),IFERROR(('Final Calculation Sheet'!$H$34)&amp;"","")&lt;&gt;""),AND(TRIM($I$4)="",IFERROR(('Final Calculation Sheet'!$H$34)&amp;"","")=""))))</f>
        <v/>
      </c>
      <c r="BV35">
        <f>IF($J$4="",1,--(OR(SUMPRODUCT(--(TRIM(MID(SUBSTITUTE(SUBSTITUTE($J$4,"/",","),",",REPT(" ",99)),(ROW($1:$8)-1)*99+1,99))&lt;&gt;""),--ISNUMBER(SEARCH(TRIM(MID(SUBSTITUTE(SUBSTITUTE($J$4,"/",","),",",REPT(" ",99)),(ROW($1:$8)-1)*99+1,99)),IFERROR(('Final Calculation Sheet'!$I$34)&amp;"",""))))&gt;0,AND(ISNUMBER(SEARCH("blank",$J$4)),NOT(ISNUMBER(SEARCH("nonblank",$J$4))),IFERROR(('Final Calculation Sheet'!$I$34)&amp;"","")=""),AND(OR(ISNUMBER(SEARCH("nonblank",$J$4)),ISNUMBER(SEARCH("&lt;&gt;",$J$4))),IFERROR(('Final Calculation Sheet'!$I$34)&amp;"","")&lt;&gt;""),AND(TRIM($J$4)="",IFERROR(('Final Calculation Sheet'!$I$34)&amp;"","")=""))))</f>
        <v/>
      </c>
      <c r="BW35">
        <f>IF($K$4="",1,--(OR(SUMPRODUCT(--(TRIM(MID(SUBSTITUTE(SUBSTITUTE($K$4,"/",","),",",REPT(" ",99)),(ROW($1:$8)-1)*99+1,99))&lt;&gt;""),--ISNUMBER(SEARCH(TRIM(MID(SUBSTITUTE(SUBSTITUTE($K$4,"/",","),",",REPT(" ",99)),(ROW($1:$8)-1)*99+1,99)),IFERROR(('Final Calculation Sheet'!$J$34)&amp;"",""))))&gt;0,AND(ISNUMBER(SEARCH("blank",$K$4)),NOT(ISNUMBER(SEARCH("nonblank",$K$4))),IFERROR(('Final Calculation Sheet'!$J$34)&amp;"","")=""),AND(OR(ISNUMBER(SEARCH("nonblank",$K$4)),ISNUMBER(SEARCH("&lt;&gt;",$K$4))),IFERROR(('Final Calculation Sheet'!$J$34)&amp;"","")&lt;&gt;""),AND(TRIM($K$4)="",IFERROR(('Final Calculation Sheet'!$J$34)&amp;"","")=""))))</f>
        <v/>
      </c>
      <c r="BX35">
        <f>IF($L$4="",1,--(OR(SUMPRODUCT(--(TRIM(MID(SUBSTITUTE(SUBSTITUTE($L$4,"/",","),",",REPT(" ",99)),(ROW($1:$8)-1)*99+1,99))&lt;&gt;""),--ISNUMBER(SEARCH(TRIM(MID(SUBSTITUTE(SUBSTITUTE($L$4,"/",","),",",REPT(" ",99)),(ROW($1:$8)-1)*99+1,99)),IFERROR(('Final Calculation Sheet'!$K$34)&amp;"",""))))&gt;0,AND(ISNUMBER(SEARCH("blank",$L$4)),NOT(ISNUMBER(SEARCH("nonblank",$L$4))),IFERROR(('Final Calculation Sheet'!$K$34)&amp;"","")=""),AND(OR(ISNUMBER(SEARCH("nonblank",$L$4)),ISNUMBER(SEARCH("&lt;&gt;",$L$4))),IFERROR(('Final Calculation Sheet'!$K$34)&amp;"","")&lt;&gt;""),AND(TRIM($L$4)="",IFERROR(('Final Calculation Sheet'!$K$34)&amp;"","")=""))))</f>
        <v/>
      </c>
      <c r="BY35">
        <f>IF($M$4="",1,--(OR(SUMPRODUCT(--(TRIM(MID(SUBSTITUTE(SUBSTITUTE($M$4,"/",","),",",REPT(" ",99)),(ROW($1:$8)-1)*99+1,99))&lt;&gt;""),--ISNUMBER(SEARCH(TRIM(MID(SUBSTITUTE(SUBSTITUTE($M$4,"/",","),",",REPT(" ",99)),(ROW($1:$8)-1)*99+1,99)),IFERROR(('Final Calculation Sheet'!$L$34)&amp;"",""))))&gt;0,AND(ISNUMBER(SEARCH("blank",$M$4)),NOT(ISNUMBER(SEARCH("nonblank",$M$4))),IFERROR(('Final Calculation Sheet'!$L$34)&amp;"","")=""),AND(OR(ISNUMBER(SEARCH("nonblank",$M$4)),ISNUMBER(SEARCH("&lt;&gt;",$M$4))),IFERROR(('Final Calculation Sheet'!$L$34)&amp;"","")&lt;&gt;""),AND(TRIM($M$4)="",IFERROR(('Final Calculation Sheet'!$L$34)&amp;"","")=""))))</f>
        <v/>
      </c>
      <c r="BZ35">
        <f>IF($N$4="",1,--(OR(SUMPRODUCT(--(TRIM(MID(SUBSTITUTE(SUBSTITUTE($N$4,"/",","),",",REPT(" ",99)),(ROW($1:$8)-1)*99+1,99))&lt;&gt;""),--ISNUMBER(SEARCH(TRIM(MID(SUBSTITUTE(SUBSTITUTE($N$4,"/",","),",",REPT(" ",99)),(ROW($1:$8)-1)*99+1,99)),IFERROR(('Final Calculation Sheet'!$M$34)&amp;"",""))))&gt;0,AND(ISNUMBER(SEARCH("blank",$N$4)),NOT(ISNUMBER(SEARCH("nonblank",$N$4))),IFERROR(('Final Calculation Sheet'!$M$34)&amp;"","")=""),AND(OR(ISNUMBER(SEARCH("nonblank",$N$4)),ISNUMBER(SEARCH("&lt;&gt;",$N$4))),IFERROR(('Final Calculation Sheet'!$M$34)&amp;"","")&lt;&gt;""),AND(TRIM($N$4)="",IFERROR(('Final Calculation Sheet'!$M$34)&amp;"","")=""))))</f>
        <v/>
      </c>
      <c r="CA35">
        <f>IF($O$4="",1,--(OR(SUMPRODUCT(--(TRIM(MID(SUBSTITUTE(SUBSTITUTE($O$4,"/",","),",",REPT(" ",99)),(ROW($1:$8)-1)*99+1,99))&lt;&gt;""),--ISNUMBER(SEARCH(TRIM(MID(SUBSTITUTE(SUBSTITUTE($O$4,"/",","),",",REPT(" ",99)),(ROW($1:$8)-1)*99+1,99)),IFERROR(('Final Calculation Sheet'!$N$34)&amp;"",""))))&gt;0,AND(ISNUMBER(SEARCH("blank",$O$4)),NOT(ISNUMBER(SEARCH("nonblank",$O$4))),IFERROR(('Final Calculation Sheet'!$N$34)&amp;"","")=""),AND(OR(ISNUMBER(SEARCH("nonblank",$O$4)),ISNUMBER(SEARCH("&lt;&gt;",$O$4))),IFERROR(('Final Calculation Sheet'!$N$34)&amp;"","")&lt;&gt;""),AND(TRIM($O$4)="",IFERROR(('Final Calculation Sheet'!$N$34)&amp;"","")=""))))</f>
        <v/>
      </c>
      <c r="CB35">
        <f>IF($P$4="",1,--(OR(SUMPRODUCT(--(TRIM(MID(SUBSTITUTE(SUBSTITUTE($P$4,"/",","),",",REPT(" ",99)),(ROW($1:$8)-1)*99+1,99))&lt;&gt;""),--ISNUMBER(SEARCH(TRIM(MID(SUBSTITUTE(SUBSTITUTE($P$4,"/",","),",",REPT(" ",99)),(ROW($1:$8)-1)*99+1,99)),IFERROR(('Final Calculation Sheet'!$O$34)&amp;"",""))))&gt;0,AND(ISNUMBER(SEARCH("blank",$P$4)),NOT(ISNUMBER(SEARCH("nonblank",$P$4))),IFERROR(('Final Calculation Sheet'!$O$34)&amp;"","")=""),AND(OR(ISNUMBER(SEARCH("nonblank",$P$4)),ISNUMBER(SEARCH("&lt;&gt;",$P$4))),IFERROR(('Final Calculation Sheet'!$O$34)&amp;"","")&lt;&gt;""),AND(TRIM($P$4)="",IFERROR(('Final Calculation Sheet'!$O$34)&amp;"","")=""))))</f>
        <v/>
      </c>
      <c r="CC35">
        <f>IF($Q$4="",1,--(OR(SUMPRODUCT(--(TRIM(MID(SUBSTITUTE(SUBSTITUTE($Q$4,"/",","),",",REPT(" ",99)),(ROW($1:$8)-1)*99+1,99))&lt;&gt;""),--ISNUMBER(SEARCH(TRIM(MID(SUBSTITUTE(SUBSTITUTE($Q$4,"/",","),",",REPT(" ",99)),(ROW($1:$8)-1)*99+1,99)),IFERROR(('Final Calculation Sheet'!$P$34)&amp;"",""))))&gt;0,AND(ISNUMBER(SEARCH("blank",$Q$4)),NOT(ISNUMBER(SEARCH("nonblank",$Q$4))),IFERROR(('Final Calculation Sheet'!$P$34)&amp;"","")=""),AND(OR(ISNUMBER(SEARCH("nonblank",$Q$4)),ISNUMBER(SEARCH("&lt;&gt;",$Q$4))),IFERROR(('Final Calculation Sheet'!$P$34)&amp;"","")&lt;&gt;""),AND(TRIM($Q$4)="",IFERROR(('Final Calculation Sheet'!$P$34)&amp;"","")=""))))</f>
        <v/>
      </c>
      <c r="CD35">
        <f>IF($R$4="",1,--(OR(SUMPRODUCT(--(TRIM(MID(SUBSTITUTE(SUBSTITUTE($R$4,"/",","),",",REPT(" ",99)),(ROW($1:$8)-1)*99+1,99))&lt;&gt;""),--ISNUMBER(SEARCH(TRIM(MID(SUBSTITUTE(SUBSTITUTE($R$4,"/",","),",",REPT(" ",99)),(ROW($1:$8)-1)*99+1,99)),IFERROR(('Final Calculation Sheet'!$Q$34)&amp;"",""))))&gt;0,AND(ISNUMBER(SEARCH("blank",$R$4)),NOT(ISNUMBER(SEARCH("nonblank",$R$4))),IFERROR(('Final Calculation Sheet'!$Q$34)&amp;"","")=""),AND(OR(ISNUMBER(SEARCH("nonblank",$R$4)),ISNUMBER(SEARCH("&lt;&gt;",$R$4))),IFERROR(('Final Calculation Sheet'!$Q$34)&amp;"","")&lt;&gt;""),AND(TRIM($R$4)="",IFERROR(('Final Calculation Sheet'!$Q$34)&amp;"","")=""))))</f>
        <v/>
      </c>
      <c r="CE35">
        <f>IF($S$4="",1,--(OR(SUMPRODUCT(--(TRIM(MID(SUBSTITUTE(SUBSTITUTE($S$4,"/",","),",",REPT(" ",99)),(ROW($1:$8)-1)*99+1,99))&lt;&gt;""),--ISNUMBER(SEARCH(TRIM(MID(SUBSTITUTE(SUBSTITUTE($S$4,"/",","),",",REPT(" ",99)),(ROW($1:$8)-1)*99+1,99)),IFERROR(('Final Calculation Sheet'!$R$34)&amp;"",""))))&gt;0,AND(ISNUMBER(SEARCH("blank",$S$4)),NOT(ISNUMBER(SEARCH("nonblank",$S$4))),IFERROR(('Final Calculation Sheet'!$R$34)&amp;"","")=""),AND(OR(ISNUMBER(SEARCH("nonblank",$S$4)),ISNUMBER(SEARCH("&lt;&gt;",$S$4))),IFERROR(('Final Calculation Sheet'!$R$34)&amp;"","")&lt;&gt;""),AND(TRIM($S$4)="",IFERROR(('Final Calculation Sheet'!$R$34)&amp;"","")=""))))</f>
        <v/>
      </c>
      <c r="CF35">
        <f>IF($T$4="",1,--(OR(SUMPRODUCT(--(TRIM(MID(SUBSTITUTE(SUBSTITUTE($T$4,"/",","),",",REPT(" ",99)),(ROW($1:$8)-1)*99+1,99))&lt;&gt;""),--ISNUMBER(SEARCH(TRIM(MID(SUBSTITUTE(SUBSTITUTE($T$4,"/",","),",",REPT(" ",99)),(ROW($1:$8)-1)*99+1,99)),IFERROR(('Final Calculation Sheet'!$S$34)&amp;"",""))))&gt;0,AND(ISNUMBER(SEARCH("blank",$T$4)),NOT(ISNUMBER(SEARCH("nonblank",$T$4))),IFERROR(('Final Calculation Sheet'!$S$34)&amp;"","")=""),AND(OR(ISNUMBER(SEARCH("nonblank",$T$4)),ISNUMBER(SEARCH("&lt;&gt;",$T$4))),IFERROR(('Final Calculation Sheet'!$S$34)&amp;"","")&lt;&gt;""),AND(TRIM($T$4)="",IFERROR(('Final Calculation Sheet'!$S$34)&amp;"","")=""))))</f>
        <v/>
      </c>
      <c r="CG35">
        <f>IF($U$4="",1,--(OR(SUMPRODUCT(--(TRIM(MID(SUBSTITUTE(SUBSTITUTE($U$4,"/",","),",",REPT(" ",99)),(ROW($1:$8)-1)*99+1,99))&lt;&gt;""),--ISNUMBER(SEARCH(TRIM(MID(SUBSTITUTE(SUBSTITUTE($U$4,"/",","),",",REPT(" ",99)),(ROW($1:$8)-1)*99+1,99)),IFERROR(('Final Calculation Sheet'!$T$34)&amp;"",""))))&gt;0,AND(ISNUMBER(SEARCH("blank",$U$4)),NOT(ISNUMBER(SEARCH("nonblank",$U$4))),IFERROR(('Final Calculation Sheet'!$T$34)&amp;"","")=""),AND(OR(ISNUMBER(SEARCH("nonblank",$U$4)),ISNUMBER(SEARCH("&lt;&gt;",$U$4))),IFERROR(('Final Calculation Sheet'!$T$34)&amp;"","")&lt;&gt;""),AND(TRIM($U$4)="",IFERROR(('Final Calculation Sheet'!$T$34)&amp;"","")=""))))</f>
        <v/>
      </c>
      <c r="CH35">
        <f>IF($V$4="",1,--(OR(SUMPRODUCT(--(TRIM(MID(SUBSTITUTE(SUBSTITUTE($V$4,"/",","),",",REPT(" ",99)),(ROW($1:$8)-1)*99+1,99))&lt;&gt;""),--ISNUMBER(SEARCH(TRIM(MID(SUBSTITUTE(SUBSTITUTE($V$4,"/",","),",",REPT(" ",99)),(ROW($1:$8)-1)*99+1,99)),IFERROR(('Final Calculation Sheet'!$U$34)&amp;"",""))))&gt;0,AND(ISNUMBER(SEARCH("blank",$V$4)),NOT(ISNUMBER(SEARCH("nonblank",$V$4))),IFERROR(('Final Calculation Sheet'!$U$34)&amp;"","")=""),AND(OR(ISNUMBER(SEARCH("nonblank",$V$4)),ISNUMBER(SEARCH("&lt;&gt;",$V$4))),IFERROR(('Final Calculation Sheet'!$U$34)&amp;"","")&lt;&gt;""),AND(TRIM($V$4)="",IFERROR(('Final Calculation Sheet'!$U$34)&amp;"","")=""))))</f>
        <v/>
      </c>
      <c r="CI35">
        <f>IF($W$4="",1,--(OR(SUMPRODUCT(--(TRIM(MID(SUBSTITUTE(SUBSTITUTE($W$4,"/",","),",",REPT(" ",99)),(ROW($1:$8)-1)*99+1,99))&lt;&gt;""),--ISNUMBER(SEARCH(TRIM(MID(SUBSTITUTE(SUBSTITUTE($W$4,"/",","),",",REPT(" ",99)),(ROW($1:$8)-1)*99+1,99)),IFERROR(('Final Calculation Sheet'!$V$34)&amp;"",""))))&gt;0,AND(ISNUMBER(SEARCH("blank",$W$4)),NOT(ISNUMBER(SEARCH("nonblank",$W$4))),IFERROR(('Final Calculation Sheet'!$V$34)&amp;"","")=""),AND(OR(ISNUMBER(SEARCH("nonblank",$W$4)),ISNUMBER(SEARCH("&lt;&gt;",$W$4))),IFERROR(('Final Calculation Sheet'!$V$34)&amp;"","")&lt;&gt;""),AND(TRIM($W$4)="",IFERROR(('Final Calculation Sheet'!$V$34)&amp;"","")=""))))</f>
        <v/>
      </c>
      <c r="CJ35">
        <f>IF($X$4="",1,--(OR(SUMPRODUCT(--(TRIM(MID(SUBSTITUTE(SUBSTITUTE($X$4,"/",","),",",REPT(" ",99)),(ROW($1:$8)-1)*99+1,99))&lt;&gt;""),--ISNUMBER(SEARCH(TRIM(MID(SUBSTITUTE(SUBSTITUTE($X$4,"/",","),",",REPT(" ",99)),(ROW($1:$8)-1)*99+1,99)),IFERROR(('Final Calculation Sheet'!$W$34)&amp;"",""))))&gt;0,AND(ISNUMBER(SEARCH("blank",$X$4)),NOT(ISNUMBER(SEARCH("nonblank",$X$4))),IFERROR(('Final Calculation Sheet'!$W$34)&amp;"","")=""),AND(OR(ISNUMBER(SEARCH("nonblank",$X$4)),ISNUMBER(SEARCH("&lt;&gt;",$X$4))),IFERROR(('Final Calculation Sheet'!$W$34)&amp;"","")&lt;&gt;""),AND(TRIM($X$4)="",IFERROR(('Final Calculation Sheet'!$W$34)&amp;"","")=""))))</f>
        <v/>
      </c>
      <c r="CK35">
        <f>IF($Y$4="",1,--(OR(SUMPRODUCT(--(TRIM(MID(SUBSTITUTE(SUBSTITUTE($Y$4,"/",","),",",REPT(" ",99)),(ROW($1:$8)-1)*99+1,99))&lt;&gt;""),--ISNUMBER(SEARCH(TRIM(MID(SUBSTITUTE(SUBSTITUTE($Y$4,"/",","),",",REPT(" ",99)),(ROW($1:$8)-1)*99+1,99)),IFERROR(('Final Calculation Sheet'!$X$34)&amp;"",""))))&gt;0,AND(ISNUMBER(SEARCH("blank",$Y$4)),NOT(ISNUMBER(SEARCH("nonblank",$Y$4))),IFERROR(('Final Calculation Sheet'!$X$34)&amp;"","")=""),AND(OR(ISNUMBER(SEARCH("nonblank",$Y$4)),ISNUMBER(SEARCH("&lt;&gt;",$Y$4))),IFERROR(('Final Calculation Sheet'!$X$34)&amp;"","")&lt;&gt;""),AND(TRIM($Y$4)="",IFERROR(('Final Calculation Sheet'!$X$34)&amp;"","")=""))))</f>
        <v/>
      </c>
      <c r="CL35">
        <f>IF($Z$4="",1,--(OR(SUMPRODUCT(--(TRIM(MID(SUBSTITUTE(SUBSTITUTE($Z$4,"/",","),",",REPT(" ",99)),(ROW($1:$8)-1)*99+1,99))&lt;&gt;""),--ISNUMBER(SEARCH(TRIM(MID(SUBSTITUTE(SUBSTITUTE($Z$4,"/",","),",",REPT(" ",99)),(ROW($1:$8)-1)*99+1,99)),IFERROR(('Final Calculation Sheet'!$Y$34)&amp;"",""))))&gt;0,AND(ISNUMBER(SEARCH("blank",$Z$4)),NOT(ISNUMBER(SEARCH("nonblank",$Z$4))),IFERROR(('Final Calculation Sheet'!$Y$34)&amp;"","")=""),AND(OR(ISNUMBER(SEARCH("nonblank",$Z$4)),ISNUMBER(SEARCH("&lt;&gt;",$Z$4))),IFERROR(('Final Calculation Sheet'!$Y$34)&amp;"","")&lt;&gt;""),AND(TRIM($Z$4)="",IFERROR(('Final Calculation Sheet'!$Y$34)&amp;"","")=""))))</f>
        <v/>
      </c>
      <c r="CM35">
        <f>IF($AA$4="",1,--(OR(SUMPRODUCT(--(TRIM(MID(SUBSTITUTE(SUBSTITUTE($AA$4,"/",","),",",REPT(" ",99)),(ROW($1:$8)-1)*99+1,99))&lt;&gt;""),--ISNUMBER(SEARCH(TRIM(MID(SUBSTITUTE(SUBSTITUTE($AA$4,"/",","),",",REPT(" ",99)),(ROW($1:$8)-1)*99+1,99)),IFERROR(('Final Calculation Sheet'!$Z$34)&amp;"",""))))&gt;0,AND(ISNUMBER(SEARCH("blank",$AA$4)),NOT(ISNUMBER(SEARCH("nonblank",$AA$4))),IFERROR(('Final Calculation Sheet'!$Z$34)&amp;"","")=""),AND(OR(ISNUMBER(SEARCH("nonblank",$AA$4)),ISNUMBER(SEARCH("&lt;&gt;",$AA$4))),IFERROR(('Final Calculation Sheet'!$Z$34)&amp;"","")&lt;&gt;""),AND(TRIM($AA$4)="",IFERROR(('Final Calculation Sheet'!$Z$34)&amp;"","")=""))))</f>
        <v/>
      </c>
      <c r="CN35">
        <f>IF($AB$4="",1,--(OR(SUMPRODUCT(--(TRIM(MID(SUBSTITUTE(SUBSTITUTE($AB$4,"/",","),",",REPT(" ",99)),(ROW($1:$8)-1)*99+1,99))&lt;&gt;""),--ISNUMBER(SEARCH(TRIM(MID(SUBSTITUTE(SUBSTITUTE($AB$4,"/",","),",",REPT(" ",99)),(ROW($1:$8)-1)*99+1,99)),IFERROR(('Final Calculation Sheet'!$AA$34)&amp;"",""))))&gt;0,AND(ISNUMBER(SEARCH("blank",$AB$4)),NOT(ISNUMBER(SEARCH("nonblank",$AB$4))),IFERROR(('Final Calculation Sheet'!$AA$34)&amp;"","")=""),AND(OR(ISNUMBER(SEARCH("nonblank",$AB$4)),ISNUMBER(SEARCH("&lt;&gt;",$AB$4))),IFERROR(('Final Calculation Sheet'!$AA$34)&amp;"","")&lt;&gt;""),AND(TRIM($AB$4)="",IFERROR(('Final Calculation Sheet'!$AA$34)&amp;"","")=""))))</f>
        <v/>
      </c>
      <c r="CO35">
        <f>IF($AC$4="",1,--(OR(SUMPRODUCT(--(TRIM(MID(SUBSTITUTE(SUBSTITUTE($AC$4,"/",","),",",REPT(" ",99)),(ROW($1:$8)-1)*99+1,99))&lt;&gt;""),--ISNUMBER(SEARCH(TRIM(MID(SUBSTITUTE(SUBSTITUTE($AC$4,"/",","),",",REPT(" ",99)),(ROW($1:$8)-1)*99+1,99)),IFERROR(('Final Calculation Sheet'!$AB$34)&amp;"",""))))&gt;0,AND(ISNUMBER(SEARCH("blank",$AC$4)),NOT(ISNUMBER(SEARCH("nonblank",$AC$4))),IFERROR(('Final Calculation Sheet'!$AB$34)&amp;"","")=""),AND(OR(ISNUMBER(SEARCH("nonblank",$AC$4)),ISNUMBER(SEARCH("&lt;&gt;",$AC$4))),IFERROR(('Final Calculation Sheet'!$AB$34)&amp;"","")&lt;&gt;""),AND(TRIM($AC$4)="",IFERROR(('Final Calculation Sheet'!$AB$34)&amp;"","")=""))))</f>
        <v/>
      </c>
      <c r="CP35">
        <f>IF($AD$4="",1,--(OR(SUMPRODUCT(--(TRIM(MID(SUBSTITUTE(SUBSTITUTE($AD$4,"/",","),",",REPT(" ",99)),(ROW($1:$8)-1)*99+1,99))&lt;&gt;""),--ISNUMBER(SEARCH(TRIM(MID(SUBSTITUTE(SUBSTITUTE($AD$4,"/",","),",",REPT(" ",99)),(ROW($1:$8)-1)*99+1,99)),IFERROR(('Final Calculation Sheet'!$AC$34)&amp;"",""))))&gt;0,AND(ISNUMBER(SEARCH("blank",$AD$4)),NOT(ISNUMBER(SEARCH("nonblank",$AD$4))),IFERROR(('Final Calculation Sheet'!$AC$34)&amp;"","")=""),AND(OR(ISNUMBER(SEARCH("nonblank",$AD$4)),ISNUMBER(SEARCH("&lt;&gt;",$AD$4))),IFERROR(('Final Calculation Sheet'!$AC$34)&amp;"","")&lt;&gt;""),AND(TRIM($AD$4)="",IFERROR(('Final Calculation Sheet'!$AC$34)&amp;"","")=""))))</f>
        <v/>
      </c>
      <c r="CQ35">
        <f>IF($AE$4="",1,--(OR(SUMPRODUCT(--(TRIM(MID(SUBSTITUTE(SUBSTITUTE($AE$4,"/",","),",",REPT(" ",99)),(ROW($1:$8)-1)*99+1,99))&lt;&gt;""),--ISNUMBER(SEARCH(TRIM(MID(SUBSTITUTE(SUBSTITUTE($AE$4,"/",","),",",REPT(" ",99)),(ROW($1:$8)-1)*99+1,99)),IFERROR(('Final Calculation Sheet'!$AD$34)&amp;"",""))))&gt;0,AND(ISNUMBER(SEARCH("blank",$AE$4)),NOT(ISNUMBER(SEARCH("nonblank",$AE$4))),IFERROR(('Final Calculation Sheet'!$AD$34)&amp;"","")=""),AND(OR(ISNUMBER(SEARCH("nonblank",$AE$4)),ISNUMBER(SEARCH("&lt;&gt;",$AE$4))),IFERROR(('Final Calculation Sheet'!$AD$34)&amp;"","")&lt;&gt;""),AND(TRIM($AE$4)="",IFERROR(('Final Calculation Sheet'!$AD$34)&amp;"","")=""))))</f>
        <v/>
      </c>
      <c r="CR35">
        <f>IF($AG$4="",1,--(OR(SUMPRODUCT(--(TRIM(MID(SUBSTITUTE(SUBSTITUTE($AG$4,"/",","),",",REPT(" ",99)),(ROW($1:$8)-1)*99+1,99))&lt;&gt;""),--ISNUMBER(SEARCH(TRIM(MID(SUBSTITUTE(SUBSTITUTE($AG$4,"/",","),",",REPT(" ",99)),(ROW($1:$8)-1)*99+1,99)),IFERROR(('Final Calculation Sheet'!$AF$34)&amp;"",""))))&gt;0,AND(ISNUMBER(SEARCH("blank",$AG$4)),NOT(ISNUMBER(SEARCH("nonblank",$AG$4))),IFERROR(('Final Calculation Sheet'!$AF$34)&amp;"","")=""),AND(OR(ISNUMBER(SEARCH("nonblank",$AG$4)),ISNUMBER(SEARCH("&lt;&gt;",$AG$4))),IFERROR(('Final Calculation Sheet'!$AF$34)&amp;"","")&lt;&gt;""),AND(TRIM($AG$4)="",IFERROR(('Final Calculation Sheet'!$AF$34)&amp;"","")=""))))</f>
        <v/>
      </c>
      <c r="CS35">
        <f>IF($AH$4="",1,--(OR(SUMPRODUCT(--(TRIM(MID(SUBSTITUTE(SUBSTITUTE($AH$4,"/",","),",",REPT(" ",99)),(ROW($1:$8)-1)*99+1,99))&lt;&gt;""),--ISNUMBER(SEARCH(TRIM(MID(SUBSTITUTE(SUBSTITUTE($AH$4,"/",","),",",REPT(" ",99)),(ROW($1:$8)-1)*99+1,99)),IFERROR(('Final Calculation Sheet'!$AG$34)&amp;"",""))))&gt;0,AND(ISNUMBER(SEARCH("blank",$AH$4)),NOT(ISNUMBER(SEARCH("nonblank",$AH$4))),IFERROR(('Final Calculation Sheet'!$AG$34)&amp;"","")=""),AND(OR(ISNUMBER(SEARCH("nonblank",$AH$4)),ISNUMBER(SEARCH("&lt;&gt;",$AH$4))),IFERROR(('Final Calculation Sheet'!$AG$34)&amp;"","")&lt;&gt;""),AND(TRIM($AH$4)="",IFERROR(('Final Calculation Sheet'!$AG$34)&amp;"","")=""))))</f>
        <v/>
      </c>
      <c r="CT35">
        <f>IF($AI$4="",1,--(OR(SUMPRODUCT(--(TRIM(MID(SUBSTITUTE(SUBSTITUTE($AI$4,"/",","),",",REPT(" ",99)),(ROW($1:$8)-1)*99+1,99))&lt;&gt;""),--ISNUMBER(SEARCH(TRIM(MID(SUBSTITUTE(SUBSTITUTE($AI$4,"/",","),",",REPT(" ",99)),(ROW($1:$8)-1)*99+1,99)),IFERROR(('Final Calculation Sheet'!$AH$34)&amp;"",""))))&gt;0,AND(ISNUMBER(SEARCH("blank",$AI$4)),NOT(ISNUMBER(SEARCH("nonblank",$AI$4))),IFERROR(('Final Calculation Sheet'!$AH$34)&amp;"","")=""),AND(OR(ISNUMBER(SEARCH("nonblank",$AI$4)),ISNUMBER(SEARCH("&lt;&gt;",$AI$4))),IFERROR(('Final Calculation Sheet'!$AH$34)&amp;"","")&lt;&gt;""),AND(TRIM($AI$4)="",IFERROR(('Final Calculation Sheet'!$AH$34)&amp;"","")=""))))</f>
        <v/>
      </c>
      <c r="CU35">
        <f>IF($AF$4="",1,--(OR(SUMPRODUCT(--(TRIM(MID(SUBSTITUTE(SUBSTITUTE($AF$4,"/",","),",",REPT(" ",99)),(ROW($1:$8)-1)*99+1,99))&lt;&gt;""),--ISNUMBER(SEARCH(TRIM(MID(SUBSTITUTE(SUBSTITUTE($AF$4,"/",","),",",REPT(" ",99)),(ROW($1:$8)-1)*99+1,99)),IFERROR((IF('Final Calculation Sheet'!$AD$34&lt;=5,"SETTLED","OUTSTANDING"))&amp;"",""))))&gt;0,AND(ISNUMBER(SEARCH("blank",$AF$4)),NOT(ISNUMBER(SEARCH("nonblank",$AF$4))),IFERROR((IF('Final Calculation Sheet'!$AD$34&lt;=5,"SETTLED","OUTSTANDING"))&amp;"","")=""),AND(OR(ISNUMBER(SEARCH("nonblank",$AF$4)),ISNUMBER(SEARCH("&lt;&gt;",$AF$4))),IFERROR((IF('Final Calculation Sheet'!$AD$34&lt;=5,"SETTLED","OUTSTANDING"))&amp;"","")&lt;&gt;""),AND(TRIM($AF$4)="",IFERROR((IF('Final Calculation Sheet'!$AD$34&lt;=5,"SETTLED","OUTSTANDING"))&amp;"","")=""))))</f>
        <v/>
      </c>
    </row>
    <row r="36" ht="15" customHeight="1" s="137">
      <c r="A36" s="67">
        <f>IF($BJ35&gt;0,INDEX($BA$5:$BA$41,MATCH(35,$BB$5:$BB$41,0)),IF(OR($BI35=1,$BL35=1,$BH35&gt;0),"∑",""))</f>
        <v/>
      </c>
      <c r="B36" s="76">
        <f>IF($BJ35&gt;0,IF(INDEX('Final Calculation Sheet'!$F$4:$F$40,$BJ35-3)="","",INDEX('Final Calculation Sheet'!$F$4:$F$40,$BJ35-3)),"")</f>
        <v/>
      </c>
      <c r="C36" s="76">
        <f>IF($BJ35&gt;0,IF(INDEX('Final Calculation Sheet'!$G$4:$G$40,$BJ35-3)="","",INDEX('Final Calculation Sheet'!$G$4:$G$40,$BJ35-3)),IF(OR($BI35=1,$BL35=1,$BH35&gt;0),IF($BI35=1,37,IF($BL35=1,37-INDEX($BD$4:$BD$13,10),INDEX($BD$4:$BD$13,$BH35)))&amp;" lot(s)",""))</f>
        <v/>
      </c>
      <c r="D36" s="80">
        <f>IF($BJ35&gt;0,IF(INDEX('Final Calculation Sheet'!$B$4:$B$40,$BJ35-3)="","",INDEX('Final Calculation Sheet'!$B$4:$B$40,$BJ35-3)),IF(OR($BI35=1,$BL35=1,$BH35&gt;0),IF($BI35=1,"GRAND TOTAL  —  matching + remaining",IF($BL35=1,"TOTAL MATCHED  —  every group together",IF($BH35=10,"REMAINING  —  did not match the search",IF($BH35=9,IF(COUNTIF($A$4:$AI$4,"&lt;&gt;")&gt;0,"FILTERED LOTS  —  column fields","ALL LOTS  —  nothing typed in the box"),"GROUP "&amp;$BH35&amp;" TOTAL  —  lots matching  "&amp;INDEX($AR$6:$AY$6,$BH35))))),""))</f>
        <v/>
      </c>
      <c r="E36" s="80">
        <f>IF($BJ35&gt;0,IF(INDEX('Final Calculation Sheet'!$D$4:$D$40,$BJ35-3)="","",INDEX('Final Calculation Sheet'!$D$4:$D$40,$BJ35-3)),IF(OR($BI35=1,$BL35=1,$BH35&gt;0),"–",""))</f>
        <v/>
      </c>
      <c r="F36" s="80">
        <f>IF($BJ35&gt;0,IF(INDEX('Final Calculation Sheet'!$A$4:$A$40,$BJ35-3)="","",INDEX('Final Calculation Sheet'!$A$4:$A$40,$BJ35-3)),IF(OR($BI35=1,$BL35=1,$BH35&gt;0),IF($BI35=1,SUM('Final Calculation Sheet'!$A$4:$A$40),IF($BL35=1,SUM('Final Calculation Sheet'!$A$4:$A$40)-SUMIFS('Final Calculation Sheet'!$A$4:$A$40,$AZ$5:$AZ$41,10),SUMIFS('Final Calculation Sheet'!$A$4:$A$40,$AZ$5:$AZ$41,$BH35))),""))</f>
        <v/>
      </c>
      <c r="G36" s="80">
        <f>IF($BJ35&gt;0,IF(INDEX('Final Calculation Sheet'!$E$4:$E$40,$BJ35-3)="","",INDEX('Final Calculation Sheet'!$E$4:$E$40,$BJ35-3)),IF(OR($BI35=1,$BL35=1,$BH35&gt;0),"–",""))</f>
        <v/>
      </c>
      <c r="H36" s="70">
        <f>IF($BJ35&gt;0,IF(INDEX('Final Calculation Sheet'!$C$4:$C$40,$BJ35-3)="","",INDEX('Final Calculation Sheet'!$C$4:$C$40,$BJ35-3)),IF(OR($BI35=1,$BL35=1,$BH35&gt;0),"–",""))</f>
        <v/>
      </c>
      <c r="I36" s="70">
        <f>IF($BJ35&gt;0,IF(INDEX('Final Calculation Sheet'!$H$4:$H$40,$BJ35-3)="","",INDEX('Final Calculation Sheet'!$H$4:$H$40,$BJ35-3)),IF(OR($BI35=1,$BL35=1,$BH35&gt;0),IF($BI35=1,SUM('Final Calculation Sheet'!$H$4:$H$40),IF($BL35=1,SUM('Final Calculation Sheet'!$H$4:$H$40)-SUMIFS('Final Calculation Sheet'!$H$4:$H$40,$AZ$5:$AZ$41,10),SUMIFS('Final Calculation Sheet'!$H$4:$H$40,$AZ$5:$AZ$41,$BH35))),""))</f>
        <v/>
      </c>
      <c r="J36" s="70">
        <f>IF($BJ35&gt;0,IF(INDEX('Final Calculation Sheet'!$I$4:$I$40,$BJ35-3)="","",INDEX('Final Calculation Sheet'!$I$4:$I$40,$BJ35-3)),IF(OR($BI35=1,$BL35=1,$BH35&gt;0),IF($BI35=1,SUM('Final Calculation Sheet'!$I$4:$I$40),IF($BL35=1,SUM('Final Calculation Sheet'!$I$4:$I$40)-SUMIFS('Final Calculation Sheet'!$I$4:$I$40,$AZ$5:$AZ$41,10),SUMIFS('Final Calculation Sheet'!$I$4:$I$40,$AZ$5:$AZ$41,$BH35))),""))</f>
        <v/>
      </c>
      <c r="K36" s="70">
        <f>IF($BJ35&gt;0,IF(INDEX('Final Calculation Sheet'!$J$4:$J$40,$BJ35-3)="","",INDEX('Final Calculation Sheet'!$J$4:$J$40,$BJ35-3)),IF(OR($BI35=1,$BL35=1,$BH35&gt;0),IF($BI35=1,SUM('Final Calculation Sheet'!$J$4:$J$40),IF($BL35=1,SUM('Final Calculation Sheet'!$J$4:$J$40)-SUMIFS('Final Calculation Sheet'!$J$4:$J$40,$AZ$5:$AZ$41,10),SUMIFS('Final Calculation Sheet'!$J$4:$J$40,$AZ$5:$AZ$41,$BH35))),""))</f>
        <v/>
      </c>
      <c r="L36" s="70">
        <f>IF($BJ35&gt;0,IF(INDEX('Final Calculation Sheet'!$K$4:$K$40,$BJ35-3)="","",INDEX('Final Calculation Sheet'!$K$4:$K$40,$BJ35-3)),IF(OR($BI35=1,$BL35=1,$BH35&gt;0),IF($BI35=1,SUM('Final Calculation Sheet'!$K$4:$K$40),IF($BL35=1,SUM('Final Calculation Sheet'!$K$4:$K$40)-SUMIFS('Final Calculation Sheet'!$K$4:$K$40,$AZ$5:$AZ$41,10),SUMIFS('Final Calculation Sheet'!$K$4:$K$40,$AZ$5:$AZ$41,$BH35))),""))</f>
        <v/>
      </c>
      <c r="M36" s="70">
        <f>IF($BJ35&gt;0,IF(INDEX('Final Calculation Sheet'!$L$4:$L$40,$BJ35-3)="","",INDEX('Final Calculation Sheet'!$L$4:$L$40,$BJ35-3)),IF(OR($BI35=1,$BL35=1,$BH35&gt;0),IF($BI35=1,SUM('Final Calculation Sheet'!$L$4:$L$40),IF($BL35=1,SUM('Final Calculation Sheet'!$L$4:$L$40)-SUMIFS('Final Calculation Sheet'!$L$4:$L$40,$AZ$5:$AZ$41,10),SUMIFS('Final Calculation Sheet'!$L$4:$L$40,$AZ$5:$AZ$41,$BH35))),""))</f>
        <v/>
      </c>
      <c r="N36" s="70">
        <f>IF($BJ35&gt;0,IF(INDEX('Final Calculation Sheet'!$M$4:$M$40,$BJ35-3)="","",INDEX('Final Calculation Sheet'!$M$4:$M$40,$BJ35-3)),IF(OR($BI35=1,$BL35=1,$BH35&gt;0),IF($BI35=1,SUM('Final Calculation Sheet'!$M$4:$M$40),IF($BL35=1,SUM('Final Calculation Sheet'!$M$4:$M$40)-SUMIFS('Final Calculation Sheet'!$M$4:$M$40,$AZ$5:$AZ$41,10),SUMIFS('Final Calculation Sheet'!$M$4:$M$40,$AZ$5:$AZ$41,$BH35))),""))</f>
        <v/>
      </c>
      <c r="O36" s="71">
        <f>IF($BJ35&gt;0,IF(INDEX('Final Calculation Sheet'!$N$4:$N$40,$BJ35-3)="","",INDEX('Final Calculation Sheet'!$N$4:$N$40,$BJ35-3)),IF(OR($BI35=1,$BL35=1,$BH35&gt;0),IF($BI35=1,SUM('Final Calculation Sheet'!$N$4:$N$40),IF($BL35=1,SUM('Final Calculation Sheet'!$N$4:$N$40)-SUMIFS('Final Calculation Sheet'!$N$4:$N$40,$AZ$5:$AZ$41,10),SUMIFS('Final Calculation Sheet'!$N$4:$N$40,$AZ$5:$AZ$41,$BH35))),""))</f>
        <v/>
      </c>
      <c r="P36" s="70">
        <f>IF($BJ35&gt;0,IF(INDEX('Final Calculation Sheet'!$O$4:$O$40,$BJ35-3)="","",INDEX('Final Calculation Sheet'!$O$4:$O$40,$BJ35-3)),IF(OR($BI35=1,$BL35=1,$BH35&gt;0),IF($BI35=1,SUM('Final Calculation Sheet'!$O$4:$O$40),IF($BL35=1,SUM('Final Calculation Sheet'!$O$4:$O$40)-SUMIFS('Final Calculation Sheet'!$O$4:$O$40,$AZ$5:$AZ$41,10),SUMIFS('Final Calculation Sheet'!$O$4:$O$40,$AZ$5:$AZ$41,$BH35))),""))</f>
        <v/>
      </c>
      <c r="Q36" s="70">
        <f>IF($BJ35&gt;0,IF(INDEX('Final Calculation Sheet'!$P$4:$P$40,$BJ35-3)="","",INDEX('Final Calculation Sheet'!$P$4:$P$40,$BJ35-3)),IF(OR($BI35=1,$BL35=1,$BH35&gt;0),IF($BI35=1,SUM('Final Calculation Sheet'!$P$4:$P$40),IF($BL35=1,SUM('Final Calculation Sheet'!$P$4:$P$40)-SUMIFS('Final Calculation Sheet'!$P$4:$P$40,$AZ$5:$AZ$41,10),SUMIFS('Final Calculation Sheet'!$P$4:$P$40,$AZ$5:$AZ$41,$BH35))),""))</f>
        <v/>
      </c>
      <c r="R36" s="72">
        <f>IF($BJ35&gt;0,IF(INDEX('Final Calculation Sheet'!$Q$4:$Q$40,$BJ35-3)="","",INDEX('Final Calculation Sheet'!$Q$4:$Q$40,$BJ35-3)),IF(OR($BI35=1,$BL35=1,$BH35&gt;0),"–",""))</f>
        <v/>
      </c>
      <c r="S36" s="70">
        <f>IF($BJ35&gt;0,IF(INDEX('Final Calculation Sheet'!$R$4:$R$40,$BJ35-3)="","",INDEX('Final Calculation Sheet'!$R$4:$R$40,$BJ35-3)),IF(OR($BI35=1,$BL35=1,$BH35&gt;0),IF($BI35=1,SUM('Final Calculation Sheet'!$R$4:$R$40),IF($BL35=1,SUM('Final Calculation Sheet'!$R$4:$R$40)-SUMIFS('Final Calculation Sheet'!$R$4:$R$40,$AZ$5:$AZ$41,10),SUMIFS('Final Calculation Sheet'!$R$4:$R$40,$AZ$5:$AZ$41,$BH35))),""))</f>
        <v/>
      </c>
      <c r="T36" s="70">
        <f>IF($BJ35&gt;0,IF(INDEX('Final Calculation Sheet'!$S$4:$S$40,$BJ35-3)="","",INDEX('Final Calculation Sheet'!$S$4:$S$40,$BJ35-3)),IF(OR($BI35=1,$BL35=1,$BH35&gt;0),IF($BI35=1,SUM('Final Calculation Sheet'!$S$4:$S$40),IF($BL35=1,SUM('Final Calculation Sheet'!$S$4:$S$40)-SUMIFS('Final Calculation Sheet'!$S$4:$S$40,$AZ$5:$AZ$41,10),SUMIFS('Final Calculation Sheet'!$S$4:$S$40,$AZ$5:$AZ$41,$BH35))),""))</f>
        <v/>
      </c>
      <c r="U36" s="70">
        <f>IF($BJ35&gt;0,IF(INDEX('Final Calculation Sheet'!$T$4:$T$40,$BJ35-3)="","",INDEX('Final Calculation Sheet'!$T$4:$T$40,$BJ35-3)),IF(OR($BI35=1,$BL35=1,$BH35&gt;0),IF($BI35=1,SUM('Final Calculation Sheet'!$T$4:$T$40),IF($BL35=1,SUM('Final Calculation Sheet'!$T$4:$T$40)-SUMIFS('Final Calculation Sheet'!$T$4:$T$40,$AZ$5:$AZ$41,10),SUMIFS('Final Calculation Sheet'!$T$4:$T$40,$AZ$5:$AZ$41,$BH35))),""))</f>
        <v/>
      </c>
      <c r="V36" s="73">
        <f>IF($BJ35&gt;0,IF(INDEX('Final Calculation Sheet'!$U$4:$U$40,$BJ35-3)="","",INDEX('Final Calculation Sheet'!$U$4:$U$40,$BJ35-3)),IF(OR($BI35=1,$BL35=1,$BH35&gt;0),IF($BI35=1,SUM('Final Calculation Sheet'!$U$4:$U$40),IF($BL35=1,SUM('Final Calculation Sheet'!$U$4:$U$40)-SUMIFS('Final Calculation Sheet'!$U$4:$U$40,$AZ$5:$AZ$41,10),SUMIFS('Final Calculation Sheet'!$U$4:$U$40,$AZ$5:$AZ$41,$BH35))),""))</f>
        <v/>
      </c>
      <c r="W36" s="70">
        <f>IF($BJ35&gt;0,IF(INDEX('Final Calculation Sheet'!$V$4:$V$40,$BJ35-3)="","",INDEX('Final Calculation Sheet'!$V$4:$V$40,$BJ35-3)),IF(OR($BI35=1,$BL35=1,$BH35&gt;0),"–",""))</f>
        <v/>
      </c>
      <c r="X36" s="70">
        <f>IF($BJ35&gt;0,IF(INDEX('Final Calculation Sheet'!$W$4:$W$40,$BJ35-3)="","",INDEX('Final Calculation Sheet'!$W$4:$W$40,$BJ35-3)),IF(OR($BI35=1,$BL35=1,$BH35&gt;0),IF($BI35=1,SUM('Final Calculation Sheet'!$W$4:$W$40),IF($BL35=1,SUM('Final Calculation Sheet'!$W$4:$W$40)-SUMIFS('Final Calculation Sheet'!$W$4:$W$40,$AZ$5:$AZ$41,10),SUMIFS('Final Calculation Sheet'!$W$4:$W$40,$AZ$5:$AZ$41,$BH35))),""))</f>
        <v/>
      </c>
      <c r="Y36" s="70">
        <f>IF($BJ35&gt;0,IF(INDEX('Final Calculation Sheet'!$X$4:$X$40,$BJ35-3)="","",INDEX('Final Calculation Sheet'!$X$4:$X$40,$BJ35-3)),IF(OR($BI35=1,$BL35=1,$BH35&gt;0),IF($BI35=1,SUM('Final Calculation Sheet'!$X$4:$X$40),IF($BL35=1,SUM('Final Calculation Sheet'!$X$4:$X$40)-SUMIFS('Final Calculation Sheet'!$X$4:$X$40,$AZ$5:$AZ$41,10),SUMIFS('Final Calculation Sheet'!$X$4:$X$40,$AZ$5:$AZ$41,$BH35))),""))</f>
        <v/>
      </c>
      <c r="Z36" s="70">
        <f>IF($BJ35&gt;0,IF(INDEX('Final Calculation Sheet'!$Y$4:$Y$40,$BJ35-3)="","",INDEX('Final Calculation Sheet'!$Y$4:$Y$40,$BJ35-3)),IF(OR($BI35=1,$BL35=1,$BH35&gt;0),"–",""))</f>
        <v/>
      </c>
      <c r="AA36" s="70">
        <f>IF($BJ35&gt;0,IF(INDEX('Final Calculation Sheet'!$Z$4:$Z$40,$BJ35-3)="","",INDEX('Final Calculation Sheet'!$Z$4:$Z$40,$BJ35-3)),IF(OR($BI35=1,$BL35=1,$BH35&gt;0),IF($BI35=1,SUM('Final Calculation Sheet'!$Z$4:$Z$40),IF($BL35=1,SUM('Final Calculation Sheet'!$Z$4:$Z$40)-SUMIFS('Final Calculation Sheet'!$Z$4:$Z$40,$AZ$5:$AZ$41,10),SUMIFS('Final Calculation Sheet'!$Z$4:$Z$40,$AZ$5:$AZ$41,$BH35))),""))</f>
        <v/>
      </c>
      <c r="AB36" s="70">
        <f>IF($BJ35&gt;0,IF(INDEX('Final Calculation Sheet'!$AA$4:$AA$40,$BJ35-3)="","",INDEX('Final Calculation Sheet'!$AA$4:$AA$40,$BJ35-3)),IF(OR($BI35=1,$BL35=1,$BH35&gt;0),IF($BI35=1,SUM('Final Calculation Sheet'!$AA$4:$AA$40),IF($BL35=1,SUM('Final Calculation Sheet'!$AA$4:$AA$40)-SUMIFS('Final Calculation Sheet'!$AA$4:$AA$40,$AZ$5:$AZ$41,10),SUMIFS('Final Calculation Sheet'!$AA$4:$AA$40,$AZ$5:$AZ$41,$BH35))),""))</f>
        <v/>
      </c>
      <c r="AC36" s="70">
        <f>IF($BJ35&gt;0,IF(INDEX('Final Calculation Sheet'!$AB$4:$AB$40,$BJ35-3)="","",INDEX('Final Calculation Sheet'!$AB$4:$AB$40,$BJ35-3)),IF(OR($BI35=1,$BL35=1,$BH35&gt;0),"–",""))</f>
        <v/>
      </c>
      <c r="AD36" s="70">
        <f>IF($BJ35&gt;0,IF(INDEX('Final Calculation Sheet'!$AC$4:$AC$40,$BJ35-3)="","",INDEX('Final Calculation Sheet'!$AC$4:$AC$40,$BJ35-3)),IF(OR($BI35=1,$BL35=1,$BH35&gt;0),IF($BI35=1,SUM('Final Calculation Sheet'!$AC$4:$AC$40),IF($BL35=1,SUM('Final Calculation Sheet'!$AC$4:$AC$40)-SUMIFS('Final Calculation Sheet'!$AC$4:$AC$40,$AZ$5:$AZ$41,10),SUMIFS('Final Calculation Sheet'!$AC$4:$AC$40,$AZ$5:$AZ$41,$BH35))),""))</f>
        <v/>
      </c>
      <c r="AE36" s="70">
        <f>IF($BJ35&gt;0,IF(INDEX('Final Calculation Sheet'!$AD$4:$AD$40,$BJ35-3)="","",INDEX('Final Calculation Sheet'!$AD$4:$AD$40,$BJ35-3)),IF(OR($BI35=1,$BL35=1,$BH35&gt;0),IF($BI35=1,SUM('Final Calculation Sheet'!$AD$4:$AD$40),IF($BL35=1,SUM('Final Calculation Sheet'!$AD$4:$AD$40)-SUMIFS('Final Calculation Sheet'!$AD$4:$AD$40,$AZ$5:$AZ$41,10),SUMIFS('Final Calculation Sheet'!$AD$4:$AD$40,$AZ$5:$AZ$41,$BH35))),""))</f>
        <v/>
      </c>
      <c r="AF36" s="75">
        <f>IF($BJ35&gt;0,IF(INDEX('Final Calculation Sheet'!$AD$4:$AD$40,$BJ35-3)="","",IF(INDEX('Final Calculation Sheet'!$AD$4:$AD$40,$BJ35-3)&lt;=5,"SETTLED","OUTSTANDING")),IF(OR($BI35=1,$BL35=1,$BH35&gt;0),IF(IF($BI35=1,SUM('Final Calculation Sheet'!$AD$4:$AD$40),IF($BL35=1,SUM('Final Calculation Sheet'!$AD$4:$AD$40)-SUMIFS('Final Calculation Sheet'!$AD$4:$AD$40,$AZ$5:$AZ$41,10),SUMIFS('Final Calculation Sheet'!$AD$4:$AD$40,$AZ$5:$AZ$41,$BH35)))&lt;=5,"ALL SETTLED","OUTSTANDING"),""))</f>
        <v/>
      </c>
      <c r="AG36" s="70">
        <f>IF($BJ35&gt;0,IF(INDEX('Final Calculation Sheet'!$AF$4:$AF$40,$BJ35-3)="","",INDEX('Final Calculation Sheet'!$AF$4:$AF$40,$BJ35-3)),IF(OR($BI35=1,$BL35=1,$BH35&gt;0),"–",""))</f>
        <v/>
      </c>
      <c r="AH36" s="74">
        <f>IF($BJ35&gt;0,IF(INDEX('Final Calculation Sheet'!$AG$4:$AG$40,$BJ35-3)="","",INDEX('Final Calculation Sheet'!$AG$4:$AG$40,$BJ35-3)),IF(OR($BI35=1,$BL35=1,$BH35&gt;0),"–",""))</f>
        <v/>
      </c>
      <c r="AI36" s="70">
        <f>IF($BJ35&gt;0,IF(INDEX('Final Calculation Sheet'!$AH$4:$AH$40,$BJ35-3)="","",INDEX('Final Calculation Sheet'!$AH$4:$AH$40,$BJ35-3)),IF(OR($BI35=1,$BL35=1,$BH35&gt;0),"–",""))</f>
        <v/>
      </c>
      <c r="AK36">
        <f>IF($F$3="Lot No.",'Final Calculation Sheet'!$F$35,IF($F$3="Buyer",'Final Calculation Sheet'!$G$35,IF($F$3="Lot Name",'Final Calculation Sheet'!$B$35,IF($F$3="Bid Sheet",'Final Calculation Sheet'!$D$35,IF($F$3="Unit",'Final Calculation Sheet'!$E$35,'Final Calculation Sheet'!$F$35&amp;" "&amp;'Final Calculation Sheet'!$G$35&amp;" "&amp;'Final Calculation Sheet'!$B$35)))))</f>
        <v/>
      </c>
      <c r="AL36">
        <f>AL35+IF($B$3="",0,--(SUMPRODUCT(--($AR$6:$AY$6&lt;&gt;""),--ISNUMBER(SEARCH($AR$6:$AY$6,$AK36)))&gt;0))</f>
        <v/>
      </c>
      <c r="AM36">
        <f>IF(COUNTIF($BM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AZ36">
        <f>IF($B$3="",IF(COUNTIF($A$4:$AI$4,"&lt;&gt;")=0,9,IF($AM36=1,9,10)),IF($AM36=0,10,IF(AND($AR$6&lt;&gt;"",ISNUMBER(SEARCH($AR$6,$AK36))),1,IF(AND($AS$6&lt;&gt;"",ISNUMBER(SEARCH($AS$6,$AK36))),2,IF(AND($AT$6&lt;&gt;"",ISNUMBER(SEARCH($AT$6,$AK36))),3,IF(AND($AU$6&lt;&gt;"",ISNUMBER(SEARCH($AU$6,$AK36))),4,IF(AND($AV$6&lt;&gt;"",ISNUMBER(SEARCH($AV$6,$AK36))),5,IF(AND($AW$6&lt;&gt;"",ISNUMBER(SEARCH($AW$6,$AK36))),6,IF(AND($AX$6&lt;&gt;"",ISNUMBER(SEARCH($AX$6,$AK36))),7,IF(AND($AY$6&lt;&gt;"",ISNUMBER(SEARCH($AY$6,$AK36))),8,0))))))))))</f>
        <v/>
      </c>
      <c r="BA36">
        <f>SUMPRODUCT(($AZ$5:$AZ$41=$AZ36)*($BC$5:$BC$41&lt;$BC36))+1</f>
        <v/>
      </c>
      <c r="BB36">
        <f>IF(INDEX($BF$4:$BF$13,$AZ36)=0,0,INDEX($BE$4:$BE$13,$AZ36)+$BA36-1)</f>
        <v/>
      </c>
      <c r="BC36" t="n">
        <v>35</v>
      </c>
      <c r="BH36">
        <f>IFERROR(MATCH(36,$BF$4:$BF$13,0),0)</f>
        <v/>
      </c>
      <c r="BI36">
        <f>IF(36=$BG$5,1,0)</f>
        <v/>
      </c>
      <c r="BJ36">
        <f>IF(OR($BH36&gt;0,$BI36=1,$BL36=1),0,IFERROR(INDEX($BC$5:$BC$41,MATCH(36,$BB$5:$BB$41,0)),0))</f>
        <v/>
      </c>
      <c r="BK36">
        <f>IF($BJ36&gt;0,IF(INDEX($AZ$5:$AZ$41,MATCH(36,$BB$5:$BB$41,0))=10,1,0),IF($BH36=10,1,0))</f>
        <v/>
      </c>
      <c r="BL36">
        <f>IF(36=$BG$4,1,0)</f>
        <v/>
      </c>
      <c r="BM3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6">
        <f>IF($B$4="",1,--(OR(SUMPRODUCT(--(TRIM(MID(SUBSTITUTE(SUBSTITUTE($B$4,"/",","),",",REPT(" ",99)),(ROW($1:$8)-1)*99+1,99))&lt;&gt;""),--ISNUMBER(SEARCH(TRIM(MID(SUBSTITUTE(SUBSTITUTE($B$4,"/",","),",",REPT(" ",99)),(ROW($1:$8)-1)*99+1,99)),IFERROR(('Final Calculation Sheet'!$F$35)&amp;"",""))))&gt;0,AND(ISNUMBER(SEARCH("blank",$B$4)),NOT(ISNUMBER(SEARCH("nonblank",$B$4))),IFERROR(('Final Calculation Sheet'!$F$35)&amp;"","")=""),AND(OR(ISNUMBER(SEARCH("nonblank",$B$4)),ISNUMBER(SEARCH("&lt;&gt;",$B$4))),IFERROR(('Final Calculation Sheet'!$F$35)&amp;"","")&lt;&gt;""),AND(TRIM($B$4)="",IFERROR(('Final Calculation Sheet'!$F$35)&amp;"","")=""))))</f>
        <v/>
      </c>
      <c r="BO36">
        <f>IF($CW$3="",1,--(OR(SUMPRODUCT(--(TRIM(MID(SUBSTITUTE(SUBSTITUTE($CW$3,"/",","),",",REPT(" ",99)),(ROW($1:$8)-1)*99+1,99))&lt;&gt;""),--ISNUMBER(SEARCH(TRIM(MID(SUBSTITUTE(SUBSTITUTE($CW$3,"/",","),",",REPT(" ",99)),(ROW($1:$8)-1)*99+1,99)),IFERROR(('Final Calculation Sheet'!$G$35)&amp;"",""))))&gt;0,AND(ISNUMBER(SEARCH("blank",$CW$3)),NOT(ISNUMBER(SEARCH("nonblank",$CW$3))),IFERROR(('Final Calculation Sheet'!$G$35)&amp;"","")=""),AND(OR(ISNUMBER(SEARCH("nonblank",$CW$3)),ISNUMBER(SEARCH("&lt;&gt;",$CW$3))),IFERROR(('Final Calculation Sheet'!$G$35)&amp;"","")&lt;&gt;""),AND(TRIM($CW$3)="",IFERROR(('Final Calculation Sheet'!$G$35)&amp;"","")=""))))</f>
        <v/>
      </c>
      <c r="BP36">
        <f>IF($D$4="",1,--(OR(SUMPRODUCT(--(TRIM(MID(SUBSTITUTE(SUBSTITUTE($D$4,"/",","),",",REPT(" ",99)),(ROW($1:$8)-1)*99+1,99))&lt;&gt;""),--ISNUMBER(SEARCH(TRIM(MID(SUBSTITUTE(SUBSTITUTE($D$4,"/",","),",",REPT(" ",99)),(ROW($1:$8)-1)*99+1,99)),IFERROR(('Final Calculation Sheet'!$B$35)&amp;"",""))))&gt;0,AND(ISNUMBER(SEARCH("blank",$D$4)),NOT(ISNUMBER(SEARCH("nonblank",$D$4))),IFERROR(('Final Calculation Sheet'!$B$35)&amp;"","")=""),AND(OR(ISNUMBER(SEARCH("nonblank",$D$4)),ISNUMBER(SEARCH("&lt;&gt;",$D$4))),IFERROR(('Final Calculation Sheet'!$B$35)&amp;"","")&lt;&gt;""),AND(TRIM($D$4)="",IFERROR(('Final Calculation Sheet'!$B$35)&amp;"","")=""))))</f>
        <v/>
      </c>
      <c r="BQ36">
        <f>IF($E$4="",1,--(OR(SUMPRODUCT(--(TRIM(MID(SUBSTITUTE(SUBSTITUTE($E$4,"/",","),",",REPT(" ",99)),(ROW($1:$8)-1)*99+1,99))&lt;&gt;""),--ISNUMBER(SEARCH(TRIM(MID(SUBSTITUTE(SUBSTITUTE($E$4,"/",","),",",REPT(" ",99)),(ROW($1:$8)-1)*99+1,99)),IFERROR(('Final Calculation Sheet'!$D$35)&amp;"",""))))&gt;0,AND(ISNUMBER(SEARCH("blank",$E$4)),NOT(ISNUMBER(SEARCH("nonblank",$E$4))),IFERROR(('Final Calculation Sheet'!$D$35)&amp;"","")=""),AND(OR(ISNUMBER(SEARCH("nonblank",$E$4)),ISNUMBER(SEARCH("&lt;&gt;",$E$4))),IFERROR(('Final Calculation Sheet'!$D$35)&amp;"","")&lt;&gt;""),AND(TRIM($E$4)="",IFERROR(('Final Calculation Sheet'!$D$35)&amp;"","")=""))))</f>
        <v/>
      </c>
      <c r="BR36">
        <f>IF($F$4="",1,--(OR(SUMPRODUCT(--(TRIM(MID(SUBSTITUTE(SUBSTITUTE($F$4,"/",","),",",REPT(" ",99)),(ROW($1:$8)-1)*99+1,99))&lt;&gt;""),--ISNUMBER(SEARCH(TRIM(MID(SUBSTITUTE(SUBSTITUTE($F$4,"/",","),",",REPT(" ",99)),(ROW($1:$8)-1)*99+1,99)),IFERROR(('Final Calculation Sheet'!$A$35)&amp;"",""))))&gt;0,AND(ISNUMBER(SEARCH("blank",$F$4)),NOT(ISNUMBER(SEARCH("nonblank",$F$4))),IFERROR(('Final Calculation Sheet'!$A$35)&amp;"","")=""),AND(OR(ISNUMBER(SEARCH("nonblank",$F$4)),ISNUMBER(SEARCH("&lt;&gt;",$F$4))),IFERROR(('Final Calculation Sheet'!$A$35)&amp;"","")&lt;&gt;""),AND(TRIM($F$4)="",IFERROR(('Final Calculation Sheet'!$A$35)&amp;"","")=""))))</f>
        <v/>
      </c>
      <c r="BS36">
        <f>IF($G$4="",1,--(OR(SUMPRODUCT(--(TRIM(MID(SUBSTITUTE(SUBSTITUTE($G$4,"/",","),",",REPT(" ",99)),(ROW($1:$8)-1)*99+1,99))&lt;&gt;""),--ISNUMBER(SEARCH(TRIM(MID(SUBSTITUTE(SUBSTITUTE($G$4,"/",","),",",REPT(" ",99)),(ROW($1:$8)-1)*99+1,99)),IFERROR(('Final Calculation Sheet'!$E$35)&amp;"",""))))&gt;0,AND(ISNUMBER(SEARCH("blank",$G$4)),NOT(ISNUMBER(SEARCH("nonblank",$G$4))),IFERROR(('Final Calculation Sheet'!$E$35)&amp;"","")=""),AND(OR(ISNUMBER(SEARCH("nonblank",$G$4)),ISNUMBER(SEARCH("&lt;&gt;",$G$4))),IFERROR(('Final Calculation Sheet'!$E$35)&amp;"","")&lt;&gt;""),AND(TRIM($G$4)="",IFERROR(('Final Calculation Sheet'!$E$35)&amp;"","")=""))))</f>
        <v/>
      </c>
      <c r="BT36">
        <f>IF($H$4="",1,--(OR(SUMPRODUCT(--(TRIM(MID(SUBSTITUTE(SUBSTITUTE($H$4,"/",","),",",REPT(" ",99)),(ROW($1:$8)-1)*99+1,99))&lt;&gt;""),--ISNUMBER(SEARCH(TRIM(MID(SUBSTITUTE(SUBSTITUTE($H$4,"/",","),",",REPT(" ",99)),(ROW($1:$8)-1)*99+1,99)),IFERROR(('Final Calculation Sheet'!$C$35)&amp;"",""))))&gt;0,AND(ISNUMBER(SEARCH("blank",$H$4)),NOT(ISNUMBER(SEARCH("nonblank",$H$4))),IFERROR(('Final Calculation Sheet'!$C$35)&amp;"","")=""),AND(OR(ISNUMBER(SEARCH("nonblank",$H$4)),ISNUMBER(SEARCH("&lt;&gt;",$H$4))),IFERROR(('Final Calculation Sheet'!$C$35)&amp;"","")&lt;&gt;""),AND(TRIM($H$4)="",IFERROR(('Final Calculation Sheet'!$C$35)&amp;"","")=""))))</f>
        <v/>
      </c>
      <c r="BU36">
        <f>IF($I$4="",1,--(OR(SUMPRODUCT(--(TRIM(MID(SUBSTITUTE(SUBSTITUTE($I$4,"/",","),",",REPT(" ",99)),(ROW($1:$8)-1)*99+1,99))&lt;&gt;""),--ISNUMBER(SEARCH(TRIM(MID(SUBSTITUTE(SUBSTITUTE($I$4,"/",","),",",REPT(" ",99)),(ROW($1:$8)-1)*99+1,99)),IFERROR(('Final Calculation Sheet'!$H$35)&amp;"",""))))&gt;0,AND(ISNUMBER(SEARCH("blank",$I$4)),NOT(ISNUMBER(SEARCH("nonblank",$I$4))),IFERROR(('Final Calculation Sheet'!$H$35)&amp;"","")=""),AND(OR(ISNUMBER(SEARCH("nonblank",$I$4)),ISNUMBER(SEARCH("&lt;&gt;",$I$4))),IFERROR(('Final Calculation Sheet'!$H$35)&amp;"","")&lt;&gt;""),AND(TRIM($I$4)="",IFERROR(('Final Calculation Sheet'!$H$35)&amp;"","")=""))))</f>
        <v/>
      </c>
      <c r="BV36">
        <f>IF($J$4="",1,--(OR(SUMPRODUCT(--(TRIM(MID(SUBSTITUTE(SUBSTITUTE($J$4,"/",","),",",REPT(" ",99)),(ROW($1:$8)-1)*99+1,99))&lt;&gt;""),--ISNUMBER(SEARCH(TRIM(MID(SUBSTITUTE(SUBSTITUTE($J$4,"/",","),",",REPT(" ",99)),(ROW($1:$8)-1)*99+1,99)),IFERROR(('Final Calculation Sheet'!$I$35)&amp;"",""))))&gt;0,AND(ISNUMBER(SEARCH("blank",$J$4)),NOT(ISNUMBER(SEARCH("nonblank",$J$4))),IFERROR(('Final Calculation Sheet'!$I$35)&amp;"","")=""),AND(OR(ISNUMBER(SEARCH("nonblank",$J$4)),ISNUMBER(SEARCH("&lt;&gt;",$J$4))),IFERROR(('Final Calculation Sheet'!$I$35)&amp;"","")&lt;&gt;""),AND(TRIM($J$4)="",IFERROR(('Final Calculation Sheet'!$I$35)&amp;"","")=""))))</f>
        <v/>
      </c>
      <c r="BW36">
        <f>IF($K$4="",1,--(OR(SUMPRODUCT(--(TRIM(MID(SUBSTITUTE(SUBSTITUTE($K$4,"/",","),",",REPT(" ",99)),(ROW($1:$8)-1)*99+1,99))&lt;&gt;""),--ISNUMBER(SEARCH(TRIM(MID(SUBSTITUTE(SUBSTITUTE($K$4,"/",","),",",REPT(" ",99)),(ROW($1:$8)-1)*99+1,99)),IFERROR(('Final Calculation Sheet'!$J$35)&amp;"",""))))&gt;0,AND(ISNUMBER(SEARCH("blank",$K$4)),NOT(ISNUMBER(SEARCH("nonblank",$K$4))),IFERROR(('Final Calculation Sheet'!$J$35)&amp;"","")=""),AND(OR(ISNUMBER(SEARCH("nonblank",$K$4)),ISNUMBER(SEARCH("&lt;&gt;",$K$4))),IFERROR(('Final Calculation Sheet'!$J$35)&amp;"","")&lt;&gt;""),AND(TRIM($K$4)="",IFERROR(('Final Calculation Sheet'!$J$35)&amp;"","")=""))))</f>
        <v/>
      </c>
      <c r="BX36">
        <f>IF($L$4="",1,--(OR(SUMPRODUCT(--(TRIM(MID(SUBSTITUTE(SUBSTITUTE($L$4,"/",","),",",REPT(" ",99)),(ROW($1:$8)-1)*99+1,99))&lt;&gt;""),--ISNUMBER(SEARCH(TRIM(MID(SUBSTITUTE(SUBSTITUTE($L$4,"/",","),",",REPT(" ",99)),(ROW($1:$8)-1)*99+1,99)),IFERROR(('Final Calculation Sheet'!$K$35)&amp;"",""))))&gt;0,AND(ISNUMBER(SEARCH("blank",$L$4)),NOT(ISNUMBER(SEARCH("nonblank",$L$4))),IFERROR(('Final Calculation Sheet'!$K$35)&amp;"","")=""),AND(OR(ISNUMBER(SEARCH("nonblank",$L$4)),ISNUMBER(SEARCH("&lt;&gt;",$L$4))),IFERROR(('Final Calculation Sheet'!$K$35)&amp;"","")&lt;&gt;""),AND(TRIM($L$4)="",IFERROR(('Final Calculation Sheet'!$K$35)&amp;"","")=""))))</f>
        <v/>
      </c>
      <c r="BY36">
        <f>IF($M$4="",1,--(OR(SUMPRODUCT(--(TRIM(MID(SUBSTITUTE(SUBSTITUTE($M$4,"/",","),",",REPT(" ",99)),(ROW($1:$8)-1)*99+1,99))&lt;&gt;""),--ISNUMBER(SEARCH(TRIM(MID(SUBSTITUTE(SUBSTITUTE($M$4,"/",","),",",REPT(" ",99)),(ROW($1:$8)-1)*99+1,99)),IFERROR(('Final Calculation Sheet'!$L$35)&amp;"",""))))&gt;0,AND(ISNUMBER(SEARCH("blank",$M$4)),NOT(ISNUMBER(SEARCH("nonblank",$M$4))),IFERROR(('Final Calculation Sheet'!$L$35)&amp;"","")=""),AND(OR(ISNUMBER(SEARCH("nonblank",$M$4)),ISNUMBER(SEARCH("&lt;&gt;",$M$4))),IFERROR(('Final Calculation Sheet'!$L$35)&amp;"","")&lt;&gt;""),AND(TRIM($M$4)="",IFERROR(('Final Calculation Sheet'!$L$35)&amp;"","")=""))))</f>
        <v/>
      </c>
      <c r="BZ36">
        <f>IF($N$4="",1,--(OR(SUMPRODUCT(--(TRIM(MID(SUBSTITUTE(SUBSTITUTE($N$4,"/",","),",",REPT(" ",99)),(ROW($1:$8)-1)*99+1,99))&lt;&gt;""),--ISNUMBER(SEARCH(TRIM(MID(SUBSTITUTE(SUBSTITUTE($N$4,"/",","),",",REPT(" ",99)),(ROW($1:$8)-1)*99+1,99)),IFERROR(('Final Calculation Sheet'!$M$35)&amp;"",""))))&gt;0,AND(ISNUMBER(SEARCH("blank",$N$4)),NOT(ISNUMBER(SEARCH("nonblank",$N$4))),IFERROR(('Final Calculation Sheet'!$M$35)&amp;"","")=""),AND(OR(ISNUMBER(SEARCH("nonblank",$N$4)),ISNUMBER(SEARCH("&lt;&gt;",$N$4))),IFERROR(('Final Calculation Sheet'!$M$35)&amp;"","")&lt;&gt;""),AND(TRIM($N$4)="",IFERROR(('Final Calculation Sheet'!$M$35)&amp;"","")=""))))</f>
        <v/>
      </c>
      <c r="CA36">
        <f>IF($O$4="",1,--(OR(SUMPRODUCT(--(TRIM(MID(SUBSTITUTE(SUBSTITUTE($O$4,"/",","),",",REPT(" ",99)),(ROW($1:$8)-1)*99+1,99))&lt;&gt;""),--ISNUMBER(SEARCH(TRIM(MID(SUBSTITUTE(SUBSTITUTE($O$4,"/",","),",",REPT(" ",99)),(ROW($1:$8)-1)*99+1,99)),IFERROR(('Final Calculation Sheet'!$N$35)&amp;"",""))))&gt;0,AND(ISNUMBER(SEARCH("blank",$O$4)),NOT(ISNUMBER(SEARCH("nonblank",$O$4))),IFERROR(('Final Calculation Sheet'!$N$35)&amp;"","")=""),AND(OR(ISNUMBER(SEARCH("nonblank",$O$4)),ISNUMBER(SEARCH("&lt;&gt;",$O$4))),IFERROR(('Final Calculation Sheet'!$N$35)&amp;"","")&lt;&gt;""),AND(TRIM($O$4)="",IFERROR(('Final Calculation Sheet'!$N$35)&amp;"","")=""))))</f>
        <v/>
      </c>
      <c r="CB36">
        <f>IF($P$4="",1,--(OR(SUMPRODUCT(--(TRIM(MID(SUBSTITUTE(SUBSTITUTE($P$4,"/",","),",",REPT(" ",99)),(ROW($1:$8)-1)*99+1,99))&lt;&gt;""),--ISNUMBER(SEARCH(TRIM(MID(SUBSTITUTE(SUBSTITUTE($P$4,"/",","),",",REPT(" ",99)),(ROW($1:$8)-1)*99+1,99)),IFERROR(('Final Calculation Sheet'!$O$35)&amp;"",""))))&gt;0,AND(ISNUMBER(SEARCH("blank",$P$4)),NOT(ISNUMBER(SEARCH("nonblank",$P$4))),IFERROR(('Final Calculation Sheet'!$O$35)&amp;"","")=""),AND(OR(ISNUMBER(SEARCH("nonblank",$P$4)),ISNUMBER(SEARCH("&lt;&gt;",$P$4))),IFERROR(('Final Calculation Sheet'!$O$35)&amp;"","")&lt;&gt;""),AND(TRIM($P$4)="",IFERROR(('Final Calculation Sheet'!$O$35)&amp;"","")=""))))</f>
        <v/>
      </c>
      <c r="CC36">
        <f>IF($Q$4="",1,--(OR(SUMPRODUCT(--(TRIM(MID(SUBSTITUTE(SUBSTITUTE($Q$4,"/",","),",",REPT(" ",99)),(ROW($1:$8)-1)*99+1,99))&lt;&gt;""),--ISNUMBER(SEARCH(TRIM(MID(SUBSTITUTE(SUBSTITUTE($Q$4,"/",","),",",REPT(" ",99)),(ROW($1:$8)-1)*99+1,99)),IFERROR(('Final Calculation Sheet'!$P$35)&amp;"",""))))&gt;0,AND(ISNUMBER(SEARCH("blank",$Q$4)),NOT(ISNUMBER(SEARCH("nonblank",$Q$4))),IFERROR(('Final Calculation Sheet'!$P$35)&amp;"","")=""),AND(OR(ISNUMBER(SEARCH("nonblank",$Q$4)),ISNUMBER(SEARCH("&lt;&gt;",$Q$4))),IFERROR(('Final Calculation Sheet'!$P$35)&amp;"","")&lt;&gt;""),AND(TRIM($Q$4)="",IFERROR(('Final Calculation Sheet'!$P$35)&amp;"","")=""))))</f>
        <v/>
      </c>
      <c r="CD36">
        <f>IF($R$4="",1,--(OR(SUMPRODUCT(--(TRIM(MID(SUBSTITUTE(SUBSTITUTE($R$4,"/",","),",",REPT(" ",99)),(ROW($1:$8)-1)*99+1,99))&lt;&gt;""),--ISNUMBER(SEARCH(TRIM(MID(SUBSTITUTE(SUBSTITUTE($R$4,"/",","),",",REPT(" ",99)),(ROW($1:$8)-1)*99+1,99)),IFERROR(('Final Calculation Sheet'!$Q$35)&amp;"",""))))&gt;0,AND(ISNUMBER(SEARCH("blank",$R$4)),NOT(ISNUMBER(SEARCH("nonblank",$R$4))),IFERROR(('Final Calculation Sheet'!$Q$35)&amp;"","")=""),AND(OR(ISNUMBER(SEARCH("nonblank",$R$4)),ISNUMBER(SEARCH("&lt;&gt;",$R$4))),IFERROR(('Final Calculation Sheet'!$Q$35)&amp;"","")&lt;&gt;""),AND(TRIM($R$4)="",IFERROR(('Final Calculation Sheet'!$Q$35)&amp;"","")=""))))</f>
        <v/>
      </c>
      <c r="CE36">
        <f>IF($S$4="",1,--(OR(SUMPRODUCT(--(TRIM(MID(SUBSTITUTE(SUBSTITUTE($S$4,"/",","),",",REPT(" ",99)),(ROW($1:$8)-1)*99+1,99))&lt;&gt;""),--ISNUMBER(SEARCH(TRIM(MID(SUBSTITUTE(SUBSTITUTE($S$4,"/",","),",",REPT(" ",99)),(ROW($1:$8)-1)*99+1,99)),IFERROR(('Final Calculation Sheet'!$R$35)&amp;"",""))))&gt;0,AND(ISNUMBER(SEARCH("blank",$S$4)),NOT(ISNUMBER(SEARCH("nonblank",$S$4))),IFERROR(('Final Calculation Sheet'!$R$35)&amp;"","")=""),AND(OR(ISNUMBER(SEARCH("nonblank",$S$4)),ISNUMBER(SEARCH("&lt;&gt;",$S$4))),IFERROR(('Final Calculation Sheet'!$R$35)&amp;"","")&lt;&gt;""),AND(TRIM($S$4)="",IFERROR(('Final Calculation Sheet'!$R$35)&amp;"","")=""))))</f>
        <v/>
      </c>
      <c r="CF36">
        <f>IF($T$4="",1,--(OR(SUMPRODUCT(--(TRIM(MID(SUBSTITUTE(SUBSTITUTE($T$4,"/",","),",",REPT(" ",99)),(ROW($1:$8)-1)*99+1,99))&lt;&gt;""),--ISNUMBER(SEARCH(TRIM(MID(SUBSTITUTE(SUBSTITUTE($T$4,"/",","),",",REPT(" ",99)),(ROW($1:$8)-1)*99+1,99)),IFERROR(('Final Calculation Sheet'!$S$35)&amp;"",""))))&gt;0,AND(ISNUMBER(SEARCH("blank",$T$4)),NOT(ISNUMBER(SEARCH("nonblank",$T$4))),IFERROR(('Final Calculation Sheet'!$S$35)&amp;"","")=""),AND(OR(ISNUMBER(SEARCH("nonblank",$T$4)),ISNUMBER(SEARCH("&lt;&gt;",$T$4))),IFERROR(('Final Calculation Sheet'!$S$35)&amp;"","")&lt;&gt;""),AND(TRIM($T$4)="",IFERROR(('Final Calculation Sheet'!$S$35)&amp;"","")=""))))</f>
        <v/>
      </c>
      <c r="CG36">
        <f>IF($U$4="",1,--(OR(SUMPRODUCT(--(TRIM(MID(SUBSTITUTE(SUBSTITUTE($U$4,"/",","),",",REPT(" ",99)),(ROW($1:$8)-1)*99+1,99))&lt;&gt;""),--ISNUMBER(SEARCH(TRIM(MID(SUBSTITUTE(SUBSTITUTE($U$4,"/",","),",",REPT(" ",99)),(ROW($1:$8)-1)*99+1,99)),IFERROR(('Final Calculation Sheet'!$T$35)&amp;"",""))))&gt;0,AND(ISNUMBER(SEARCH("blank",$U$4)),NOT(ISNUMBER(SEARCH("nonblank",$U$4))),IFERROR(('Final Calculation Sheet'!$T$35)&amp;"","")=""),AND(OR(ISNUMBER(SEARCH("nonblank",$U$4)),ISNUMBER(SEARCH("&lt;&gt;",$U$4))),IFERROR(('Final Calculation Sheet'!$T$35)&amp;"","")&lt;&gt;""),AND(TRIM($U$4)="",IFERROR(('Final Calculation Sheet'!$T$35)&amp;"","")=""))))</f>
        <v/>
      </c>
      <c r="CH36">
        <f>IF($V$4="",1,--(OR(SUMPRODUCT(--(TRIM(MID(SUBSTITUTE(SUBSTITUTE($V$4,"/",","),",",REPT(" ",99)),(ROW($1:$8)-1)*99+1,99))&lt;&gt;""),--ISNUMBER(SEARCH(TRIM(MID(SUBSTITUTE(SUBSTITUTE($V$4,"/",","),",",REPT(" ",99)),(ROW($1:$8)-1)*99+1,99)),IFERROR(('Final Calculation Sheet'!$U$35)&amp;"",""))))&gt;0,AND(ISNUMBER(SEARCH("blank",$V$4)),NOT(ISNUMBER(SEARCH("nonblank",$V$4))),IFERROR(('Final Calculation Sheet'!$U$35)&amp;"","")=""),AND(OR(ISNUMBER(SEARCH("nonblank",$V$4)),ISNUMBER(SEARCH("&lt;&gt;",$V$4))),IFERROR(('Final Calculation Sheet'!$U$35)&amp;"","")&lt;&gt;""),AND(TRIM($V$4)="",IFERROR(('Final Calculation Sheet'!$U$35)&amp;"","")=""))))</f>
        <v/>
      </c>
      <c r="CI36">
        <f>IF($W$4="",1,--(OR(SUMPRODUCT(--(TRIM(MID(SUBSTITUTE(SUBSTITUTE($W$4,"/",","),",",REPT(" ",99)),(ROW($1:$8)-1)*99+1,99))&lt;&gt;""),--ISNUMBER(SEARCH(TRIM(MID(SUBSTITUTE(SUBSTITUTE($W$4,"/",","),",",REPT(" ",99)),(ROW($1:$8)-1)*99+1,99)),IFERROR(('Final Calculation Sheet'!$V$35)&amp;"",""))))&gt;0,AND(ISNUMBER(SEARCH("blank",$W$4)),NOT(ISNUMBER(SEARCH("nonblank",$W$4))),IFERROR(('Final Calculation Sheet'!$V$35)&amp;"","")=""),AND(OR(ISNUMBER(SEARCH("nonblank",$W$4)),ISNUMBER(SEARCH("&lt;&gt;",$W$4))),IFERROR(('Final Calculation Sheet'!$V$35)&amp;"","")&lt;&gt;""),AND(TRIM($W$4)="",IFERROR(('Final Calculation Sheet'!$V$35)&amp;"","")=""))))</f>
        <v/>
      </c>
      <c r="CJ36">
        <f>IF($X$4="",1,--(OR(SUMPRODUCT(--(TRIM(MID(SUBSTITUTE(SUBSTITUTE($X$4,"/",","),",",REPT(" ",99)),(ROW($1:$8)-1)*99+1,99))&lt;&gt;""),--ISNUMBER(SEARCH(TRIM(MID(SUBSTITUTE(SUBSTITUTE($X$4,"/",","),",",REPT(" ",99)),(ROW($1:$8)-1)*99+1,99)),IFERROR(('Final Calculation Sheet'!$W$35)&amp;"",""))))&gt;0,AND(ISNUMBER(SEARCH("blank",$X$4)),NOT(ISNUMBER(SEARCH("nonblank",$X$4))),IFERROR(('Final Calculation Sheet'!$W$35)&amp;"","")=""),AND(OR(ISNUMBER(SEARCH("nonblank",$X$4)),ISNUMBER(SEARCH("&lt;&gt;",$X$4))),IFERROR(('Final Calculation Sheet'!$W$35)&amp;"","")&lt;&gt;""),AND(TRIM($X$4)="",IFERROR(('Final Calculation Sheet'!$W$35)&amp;"","")=""))))</f>
        <v/>
      </c>
      <c r="CK36">
        <f>IF($Y$4="",1,--(OR(SUMPRODUCT(--(TRIM(MID(SUBSTITUTE(SUBSTITUTE($Y$4,"/",","),",",REPT(" ",99)),(ROW($1:$8)-1)*99+1,99))&lt;&gt;""),--ISNUMBER(SEARCH(TRIM(MID(SUBSTITUTE(SUBSTITUTE($Y$4,"/",","),",",REPT(" ",99)),(ROW($1:$8)-1)*99+1,99)),IFERROR(('Final Calculation Sheet'!$X$35)&amp;"",""))))&gt;0,AND(ISNUMBER(SEARCH("blank",$Y$4)),NOT(ISNUMBER(SEARCH("nonblank",$Y$4))),IFERROR(('Final Calculation Sheet'!$X$35)&amp;"","")=""),AND(OR(ISNUMBER(SEARCH("nonblank",$Y$4)),ISNUMBER(SEARCH("&lt;&gt;",$Y$4))),IFERROR(('Final Calculation Sheet'!$X$35)&amp;"","")&lt;&gt;""),AND(TRIM($Y$4)="",IFERROR(('Final Calculation Sheet'!$X$35)&amp;"","")=""))))</f>
        <v/>
      </c>
      <c r="CL36">
        <f>IF($Z$4="",1,--(OR(SUMPRODUCT(--(TRIM(MID(SUBSTITUTE(SUBSTITUTE($Z$4,"/",","),",",REPT(" ",99)),(ROW($1:$8)-1)*99+1,99))&lt;&gt;""),--ISNUMBER(SEARCH(TRIM(MID(SUBSTITUTE(SUBSTITUTE($Z$4,"/",","),",",REPT(" ",99)),(ROW($1:$8)-1)*99+1,99)),IFERROR(('Final Calculation Sheet'!$Y$35)&amp;"",""))))&gt;0,AND(ISNUMBER(SEARCH("blank",$Z$4)),NOT(ISNUMBER(SEARCH("nonblank",$Z$4))),IFERROR(('Final Calculation Sheet'!$Y$35)&amp;"","")=""),AND(OR(ISNUMBER(SEARCH("nonblank",$Z$4)),ISNUMBER(SEARCH("&lt;&gt;",$Z$4))),IFERROR(('Final Calculation Sheet'!$Y$35)&amp;"","")&lt;&gt;""),AND(TRIM($Z$4)="",IFERROR(('Final Calculation Sheet'!$Y$35)&amp;"","")=""))))</f>
        <v/>
      </c>
      <c r="CM36">
        <f>IF($AA$4="",1,--(OR(SUMPRODUCT(--(TRIM(MID(SUBSTITUTE(SUBSTITUTE($AA$4,"/",","),",",REPT(" ",99)),(ROW($1:$8)-1)*99+1,99))&lt;&gt;""),--ISNUMBER(SEARCH(TRIM(MID(SUBSTITUTE(SUBSTITUTE($AA$4,"/",","),",",REPT(" ",99)),(ROW($1:$8)-1)*99+1,99)),IFERROR(('Final Calculation Sheet'!$Z$35)&amp;"",""))))&gt;0,AND(ISNUMBER(SEARCH("blank",$AA$4)),NOT(ISNUMBER(SEARCH("nonblank",$AA$4))),IFERROR(('Final Calculation Sheet'!$Z$35)&amp;"","")=""),AND(OR(ISNUMBER(SEARCH("nonblank",$AA$4)),ISNUMBER(SEARCH("&lt;&gt;",$AA$4))),IFERROR(('Final Calculation Sheet'!$Z$35)&amp;"","")&lt;&gt;""),AND(TRIM($AA$4)="",IFERROR(('Final Calculation Sheet'!$Z$35)&amp;"","")=""))))</f>
        <v/>
      </c>
      <c r="CN36">
        <f>IF($AB$4="",1,--(OR(SUMPRODUCT(--(TRIM(MID(SUBSTITUTE(SUBSTITUTE($AB$4,"/",","),",",REPT(" ",99)),(ROW($1:$8)-1)*99+1,99))&lt;&gt;""),--ISNUMBER(SEARCH(TRIM(MID(SUBSTITUTE(SUBSTITUTE($AB$4,"/",","),",",REPT(" ",99)),(ROW($1:$8)-1)*99+1,99)),IFERROR(('Final Calculation Sheet'!$AA$35)&amp;"",""))))&gt;0,AND(ISNUMBER(SEARCH("blank",$AB$4)),NOT(ISNUMBER(SEARCH("nonblank",$AB$4))),IFERROR(('Final Calculation Sheet'!$AA$35)&amp;"","")=""),AND(OR(ISNUMBER(SEARCH("nonblank",$AB$4)),ISNUMBER(SEARCH("&lt;&gt;",$AB$4))),IFERROR(('Final Calculation Sheet'!$AA$35)&amp;"","")&lt;&gt;""),AND(TRIM($AB$4)="",IFERROR(('Final Calculation Sheet'!$AA$35)&amp;"","")=""))))</f>
        <v/>
      </c>
      <c r="CO36">
        <f>IF($AC$4="",1,--(OR(SUMPRODUCT(--(TRIM(MID(SUBSTITUTE(SUBSTITUTE($AC$4,"/",","),",",REPT(" ",99)),(ROW($1:$8)-1)*99+1,99))&lt;&gt;""),--ISNUMBER(SEARCH(TRIM(MID(SUBSTITUTE(SUBSTITUTE($AC$4,"/",","),",",REPT(" ",99)),(ROW($1:$8)-1)*99+1,99)),IFERROR(('Final Calculation Sheet'!$AB$35)&amp;"",""))))&gt;0,AND(ISNUMBER(SEARCH("blank",$AC$4)),NOT(ISNUMBER(SEARCH("nonblank",$AC$4))),IFERROR(('Final Calculation Sheet'!$AB$35)&amp;"","")=""),AND(OR(ISNUMBER(SEARCH("nonblank",$AC$4)),ISNUMBER(SEARCH("&lt;&gt;",$AC$4))),IFERROR(('Final Calculation Sheet'!$AB$35)&amp;"","")&lt;&gt;""),AND(TRIM($AC$4)="",IFERROR(('Final Calculation Sheet'!$AB$35)&amp;"","")=""))))</f>
        <v/>
      </c>
      <c r="CP36">
        <f>IF($AD$4="",1,--(OR(SUMPRODUCT(--(TRIM(MID(SUBSTITUTE(SUBSTITUTE($AD$4,"/",","),",",REPT(" ",99)),(ROW($1:$8)-1)*99+1,99))&lt;&gt;""),--ISNUMBER(SEARCH(TRIM(MID(SUBSTITUTE(SUBSTITUTE($AD$4,"/",","),",",REPT(" ",99)),(ROW($1:$8)-1)*99+1,99)),IFERROR(('Final Calculation Sheet'!$AC$35)&amp;"",""))))&gt;0,AND(ISNUMBER(SEARCH("blank",$AD$4)),NOT(ISNUMBER(SEARCH("nonblank",$AD$4))),IFERROR(('Final Calculation Sheet'!$AC$35)&amp;"","")=""),AND(OR(ISNUMBER(SEARCH("nonblank",$AD$4)),ISNUMBER(SEARCH("&lt;&gt;",$AD$4))),IFERROR(('Final Calculation Sheet'!$AC$35)&amp;"","")&lt;&gt;""),AND(TRIM($AD$4)="",IFERROR(('Final Calculation Sheet'!$AC$35)&amp;"","")=""))))</f>
        <v/>
      </c>
      <c r="CQ36">
        <f>IF($AE$4="",1,--(OR(SUMPRODUCT(--(TRIM(MID(SUBSTITUTE(SUBSTITUTE($AE$4,"/",","),",",REPT(" ",99)),(ROW($1:$8)-1)*99+1,99))&lt;&gt;""),--ISNUMBER(SEARCH(TRIM(MID(SUBSTITUTE(SUBSTITUTE($AE$4,"/",","),",",REPT(" ",99)),(ROW($1:$8)-1)*99+1,99)),IFERROR(('Final Calculation Sheet'!$AD$35)&amp;"",""))))&gt;0,AND(ISNUMBER(SEARCH("blank",$AE$4)),NOT(ISNUMBER(SEARCH("nonblank",$AE$4))),IFERROR(('Final Calculation Sheet'!$AD$35)&amp;"","")=""),AND(OR(ISNUMBER(SEARCH("nonblank",$AE$4)),ISNUMBER(SEARCH("&lt;&gt;",$AE$4))),IFERROR(('Final Calculation Sheet'!$AD$35)&amp;"","")&lt;&gt;""),AND(TRIM($AE$4)="",IFERROR(('Final Calculation Sheet'!$AD$35)&amp;"","")=""))))</f>
        <v/>
      </c>
      <c r="CR36">
        <f>IF($AG$4="",1,--(OR(SUMPRODUCT(--(TRIM(MID(SUBSTITUTE(SUBSTITUTE($AG$4,"/",","),",",REPT(" ",99)),(ROW($1:$8)-1)*99+1,99))&lt;&gt;""),--ISNUMBER(SEARCH(TRIM(MID(SUBSTITUTE(SUBSTITUTE($AG$4,"/",","),",",REPT(" ",99)),(ROW($1:$8)-1)*99+1,99)),IFERROR(('Final Calculation Sheet'!$AF$35)&amp;"",""))))&gt;0,AND(ISNUMBER(SEARCH("blank",$AG$4)),NOT(ISNUMBER(SEARCH("nonblank",$AG$4))),IFERROR(('Final Calculation Sheet'!$AF$35)&amp;"","")=""),AND(OR(ISNUMBER(SEARCH("nonblank",$AG$4)),ISNUMBER(SEARCH("&lt;&gt;",$AG$4))),IFERROR(('Final Calculation Sheet'!$AF$35)&amp;"","")&lt;&gt;""),AND(TRIM($AG$4)="",IFERROR(('Final Calculation Sheet'!$AF$35)&amp;"","")=""))))</f>
        <v/>
      </c>
      <c r="CS36">
        <f>IF($AH$4="",1,--(OR(SUMPRODUCT(--(TRIM(MID(SUBSTITUTE(SUBSTITUTE($AH$4,"/",","),",",REPT(" ",99)),(ROW($1:$8)-1)*99+1,99))&lt;&gt;""),--ISNUMBER(SEARCH(TRIM(MID(SUBSTITUTE(SUBSTITUTE($AH$4,"/",","),",",REPT(" ",99)),(ROW($1:$8)-1)*99+1,99)),IFERROR(('Final Calculation Sheet'!$AG$35)&amp;"",""))))&gt;0,AND(ISNUMBER(SEARCH("blank",$AH$4)),NOT(ISNUMBER(SEARCH("nonblank",$AH$4))),IFERROR(('Final Calculation Sheet'!$AG$35)&amp;"","")=""),AND(OR(ISNUMBER(SEARCH("nonblank",$AH$4)),ISNUMBER(SEARCH("&lt;&gt;",$AH$4))),IFERROR(('Final Calculation Sheet'!$AG$35)&amp;"","")&lt;&gt;""),AND(TRIM($AH$4)="",IFERROR(('Final Calculation Sheet'!$AG$35)&amp;"","")=""))))</f>
        <v/>
      </c>
      <c r="CT36">
        <f>IF($AI$4="",1,--(OR(SUMPRODUCT(--(TRIM(MID(SUBSTITUTE(SUBSTITUTE($AI$4,"/",","),",",REPT(" ",99)),(ROW($1:$8)-1)*99+1,99))&lt;&gt;""),--ISNUMBER(SEARCH(TRIM(MID(SUBSTITUTE(SUBSTITUTE($AI$4,"/",","),",",REPT(" ",99)),(ROW($1:$8)-1)*99+1,99)),IFERROR(('Final Calculation Sheet'!$AH$35)&amp;"",""))))&gt;0,AND(ISNUMBER(SEARCH("blank",$AI$4)),NOT(ISNUMBER(SEARCH("nonblank",$AI$4))),IFERROR(('Final Calculation Sheet'!$AH$35)&amp;"","")=""),AND(OR(ISNUMBER(SEARCH("nonblank",$AI$4)),ISNUMBER(SEARCH("&lt;&gt;",$AI$4))),IFERROR(('Final Calculation Sheet'!$AH$35)&amp;"","")&lt;&gt;""),AND(TRIM($AI$4)="",IFERROR(('Final Calculation Sheet'!$AH$35)&amp;"","")=""))))</f>
        <v/>
      </c>
      <c r="CU36">
        <f>IF($AF$4="",1,--(OR(SUMPRODUCT(--(TRIM(MID(SUBSTITUTE(SUBSTITUTE($AF$4,"/",","),",",REPT(" ",99)),(ROW($1:$8)-1)*99+1,99))&lt;&gt;""),--ISNUMBER(SEARCH(TRIM(MID(SUBSTITUTE(SUBSTITUTE($AF$4,"/",","),",",REPT(" ",99)),(ROW($1:$8)-1)*99+1,99)),IFERROR((IF('Final Calculation Sheet'!$AD$35&lt;=5,"SETTLED","OUTSTANDING"))&amp;"",""))))&gt;0,AND(ISNUMBER(SEARCH("blank",$AF$4)),NOT(ISNUMBER(SEARCH("nonblank",$AF$4))),IFERROR((IF('Final Calculation Sheet'!$AD$35&lt;=5,"SETTLED","OUTSTANDING"))&amp;"","")=""),AND(OR(ISNUMBER(SEARCH("nonblank",$AF$4)),ISNUMBER(SEARCH("&lt;&gt;",$AF$4))),IFERROR((IF('Final Calculation Sheet'!$AD$35&lt;=5,"SETTLED","OUTSTANDING"))&amp;"","")&lt;&gt;""),AND(TRIM($AF$4)="",IFERROR((IF('Final Calculation Sheet'!$AD$35&lt;=5,"SETTLED","OUTSTANDING"))&amp;"","")=""))))</f>
        <v/>
      </c>
    </row>
    <row r="37" ht="15" customHeight="1" s="137">
      <c r="A37" s="67">
        <f>IF($BJ36&gt;0,INDEX($BA$5:$BA$41,MATCH(36,$BB$5:$BB$41,0)),IF(OR($BI36=1,$BL36=1,$BH36&gt;0),"∑",""))</f>
        <v/>
      </c>
      <c r="B37" s="76">
        <f>IF($BJ36&gt;0,IF(INDEX('Final Calculation Sheet'!$F$4:$F$40,$BJ36-3)="","",INDEX('Final Calculation Sheet'!$F$4:$F$40,$BJ36-3)),"")</f>
        <v/>
      </c>
      <c r="C37" s="76">
        <f>IF($BJ36&gt;0,IF(INDEX('Final Calculation Sheet'!$G$4:$G$40,$BJ36-3)="","",INDEX('Final Calculation Sheet'!$G$4:$G$40,$BJ36-3)),IF(OR($BI36=1,$BL36=1,$BH36&gt;0),IF($BI36=1,37,IF($BL36=1,37-INDEX($BD$4:$BD$13,10),INDEX($BD$4:$BD$13,$BH36)))&amp;" lot(s)",""))</f>
        <v/>
      </c>
      <c r="D37" s="80">
        <f>IF($BJ36&gt;0,IF(INDEX('Final Calculation Sheet'!$B$4:$B$40,$BJ36-3)="","",INDEX('Final Calculation Sheet'!$B$4:$B$40,$BJ36-3)),IF(OR($BI36=1,$BL36=1,$BH36&gt;0),IF($BI36=1,"GRAND TOTAL  —  matching + remaining",IF($BL36=1,"TOTAL MATCHED  —  every group together",IF($BH36=10,"REMAINING  —  did not match the search",IF($BH36=9,IF(COUNTIF($A$4:$AI$4,"&lt;&gt;")&gt;0,"FILTERED LOTS  —  column fields","ALL LOTS  —  nothing typed in the box"),"GROUP "&amp;$BH36&amp;" TOTAL  —  lots matching  "&amp;INDEX($AR$6:$AY$6,$BH36))))),""))</f>
        <v/>
      </c>
      <c r="E37" s="80">
        <f>IF($BJ36&gt;0,IF(INDEX('Final Calculation Sheet'!$D$4:$D$40,$BJ36-3)="","",INDEX('Final Calculation Sheet'!$D$4:$D$40,$BJ36-3)),IF(OR($BI36=1,$BL36=1,$BH36&gt;0),"–",""))</f>
        <v/>
      </c>
      <c r="F37" s="80">
        <f>IF($BJ36&gt;0,IF(INDEX('Final Calculation Sheet'!$A$4:$A$40,$BJ36-3)="","",INDEX('Final Calculation Sheet'!$A$4:$A$40,$BJ36-3)),IF(OR($BI36=1,$BL36=1,$BH36&gt;0),IF($BI36=1,SUM('Final Calculation Sheet'!$A$4:$A$40),IF($BL36=1,SUM('Final Calculation Sheet'!$A$4:$A$40)-SUMIFS('Final Calculation Sheet'!$A$4:$A$40,$AZ$5:$AZ$41,10),SUMIFS('Final Calculation Sheet'!$A$4:$A$40,$AZ$5:$AZ$41,$BH36))),""))</f>
        <v/>
      </c>
      <c r="G37" s="80">
        <f>IF($BJ36&gt;0,IF(INDEX('Final Calculation Sheet'!$E$4:$E$40,$BJ36-3)="","",INDEX('Final Calculation Sheet'!$E$4:$E$40,$BJ36-3)),IF(OR($BI36=1,$BL36=1,$BH36&gt;0),"–",""))</f>
        <v/>
      </c>
      <c r="H37" s="70">
        <f>IF($BJ36&gt;0,IF(INDEX('Final Calculation Sheet'!$C$4:$C$40,$BJ36-3)="","",INDEX('Final Calculation Sheet'!$C$4:$C$40,$BJ36-3)),IF(OR($BI36=1,$BL36=1,$BH36&gt;0),"–",""))</f>
        <v/>
      </c>
      <c r="I37" s="70">
        <f>IF($BJ36&gt;0,IF(INDEX('Final Calculation Sheet'!$H$4:$H$40,$BJ36-3)="","",INDEX('Final Calculation Sheet'!$H$4:$H$40,$BJ36-3)),IF(OR($BI36=1,$BL36=1,$BH36&gt;0),IF($BI36=1,SUM('Final Calculation Sheet'!$H$4:$H$40),IF($BL36=1,SUM('Final Calculation Sheet'!$H$4:$H$40)-SUMIFS('Final Calculation Sheet'!$H$4:$H$40,$AZ$5:$AZ$41,10),SUMIFS('Final Calculation Sheet'!$H$4:$H$40,$AZ$5:$AZ$41,$BH36))),""))</f>
        <v/>
      </c>
      <c r="J37" s="70">
        <f>IF($BJ36&gt;0,IF(INDEX('Final Calculation Sheet'!$I$4:$I$40,$BJ36-3)="","",INDEX('Final Calculation Sheet'!$I$4:$I$40,$BJ36-3)),IF(OR($BI36=1,$BL36=1,$BH36&gt;0),IF($BI36=1,SUM('Final Calculation Sheet'!$I$4:$I$40),IF($BL36=1,SUM('Final Calculation Sheet'!$I$4:$I$40)-SUMIFS('Final Calculation Sheet'!$I$4:$I$40,$AZ$5:$AZ$41,10),SUMIFS('Final Calculation Sheet'!$I$4:$I$40,$AZ$5:$AZ$41,$BH36))),""))</f>
        <v/>
      </c>
      <c r="K37" s="70">
        <f>IF($BJ36&gt;0,IF(INDEX('Final Calculation Sheet'!$J$4:$J$40,$BJ36-3)="","",INDEX('Final Calculation Sheet'!$J$4:$J$40,$BJ36-3)),IF(OR($BI36=1,$BL36=1,$BH36&gt;0),IF($BI36=1,SUM('Final Calculation Sheet'!$J$4:$J$40),IF($BL36=1,SUM('Final Calculation Sheet'!$J$4:$J$40)-SUMIFS('Final Calculation Sheet'!$J$4:$J$40,$AZ$5:$AZ$41,10),SUMIFS('Final Calculation Sheet'!$J$4:$J$40,$AZ$5:$AZ$41,$BH36))),""))</f>
        <v/>
      </c>
      <c r="L37" s="70">
        <f>IF($BJ36&gt;0,IF(INDEX('Final Calculation Sheet'!$K$4:$K$40,$BJ36-3)="","",INDEX('Final Calculation Sheet'!$K$4:$K$40,$BJ36-3)),IF(OR($BI36=1,$BL36=1,$BH36&gt;0),IF($BI36=1,SUM('Final Calculation Sheet'!$K$4:$K$40),IF($BL36=1,SUM('Final Calculation Sheet'!$K$4:$K$40)-SUMIFS('Final Calculation Sheet'!$K$4:$K$40,$AZ$5:$AZ$41,10),SUMIFS('Final Calculation Sheet'!$K$4:$K$40,$AZ$5:$AZ$41,$BH36))),""))</f>
        <v/>
      </c>
      <c r="M37" s="70">
        <f>IF($BJ36&gt;0,IF(INDEX('Final Calculation Sheet'!$L$4:$L$40,$BJ36-3)="","",INDEX('Final Calculation Sheet'!$L$4:$L$40,$BJ36-3)),IF(OR($BI36=1,$BL36=1,$BH36&gt;0),IF($BI36=1,SUM('Final Calculation Sheet'!$L$4:$L$40),IF($BL36=1,SUM('Final Calculation Sheet'!$L$4:$L$40)-SUMIFS('Final Calculation Sheet'!$L$4:$L$40,$AZ$5:$AZ$41,10),SUMIFS('Final Calculation Sheet'!$L$4:$L$40,$AZ$5:$AZ$41,$BH36))),""))</f>
        <v/>
      </c>
      <c r="N37" s="70">
        <f>IF($BJ36&gt;0,IF(INDEX('Final Calculation Sheet'!$M$4:$M$40,$BJ36-3)="","",INDEX('Final Calculation Sheet'!$M$4:$M$40,$BJ36-3)),IF(OR($BI36=1,$BL36=1,$BH36&gt;0),IF($BI36=1,SUM('Final Calculation Sheet'!$M$4:$M$40),IF($BL36=1,SUM('Final Calculation Sheet'!$M$4:$M$40)-SUMIFS('Final Calculation Sheet'!$M$4:$M$40,$AZ$5:$AZ$41,10),SUMIFS('Final Calculation Sheet'!$M$4:$M$40,$AZ$5:$AZ$41,$BH36))),""))</f>
        <v/>
      </c>
      <c r="O37" s="71">
        <f>IF($BJ36&gt;0,IF(INDEX('Final Calculation Sheet'!$N$4:$N$40,$BJ36-3)="","",INDEX('Final Calculation Sheet'!$N$4:$N$40,$BJ36-3)),IF(OR($BI36=1,$BL36=1,$BH36&gt;0),IF($BI36=1,SUM('Final Calculation Sheet'!$N$4:$N$40),IF($BL36=1,SUM('Final Calculation Sheet'!$N$4:$N$40)-SUMIFS('Final Calculation Sheet'!$N$4:$N$40,$AZ$5:$AZ$41,10),SUMIFS('Final Calculation Sheet'!$N$4:$N$40,$AZ$5:$AZ$41,$BH36))),""))</f>
        <v/>
      </c>
      <c r="P37" s="70">
        <f>IF($BJ36&gt;0,IF(INDEX('Final Calculation Sheet'!$O$4:$O$40,$BJ36-3)="","",INDEX('Final Calculation Sheet'!$O$4:$O$40,$BJ36-3)),IF(OR($BI36=1,$BL36=1,$BH36&gt;0),IF($BI36=1,SUM('Final Calculation Sheet'!$O$4:$O$40),IF($BL36=1,SUM('Final Calculation Sheet'!$O$4:$O$40)-SUMIFS('Final Calculation Sheet'!$O$4:$O$40,$AZ$5:$AZ$41,10),SUMIFS('Final Calculation Sheet'!$O$4:$O$40,$AZ$5:$AZ$41,$BH36))),""))</f>
        <v/>
      </c>
      <c r="Q37" s="70">
        <f>IF($BJ36&gt;0,IF(INDEX('Final Calculation Sheet'!$P$4:$P$40,$BJ36-3)="","",INDEX('Final Calculation Sheet'!$P$4:$P$40,$BJ36-3)),IF(OR($BI36=1,$BL36=1,$BH36&gt;0),IF($BI36=1,SUM('Final Calculation Sheet'!$P$4:$P$40),IF($BL36=1,SUM('Final Calculation Sheet'!$P$4:$P$40)-SUMIFS('Final Calculation Sheet'!$P$4:$P$40,$AZ$5:$AZ$41,10),SUMIFS('Final Calculation Sheet'!$P$4:$P$40,$AZ$5:$AZ$41,$BH36))),""))</f>
        <v/>
      </c>
      <c r="R37" s="72">
        <f>IF($BJ36&gt;0,IF(INDEX('Final Calculation Sheet'!$Q$4:$Q$40,$BJ36-3)="","",INDEX('Final Calculation Sheet'!$Q$4:$Q$40,$BJ36-3)),IF(OR($BI36=1,$BL36=1,$BH36&gt;0),"–",""))</f>
        <v/>
      </c>
      <c r="S37" s="70">
        <f>IF($BJ36&gt;0,IF(INDEX('Final Calculation Sheet'!$R$4:$R$40,$BJ36-3)="","",INDEX('Final Calculation Sheet'!$R$4:$R$40,$BJ36-3)),IF(OR($BI36=1,$BL36=1,$BH36&gt;0),IF($BI36=1,SUM('Final Calculation Sheet'!$R$4:$R$40),IF($BL36=1,SUM('Final Calculation Sheet'!$R$4:$R$40)-SUMIFS('Final Calculation Sheet'!$R$4:$R$40,$AZ$5:$AZ$41,10),SUMIFS('Final Calculation Sheet'!$R$4:$R$40,$AZ$5:$AZ$41,$BH36))),""))</f>
        <v/>
      </c>
      <c r="T37" s="70">
        <f>IF($BJ36&gt;0,IF(INDEX('Final Calculation Sheet'!$S$4:$S$40,$BJ36-3)="","",INDEX('Final Calculation Sheet'!$S$4:$S$40,$BJ36-3)),IF(OR($BI36=1,$BL36=1,$BH36&gt;0),IF($BI36=1,SUM('Final Calculation Sheet'!$S$4:$S$40),IF($BL36=1,SUM('Final Calculation Sheet'!$S$4:$S$40)-SUMIFS('Final Calculation Sheet'!$S$4:$S$40,$AZ$5:$AZ$41,10),SUMIFS('Final Calculation Sheet'!$S$4:$S$40,$AZ$5:$AZ$41,$BH36))),""))</f>
        <v/>
      </c>
      <c r="U37" s="70">
        <f>IF($BJ36&gt;0,IF(INDEX('Final Calculation Sheet'!$T$4:$T$40,$BJ36-3)="","",INDEX('Final Calculation Sheet'!$T$4:$T$40,$BJ36-3)),IF(OR($BI36=1,$BL36=1,$BH36&gt;0),IF($BI36=1,SUM('Final Calculation Sheet'!$T$4:$T$40),IF($BL36=1,SUM('Final Calculation Sheet'!$T$4:$T$40)-SUMIFS('Final Calculation Sheet'!$T$4:$T$40,$AZ$5:$AZ$41,10),SUMIFS('Final Calculation Sheet'!$T$4:$T$40,$AZ$5:$AZ$41,$BH36))),""))</f>
        <v/>
      </c>
      <c r="V37" s="73">
        <f>IF($BJ36&gt;0,IF(INDEX('Final Calculation Sheet'!$U$4:$U$40,$BJ36-3)="","",INDEX('Final Calculation Sheet'!$U$4:$U$40,$BJ36-3)),IF(OR($BI36=1,$BL36=1,$BH36&gt;0),IF($BI36=1,SUM('Final Calculation Sheet'!$U$4:$U$40),IF($BL36=1,SUM('Final Calculation Sheet'!$U$4:$U$40)-SUMIFS('Final Calculation Sheet'!$U$4:$U$40,$AZ$5:$AZ$41,10),SUMIFS('Final Calculation Sheet'!$U$4:$U$40,$AZ$5:$AZ$41,$BH36))),""))</f>
        <v/>
      </c>
      <c r="W37" s="70">
        <f>IF($BJ36&gt;0,IF(INDEX('Final Calculation Sheet'!$V$4:$V$40,$BJ36-3)="","",INDEX('Final Calculation Sheet'!$V$4:$V$40,$BJ36-3)),IF(OR($BI36=1,$BL36=1,$BH36&gt;0),"–",""))</f>
        <v/>
      </c>
      <c r="X37" s="70">
        <f>IF($BJ36&gt;0,IF(INDEX('Final Calculation Sheet'!$W$4:$W$40,$BJ36-3)="","",INDEX('Final Calculation Sheet'!$W$4:$W$40,$BJ36-3)),IF(OR($BI36=1,$BL36=1,$BH36&gt;0),IF($BI36=1,SUM('Final Calculation Sheet'!$W$4:$W$40),IF($BL36=1,SUM('Final Calculation Sheet'!$W$4:$W$40)-SUMIFS('Final Calculation Sheet'!$W$4:$W$40,$AZ$5:$AZ$41,10),SUMIFS('Final Calculation Sheet'!$W$4:$W$40,$AZ$5:$AZ$41,$BH36))),""))</f>
        <v/>
      </c>
      <c r="Y37" s="70">
        <f>IF($BJ36&gt;0,IF(INDEX('Final Calculation Sheet'!$X$4:$X$40,$BJ36-3)="","",INDEX('Final Calculation Sheet'!$X$4:$X$40,$BJ36-3)),IF(OR($BI36=1,$BL36=1,$BH36&gt;0),IF($BI36=1,SUM('Final Calculation Sheet'!$X$4:$X$40),IF($BL36=1,SUM('Final Calculation Sheet'!$X$4:$X$40)-SUMIFS('Final Calculation Sheet'!$X$4:$X$40,$AZ$5:$AZ$41,10),SUMIFS('Final Calculation Sheet'!$X$4:$X$40,$AZ$5:$AZ$41,$BH36))),""))</f>
        <v/>
      </c>
      <c r="Z37" s="70">
        <f>IF($BJ36&gt;0,IF(INDEX('Final Calculation Sheet'!$Y$4:$Y$40,$BJ36-3)="","",INDEX('Final Calculation Sheet'!$Y$4:$Y$40,$BJ36-3)),IF(OR($BI36=1,$BL36=1,$BH36&gt;0),"–",""))</f>
        <v/>
      </c>
      <c r="AA37" s="70">
        <f>IF($BJ36&gt;0,IF(INDEX('Final Calculation Sheet'!$Z$4:$Z$40,$BJ36-3)="","",INDEX('Final Calculation Sheet'!$Z$4:$Z$40,$BJ36-3)),IF(OR($BI36=1,$BL36=1,$BH36&gt;0),IF($BI36=1,SUM('Final Calculation Sheet'!$Z$4:$Z$40),IF($BL36=1,SUM('Final Calculation Sheet'!$Z$4:$Z$40)-SUMIFS('Final Calculation Sheet'!$Z$4:$Z$40,$AZ$5:$AZ$41,10),SUMIFS('Final Calculation Sheet'!$Z$4:$Z$40,$AZ$5:$AZ$41,$BH36))),""))</f>
        <v/>
      </c>
      <c r="AB37" s="70">
        <f>IF($BJ36&gt;0,IF(INDEX('Final Calculation Sheet'!$AA$4:$AA$40,$BJ36-3)="","",INDEX('Final Calculation Sheet'!$AA$4:$AA$40,$BJ36-3)),IF(OR($BI36=1,$BL36=1,$BH36&gt;0),IF($BI36=1,SUM('Final Calculation Sheet'!$AA$4:$AA$40),IF($BL36=1,SUM('Final Calculation Sheet'!$AA$4:$AA$40)-SUMIFS('Final Calculation Sheet'!$AA$4:$AA$40,$AZ$5:$AZ$41,10),SUMIFS('Final Calculation Sheet'!$AA$4:$AA$40,$AZ$5:$AZ$41,$BH36))),""))</f>
        <v/>
      </c>
      <c r="AC37" s="70">
        <f>IF($BJ36&gt;0,IF(INDEX('Final Calculation Sheet'!$AB$4:$AB$40,$BJ36-3)="","",INDEX('Final Calculation Sheet'!$AB$4:$AB$40,$BJ36-3)),IF(OR($BI36=1,$BL36=1,$BH36&gt;0),"–",""))</f>
        <v/>
      </c>
      <c r="AD37" s="70">
        <f>IF($BJ36&gt;0,IF(INDEX('Final Calculation Sheet'!$AC$4:$AC$40,$BJ36-3)="","",INDEX('Final Calculation Sheet'!$AC$4:$AC$40,$BJ36-3)),IF(OR($BI36=1,$BL36=1,$BH36&gt;0),IF($BI36=1,SUM('Final Calculation Sheet'!$AC$4:$AC$40),IF($BL36=1,SUM('Final Calculation Sheet'!$AC$4:$AC$40)-SUMIFS('Final Calculation Sheet'!$AC$4:$AC$40,$AZ$5:$AZ$41,10),SUMIFS('Final Calculation Sheet'!$AC$4:$AC$40,$AZ$5:$AZ$41,$BH36))),""))</f>
        <v/>
      </c>
      <c r="AE37" s="70">
        <f>IF($BJ36&gt;0,IF(INDEX('Final Calculation Sheet'!$AD$4:$AD$40,$BJ36-3)="","",INDEX('Final Calculation Sheet'!$AD$4:$AD$40,$BJ36-3)),IF(OR($BI36=1,$BL36=1,$BH36&gt;0),IF($BI36=1,SUM('Final Calculation Sheet'!$AD$4:$AD$40),IF($BL36=1,SUM('Final Calculation Sheet'!$AD$4:$AD$40)-SUMIFS('Final Calculation Sheet'!$AD$4:$AD$40,$AZ$5:$AZ$41,10),SUMIFS('Final Calculation Sheet'!$AD$4:$AD$40,$AZ$5:$AZ$41,$BH36))),""))</f>
        <v/>
      </c>
      <c r="AF37" s="75">
        <f>IF($BJ36&gt;0,IF(INDEX('Final Calculation Sheet'!$AD$4:$AD$40,$BJ36-3)="","",IF(INDEX('Final Calculation Sheet'!$AD$4:$AD$40,$BJ36-3)&lt;=5,"SETTLED","OUTSTANDING")),IF(OR($BI36=1,$BL36=1,$BH36&gt;0),IF(IF($BI36=1,SUM('Final Calculation Sheet'!$AD$4:$AD$40),IF($BL36=1,SUM('Final Calculation Sheet'!$AD$4:$AD$40)-SUMIFS('Final Calculation Sheet'!$AD$4:$AD$40,$AZ$5:$AZ$41,10),SUMIFS('Final Calculation Sheet'!$AD$4:$AD$40,$AZ$5:$AZ$41,$BH36)))&lt;=5,"ALL SETTLED","OUTSTANDING"),""))</f>
        <v/>
      </c>
      <c r="AG37" s="70">
        <f>IF($BJ36&gt;0,IF(INDEX('Final Calculation Sheet'!$AF$4:$AF$40,$BJ36-3)="","",INDEX('Final Calculation Sheet'!$AF$4:$AF$40,$BJ36-3)),IF(OR($BI36=1,$BL36=1,$BH36&gt;0),"–",""))</f>
        <v/>
      </c>
      <c r="AH37" s="74">
        <f>IF($BJ36&gt;0,IF(INDEX('Final Calculation Sheet'!$AG$4:$AG$40,$BJ36-3)="","",INDEX('Final Calculation Sheet'!$AG$4:$AG$40,$BJ36-3)),IF(OR($BI36=1,$BL36=1,$BH36&gt;0),"–",""))</f>
        <v/>
      </c>
      <c r="AI37" s="70">
        <f>IF($BJ36&gt;0,IF(INDEX('Final Calculation Sheet'!$AH$4:$AH$40,$BJ36-3)="","",INDEX('Final Calculation Sheet'!$AH$4:$AH$40,$BJ36-3)),IF(OR($BI36=1,$BL36=1,$BH36&gt;0),"–",""))</f>
        <v/>
      </c>
      <c r="AK37">
        <f>IF($F$3="Lot No.",'Final Calculation Sheet'!$F$36,IF($F$3="Buyer",'Final Calculation Sheet'!$G$36,IF($F$3="Lot Name",'Final Calculation Sheet'!$B$36,IF($F$3="Bid Sheet",'Final Calculation Sheet'!$D$36,IF($F$3="Unit",'Final Calculation Sheet'!$E$36,'Final Calculation Sheet'!$F$36&amp;" "&amp;'Final Calculation Sheet'!$G$36&amp;" "&amp;'Final Calculation Sheet'!$B$36)))))</f>
        <v/>
      </c>
      <c r="AL37">
        <f>AL36+IF($B$3="",0,--(SUMPRODUCT(--($AR$6:$AY$6&lt;&gt;""),--ISNUMBER(SEARCH($AR$6:$AY$6,$AK37)))&gt;0))</f>
        <v/>
      </c>
      <c r="AM37">
        <f>IF(COUNTIF($BM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AZ37">
        <f>IF($B$3="",IF(COUNTIF($A$4:$AI$4,"&lt;&gt;")=0,9,IF($AM37=1,9,10)),IF($AM37=0,10,IF(AND($AR$6&lt;&gt;"",ISNUMBER(SEARCH($AR$6,$AK37))),1,IF(AND($AS$6&lt;&gt;"",ISNUMBER(SEARCH($AS$6,$AK37))),2,IF(AND($AT$6&lt;&gt;"",ISNUMBER(SEARCH($AT$6,$AK37))),3,IF(AND($AU$6&lt;&gt;"",ISNUMBER(SEARCH($AU$6,$AK37))),4,IF(AND($AV$6&lt;&gt;"",ISNUMBER(SEARCH($AV$6,$AK37))),5,IF(AND($AW$6&lt;&gt;"",ISNUMBER(SEARCH($AW$6,$AK37))),6,IF(AND($AX$6&lt;&gt;"",ISNUMBER(SEARCH($AX$6,$AK37))),7,IF(AND($AY$6&lt;&gt;"",ISNUMBER(SEARCH($AY$6,$AK37))),8,0))))))))))</f>
        <v/>
      </c>
      <c r="BA37">
        <f>SUMPRODUCT(($AZ$5:$AZ$41=$AZ37)*($BC$5:$BC$41&lt;$BC37))+1</f>
        <v/>
      </c>
      <c r="BB37">
        <f>IF(INDEX($BF$4:$BF$13,$AZ37)=0,0,INDEX($BE$4:$BE$13,$AZ37)+$BA37-1)</f>
        <v/>
      </c>
      <c r="BC37" t="n">
        <v>36</v>
      </c>
      <c r="BH37">
        <f>IFERROR(MATCH(37,$BF$4:$BF$13,0),0)</f>
        <v/>
      </c>
      <c r="BI37">
        <f>IF(37=$BG$5,1,0)</f>
        <v/>
      </c>
      <c r="BJ37">
        <f>IF(OR($BH37&gt;0,$BI37=1,$BL37=1),0,IFERROR(INDEX($BC$5:$BC$41,MATCH(37,$BB$5:$BB$41,0)),0))</f>
        <v/>
      </c>
      <c r="BK37">
        <f>IF($BJ37&gt;0,IF(INDEX($AZ$5:$AZ$41,MATCH(37,$BB$5:$BB$41,0))=10,1,0),IF($BH37=10,1,0))</f>
        <v/>
      </c>
      <c r="BL37">
        <f>IF(37=$BG$4,1,0)</f>
        <v/>
      </c>
      <c r="BM37">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7">
        <f>IF($B$4="",1,--(OR(SUMPRODUCT(--(TRIM(MID(SUBSTITUTE(SUBSTITUTE($B$4,"/",","),",",REPT(" ",99)),(ROW($1:$8)-1)*99+1,99))&lt;&gt;""),--ISNUMBER(SEARCH(TRIM(MID(SUBSTITUTE(SUBSTITUTE($B$4,"/",","),",",REPT(" ",99)),(ROW($1:$8)-1)*99+1,99)),IFERROR(('Final Calculation Sheet'!$F$36)&amp;"",""))))&gt;0,AND(ISNUMBER(SEARCH("blank",$B$4)),NOT(ISNUMBER(SEARCH("nonblank",$B$4))),IFERROR(('Final Calculation Sheet'!$F$36)&amp;"","")=""),AND(OR(ISNUMBER(SEARCH("nonblank",$B$4)),ISNUMBER(SEARCH("&lt;&gt;",$B$4))),IFERROR(('Final Calculation Sheet'!$F$36)&amp;"","")&lt;&gt;""),AND(TRIM($B$4)="",IFERROR(('Final Calculation Sheet'!$F$36)&amp;"","")=""))))</f>
        <v/>
      </c>
      <c r="BO37">
        <f>IF($CW$3="",1,--(OR(SUMPRODUCT(--(TRIM(MID(SUBSTITUTE(SUBSTITUTE($CW$3,"/",","),",",REPT(" ",99)),(ROW($1:$8)-1)*99+1,99))&lt;&gt;""),--ISNUMBER(SEARCH(TRIM(MID(SUBSTITUTE(SUBSTITUTE($CW$3,"/",","),",",REPT(" ",99)),(ROW($1:$8)-1)*99+1,99)),IFERROR(('Final Calculation Sheet'!$G$36)&amp;"",""))))&gt;0,AND(ISNUMBER(SEARCH("blank",$CW$3)),NOT(ISNUMBER(SEARCH("nonblank",$CW$3))),IFERROR(('Final Calculation Sheet'!$G$36)&amp;"","")=""),AND(OR(ISNUMBER(SEARCH("nonblank",$CW$3)),ISNUMBER(SEARCH("&lt;&gt;",$CW$3))),IFERROR(('Final Calculation Sheet'!$G$36)&amp;"","")&lt;&gt;""),AND(TRIM($CW$3)="",IFERROR(('Final Calculation Sheet'!$G$36)&amp;"","")=""))))</f>
        <v/>
      </c>
      <c r="BP37">
        <f>IF($D$4="",1,--(OR(SUMPRODUCT(--(TRIM(MID(SUBSTITUTE(SUBSTITUTE($D$4,"/",","),",",REPT(" ",99)),(ROW($1:$8)-1)*99+1,99))&lt;&gt;""),--ISNUMBER(SEARCH(TRIM(MID(SUBSTITUTE(SUBSTITUTE($D$4,"/",","),",",REPT(" ",99)),(ROW($1:$8)-1)*99+1,99)),IFERROR(('Final Calculation Sheet'!$B$36)&amp;"",""))))&gt;0,AND(ISNUMBER(SEARCH("blank",$D$4)),NOT(ISNUMBER(SEARCH("nonblank",$D$4))),IFERROR(('Final Calculation Sheet'!$B$36)&amp;"","")=""),AND(OR(ISNUMBER(SEARCH("nonblank",$D$4)),ISNUMBER(SEARCH("&lt;&gt;",$D$4))),IFERROR(('Final Calculation Sheet'!$B$36)&amp;"","")&lt;&gt;""),AND(TRIM($D$4)="",IFERROR(('Final Calculation Sheet'!$B$36)&amp;"","")=""))))</f>
        <v/>
      </c>
      <c r="BQ37">
        <f>IF($E$4="",1,--(OR(SUMPRODUCT(--(TRIM(MID(SUBSTITUTE(SUBSTITUTE($E$4,"/",","),",",REPT(" ",99)),(ROW($1:$8)-1)*99+1,99))&lt;&gt;""),--ISNUMBER(SEARCH(TRIM(MID(SUBSTITUTE(SUBSTITUTE($E$4,"/",","),",",REPT(" ",99)),(ROW($1:$8)-1)*99+1,99)),IFERROR(('Final Calculation Sheet'!$D$36)&amp;"",""))))&gt;0,AND(ISNUMBER(SEARCH("blank",$E$4)),NOT(ISNUMBER(SEARCH("nonblank",$E$4))),IFERROR(('Final Calculation Sheet'!$D$36)&amp;"","")=""),AND(OR(ISNUMBER(SEARCH("nonblank",$E$4)),ISNUMBER(SEARCH("&lt;&gt;",$E$4))),IFERROR(('Final Calculation Sheet'!$D$36)&amp;"","")&lt;&gt;""),AND(TRIM($E$4)="",IFERROR(('Final Calculation Sheet'!$D$36)&amp;"","")=""))))</f>
        <v/>
      </c>
      <c r="BR37">
        <f>IF($F$4="",1,--(OR(SUMPRODUCT(--(TRIM(MID(SUBSTITUTE(SUBSTITUTE($F$4,"/",","),",",REPT(" ",99)),(ROW($1:$8)-1)*99+1,99))&lt;&gt;""),--ISNUMBER(SEARCH(TRIM(MID(SUBSTITUTE(SUBSTITUTE($F$4,"/",","),",",REPT(" ",99)),(ROW($1:$8)-1)*99+1,99)),IFERROR(('Final Calculation Sheet'!$A$36)&amp;"",""))))&gt;0,AND(ISNUMBER(SEARCH("blank",$F$4)),NOT(ISNUMBER(SEARCH("nonblank",$F$4))),IFERROR(('Final Calculation Sheet'!$A$36)&amp;"","")=""),AND(OR(ISNUMBER(SEARCH("nonblank",$F$4)),ISNUMBER(SEARCH("&lt;&gt;",$F$4))),IFERROR(('Final Calculation Sheet'!$A$36)&amp;"","")&lt;&gt;""),AND(TRIM($F$4)="",IFERROR(('Final Calculation Sheet'!$A$36)&amp;"","")=""))))</f>
        <v/>
      </c>
      <c r="BS37">
        <f>IF($G$4="",1,--(OR(SUMPRODUCT(--(TRIM(MID(SUBSTITUTE(SUBSTITUTE($G$4,"/",","),",",REPT(" ",99)),(ROW($1:$8)-1)*99+1,99))&lt;&gt;""),--ISNUMBER(SEARCH(TRIM(MID(SUBSTITUTE(SUBSTITUTE($G$4,"/",","),",",REPT(" ",99)),(ROW($1:$8)-1)*99+1,99)),IFERROR(('Final Calculation Sheet'!$E$36)&amp;"",""))))&gt;0,AND(ISNUMBER(SEARCH("blank",$G$4)),NOT(ISNUMBER(SEARCH("nonblank",$G$4))),IFERROR(('Final Calculation Sheet'!$E$36)&amp;"","")=""),AND(OR(ISNUMBER(SEARCH("nonblank",$G$4)),ISNUMBER(SEARCH("&lt;&gt;",$G$4))),IFERROR(('Final Calculation Sheet'!$E$36)&amp;"","")&lt;&gt;""),AND(TRIM($G$4)="",IFERROR(('Final Calculation Sheet'!$E$36)&amp;"","")=""))))</f>
        <v/>
      </c>
      <c r="BT37">
        <f>IF($H$4="",1,--(OR(SUMPRODUCT(--(TRIM(MID(SUBSTITUTE(SUBSTITUTE($H$4,"/",","),",",REPT(" ",99)),(ROW($1:$8)-1)*99+1,99))&lt;&gt;""),--ISNUMBER(SEARCH(TRIM(MID(SUBSTITUTE(SUBSTITUTE($H$4,"/",","),",",REPT(" ",99)),(ROW($1:$8)-1)*99+1,99)),IFERROR(('Final Calculation Sheet'!$C$36)&amp;"",""))))&gt;0,AND(ISNUMBER(SEARCH("blank",$H$4)),NOT(ISNUMBER(SEARCH("nonblank",$H$4))),IFERROR(('Final Calculation Sheet'!$C$36)&amp;"","")=""),AND(OR(ISNUMBER(SEARCH("nonblank",$H$4)),ISNUMBER(SEARCH("&lt;&gt;",$H$4))),IFERROR(('Final Calculation Sheet'!$C$36)&amp;"","")&lt;&gt;""),AND(TRIM($H$4)="",IFERROR(('Final Calculation Sheet'!$C$36)&amp;"","")=""))))</f>
        <v/>
      </c>
      <c r="BU37">
        <f>IF($I$4="",1,--(OR(SUMPRODUCT(--(TRIM(MID(SUBSTITUTE(SUBSTITUTE($I$4,"/",","),",",REPT(" ",99)),(ROW($1:$8)-1)*99+1,99))&lt;&gt;""),--ISNUMBER(SEARCH(TRIM(MID(SUBSTITUTE(SUBSTITUTE($I$4,"/",","),",",REPT(" ",99)),(ROW($1:$8)-1)*99+1,99)),IFERROR(('Final Calculation Sheet'!$H$36)&amp;"",""))))&gt;0,AND(ISNUMBER(SEARCH("blank",$I$4)),NOT(ISNUMBER(SEARCH("nonblank",$I$4))),IFERROR(('Final Calculation Sheet'!$H$36)&amp;"","")=""),AND(OR(ISNUMBER(SEARCH("nonblank",$I$4)),ISNUMBER(SEARCH("&lt;&gt;",$I$4))),IFERROR(('Final Calculation Sheet'!$H$36)&amp;"","")&lt;&gt;""),AND(TRIM($I$4)="",IFERROR(('Final Calculation Sheet'!$H$36)&amp;"","")=""))))</f>
        <v/>
      </c>
      <c r="BV37">
        <f>IF($J$4="",1,--(OR(SUMPRODUCT(--(TRIM(MID(SUBSTITUTE(SUBSTITUTE($J$4,"/",","),",",REPT(" ",99)),(ROW($1:$8)-1)*99+1,99))&lt;&gt;""),--ISNUMBER(SEARCH(TRIM(MID(SUBSTITUTE(SUBSTITUTE($J$4,"/",","),",",REPT(" ",99)),(ROW($1:$8)-1)*99+1,99)),IFERROR(('Final Calculation Sheet'!$I$36)&amp;"",""))))&gt;0,AND(ISNUMBER(SEARCH("blank",$J$4)),NOT(ISNUMBER(SEARCH("nonblank",$J$4))),IFERROR(('Final Calculation Sheet'!$I$36)&amp;"","")=""),AND(OR(ISNUMBER(SEARCH("nonblank",$J$4)),ISNUMBER(SEARCH("&lt;&gt;",$J$4))),IFERROR(('Final Calculation Sheet'!$I$36)&amp;"","")&lt;&gt;""),AND(TRIM($J$4)="",IFERROR(('Final Calculation Sheet'!$I$36)&amp;"","")=""))))</f>
        <v/>
      </c>
      <c r="BW37">
        <f>IF($K$4="",1,--(OR(SUMPRODUCT(--(TRIM(MID(SUBSTITUTE(SUBSTITUTE($K$4,"/",","),",",REPT(" ",99)),(ROW($1:$8)-1)*99+1,99))&lt;&gt;""),--ISNUMBER(SEARCH(TRIM(MID(SUBSTITUTE(SUBSTITUTE($K$4,"/",","),",",REPT(" ",99)),(ROW($1:$8)-1)*99+1,99)),IFERROR(('Final Calculation Sheet'!$J$36)&amp;"",""))))&gt;0,AND(ISNUMBER(SEARCH("blank",$K$4)),NOT(ISNUMBER(SEARCH("nonblank",$K$4))),IFERROR(('Final Calculation Sheet'!$J$36)&amp;"","")=""),AND(OR(ISNUMBER(SEARCH("nonblank",$K$4)),ISNUMBER(SEARCH("&lt;&gt;",$K$4))),IFERROR(('Final Calculation Sheet'!$J$36)&amp;"","")&lt;&gt;""),AND(TRIM($K$4)="",IFERROR(('Final Calculation Sheet'!$J$36)&amp;"","")=""))))</f>
        <v/>
      </c>
      <c r="BX37">
        <f>IF($L$4="",1,--(OR(SUMPRODUCT(--(TRIM(MID(SUBSTITUTE(SUBSTITUTE($L$4,"/",","),",",REPT(" ",99)),(ROW($1:$8)-1)*99+1,99))&lt;&gt;""),--ISNUMBER(SEARCH(TRIM(MID(SUBSTITUTE(SUBSTITUTE($L$4,"/",","),",",REPT(" ",99)),(ROW($1:$8)-1)*99+1,99)),IFERROR(('Final Calculation Sheet'!$K$36)&amp;"",""))))&gt;0,AND(ISNUMBER(SEARCH("blank",$L$4)),NOT(ISNUMBER(SEARCH("nonblank",$L$4))),IFERROR(('Final Calculation Sheet'!$K$36)&amp;"","")=""),AND(OR(ISNUMBER(SEARCH("nonblank",$L$4)),ISNUMBER(SEARCH("&lt;&gt;",$L$4))),IFERROR(('Final Calculation Sheet'!$K$36)&amp;"","")&lt;&gt;""),AND(TRIM($L$4)="",IFERROR(('Final Calculation Sheet'!$K$36)&amp;"","")=""))))</f>
        <v/>
      </c>
      <c r="BY37">
        <f>IF($M$4="",1,--(OR(SUMPRODUCT(--(TRIM(MID(SUBSTITUTE(SUBSTITUTE($M$4,"/",","),",",REPT(" ",99)),(ROW($1:$8)-1)*99+1,99))&lt;&gt;""),--ISNUMBER(SEARCH(TRIM(MID(SUBSTITUTE(SUBSTITUTE($M$4,"/",","),",",REPT(" ",99)),(ROW($1:$8)-1)*99+1,99)),IFERROR(('Final Calculation Sheet'!$L$36)&amp;"",""))))&gt;0,AND(ISNUMBER(SEARCH("blank",$M$4)),NOT(ISNUMBER(SEARCH("nonblank",$M$4))),IFERROR(('Final Calculation Sheet'!$L$36)&amp;"","")=""),AND(OR(ISNUMBER(SEARCH("nonblank",$M$4)),ISNUMBER(SEARCH("&lt;&gt;",$M$4))),IFERROR(('Final Calculation Sheet'!$L$36)&amp;"","")&lt;&gt;""),AND(TRIM($M$4)="",IFERROR(('Final Calculation Sheet'!$L$36)&amp;"","")=""))))</f>
        <v/>
      </c>
      <c r="BZ37">
        <f>IF($N$4="",1,--(OR(SUMPRODUCT(--(TRIM(MID(SUBSTITUTE(SUBSTITUTE($N$4,"/",","),",",REPT(" ",99)),(ROW($1:$8)-1)*99+1,99))&lt;&gt;""),--ISNUMBER(SEARCH(TRIM(MID(SUBSTITUTE(SUBSTITUTE($N$4,"/",","),",",REPT(" ",99)),(ROW($1:$8)-1)*99+1,99)),IFERROR(('Final Calculation Sheet'!$M$36)&amp;"",""))))&gt;0,AND(ISNUMBER(SEARCH("blank",$N$4)),NOT(ISNUMBER(SEARCH("nonblank",$N$4))),IFERROR(('Final Calculation Sheet'!$M$36)&amp;"","")=""),AND(OR(ISNUMBER(SEARCH("nonblank",$N$4)),ISNUMBER(SEARCH("&lt;&gt;",$N$4))),IFERROR(('Final Calculation Sheet'!$M$36)&amp;"","")&lt;&gt;""),AND(TRIM($N$4)="",IFERROR(('Final Calculation Sheet'!$M$36)&amp;"","")=""))))</f>
        <v/>
      </c>
      <c r="CA37">
        <f>IF($O$4="",1,--(OR(SUMPRODUCT(--(TRIM(MID(SUBSTITUTE(SUBSTITUTE($O$4,"/",","),",",REPT(" ",99)),(ROW($1:$8)-1)*99+1,99))&lt;&gt;""),--ISNUMBER(SEARCH(TRIM(MID(SUBSTITUTE(SUBSTITUTE($O$4,"/",","),",",REPT(" ",99)),(ROW($1:$8)-1)*99+1,99)),IFERROR(('Final Calculation Sheet'!$N$36)&amp;"",""))))&gt;0,AND(ISNUMBER(SEARCH("blank",$O$4)),NOT(ISNUMBER(SEARCH("nonblank",$O$4))),IFERROR(('Final Calculation Sheet'!$N$36)&amp;"","")=""),AND(OR(ISNUMBER(SEARCH("nonblank",$O$4)),ISNUMBER(SEARCH("&lt;&gt;",$O$4))),IFERROR(('Final Calculation Sheet'!$N$36)&amp;"","")&lt;&gt;""),AND(TRIM($O$4)="",IFERROR(('Final Calculation Sheet'!$N$36)&amp;"","")=""))))</f>
        <v/>
      </c>
      <c r="CB37">
        <f>IF($P$4="",1,--(OR(SUMPRODUCT(--(TRIM(MID(SUBSTITUTE(SUBSTITUTE($P$4,"/",","),",",REPT(" ",99)),(ROW($1:$8)-1)*99+1,99))&lt;&gt;""),--ISNUMBER(SEARCH(TRIM(MID(SUBSTITUTE(SUBSTITUTE($P$4,"/",","),",",REPT(" ",99)),(ROW($1:$8)-1)*99+1,99)),IFERROR(('Final Calculation Sheet'!$O$36)&amp;"",""))))&gt;0,AND(ISNUMBER(SEARCH("blank",$P$4)),NOT(ISNUMBER(SEARCH("nonblank",$P$4))),IFERROR(('Final Calculation Sheet'!$O$36)&amp;"","")=""),AND(OR(ISNUMBER(SEARCH("nonblank",$P$4)),ISNUMBER(SEARCH("&lt;&gt;",$P$4))),IFERROR(('Final Calculation Sheet'!$O$36)&amp;"","")&lt;&gt;""),AND(TRIM($P$4)="",IFERROR(('Final Calculation Sheet'!$O$36)&amp;"","")=""))))</f>
        <v/>
      </c>
      <c r="CC37">
        <f>IF($Q$4="",1,--(OR(SUMPRODUCT(--(TRIM(MID(SUBSTITUTE(SUBSTITUTE($Q$4,"/",","),",",REPT(" ",99)),(ROW($1:$8)-1)*99+1,99))&lt;&gt;""),--ISNUMBER(SEARCH(TRIM(MID(SUBSTITUTE(SUBSTITUTE($Q$4,"/",","),",",REPT(" ",99)),(ROW($1:$8)-1)*99+1,99)),IFERROR(('Final Calculation Sheet'!$P$36)&amp;"",""))))&gt;0,AND(ISNUMBER(SEARCH("blank",$Q$4)),NOT(ISNUMBER(SEARCH("nonblank",$Q$4))),IFERROR(('Final Calculation Sheet'!$P$36)&amp;"","")=""),AND(OR(ISNUMBER(SEARCH("nonblank",$Q$4)),ISNUMBER(SEARCH("&lt;&gt;",$Q$4))),IFERROR(('Final Calculation Sheet'!$P$36)&amp;"","")&lt;&gt;""),AND(TRIM($Q$4)="",IFERROR(('Final Calculation Sheet'!$P$36)&amp;"","")=""))))</f>
        <v/>
      </c>
      <c r="CD37">
        <f>IF($R$4="",1,--(OR(SUMPRODUCT(--(TRIM(MID(SUBSTITUTE(SUBSTITUTE($R$4,"/",","),",",REPT(" ",99)),(ROW($1:$8)-1)*99+1,99))&lt;&gt;""),--ISNUMBER(SEARCH(TRIM(MID(SUBSTITUTE(SUBSTITUTE($R$4,"/",","),",",REPT(" ",99)),(ROW($1:$8)-1)*99+1,99)),IFERROR(('Final Calculation Sheet'!$Q$36)&amp;"",""))))&gt;0,AND(ISNUMBER(SEARCH("blank",$R$4)),NOT(ISNUMBER(SEARCH("nonblank",$R$4))),IFERROR(('Final Calculation Sheet'!$Q$36)&amp;"","")=""),AND(OR(ISNUMBER(SEARCH("nonblank",$R$4)),ISNUMBER(SEARCH("&lt;&gt;",$R$4))),IFERROR(('Final Calculation Sheet'!$Q$36)&amp;"","")&lt;&gt;""),AND(TRIM($R$4)="",IFERROR(('Final Calculation Sheet'!$Q$36)&amp;"","")=""))))</f>
        <v/>
      </c>
      <c r="CE37">
        <f>IF($S$4="",1,--(OR(SUMPRODUCT(--(TRIM(MID(SUBSTITUTE(SUBSTITUTE($S$4,"/",","),",",REPT(" ",99)),(ROW($1:$8)-1)*99+1,99))&lt;&gt;""),--ISNUMBER(SEARCH(TRIM(MID(SUBSTITUTE(SUBSTITUTE($S$4,"/",","),",",REPT(" ",99)),(ROW($1:$8)-1)*99+1,99)),IFERROR(('Final Calculation Sheet'!$R$36)&amp;"",""))))&gt;0,AND(ISNUMBER(SEARCH("blank",$S$4)),NOT(ISNUMBER(SEARCH("nonblank",$S$4))),IFERROR(('Final Calculation Sheet'!$R$36)&amp;"","")=""),AND(OR(ISNUMBER(SEARCH("nonblank",$S$4)),ISNUMBER(SEARCH("&lt;&gt;",$S$4))),IFERROR(('Final Calculation Sheet'!$R$36)&amp;"","")&lt;&gt;""),AND(TRIM($S$4)="",IFERROR(('Final Calculation Sheet'!$R$36)&amp;"","")=""))))</f>
        <v/>
      </c>
      <c r="CF37">
        <f>IF($T$4="",1,--(OR(SUMPRODUCT(--(TRIM(MID(SUBSTITUTE(SUBSTITUTE($T$4,"/",","),",",REPT(" ",99)),(ROW($1:$8)-1)*99+1,99))&lt;&gt;""),--ISNUMBER(SEARCH(TRIM(MID(SUBSTITUTE(SUBSTITUTE($T$4,"/",","),",",REPT(" ",99)),(ROW($1:$8)-1)*99+1,99)),IFERROR(('Final Calculation Sheet'!$S$36)&amp;"",""))))&gt;0,AND(ISNUMBER(SEARCH("blank",$T$4)),NOT(ISNUMBER(SEARCH("nonblank",$T$4))),IFERROR(('Final Calculation Sheet'!$S$36)&amp;"","")=""),AND(OR(ISNUMBER(SEARCH("nonblank",$T$4)),ISNUMBER(SEARCH("&lt;&gt;",$T$4))),IFERROR(('Final Calculation Sheet'!$S$36)&amp;"","")&lt;&gt;""),AND(TRIM($T$4)="",IFERROR(('Final Calculation Sheet'!$S$36)&amp;"","")=""))))</f>
        <v/>
      </c>
      <c r="CG37">
        <f>IF($U$4="",1,--(OR(SUMPRODUCT(--(TRIM(MID(SUBSTITUTE(SUBSTITUTE($U$4,"/",","),",",REPT(" ",99)),(ROW($1:$8)-1)*99+1,99))&lt;&gt;""),--ISNUMBER(SEARCH(TRIM(MID(SUBSTITUTE(SUBSTITUTE($U$4,"/",","),",",REPT(" ",99)),(ROW($1:$8)-1)*99+1,99)),IFERROR(('Final Calculation Sheet'!$T$36)&amp;"",""))))&gt;0,AND(ISNUMBER(SEARCH("blank",$U$4)),NOT(ISNUMBER(SEARCH("nonblank",$U$4))),IFERROR(('Final Calculation Sheet'!$T$36)&amp;"","")=""),AND(OR(ISNUMBER(SEARCH("nonblank",$U$4)),ISNUMBER(SEARCH("&lt;&gt;",$U$4))),IFERROR(('Final Calculation Sheet'!$T$36)&amp;"","")&lt;&gt;""),AND(TRIM($U$4)="",IFERROR(('Final Calculation Sheet'!$T$36)&amp;"","")=""))))</f>
        <v/>
      </c>
      <c r="CH37">
        <f>IF($V$4="",1,--(OR(SUMPRODUCT(--(TRIM(MID(SUBSTITUTE(SUBSTITUTE($V$4,"/",","),",",REPT(" ",99)),(ROW($1:$8)-1)*99+1,99))&lt;&gt;""),--ISNUMBER(SEARCH(TRIM(MID(SUBSTITUTE(SUBSTITUTE($V$4,"/",","),",",REPT(" ",99)),(ROW($1:$8)-1)*99+1,99)),IFERROR(('Final Calculation Sheet'!$U$36)&amp;"",""))))&gt;0,AND(ISNUMBER(SEARCH("blank",$V$4)),NOT(ISNUMBER(SEARCH("nonblank",$V$4))),IFERROR(('Final Calculation Sheet'!$U$36)&amp;"","")=""),AND(OR(ISNUMBER(SEARCH("nonblank",$V$4)),ISNUMBER(SEARCH("&lt;&gt;",$V$4))),IFERROR(('Final Calculation Sheet'!$U$36)&amp;"","")&lt;&gt;""),AND(TRIM($V$4)="",IFERROR(('Final Calculation Sheet'!$U$36)&amp;"","")=""))))</f>
        <v/>
      </c>
      <c r="CI37">
        <f>IF($W$4="",1,--(OR(SUMPRODUCT(--(TRIM(MID(SUBSTITUTE(SUBSTITUTE($W$4,"/",","),",",REPT(" ",99)),(ROW($1:$8)-1)*99+1,99))&lt;&gt;""),--ISNUMBER(SEARCH(TRIM(MID(SUBSTITUTE(SUBSTITUTE($W$4,"/",","),",",REPT(" ",99)),(ROW($1:$8)-1)*99+1,99)),IFERROR(('Final Calculation Sheet'!$V$36)&amp;"",""))))&gt;0,AND(ISNUMBER(SEARCH("blank",$W$4)),NOT(ISNUMBER(SEARCH("nonblank",$W$4))),IFERROR(('Final Calculation Sheet'!$V$36)&amp;"","")=""),AND(OR(ISNUMBER(SEARCH("nonblank",$W$4)),ISNUMBER(SEARCH("&lt;&gt;",$W$4))),IFERROR(('Final Calculation Sheet'!$V$36)&amp;"","")&lt;&gt;""),AND(TRIM($W$4)="",IFERROR(('Final Calculation Sheet'!$V$36)&amp;"","")=""))))</f>
        <v/>
      </c>
      <c r="CJ37">
        <f>IF($X$4="",1,--(OR(SUMPRODUCT(--(TRIM(MID(SUBSTITUTE(SUBSTITUTE($X$4,"/",","),",",REPT(" ",99)),(ROW($1:$8)-1)*99+1,99))&lt;&gt;""),--ISNUMBER(SEARCH(TRIM(MID(SUBSTITUTE(SUBSTITUTE($X$4,"/",","),",",REPT(" ",99)),(ROW($1:$8)-1)*99+1,99)),IFERROR(('Final Calculation Sheet'!$W$36)&amp;"",""))))&gt;0,AND(ISNUMBER(SEARCH("blank",$X$4)),NOT(ISNUMBER(SEARCH("nonblank",$X$4))),IFERROR(('Final Calculation Sheet'!$W$36)&amp;"","")=""),AND(OR(ISNUMBER(SEARCH("nonblank",$X$4)),ISNUMBER(SEARCH("&lt;&gt;",$X$4))),IFERROR(('Final Calculation Sheet'!$W$36)&amp;"","")&lt;&gt;""),AND(TRIM($X$4)="",IFERROR(('Final Calculation Sheet'!$W$36)&amp;"","")=""))))</f>
        <v/>
      </c>
      <c r="CK37">
        <f>IF($Y$4="",1,--(OR(SUMPRODUCT(--(TRIM(MID(SUBSTITUTE(SUBSTITUTE($Y$4,"/",","),",",REPT(" ",99)),(ROW($1:$8)-1)*99+1,99))&lt;&gt;""),--ISNUMBER(SEARCH(TRIM(MID(SUBSTITUTE(SUBSTITUTE($Y$4,"/",","),",",REPT(" ",99)),(ROW($1:$8)-1)*99+1,99)),IFERROR(('Final Calculation Sheet'!$X$36)&amp;"",""))))&gt;0,AND(ISNUMBER(SEARCH("blank",$Y$4)),NOT(ISNUMBER(SEARCH("nonblank",$Y$4))),IFERROR(('Final Calculation Sheet'!$X$36)&amp;"","")=""),AND(OR(ISNUMBER(SEARCH("nonblank",$Y$4)),ISNUMBER(SEARCH("&lt;&gt;",$Y$4))),IFERROR(('Final Calculation Sheet'!$X$36)&amp;"","")&lt;&gt;""),AND(TRIM($Y$4)="",IFERROR(('Final Calculation Sheet'!$X$36)&amp;"","")=""))))</f>
        <v/>
      </c>
      <c r="CL37">
        <f>IF($Z$4="",1,--(OR(SUMPRODUCT(--(TRIM(MID(SUBSTITUTE(SUBSTITUTE($Z$4,"/",","),",",REPT(" ",99)),(ROW($1:$8)-1)*99+1,99))&lt;&gt;""),--ISNUMBER(SEARCH(TRIM(MID(SUBSTITUTE(SUBSTITUTE($Z$4,"/",","),",",REPT(" ",99)),(ROW($1:$8)-1)*99+1,99)),IFERROR(('Final Calculation Sheet'!$Y$36)&amp;"",""))))&gt;0,AND(ISNUMBER(SEARCH("blank",$Z$4)),NOT(ISNUMBER(SEARCH("nonblank",$Z$4))),IFERROR(('Final Calculation Sheet'!$Y$36)&amp;"","")=""),AND(OR(ISNUMBER(SEARCH("nonblank",$Z$4)),ISNUMBER(SEARCH("&lt;&gt;",$Z$4))),IFERROR(('Final Calculation Sheet'!$Y$36)&amp;"","")&lt;&gt;""),AND(TRIM($Z$4)="",IFERROR(('Final Calculation Sheet'!$Y$36)&amp;"","")=""))))</f>
        <v/>
      </c>
      <c r="CM37">
        <f>IF($AA$4="",1,--(OR(SUMPRODUCT(--(TRIM(MID(SUBSTITUTE(SUBSTITUTE($AA$4,"/",","),",",REPT(" ",99)),(ROW($1:$8)-1)*99+1,99))&lt;&gt;""),--ISNUMBER(SEARCH(TRIM(MID(SUBSTITUTE(SUBSTITUTE($AA$4,"/",","),",",REPT(" ",99)),(ROW($1:$8)-1)*99+1,99)),IFERROR(('Final Calculation Sheet'!$Z$36)&amp;"",""))))&gt;0,AND(ISNUMBER(SEARCH("blank",$AA$4)),NOT(ISNUMBER(SEARCH("nonblank",$AA$4))),IFERROR(('Final Calculation Sheet'!$Z$36)&amp;"","")=""),AND(OR(ISNUMBER(SEARCH("nonblank",$AA$4)),ISNUMBER(SEARCH("&lt;&gt;",$AA$4))),IFERROR(('Final Calculation Sheet'!$Z$36)&amp;"","")&lt;&gt;""),AND(TRIM($AA$4)="",IFERROR(('Final Calculation Sheet'!$Z$36)&amp;"","")=""))))</f>
        <v/>
      </c>
      <c r="CN37">
        <f>IF($AB$4="",1,--(OR(SUMPRODUCT(--(TRIM(MID(SUBSTITUTE(SUBSTITUTE($AB$4,"/",","),",",REPT(" ",99)),(ROW($1:$8)-1)*99+1,99))&lt;&gt;""),--ISNUMBER(SEARCH(TRIM(MID(SUBSTITUTE(SUBSTITUTE($AB$4,"/",","),",",REPT(" ",99)),(ROW($1:$8)-1)*99+1,99)),IFERROR(('Final Calculation Sheet'!$AA$36)&amp;"",""))))&gt;0,AND(ISNUMBER(SEARCH("blank",$AB$4)),NOT(ISNUMBER(SEARCH("nonblank",$AB$4))),IFERROR(('Final Calculation Sheet'!$AA$36)&amp;"","")=""),AND(OR(ISNUMBER(SEARCH("nonblank",$AB$4)),ISNUMBER(SEARCH("&lt;&gt;",$AB$4))),IFERROR(('Final Calculation Sheet'!$AA$36)&amp;"","")&lt;&gt;""),AND(TRIM($AB$4)="",IFERROR(('Final Calculation Sheet'!$AA$36)&amp;"","")=""))))</f>
        <v/>
      </c>
      <c r="CO37">
        <f>IF($AC$4="",1,--(OR(SUMPRODUCT(--(TRIM(MID(SUBSTITUTE(SUBSTITUTE($AC$4,"/",","),",",REPT(" ",99)),(ROW($1:$8)-1)*99+1,99))&lt;&gt;""),--ISNUMBER(SEARCH(TRIM(MID(SUBSTITUTE(SUBSTITUTE($AC$4,"/",","),",",REPT(" ",99)),(ROW($1:$8)-1)*99+1,99)),IFERROR(('Final Calculation Sheet'!$AB$36)&amp;"",""))))&gt;0,AND(ISNUMBER(SEARCH("blank",$AC$4)),NOT(ISNUMBER(SEARCH("nonblank",$AC$4))),IFERROR(('Final Calculation Sheet'!$AB$36)&amp;"","")=""),AND(OR(ISNUMBER(SEARCH("nonblank",$AC$4)),ISNUMBER(SEARCH("&lt;&gt;",$AC$4))),IFERROR(('Final Calculation Sheet'!$AB$36)&amp;"","")&lt;&gt;""),AND(TRIM($AC$4)="",IFERROR(('Final Calculation Sheet'!$AB$36)&amp;"","")=""))))</f>
        <v/>
      </c>
      <c r="CP37">
        <f>IF($AD$4="",1,--(OR(SUMPRODUCT(--(TRIM(MID(SUBSTITUTE(SUBSTITUTE($AD$4,"/",","),",",REPT(" ",99)),(ROW($1:$8)-1)*99+1,99))&lt;&gt;""),--ISNUMBER(SEARCH(TRIM(MID(SUBSTITUTE(SUBSTITUTE($AD$4,"/",","),",",REPT(" ",99)),(ROW($1:$8)-1)*99+1,99)),IFERROR(('Final Calculation Sheet'!$AC$36)&amp;"",""))))&gt;0,AND(ISNUMBER(SEARCH("blank",$AD$4)),NOT(ISNUMBER(SEARCH("nonblank",$AD$4))),IFERROR(('Final Calculation Sheet'!$AC$36)&amp;"","")=""),AND(OR(ISNUMBER(SEARCH("nonblank",$AD$4)),ISNUMBER(SEARCH("&lt;&gt;",$AD$4))),IFERROR(('Final Calculation Sheet'!$AC$36)&amp;"","")&lt;&gt;""),AND(TRIM($AD$4)="",IFERROR(('Final Calculation Sheet'!$AC$36)&amp;"","")=""))))</f>
        <v/>
      </c>
      <c r="CQ37">
        <f>IF($AE$4="",1,--(OR(SUMPRODUCT(--(TRIM(MID(SUBSTITUTE(SUBSTITUTE($AE$4,"/",","),",",REPT(" ",99)),(ROW($1:$8)-1)*99+1,99))&lt;&gt;""),--ISNUMBER(SEARCH(TRIM(MID(SUBSTITUTE(SUBSTITUTE($AE$4,"/",","),",",REPT(" ",99)),(ROW($1:$8)-1)*99+1,99)),IFERROR(('Final Calculation Sheet'!$AD$36)&amp;"",""))))&gt;0,AND(ISNUMBER(SEARCH("blank",$AE$4)),NOT(ISNUMBER(SEARCH("nonblank",$AE$4))),IFERROR(('Final Calculation Sheet'!$AD$36)&amp;"","")=""),AND(OR(ISNUMBER(SEARCH("nonblank",$AE$4)),ISNUMBER(SEARCH("&lt;&gt;",$AE$4))),IFERROR(('Final Calculation Sheet'!$AD$36)&amp;"","")&lt;&gt;""),AND(TRIM($AE$4)="",IFERROR(('Final Calculation Sheet'!$AD$36)&amp;"","")=""))))</f>
        <v/>
      </c>
      <c r="CR37">
        <f>IF($AG$4="",1,--(OR(SUMPRODUCT(--(TRIM(MID(SUBSTITUTE(SUBSTITUTE($AG$4,"/",","),",",REPT(" ",99)),(ROW($1:$8)-1)*99+1,99))&lt;&gt;""),--ISNUMBER(SEARCH(TRIM(MID(SUBSTITUTE(SUBSTITUTE($AG$4,"/",","),",",REPT(" ",99)),(ROW($1:$8)-1)*99+1,99)),IFERROR(('Final Calculation Sheet'!$AF$36)&amp;"",""))))&gt;0,AND(ISNUMBER(SEARCH("blank",$AG$4)),NOT(ISNUMBER(SEARCH("nonblank",$AG$4))),IFERROR(('Final Calculation Sheet'!$AF$36)&amp;"","")=""),AND(OR(ISNUMBER(SEARCH("nonblank",$AG$4)),ISNUMBER(SEARCH("&lt;&gt;",$AG$4))),IFERROR(('Final Calculation Sheet'!$AF$36)&amp;"","")&lt;&gt;""),AND(TRIM($AG$4)="",IFERROR(('Final Calculation Sheet'!$AF$36)&amp;"","")=""))))</f>
        <v/>
      </c>
      <c r="CS37">
        <f>IF($AH$4="",1,--(OR(SUMPRODUCT(--(TRIM(MID(SUBSTITUTE(SUBSTITUTE($AH$4,"/",","),",",REPT(" ",99)),(ROW($1:$8)-1)*99+1,99))&lt;&gt;""),--ISNUMBER(SEARCH(TRIM(MID(SUBSTITUTE(SUBSTITUTE($AH$4,"/",","),",",REPT(" ",99)),(ROW($1:$8)-1)*99+1,99)),IFERROR(('Final Calculation Sheet'!$AG$36)&amp;"",""))))&gt;0,AND(ISNUMBER(SEARCH("blank",$AH$4)),NOT(ISNUMBER(SEARCH("nonblank",$AH$4))),IFERROR(('Final Calculation Sheet'!$AG$36)&amp;"","")=""),AND(OR(ISNUMBER(SEARCH("nonblank",$AH$4)),ISNUMBER(SEARCH("&lt;&gt;",$AH$4))),IFERROR(('Final Calculation Sheet'!$AG$36)&amp;"","")&lt;&gt;""),AND(TRIM($AH$4)="",IFERROR(('Final Calculation Sheet'!$AG$36)&amp;"","")=""))))</f>
        <v/>
      </c>
      <c r="CT37">
        <f>IF($AI$4="",1,--(OR(SUMPRODUCT(--(TRIM(MID(SUBSTITUTE(SUBSTITUTE($AI$4,"/",","),",",REPT(" ",99)),(ROW($1:$8)-1)*99+1,99))&lt;&gt;""),--ISNUMBER(SEARCH(TRIM(MID(SUBSTITUTE(SUBSTITUTE($AI$4,"/",","),",",REPT(" ",99)),(ROW($1:$8)-1)*99+1,99)),IFERROR(('Final Calculation Sheet'!$AH$36)&amp;"",""))))&gt;0,AND(ISNUMBER(SEARCH("blank",$AI$4)),NOT(ISNUMBER(SEARCH("nonblank",$AI$4))),IFERROR(('Final Calculation Sheet'!$AH$36)&amp;"","")=""),AND(OR(ISNUMBER(SEARCH("nonblank",$AI$4)),ISNUMBER(SEARCH("&lt;&gt;",$AI$4))),IFERROR(('Final Calculation Sheet'!$AH$36)&amp;"","")&lt;&gt;""),AND(TRIM($AI$4)="",IFERROR(('Final Calculation Sheet'!$AH$36)&amp;"","")=""))))</f>
        <v/>
      </c>
      <c r="CU37">
        <f>IF($AF$4="",1,--(OR(SUMPRODUCT(--(TRIM(MID(SUBSTITUTE(SUBSTITUTE($AF$4,"/",","),",",REPT(" ",99)),(ROW($1:$8)-1)*99+1,99))&lt;&gt;""),--ISNUMBER(SEARCH(TRIM(MID(SUBSTITUTE(SUBSTITUTE($AF$4,"/",","),",",REPT(" ",99)),(ROW($1:$8)-1)*99+1,99)),IFERROR((IF('Final Calculation Sheet'!$AD$36&lt;=5,"SETTLED","OUTSTANDING"))&amp;"",""))))&gt;0,AND(ISNUMBER(SEARCH("blank",$AF$4)),NOT(ISNUMBER(SEARCH("nonblank",$AF$4))),IFERROR((IF('Final Calculation Sheet'!$AD$36&lt;=5,"SETTLED","OUTSTANDING"))&amp;"","")=""),AND(OR(ISNUMBER(SEARCH("nonblank",$AF$4)),ISNUMBER(SEARCH("&lt;&gt;",$AF$4))),IFERROR((IF('Final Calculation Sheet'!$AD$36&lt;=5,"SETTLED","OUTSTANDING"))&amp;"","")&lt;&gt;""),AND(TRIM($AF$4)="",IFERROR((IF('Final Calculation Sheet'!$AD$36&lt;=5,"SETTLED","OUTSTANDING"))&amp;"","")=""))))</f>
        <v/>
      </c>
    </row>
    <row r="38" ht="15" customHeight="1" s="137">
      <c r="A38" s="67">
        <f>IF($BJ37&gt;0,INDEX($BA$5:$BA$41,MATCH(37,$BB$5:$BB$41,0)),IF(OR($BI37=1,$BL37=1,$BH37&gt;0),"∑",""))</f>
        <v/>
      </c>
      <c r="B38" s="76">
        <f>IF($BJ37&gt;0,IF(INDEX('Final Calculation Sheet'!$F$4:$F$40,$BJ37-3)="","",INDEX('Final Calculation Sheet'!$F$4:$F$40,$BJ37-3)),"")</f>
        <v/>
      </c>
      <c r="C38" s="76">
        <f>IF($BJ37&gt;0,IF(INDEX('Final Calculation Sheet'!$G$4:$G$40,$BJ37-3)="","",INDEX('Final Calculation Sheet'!$G$4:$G$40,$BJ37-3)),IF(OR($BI37=1,$BL37=1,$BH37&gt;0),IF($BI37=1,37,IF($BL37=1,37-INDEX($BD$4:$BD$13,10),INDEX($BD$4:$BD$13,$BH37)))&amp;" lot(s)",""))</f>
        <v/>
      </c>
      <c r="D38" s="80">
        <f>IF($BJ37&gt;0,IF(INDEX('Final Calculation Sheet'!$B$4:$B$40,$BJ37-3)="","",INDEX('Final Calculation Sheet'!$B$4:$B$40,$BJ37-3)),IF(OR($BI37=1,$BL37=1,$BH37&gt;0),IF($BI37=1,"GRAND TOTAL  —  matching + remaining",IF($BL37=1,"TOTAL MATCHED  —  every group together",IF($BH37=10,"REMAINING  —  did not match the search",IF($BH37=9,IF(COUNTIF($A$4:$AI$4,"&lt;&gt;")&gt;0,"FILTERED LOTS  —  column fields","ALL LOTS  —  nothing typed in the box"),"GROUP "&amp;$BH37&amp;" TOTAL  —  lots matching  "&amp;INDEX($AR$6:$AY$6,$BH37))))),""))</f>
        <v/>
      </c>
      <c r="E38" s="80">
        <f>IF($BJ37&gt;0,IF(INDEX('Final Calculation Sheet'!$D$4:$D$40,$BJ37-3)="","",INDEX('Final Calculation Sheet'!$D$4:$D$40,$BJ37-3)),IF(OR($BI37=1,$BL37=1,$BH37&gt;0),"–",""))</f>
        <v/>
      </c>
      <c r="F38" s="80">
        <f>IF($BJ37&gt;0,IF(INDEX('Final Calculation Sheet'!$A$4:$A$40,$BJ37-3)="","",INDEX('Final Calculation Sheet'!$A$4:$A$40,$BJ37-3)),IF(OR($BI37=1,$BL37=1,$BH37&gt;0),IF($BI37=1,SUM('Final Calculation Sheet'!$A$4:$A$40),IF($BL37=1,SUM('Final Calculation Sheet'!$A$4:$A$40)-SUMIFS('Final Calculation Sheet'!$A$4:$A$40,$AZ$5:$AZ$41,10),SUMIFS('Final Calculation Sheet'!$A$4:$A$40,$AZ$5:$AZ$41,$BH37))),""))</f>
        <v/>
      </c>
      <c r="G38" s="80">
        <f>IF($BJ37&gt;0,IF(INDEX('Final Calculation Sheet'!$E$4:$E$40,$BJ37-3)="","",INDEX('Final Calculation Sheet'!$E$4:$E$40,$BJ37-3)),IF(OR($BI37=1,$BL37=1,$BH37&gt;0),"–",""))</f>
        <v/>
      </c>
      <c r="H38" s="70">
        <f>IF($BJ37&gt;0,IF(INDEX('Final Calculation Sheet'!$C$4:$C$40,$BJ37-3)="","",INDEX('Final Calculation Sheet'!$C$4:$C$40,$BJ37-3)),IF(OR($BI37=1,$BL37=1,$BH37&gt;0),"–",""))</f>
        <v/>
      </c>
      <c r="I38" s="70">
        <f>IF($BJ37&gt;0,IF(INDEX('Final Calculation Sheet'!$H$4:$H$40,$BJ37-3)="","",INDEX('Final Calculation Sheet'!$H$4:$H$40,$BJ37-3)),IF(OR($BI37=1,$BL37=1,$BH37&gt;0),IF($BI37=1,SUM('Final Calculation Sheet'!$H$4:$H$40),IF($BL37=1,SUM('Final Calculation Sheet'!$H$4:$H$40)-SUMIFS('Final Calculation Sheet'!$H$4:$H$40,$AZ$5:$AZ$41,10),SUMIFS('Final Calculation Sheet'!$H$4:$H$40,$AZ$5:$AZ$41,$BH37))),""))</f>
        <v/>
      </c>
      <c r="J38" s="70">
        <f>IF($BJ37&gt;0,IF(INDEX('Final Calculation Sheet'!$I$4:$I$40,$BJ37-3)="","",INDEX('Final Calculation Sheet'!$I$4:$I$40,$BJ37-3)),IF(OR($BI37=1,$BL37=1,$BH37&gt;0),IF($BI37=1,SUM('Final Calculation Sheet'!$I$4:$I$40),IF($BL37=1,SUM('Final Calculation Sheet'!$I$4:$I$40)-SUMIFS('Final Calculation Sheet'!$I$4:$I$40,$AZ$5:$AZ$41,10),SUMIFS('Final Calculation Sheet'!$I$4:$I$40,$AZ$5:$AZ$41,$BH37))),""))</f>
        <v/>
      </c>
      <c r="K38" s="70">
        <f>IF($BJ37&gt;0,IF(INDEX('Final Calculation Sheet'!$J$4:$J$40,$BJ37-3)="","",INDEX('Final Calculation Sheet'!$J$4:$J$40,$BJ37-3)),IF(OR($BI37=1,$BL37=1,$BH37&gt;0),IF($BI37=1,SUM('Final Calculation Sheet'!$J$4:$J$40),IF($BL37=1,SUM('Final Calculation Sheet'!$J$4:$J$40)-SUMIFS('Final Calculation Sheet'!$J$4:$J$40,$AZ$5:$AZ$41,10),SUMIFS('Final Calculation Sheet'!$J$4:$J$40,$AZ$5:$AZ$41,$BH37))),""))</f>
        <v/>
      </c>
      <c r="L38" s="70">
        <f>IF($BJ37&gt;0,IF(INDEX('Final Calculation Sheet'!$K$4:$K$40,$BJ37-3)="","",INDEX('Final Calculation Sheet'!$K$4:$K$40,$BJ37-3)),IF(OR($BI37=1,$BL37=1,$BH37&gt;0),IF($BI37=1,SUM('Final Calculation Sheet'!$K$4:$K$40),IF($BL37=1,SUM('Final Calculation Sheet'!$K$4:$K$40)-SUMIFS('Final Calculation Sheet'!$K$4:$K$40,$AZ$5:$AZ$41,10),SUMIFS('Final Calculation Sheet'!$K$4:$K$40,$AZ$5:$AZ$41,$BH37))),""))</f>
        <v/>
      </c>
      <c r="M38" s="70">
        <f>IF($BJ37&gt;0,IF(INDEX('Final Calculation Sheet'!$L$4:$L$40,$BJ37-3)="","",INDEX('Final Calculation Sheet'!$L$4:$L$40,$BJ37-3)),IF(OR($BI37=1,$BL37=1,$BH37&gt;0),IF($BI37=1,SUM('Final Calculation Sheet'!$L$4:$L$40),IF($BL37=1,SUM('Final Calculation Sheet'!$L$4:$L$40)-SUMIFS('Final Calculation Sheet'!$L$4:$L$40,$AZ$5:$AZ$41,10),SUMIFS('Final Calculation Sheet'!$L$4:$L$40,$AZ$5:$AZ$41,$BH37))),""))</f>
        <v/>
      </c>
      <c r="N38" s="70">
        <f>IF($BJ37&gt;0,IF(INDEX('Final Calculation Sheet'!$M$4:$M$40,$BJ37-3)="","",INDEX('Final Calculation Sheet'!$M$4:$M$40,$BJ37-3)),IF(OR($BI37=1,$BL37=1,$BH37&gt;0),IF($BI37=1,SUM('Final Calculation Sheet'!$M$4:$M$40),IF($BL37=1,SUM('Final Calculation Sheet'!$M$4:$M$40)-SUMIFS('Final Calculation Sheet'!$M$4:$M$40,$AZ$5:$AZ$41,10),SUMIFS('Final Calculation Sheet'!$M$4:$M$40,$AZ$5:$AZ$41,$BH37))),""))</f>
        <v/>
      </c>
      <c r="O38" s="71">
        <f>IF($BJ37&gt;0,IF(INDEX('Final Calculation Sheet'!$N$4:$N$40,$BJ37-3)="","",INDEX('Final Calculation Sheet'!$N$4:$N$40,$BJ37-3)),IF(OR($BI37=1,$BL37=1,$BH37&gt;0),IF($BI37=1,SUM('Final Calculation Sheet'!$N$4:$N$40),IF($BL37=1,SUM('Final Calculation Sheet'!$N$4:$N$40)-SUMIFS('Final Calculation Sheet'!$N$4:$N$40,$AZ$5:$AZ$41,10),SUMIFS('Final Calculation Sheet'!$N$4:$N$40,$AZ$5:$AZ$41,$BH37))),""))</f>
        <v/>
      </c>
      <c r="P38" s="70">
        <f>IF($BJ37&gt;0,IF(INDEX('Final Calculation Sheet'!$O$4:$O$40,$BJ37-3)="","",INDEX('Final Calculation Sheet'!$O$4:$O$40,$BJ37-3)),IF(OR($BI37=1,$BL37=1,$BH37&gt;0),IF($BI37=1,SUM('Final Calculation Sheet'!$O$4:$O$40),IF($BL37=1,SUM('Final Calculation Sheet'!$O$4:$O$40)-SUMIFS('Final Calculation Sheet'!$O$4:$O$40,$AZ$5:$AZ$41,10),SUMIFS('Final Calculation Sheet'!$O$4:$O$40,$AZ$5:$AZ$41,$BH37))),""))</f>
        <v/>
      </c>
      <c r="Q38" s="70">
        <f>IF($BJ37&gt;0,IF(INDEX('Final Calculation Sheet'!$P$4:$P$40,$BJ37-3)="","",INDEX('Final Calculation Sheet'!$P$4:$P$40,$BJ37-3)),IF(OR($BI37=1,$BL37=1,$BH37&gt;0),IF($BI37=1,SUM('Final Calculation Sheet'!$P$4:$P$40),IF($BL37=1,SUM('Final Calculation Sheet'!$P$4:$P$40)-SUMIFS('Final Calculation Sheet'!$P$4:$P$40,$AZ$5:$AZ$41,10),SUMIFS('Final Calculation Sheet'!$P$4:$P$40,$AZ$5:$AZ$41,$BH37))),""))</f>
        <v/>
      </c>
      <c r="R38" s="72">
        <f>IF($BJ37&gt;0,IF(INDEX('Final Calculation Sheet'!$Q$4:$Q$40,$BJ37-3)="","",INDEX('Final Calculation Sheet'!$Q$4:$Q$40,$BJ37-3)),IF(OR($BI37=1,$BL37=1,$BH37&gt;0),"–",""))</f>
        <v/>
      </c>
      <c r="S38" s="70">
        <f>IF($BJ37&gt;0,IF(INDEX('Final Calculation Sheet'!$R$4:$R$40,$BJ37-3)="","",INDEX('Final Calculation Sheet'!$R$4:$R$40,$BJ37-3)),IF(OR($BI37=1,$BL37=1,$BH37&gt;0),IF($BI37=1,SUM('Final Calculation Sheet'!$R$4:$R$40),IF($BL37=1,SUM('Final Calculation Sheet'!$R$4:$R$40)-SUMIFS('Final Calculation Sheet'!$R$4:$R$40,$AZ$5:$AZ$41,10),SUMIFS('Final Calculation Sheet'!$R$4:$R$40,$AZ$5:$AZ$41,$BH37))),""))</f>
        <v/>
      </c>
      <c r="T38" s="70">
        <f>IF($BJ37&gt;0,IF(INDEX('Final Calculation Sheet'!$S$4:$S$40,$BJ37-3)="","",INDEX('Final Calculation Sheet'!$S$4:$S$40,$BJ37-3)),IF(OR($BI37=1,$BL37=1,$BH37&gt;0),IF($BI37=1,SUM('Final Calculation Sheet'!$S$4:$S$40),IF($BL37=1,SUM('Final Calculation Sheet'!$S$4:$S$40)-SUMIFS('Final Calculation Sheet'!$S$4:$S$40,$AZ$5:$AZ$41,10),SUMIFS('Final Calculation Sheet'!$S$4:$S$40,$AZ$5:$AZ$41,$BH37))),""))</f>
        <v/>
      </c>
      <c r="U38" s="70">
        <f>IF($BJ37&gt;0,IF(INDEX('Final Calculation Sheet'!$T$4:$T$40,$BJ37-3)="","",INDEX('Final Calculation Sheet'!$T$4:$T$40,$BJ37-3)),IF(OR($BI37=1,$BL37=1,$BH37&gt;0),IF($BI37=1,SUM('Final Calculation Sheet'!$T$4:$T$40),IF($BL37=1,SUM('Final Calculation Sheet'!$T$4:$T$40)-SUMIFS('Final Calculation Sheet'!$T$4:$T$40,$AZ$5:$AZ$41,10),SUMIFS('Final Calculation Sheet'!$T$4:$T$40,$AZ$5:$AZ$41,$BH37))),""))</f>
        <v/>
      </c>
      <c r="V38" s="73">
        <f>IF($BJ37&gt;0,IF(INDEX('Final Calculation Sheet'!$U$4:$U$40,$BJ37-3)="","",INDEX('Final Calculation Sheet'!$U$4:$U$40,$BJ37-3)),IF(OR($BI37=1,$BL37=1,$BH37&gt;0),IF($BI37=1,SUM('Final Calculation Sheet'!$U$4:$U$40),IF($BL37=1,SUM('Final Calculation Sheet'!$U$4:$U$40)-SUMIFS('Final Calculation Sheet'!$U$4:$U$40,$AZ$5:$AZ$41,10),SUMIFS('Final Calculation Sheet'!$U$4:$U$40,$AZ$5:$AZ$41,$BH37))),""))</f>
        <v/>
      </c>
      <c r="W38" s="70">
        <f>IF($BJ37&gt;0,IF(INDEX('Final Calculation Sheet'!$V$4:$V$40,$BJ37-3)="","",INDEX('Final Calculation Sheet'!$V$4:$V$40,$BJ37-3)),IF(OR($BI37=1,$BL37=1,$BH37&gt;0),"–",""))</f>
        <v/>
      </c>
      <c r="X38" s="70">
        <f>IF($BJ37&gt;0,IF(INDEX('Final Calculation Sheet'!$W$4:$W$40,$BJ37-3)="","",INDEX('Final Calculation Sheet'!$W$4:$W$40,$BJ37-3)),IF(OR($BI37=1,$BL37=1,$BH37&gt;0),IF($BI37=1,SUM('Final Calculation Sheet'!$W$4:$W$40),IF($BL37=1,SUM('Final Calculation Sheet'!$W$4:$W$40)-SUMIFS('Final Calculation Sheet'!$W$4:$W$40,$AZ$5:$AZ$41,10),SUMIFS('Final Calculation Sheet'!$W$4:$W$40,$AZ$5:$AZ$41,$BH37))),""))</f>
        <v/>
      </c>
      <c r="Y38" s="70">
        <f>IF($BJ37&gt;0,IF(INDEX('Final Calculation Sheet'!$X$4:$X$40,$BJ37-3)="","",INDEX('Final Calculation Sheet'!$X$4:$X$40,$BJ37-3)),IF(OR($BI37=1,$BL37=1,$BH37&gt;0),IF($BI37=1,SUM('Final Calculation Sheet'!$X$4:$X$40),IF($BL37=1,SUM('Final Calculation Sheet'!$X$4:$X$40)-SUMIFS('Final Calculation Sheet'!$X$4:$X$40,$AZ$5:$AZ$41,10),SUMIFS('Final Calculation Sheet'!$X$4:$X$40,$AZ$5:$AZ$41,$BH37))),""))</f>
        <v/>
      </c>
      <c r="Z38" s="70">
        <f>IF($BJ37&gt;0,IF(INDEX('Final Calculation Sheet'!$Y$4:$Y$40,$BJ37-3)="","",INDEX('Final Calculation Sheet'!$Y$4:$Y$40,$BJ37-3)),IF(OR($BI37=1,$BL37=1,$BH37&gt;0),"–",""))</f>
        <v/>
      </c>
      <c r="AA38" s="70">
        <f>IF($BJ37&gt;0,IF(INDEX('Final Calculation Sheet'!$Z$4:$Z$40,$BJ37-3)="","",INDEX('Final Calculation Sheet'!$Z$4:$Z$40,$BJ37-3)),IF(OR($BI37=1,$BL37=1,$BH37&gt;0),IF($BI37=1,SUM('Final Calculation Sheet'!$Z$4:$Z$40),IF($BL37=1,SUM('Final Calculation Sheet'!$Z$4:$Z$40)-SUMIFS('Final Calculation Sheet'!$Z$4:$Z$40,$AZ$5:$AZ$41,10),SUMIFS('Final Calculation Sheet'!$Z$4:$Z$40,$AZ$5:$AZ$41,$BH37))),""))</f>
        <v/>
      </c>
      <c r="AB38" s="70">
        <f>IF($BJ37&gt;0,IF(INDEX('Final Calculation Sheet'!$AA$4:$AA$40,$BJ37-3)="","",INDEX('Final Calculation Sheet'!$AA$4:$AA$40,$BJ37-3)),IF(OR($BI37=1,$BL37=1,$BH37&gt;0),IF($BI37=1,SUM('Final Calculation Sheet'!$AA$4:$AA$40),IF($BL37=1,SUM('Final Calculation Sheet'!$AA$4:$AA$40)-SUMIFS('Final Calculation Sheet'!$AA$4:$AA$40,$AZ$5:$AZ$41,10),SUMIFS('Final Calculation Sheet'!$AA$4:$AA$40,$AZ$5:$AZ$41,$BH37))),""))</f>
        <v/>
      </c>
      <c r="AC38" s="70">
        <f>IF($BJ37&gt;0,IF(INDEX('Final Calculation Sheet'!$AB$4:$AB$40,$BJ37-3)="","",INDEX('Final Calculation Sheet'!$AB$4:$AB$40,$BJ37-3)),IF(OR($BI37=1,$BL37=1,$BH37&gt;0),"–",""))</f>
        <v/>
      </c>
      <c r="AD38" s="70">
        <f>IF($BJ37&gt;0,IF(INDEX('Final Calculation Sheet'!$AC$4:$AC$40,$BJ37-3)="","",INDEX('Final Calculation Sheet'!$AC$4:$AC$40,$BJ37-3)),IF(OR($BI37=1,$BL37=1,$BH37&gt;0),IF($BI37=1,SUM('Final Calculation Sheet'!$AC$4:$AC$40),IF($BL37=1,SUM('Final Calculation Sheet'!$AC$4:$AC$40)-SUMIFS('Final Calculation Sheet'!$AC$4:$AC$40,$AZ$5:$AZ$41,10),SUMIFS('Final Calculation Sheet'!$AC$4:$AC$40,$AZ$5:$AZ$41,$BH37))),""))</f>
        <v/>
      </c>
      <c r="AE38" s="70">
        <f>IF($BJ37&gt;0,IF(INDEX('Final Calculation Sheet'!$AD$4:$AD$40,$BJ37-3)="","",INDEX('Final Calculation Sheet'!$AD$4:$AD$40,$BJ37-3)),IF(OR($BI37=1,$BL37=1,$BH37&gt;0),IF($BI37=1,SUM('Final Calculation Sheet'!$AD$4:$AD$40),IF($BL37=1,SUM('Final Calculation Sheet'!$AD$4:$AD$40)-SUMIFS('Final Calculation Sheet'!$AD$4:$AD$40,$AZ$5:$AZ$41,10),SUMIFS('Final Calculation Sheet'!$AD$4:$AD$40,$AZ$5:$AZ$41,$BH37))),""))</f>
        <v/>
      </c>
      <c r="AF38" s="75">
        <f>IF($BJ37&gt;0,IF(INDEX('Final Calculation Sheet'!$AD$4:$AD$40,$BJ37-3)="","",IF(INDEX('Final Calculation Sheet'!$AD$4:$AD$40,$BJ37-3)&lt;=5,"SETTLED","OUTSTANDING")),IF(OR($BI37=1,$BL37=1,$BH37&gt;0),IF(IF($BI37=1,SUM('Final Calculation Sheet'!$AD$4:$AD$40),IF($BL37=1,SUM('Final Calculation Sheet'!$AD$4:$AD$40)-SUMIFS('Final Calculation Sheet'!$AD$4:$AD$40,$AZ$5:$AZ$41,10),SUMIFS('Final Calculation Sheet'!$AD$4:$AD$40,$AZ$5:$AZ$41,$BH37)))&lt;=5,"ALL SETTLED","OUTSTANDING"),""))</f>
        <v/>
      </c>
      <c r="AG38" s="70">
        <f>IF($BJ37&gt;0,IF(INDEX('Final Calculation Sheet'!$AF$4:$AF$40,$BJ37-3)="","",INDEX('Final Calculation Sheet'!$AF$4:$AF$40,$BJ37-3)),IF(OR($BI37=1,$BL37=1,$BH37&gt;0),"–",""))</f>
        <v/>
      </c>
      <c r="AH38" s="74">
        <f>IF($BJ37&gt;0,IF(INDEX('Final Calculation Sheet'!$AG$4:$AG$40,$BJ37-3)="","",INDEX('Final Calculation Sheet'!$AG$4:$AG$40,$BJ37-3)),IF(OR($BI37=1,$BL37=1,$BH37&gt;0),"–",""))</f>
        <v/>
      </c>
      <c r="AI38" s="70">
        <f>IF($BJ37&gt;0,IF(INDEX('Final Calculation Sheet'!$AH$4:$AH$40,$BJ37-3)="","",INDEX('Final Calculation Sheet'!$AH$4:$AH$40,$BJ37-3)),IF(OR($BI37=1,$BL37=1,$BH37&gt;0),"–",""))</f>
        <v/>
      </c>
      <c r="AK38">
        <f>IF($F$3="Lot No.",'Final Calculation Sheet'!$F$37,IF($F$3="Buyer",'Final Calculation Sheet'!$G$37,IF($F$3="Lot Name",'Final Calculation Sheet'!$B$37,IF($F$3="Bid Sheet",'Final Calculation Sheet'!$D$37,IF($F$3="Unit",'Final Calculation Sheet'!$E$37,'Final Calculation Sheet'!$F$37&amp;" "&amp;'Final Calculation Sheet'!$G$37&amp;" "&amp;'Final Calculation Sheet'!$B$37)))))</f>
        <v/>
      </c>
      <c r="AL38">
        <f>AL37+IF($B$3="",0,--(SUMPRODUCT(--($AR$6:$AY$6&lt;&gt;""),--ISNUMBER(SEARCH($AR$6:$AY$6,$AK38)))&gt;0))</f>
        <v/>
      </c>
      <c r="AM38">
        <f>IF(COUNTIF($BM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AZ38">
        <f>IF($B$3="",IF(COUNTIF($A$4:$AI$4,"&lt;&gt;")=0,9,IF($AM38=1,9,10)),IF($AM38=0,10,IF(AND($AR$6&lt;&gt;"",ISNUMBER(SEARCH($AR$6,$AK38))),1,IF(AND($AS$6&lt;&gt;"",ISNUMBER(SEARCH($AS$6,$AK38))),2,IF(AND($AT$6&lt;&gt;"",ISNUMBER(SEARCH($AT$6,$AK38))),3,IF(AND($AU$6&lt;&gt;"",ISNUMBER(SEARCH($AU$6,$AK38))),4,IF(AND($AV$6&lt;&gt;"",ISNUMBER(SEARCH($AV$6,$AK38))),5,IF(AND($AW$6&lt;&gt;"",ISNUMBER(SEARCH($AW$6,$AK38))),6,IF(AND($AX$6&lt;&gt;"",ISNUMBER(SEARCH($AX$6,$AK38))),7,IF(AND($AY$6&lt;&gt;"",ISNUMBER(SEARCH($AY$6,$AK38))),8,0))))))))))</f>
        <v/>
      </c>
      <c r="BA38">
        <f>SUMPRODUCT(($AZ$5:$AZ$41=$AZ38)*($BC$5:$BC$41&lt;$BC38))+1</f>
        <v/>
      </c>
      <c r="BB38">
        <f>IF(INDEX($BF$4:$BF$13,$AZ38)=0,0,INDEX($BE$4:$BE$13,$AZ38)+$BA38-1)</f>
        <v/>
      </c>
      <c r="BC38" t="n">
        <v>37</v>
      </c>
      <c r="BH38">
        <f>IFERROR(MATCH(38,$BF$4:$BF$13,0),0)</f>
        <v/>
      </c>
      <c r="BI38">
        <f>IF(38=$BG$5,1,0)</f>
        <v/>
      </c>
      <c r="BJ38">
        <f>IF(OR($BH38&gt;0,$BI38=1,$BL38=1),0,IFERROR(INDEX($BC$5:$BC$41,MATCH(38,$BB$5:$BB$41,0)),0))</f>
        <v/>
      </c>
      <c r="BK38">
        <f>IF($BJ38&gt;0,IF(INDEX($AZ$5:$AZ$41,MATCH(38,$BB$5:$BB$41,0))=10,1,0),IF($BH38=10,1,0))</f>
        <v/>
      </c>
      <c r="BL38">
        <f>IF(38=$BG$4,1,0)</f>
        <v/>
      </c>
      <c r="BM38">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8">
        <f>IF($B$4="",1,--(OR(SUMPRODUCT(--(TRIM(MID(SUBSTITUTE(SUBSTITUTE($B$4,"/",","),",",REPT(" ",99)),(ROW($1:$8)-1)*99+1,99))&lt;&gt;""),--ISNUMBER(SEARCH(TRIM(MID(SUBSTITUTE(SUBSTITUTE($B$4,"/",","),",",REPT(" ",99)),(ROW($1:$8)-1)*99+1,99)),IFERROR(('Final Calculation Sheet'!$F$37)&amp;"",""))))&gt;0,AND(ISNUMBER(SEARCH("blank",$B$4)),NOT(ISNUMBER(SEARCH("nonblank",$B$4))),IFERROR(('Final Calculation Sheet'!$F$37)&amp;"","")=""),AND(OR(ISNUMBER(SEARCH("nonblank",$B$4)),ISNUMBER(SEARCH("&lt;&gt;",$B$4))),IFERROR(('Final Calculation Sheet'!$F$37)&amp;"","")&lt;&gt;""),AND(TRIM($B$4)="",IFERROR(('Final Calculation Sheet'!$F$37)&amp;"","")=""))))</f>
        <v/>
      </c>
      <c r="BO38">
        <f>IF($CW$3="",1,--(OR(SUMPRODUCT(--(TRIM(MID(SUBSTITUTE(SUBSTITUTE($CW$3,"/",","),",",REPT(" ",99)),(ROW($1:$8)-1)*99+1,99))&lt;&gt;""),--ISNUMBER(SEARCH(TRIM(MID(SUBSTITUTE(SUBSTITUTE($CW$3,"/",","),",",REPT(" ",99)),(ROW($1:$8)-1)*99+1,99)),IFERROR(('Final Calculation Sheet'!$G$37)&amp;"",""))))&gt;0,AND(ISNUMBER(SEARCH("blank",$CW$3)),NOT(ISNUMBER(SEARCH("nonblank",$CW$3))),IFERROR(('Final Calculation Sheet'!$G$37)&amp;"","")=""),AND(OR(ISNUMBER(SEARCH("nonblank",$CW$3)),ISNUMBER(SEARCH("&lt;&gt;",$CW$3))),IFERROR(('Final Calculation Sheet'!$G$37)&amp;"","")&lt;&gt;""),AND(TRIM($CW$3)="",IFERROR(('Final Calculation Sheet'!$G$37)&amp;"","")=""))))</f>
        <v/>
      </c>
      <c r="BP38">
        <f>IF($D$4="",1,--(OR(SUMPRODUCT(--(TRIM(MID(SUBSTITUTE(SUBSTITUTE($D$4,"/",","),",",REPT(" ",99)),(ROW($1:$8)-1)*99+1,99))&lt;&gt;""),--ISNUMBER(SEARCH(TRIM(MID(SUBSTITUTE(SUBSTITUTE($D$4,"/",","),",",REPT(" ",99)),(ROW($1:$8)-1)*99+1,99)),IFERROR(('Final Calculation Sheet'!$B$37)&amp;"",""))))&gt;0,AND(ISNUMBER(SEARCH("blank",$D$4)),NOT(ISNUMBER(SEARCH("nonblank",$D$4))),IFERROR(('Final Calculation Sheet'!$B$37)&amp;"","")=""),AND(OR(ISNUMBER(SEARCH("nonblank",$D$4)),ISNUMBER(SEARCH("&lt;&gt;",$D$4))),IFERROR(('Final Calculation Sheet'!$B$37)&amp;"","")&lt;&gt;""),AND(TRIM($D$4)="",IFERROR(('Final Calculation Sheet'!$B$37)&amp;"","")=""))))</f>
        <v/>
      </c>
      <c r="BQ38">
        <f>IF($E$4="",1,--(OR(SUMPRODUCT(--(TRIM(MID(SUBSTITUTE(SUBSTITUTE($E$4,"/",","),",",REPT(" ",99)),(ROW($1:$8)-1)*99+1,99))&lt;&gt;""),--ISNUMBER(SEARCH(TRIM(MID(SUBSTITUTE(SUBSTITUTE($E$4,"/",","),",",REPT(" ",99)),(ROW($1:$8)-1)*99+1,99)),IFERROR(('Final Calculation Sheet'!$D$37)&amp;"",""))))&gt;0,AND(ISNUMBER(SEARCH("blank",$E$4)),NOT(ISNUMBER(SEARCH("nonblank",$E$4))),IFERROR(('Final Calculation Sheet'!$D$37)&amp;"","")=""),AND(OR(ISNUMBER(SEARCH("nonblank",$E$4)),ISNUMBER(SEARCH("&lt;&gt;",$E$4))),IFERROR(('Final Calculation Sheet'!$D$37)&amp;"","")&lt;&gt;""),AND(TRIM($E$4)="",IFERROR(('Final Calculation Sheet'!$D$37)&amp;"","")=""))))</f>
        <v/>
      </c>
      <c r="BR38">
        <f>IF($F$4="",1,--(OR(SUMPRODUCT(--(TRIM(MID(SUBSTITUTE(SUBSTITUTE($F$4,"/",","),",",REPT(" ",99)),(ROW($1:$8)-1)*99+1,99))&lt;&gt;""),--ISNUMBER(SEARCH(TRIM(MID(SUBSTITUTE(SUBSTITUTE($F$4,"/",","),",",REPT(" ",99)),(ROW($1:$8)-1)*99+1,99)),IFERROR(('Final Calculation Sheet'!$A$37)&amp;"",""))))&gt;0,AND(ISNUMBER(SEARCH("blank",$F$4)),NOT(ISNUMBER(SEARCH("nonblank",$F$4))),IFERROR(('Final Calculation Sheet'!$A$37)&amp;"","")=""),AND(OR(ISNUMBER(SEARCH("nonblank",$F$4)),ISNUMBER(SEARCH("&lt;&gt;",$F$4))),IFERROR(('Final Calculation Sheet'!$A$37)&amp;"","")&lt;&gt;""),AND(TRIM($F$4)="",IFERROR(('Final Calculation Sheet'!$A$37)&amp;"","")=""))))</f>
        <v/>
      </c>
      <c r="BS38">
        <f>IF($G$4="",1,--(OR(SUMPRODUCT(--(TRIM(MID(SUBSTITUTE(SUBSTITUTE($G$4,"/",","),",",REPT(" ",99)),(ROW($1:$8)-1)*99+1,99))&lt;&gt;""),--ISNUMBER(SEARCH(TRIM(MID(SUBSTITUTE(SUBSTITUTE($G$4,"/",","),",",REPT(" ",99)),(ROW($1:$8)-1)*99+1,99)),IFERROR(('Final Calculation Sheet'!$E$37)&amp;"",""))))&gt;0,AND(ISNUMBER(SEARCH("blank",$G$4)),NOT(ISNUMBER(SEARCH("nonblank",$G$4))),IFERROR(('Final Calculation Sheet'!$E$37)&amp;"","")=""),AND(OR(ISNUMBER(SEARCH("nonblank",$G$4)),ISNUMBER(SEARCH("&lt;&gt;",$G$4))),IFERROR(('Final Calculation Sheet'!$E$37)&amp;"","")&lt;&gt;""),AND(TRIM($G$4)="",IFERROR(('Final Calculation Sheet'!$E$37)&amp;"","")=""))))</f>
        <v/>
      </c>
      <c r="BT38">
        <f>IF($H$4="",1,--(OR(SUMPRODUCT(--(TRIM(MID(SUBSTITUTE(SUBSTITUTE($H$4,"/",","),",",REPT(" ",99)),(ROW($1:$8)-1)*99+1,99))&lt;&gt;""),--ISNUMBER(SEARCH(TRIM(MID(SUBSTITUTE(SUBSTITUTE($H$4,"/",","),",",REPT(" ",99)),(ROW($1:$8)-1)*99+1,99)),IFERROR(('Final Calculation Sheet'!$C$37)&amp;"",""))))&gt;0,AND(ISNUMBER(SEARCH("blank",$H$4)),NOT(ISNUMBER(SEARCH("nonblank",$H$4))),IFERROR(('Final Calculation Sheet'!$C$37)&amp;"","")=""),AND(OR(ISNUMBER(SEARCH("nonblank",$H$4)),ISNUMBER(SEARCH("&lt;&gt;",$H$4))),IFERROR(('Final Calculation Sheet'!$C$37)&amp;"","")&lt;&gt;""),AND(TRIM($H$4)="",IFERROR(('Final Calculation Sheet'!$C$37)&amp;"","")=""))))</f>
        <v/>
      </c>
      <c r="BU38">
        <f>IF($I$4="",1,--(OR(SUMPRODUCT(--(TRIM(MID(SUBSTITUTE(SUBSTITUTE($I$4,"/",","),",",REPT(" ",99)),(ROW($1:$8)-1)*99+1,99))&lt;&gt;""),--ISNUMBER(SEARCH(TRIM(MID(SUBSTITUTE(SUBSTITUTE($I$4,"/",","),",",REPT(" ",99)),(ROW($1:$8)-1)*99+1,99)),IFERROR(('Final Calculation Sheet'!$H$37)&amp;"",""))))&gt;0,AND(ISNUMBER(SEARCH("blank",$I$4)),NOT(ISNUMBER(SEARCH("nonblank",$I$4))),IFERROR(('Final Calculation Sheet'!$H$37)&amp;"","")=""),AND(OR(ISNUMBER(SEARCH("nonblank",$I$4)),ISNUMBER(SEARCH("&lt;&gt;",$I$4))),IFERROR(('Final Calculation Sheet'!$H$37)&amp;"","")&lt;&gt;""),AND(TRIM($I$4)="",IFERROR(('Final Calculation Sheet'!$H$37)&amp;"","")=""))))</f>
        <v/>
      </c>
      <c r="BV38">
        <f>IF($J$4="",1,--(OR(SUMPRODUCT(--(TRIM(MID(SUBSTITUTE(SUBSTITUTE($J$4,"/",","),",",REPT(" ",99)),(ROW($1:$8)-1)*99+1,99))&lt;&gt;""),--ISNUMBER(SEARCH(TRIM(MID(SUBSTITUTE(SUBSTITUTE($J$4,"/",","),",",REPT(" ",99)),(ROW($1:$8)-1)*99+1,99)),IFERROR(('Final Calculation Sheet'!$I$37)&amp;"",""))))&gt;0,AND(ISNUMBER(SEARCH("blank",$J$4)),NOT(ISNUMBER(SEARCH("nonblank",$J$4))),IFERROR(('Final Calculation Sheet'!$I$37)&amp;"","")=""),AND(OR(ISNUMBER(SEARCH("nonblank",$J$4)),ISNUMBER(SEARCH("&lt;&gt;",$J$4))),IFERROR(('Final Calculation Sheet'!$I$37)&amp;"","")&lt;&gt;""),AND(TRIM($J$4)="",IFERROR(('Final Calculation Sheet'!$I$37)&amp;"","")=""))))</f>
        <v/>
      </c>
      <c r="BW38">
        <f>IF($K$4="",1,--(OR(SUMPRODUCT(--(TRIM(MID(SUBSTITUTE(SUBSTITUTE($K$4,"/",","),",",REPT(" ",99)),(ROW($1:$8)-1)*99+1,99))&lt;&gt;""),--ISNUMBER(SEARCH(TRIM(MID(SUBSTITUTE(SUBSTITUTE($K$4,"/",","),",",REPT(" ",99)),(ROW($1:$8)-1)*99+1,99)),IFERROR(('Final Calculation Sheet'!$J$37)&amp;"",""))))&gt;0,AND(ISNUMBER(SEARCH("blank",$K$4)),NOT(ISNUMBER(SEARCH("nonblank",$K$4))),IFERROR(('Final Calculation Sheet'!$J$37)&amp;"","")=""),AND(OR(ISNUMBER(SEARCH("nonblank",$K$4)),ISNUMBER(SEARCH("&lt;&gt;",$K$4))),IFERROR(('Final Calculation Sheet'!$J$37)&amp;"","")&lt;&gt;""),AND(TRIM($K$4)="",IFERROR(('Final Calculation Sheet'!$J$37)&amp;"","")=""))))</f>
        <v/>
      </c>
      <c r="BX38">
        <f>IF($L$4="",1,--(OR(SUMPRODUCT(--(TRIM(MID(SUBSTITUTE(SUBSTITUTE($L$4,"/",","),",",REPT(" ",99)),(ROW($1:$8)-1)*99+1,99))&lt;&gt;""),--ISNUMBER(SEARCH(TRIM(MID(SUBSTITUTE(SUBSTITUTE($L$4,"/",","),",",REPT(" ",99)),(ROW($1:$8)-1)*99+1,99)),IFERROR(('Final Calculation Sheet'!$K$37)&amp;"",""))))&gt;0,AND(ISNUMBER(SEARCH("blank",$L$4)),NOT(ISNUMBER(SEARCH("nonblank",$L$4))),IFERROR(('Final Calculation Sheet'!$K$37)&amp;"","")=""),AND(OR(ISNUMBER(SEARCH("nonblank",$L$4)),ISNUMBER(SEARCH("&lt;&gt;",$L$4))),IFERROR(('Final Calculation Sheet'!$K$37)&amp;"","")&lt;&gt;""),AND(TRIM($L$4)="",IFERROR(('Final Calculation Sheet'!$K$37)&amp;"","")=""))))</f>
        <v/>
      </c>
      <c r="BY38">
        <f>IF($M$4="",1,--(OR(SUMPRODUCT(--(TRIM(MID(SUBSTITUTE(SUBSTITUTE($M$4,"/",","),",",REPT(" ",99)),(ROW($1:$8)-1)*99+1,99))&lt;&gt;""),--ISNUMBER(SEARCH(TRIM(MID(SUBSTITUTE(SUBSTITUTE($M$4,"/",","),",",REPT(" ",99)),(ROW($1:$8)-1)*99+1,99)),IFERROR(('Final Calculation Sheet'!$L$37)&amp;"",""))))&gt;0,AND(ISNUMBER(SEARCH("blank",$M$4)),NOT(ISNUMBER(SEARCH("nonblank",$M$4))),IFERROR(('Final Calculation Sheet'!$L$37)&amp;"","")=""),AND(OR(ISNUMBER(SEARCH("nonblank",$M$4)),ISNUMBER(SEARCH("&lt;&gt;",$M$4))),IFERROR(('Final Calculation Sheet'!$L$37)&amp;"","")&lt;&gt;""),AND(TRIM($M$4)="",IFERROR(('Final Calculation Sheet'!$L$37)&amp;"","")=""))))</f>
        <v/>
      </c>
      <c r="BZ38">
        <f>IF($N$4="",1,--(OR(SUMPRODUCT(--(TRIM(MID(SUBSTITUTE(SUBSTITUTE($N$4,"/",","),",",REPT(" ",99)),(ROW($1:$8)-1)*99+1,99))&lt;&gt;""),--ISNUMBER(SEARCH(TRIM(MID(SUBSTITUTE(SUBSTITUTE($N$4,"/",","),",",REPT(" ",99)),(ROW($1:$8)-1)*99+1,99)),IFERROR(('Final Calculation Sheet'!$M$37)&amp;"",""))))&gt;0,AND(ISNUMBER(SEARCH("blank",$N$4)),NOT(ISNUMBER(SEARCH("nonblank",$N$4))),IFERROR(('Final Calculation Sheet'!$M$37)&amp;"","")=""),AND(OR(ISNUMBER(SEARCH("nonblank",$N$4)),ISNUMBER(SEARCH("&lt;&gt;",$N$4))),IFERROR(('Final Calculation Sheet'!$M$37)&amp;"","")&lt;&gt;""),AND(TRIM($N$4)="",IFERROR(('Final Calculation Sheet'!$M$37)&amp;"","")=""))))</f>
        <v/>
      </c>
      <c r="CA38">
        <f>IF($O$4="",1,--(OR(SUMPRODUCT(--(TRIM(MID(SUBSTITUTE(SUBSTITUTE($O$4,"/",","),",",REPT(" ",99)),(ROW($1:$8)-1)*99+1,99))&lt;&gt;""),--ISNUMBER(SEARCH(TRIM(MID(SUBSTITUTE(SUBSTITUTE($O$4,"/",","),",",REPT(" ",99)),(ROW($1:$8)-1)*99+1,99)),IFERROR(('Final Calculation Sheet'!$N$37)&amp;"",""))))&gt;0,AND(ISNUMBER(SEARCH("blank",$O$4)),NOT(ISNUMBER(SEARCH("nonblank",$O$4))),IFERROR(('Final Calculation Sheet'!$N$37)&amp;"","")=""),AND(OR(ISNUMBER(SEARCH("nonblank",$O$4)),ISNUMBER(SEARCH("&lt;&gt;",$O$4))),IFERROR(('Final Calculation Sheet'!$N$37)&amp;"","")&lt;&gt;""),AND(TRIM($O$4)="",IFERROR(('Final Calculation Sheet'!$N$37)&amp;"","")=""))))</f>
        <v/>
      </c>
      <c r="CB38">
        <f>IF($P$4="",1,--(OR(SUMPRODUCT(--(TRIM(MID(SUBSTITUTE(SUBSTITUTE($P$4,"/",","),",",REPT(" ",99)),(ROW($1:$8)-1)*99+1,99))&lt;&gt;""),--ISNUMBER(SEARCH(TRIM(MID(SUBSTITUTE(SUBSTITUTE($P$4,"/",","),",",REPT(" ",99)),(ROW($1:$8)-1)*99+1,99)),IFERROR(('Final Calculation Sheet'!$O$37)&amp;"",""))))&gt;0,AND(ISNUMBER(SEARCH("blank",$P$4)),NOT(ISNUMBER(SEARCH("nonblank",$P$4))),IFERROR(('Final Calculation Sheet'!$O$37)&amp;"","")=""),AND(OR(ISNUMBER(SEARCH("nonblank",$P$4)),ISNUMBER(SEARCH("&lt;&gt;",$P$4))),IFERROR(('Final Calculation Sheet'!$O$37)&amp;"","")&lt;&gt;""),AND(TRIM($P$4)="",IFERROR(('Final Calculation Sheet'!$O$37)&amp;"","")=""))))</f>
        <v/>
      </c>
      <c r="CC38">
        <f>IF($Q$4="",1,--(OR(SUMPRODUCT(--(TRIM(MID(SUBSTITUTE(SUBSTITUTE($Q$4,"/",","),",",REPT(" ",99)),(ROW($1:$8)-1)*99+1,99))&lt;&gt;""),--ISNUMBER(SEARCH(TRIM(MID(SUBSTITUTE(SUBSTITUTE($Q$4,"/",","),",",REPT(" ",99)),(ROW($1:$8)-1)*99+1,99)),IFERROR(('Final Calculation Sheet'!$P$37)&amp;"",""))))&gt;0,AND(ISNUMBER(SEARCH("blank",$Q$4)),NOT(ISNUMBER(SEARCH("nonblank",$Q$4))),IFERROR(('Final Calculation Sheet'!$P$37)&amp;"","")=""),AND(OR(ISNUMBER(SEARCH("nonblank",$Q$4)),ISNUMBER(SEARCH("&lt;&gt;",$Q$4))),IFERROR(('Final Calculation Sheet'!$P$37)&amp;"","")&lt;&gt;""),AND(TRIM($Q$4)="",IFERROR(('Final Calculation Sheet'!$P$37)&amp;"","")=""))))</f>
        <v/>
      </c>
      <c r="CD38">
        <f>IF($R$4="",1,--(OR(SUMPRODUCT(--(TRIM(MID(SUBSTITUTE(SUBSTITUTE($R$4,"/",","),",",REPT(" ",99)),(ROW($1:$8)-1)*99+1,99))&lt;&gt;""),--ISNUMBER(SEARCH(TRIM(MID(SUBSTITUTE(SUBSTITUTE($R$4,"/",","),",",REPT(" ",99)),(ROW($1:$8)-1)*99+1,99)),IFERROR(('Final Calculation Sheet'!$Q$37)&amp;"",""))))&gt;0,AND(ISNUMBER(SEARCH("blank",$R$4)),NOT(ISNUMBER(SEARCH("nonblank",$R$4))),IFERROR(('Final Calculation Sheet'!$Q$37)&amp;"","")=""),AND(OR(ISNUMBER(SEARCH("nonblank",$R$4)),ISNUMBER(SEARCH("&lt;&gt;",$R$4))),IFERROR(('Final Calculation Sheet'!$Q$37)&amp;"","")&lt;&gt;""),AND(TRIM($R$4)="",IFERROR(('Final Calculation Sheet'!$Q$37)&amp;"","")=""))))</f>
        <v/>
      </c>
      <c r="CE38">
        <f>IF($S$4="",1,--(OR(SUMPRODUCT(--(TRIM(MID(SUBSTITUTE(SUBSTITUTE($S$4,"/",","),",",REPT(" ",99)),(ROW($1:$8)-1)*99+1,99))&lt;&gt;""),--ISNUMBER(SEARCH(TRIM(MID(SUBSTITUTE(SUBSTITUTE($S$4,"/",","),",",REPT(" ",99)),(ROW($1:$8)-1)*99+1,99)),IFERROR(('Final Calculation Sheet'!$R$37)&amp;"",""))))&gt;0,AND(ISNUMBER(SEARCH("blank",$S$4)),NOT(ISNUMBER(SEARCH("nonblank",$S$4))),IFERROR(('Final Calculation Sheet'!$R$37)&amp;"","")=""),AND(OR(ISNUMBER(SEARCH("nonblank",$S$4)),ISNUMBER(SEARCH("&lt;&gt;",$S$4))),IFERROR(('Final Calculation Sheet'!$R$37)&amp;"","")&lt;&gt;""),AND(TRIM($S$4)="",IFERROR(('Final Calculation Sheet'!$R$37)&amp;"","")=""))))</f>
        <v/>
      </c>
      <c r="CF38">
        <f>IF($T$4="",1,--(OR(SUMPRODUCT(--(TRIM(MID(SUBSTITUTE(SUBSTITUTE($T$4,"/",","),",",REPT(" ",99)),(ROW($1:$8)-1)*99+1,99))&lt;&gt;""),--ISNUMBER(SEARCH(TRIM(MID(SUBSTITUTE(SUBSTITUTE($T$4,"/",","),",",REPT(" ",99)),(ROW($1:$8)-1)*99+1,99)),IFERROR(('Final Calculation Sheet'!$S$37)&amp;"",""))))&gt;0,AND(ISNUMBER(SEARCH("blank",$T$4)),NOT(ISNUMBER(SEARCH("nonblank",$T$4))),IFERROR(('Final Calculation Sheet'!$S$37)&amp;"","")=""),AND(OR(ISNUMBER(SEARCH("nonblank",$T$4)),ISNUMBER(SEARCH("&lt;&gt;",$T$4))),IFERROR(('Final Calculation Sheet'!$S$37)&amp;"","")&lt;&gt;""),AND(TRIM($T$4)="",IFERROR(('Final Calculation Sheet'!$S$37)&amp;"","")=""))))</f>
        <v/>
      </c>
      <c r="CG38">
        <f>IF($U$4="",1,--(OR(SUMPRODUCT(--(TRIM(MID(SUBSTITUTE(SUBSTITUTE($U$4,"/",","),",",REPT(" ",99)),(ROW($1:$8)-1)*99+1,99))&lt;&gt;""),--ISNUMBER(SEARCH(TRIM(MID(SUBSTITUTE(SUBSTITUTE($U$4,"/",","),",",REPT(" ",99)),(ROW($1:$8)-1)*99+1,99)),IFERROR(('Final Calculation Sheet'!$T$37)&amp;"",""))))&gt;0,AND(ISNUMBER(SEARCH("blank",$U$4)),NOT(ISNUMBER(SEARCH("nonblank",$U$4))),IFERROR(('Final Calculation Sheet'!$T$37)&amp;"","")=""),AND(OR(ISNUMBER(SEARCH("nonblank",$U$4)),ISNUMBER(SEARCH("&lt;&gt;",$U$4))),IFERROR(('Final Calculation Sheet'!$T$37)&amp;"","")&lt;&gt;""),AND(TRIM($U$4)="",IFERROR(('Final Calculation Sheet'!$T$37)&amp;"","")=""))))</f>
        <v/>
      </c>
      <c r="CH38">
        <f>IF($V$4="",1,--(OR(SUMPRODUCT(--(TRIM(MID(SUBSTITUTE(SUBSTITUTE($V$4,"/",","),",",REPT(" ",99)),(ROW($1:$8)-1)*99+1,99))&lt;&gt;""),--ISNUMBER(SEARCH(TRIM(MID(SUBSTITUTE(SUBSTITUTE($V$4,"/",","),",",REPT(" ",99)),(ROW($1:$8)-1)*99+1,99)),IFERROR(('Final Calculation Sheet'!$U$37)&amp;"",""))))&gt;0,AND(ISNUMBER(SEARCH("blank",$V$4)),NOT(ISNUMBER(SEARCH("nonblank",$V$4))),IFERROR(('Final Calculation Sheet'!$U$37)&amp;"","")=""),AND(OR(ISNUMBER(SEARCH("nonblank",$V$4)),ISNUMBER(SEARCH("&lt;&gt;",$V$4))),IFERROR(('Final Calculation Sheet'!$U$37)&amp;"","")&lt;&gt;""),AND(TRIM($V$4)="",IFERROR(('Final Calculation Sheet'!$U$37)&amp;"","")=""))))</f>
        <v/>
      </c>
      <c r="CI38">
        <f>IF($W$4="",1,--(OR(SUMPRODUCT(--(TRIM(MID(SUBSTITUTE(SUBSTITUTE($W$4,"/",","),",",REPT(" ",99)),(ROW($1:$8)-1)*99+1,99))&lt;&gt;""),--ISNUMBER(SEARCH(TRIM(MID(SUBSTITUTE(SUBSTITUTE($W$4,"/",","),",",REPT(" ",99)),(ROW($1:$8)-1)*99+1,99)),IFERROR(('Final Calculation Sheet'!$V$37)&amp;"",""))))&gt;0,AND(ISNUMBER(SEARCH("blank",$W$4)),NOT(ISNUMBER(SEARCH("nonblank",$W$4))),IFERROR(('Final Calculation Sheet'!$V$37)&amp;"","")=""),AND(OR(ISNUMBER(SEARCH("nonblank",$W$4)),ISNUMBER(SEARCH("&lt;&gt;",$W$4))),IFERROR(('Final Calculation Sheet'!$V$37)&amp;"","")&lt;&gt;""),AND(TRIM($W$4)="",IFERROR(('Final Calculation Sheet'!$V$37)&amp;"","")=""))))</f>
        <v/>
      </c>
      <c r="CJ38">
        <f>IF($X$4="",1,--(OR(SUMPRODUCT(--(TRIM(MID(SUBSTITUTE(SUBSTITUTE($X$4,"/",","),",",REPT(" ",99)),(ROW($1:$8)-1)*99+1,99))&lt;&gt;""),--ISNUMBER(SEARCH(TRIM(MID(SUBSTITUTE(SUBSTITUTE($X$4,"/",","),",",REPT(" ",99)),(ROW($1:$8)-1)*99+1,99)),IFERROR(('Final Calculation Sheet'!$W$37)&amp;"",""))))&gt;0,AND(ISNUMBER(SEARCH("blank",$X$4)),NOT(ISNUMBER(SEARCH("nonblank",$X$4))),IFERROR(('Final Calculation Sheet'!$W$37)&amp;"","")=""),AND(OR(ISNUMBER(SEARCH("nonblank",$X$4)),ISNUMBER(SEARCH("&lt;&gt;",$X$4))),IFERROR(('Final Calculation Sheet'!$W$37)&amp;"","")&lt;&gt;""),AND(TRIM($X$4)="",IFERROR(('Final Calculation Sheet'!$W$37)&amp;"","")=""))))</f>
        <v/>
      </c>
      <c r="CK38">
        <f>IF($Y$4="",1,--(OR(SUMPRODUCT(--(TRIM(MID(SUBSTITUTE(SUBSTITUTE($Y$4,"/",","),",",REPT(" ",99)),(ROW($1:$8)-1)*99+1,99))&lt;&gt;""),--ISNUMBER(SEARCH(TRIM(MID(SUBSTITUTE(SUBSTITUTE($Y$4,"/",","),",",REPT(" ",99)),(ROW($1:$8)-1)*99+1,99)),IFERROR(('Final Calculation Sheet'!$X$37)&amp;"",""))))&gt;0,AND(ISNUMBER(SEARCH("blank",$Y$4)),NOT(ISNUMBER(SEARCH("nonblank",$Y$4))),IFERROR(('Final Calculation Sheet'!$X$37)&amp;"","")=""),AND(OR(ISNUMBER(SEARCH("nonblank",$Y$4)),ISNUMBER(SEARCH("&lt;&gt;",$Y$4))),IFERROR(('Final Calculation Sheet'!$X$37)&amp;"","")&lt;&gt;""),AND(TRIM($Y$4)="",IFERROR(('Final Calculation Sheet'!$X$37)&amp;"","")=""))))</f>
        <v/>
      </c>
      <c r="CL38">
        <f>IF($Z$4="",1,--(OR(SUMPRODUCT(--(TRIM(MID(SUBSTITUTE(SUBSTITUTE($Z$4,"/",","),",",REPT(" ",99)),(ROW($1:$8)-1)*99+1,99))&lt;&gt;""),--ISNUMBER(SEARCH(TRIM(MID(SUBSTITUTE(SUBSTITUTE($Z$4,"/",","),",",REPT(" ",99)),(ROW($1:$8)-1)*99+1,99)),IFERROR(('Final Calculation Sheet'!$Y$37)&amp;"",""))))&gt;0,AND(ISNUMBER(SEARCH("blank",$Z$4)),NOT(ISNUMBER(SEARCH("nonblank",$Z$4))),IFERROR(('Final Calculation Sheet'!$Y$37)&amp;"","")=""),AND(OR(ISNUMBER(SEARCH("nonblank",$Z$4)),ISNUMBER(SEARCH("&lt;&gt;",$Z$4))),IFERROR(('Final Calculation Sheet'!$Y$37)&amp;"","")&lt;&gt;""),AND(TRIM($Z$4)="",IFERROR(('Final Calculation Sheet'!$Y$37)&amp;"","")=""))))</f>
        <v/>
      </c>
      <c r="CM38">
        <f>IF($AA$4="",1,--(OR(SUMPRODUCT(--(TRIM(MID(SUBSTITUTE(SUBSTITUTE($AA$4,"/",","),",",REPT(" ",99)),(ROW($1:$8)-1)*99+1,99))&lt;&gt;""),--ISNUMBER(SEARCH(TRIM(MID(SUBSTITUTE(SUBSTITUTE($AA$4,"/",","),",",REPT(" ",99)),(ROW($1:$8)-1)*99+1,99)),IFERROR(('Final Calculation Sheet'!$Z$37)&amp;"",""))))&gt;0,AND(ISNUMBER(SEARCH("blank",$AA$4)),NOT(ISNUMBER(SEARCH("nonblank",$AA$4))),IFERROR(('Final Calculation Sheet'!$Z$37)&amp;"","")=""),AND(OR(ISNUMBER(SEARCH("nonblank",$AA$4)),ISNUMBER(SEARCH("&lt;&gt;",$AA$4))),IFERROR(('Final Calculation Sheet'!$Z$37)&amp;"","")&lt;&gt;""),AND(TRIM($AA$4)="",IFERROR(('Final Calculation Sheet'!$Z$37)&amp;"","")=""))))</f>
        <v/>
      </c>
      <c r="CN38">
        <f>IF($AB$4="",1,--(OR(SUMPRODUCT(--(TRIM(MID(SUBSTITUTE(SUBSTITUTE($AB$4,"/",","),",",REPT(" ",99)),(ROW($1:$8)-1)*99+1,99))&lt;&gt;""),--ISNUMBER(SEARCH(TRIM(MID(SUBSTITUTE(SUBSTITUTE($AB$4,"/",","),",",REPT(" ",99)),(ROW($1:$8)-1)*99+1,99)),IFERROR(('Final Calculation Sheet'!$AA$37)&amp;"",""))))&gt;0,AND(ISNUMBER(SEARCH("blank",$AB$4)),NOT(ISNUMBER(SEARCH("nonblank",$AB$4))),IFERROR(('Final Calculation Sheet'!$AA$37)&amp;"","")=""),AND(OR(ISNUMBER(SEARCH("nonblank",$AB$4)),ISNUMBER(SEARCH("&lt;&gt;",$AB$4))),IFERROR(('Final Calculation Sheet'!$AA$37)&amp;"","")&lt;&gt;""),AND(TRIM($AB$4)="",IFERROR(('Final Calculation Sheet'!$AA$37)&amp;"","")=""))))</f>
        <v/>
      </c>
      <c r="CO38">
        <f>IF($AC$4="",1,--(OR(SUMPRODUCT(--(TRIM(MID(SUBSTITUTE(SUBSTITUTE($AC$4,"/",","),",",REPT(" ",99)),(ROW($1:$8)-1)*99+1,99))&lt;&gt;""),--ISNUMBER(SEARCH(TRIM(MID(SUBSTITUTE(SUBSTITUTE($AC$4,"/",","),",",REPT(" ",99)),(ROW($1:$8)-1)*99+1,99)),IFERROR(('Final Calculation Sheet'!$AB$37)&amp;"",""))))&gt;0,AND(ISNUMBER(SEARCH("blank",$AC$4)),NOT(ISNUMBER(SEARCH("nonblank",$AC$4))),IFERROR(('Final Calculation Sheet'!$AB$37)&amp;"","")=""),AND(OR(ISNUMBER(SEARCH("nonblank",$AC$4)),ISNUMBER(SEARCH("&lt;&gt;",$AC$4))),IFERROR(('Final Calculation Sheet'!$AB$37)&amp;"","")&lt;&gt;""),AND(TRIM($AC$4)="",IFERROR(('Final Calculation Sheet'!$AB$37)&amp;"","")=""))))</f>
        <v/>
      </c>
      <c r="CP38">
        <f>IF($AD$4="",1,--(OR(SUMPRODUCT(--(TRIM(MID(SUBSTITUTE(SUBSTITUTE($AD$4,"/",","),",",REPT(" ",99)),(ROW($1:$8)-1)*99+1,99))&lt;&gt;""),--ISNUMBER(SEARCH(TRIM(MID(SUBSTITUTE(SUBSTITUTE($AD$4,"/",","),",",REPT(" ",99)),(ROW($1:$8)-1)*99+1,99)),IFERROR(('Final Calculation Sheet'!$AC$37)&amp;"",""))))&gt;0,AND(ISNUMBER(SEARCH("blank",$AD$4)),NOT(ISNUMBER(SEARCH("nonblank",$AD$4))),IFERROR(('Final Calculation Sheet'!$AC$37)&amp;"","")=""),AND(OR(ISNUMBER(SEARCH("nonblank",$AD$4)),ISNUMBER(SEARCH("&lt;&gt;",$AD$4))),IFERROR(('Final Calculation Sheet'!$AC$37)&amp;"","")&lt;&gt;""),AND(TRIM($AD$4)="",IFERROR(('Final Calculation Sheet'!$AC$37)&amp;"","")=""))))</f>
        <v/>
      </c>
      <c r="CQ38">
        <f>IF($AE$4="",1,--(OR(SUMPRODUCT(--(TRIM(MID(SUBSTITUTE(SUBSTITUTE($AE$4,"/",","),",",REPT(" ",99)),(ROW($1:$8)-1)*99+1,99))&lt;&gt;""),--ISNUMBER(SEARCH(TRIM(MID(SUBSTITUTE(SUBSTITUTE($AE$4,"/",","),",",REPT(" ",99)),(ROW($1:$8)-1)*99+1,99)),IFERROR(('Final Calculation Sheet'!$AD$37)&amp;"",""))))&gt;0,AND(ISNUMBER(SEARCH("blank",$AE$4)),NOT(ISNUMBER(SEARCH("nonblank",$AE$4))),IFERROR(('Final Calculation Sheet'!$AD$37)&amp;"","")=""),AND(OR(ISNUMBER(SEARCH("nonblank",$AE$4)),ISNUMBER(SEARCH("&lt;&gt;",$AE$4))),IFERROR(('Final Calculation Sheet'!$AD$37)&amp;"","")&lt;&gt;""),AND(TRIM($AE$4)="",IFERROR(('Final Calculation Sheet'!$AD$37)&amp;"","")=""))))</f>
        <v/>
      </c>
      <c r="CR38">
        <f>IF($AG$4="",1,--(OR(SUMPRODUCT(--(TRIM(MID(SUBSTITUTE(SUBSTITUTE($AG$4,"/",","),",",REPT(" ",99)),(ROW($1:$8)-1)*99+1,99))&lt;&gt;""),--ISNUMBER(SEARCH(TRIM(MID(SUBSTITUTE(SUBSTITUTE($AG$4,"/",","),",",REPT(" ",99)),(ROW($1:$8)-1)*99+1,99)),IFERROR(('Final Calculation Sheet'!$AF$37)&amp;"",""))))&gt;0,AND(ISNUMBER(SEARCH("blank",$AG$4)),NOT(ISNUMBER(SEARCH("nonblank",$AG$4))),IFERROR(('Final Calculation Sheet'!$AF$37)&amp;"","")=""),AND(OR(ISNUMBER(SEARCH("nonblank",$AG$4)),ISNUMBER(SEARCH("&lt;&gt;",$AG$4))),IFERROR(('Final Calculation Sheet'!$AF$37)&amp;"","")&lt;&gt;""),AND(TRIM($AG$4)="",IFERROR(('Final Calculation Sheet'!$AF$37)&amp;"","")=""))))</f>
        <v/>
      </c>
      <c r="CS38">
        <f>IF($AH$4="",1,--(OR(SUMPRODUCT(--(TRIM(MID(SUBSTITUTE(SUBSTITUTE($AH$4,"/",","),",",REPT(" ",99)),(ROW($1:$8)-1)*99+1,99))&lt;&gt;""),--ISNUMBER(SEARCH(TRIM(MID(SUBSTITUTE(SUBSTITUTE($AH$4,"/",","),",",REPT(" ",99)),(ROW($1:$8)-1)*99+1,99)),IFERROR(('Final Calculation Sheet'!$AG$37)&amp;"",""))))&gt;0,AND(ISNUMBER(SEARCH("blank",$AH$4)),NOT(ISNUMBER(SEARCH("nonblank",$AH$4))),IFERROR(('Final Calculation Sheet'!$AG$37)&amp;"","")=""),AND(OR(ISNUMBER(SEARCH("nonblank",$AH$4)),ISNUMBER(SEARCH("&lt;&gt;",$AH$4))),IFERROR(('Final Calculation Sheet'!$AG$37)&amp;"","")&lt;&gt;""),AND(TRIM($AH$4)="",IFERROR(('Final Calculation Sheet'!$AG$37)&amp;"","")=""))))</f>
        <v/>
      </c>
      <c r="CT38">
        <f>IF($AI$4="",1,--(OR(SUMPRODUCT(--(TRIM(MID(SUBSTITUTE(SUBSTITUTE($AI$4,"/",","),",",REPT(" ",99)),(ROW($1:$8)-1)*99+1,99))&lt;&gt;""),--ISNUMBER(SEARCH(TRIM(MID(SUBSTITUTE(SUBSTITUTE($AI$4,"/",","),",",REPT(" ",99)),(ROW($1:$8)-1)*99+1,99)),IFERROR(('Final Calculation Sheet'!$AH$37)&amp;"",""))))&gt;0,AND(ISNUMBER(SEARCH("blank",$AI$4)),NOT(ISNUMBER(SEARCH("nonblank",$AI$4))),IFERROR(('Final Calculation Sheet'!$AH$37)&amp;"","")=""),AND(OR(ISNUMBER(SEARCH("nonblank",$AI$4)),ISNUMBER(SEARCH("&lt;&gt;",$AI$4))),IFERROR(('Final Calculation Sheet'!$AH$37)&amp;"","")&lt;&gt;""),AND(TRIM($AI$4)="",IFERROR(('Final Calculation Sheet'!$AH$37)&amp;"","")=""))))</f>
        <v/>
      </c>
      <c r="CU38">
        <f>IF($AF$4="",1,--(OR(SUMPRODUCT(--(TRIM(MID(SUBSTITUTE(SUBSTITUTE($AF$4,"/",","),",",REPT(" ",99)),(ROW($1:$8)-1)*99+1,99))&lt;&gt;""),--ISNUMBER(SEARCH(TRIM(MID(SUBSTITUTE(SUBSTITUTE($AF$4,"/",","),",",REPT(" ",99)),(ROW($1:$8)-1)*99+1,99)),IFERROR((IF('Final Calculation Sheet'!$AD$37&lt;=5,"SETTLED","OUTSTANDING"))&amp;"",""))))&gt;0,AND(ISNUMBER(SEARCH("blank",$AF$4)),NOT(ISNUMBER(SEARCH("nonblank",$AF$4))),IFERROR((IF('Final Calculation Sheet'!$AD$37&lt;=5,"SETTLED","OUTSTANDING"))&amp;"","")=""),AND(OR(ISNUMBER(SEARCH("nonblank",$AF$4)),ISNUMBER(SEARCH("&lt;&gt;",$AF$4))),IFERROR((IF('Final Calculation Sheet'!$AD$37&lt;=5,"SETTLED","OUTSTANDING"))&amp;"","")&lt;&gt;""),AND(TRIM($AF$4)="",IFERROR((IF('Final Calculation Sheet'!$AD$37&lt;=5,"SETTLED","OUTSTANDING"))&amp;"","")=""))))</f>
        <v/>
      </c>
    </row>
    <row r="39" ht="15" customHeight="1" s="137">
      <c r="A39" s="67">
        <f>IF($BJ38&gt;0,INDEX($BA$5:$BA$41,MATCH(38,$BB$5:$BB$41,0)),IF(OR($BI38=1,$BL38=1,$BH38&gt;0),"∑",""))</f>
        <v/>
      </c>
      <c r="B39" s="76">
        <f>IF($BJ38&gt;0,IF(INDEX('Final Calculation Sheet'!$F$4:$F$40,$BJ38-3)="","",INDEX('Final Calculation Sheet'!$F$4:$F$40,$BJ38-3)),"")</f>
        <v/>
      </c>
      <c r="C39" s="76">
        <f>IF($BJ38&gt;0,IF(INDEX('Final Calculation Sheet'!$G$4:$G$40,$BJ38-3)="","",INDEX('Final Calculation Sheet'!$G$4:$G$40,$BJ38-3)),IF(OR($BI38=1,$BL38=1,$BH38&gt;0),IF($BI38=1,37,IF($BL38=1,37-INDEX($BD$4:$BD$13,10),INDEX($BD$4:$BD$13,$BH38)))&amp;" lot(s)",""))</f>
        <v/>
      </c>
      <c r="D39" s="80">
        <f>IF($BJ38&gt;0,IF(INDEX('Final Calculation Sheet'!$B$4:$B$40,$BJ38-3)="","",INDEX('Final Calculation Sheet'!$B$4:$B$40,$BJ38-3)),IF(OR($BI38=1,$BL38=1,$BH38&gt;0),IF($BI38=1,"GRAND TOTAL  —  matching + remaining",IF($BL38=1,"TOTAL MATCHED  —  every group together",IF($BH38=10,"REMAINING  —  did not match the search",IF($BH38=9,IF(COUNTIF($A$4:$AI$4,"&lt;&gt;")&gt;0,"FILTERED LOTS  —  column fields","ALL LOTS  —  nothing typed in the box"),"GROUP "&amp;$BH38&amp;" TOTAL  —  lots matching  "&amp;INDEX($AR$6:$AY$6,$BH38))))),""))</f>
        <v/>
      </c>
      <c r="E39" s="80">
        <f>IF($BJ38&gt;0,IF(INDEX('Final Calculation Sheet'!$D$4:$D$40,$BJ38-3)="","",INDEX('Final Calculation Sheet'!$D$4:$D$40,$BJ38-3)),IF(OR($BI38=1,$BL38=1,$BH38&gt;0),"–",""))</f>
        <v/>
      </c>
      <c r="F39" s="80">
        <f>IF($BJ38&gt;0,IF(INDEX('Final Calculation Sheet'!$A$4:$A$40,$BJ38-3)="","",INDEX('Final Calculation Sheet'!$A$4:$A$40,$BJ38-3)),IF(OR($BI38=1,$BL38=1,$BH38&gt;0),IF($BI38=1,SUM('Final Calculation Sheet'!$A$4:$A$40),IF($BL38=1,SUM('Final Calculation Sheet'!$A$4:$A$40)-SUMIFS('Final Calculation Sheet'!$A$4:$A$40,$AZ$5:$AZ$41,10),SUMIFS('Final Calculation Sheet'!$A$4:$A$40,$AZ$5:$AZ$41,$BH38))),""))</f>
        <v/>
      </c>
      <c r="G39" s="80">
        <f>IF($BJ38&gt;0,IF(INDEX('Final Calculation Sheet'!$E$4:$E$40,$BJ38-3)="","",INDEX('Final Calculation Sheet'!$E$4:$E$40,$BJ38-3)),IF(OR($BI38=1,$BL38=1,$BH38&gt;0),"–",""))</f>
        <v/>
      </c>
      <c r="H39" s="70">
        <f>IF($BJ38&gt;0,IF(INDEX('Final Calculation Sheet'!$C$4:$C$40,$BJ38-3)="","",INDEX('Final Calculation Sheet'!$C$4:$C$40,$BJ38-3)),IF(OR($BI38=1,$BL38=1,$BH38&gt;0),"–",""))</f>
        <v/>
      </c>
      <c r="I39" s="70">
        <f>IF($BJ38&gt;0,IF(INDEX('Final Calculation Sheet'!$H$4:$H$40,$BJ38-3)="","",INDEX('Final Calculation Sheet'!$H$4:$H$40,$BJ38-3)),IF(OR($BI38=1,$BL38=1,$BH38&gt;0),IF($BI38=1,SUM('Final Calculation Sheet'!$H$4:$H$40),IF($BL38=1,SUM('Final Calculation Sheet'!$H$4:$H$40)-SUMIFS('Final Calculation Sheet'!$H$4:$H$40,$AZ$5:$AZ$41,10),SUMIFS('Final Calculation Sheet'!$H$4:$H$40,$AZ$5:$AZ$41,$BH38))),""))</f>
        <v/>
      </c>
      <c r="J39" s="70">
        <f>IF($BJ38&gt;0,IF(INDEX('Final Calculation Sheet'!$I$4:$I$40,$BJ38-3)="","",INDEX('Final Calculation Sheet'!$I$4:$I$40,$BJ38-3)),IF(OR($BI38=1,$BL38=1,$BH38&gt;0),IF($BI38=1,SUM('Final Calculation Sheet'!$I$4:$I$40),IF($BL38=1,SUM('Final Calculation Sheet'!$I$4:$I$40)-SUMIFS('Final Calculation Sheet'!$I$4:$I$40,$AZ$5:$AZ$41,10),SUMIFS('Final Calculation Sheet'!$I$4:$I$40,$AZ$5:$AZ$41,$BH38))),""))</f>
        <v/>
      </c>
      <c r="K39" s="70">
        <f>IF($BJ38&gt;0,IF(INDEX('Final Calculation Sheet'!$J$4:$J$40,$BJ38-3)="","",INDEX('Final Calculation Sheet'!$J$4:$J$40,$BJ38-3)),IF(OR($BI38=1,$BL38=1,$BH38&gt;0),IF($BI38=1,SUM('Final Calculation Sheet'!$J$4:$J$40),IF($BL38=1,SUM('Final Calculation Sheet'!$J$4:$J$40)-SUMIFS('Final Calculation Sheet'!$J$4:$J$40,$AZ$5:$AZ$41,10),SUMIFS('Final Calculation Sheet'!$J$4:$J$40,$AZ$5:$AZ$41,$BH38))),""))</f>
        <v/>
      </c>
      <c r="L39" s="70">
        <f>IF($BJ38&gt;0,IF(INDEX('Final Calculation Sheet'!$K$4:$K$40,$BJ38-3)="","",INDEX('Final Calculation Sheet'!$K$4:$K$40,$BJ38-3)),IF(OR($BI38=1,$BL38=1,$BH38&gt;0),IF($BI38=1,SUM('Final Calculation Sheet'!$K$4:$K$40),IF($BL38=1,SUM('Final Calculation Sheet'!$K$4:$K$40)-SUMIFS('Final Calculation Sheet'!$K$4:$K$40,$AZ$5:$AZ$41,10),SUMIFS('Final Calculation Sheet'!$K$4:$K$40,$AZ$5:$AZ$41,$BH38))),""))</f>
        <v/>
      </c>
      <c r="M39" s="70">
        <f>IF($BJ38&gt;0,IF(INDEX('Final Calculation Sheet'!$L$4:$L$40,$BJ38-3)="","",INDEX('Final Calculation Sheet'!$L$4:$L$40,$BJ38-3)),IF(OR($BI38=1,$BL38=1,$BH38&gt;0),IF($BI38=1,SUM('Final Calculation Sheet'!$L$4:$L$40),IF($BL38=1,SUM('Final Calculation Sheet'!$L$4:$L$40)-SUMIFS('Final Calculation Sheet'!$L$4:$L$40,$AZ$5:$AZ$41,10),SUMIFS('Final Calculation Sheet'!$L$4:$L$40,$AZ$5:$AZ$41,$BH38))),""))</f>
        <v/>
      </c>
      <c r="N39" s="70">
        <f>IF($BJ38&gt;0,IF(INDEX('Final Calculation Sheet'!$M$4:$M$40,$BJ38-3)="","",INDEX('Final Calculation Sheet'!$M$4:$M$40,$BJ38-3)),IF(OR($BI38=1,$BL38=1,$BH38&gt;0),IF($BI38=1,SUM('Final Calculation Sheet'!$M$4:$M$40),IF($BL38=1,SUM('Final Calculation Sheet'!$M$4:$M$40)-SUMIFS('Final Calculation Sheet'!$M$4:$M$40,$AZ$5:$AZ$41,10),SUMIFS('Final Calculation Sheet'!$M$4:$M$40,$AZ$5:$AZ$41,$BH38))),""))</f>
        <v/>
      </c>
      <c r="O39" s="71">
        <f>IF($BJ38&gt;0,IF(INDEX('Final Calculation Sheet'!$N$4:$N$40,$BJ38-3)="","",INDEX('Final Calculation Sheet'!$N$4:$N$40,$BJ38-3)),IF(OR($BI38=1,$BL38=1,$BH38&gt;0),IF($BI38=1,SUM('Final Calculation Sheet'!$N$4:$N$40),IF($BL38=1,SUM('Final Calculation Sheet'!$N$4:$N$40)-SUMIFS('Final Calculation Sheet'!$N$4:$N$40,$AZ$5:$AZ$41,10),SUMIFS('Final Calculation Sheet'!$N$4:$N$40,$AZ$5:$AZ$41,$BH38))),""))</f>
        <v/>
      </c>
      <c r="P39" s="70">
        <f>IF($BJ38&gt;0,IF(INDEX('Final Calculation Sheet'!$O$4:$O$40,$BJ38-3)="","",INDEX('Final Calculation Sheet'!$O$4:$O$40,$BJ38-3)),IF(OR($BI38=1,$BL38=1,$BH38&gt;0),IF($BI38=1,SUM('Final Calculation Sheet'!$O$4:$O$40),IF($BL38=1,SUM('Final Calculation Sheet'!$O$4:$O$40)-SUMIFS('Final Calculation Sheet'!$O$4:$O$40,$AZ$5:$AZ$41,10),SUMIFS('Final Calculation Sheet'!$O$4:$O$40,$AZ$5:$AZ$41,$BH38))),""))</f>
        <v/>
      </c>
      <c r="Q39" s="70">
        <f>IF($BJ38&gt;0,IF(INDEX('Final Calculation Sheet'!$P$4:$P$40,$BJ38-3)="","",INDEX('Final Calculation Sheet'!$P$4:$P$40,$BJ38-3)),IF(OR($BI38=1,$BL38=1,$BH38&gt;0),IF($BI38=1,SUM('Final Calculation Sheet'!$P$4:$P$40),IF($BL38=1,SUM('Final Calculation Sheet'!$P$4:$P$40)-SUMIFS('Final Calculation Sheet'!$P$4:$P$40,$AZ$5:$AZ$41,10),SUMIFS('Final Calculation Sheet'!$P$4:$P$40,$AZ$5:$AZ$41,$BH38))),""))</f>
        <v/>
      </c>
      <c r="R39" s="72">
        <f>IF($BJ38&gt;0,IF(INDEX('Final Calculation Sheet'!$Q$4:$Q$40,$BJ38-3)="","",INDEX('Final Calculation Sheet'!$Q$4:$Q$40,$BJ38-3)),IF(OR($BI38=1,$BL38=1,$BH38&gt;0),"–",""))</f>
        <v/>
      </c>
      <c r="S39" s="70">
        <f>IF($BJ38&gt;0,IF(INDEX('Final Calculation Sheet'!$R$4:$R$40,$BJ38-3)="","",INDEX('Final Calculation Sheet'!$R$4:$R$40,$BJ38-3)),IF(OR($BI38=1,$BL38=1,$BH38&gt;0),IF($BI38=1,SUM('Final Calculation Sheet'!$R$4:$R$40),IF($BL38=1,SUM('Final Calculation Sheet'!$R$4:$R$40)-SUMIFS('Final Calculation Sheet'!$R$4:$R$40,$AZ$5:$AZ$41,10),SUMIFS('Final Calculation Sheet'!$R$4:$R$40,$AZ$5:$AZ$41,$BH38))),""))</f>
        <v/>
      </c>
      <c r="T39" s="70">
        <f>IF($BJ38&gt;0,IF(INDEX('Final Calculation Sheet'!$S$4:$S$40,$BJ38-3)="","",INDEX('Final Calculation Sheet'!$S$4:$S$40,$BJ38-3)),IF(OR($BI38=1,$BL38=1,$BH38&gt;0),IF($BI38=1,SUM('Final Calculation Sheet'!$S$4:$S$40),IF($BL38=1,SUM('Final Calculation Sheet'!$S$4:$S$40)-SUMIFS('Final Calculation Sheet'!$S$4:$S$40,$AZ$5:$AZ$41,10),SUMIFS('Final Calculation Sheet'!$S$4:$S$40,$AZ$5:$AZ$41,$BH38))),""))</f>
        <v/>
      </c>
      <c r="U39" s="70">
        <f>IF($BJ38&gt;0,IF(INDEX('Final Calculation Sheet'!$T$4:$T$40,$BJ38-3)="","",INDEX('Final Calculation Sheet'!$T$4:$T$40,$BJ38-3)),IF(OR($BI38=1,$BL38=1,$BH38&gt;0),IF($BI38=1,SUM('Final Calculation Sheet'!$T$4:$T$40),IF($BL38=1,SUM('Final Calculation Sheet'!$T$4:$T$40)-SUMIFS('Final Calculation Sheet'!$T$4:$T$40,$AZ$5:$AZ$41,10),SUMIFS('Final Calculation Sheet'!$T$4:$T$40,$AZ$5:$AZ$41,$BH38))),""))</f>
        <v/>
      </c>
      <c r="V39" s="73">
        <f>IF($BJ38&gt;0,IF(INDEX('Final Calculation Sheet'!$U$4:$U$40,$BJ38-3)="","",INDEX('Final Calculation Sheet'!$U$4:$U$40,$BJ38-3)),IF(OR($BI38=1,$BL38=1,$BH38&gt;0),IF($BI38=1,SUM('Final Calculation Sheet'!$U$4:$U$40),IF($BL38=1,SUM('Final Calculation Sheet'!$U$4:$U$40)-SUMIFS('Final Calculation Sheet'!$U$4:$U$40,$AZ$5:$AZ$41,10),SUMIFS('Final Calculation Sheet'!$U$4:$U$40,$AZ$5:$AZ$41,$BH38))),""))</f>
        <v/>
      </c>
      <c r="W39" s="70">
        <f>IF($BJ38&gt;0,IF(INDEX('Final Calculation Sheet'!$V$4:$V$40,$BJ38-3)="","",INDEX('Final Calculation Sheet'!$V$4:$V$40,$BJ38-3)),IF(OR($BI38=1,$BL38=1,$BH38&gt;0),"–",""))</f>
        <v/>
      </c>
      <c r="X39" s="70">
        <f>IF($BJ38&gt;0,IF(INDEX('Final Calculation Sheet'!$W$4:$W$40,$BJ38-3)="","",INDEX('Final Calculation Sheet'!$W$4:$W$40,$BJ38-3)),IF(OR($BI38=1,$BL38=1,$BH38&gt;0),IF($BI38=1,SUM('Final Calculation Sheet'!$W$4:$W$40),IF($BL38=1,SUM('Final Calculation Sheet'!$W$4:$W$40)-SUMIFS('Final Calculation Sheet'!$W$4:$W$40,$AZ$5:$AZ$41,10),SUMIFS('Final Calculation Sheet'!$W$4:$W$40,$AZ$5:$AZ$41,$BH38))),""))</f>
        <v/>
      </c>
      <c r="Y39" s="70">
        <f>IF($BJ38&gt;0,IF(INDEX('Final Calculation Sheet'!$X$4:$X$40,$BJ38-3)="","",INDEX('Final Calculation Sheet'!$X$4:$X$40,$BJ38-3)),IF(OR($BI38=1,$BL38=1,$BH38&gt;0),IF($BI38=1,SUM('Final Calculation Sheet'!$X$4:$X$40),IF($BL38=1,SUM('Final Calculation Sheet'!$X$4:$X$40)-SUMIFS('Final Calculation Sheet'!$X$4:$X$40,$AZ$5:$AZ$41,10),SUMIFS('Final Calculation Sheet'!$X$4:$X$40,$AZ$5:$AZ$41,$BH38))),""))</f>
        <v/>
      </c>
      <c r="Z39" s="70">
        <f>IF($BJ38&gt;0,IF(INDEX('Final Calculation Sheet'!$Y$4:$Y$40,$BJ38-3)="","",INDEX('Final Calculation Sheet'!$Y$4:$Y$40,$BJ38-3)),IF(OR($BI38=1,$BL38=1,$BH38&gt;0),"–",""))</f>
        <v/>
      </c>
      <c r="AA39" s="70">
        <f>IF($BJ38&gt;0,IF(INDEX('Final Calculation Sheet'!$Z$4:$Z$40,$BJ38-3)="","",INDEX('Final Calculation Sheet'!$Z$4:$Z$40,$BJ38-3)),IF(OR($BI38=1,$BL38=1,$BH38&gt;0),IF($BI38=1,SUM('Final Calculation Sheet'!$Z$4:$Z$40),IF($BL38=1,SUM('Final Calculation Sheet'!$Z$4:$Z$40)-SUMIFS('Final Calculation Sheet'!$Z$4:$Z$40,$AZ$5:$AZ$41,10),SUMIFS('Final Calculation Sheet'!$Z$4:$Z$40,$AZ$5:$AZ$41,$BH38))),""))</f>
        <v/>
      </c>
      <c r="AB39" s="70">
        <f>IF($BJ38&gt;0,IF(INDEX('Final Calculation Sheet'!$AA$4:$AA$40,$BJ38-3)="","",INDEX('Final Calculation Sheet'!$AA$4:$AA$40,$BJ38-3)),IF(OR($BI38=1,$BL38=1,$BH38&gt;0),IF($BI38=1,SUM('Final Calculation Sheet'!$AA$4:$AA$40),IF($BL38=1,SUM('Final Calculation Sheet'!$AA$4:$AA$40)-SUMIFS('Final Calculation Sheet'!$AA$4:$AA$40,$AZ$5:$AZ$41,10),SUMIFS('Final Calculation Sheet'!$AA$4:$AA$40,$AZ$5:$AZ$41,$BH38))),""))</f>
        <v/>
      </c>
      <c r="AC39" s="70">
        <f>IF($BJ38&gt;0,IF(INDEX('Final Calculation Sheet'!$AB$4:$AB$40,$BJ38-3)="","",INDEX('Final Calculation Sheet'!$AB$4:$AB$40,$BJ38-3)),IF(OR($BI38=1,$BL38=1,$BH38&gt;0),"–",""))</f>
        <v/>
      </c>
      <c r="AD39" s="70">
        <f>IF($BJ38&gt;0,IF(INDEX('Final Calculation Sheet'!$AC$4:$AC$40,$BJ38-3)="","",INDEX('Final Calculation Sheet'!$AC$4:$AC$40,$BJ38-3)),IF(OR($BI38=1,$BL38=1,$BH38&gt;0),IF($BI38=1,SUM('Final Calculation Sheet'!$AC$4:$AC$40),IF($BL38=1,SUM('Final Calculation Sheet'!$AC$4:$AC$40)-SUMIFS('Final Calculation Sheet'!$AC$4:$AC$40,$AZ$5:$AZ$41,10),SUMIFS('Final Calculation Sheet'!$AC$4:$AC$40,$AZ$5:$AZ$41,$BH38))),""))</f>
        <v/>
      </c>
      <c r="AE39" s="70">
        <f>IF($BJ38&gt;0,IF(INDEX('Final Calculation Sheet'!$AD$4:$AD$40,$BJ38-3)="","",INDEX('Final Calculation Sheet'!$AD$4:$AD$40,$BJ38-3)),IF(OR($BI38=1,$BL38=1,$BH38&gt;0),IF($BI38=1,SUM('Final Calculation Sheet'!$AD$4:$AD$40),IF($BL38=1,SUM('Final Calculation Sheet'!$AD$4:$AD$40)-SUMIFS('Final Calculation Sheet'!$AD$4:$AD$40,$AZ$5:$AZ$41,10),SUMIFS('Final Calculation Sheet'!$AD$4:$AD$40,$AZ$5:$AZ$41,$BH38))),""))</f>
        <v/>
      </c>
      <c r="AF39" s="75">
        <f>IF($BJ38&gt;0,IF(INDEX('Final Calculation Sheet'!$AD$4:$AD$40,$BJ38-3)="","",IF(INDEX('Final Calculation Sheet'!$AD$4:$AD$40,$BJ38-3)&lt;=5,"SETTLED","OUTSTANDING")),IF(OR($BI38=1,$BL38=1,$BH38&gt;0),IF(IF($BI38=1,SUM('Final Calculation Sheet'!$AD$4:$AD$40),IF($BL38=1,SUM('Final Calculation Sheet'!$AD$4:$AD$40)-SUMIFS('Final Calculation Sheet'!$AD$4:$AD$40,$AZ$5:$AZ$41,10),SUMIFS('Final Calculation Sheet'!$AD$4:$AD$40,$AZ$5:$AZ$41,$BH38)))&lt;=5,"ALL SETTLED","OUTSTANDING"),""))</f>
        <v/>
      </c>
      <c r="AG39" s="70">
        <f>IF($BJ38&gt;0,IF(INDEX('Final Calculation Sheet'!$AF$4:$AF$40,$BJ38-3)="","",INDEX('Final Calculation Sheet'!$AF$4:$AF$40,$BJ38-3)),IF(OR($BI38=1,$BL38=1,$BH38&gt;0),"–",""))</f>
        <v/>
      </c>
      <c r="AH39" s="74">
        <f>IF($BJ38&gt;0,IF(INDEX('Final Calculation Sheet'!$AG$4:$AG$40,$BJ38-3)="","",INDEX('Final Calculation Sheet'!$AG$4:$AG$40,$BJ38-3)),IF(OR($BI38=1,$BL38=1,$BH38&gt;0),"–",""))</f>
        <v/>
      </c>
      <c r="AI39" s="70">
        <f>IF($BJ38&gt;0,IF(INDEX('Final Calculation Sheet'!$AH$4:$AH$40,$BJ38-3)="","",INDEX('Final Calculation Sheet'!$AH$4:$AH$40,$BJ38-3)),IF(OR($BI38=1,$BL38=1,$BH38&gt;0),"–",""))</f>
        <v/>
      </c>
      <c r="AK39">
        <f>IF($F$3="Lot No.",'Final Calculation Sheet'!$F$38,IF($F$3="Buyer",'Final Calculation Sheet'!$G$38,IF($F$3="Lot Name",'Final Calculation Sheet'!$B$38,IF($F$3="Bid Sheet",'Final Calculation Sheet'!$D$38,IF($F$3="Unit",'Final Calculation Sheet'!$E$38,'Final Calculation Sheet'!$F$38&amp;" "&amp;'Final Calculation Sheet'!$G$38&amp;" "&amp;'Final Calculation Sheet'!$B$38)))))</f>
        <v/>
      </c>
      <c r="AL39">
        <f>AL38+IF($B$3="",0,--(SUMPRODUCT(--($AR$6:$AY$6&lt;&gt;""),--ISNUMBER(SEARCH($AR$6:$AY$6,$AK39)))&gt;0))</f>
        <v/>
      </c>
      <c r="AM39">
        <f>IF(COUNTIF($BM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AZ39">
        <f>IF($B$3="",IF(COUNTIF($A$4:$AI$4,"&lt;&gt;")=0,9,IF($AM39=1,9,10)),IF($AM39=0,10,IF(AND($AR$6&lt;&gt;"",ISNUMBER(SEARCH($AR$6,$AK39))),1,IF(AND($AS$6&lt;&gt;"",ISNUMBER(SEARCH($AS$6,$AK39))),2,IF(AND($AT$6&lt;&gt;"",ISNUMBER(SEARCH($AT$6,$AK39))),3,IF(AND($AU$6&lt;&gt;"",ISNUMBER(SEARCH($AU$6,$AK39))),4,IF(AND($AV$6&lt;&gt;"",ISNUMBER(SEARCH($AV$6,$AK39))),5,IF(AND($AW$6&lt;&gt;"",ISNUMBER(SEARCH($AW$6,$AK39))),6,IF(AND($AX$6&lt;&gt;"",ISNUMBER(SEARCH($AX$6,$AK39))),7,IF(AND($AY$6&lt;&gt;"",ISNUMBER(SEARCH($AY$6,$AK39))),8,0))))))))))</f>
        <v/>
      </c>
      <c r="BA39">
        <f>SUMPRODUCT(($AZ$5:$AZ$41=$AZ39)*($BC$5:$BC$41&lt;$BC39))+1</f>
        <v/>
      </c>
      <c r="BB39">
        <f>IF(INDEX($BF$4:$BF$13,$AZ39)=0,0,INDEX($BE$4:$BE$13,$AZ39)+$BA39-1)</f>
        <v/>
      </c>
      <c r="BC39" t="n">
        <v>38</v>
      </c>
      <c r="BH39">
        <f>IFERROR(MATCH(39,$BF$4:$BF$13,0),0)</f>
        <v/>
      </c>
      <c r="BI39">
        <f>IF(39=$BG$5,1,0)</f>
        <v/>
      </c>
      <c r="BJ39">
        <f>IF(OR($BH39&gt;0,$BI39=1,$BL39=1),0,IFERROR(INDEX($BC$5:$BC$41,MATCH(39,$BB$5:$BB$41,0)),0))</f>
        <v/>
      </c>
      <c r="BK39">
        <f>IF($BJ39&gt;0,IF(INDEX($AZ$5:$AZ$41,MATCH(39,$BB$5:$BB$41,0))=10,1,0),IF($BH39=10,1,0))</f>
        <v/>
      </c>
      <c r="BL39">
        <f>IF(39=$BG$4,1,0)</f>
        <v/>
      </c>
      <c r="BM39">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9">
        <f>IF($B$4="",1,--(OR(SUMPRODUCT(--(TRIM(MID(SUBSTITUTE(SUBSTITUTE($B$4,"/",","),",",REPT(" ",99)),(ROW($1:$8)-1)*99+1,99))&lt;&gt;""),--ISNUMBER(SEARCH(TRIM(MID(SUBSTITUTE(SUBSTITUTE($B$4,"/",","),",",REPT(" ",99)),(ROW($1:$8)-1)*99+1,99)),IFERROR(('Final Calculation Sheet'!$F$38)&amp;"",""))))&gt;0,AND(ISNUMBER(SEARCH("blank",$B$4)),NOT(ISNUMBER(SEARCH("nonblank",$B$4))),IFERROR(('Final Calculation Sheet'!$F$38)&amp;"","")=""),AND(OR(ISNUMBER(SEARCH("nonblank",$B$4)),ISNUMBER(SEARCH("&lt;&gt;",$B$4))),IFERROR(('Final Calculation Sheet'!$F$38)&amp;"","")&lt;&gt;""),AND(TRIM($B$4)="",IFERROR(('Final Calculation Sheet'!$F$38)&amp;"","")=""))))</f>
        <v/>
      </c>
      <c r="BO39">
        <f>IF($CW$3="",1,--(OR(SUMPRODUCT(--(TRIM(MID(SUBSTITUTE(SUBSTITUTE($CW$3,"/",","),",",REPT(" ",99)),(ROW($1:$8)-1)*99+1,99))&lt;&gt;""),--ISNUMBER(SEARCH(TRIM(MID(SUBSTITUTE(SUBSTITUTE($CW$3,"/",","),",",REPT(" ",99)),(ROW($1:$8)-1)*99+1,99)),IFERROR(('Final Calculation Sheet'!$G$38)&amp;"",""))))&gt;0,AND(ISNUMBER(SEARCH("blank",$CW$3)),NOT(ISNUMBER(SEARCH("nonblank",$CW$3))),IFERROR(('Final Calculation Sheet'!$G$38)&amp;"","")=""),AND(OR(ISNUMBER(SEARCH("nonblank",$CW$3)),ISNUMBER(SEARCH("&lt;&gt;",$CW$3))),IFERROR(('Final Calculation Sheet'!$G$38)&amp;"","")&lt;&gt;""),AND(TRIM($CW$3)="",IFERROR(('Final Calculation Sheet'!$G$38)&amp;"","")=""))))</f>
        <v/>
      </c>
      <c r="BP39">
        <f>IF($D$4="",1,--(OR(SUMPRODUCT(--(TRIM(MID(SUBSTITUTE(SUBSTITUTE($D$4,"/",","),",",REPT(" ",99)),(ROW($1:$8)-1)*99+1,99))&lt;&gt;""),--ISNUMBER(SEARCH(TRIM(MID(SUBSTITUTE(SUBSTITUTE($D$4,"/",","),",",REPT(" ",99)),(ROW($1:$8)-1)*99+1,99)),IFERROR(('Final Calculation Sheet'!$B$38)&amp;"",""))))&gt;0,AND(ISNUMBER(SEARCH("blank",$D$4)),NOT(ISNUMBER(SEARCH("nonblank",$D$4))),IFERROR(('Final Calculation Sheet'!$B$38)&amp;"","")=""),AND(OR(ISNUMBER(SEARCH("nonblank",$D$4)),ISNUMBER(SEARCH("&lt;&gt;",$D$4))),IFERROR(('Final Calculation Sheet'!$B$38)&amp;"","")&lt;&gt;""),AND(TRIM($D$4)="",IFERROR(('Final Calculation Sheet'!$B$38)&amp;"","")=""))))</f>
        <v/>
      </c>
      <c r="BQ39">
        <f>IF($E$4="",1,--(OR(SUMPRODUCT(--(TRIM(MID(SUBSTITUTE(SUBSTITUTE($E$4,"/",","),",",REPT(" ",99)),(ROW($1:$8)-1)*99+1,99))&lt;&gt;""),--ISNUMBER(SEARCH(TRIM(MID(SUBSTITUTE(SUBSTITUTE($E$4,"/",","),",",REPT(" ",99)),(ROW($1:$8)-1)*99+1,99)),IFERROR(('Final Calculation Sheet'!$D$38)&amp;"",""))))&gt;0,AND(ISNUMBER(SEARCH("blank",$E$4)),NOT(ISNUMBER(SEARCH("nonblank",$E$4))),IFERROR(('Final Calculation Sheet'!$D$38)&amp;"","")=""),AND(OR(ISNUMBER(SEARCH("nonblank",$E$4)),ISNUMBER(SEARCH("&lt;&gt;",$E$4))),IFERROR(('Final Calculation Sheet'!$D$38)&amp;"","")&lt;&gt;""),AND(TRIM($E$4)="",IFERROR(('Final Calculation Sheet'!$D$38)&amp;"","")=""))))</f>
        <v/>
      </c>
      <c r="BR39">
        <f>IF($F$4="",1,--(OR(SUMPRODUCT(--(TRIM(MID(SUBSTITUTE(SUBSTITUTE($F$4,"/",","),",",REPT(" ",99)),(ROW($1:$8)-1)*99+1,99))&lt;&gt;""),--ISNUMBER(SEARCH(TRIM(MID(SUBSTITUTE(SUBSTITUTE($F$4,"/",","),",",REPT(" ",99)),(ROW($1:$8)-1)*99+1,99)),IFERROR(('Final Calculation Sheet'!$A$38)&amp;"",""))))&gt;0,AND(ISNUMBER(SEARCH("blank",$F$4)),NOT(ISNUMBER(SEARCH("nonblank",$F$4))),IFERROR(('Final Calculation Sheet'!$A$38)&amp;"","")=""),AND(OR(ISNUMBER(SEARCH("nonblank",$F$4)),ISNUMBER(SEARCH("&lt;&gt;",$F$4))),IFERROR(('Final Calculation Sheet'!$A$38)&amp;"","")&lt;&gt;""),AND(TRIM($F$4)="",IFERROR(('Final Calculation Sheet'!$A$38)&amp;"","")=""))))</f>
        <v/>
      </c>
      <c r="BS39">
        <f>IF($G$4="",1,--(OR(SUMPRODUCT(--(TRIM(MID(SUBSTITUTE(SUBSTITUTE($G$4,"/",","),",",REPT(" ",99)),(ROW($1:$8)-1)*99+1,99))&lt;&gt;""),--ISNUMBER(SEARCH(TRIM(MID(SUBSTITUTE(SUBSTITUTE($G$4,"/",","),",",REPT(" ",99)),(ROW($1:$8)-1)*99+1,99)),IFERROR(('Final Calculation Sheet'!$E$38)&amp;"",""))))&gt;0,AND(ISNUMBER(SEARCH("blank",$G$4)),NOT(ISNUMBER(SEARCH("nonblank",$G$4))),IFERROR(('Final Calculation Sheet'!$E$38)&amp;"","")=""),AND(OR(ISNUMBER(SEARCH("nonblank",$G$4)),ISNUMBER(SEARCH("&lt;&gt;",$G$4))),IFERROR(('Final Calculation Sheet'!$E$38)&amp;"","")&lt;&gt;""),AND(TRIM($G$4)="",IFERROR(('Final Calculation Sheet'!$E$38)&amp;"","")=""))))</f>
        <v/>
      </c>
      <c r="BT39">
        <f>IF($H$4="",1,--(OR(SUMPRODUCT(--(TRIM(MID(SUBSTITUTE(SUBSTITUTE($H$4,"/",","),",",REPT(" ",99)),(ROW($1:$8)-1)*99+1,99))&lt;&gt;""),--ISNUMBER(SEARCH(TRIM(MID(SUBSTITUTE(SUBSTITUTE($H$4,"/",","),",",REPT(" ",99)),(ROW($1:$8)-1)*99+1,99)),IFERROR(('Final Calculation Sheet'!$C$38)&amp;"",""))))&gt;0,AND(ISNUMBER(SEARCH("blank",$H$4)),NOT(ISNUMBER(SEARCH("nonblank",$H$4))),IFERROR(('Final Calculation Sheet'!$C$38)&amp;"","")=""),AND(OR(ISNUMBER(SEARCH("nonblank",$H$4)),ISNUMBER(SEARCH("&lt;&gt;",$H$4))),IFERROR(('Final Calculation Sheet'!$C$38)&amp;"","")&lt;&gt;""),AND(TRIM($H$4)="",IFERROR(('Final Calculation Sheet'!$C$38)&amp;"","")=""))))</f>
        <v/>
      </c>
      <c r="BU39">
        <f>IF($I$4="",1,--(OR(SUMPRODUCT(--(TRIM(MID(SUBSTITUTE(SUBSTITUTE($I$4,"/",","),",",REPT(" ",99)),(ROW($1:$8)-1)*99+1,99))&lt;&gt;""),--ISNUMBER(SEARCH(TRIM(MID(SUBSTITUTE(SUBSTITUTE($I$4,"/",","),",",REPT(" ",99)),(ROW($1:$8)-1)*99+1,99)),IFERROR(('Final Calculation Sheet'!$H$38)&amp;"",""))))&gt;0,AND(ISNUMBER(SEARCH("blank",$I$4)),NOT(ISNUMBER(SEARCH("nonblank",$I$4))),IFERROR(('Final Calculation Sheet'!$H$38)&amp;"","")=""),AND(OR(ISNUMBER(SEARCH("nonblank",$I$4)),ISNUMBER(SEARCH("&lt;&gt;",$I$4))),IFERROR(('Final Calculation Sheet'!$H$38)&amp;"","")&lt;&gt;""),AND(TRIM($I$4)="",IFERROR(('Final Calculation Sheet'!$H$38)&amp;"","")=""))))</f>
        <v/>
      </c>
      <c r="BV39">
        <f>IF($J$4="",1,--(OR(SUMPRODUCT(--(TRIM(MID(SUBSTITUTE(SUBSTITUTE($J$4,"/",","),",",REPT(" ",99)),(ROW($1:$8)-1)*99+1,99))&lt;&gt;""),--ISNUMBER(SEARCH(TRIM(MID(SUBSTITUTE(SUBSTITUTE($J$4,"/",","),",",REPT(" ",99)),(ROW($1:$8)-1)*99+1,99)),IFERROR(('Final Calculation Sheet'!$I$38)&amp;"",""))))&gt;0,AND(ISNUMBER(SEARCH("blank",$J$4)),NOT(ISNUMBER(SEARCH("nonblank",$J$4))),IFERROR(('Final Calculation Sheet'!$I$38)&amp;"","")=""),AND(OR(ISNUMBER(SEARCH("nonblank",$J$4)),ISNUMBER(SEARCH("&lt;&gt;",$J$4))),IFERROR(('Final Calculation Sheet'!$I$38)&amp;"","")&lt;&gt;""),AND(TRIM($J$4)="",IFERROR(('Final Calculation Sheet'!$I$38)&amp;"","")=""))))</f>
        <v/>
      </c>
      <c r="BW39">
        <f>IF($K$4="",1,--(OR(SUMPRODUCT(--(TRIM(MID(SUBSTITUTE(SUBSTITUTE($K$4,"/",","),",",REPT(" ",99)),(ROW($1:$8)-1)*99+1,99))&lt;&gt;""),--ISNUMBER(SEARCH(TRIM(MID(SUBSTITUTE(SUBSTITUTE($K$4,"/",","),",",REPT(" ",99)),(ROW($1:$8)-1)*99+1,99)),IFERROR(('Final Calculation Sheet'!$J$38)&amp;"",""))))&gt;0,AND(ISNUMBER(SEARCH("blank",$K$4)),NOT(ISNUMBER(SEARCH("nonblank",$K$4))),IFERROR(('Final Calculation Sheet'!$J$38)&amp;"","")=""),AND(OR(ISNUMBER(SEARCH("nonblank",$K$4)),ISNUMBER(SEARCH("&lt;&gt;",$K$4))),IFERROR(('Final Calculation Sheet'!$J$38)&amp;"","")&lt;&gt;""),AND(TRIM($K$4)="",IFERROR(('Final Calculation Sheet'!$J$38)&amp;"","")=""))))</f>
        <v/>
      </c>
      <c r="BX39">
        <f>IF($L$4="",1,--(OR(SUMPRODUCT(--(TRIM(MID(SUBSTITUTE(SUBSTITUTE($L$4,"/",","),",",REPT(" ",99)),(ROW($1:$8)-1)*99+1,99))&lt;&gt;""),--ISNUMBER(SEARCH(TRIM(MID(SUBSTITUTE(SUBSTITUTE($L$4,"/",","),",",REPT(" ",99)),(ROW($1:$8)-1)*99+1,99)),IFERROR(('Final Calculation Sheet'!$K$38)&amp;"",""))))&gt;0,AND(ISNUMBER(SEARCH("blank",$L$4)),NOT(ISNUMBER(SEARCH("nonblank",$L$4))),IFERROR(('Final Calculation Sheet'!$K$38)&amp;"","")=""),AND(OR(ISNUMBER(SEARCH("nonblank",$L$4)),ISNUMBER(SEARCH("&lt;&gt;",$L$4))),IFERROR(('Final Calculation Sheet'!$K$38)&amp;"","")&lt;&gt;""),AND(TRIM($L$4)="",IFERROR(('Final Calculation Sheet'!$K$38)&amp;"","")=""))))</f>
        <v/>
      </c>
      <c r="BY39">
        <f>IF($M$4="",1,--(OR(SUMPRODUCT(--(TRIM(MID(SUBSTITUTE(SUBSTITUTE($M$4,"/",","),",",REPT(" ",99)),(ROW($1:$8)-1)*99+1,99))&lt;&gt;""),--ISNUMBER(SEARCH(TRIM(MID(SUBSTITUTE(SUBSTITUTE($M$4,"/",","),",",REPT(" ",99)),(ROW($1:$8)-1)*99+1,99)),IFERROR(('Final Calculation Sheet'!$L$38)&amp;"",""))))&gt;0,AND(ISNUMBER(SEARCH("blank",$M$4)),NOT(ISNUMBER(SEARCH("nonblank",$M$4))),IFERROR(('Final Calculation Sheet'!$L$38)&amp;"","")=""),AND(OR(ISNUMBER(SEARCH("nonblank",$M$4)),ISNUMBER(SEARCH("&lt;&gt;",$M$4))),IFERROR(('Final Calculation Sheet'!$L$38)&amp;"","")&lt;&gt;""),AND(TRIM($M$4)="",IFERROR(('Final Calculation Sheet'!$L$38)&amp;"","")=""))))</f>
        <v/>
      </c>
      <c r="BZ39">
        <f>IF($N$4="",1,--(OR(SUMPRODUCT(--(TRIM(MID(SUBSTITUTE(SUBSTITUTE($N$4,"/",","),",",REPT(" ",99)),(ROW($1:$8)-1)*99+1,99))&lt;&gt;""),--ISNUMBER(SEARCH(TRIM(MID(SUBSTITUTE(SUBSTITUTE($N$4,"/",","),",",REPT(" ",99)),(ROW($1:$8)-1)*99+1,99)),IFERROR(('Final Calculation Sheet'!$M$38)&amp;"",""))))&gt;0,AND(ISNUMBER(SEARCH("blank",$N$4)),NOT(ISNUMBER(SEARCH("nonblank",$N$4))),IFERROR(('Final Calculation Sheet'!$M$38)&amp;"","")=""),AND(OR(ISNUMBER(SEARCH("nonblank",$N$4)),ISNUMBER(SEARCH("&lt;&gt;",$N$4))),IFERROR(('Final Calculation Sheet'!$M$38)&amp;"","")&lt;&gt;""),AND(TRIM($N$4)="",IFERROR(('Final Calculation Sheet'!$M$38)&amp;"","")=""))))</f>
        <v/>
      </c>
      <c r="CA39">
        <f>IF($O$4="",1,--(OR(SUMPRODUCT(--(TRIM(MID(SUBSTITUTE(SUBSTITUTE($O$4,"/",","),",",REPT(" ",99)),(ROW($1:$8)-1)*99+1,99))&lt;&gt;""),--ISNUMBER(SEARCH(TRIM(MID(SUBSTITUTE(SUBSTITUTE($O$4,"/",","),",",REPT(" ",99)),(ROW($1:$8)-1)*99+1,99)),IFERROR(('Final Calculation Sheet'!$N$38)&amp;"",""))))&gt;0,AND(ISNUMBER(SEARCH("blank",$O$4)),NOT(ISNUMBER(SEARCH("nonblank",$O$4))),IFERROR(('Final Calculation Sheet'!$N$38)&amp;"","")=""),AND(OR(ISNUMBER(SEARCH("nonblank",$O$4)),ISNUMBER(SEARCH("&lt;&gt;",$O$4))),IFERROR(('Final Calculation Sheet'!$N$38)&amp;"","")&lt;&gt;""),AND(TRIM($O$4)="",IFERROR(('Final Calculation Sheet'!$N$38)&amp;"","")=""))))</f>
        <v/>
      </c>
      <c r="CB39">
        <f>IF($P$4="",1,--(OR(SUMPRODUCT(--(TRIM(MID(SUBSTITUTE(SUBSTITUTE($P$4,"/",","),",",REPT(" ",99)),(ROW($1:$8)-1)*99+1,99))&lt;&gt;""),--ISNUMBER(SEARCH(TRIM(MID(SUBSTITUTE(SUBSTITUTE($P$4,"/",","),",",REPT(" ",99)),(ROW($1:$8)-1)*99+1,99)),IFERROR(('Final Calculation Sheet'!$O$38)&amp;"",""))))&gt;0,AND(ISNUMBER(SEARCH("blank",$P$4)),NOT(ISNUMBER(SEARCH("nonblank",$P$4))),IFERROR(('Final Calculation Sheet'!$O$38)&amp;"","")=""),AND(OR(ISNUMBER(SEARCH("nonblank",$P$4)),ISNUMBER(SEARCH("&lt;&gt;",$P$4))),IFERROR(('Final Calculation Sheet'!$O$38)&amp;"","")&lt;&gt;""),AND(TRIM($P$4)="",IFERROR(('Final Calculation Sheet'!$O$38)&amp;"","")=""))))</f>
        <v/>
      </c>
      <c r="CC39">
        <f>IF($Q$4="",1,--(OR(SUMPRODUCT(--(TRIM(MID(SUBSTITUTE(SUBSTITUTE($Q$4,"/",","),",",REPT(" ",99)),(ROW($1:$8)-1)*99+1,99))&lt;&gt;""),--ISNUMBER(SEARCH(TRIM(MID(SUBSTITUTE(SUBSTITUTE($Q$4,"/",","),",",REPT(" ",99)),(ROW($1:$8)-1)*99+1,99)),IFERROR(('Final Calculation Sheet'!$P$38)&amp;"",""))))&gt;0,AND(ISNUMBER(SEARCH("blank",$Q$4)),NOT(ISNUMBER(SEARCH("nonblank",$Q$4))),IFERROR(('Final Calculation Sheet'!$P$38)&amp;"","")=""),AND(OR(ISNUMBER(SEARCH("nonblank",$Q$4)),ISNUMBER(SEARCH("&lt;&gt;",$Q$4))),IFERROR(('Final Calculation Sheet'!$P$38)&amp;"","")&lt;&gt;""),AND(TRIM($Q$4)="",IFERROR(('Final Calculation Sheet'!$P$38)&amp;"","")=""))))</f>
        <v/>
      </c>
      <c r="CD39">
        <f>IF($R$4="",1,--(OR(SUMPRODUCT(--(TRIM(MID(SUBSTITUTE(SUBSTITUTE($R$4,"/",","),",",REPT(" ",99)),(ROW($1:$8)-1)*99+1,99))&lt;&gt;""),--ISNUMBER(SEARCH(TRIM(MID(SUBSTITUTE(SUBSTITUTE($R$4,"/",","),",",REPT(" ",99)),(ROW($1:$8)-1)*99+1,99)),IFERROR(('Final Calculation Sheet'!$Q$38)&amp;"",""))))&gt;0,AND(ISNUMBER(SEARCH("blank",$R$4)),NOT(ISNUMBER(SEARCH("nonblank",$R$4))),IFERROR(('Final Calculation Sheet'!$Q$38)&amp;"","")=""),AND(OR(ISNUMBER(SEARCH("nonblank",$R$4)),ISNUMBER(SEARCH("&lt;&gt;",$R$4))),IFERROR(('Final Calculation Sheet'!$Q$38)&amp;"","")&lt;&gt;""),AND(TRIM($R$4)="",IFERROR(('Final Calculation Sheet'!$Q$38)&amp;"","")=""))))</f>
        <v/>
      </c>
      <c r="CE39">
        <f>IF($S$4="",1,--(OR(SUMPRODUCT(--(TRIM(MID(SUBSTITUTE(SUBSTITUTE($S$4,"/",","),",",REPT(" ",99)),(ROW($1:$8)-1)*99+1,99))&lt;&gt;""),--ISNUMBER(SEARCH(TRIM(MID(SUBSTITUTE(SUBSTITUTE($S$4,"/",","),",",REPT(" ",99)),(ROW($1:$8)-1)*99+1,99)),IFERROR(('Final Calculation Sheet'!$R$38)&amp;"",""))))&gt;0,AND(ISNUMBER(SEARCH("blank",$S$4)),NOT(ISNUMBER(SEARCH("nonblank",$S$4))),IFERROR(('Final Calculation Sheet'!$R$38)&amp;"","")=""),AND(OR(ISNUMBER(SEARCH("nonblank",$S$4)),ISNUMBER(SEARCH("&lt;&gt;",$S$4))),IFERROR(('Final Calculation Sheet'!$R$38)&amp;"","")&lt;&gt;""),AND(TRIM($S$4)="",IFERROR(('Final Calculation Sheet'!$R$38)&amp;"","")=""))))</f>
        <v/>
      </c>
      <c r="CF39">
        <f>IF($T$4="",1,--(OR(SUMPRODUCT(--(TRIM(MID(SUBSTITUTE(SUBSTITUTE($T$4,"/",","),",",REPT(" ",99)),(ROW($1:$8)-1)*99+1,99))&lt;&gt;""),--ISNUMBER(SEARCH(TRIM(MID(SUBSTITUTE(SUBSTITUTE($T$4,"/",","),",",REPT(" ",99)),(ROW($1:$8)-1)*99+1,99)),IFERROR(('Final Calculation Sheet'!$S$38)&amp;"",""))))&gt;0,AND(ISNUMBER(SEARCH("blank",$T$4)),NOT(ISNUMBER(SEARCH("nonblank",$T$4))),IFERROR(('Final Calculation Sheet'!$S$38)&amp;"","")=""),AND(OR(ISNUMBER(SEARCH("nonblank",$T$4)),ISNUMBER(SEARCH("&lt;&gt;",$T$4))),IFERROR(('Final Calculation Sheet'!$S$38)&amp;"","")&lt;&gt;""),AND(TRIM($T$4)="",IFERROR(('Final Calculation Sheet'!$S$38)&amp;"","")=""))))</f>
        <v/>
      </c>
      <c r="CG39">
        <f>IF($U$4="",1,--(OR(SUMPRODUCT(--(TRIM(MID(SUBSTITUTE(SUBSTITUTE($U$4,"/",","),",",REPT(" ",99)),(ROW($1:$8)-1)*99+1,99))&lt;&gt;""),--ISNUMBER(SEARCH(TRIM(MID(SUBSTITUTE(SUBSTITUTE($U$4,"/",","),",",REPT(" ",99)),(ROW($1:$8)-1)*99+1,99)),IFERROR(('Final Calculation Sheet'!$T$38)&amp;"",""))))&gt;0,AND(ISNUMBER(SEARCH("blank",$U$4)),NOT(ISNUMBER(SEARCH("nonblank",$U$4))),IFERROR(('Final Calculation Sheet'!$T$38)&amp;"","")=""),AND(OR(ISNUMBER(SEARCH("nonblank",$U$4)),ISNUMBER(SEARCH("&lt;&gt;",$U$4))),IFERROR(('Final Calculation Sheet'!$T$38)&amp;"","")&lt;&gt;""),AND(TRIM($U$4)="",IFERROR(('Final Calculation Sheet'!$T$38)&amp;"","")=""))))</f>
        <v/>
      </c>
      <c r="CH39">
        <f>IF($V$4="",1,--(OR(SUMPRODUCT(--(TRIM(MID(SUBSTITUTE(SUBSTITUTE($V$4,"/",","),",",REPT(" ",99)),(ROW($1:$8)-1)*99+1,99))&lt;&gt;""),--ISNUMBER(SEARCH(TRIM(MID(SUBSTITUTE(SUBSTITUTE($V$4,"/",","),",",REPT(" ",99)),(ROW($1:$8)-1)*99+1,99)),IFERROR(('Final Calculation Sheet'!$U$38)&amp;"",""))))&gt;0,AND(ISNUMBER(SEARCH("blank",$V$4)),NOT(ISNUMBER(SEARCH("nonblank",$V$4))),IFERROR(('Final Calculation Sheet'!$U$38)&amp;"","")=""),AND(OR(ISNUMBER(SEARCH("nonblank",$V$4)),ISNUMBER(SEARCH("&lt;&gt;",$V$4))),IFERROR(('Final Calculation Sheet'!$U$38)&amp;"","")&lt;&gt;""),AND(TRIM($V$4)="",IFERROR(('Final Calculation Sheet'!$U$38)&amp;"","")=""))))</f>
        <v/>
      </c>
      <c r="CI39">
        <f>IF($W$4="",1,--(OR(SUMPRODUCT(--(TRIM(MID(SUBSTITUTE(SUBSTITUTE($W$4,"/",","),",",REPT(" ",99)),(ROW($1:$8)-1)*99+1,99))&lt;&gt;""),--ISNUMBER(SEARCH(TRIM(MID(SUBSTITUTE(SUBSTITUTE($W$4,"/",","),",",REPT(" ",99)),(ROW($1:$8)-1)*99+1,99)),IFERROR(('Final Calculation Sheet'!$V$38)&amp;"",""))))&gt;0,AND(ISNUMBER(SEARCH("blank",$W$4)),NOT(ISNUMBER(SEARCH("nonblank",$W$4))),IFERROR(('Final Calculation Sheet'!$V$38)&amp;"","")=""),AND(OR(ISNUMBER(SEARCH("nonblank",$W$4)),ISNUMBER(SEARCH("&lt;&gt;",$W$4))),IFERROR(('Final Calculation Sheet'!$V$38)&amp;"","")&lt;&gt;""),AND(TRIM($W$4)="",IFERROR(('Final Calculation Sheet'!$V$38)&amp;"","")=""))))</f>
        <v/>
      </c>
      <c r="CJ39">
        <f>IF($X$4="",1,--(OR(SUMPRODUCT(--(TRIM(MID(SUBSTITUTE(SUBSTITUTE($X$4,"/",","),",",REPT(" ",99)),(ROW($1:$8)-1)*99+1,99))&lt;&gt;""),--ISNUMBER(SEARCH(TRIM(MID(SUBSTITUTE(SUBSTITUTE($X$4,"/",","),",",REPT(" ",99)),(ROW($1:$8)-1)*99+1,99)),IFERROR(('Final Calculation Sheet'!$W$38)&amp;"",""))))&gt;0,AND(ISNUMBER(SEARCH("blank",$X$4)),NOT(ISNUMBER(SEARCH("nonblank",$X$4))),IFERROR(('Final Calculation Sheet'!$W$38)&amp;"","")=""),AND(OR(ISNUMBER(SEARCH("nonblank",$X$4)),ISNUMBER(SEARCH("&lt;&gt;",$X$4))),IFERROR(('Final Calculation Sheet'!$W$38)&amp;"","")&lt;&gt;""),AND(TRIM($X$4)="",IFERROR(('Final Calculation Sheet'!$W$38)&amp;"","")=""))))</f>
        <v/>
      </c>
      <c r="CK39">
        <f>IF($Y$4="",1,--(OR(SUMPRODUCT(--(TRIM(MID(SUBSTITUTE(SUBSTITUTE($Y$4,"/",","),",",REPT(" ",99)),(ROW($1:$8)-1)*99+1,99))&lt;&gt;""),--ISNUMBER(SEARCH(TRIM(MID(SUBSTITUTE(SUBSTITUTE($Y$4,"/",","),",",REPT(" ",99)),(ROW($1:$8)-1)*99+1,99)),IFERROR(('Final Calculation Sheet'!$X$38)&amp;"",""))))&gt;0,AND(ISNUMBER(SEARCH("blank",$Y$4)),NOT(ISNUMBER(SEARCH("nonblank",$Y$4))),IFERROR(('Final Calculation Sheet'!$X$38)&amp;"","")=""),AND(OR(ISNUMBER(SEARCH("nonblank",$Y$4)),ISNUMBER(SEARCH("&lt;&gt;",$Y$4))),IFERROR(('Final Calculation Sheet'!$X$38)&amp;"","")&lt;&gt;""),AND(TRIM($Y$4)="",IFERROR(('Final Calculation Sheet'!$X$38)&amp;"","")=""))))</f>
        <v/>
      </c>
      <c r="CL39">
        <f>IF($Z$4="",1,--(OR(SUMPRODUCT(--(TRIM(MID(SUBSTITUTE(SUBSTITUTE($Z$4,"/",","),",",REPT(" ",99)),(ROW($1:$8)-1)*99+1,99))&lt;&gt;""),--ISNUMBER(SEARCH(TRIM(MID(SUBSTITUTE(SUBSTITUTE($Z$4,"/",","),",",REPT(" ",99)),(ROW($1:$8)-1)*99+1,99)),IFERROR(('Final Calculation Sheet'!$Y$38)&amp;"",""))))&gt;0,AND(ISNUMBER(SEARCH("blank",$Z$4)),NOT(ISNUMBER(SEARCH("nonblank",$Z$4))),IFERROR(('Final Calculation Sheet'!$Y$38)&amp;"","")=""),AND(OR(ISNUMBER(SEARCH("nonblank",$Z$4)),ISNUMBER(SEARCH("&lt;&gt;",$Z$4))),IFERROR(('Final Calculation Sheet'!$Y$38)&amp;"","")&lt;&gt;""),AND(TRIM($Z$4)="",IFERROR(('Final Calculation Sheet'!$Y$38)&amp;"","")=""))))</f>
        <v/>
      </c>
      <c r="CM39">
        <f>IF($AA$4="",1,--(OR(SUMPRODUCT(--(TRIM(MID(SUBSTITUTE(SUBSTITUTE($AA$4,"/",","),",",REPT(" ",99)),(ROW($1:$8)-1)*99+1,99))&lt;&gt;""),--ISNUMBER(SEARCH(TRIM(MID(SUBSTITUTE(SUBSTITUTE($AA$4,"/",","),",",REPT(" ",99)),(ROW($1:$8)-1)*99+1,99)),IFERROR(('Final Calculation Sheet'!$Z$38)&amp;"",""))))&gt;0,AND(ISNUMBER(SEARCH("blank",$AA$4)),NOT(ISNUMBER(SEARCH("nonblank",$AA$4))),IFERROR(('Final Calculation Sheet'!$Z$38)&amp;"","")=""),AND(OR(ISNUMBER(SEARCH("nonblank",$AA$4)),ISNUMBER(SEARCH("&lt;&gt;",$AA$4))),IFERROR(('Final Calculation Sheet'!$Z$38)&amp;"","")&lt;&gt;""),AND(TRIM($AA$4)="",IFERROR(('Final Calculation Sheet'!$Z$38)&amp;"","")=""))))</f>
        <v/>
      </c>
      <c r="CN39">
        <f>IF($AB$4="",1,--(OR(SUMPRODUCT(--(TRIM(MID(SUBSTITUTE(SUBSTITUTE($AB$4,"/",","),",",REPT(" ",99)),(ROW($1:$8)-1)*99+1,99))&lt;&gt;""),--ISNUMBER(SEARCH(TRIM(MID(SUBSTITUTE(SUBSTITUTE($AB$4,"/",","),",",REPT(" ",99)),(ROW($1:$8)-1)*99+1,99)),IFERROR(('Final Calculation Sheet'!$AA$38)&amp;"",""))))&gt;0,AND(ISNUMBER(SEARCH("blank",$AB$4)),NOT(ISNUMBER(SEARCH("nonblank",$AB$4))),IFERROR(('Final Calculation Sheet'!$AA$38)&amp;"","")=""),AND(OR(ISNUMBER(SEARCH("nonblank",$AB$4)),ISNUMBER(SEARCH("&lt;&gt;",$AB$4))),IFERROR(('Final Calculation Sheet'!$AA$38)&amp;"","")&lt;&gt;""),AND(TRIM($AB$4)="",IFERROR(('Final Calculation Sheet'!$AA$38)&amp;"","")=""))))</f>
        <v/>
      </c>
      <c r="CO39">
        <f>IF($AC$4="",1,--(OR(SUMPRODUCT(--(TRIM(MID(SUBSTITUTE(SUBSTITUTE($AC$4,"/",","),",",REPT(" ",99)),(ROW($1:$8)-1)*99+1,99))&lt;&gt;""),--ISNUMBER(SEARCH(TRIM(MID(SUBSTITUTE(SUBSTITUTE($AC$4,"/",","),",",REPT(" ",99)),(ROW($1:$8)-1)*99+1,99)),IFERROR(('Final Calculation Sheet'!$AB$38)&amp;"",""))))&gt;0,AND(ISNUMBER(SEARCH("blank",$AC$4)),NOT(ISNUMBER(SEARCH("nonblank",$AC$4))),IFERROR(('Final Calculation Sheet'!$AB$38)&amp;"","")=""),AND(OR(ISNUMBER(SEARCH("nonblank",$AC$4)),ISNUMBER(SEARCH("&lt;&gt;",$AC$4))),IFERROR(('Final Calculation Sheet'!$AB$38)&amp;"","")&lt;&gt;""),AND(TRIM($AC$4)="",IFERROR(('Final Calculation Sheet'!$AB$38)&amp;"","")=""))))</f>
        <v/>
      </c>
      <c r="CP39">
        <f>IF($AD$4="",1,--(OR(SUMPRODUCT(--(TRIM(MID(SUBSTITUTE(SUBSTITUTE($AD$4,"/",","),",",REPT(" ",99)),(ROW($1:$8)-1)*99+1,99))&lt;&gt;""),--ISNUMBER(SEARCH(TRIM(MID(SUBSTITUTE(SUBSTITUTE($AD$4,"/",","),",",REPT(" ",99)),(ROW($1:$8)-1)*99+1,99)),IFERROR(('Final Calculation Sheet'!$AC$38)&amp;"",""))))&gt;0,AND(ISNUMBER(SEARCH("blank",$AD$4)),NOT(ISNUMBER(SEARCH("nonblank",$AD$4))),IFERROR(('Final Calculation Sheet'!$AC$38)&amp;"","")=""),AND(OR(ISNUMBER(SEARCH("nonblank",$AD$4)),ISNUMBER(SEARCH("&lt;&gt;",$AD$4))),IFERROR(('Final Calculation Sheet'!$AC$38)&amp;"","")&lt;&gt;""),AND(TRIM($AD$4)="",IFERROR(('Final Calculation Sheet'!$AC$38)&amp;"","")=""))))</f>
        <v/>
      </c>
      <c r="CQ39">
        <f>IF($AE$4="",1,--(OR(SUMPRODUCT(--(TRIM(MID(SUBSTITUTE(SUBSTITUTE($AE$4,"/",","),",",REPT(" ",99)),(ROW($1:$8)-1)*99+1,99))&lt;&gt;""),--ISNUMBER(SEARCH(TRIM(MID(SUBSTITUTE(SUBSTITUTE($AE$4,"/",","),",",REPT(" ",99)),(ROW($1:$8)-1)*99+1,99)),IFERROR(('Final Calculation Sheet'!$AD$38)&amp;"",""))))&gt;0,AND(ISNUMBER(SEARCH("blank",$AE$4)),NOT(ISNUMBER(SEARCH("nonblank",$AE$4))),IFERROR(('Final Calculation Sheet'!$AD$38)&amp;"","")=""),AND(OR(ISNUMBER(SEARCH("nonblank",$AE$4)),ISNUMBER(SEARCH("&lt;&gt;",$AE$4))),IFERROR(('Final Calculation Sheet'!$AD$38)&amp;"","")&lt;&gt;""),AND(TRIM($AE$4)="",IFERROR(('Final Calculation Sheet'!$AD$38)&amp;"","")=""))))</f>
        <v/>
      </c>
      <c r="CR39">
        <f>IF($AG$4="",1,--(OR(SUMPRODUCT(--(TRIM(MID(SUBSTITUTE(SUBSTITUTE($AG$4,"/",","),",",REPT(" ",99)),(ROW($1:$8)-1)*99+1,99))&lt;&gt;""),--ISNUMBER(SEARCH(TRIM(MID(SUBSTITUTE(SUBSTITUTE($AG$4,"/",","),",",REPT(" ",99)),(ROW($1:$8)-1)*99+1,99)),IFERROR(('Final Calculation Sheet'!$AF$38)&amp;"",""))))&gt;0,AND(ISNUMBER(SEARCH("blank",$AG$4)),NOT(ISNUMBER(SEARCH("nonblank",$AG$4))),IFERROR(('Final Calculation Sheet'!$AF$38)&amp;"","")=""),AND(OR(ISNUMBER(SEARCH("nonblank",$AG$4)),ISNUMBER(SEARCH("&lt;&gt;",$AG$4))),IFERROR(('Final Calculation Sheet'!$AF$38)&amp;"","")&lt;&gt;""),AND(TRIM($AG$4)="",IFERROR(('Final Calculation Sheet'!$AF$38)&amp;"","")=""))))</f>
        <v/>
      </c>
      <c r="CS39">
        <f>IF($AH$4="",1,--(OR(SUMPRODUCT(--(TRIM(MID(SUBSTITUTE(SUBSTITUTE($AH$4,"/",","),",",REPT(" ",99)),(ROW($1:$8)-1)*99+1,99))&lt;&gt;""),--ISNUMBER(SEARCH(TRIM(MID(SUBSTITUTE(SUBSTITUTE($AH$4,"/",","),",",REPT(" ",99)),(ROW($1:$8)-1)*99+1,99)),IFERROR(('Final Calculation Sheet'!$AG$38)&amp;"",""))))&gt;0,AND(ISNUMBER(SEARCH("blank",$AH$4)),NOT(ISNUMBER(SEARCH("nonblank",$AH$4))),IFERROR(('Final Calculation Sheet'!$AG$38)&amp;"","")=""),AND(OR(ISNUMBER(SEARCH("nonblank",$AH$4)),ISNUMBER(SEARCH("&lt;&gt;",$AH$4))),IFERROR(('Final Calculation Sheet'!$AG$38)&amp;"","")&lt;&gt;""),AND(TRIM($AH$4)="",IFERROR(('Final Calculation Sheet'!$AG$38)&amp;"","")=""))))</f>
        <v/>
      </c>
      <c r="CT39">
        <f>IF($AI$4="",1,--(OR(SUMPRODUCT(--(TRIM(MID(SUBSTITUTE(SUBSTITUTE($AI$4,"/",","),",",REPT(" ",99)),(ROW($1:$8)-1)*99+1,99))&lt;&gt;""),--ISNUMBER(SEARCH(TRIM(MID(SUBSTITUTE(SUBSTITUTE($AI$4,"/",","),",",REPT(" ",99)),(ROW($1:$8)-1)*99+1,99)),IFERROR(('Final Calculation Sheet'!$AH$38)&amp;"",""))))&gt;0,AND(ISNUMBER(SEARCH("blank",$AI$4)),NOT(ISNUMBER(SEARCH("nonblank",$AI$4))),IFERROR(('Final Calculation Sheet'!$AH$38)&amp;"","")=""),AND(OR(ISNUMBER(SEARCH("nonblank",$AI$4)),ISNUMBER(SEARCH("&lt;&gt;",$AI$4))),IFERROR(('Final Calculation Sheet'!$AH$38)&amp;"","")&lt;&gt;""),AND(TRIM($AI$4)="",IFERROR(('Final Calculation Sheet'!$AH$38)&amp;"","")=""))))</f>
        <v/>
      </c>
      <c r="CU39">
        <f>IF($AF$4="",1,--(OR(SUMPRODUCT(--(TRIM(MID(SUBSTITUTE(SUBSTITUTE($AF$4,"/",","),",",REPT(" ",99)),(ROW($1:$8)-1)*99+1,99))&lt;&gt;""),--ISNUMBER(SEARCH(TRIM(MID(SUBSTITUTE(SUBSTITUTE($AF$4,"/",","),",",REPT(" ",99)),(ROW($1:$8)-1)*99+1,99)),IFERROR((IF('Final Calculation Sheet'!$AD$38&lt;=5,"SETTLED","OUTSTANDING"))&amp;"",""))))&gt;0,AND(ISNUMBER(SEARCH("blank",$AF$4)),NOT(ISNUMBER(SEARCH("nonblank",$AF$4))),IFERROR((IF('Final Calculation Sheet'!$AD$38&lt;=5,"SETTLED","OUTSTANDING"))&amp;"","")=""),AND(OR(ISNUMBER(SEARCH("nonblank",$AF$4)),ISNUMBER(SEARCH("&lt;&gt;",$AF$4))),IFERROR((IF('Final Calculation Sheet'!$AD$38&lt;=5,"SETTLED","OUTSTANDING"))&amp;"","")&lt;&gt;""),AND(TRIM($AF$4)="",IFERROR((IF('Final Calculation Sheet'!$AD$38&lt;=5,"SETTLED","OUTSTANDING"))&amp;"","")=""))))</f>
        <v/>
      </c>
    </row>
    <row r="40" ht="15" customHeight="1" s="137">
      <c r="A40" s="67">
        <f>IF($BJ39&gt;0,INDEX($BA$5:$BA$41,MATCH(39,$BB$5:$BB$41,0)),IF(OR($BI39=1,$BL39=1,$BH39&gt;0),"∑",""))</f>
        <v/>
      </c>
      <c r="B40" s="76">
        <f>IF($BJ39&gt;0,IF(INDEX('Final Calculation Sheet'!$F$4:$F$40,$BJ39-3)="","",INDEX('Final Calculation Sheet'!$F$4:$F$40,$BJ39-3)),"")</f>
        <v/>
      </c>
      <c r="C40" s="76">
        <f>IF($BJ39&gt;0,IF(INDEX('Final Calculation Sheet'!$G$4:$G$40,$BJ39-3)="","",INDEX('Final Calculation Sheet'!$G$4:$G$40,$BJ39-3)),IF(OR($BI39=1,$BL39=1,$BH39&gt;0),IF($BI39=1,37,IF($BL39=1,37-INDEX($BD$4:$BD$13,10),INDEX($BD$4:$BD$13,$BH39)))&amp;" lot(s)",""))</f>
        <v/>
      </c>
      <c r="D40" s="80">
        <f>IF($BJ39&gt;0,IF(INDEX('Final Calculation Sheet'!$B$4:$B$40,$BJ39-3)="","",INDEX('Final Calculation Sheet'!$B$4:$B$40,$BJ39-3)),IF(OR($BI39=1,$BL39=1,$BH39&gt;0),IF($BI39=1,"GRAND TOTAL  —  matching + remaining",IF($BL39=1,"TOTAL MATCHED  —  every group together",IF($BH39=10,"REMAINING  —  did not match the search",IF($BH39=9,IF(COUNTIF($A$4:$AI$4,"&lt;&gt;")&gt;0,"FILTERED LOTS  —  column fields","ALL LOTS  —  nothing typed in the box"),"GROUP "&amp;$BH39&amp;" TOTAL  —  lots matching  "&amp;INDEX($AR$6:$AY$6,$BH39))))),""))</f>
        <v/>
      </c>
      <c r="E40" s="80">
        <f>IF($BJ39&gt;0,IF(INDEX('Final Calculation Sheet'!$D$4:$D$40,$BJ39-3)="","",INDEX('Final Calculation Sheet'!$D$4:$D$40,$BJ39-3)),IF(OR($BI39=1,$BL39=1,$BH39&gt;0),"–",""))</f>
        <v/>
      </c>
      <c r="F40" s="80">
        <f>IF($BJ39&gt;0,IF(INDEX('Final Calculation Sheet'!$A$4:$A$40,$BJ39-3)="","",INDEX('Final Calculation Sheet'!$A$4:$A$40,$BJ39-3)),IF(OR($BI39=1,$BL39=1,$BH39&gt;0),IF($BI39=1,SUM('Final Calculation Sheet'!$A$4:$A$40),IF($BL39=1,SUM('Final Calculation Sheet'!$A$4:$A$40)-SUMIFS('Final Calculation Sheet'!$A$4:$A$40,$AZ$5:$AZ$41,10),SUMIFS('Final Calculation Sheet'!$A$4:$A$40,$AZ$5:$AZ$41,$BH39))),""))</f>
        <v/>
      </c>
      <c r="G40" s="80">
        <f>IF($BJ39&gt;0,IF(INDEX('Final Calculation Sheet'!$E$4:$E$40,$BJ39-3)="","",INDEX('Final Calculation Sheet'!$E$4:$E$40,$BJ39-3)),IF(OR($BI39=1,$BL39=1,$BH39&gt;0),"–",""))</f>
        <v/>
      </c>
      <c r="H40" s="70">
        <f>IF($BJ39&gt;0,IF(INDEX('Final Calculation Sheet'!$C$4:$C$40,$BJ39-3)="","",INDEX('Final Calculation Sheet'!$C$4:$C$40,$BJ39-3)),IF(OR($BI39=1,$BL39=1,$BH39&gt;0),"–",""))</f>
        <v/>
      </c>
      <c r="I40" s="70">
        <f>IF($BJ39&gt;0,IF(INDEX('Final Calculation Sheet'!$H$4:$H$40,$BJ39-3)="","",INDEX('Final Calculation Sheet'!$H$4:$H$40,$BJ39-3)),IF(OR($BI39=1,$BL39=1,$BH39&gt;0),IF($BI39=1,SUM('Final Calculation Sheet'!$H$4:$H$40),IF($BL39=1,SUM('Final Calculation Sheet'!$H$4:$H$40)-SUMIFS('Final Calculation Sheet'!$H$4:$H$40,$AZ$5:$AZ$41,10),SUMIFS('Final Calculation Sheet'!$H$4:$H$40,$AZ$5:$AZ$41,$BH39))),""))</f>
        <v/>
      </c>
      <c r="J40" s="70">
        <f>IF($BJ39&gt;0,IF(INDEX('Final Calculation Sheet'!$I$4:$I$40,$BJ39-3)="","",INDEX('Final Calculation Sheet'!$I$4:$I$40,$BJ39-3)),IF(OR($BI39=1,$BL39=1,$BH39&gt;0),IF($BI39=1,SUM('Final Calculation Sheet'!$I$4:$I$40),IF($BL39=1,SUM('Final Calculation Sheet'!$I$4:$I$40)-SUMIFS('Final Calculation Sheet'!$I$4:$I$40,$AZ$5:$AZ$41,10),SUMIFS('Final Calculation Sheet'!$I$4:$I$40,$AZ$5:$AZ$41,$BH39))),""))</f>
        <v/>
      </c>
      <c r="K40" s="70">
        <f>IF($BJ39&gt;0,IF(INDEX('Final Calculation Sheet'!$J$4:$J$40,$BJ39-3)="","",INDEX('Final Calculation Sheet'!$J$4:$J$40,$BJ39-3)),IF(OR($BI39=1,$BL39=1,$BH39&gt;0),IF($BI39=1,SUM('Final Calculation Sheet'!$J$4:$J$40),IF($BL39=1,SUM('Final Calculation Sheet'!$J$4:$J$40)-SUMIFS('Final Calculation Sheet'!$J$4:$J$40,$AZ$5:$AZ$41,10),SUMIFS('Final Calculation Sheet'!$J$4:$J$40,$AZ$5:$AZ$41,$BH39))),""))</f>
        <v/>
      </c>
      <c r="L40" s="70">
        <f>IF($BJ39&gt;0,IF(INDEX('Final Calculation Sheet'!$K$4:$K$40,$BJ39-3)="","",INDEX('Final Calculation Sheet'!$K$4:$K$40,$BJ39-3)),IF(OR($BI39=1,$BL39=1,$BH39&gt;0),IF($BI39=1,SUM('Final Calculation Sheet'!$K$4:$K$40),IF($BL39=1,SUM('Final Calculation Sheet'!$K$4:$K$40)-SUMIFS('Final Calculation Sheet'!$K$4:$K$40,$AZ$5:$AZ$41,10),SUMIFS('Final Calculation Sheet'!$K$4:$K$40,$AZ$5:$AZ$41,$BH39))),""))</f>
        <v/>
      </c>
      <c r="M40" s="70">
        <f>IF($BJ39&gt;0,IF(INDEX('Final Calculation Sheet'!$L$4:$L$40,$BJ39-3)="","",INDEX('Final Calculation Sheet'!$L$4:$L$40,$BJ39-3)),IF(OR($BI39=1,$BL39=1,$BH39&gt;0),IF($BI39=1,SUM('Final Calculation Sheet'!$L$4:$L$40),IF($BL39=1,SUM('Final Calculation Sheet'!$L$4:$L$40)-SUMIFS('Final Calculation Sheet'!$L$4:$L$40,$AZ$5:$AZ$41,10),SUMIFS('Final Calculation Sheet'!$L$4:$L$40,$AZ$5:$AZ$41,$BH39))),""))</f>
        <v/>
      </c>
      <c r="N40" s="70">
        <f>IF($BJ39&gt;0,IF(INDEX('Final Calculation Sheet'!$M$4:$M$40,$BJ39-3)="","",INDEX('Final Calculation Sheet'!$M$4:$M$40,$BJ39-3)),IF(OR($BI39=1,$BL39=1,$BH39&gt;0),IF($BI39=1,SUM('Final Calculation Sheet'!$M$4:$M$40),IF($BL39=1,SUM('Final Calculation Sheet'!$M$4:$M$40)-SUMIFS('Final Calculation Sheet'!$M$4:$M$40,$AZ$5:$AZ$41,10),SUMIFS('Final Calculation Sheet'!$M$4:$M$40,$AZ$5:$AZ$41,$BH39))),""))</f>
        <v/>
      </c>
      <c r="O40" s="71">
        <f>IF($BJ39&gt;0,IF(INDEX('Final Calculation Sheet'!$N$4:$N$40,$BJ39-3)="","",INDEX('Final Calculation Sheet'!$N$4:$N$40,$BJ39-3)),IF(OR($BI39=1,$BL39=1,$BH39&gt;0),IF($BI39=1,SUM('Final Calculation Sheet'!$N$4:$N$40),IF($BL39=1,SUM('Final Calculation Sheet'!$N$4:$N$40)-SUMIFS('Final Calculation Sheet'!$N$4:$N$40,$AZ$5:$AZ$41,10),SUMIFS('Final Calculation Sheet'!$N$4:$N$40,$AZ$5:$AZ$41,$BH39))),""))</f>
        <v/>
      </c>
      <c r="P40" s="70">
        <f>IF($BJ39&gt;0,IF(INDEX('Final Calculation Sheet'!$O$4:$O$40,$BJ39-3)="","",INDEX('Final Calculation Sheet'!$O$4:$O$40,$BJ39-3)),IF(OR($BI39=1,$BL39=1,$BH39&gt;0),IF($BI39=1,SUM('Final Calculation Sheet'!$O$4:$O$40),IF($BL39=1,SUM('Final Calculation Sheet'!$O$4:$O$40)-SUMIFS('Final Calculation Sheet'!$O$4:$O$40,$AZ$5:$AZ$41,10),SUMIFS('Final Calculation Sheet'!$O$4:$O$40,$AZ$5:$AZ$41,$BH39))),""))</f>
        <v/>
      </c>
      <c r="Q40" s="70">
        <f>IF($BJ39&gt;0,IF(INDEX('Final Calculation Sheet'!$P$4:$P$40,$BJ39-3)="","",INDEX('Final Calculation Sheet'!$P$4:$P$40,$BJ39-3)),IF(OR($BI39=1,$BL39=1,$BH39&gt;0),IF($BI39=1,SUM('Final Calculation Sheet'!$P$4:$P$40),IF($BL39=1,SUM('Final Calculation Sheet'!$P$4:$P$40)-SUMIFS('Final Calculation Sheet'!$P$4:$P$40,$AZ$5:$AZ$41,10),SUMIFS('Final Calculation Sheet'!$P$4:$P$40,$AZ$5:$AZ$41,$BH39))),""))</f>
        <v/>
      </c>
      <c r="R40" s="72">
        <f>IF($BJ39&gt;0,IF(INDEX('Final Calculation Sheet'!$Q$4:$Q$40,$BJ39-3)="","",INDEX('Final Calculation Sheet'!$Q$4:$Q$40,$BJ39-3)),IF(OR($BI39=1,$BL39=1,$BH39&gt;0),"–",""))</f>
        <v/>
      </c>
      <c r="S40" s="70">
        <f>IF($BJ39&gt;0,IF(INDEX('Final Calculation Sheet'!$R$4:$R$40,$BJ39-3)="","",INDEX('Final Calculation Sheet'!$R$4:$R$40,$BJ39-3)),IF(OR($BI39=1,$BL39=1,$BH39&gt;0),IF($BI39=1,SUM('Final Calculation Sheet'!$R$4:$R$40),IF($BL39=1,SUM('Final Calculation Sheet'!$R$4:$R$40)-SUMIFS('Final Calculation Sheet'!$R$4:$R$40,$AZ$5:$AZ$41,10),SUMIFS('Final Calculation Sheet'!$R$4:$R$40,$AZ$5:$AZ$41,$BH39))),""))</f>
        <v/>
      </c>
      <c r="T40" s="70">
        <f>IF($BJ39&gt;0,IF(INDEX('Final Calculation Sheet'!$S$4:$S$40,$BJ39-3)="","",INDEX('Final Calculation Sheet'!$S$4:$S$40,$BJ39-3)),IF(OR($BI39=1,$BL39=1,$BH39&gt;0),IF($BI39=1,SUM('Final Calculation Sheet'!$S$4:$S$40),IF($BL39=1,SUM('Final Calculation Sheet'!$S$4:$S$40)-SUMIFS('Final Calculation Sheet'!$S$4:$S$40,$AZ$5:$AZ$41,10),SUMIFS('Final Calculation Sheet'!$S$4:$S$40,$AZ$5:$AZ$41,$BH39))),""))</f>
        <v/>
      </c>
      <c r="U40" s="70">
        <f>IF($BJ39&gt;0,IF(INDEX('Final Calculation Sheet'!$T$4:$T$40,$BJ39-3)="","",INDEX('Final Calculation Sheet'!$T$4:$T$40,$BJ39-3)),IF(OR($BI39=1,$BL39=1,$BH39&gt;0),IF($BI39=1,SUM('Final Calculation Sheet'!$T$4:$T$40),IF($BL39=1,SUM('Final Calculation Sheet'!$T$4:$T$40)-SUMIFS('Final Calculation Sheet'!$T$4:$T$40,$AZ$5:$AZ$41,10),SUMIFS('Final Calculation Sheet'!$T$4:$T$40,$AZ$5:$AZ$41,$BH39))),""))</f>
        <v/>
      </c>
      <c r="V40" s="73">
        <f>IF($BJ39&gt;0,IF(INDEX('Final Calculation Sheet'!$U$4:$U$40,$BJ39-3)="","",INDEX('Final Calculation Sheet'!$U$4:$U$40,$BJ39-3)),IF(OR($BI39=1,$BL39=1,$BH39&gt;0),IF($BI39=1,SUM('Final Calculation Sheet'!$U$4:$U$40),IF($BL39=1,SUM('Final Calculation Sheet'!$U$4:$U$40)-SUMIFS('Final Calculation Sheet'!$U$4:$U$40,$AZ$5:$AZ$41,10),SUMIFS('Final Calculation Sheet'!$U$4:$U$40,$AZ$5:$AZ$41,$BH39))),""))</f>
        <v/>
      </c>
      <c r="W40" s="70">
        <f>IF($BJ39&gt;0,IF(INDEX('Final Calculation Sheet'!$V$4:$V$40,$BJ39-3)="","",INDEX('Final Calculation Sheet'!$V$4:$V$40,$BJ39-3)),IF(OR($BI39=1,$BL39=1,$BH39&gt;0),"–",""))</f>
        <v/>
      </c>
      <c r="X40" s="70">
        <f>IF($BJ39&gt;0,IF(INDEX('Final Calculation Sheet'!$W$4:$W$40,$BJ39-3)="","",INDEX('Final Calculation Sheet'!$W$4:$W$40,$BJ39-3)),IF(OR($BI39=1,$BL39=1,$BH39&gt;0),IF($BI39=1,SUM('Final Calculation Sheet'!$W$4:$W$40),IF($BL39=1,SUM('Final Calculation Sheet'!$W$4:$W$40)-SUMIFS('Final Calculation Sheet'!$W$4:$W$40,$AZ$5:$AZ$41,10),SUMIFS('Final Calculation Sheet'!$W$4:$W$40,$AZ$5:$AZ$41,$BH39))),""))</f>
        <v/>
      </c>
      <c r="Y40" s="70">
        <f>IF($BJ39&gt;0,IF(INDEX('Final Calculation Sheet'!$X$4:$X$40,$BJ39-3)="","",INDEX('Final Calculation Sheet'!$X$4:$X$40,$BJ39-3)),IF(OR($BI39=1,$BL39=1,$BH39&gt;0),IF($BI39=1,SUM('Final Calculation Sheet'!$X$4:$X$40),IF($BL39=1,SUM('Final Calculation Sheet'!$X$4:$X$40)-SUMIFS('Final Calculation Sheet'!$X$4:$X$40,$AZ$5:$AZ$41,10),SUMIFS('Final Calculation Sheet'!$X$4:$X$40,$AZ$5:$AZ$41,$BH39))),""))</f>
        <v/>
      </c>
      <c r="Z40" s="70">
        <f>IF($BJ39&gt;0,IF(INDEX('Final Calculation Sheet'!$Y$4:$Y$40,$BJ39-3)="","",INDEX('Final Calculation Sheet'!$Y$4:$Y$40,$BJ39-3)),IF(OR($BI39=1,$BL39=1,$BH39&gt;0),"–",""))</f>
        <v/>
      </c>
      <c r="AA40" s="70">
        <f>IF($BJ39&gt;0,IF(INDEX('Final Calculation Sheet'!$Z$4:$Z$40,$BJ39-3)="","",INDEX('Final Calculation Sheet'!$Z$4:$Z$40,$BJ39-3)),IF(OR($BI39=1,$BL39=1,$BH39&gt;0),IF($BI39=1,SUM('Final Calculation Sheet'!$Z$4:$Z$40),IF($BL39=1,SUM('Final Calculation Sheet'!$Z$4:$Z$40)-SUMIFS('Final Calculation Sheet'!$Z$4:$Z$40,$AZ$5:$AZ$41,10),SUMIFS('Final Calculation Sheet'!$Z$4:$Z$40,$AZ$5:$AZ$41,$BH39))),""))</f>
        <v/>
      </c>
      <c r="AB40" s="70">
        <f>IF($BJ39&gt;0,IF(INDEX('Final Calculation Sheet'!$AA$4:$AA$40,$BJ39-3)="","",INDEX('Final Calculation Sheet'!$AA$4:$AA$40,$BJ39-3)),IF(OR($BI39=1,$BL39=1,$BH39&gt;0),IF($BI39=1,SUM('Final Calculation Sheet'!$AA$4:$AA$40),IF($BL39=1,SUM('Final Calculation Sheet'!$AA$4:$AA$40)-SUMIFS('Final Calculation Sheet'!$AA$4:$AA$40,$AZ$5:$AZ$41,10),SUMIFS('Final Calculation Sheet'!$AA$4:$AA$40,$AZ$5:$AZ$41,$BH39))),""))</f>
        <v/>
      </c>
      <c r="AC40" s="70">
        <f>IF($BJ39&gt;0,IF(INDEX('Final Calculation Sheet'!$AB$4:$AB$40,$BJ39-3)="","",INDEX('Final Calculation Sheet'!$AB$4:$AB$40,$BJ39-3)),IF(OR($BI39=1,$BL39=1,$BH39&gt;0),"–",""))</f>
        <v/>
      </c>
      <c r="AD40" s="70">
        <f>IF($BJ39&gt;0,IF(INDEX('Final Calculation Sheet'!$AC$4:$AC$40,$BJ39-3)="","",INDEX('Final Calculation Sheet'!$AC$4:$AC$40,$BJ39-3)),IF(OR($BI39=1,$BL39=1,$BH39&gt;0),IF($BI39=1,SUM('Final Calculation Sheet'!$AC$4:$AC$40),IF($BL39=1,SUM('Final Calculation Sheet'!$AC$4:$AC$40)-SUMIFS('Final Calculation Sheet'!$AC$4:$AC$40,$AZ$5:$AZ$41,10),SUMIFS('Final Calculation Sheet'!$AC$4:$AC$40,$AZ$5:$AZ$41,$BH39))),""))</f>
        <v/>
      </c>
      <c r="AE40" s="70">
        <f>IF($BJ39&gt;0,IF(INDEX('Final Calculation Sheet'!$AD$4:$AD$40,$BJ39-3)="","",INDEX('Final Calculation Sheet'!$AD$4:$AD$40,$BJ39-3)),IF(OR($BI39=1,$BL39=1,$BH39&gt;0),IF($BI39=1,SUM('Final Calculation Sheet'!$AD$4:$AD$40),IF($BL39=1,SUM('Final Calculation Sheet'!$AD$4:$AD$40)-SUMIFS('Final Calculation Sheet'!$AD$4:$AD$40,$AZ$5:$AZ$41,10),SUMIFS('Final Calculation Sheet'!$AD$4:$AD$40,$AZ$5:$AZ$41,$BH39))),""))</f>
        <v/>
      </c>
      <c r="AF40" s="75">
        <f>IF($BJ39&gt;0,IF(INDEX('Final Calculation Sheet'!$AD$4:$AD$40,$BJ39-3)="","",IF(INDEX('Final Calculation Sheet'!$AD$4:$AD$40,$BJ39-3)&lt;=5,"SETTLED","OUTSTANDING")),IF(OR($BI39=1,$BL39=1,$BH39&gt;0),IF(IF($BI39=1,SUM('Final Calculation Sheet'!$AD$4:$AD$40),IF($BL39=1,SUM('Final Calculation Sheet'!$AD$4:$AD$40)-SUMIFS('Final Calculation Sheet'!$AD$4:$AD$40,$AZ$5:$AZ$41,10),SUMIFS('Final Calculation Sheet'!$AD$4:$AD$40,$AZ$5:$AZ$41,$BH39)))&lt;=5,"ALL SETTLED","OUTSTANDING"),""))</f>
        <v/>
      </c>
      <c r="AG40" s="70">
        <f>IF($BJ39&gt;0,IF(INDEX('Final Calculation Sheet'!$AF$4:$AF$40,$BJ39-3)="","",INDEX('Final Calculation Sheet'!$AF$4:$AF$40,$BJ39-3)),IF(OR($BI39=1,$BL39=1,$BH39&gt;0),"–",""))</f>
        <v/>
      </c>
      <c r="AH40" s="74">
        <f>IF($BJ39&gt;0,IF(INDEX('Final Calculation Sheet'!$AG$4:$AG$40,$BJ39-3)="","",INDEX('Final Calculation Sheet'!$AG$4:$AG$40,$BJ39-3)),IF(OR($BI39=1,$BL39=1,$BH39&gt;0),"–",""))</f>
        <v/>
      </c>
      <c r="AI40" s="70">
        <f>IF($BJ39&gt;0,IF(INDEX('Final Calculation Sheet'!$AH$4:$AH$40,$BJ39-3)="","",INDEX('Final Calculation Sheet'!$AH$4:$AH$40,$BJ39-3)),IF(OR($BI39=1,$BL39=1,$BH39&gt;0),"–",""))</f>
        <v/>
      </c>
      <c r="AK40">
        <f>IF($F$3="Lot No.",'Final Calculation Sheet'!$F$39,IF($F$3="Buyer",'Final Calculation Sheet'!$G$39,IF($F$3="Lot Name",'Final Calculation Sheet'!$B$39,IF($F$3="Bid Sheet",'Final Calculation Sheet'!$D$39,IF($F$3="Unit",'Final Calculation Sheet'!$E$39,'Final Calculation Sheet'!$F$39&amp;" "&amp;'Final Calculation Sheet'!$G$39&amp;" "&amp;'Final Calculation Sheet'!$B$39)))))</f>
        <v/>
      </c>
      <c r="AL40">
        <f>AL39+IF($B$3="",0,--(SUMPRODUCT(--($AR$6:$AY$6&lt;&gt;""),--ISNUMBER(SEARCH($AR$6:$AY$6,$AK40)))&gt;0))</f>
        <v/>
      </c>
      <c r="AM40">
        <f>IF(COUNTIF($BM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AZ40">
        <f>IF($B$3="",IF(COUNTIF($A$4:$AI$4,"&lt;&gt;")=0,9,IF($AM40=1,9,10)),IF($AM40=0,10,IF(AND($AR$6&lt;&gt;"",ISNUMBER(SEARCH($AR$6,$AK40))),1,IF(AND($AS$6&lt;&gt;"",ISNUMBER(SEARCH($AS$6,$AK40))),2,IF(AND($AT$6&lt;&gt;"",ISNUMBER(SEARCH($AT$6,$AK40))),3,IF(AND($AU$6&lt;&gt;"",ISNUMBER(SEARCH($AU$6,$AK40))),4,IF(AND($AV$6&lt;&gt;"",ISNUMBER(SEARCH($AV$6,$AK40))),5,IF(AND($AW$6&lt;&gt;"",ISNUMBER(SEARCH($AW$6,$AK40))),6,IF(AND($AX$6&lt;&gt;"",ISNUMBER(SEARCH($AX$6,$AK40))),7,IF(AND($AY$6&lt;&gt;"",ISNUMBER(SEARCH($AY$6,$AK40))),8,0))))))))))</f>
        <v/>
      </c>
      <c r="BA40">
        <f>SUMPRODUCT(($AZ$5:$AZ$41=$AZ40)*($BC$5:$BC$41&lt;$BC40))+1</f>
        <v/>
      </c>
      <c r="BB40">
        <f>IF(INDEX($BF$4:$BF$13,$AZ40)=0,0,INDEX($BE$4:$BE$13,$AZ40)+$BA40-1)</f>
        <v/>
      </c>
      <c r="BC40" t="n">
        <v>39</v>
      </c>
      <c r="BH40">
        <f>IFERROR(MATCH(40,$BF$4:$BF$13,0),0)</f>
        <v/>
      </c>
      <c r="BI40">
        <f>IF(40=$BG$5,1,0)</f>
        <v/>
      </c>
      <c r="BJ40">
        <f>IF(OR($BH40&gt;0,$BI40=1,$BL40=1),0,IFERROR(INDEX($BC$5:$BC$41,MATCH(40,$BB$5:$BB$41,0)),0))</f>
        <v/>
      </c>
      <c r="BK40">
        <f>IF($BJ40&gt;0,IF(INDEX($AZ$5:$AZ$41,MATCH(40,$BB$5:$BB$41,0))=10,1,0),IF($BH40=10,1,0))</f>
        <v/>
      </c>
      <c r="BL40">
        <f>IF(40=$BG$4,1,0)</f>
        <v/>
      </c>
      <c r="BM40">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40">
        <f>IF($B$4="",1,--(OR(SUMPRODUCT(--(TRIM(MID(SUBSTITUTE(SUBSTITUTE($B$4,"/",","),",",REPT(" ",99)),(ROW($1:$8)-1)*99+1,99))&lt;&gt;""),--ISNUMBER(SEARCH(TRIM(MID(SUBSTITUTE(SUBSTITUTE($B$4,"/",","),",",REPT(" ",99)),(ROW($1:$8)-1)*99+1,99)),IFERROR(('Final Calculation Sheet'!$F$39)&amp;"",""))))&gt;0,AND(ISNUMBER(SEARCH("blank",$B$4)),NOT(ISNUMBER(SEARCH("nonblank",$B$4))),IFERROR(('Final Calculation Sheet'!$F$39)&amp;"","")=""),AND(OR(ISNUMBER(SEARCH("nonblank",$B$4)),ISNUMBER(SEARCH("&lt;&gt;",$B$4))),IFERROR(('Final Calculation Sheet'!$F$39)&amp;"","")&lt;&gt;""),AND(TRIM($B$4)="",IFERROR(('Final Calculation Sheet'!$F$39)&amp;"","")=""))))</f>
        <v/>
      </c>
      <c r="BO40">
        <f>IF($CW$3="",1,--(OR(SUMPRODUCT(--(TRIM(MID(SUBSTITUTE(SUBSTITUTE($CW$3,"/",","),",",REPT(" ",99)),(ROW($1:$8)-1)*99+1,99))&lt;&gt;""),--ISNUMBER(SEARCH(TRIM(MID(SUBSTITUTE(SUBSTITUTE($CW$3,"/",","),",",REPT(" ",99)),(ROW($1:$8)-1)*99+1,99)),IFERROR(('Final Calculation Sheet'!$G$39)&amp;"",""))))&gt;0,AND(ISNUMBER(SEARCH("blank",$CW$3)),NOT(ISNUMBER(SEARCH("nonblank",$CW$3))),IFERROR(('Final Calculation Sheet'!$G$39)&amp;"","")=""),AND(OR(ISNUMBER(SEARCH("nonblank",$CW$3)),ISNUMBER(SEARCH("&lt;&gt;",$CW$3))),IFERROR(('Final Calculation Sheet'!$G$39)&amp;"","")&lt;&gt;""),AND(TRIM($CW$3)="",IFERROR(('Final Calculation Sheet'!$G$39)&amp;"","")=""))))</f>
        <v/>
      </c>
      <c r="BP40">
        <f>IF($D$4="",1,--(OR(SUMPRODUCT(--(TRIM(MID(SUBSTITUTE(SUBSTITUTE($D$4,"/",","),",",REPT(" ",99)),(ROW($1:$8)-1)*99+1,99))&lt;&gt;""),--ISNUMBER(SEARCH(TRIM(MID(SUBSTITUTE(SUBSTITUTE($D$4,"/",","),",",REPT(" ",99)),(ROW($1:$8)-1)*99+1,99)),IFERROR(('Final Calculation Sheet'!$B$39)&amp;"",""))))&gt;0,AND(ISNUMBER(SEARCH("blank",$D$4)),NOT(ISNUMBER(SEARCH("nonblank",$D$4))),IFERROR(('Final Calculation Sheet'!$B$39)&amp;"","")=""),AND(OR(ISNUMBER(SEARCH("nonblank",$D$4)),ISNUMBER(SEARCH("&lt;&gt;",$D$4))),IFERROR(('Final Calculation Sheet'!$B$39)&amp;"","")&lt;&gt;""),AND(TRIM($D$4)="",IFERROR(('Final Calculation Sheet'!$B$39)&amp;"","")=""))))</f>
        <v/>
      </c>
      <c r="BQ40">
        <f>IF($E$4="",1,--(OR(SUMPRODUCT(--(TRIM(MID(SUBSTITUTE(SUBSTITUTE($E$4,"/",","),",",REPT(" ",99)),(ROW($1:$8)-1)*99+1,99))&lt;&gt;""),--ISNUMBER(SEARCH(TRIM(MID(SUBSTITUTE(SUBSTITUTE($E$4,"/",","),",",REPT(" ",99)),(ROW($1:$8)-1)*99+1,99)),IFERROR(('Final Calculation Sheet'!$D$39)&amp;"",""))))&gt;0,AND(ISNUMBER(SEARCH("blank",$E$4)),NOT(ISNUMBER(SEARCH("nonblank",$E$4))),IFERROR(('Final Calculation Sheet'!$D$39)&amp;"","")=""),AND(OR(ISNUMBER(SEARCH("nonblank",$E$4)),ISNUMBER(SEARCH("&lt;&gt;",$E$4))),IFERROR(('Final Calculation Sheet'!$D$39)&amp;"","")&lt;&gt;""),AND(TRIM($E$4)="",IFERROR(('Final Calculation Sheet'!$D$39)&amp;"","")=""))))</f>
        <v/>
      </c>
      <c r="BR40">
        <f>IF($F$4="",1,--(OR(SUMPRODUCT(--(TRIM(MID(SUBSTITUTE(SUBSTITUTE($F$4,"/",","),",",REPT(" ",99)),(ROW($1:$8)-1)*99+1,99))&lt;&gt;""),--ISNUMBER(SEARCH(TRIM(MID(SUBSTITUTE(SUBSTITUTE($F$4,"/",","),",",REPT(" ",99)),(ROW($1:$8)-1)*99+1,99)),IFERROR(('Final Calculation Sheet'!$A$39)&amp;"",""))))&gt;0,AND(ISNUMBER(SEARCH("blank",$F$4)),NOT(ISNUMBER(SEARCH("nonblank",$F$4))),IFERROR(('Final Calculation Sheet'!$A$39)&amp;"","")=""),AND(OR(ISNUMBER(SEARCH("nonblank",$F$4)),ISNUMBER(SEARCH("&lt;&gt;",$F$4))),IFERROR(('Final Calculation Sheet'!$A$39)&amp;"","")&lt;&gt;""),AND(TRIM($F$4)="",IFERROR(('Final Calculation Sheet'!$A$39)&amp;"","")=""))))</f>
        <v/>
      </c>
      <c r="BS40">
        <f>IF($G$4="",1,--(OR(SUMPRODUCT(--(TRIM(MID(SUBSTITUTE(SUBSTITUTE($G$4,"/",","),",",REPT(" ",99)),(ROW($1:$8)-1)*99+1,99))&lt;&gt;""),--ISNUMBER(SEARCH(TRIM(MID(SUBSTITUTE(SUBSTITUTE($G$4,"/",","),",",REPT(" ",99)),(ROW($1:$8)-1)*99+1,99)),IFERROR(('Final Calculation Sheet'!$E$39)&amp;"",""))))&gt;0,AND(ISNUMBER(SEARCH("blank",$G$4)),NOT(ISNUMBER(SEARCH("nonblank",$G$4))),IFERROR(('Final Calculation Sheet'!$E$39)&amp;"","")=""),AND(OR(ISNUMBER(SEARCH("nonblank",$G$4)),ISNUMBER(SEARCH("&lt;&gt;",$G$4))),IFERROR(('Final Calculation Sheet'!$E$39)&amp;"","")&lt;&gt;""),AND(TRIM($G$4)="",IFERROR(('Final Calculation Sheet'!$E$39)&amp;"","")=""))))</f>
        <v/>
      </c>
      <c r="BT40">
        <f>IF($H$4="",1,--(OR(SUMPRODUCT(--(TRIM(MID(SUBSTITUTE(SUBSTITUTE($H$4,"/",","),",",REPT(" ",99)),(ROW($1:$8)-1)*99+1,99))&lt;&gt;""),--ISNUMBER(SEARCH(TRIM(MID(SUBSTITUTE(SUBSTITUTE($H$4,"/",","),",",REPT(" ",99)),(ROW($1:$8)-1)*99+1,99)),IFERROR(('Final Calculation Sheet'!$C$39)&amp;"",""))))&gt;0,AND(ISNUMBER(SEARCH("blank",$H$4)),NOT(ISNUMBER(SEARCH("nonblank",$H$4))),IFERROR(('Final Calculation Sheet'!$C$39)&amp;"","")=""),AND(OR(ISNUMBER(SEARCH("nonblank",$H$4)),ISNUMBER(SEARCH("&lt;&gt;",$H$4))),IFERROR(('Final Calculation Sheet'!$C$39)&amp;"","")&lt;&gt;""),AND(TRIM($H$4)="",IFERROR(('Final Calculation Sheet'!$C$39)&amp;"","")=""))))</f>
        <v/>
      </c>
      <c r="BU40">
        <f>IF($I$4="",1,--(OR(SUMPRODUCT(--(TRIM(MID(SUBSTITUTE(SUBSTITUTE($I$4,"/",","),",",REPT(" ",99)),(ROW($1:$8)-1)*99+1,99))&lt;&gt;""),--ISNUMBER(SEARCH(TRIM(MID(SUBSTITUTE(SUBSTITUTE($I$4,"/",","),",",REPT(" ",99)),(ROW($1:$8)-1)*99+1,99)),IFERROR(('Final Calculation Sheet'!$H$39)&amp;"",""))))&gt;0,AND(ISNUMBER(SEARCH("blank",$I$4)),NOT(ISNUMBER(SEARCH("nonblank",$I$4))),IFERROR(('Final Calculation Sheet'!$H$39)&amp;"","")=""),AND(OR(ISNUMBER(SEARCH("nonblank",$I$4)),ISNUMBER(SEARCH("&lt;&gt;",$I$4))),IFERROR(('Final Calculation Sheet'!$H$39)&amp;"","")&lt;&gt;""),AND(TRIM($I$4)="",IFERROR(('Final Calculation Sheet'!$H$39)&amp;"","")=""))))</f>
        <v/>
      </c>
      <c r="BV40">
        <f>IF($J$4="",1,--(OR(SUMPRODUCT(--(TRIM(MID(SUBSTITUTE(SUBSTITUTE($J$4,"/",","),",",REPT(" ",99)),(ROW($1:$8)-1)*99+1,99))&lt;&gt;""),--ISNUMBER(SEARCH(TRIM(MID(SUBSTITUTE(SUBSTITUTE($J$4,"/",","),",",REPT(" ",99)),(ROW($1:$8)-1)*99+1,99)),IFERROR(('Final Calculation Sheet'!$I$39)&amp;"",""))))&gt;0,AND(ISNUMBER(SEARCH("blank",$J$4)),NOT(ISNUMBER(SEARCH("nonblank",$J$4))),IFERROR(('Final Calculation Sheet'!$I$39)&amp;"","")=""),AND(OR(ISNUMBER(SEARCH("nonblank",$J$4)),ISNUMBER(SEARCH("&lt;&gt;",$J$4))),IFERROR(('Final Calculation Sheet'!$I$39)&amp;"","")&lt;&gt;""),AND(TRIM($J$4)="",IFERROR(('Final Calculation Sheet'!$I$39)&amp;"","")=""))))</f>
        <v/>
      </c>
      <c r="BW40">
        <f>IF($K$4="",1,--(OR(SUMPRODUCT(--(TRIM(MID(SUBSTITUTE(SUBSTITUTE($K$4,"/",","),",",REPT(" ",99)),(ROW($1:$8)-1)*99+1,99))&lt;&gt;""),--ISNUMBER(SEARCH(TRIM(MID(SUBSTITUTE(SUBSTITUTE($K$4,"/",","),",",REPT(" ",99)),(ROW($1:$8)-1)*99+1,99)),IFERROR(('Final Calculation Sheet'!$J$39)&amp;"",""))))&gt;0,AND(ISNUMBER(SEARCH("blank",$K$4)),NOT(ISNUMBER(SEARCH("nonblank",$K$4))),IFERROR(('Final Calculation Sheet'!$J$39)&amp;"","")=""),AND(OR(ISNUMBER(SEARCH("nonblank",$K$4)),ISNUMBER(SEARCH("&lt;&gt;",$K$4))),IFERROR(('Final Calculation Sheet'!$J$39)&amp;"","")&lt;&gt;""),AND(TRIM($K$4)="",IFERROR(('Final Calculation Sheet'!$J$39)&amp;"","")=""))))</f>
        <v/>
      </c>
      <c r="BX40">
        <f>IF($L$4="",1,--(OR(SUMPRODUCT(--(TRIM(MID(SUBSTITUTE(SUBSTITUTE($L$4,"/",","),",",REPT(" ",99)),(ROW($1:$8)-1)*99+1,99))&lt;&gt;""),--ISNUMBER(SEARCH(TRIM(MID(SUBSTITUTE(SUBSTITUTE($L$4,"/",","),",",REPT(" ",99)),(ROW($1:$8)-1)*99+1,99)),IFERROR(('Final Calculation Sheet'!$K$39)&amp;"",""))))&gt;0,AND(ISNUMBER(SEARCH("blank",$L$4)),NOT(ISNUMBER(SEARCH("nonblank",$L$4))),IFERROR(('Final Calculation Sheet'!$K$39)&amp;"","")=""),AND(OR(ISNUMBER(SEARCH("nonblank",$L$4)),ISNUMBER(SEARCH("&lt;&gt;",$L$4))),IFERROR(('Final Calculation Sheet'!$K$39)&amp;"","")&lt;&gt;""),AND(TRIM($L$4)="",IFERROR(('Final Calculation Sheet'!$K$39)&amp;"","")=""))))</f>
        <v/>
      </c>
      <c r="BY40">
        <f>IF($M$4="",1,--(OR(SUMPRODUCT(--(TRIM(MID(SUBSTITUTE(SUBSTITUTE($M$4,"/",","),",",REPT(" ",99)),(ROW($1:$8)-1)*99+1,99))&lt;&gt;""),--ISNUMBER(SEARCH(TRIM(MID(SUBSTITUTE(SUBSTITUTE($M$4,"/",","),",",REPT(" ",99)),(ROW($1:$8)-1)*99+1,99)),IFERROR(('Final Calculation Sheet'!$L$39)&amp;"",""))))&gt;0,AND(ISNUMBER(SEARCH("blank",$M$4)),NOT(ISNUMBER(SEARCH("nonblank",$M$4))),IFERROR(('Final Calculation Sheet'!$L$39)&amp;"","")=""),AND(OR(ISNUMBER(SEARCH("nonblank",$M$4)),ISNUMBER(SEARCH("&lt;&gt;",$M$4))),IFERROR(('Final Calculation Sheet'!$L$39)&amp;"","")&lt;&gt;""),AND(TRIM($M$4)="",IFERROR(('Final Calculation Sheet'!$L$39)&amp;"","")=""))))</f>
        <v/>
      </c>
      <c r="BZ40">
        <f>IF($N$4="",1,--(OR(SUMPRODUCT(--(TRIM(MID(SUBSTITUTE(SUBSTITUTE($N$4,"/",","),",",REPT(" ",99)),(ROW($1:$8)-1)*99+1,99))&lt;&gt;""),--ISNUMBER(SEARCH(TRIM(MID(SUBSTITUTE(SUBSTITUTE($N$4,"/",","),",",REPT(" ",99)),(ROW($1:$8)-1)*99+1,99)),IFERROR(('Final Calculation Sheet'!$M$39)&amp;"",""))))&gt;0,AND(ISNUMBER(SEARCH("blank",$N$4)),NOT(ISNUMBER(SEARCH("nonblank",$N$4))),IFERROR(('Final Calculation Sheet'!$M$39)&amp;"","")=""),AND(OR(ISNUMBER(SEARCH("nonblank",$N$4)),ISNUMBER(SEARCH("&lt;&gt;",$N$4))),IFERROR(('Final Calculation Sheet'!$M$39)&amp;"","")&lt;&gt;""),AND(TRIM($N$4)="",IFERROR(('Final Calculation Sheet'!$M$39)&amp;"","")=""))))</f>
        <v/>
      </c>
      <c r="CA40">
        <f>IF($O$4="",1,--(OR(SUMPRODUCT(--(TRIM(MID(SUBSTITUTE(SUBSTITUTE($O$4,"/",","),",",REPT(" ",99)),(ROW($1:$8)-1)*99+1,99))&lt;&gt;""),--ISNUMBER(SEARCH(TRIM(MID(SUBSTITUTE(SUBSTITUTE($O$4,"/",","),",",REPT(" ",99)),(ROW($1:$8)-1)*99+1,99)),IFERROR(('Final Calculation Sheet'!$N$39)&amp;"",""))))&gt;0,AND(ISNUMBER(SEARCH("blank",$O$4)),NOT(ISNUMBER(SEARCH("nonblank",$O$4))),IFERROR(('Final Calculation Sheet'!$N$39)&amp;"","")=""),AND(OR(ISNUMBER(SEARCH("nonblank",$O$4)),ISNUMBER(SEARCH("&lt;&gt;",$O$4))),IFERROR(('Final Calculation Sheet'!$N$39)&amp;"","")&lt;&gt;""),AND(TRIM($O$4)="",IFERROR(('Final Calculation Sheet'!$N$39)&amp;"","")=""))))</f>
        <v/>
      </c>
      <c r="CB40">
        <f>IF($P$4="",1,--(OR(SUMPRODUCT(--(TRIM(MID(SUBSTITUTE(SUBSTITUTE($P$4,"/",","),",",REPT(" ",99)),(ROW($1:$8)-1)*99+1,99))&lt;&gt;""),--ISNUMBER(SEARCH(TRIM(MID(SUBSTITUTE(SUBSTITUTE($P$4,"/",","),",",REPT(" ",99)),(ROW($1:$8)-1)*99+1,99)),IFERROR(('Final Calculation Sheet'!$O$39)&amp;"",""))))&gt;0,AND(ISNUMBER(SEARCH("blank",$P$4)),NOT(ISNUMBER(SEARCH("nonblank",$P$4))),IFERROR(('Final Calculation Sheet'!$O$39)&amp;"","")=""),AND(OR(ISNUMBER(SEARCH("nonblank",$P$4)),ISNUMBER(SEARCH("&lt;&gt;",$P$4))),IFERROR(('Final Calculation Sheet'!$O$39)&amp;"","")&lt;&gt;""),AND(TRIM($P$4)="",IFERROR(('Final Calculation Sheet'!$O$39)&amp;"","")=""))))</f>
        <v/>
      </c>
      <c r="CC40">
        <f>IF($Q$4="",1,--(OR(SUMPRODUCT(--(TRIM(MID(SUBSTITUTE(SUBSTITUTE($Q$4,"/",","),",",REPT(" ",99)),(ROW($1:$8)-1)*99+1,99))&lt;&gt;""),--ISNUMBER(SEARCH(TRIM(MID(SUBSTITUTE(SUBSTITUTE($Q$4,"/",","),",",REPT(" ",99)),(ROW($1:$8)-1)*99+1,99)),IFERROR(('Final Calculation Sheet'!$P$39)&amp;"",""))))&gt;0,AND(ISNUMBER(SEARCH("blank",$Q$4)),NOT(ISNUMBER(SEARCH("nonblank",$Q$4))),IFERROR(('Final Calculation Sheet'!$P$39)&amp;"","")=""),AND(OR(ISNUMBER(SEARCH("nonblank",$Q$4)),ISNUMBER(SEARCH("&lt;&gt;",$Q$4))),IFERROR(('Final Calculation Sheet'!$P$39)&amp;"","")&lt;&gt;""),AND(TRIM($Q$4)="",IFERROR(('Final Calculation Sheet'!$P$39)&amp;"","")=""))))</f>
        <v/>
      </c>
      <c r="CD40">
        <f>IF($R$4="",1,--(OR(SUMPRODUCT(--(TRIM(MID(SUBSTITUTE(SUBSTITUTE($R$4,"/",","),",",REPT(" ",99)),(ROW($1:$8)-1)*99+1,99))&lt;&gt;""),--ISNUMBER(SEARCH(TRIM(MID(SUBSTITUTE(SUBSTITUTE($R$4,"/",","),",",REPT(" ",99)),(ROW($1:$8)-1)*99+1,99)),IFERROR(('Final Calculation Sheet'!$Q$39)&amp;"",""))))&gt;0,AND(ISNUMBER(SEARCH("blank",$R$4)),NOT(ISNUMBER(SEARCH("nonblank",$R$4))),IFERROR(('Final Calculation Sheet'!$Q$39)&amp;"","")=""),AND(OR(ISNUMBER(SEARCH("nonblank",$R$4)),ISNUMBER(SEARCH("&lt;&gt;",$R$4))),IFERROR(('Final Calculation Sheet'!$Q$39)&amp;"","")&lt;&gt;""),AND(TRIM($R$4)="",IFERROR(('Final Calculation Sheet'!$Q$39)&amp;"","")=""))))</f>
        <v/>
      </c>
      <c r="CE40">
        <f>IF($S$4="",1,--(OR(SUMPRODUCT(--(TRIM(MID(SUBSTITUTE(SUBSTITUTE($S$4,"/",","),",",REPT(" ",99)),(ROW($1:$8)-1)*99+1,99))&lt;&gt;""),--ISNUMBER(SEARCH(TRIM(MID(SUBSTITUTE(SUBSTITUTE($S$4,"/",","),",",REPT(" ",99)),(ROW($1:$8)-1)*99+1,99)),IFERROR(('Final Calculation Sheet'!$R$39)&amp;"",""))))&gt;0,AND(ISNUMBER(SEARCH("blank",$S$4)),NOT(ISNUMBER(SEARCH("nonblank",$S$4))),IFERROR(('Final Calculation Sheet'!$R$39)&amp;"","")=""),AND(OR(ISNUMBER(SEARCH("nonblank",$S$4)),ISNUMBER(SEARCH("&lt;&gt;",$S$4))),IFERROR(('Final Calculation Sheet'!$R$39)&amp;"","")&lt;&gt;""),AND(TRIM($S$4)="",IFERROR(('Final Calculation Sheet'!$R$39)&amp;"","")=""))))</f>
        <v/>
      </c>
      <c r="CF40">
        <f>IF($T$4="",1,--(OR(SUMPRODUCT(--(TRIM(MID(SUBSTITUTE(SUBSTITUTE($T$4,"/",","),",",REPT(" ",99)),(ROW($1:$8)-1)*99+1,99))&lt;&gt;""),--ISNUMBER(SEARCH(TRIM(MID(SUBSTITUTE(SUBSTITUTE($T$4,"/",","),",",REPT(" ",99)),(ROW($1:$8)-1)*99+1,99)),IFERROR(('Final Calculation Sheet'!$S$39)&amp;"",""))))&gt;0,AND(ISNUMBER(SEARCH("blank",$T$4)),NOT(ISNUMBER(SEARCH("nonblank",$T$4))),IFERROR(('Final Calculation Sheet'!$S$39)&amp;"","")=""),AND(OR(ISNUMBER(SEARCH("nonblank",$T$4)),ISNUMBER(SEARCH("&lt;&gt;",$T$4))),IFERROR(('Final Calculation Sheet'!$S$39)&amp;"","")&lt;&gt;""),AND(TRIM($T$4)="",IFERROR(('Final Calculation Sheet'!$S$39)&amp;"","")=""))))</f>
        <v/>
      </c>
      <c r="CG40">
        <f>IF($U$4="",1,--(OR(SUMPRODUCT(--(TRIM(MID(SUBSTITUTE(SUBSTITUTE($U$4,"/",","),",",REPT(" ",99)),(ROW($1:$8)-1)*99+1,99))&lt;&gt;""),--ISNUMBER(SEARCH(TRIM(MID(SUBSTITUTE(SUBSTITUTE($U$4,"/",","),",",REPT(" ",99)),(ROW($1:$8)-1)*99+1,99)),IFERROR(('Final Calculation Sheet'!$T$39)&amp;"",""))))&gt;0,AND(ISNUMBER(SEARCH("blank",$U$4)),NOT(ISNUMBER(SEARCH("nonblank",$U$4))),IFERROR(('Final Calculation Sheet'!$T$39)&amp;"","")=""),AND(OR(ISNUMBER(SEARCH("nonblank",$U$4)),ISNUMBER(SEARCH("&lt;&gt;",$U$4))),IFERROR(('Final Calculation Sheet'!$T$39)&amp;"","")&lt;&gt;""),AND(TRIM($U$4)="",IFERROR(('Final Calculation Sheet'!$T$39)&amp;"","")=""))))</f>
        <v/>
      </c>
      <c r="CH40">
        <f>IF($V$4="",1,--(OR(SUMPRODUCT(--(TRIM(MID(SUBSTITUTE(SUBSTITUTE($V$4,"/",","),",",REPT(" ",99)),(ROW($1:$8)-1)*99+1,99))&lt;&gt;""),--ISNUMBER(SEARCH(TRIM(MID(SUBSTITUTE(SUBSTITUTE($V$4,"/",","),",",REPT(" ",99)),(ROW($1:$8)-1)*99+1,99)),IFERROR(('Final Calculation Sheet'!$U$39)&amp;"",""))))&gt;0,AND(ISNUMBER(SEARCH("blank",$V$4)),NOT(ISNUMBER(SEARCH("nonblank",$V$4))),IFERROR(('Final Calculation Sheet'!$U$39)&amp;"","")=""),AND(OR(ISNUMBER(SEARCH("nonblank",$V$4)),ISNUMBER(SEARCH("&lt;&gt;",$V$4))),IFERROR(('Final Calculation Sheet'!$U$39)&amp;"","")&lt;&gt;""),AND(TRIM($V$4)="",IFERROR(('Final Calculation Sheet'!$U$39)&amp;"","")=""))))</f>
        <v/>
      </c>
      <c r="CI40">
        <f>IF($W$4="",1,--(OR(SUMPRODUCT(--(TRIM(MID(SUBSTITUTE(SUBSTITUTE($W$4,"/",","),",",REPT(" ",99)),(ROW($1:$8)-1)*99+1,99))&lt;&gt;""),--ISNUMBER(SEARCH(TRIM(MID(SUBSTITUTE(SUBSTITUTE($W$4,"/",","),",",REPT(" ",99)),(ROW($1:$8)-1)*99+1,99)),IFERROR(('Final Calculation Sheet'!$V$39)&amp;"",""))))&gt;0,AND(ISNUMBER(SEARCH("blank",$W$4)),NOT(ISNUMBER(SEARCH("nonblank",$W$4))),IFERROR(('Final Calculation Sheet'!$V$39)&amp;"","")=""),AND(OR(ISNUMBER(SEARCH("nonblank",$W$4)),ISNUMBER(SEARCH("&lt;&gt;",$W$4))),IFERROR(('Final Calculation Sheet'!$V$39)&amp;"","")&lt;&gt;""),AND(TRIM($W$4)="",IFERROR(('Final Calculation Sheet'!$V$39)&amp;"","")=""))))</f>
        <v/>
      </c>
      <c r="CJ40">
        <f>IF($X$4="",1,--(OR(SUMPRODUCT(--(TRIM(MID(SUBSTITUTE(SUBSTITUTE($X$4,"/",","),",",REPT(" ",99)),(ROW($1:$8)-1)*99+1,99))&lt;&gt;""),--ISNUMBER(SEARCH(TRIM(MID(SUBSTITUTE(SUBSTITUTE($X$4,"/",","),",",REPT(" ",99)),(ROW($1:$8)-1)*99+1,99)),IFERROR(('Final Calculation Sheet'!$W$39)&amp;"",""))))&gt;0,AND(ISNUMBER(SEARCH("blank",$X$4)),NOT(ISNUMBER(SEARCH("nonblank",$X$4))),IFERROR(('Final Calculation Sheet'!$W$39)&amp;"","")=""),AND(OR(ISNUMBER(SEARCH("nonblank",$X$4)),ISNUMBER(SEARCH("&lt;&gt;",$X$4))),IFERROR(('Final Calculation Sheet'!$W$39)&amp;"","")&lt;&gt;""),AND(TRIM($X$4)="",IFERROR(('Final Calculation Sheet'!$W$39)&amp;"","")=""))))</f>
        <v/>
      </c>
      <c r="CK40">
        <f>IF($Y$4="",1,--(OR(SUMPRODUCT(--(TRIM(MID(SUBSTITUTE(SUBSTITUTE($Y$4,"/",","),",",REPT(" ",99)),(ROW($1:$8)-1)*99+1,99))&lt;&gt;""),--ISNUMBER(SEARCH(TRIM(MID(SUBSTITUTE(SUBSTITUTE($Y$4,"/",","),",",REPT(" ",99)),(ROW($1:$8)-1)*99+1,99)),IFERROR(('Final Calculation Sheet'!$X$39)&amp;"",""))))&gt;0,AND(ISNUMBER(SEARCH("blank",$Y$4)),NOT(ISNUMBER(SEARCH("nonblank",$Y$4))),IFERROR(('Final Calculation Sheet'!$X$39)&amp;"","")=""),AND(OR(ISNUMBER(SEARCH("nonblank",$Y$4)),ISNUMBER(SEARCH("&lt;&gt;",$Y$4))),IFERROR(('Final Calculation Sheet'!$X$39)&amp;"","")&lt;&gt;""),AND(TRIM($Y$4)="",IFERROR(('Final Calculation Sheet'!$X$39)&amp;"","")=""))))</f>
        <v/>
      </c>
      <c r="CL40">
        <f>IF($Z$4="",1,--(OR(SUMPRODUCT(--(TRIM(MID(SUBSTITUTE(SUBSTITUTE($Z$4,"/",","),",",REPT(" ",99)),(ROW($1:$8)-1)*99+1,99))&lt;&gt;""),--ISNUMBER(SEARCH(TRIM(MID(SUBSTITUTE(SUBSTITUTE($Z$4,"/",","),",",REPT(" ",99)),(ROW($1:$8)-1)*99+1,99)),IFERROR(('Final Calculation Sheet'!$Y$39)&amp;"",""))))&gt;0,AND(ISNUMBER(SEARCH("blank",$Z$4)),NOT(ISNUMBER(SEARCH("nonblank",$Z$4))),IFERROR(('Final Calculation Sheet'!$Y$39)&amp;"","")=""),AND(OR(ISNUMBER(SEARCH("nonblank",$Z$4)),ISNUMBER(SEARCH("&lt;&gt;",$Z$4))),IFERROR(('Final Calculation Sheet'!$Y$39)&amp;"","")&lt;&gt;""),AND(TRIM($Z$4)="",IFERROR(('Final Calculation Sheet'!$Y$39)&amp;"","")=""))))</f>
        <v/>
      </c>
      <c r="CM40">
        <f>IF($AA$4="",1,--(OR(SUMPRODUCT(--(TRIM(MID(SUBSTITUTE(SUBSTITUTE($AA$4,"/",","),",",REPT(" ",99)),(ROW($1:$8)-1)*99+1,99))&lt;&gt;""),--ISNUMBER(SEARCH(TRIM(MID(SUBSTITUTE(SUBSTITUTE($AA$4,"/",","),",",REPT(" ",99)),(ROW($1:$8)-1)*99+1,99)),IFERROR(('Final Calculation Sheet'!$Z$39)&amp;"",""))))&gt;0,AND(ISNUMBER(SEARCH("blank",$AA$4)),NOT(ISNUMBER(SEARCH("nonblank",$AA$4))),IFERROR(('Final Calculation Sheet'!$Z$39)&amp;"","")=""),AND(OR(ISNUMBER(SEARCH("nonblank",$AA$4)),ISNUMBER(SEARCH("&lt;&gt;",$AA$4))),IFERROR(('Final Calculation Sheet'!$Z$39)&amp;"","")&lt;&gt;""),AND(TRIM($AA$4)="",IFERROR(('Final Calculation Sheet'!$Z$39)&amp;"","")=""))))</f>
        <v/>
      </c>
      <c r="CN40">
        <f>IF($AB$4="",1,--(OR(SUMPRODUCT(--(TRIM(MID(SUBSTITUTE(SUBSTITUTE($AB$4,"/",","),",",REPT(" ",99)),(ROW($1:$8)-1)*99+1,99))&lt;&gt;""),--ISNUMBER(SEARCH(TRIM(MID(SUBSTITUTE(SUBSTITUTE($AB$4,"/",","),",",REPT(" ",99)),(ROW($1:$8)-1)*99+1,99)),IFERROR(('Final Calculation Sheet'!$AA$39)&amp;"",""))))&gt;0,AND(ISNUMBER(SEARCH("blank",$AB$4)),NOT(ISNUMBER(SEARCH("nonblank",$AB$4))),IFERROR(('Final Calculation Sheet'!$AA$39)&amp;"","")=""),AND(OR(ISNUMBER(SEARCH("nonblank",$AB$4)),ISNUMBER(SEARCH("&lt;&gt;",$AB$4))),IFERROR(('Final Calculation Sheet'!$AA$39)&amp;"","")&lt;&gt;""),AND(TRIM($AB$4)="",IFERROR(('Final Calculation Sheet'!$AA$39)&amp;"","")=""))))</f>
        <v/>
      </c>
      <c r="CO40">
        <f>IF($AC$4="",1,--(OR(SUMPRODUCT(--(TRIM(MID(SUBSTITUTE(SUBSTITUTE($AC$4,"/",","),",",REPT(" ",99)),(ROW($1:$8)-1)*99+1,99))&lt;&gt;""),--ISNUMBER(SEARCH(TRIM(MID(SUBSTITUTE(SUBSTITUTE($AC$4,"/",","),",",REPT(" ",99)),(ROW($1:$8)-1)*99+1,99)),IFERROR(('Final Calculation Sheet'!$AB$39)&amp;"",""))))&gt;0,AND(ISNUMBER(SEARCH("blank",$AC$4)),NOT(ISNUMBER(SEARCH("nonblank",$AC$4))),IFERROR(('Final Calculation Sheet'!$AB$39)&amp;"","")=""),AND(OR(ISNUMBER(SEARCH("nonblank",$AC$4)),ISNUMBER(SEARCH("&lt;&gt;",$AC$4))),IFERROR(('Final Calculation Sheet'!$AB$39)&amp;"","")&lt;&gt;""),AND(TRIM($AC$4)="",IFERROR(('Final Calculation Sheet'!$AB$39)&amp;"","")=""))))</f>
        <v/>
      </c>
      <c r="CP40">
        <f>IF($AD$4="",1,--(OR(SUMPRODUCT(--(TRIM(MID(SUBSTITUTE(SUBSTITUTE($AD$4,"/",","),",",REPT(" ",99)),(ROW($1:$8)-1)*99+1,99))&lt;&gt;""),--ISNUMBER(SEARCH(TRIM(MID(SUBSTITUTE(SUBSTITUTE($AD$4,"/",","),",",REPT(" ",99)),(ROW($1:$8)-1)*99+1,99)),IFERROR(('Final Calculation Sheet'!$AC$39)&amp;"",""))))&gt;0,AND(ISNUMBER(SEARCH("blank",$AD$4)),NOT(ISNUMBER(SEARCH("nonblank",$AD$4))),IFERROR(('Final Calculation Sheet'!$AC$39)&amp;"","")=""),AND(OR(ISNUMBER(SEARCH("nonblank",$AD$4)),ISNUMBER(SEARCH("&lt;&gt;",$AD$4))),IFERROR(('Final Calculation Sheet'!$AC$39)&amp;"","")&lt;&gt;""),AND(TRIM($AD$4)="",IFERROR(('Final Calculation Sheet'!$AC$39)&amp;"","")=""))))</f>
        <v/>
      </c>
      <c r="CQ40">
        <f>IF($AE$4="",1,--(OR(SUMPRODUCT(--(TRIM(MID(SUBSTITUTE(SUBSTITUTE($AE$4,"/",","),",",REPT(" ",99)),(ROW($1:$8)-1)*99+1,99))&lt;&gt;""),--ISNUMBER(SEARCH(TRIM(MID(SUBSTITUTE(SUBSTITUTE($AE$4,"/",","),",",REPT(" ",99)),(ROW($1:$8)-1)*99+1,99)),IFERROR(('Final Calculation Sheet'!$AD$39)&amp;"",""))))&gt;0,AND(ISNUMBER(SEARCH("blank",$AE$4)),NOT(ISNUMBER(SEARCH("nonblank",$AE$4))),IFERROR(('Final Calculation Sheet'!$AD$39)&amp;"","")=""),AND(OR(ISNUMBER(SEARCH("nonblank",$AE$4)),ISNUMBER(SEARCH("&lt;&gt;",$AE$4))),IFERROR(('Final Calculation Sheet'!$AD$39)&amp;"","")&lt;&gt;""),AND(TRIM($AE$4)="",IFERROR(('Final Calculation Sheet'!$AD$39)&amp;"","")=""))))</f>
        <v/>
      </c>
      <c r="CR40">
        <f>IF($AG$4="",1,--(OR(SUMPRODUCT(--(TRIM(MID(SUBSTITUTE(SUBSTITUTE($AG$4,"/",","),",",REPT(" ",99)),(ROW($1:$8)-1)*99+1,99))&lt;&gt;""),--ISNUMBER(SEARCH(TRIM(MID(SUBSTITUTE(SUBSTITUTE($AG$4,"/",","),",",REPT(" ",99)),(ROW($1:$8)-1)*99+1,99)),IFERROR(('Final Calculation Sheet'!$AF$39)&amp;"",""))))&gt;0,AND(ISNUMBER(SEARCH("blank",$AG$4)),NOT(ISNUMBER(SEARCH("nonblank",$AG$4))),IFERROR(('Final Calculation Sheet'!$AF$39)&amp;"","")=""),AND(OR(ISNUMBER(SEARCH("nonblank",$AG$4)),ISNUMBER(SEARCH("&lt;&gt;",$AG$4))),IFERROR(('Final Calculation Sheet'!$AF$39)&amp;"","")&lt;&gt;""),AND(TRIM($AG$4)="",IFERROR(('Final Calculation Sheet'!$AF$39)&amp;"","")=""))))</f>
        <v/>
      </c>
      <c r="CS40">
        <f>IF($AH$4="",1,--(OR(SUMPRODUCT(--(TRIM(MID(SUBSTITUTE(SUBSTITUTE($AH$4,"/",","),",",REPT(" ",99)),(ROW($1:$8)-1)*99+1,99))&lt;&gt;""),--ISNUMBER(SEARCH(TRIM(MID(SUBSTITUTE(SUBSTITUTE($AH$4,"/",","),",",REPT(" ",99)),(ROW($1:$8)-1)*99+1,99)),IFERROR(('Final Calculation Sheet'!$AG$39)&amp;"",""))))&gt;0,AND(ISNUMBER(SEARCH("blank",$AH$4)),NOT(ISNUMBER(SEARCH("nonblank",$AH$4))),IFERROR(('Final Calculation Sheet'!$AG$39)&amp;"","")=""),AND(OR(ISNUMBER(SEARCH("nonblank",$AH$4)),ISNUMBER(SEARCH("&lt;&gt;",$AH$4))),IFERROR(('Final Calculation Sheet'!$AG$39)&amp;"","")&lt;&gt;""),AND(TRIM($AH$4)="",IFERROR(('Final Calculation Sheet'!$AG$39)&amp;"","")=""))))</f>
        <v/>
      </c>
      <c r="CT40">
        <f>IF($AI$4="",1,--(OR(SUMPRODUCT(--(TRIM(MID(SUBSTITUTE(SUBSTITUTE($AI$4,"/",","),",",REPT(" ",99)),(ROW($1:$8)-1)*99+1,99))&lt;&gt;""),--ISNUMBER(SEARCH(TRIM(MID(SUBSTITUTE(SUBSTITUTE($AI$4,"/",","),",",REPT(" ",99)),(ROW($1:$8)-1)*99+1,99)),IFERROR(('Final Calculation Sheet'!$AH$39)&amp;"",""))))&gt;0,AND(ISNUMBER(SEARCH("blank",$AI$4)),NOT(ISNUMBER(SEARCH("nonblank",$AI$4))),IFERROR(('Final Calculation Sheet'!$AH$39)&amp;"","")=""),AND(OR(ISNUMBER(SEARCH("nonblank",$AI$4)),ISNUMBER(SEARCH("&lt;&gt;",$AI$4))),IFERROR(('Final Calculation Sheet'!$AH$39)&amp;"","")&lt;&gt;""),AND(TRIM($AI$4)="",IFERROR(('Final Calculation Sheet'!$AH$39)&amp;"","")=""))))</f>
        <v/>
      </c>
      <c r="CU40">
        <f>IF($AF$4="",1,--(OR(SUMPRODUCT(--(TRIM(MID(SUBSTITUTE(SUBSTITUTE($AF$4,"/",","),",",REPT(" ",99)),(ROW($1:$8)-1)*99+1,99))&lt;&gt;""),--ISNUMBER(SEARCH(TRIM(MID(SUBSTITUTE(SUBSTITUTE($AF$4,"/",","),",",REPT(" ",99)),(ROW($1:$8)-1)*99+1,99)),IFERROR((IF('Final Calculation Sheet'!$AD$39&lt;=5,"SETTLED","OUTSTANDING"))&amp;"",""))))&gt;0,AND(ISNUMBER(SEARCH("blank",$AF$4)),NOT(ISNUMBER(SEARCH("nonblank",$AF$4))),IFERROR((IF('Final Calculation Sheet'!$AD$39&lt;=5,"SETTLED","OUTSTANDING"))&amp;"","")=""),AND(OR(ISNUMBER(SEARCH("nonblank",$AF$4)),ISNUMBER(SEARCH("&lt;&gt;",$AF$4))),IFERROR((IF('Final Calculation Sheet'!$AD$39&lt;=5,"SETTLED","OUTSTANDING"))&amp;"","")&lt;&gt;""),AND(TRIM($AF$4)="",IFERROR((IF('Final Calculation Sheet'!$AD$39&lt;=5,"SETTLED","OUTSTANDING"))&amp;"","")=""))))</f>
        <v/>
      </c>
    </row>
    <row r="41" ht="15" customHeight="1" s="137">
      <c r="A41" s="67">
        <f>IF($BJ40&gt;0,INDEX($BA$5:$BA$41,MATCH(40,$BB$5:$BB$41,0)),IF(OR($BI40=1,$BL40=1,$BH40&gt;0),"∑",""))</f>
        <v/>
      </c>
      <c r="B41" s="76">
        <f>IF($BJ40&gt;0,IF(INDEX('Final Calculation Sheet'!$F$4:$F$40,$BJ40-3)="","",INDEX('Final Calculation Sheet'!$F$4:$F$40,$BJ40-3)),"")</f>
        <v/>
      </c>
      <c r="C41" s="76">
        <f>IF($BJ40&gt;0,IF(INDEX('Final Calculation Sheet'!$G$4:$G$40,$BJ40-3)="","",INDEX('Final Calculation Sheet'!$G$4:$G$40,$BJ40-3)),IF(OR($BI40=1,$BL40=1,$BH40&gt;0),IF($BI40=1,37,IF($BL40=1,37-INDEX($BD$4:$BD$13,10),INDEX($BD$4:$BD$13,$BH40)))&amp;" lot(s)",""))</f>
        <v/>
      </c>
      <c r="D41" s="80">
        <f>IF($BJ40&gt;0,IF(INDEX('Final Calculation Sheet'!$B$4:$B$40,$BJ40-3)="","",INDEX('Final Calculation Sheet'!$B$4:$B$40,$BJ40-3)),IF(OR($BI40=1,$BL40=1,$BH40&gt;0),IF($BI40=1,"GRAND TOTAL  —  matching + remaining",IF($BL40=1,"TOTAL MATCHED  —  every group together",IF($BH40=10,"REMAINING  —  did not match the search",IF($BH40=9,IF(COUNTIF($A$4:$AI$4,"&lt;&gt;")&gt;0,"FILTERED LOTS  —  column fields","ALL LOTS  —  nothing typed in the box"),"GROUP "&amp;$BH40&amp;" TOTAL  —  lots matching  "&amp;INDEX($AR$6:$AY$6,$BH40))))),""))</f>
        <v/>
      </c>
      <c r="E41" s="80">
        <f>IF($BJ40&gt;0,IF(INDEX('Final Calculation Sheet'!$D$4:$D$40,$BJ40-3)="","",INDEX('Final Calculation Sheet'!$D$4:$D$40,$BJ40-3)),IF(OR($BI40=1,$BL40=1,$BH40&gt;0),"–",""))</f>
        <v/>
      </c>
      <c r="F41" s="80">
        <f>IF($BJ40&gt;0,IF(INDEX('Final Calculation Sheet'!$A$4:$A$40,$BJ40-3)="","",INDEX('Final Calculation Sheet'!$A$4:$A$40,$BJ40-3)),IF(OR($BI40=1,$BL40=1,$BH40&gt;0),IF($BI40=1,SUM('Final Calculation Sheet'!$A$4:$A$40),IF($BL40=1,SUM('Final Calculation Sheet'!$A$4:$A$40)-SUMIFS('Final Calculation Sheet'!$A$4:$A$40,$AZ$5:$AZ$41,10),SUMIFS('Final Calculation Sheet'!$A$4:$A$40,$AZ$5:$AZ$41,$BH40))),""))</f>
        <v/>
      </c>
      <c r="G41" s="80">
        <f>IF($BJ40&gt;0,IF(INDEX('Final Calculation Sheet'!$E$4:$E$40,$BJ40-3)="","",INDEX('Final Calculation Sheet'!$E$4:$E$40,$BJ40-3)),IF(OR($BI40=1,$BL40=1,$BH40&gt;0),"–",""))</f>
        <v/>
      </c>
      <c r="H41" s="70">
        <f>IF($BJ40&gt;0,IF(INDEX('Final Calculation Sheet'!$C$4:$C$40,$BJ40-3)="","",INDEX('Final Calculation Sheet'!$C$4:$C$40,$BJ40-3)),IF(OR($BI40=1,$BL40=1,$BH40&gt;0),"–",""))</f>
        <v/>
      </c>
      <c r="I41" s="70">
        <f>IF($BJ40&gt;0,IF(INDEX('Final Calculation Sheet'!$H$4:$H$40,$BJ40-3)="","",INDEX('Final Calculation Sheet'!$H$4:$H$40,$BJ40-3)),IF(OR($BI40=1,$BL40=1,$BH40&gt;0),IF($BI40=1,SUM('Final Calculation Sheet'!$H$4:$H$40),IF($BL40=1,SUM('Final Calculation Sheet'!$H$4:$H$40)-SUMIFS('Final Calculation Sheet'!$H$4:$H$40,$AZ$5:$AZ$41,10),SUMIFS('Final Calculation Sheet'!$H$4:$H$40,$AZ$5:$AZ$41,$BH40))),""))</f>
        <v/>
      </c>
      <c r="J41" s="70">
        <f>IF($BJ40&gt;0,IF(INDEX('Final Calculation Sheet'!$I$4:$I$40,$BJ40-3)="","",INDEX('Final Calculation Sheet'!$I$4:$I$40,$BJ40-3)),IF(OR($BI40=1,$BL40=1,$BH40&gt;0),IF($BI40=1,SUM('Final Calculation Sheet'!$I$4:$I$40),IF($BL40=1,SUM('Final Calculation Sheet'!$I$4:$I$40)-SUMIFS('Final Calculation Sheet'!$I$4:$I$40,$AZ$5:$AZ$41,10),SUMIFS('Final Calculation Sheet'!$I$4:$I$40,$AZ$5:$AZ$41,$BH40))),""))</f>
        <v/>
      </c>
      <c r="K41" s="70">
        <f>IF($BJ40&gt;0,IF(INDEX('Final Calculation Sheet'!$J$4:$J$40,$BJ40-3)="","",INDEX('Final Calculation Sheet'!$J$4:$J$40,$BJ40-3)),IF(OR($BI40=1,$BL40=1,$BH40&gt;0),IF($BI40=1,SUM('Final Calculation Sheet'!$J$4:$J$40),IF($BL40=1,SUM('Final Calculation Sheet'!$J$4:$J$40)-SUMIFS('Final Calculation Sheet'!$J$4:$J$40,$AZ$5:$AZ$41,10),SUMIFS('Final Calculation Sheet'!$J$4:$J$40,$AZ$5:$AZ$41,$BH40))),""))</f>
        <v/>
      </c>
      <c r="L41" s="70">
        <f>IF($BJ40&gt;0,IF(INDEX('Final Calculation Sheet'!$K$4:$K$40,$BJ40-3)="","",INDEX('Final Calculation Sheet'!$K$4:$K$40,$BJ40-3)),IF(OR($BI40=1,$BL40=1,$BH40&gt;0),IF($BI40=1,SUM('Final Calculation Sheet'!$K$4:$K$40),IF($BL40=1,SUM('Final Calculation Sheet'!$K$4:$K$40)-SUMIFS('Final Calculation Sheet'!$K$4:$K$40,$AZ$5:$AZ$41,10),SUMIFS('Final Calculation Sheet'!$K$4:$K$40,$AZ$5:$AZ$41,$BH40))),""))</f>
        <v/>
      </c>
      <c r="M41" s="70">
        <f>IF($BJ40&gt;0,IF(INDEX('Final Calculation Sheet'!$L$4:$L$40,$BJ40-3)="","",INDEX('Final Calculation Sheet'!$L$4:$L$40,$BJ40-3)),IF(OR($BI40=1,$BL40=1,$BH40&gt;0),IF($BI40=1,SUM('Final Calculation Sheet'!$L$4:$L$40),IF($BL40=1,SUM('Final Calculation Sheet'!$L$4:$L$40)-SUMIFS('Final Calculation Sheet'!$L$4:$L$40,$AZ$5:$AZ$41,10),SUMIFS('Final Calculation Sheet'!$L$4:$L$40,$AZ$5:$AZ$41,$BH40))),""))</f>
        <v/>
      </c>
      <c r="N41" s="70">
        <f>IF($BJ40&gt;0,IF(INDEX('Final Calculation Sheet'!$M$4:$M$40,$BJ40-3)="","",INDEX('Final Calculation Sheet'!$M$4:$M$40,$BJ40-3)),IF(OR($BI40=1,$BL40=1,$BH40&gt;0),IF($BI40=1,SUM('Final Calculation Sheet'!$M$4:$M$40),IF($BL40=1,SUM('Final Calculation Sheet'!$M$4:$M$40)-SUMIFS('Final Calculation Sheet'!$M$4:$M$40,$AZ$5:$AZ$41,10),SUMIFS('Final Calculation Sheet'!$M$4:$M$40,$AZ$5:$AZ$41,$BH40))),""))</f>
        <v/>
      </c>
      <c r="O41" s="71">
        <f>IF($BJ40&gt;0,IF(INDEX('Final Calculation Sheet'!$N$4:$N$40,$BJ40-3)="","",INDEX('Final Calculation Sheet'!$N$4:$N$40,$BJ40-3)),IF(OR($BI40=1,$BL40=1,$BH40&gt;0),IF($BI40=1,SUM('Final Calculation Sheet'!$N$4:$N$40),IF($BL40=1,SUM('Final Calculation Sheet'!$N$4:$N$40)-SUMIFS('Final Calculation Sheet'!$N$4:$N$40,$AZ$5:$AZ$41,10),SUMIFS('Final Calculation Sheet'!$N$4:$N$40,$AZ$5:$AZ$41,$BH40))),""))</f>
        <v/>
      </c>
      <c r="P41" s="70">
        <f>IF($BJ40&gt;0,IF(INDEX('Final Calculation Sheet'!$O$4:$O$40,$BJ40-3)="","",INDEX('Final Calculation Sheet'!$O$4:$O$40,$BJ40-3)),IF(OR($BI40=1,$BL40=1,$BH40&gt;0),IF($BI40=1,SUM('Final Calculation Sheet'!$O$4:$O$40),IF($BL40=1,SUM('Final Calculation Sheet'!$O$4:$O$40)-SUMIFS('Final Calculation Sheet'!$O$4:$O$40,$AZ$5:$AZ$41,10),SUMIFS('Final Calculation Sheet'!$O$4:$O$40,$AZ$5:$AZ$41,$BH40))),""))</f>
        <v/>
      </c>
      <c r="Q41" s="70">
        <f>IF($BJ40&gt;0,IF(INDEX('Final Calculation Sheet'!$P$4:$P$40,$BJ40-3)="","",INDEX('Final Calculation Sheet'!$P$4:$P$40,$BJ40-3)),IF(OR($BI40=1,$BL40=1,$BH40&gt;0),IF($BI40=1,SUM('Final Calculation Sheet'!$P$4:$P$40),IF($BL40=1,SUM('Final Calculation Sheet'!$P$4:$P$40)-SUMIFS('Final Calculation Sheet'!$P$4:$P$40,$AZ$5:$AZ$41,10),SUMIFS('Final Calculation Sheet'!$P$4:$P$40,$AZ$5:$AZ$41,$BH40))),""))</f>
        <v/>
      </c>
      <c r="R41" s="72">
        <f>IF($BJ40&gt;0,IF(INDEX('Final Calculation Sheet'!$Q$4:$Q$40,$BJ40-3)="","",INDEX('Final Calculation Sheet'!$Q$4:$Q$40,$BJ40-3)),IF(OR($BI40=1,$BL40=1,$BH40&gt;0),"–",""))</f>
        <v/>
      </c>
      <c r="S41" s="70">
        <f>IF($BJ40&gt;0,IF(INDEX('Final Calculation Sheet'!$R$4:$R$40,$BJ40-3)="","",INDEX('Final Calculation Sheet'!$R$4:$R$40,$BJ40-3)),IF(OR($BI40=1,$BL40=1,$BH40&gt;0),IF($BI40=1,SUM('Final Calculation Sheet'!$R$4:$R$40),IF($BL40=1,SUM('Final Calculation Sheet'!$R$4:$R$40)-SUMIFS('Final Calculation Sheet'!$R$4:$R$40,$AZ$5:$AZ$41,10),SUMIFS('Final Calculation Sheet'!$R$4:$R$40,$AZ$5:$AZ$41,$BH40))),""))</f>
        <v/>
      </c>
      <c r="T41" s="70">
        <f>IF($BJ40&gt;0,IF(INDEX('Final Calculation Sheet'!$S$4:$S$40,$BJ40-3)="","",INDEX('Final Calculation Sheet'!$S$4:$S$40,$BJ40-3)),IF(OR($BI40=1,$BL40=1,$BH40&gt;0),IF($BI40=1,SUM('Final Calculation Sheet'!$S$4:$S$40),IF($BL40=1,SUM('Final Calculation Sheet'!$S$4:$S$40)-SUMIFS('Final Calculation Sheet'!$S$4:$S$40,$AZ$5:$AZ$41,10),SUMIFS('Final Calculation Sheet'!$S$4:$S$40,$AZ$5:$AZ$41,$BH40))),""))</f>
        <v/>
      </c>
      <c r="U41" s="70">
        <f>IF($BJ40&gt;0,IF(INDEX('Final Calculation Sheet'!$T$4:$T$40,$BJ40-3)="","",INDEX('Final Calculation Sheet'!$T$4:$T$40,$BJ40-3)),IF(OR($BI40=1,$BL40=1,$BH40&gt;0),IF($BI40=1,SUM('Final Calculation Sheet'!$T$4:$T$40),IF($BL40=1,SUM('Final Calculation Sheet'!$T$4:$T$40)-SUMIFS('Final Calculation Sheet'!$T$4:$T$40,$AZ$5:$AZ$41,10),SUMIFS('Final Calculation Sheet'!$T$4:$T$40,$AZ$5:$AZ$41,$BH40))),""))</f>
        <v/>
      </c>
      <c r="V41" s="73">
        <f>IF($BJ40&gt;0,IF(INDEX('Final Calculation Sheet'!$U$4:$U$40,$BJ40-3)="","",INDEX('Final Calculation Sheet'!$U$4:$U$40,$BJ40-3)),IF(OR($BI40=1,$BL40=1,$BH40&gt;0),IF($BI40=1,SUM('Final Calculation Sheet'!$U$4:$U$40),IF($BL40=1,SUM('Final Calculation Sheet'!$U$4:$U$40)-SUMIFS('Final Calculation Sheet'!$U$4:$U$40,$AZ$5:$AZ$41,10),SUMIFS('Final Calculation Sheet'!$U$4:$U$40,$AZ$5:$AZ$41,$BH40))),""))</f>
        <v/>
      </c>
      <c r="W41" s="70">
        <f>IF($BJ40&gt;0,IF(INDEX('Final Calculation Sheet'!$V$4:$V$40,$BJ40-3)="","",INDEX('Final Calculation Sheet'!$V$4:$V$40,$BJ40-3)),IF(OR($BI40=1,$BL40=1,$BH40&gt;0),"–",""))</f>
        <v/>
      </c>
      <c r="X41" s="70">
        <f>IF($BJ40&gt;0,IF(INDEX('Final Calculation Sheet'!$W$4:$W$40,$BJ40-3)="","",INDEX('Final Calculation Sheet'!$W$4:$W$40,$BJ40-3)),IF(OR($BI40=1,$BL40=1,$BH40&gt;0),IF($BI40=1,SUM('Final Calculation Sheet'!$W$4:$W$40),IF($BL40=1,SUM('Final Calculation Sheet'!$W$4:$W$40)-SUMIFS('Final Calculation Sheet'!$W$4:$W$40,$AZ$5:$AZ$41,10),SUMIFS('Final Calculation Sheet'!$W$4:$W$40,$AZ$5:$AZ$41,$BH40))),""))</f>
        <v/>
      </c>
      <c r="Y41" s="70">
        <f>IF($BJ40&gt;0,IF(INDEX('Final Calculation Sheet'!$X$4:$X$40,$BJ40-3)="","",INDEX('Final Calculation Sheet'!$X$4:$X$40,$BJ40-3)),IF(OR($BI40=1,$BL40=1,$BH40&gt;0),IF($BI40=1,SUM('Final Calculation Sheet'!$X$4:$X$40),IF($BL40=1,SUM('Final Calculation Sheet'!$X$4:$X$40)-SUMIFS('Final Calculation Sheet'!$X$4:$X$40,$AZ$5:$AZ$41,10),SUMIFS('Final Calculation Sheet'!$X$4:$X$40,$AZ$5:$AZ$41,$BH40))),""))</f>
        <v/>
      </c>
      <c r="Z41" s="70">
        <f>IF($BJ40&gt;0,IF(INDEX('Final Calculation Sheet'!$Y$4:$Y$40,$BJ40-3)="","",INDEX('Final Calculation Sheet'!$Y$4:$Y$40,$BJ40-3)),IF(OR($BI40=1,$BL40=1,$BH40&gt;0),"–",""))</f>
        <v/>
      </c>
      <c r="AA41" s="70">
        <f>IF($BJ40&gt;0,IF(INDEX('Final Calculation Sheet'!$Z$4:$Z$40,$BJ40-3)="","",INDEX('Final Calculation Sheet'!$Z$4:$Z$40,$BJ40-3)),IF(OR($BI40=1,$BL40=1,$BH40&gt;0),IF($BI40=1,SUM('Final Calculation Sheet'!$Z$4:$Z$40),IF($BL40=1,SUM('Final Calculation Sheet'!$Z$4:$Z$40)-SUMIFS('Final Calculation Sheet'!$Z$4:$Z$40,$AZ$5:$AZ$41,10),SUMIFS('Final Calculation Sheet'!$Z$4:$Z$40,$AZ$5:$AZ$41,$BH40))),""))</f>
        <v/>
      </c>
      <c r="AB41" s="70">
        <f>IF($BJ40&gt;0,IF(INDEX('Final Calculation Sheet'!$AA$4:$AA$40,$BJ40-3)="","",INDEX('Final Calculation Sheet'!$AA$4:$AA$40,$BJ40-3)),IF(OR($BI40=1,$BL40=1,$BH40&gt;0),IF($BI40=1,SUM('Final Calculation Sheet'!$AA$4:$AA$40),IF($BL40=1,SUM('Final Calculation Sheet'!$AA$4:$AA$40)-SUMIFS('Final Calculation Sheet'!$AA$4:$AA$40,$AZ$5:$AZ$41,10),SUMIFS('Final Calculation Sheet'!$AA$4:$AA$40,$AZ$5:$AZ$41,$BH40))),""))</f>
        <v/>
      </c>
      <c r="AC41" s="70">
        <f>IF($BJ40&gt;0,IF(INDEX('Final Calculation Sheet'!$AB$4:$AB$40,$BJ40-3)="","",INDEX('Final Calculation Sheet'!$AB$4:$AB$40,$BJ40-3)),IF(OR($BI40=1,$BL40=1,$BH40&gt;0),"–",""))</f>
        <v/>
      </c>
      <c r="AD41" s="70">
        <f>IF($BJ40&gt;0,IF(INDEX('Final Calculation Sheet'!$AC$4:$AC$40,$BJ40-3)="","",INDEX('Final Calculation Sheet'!$AC$4:$AC$40,$BJ40-3)),IF(OR($BI40=1,$BL40=1,$BH40&gt;0),IF($BI40=1,SUM('Final Calculation Sheet'!$AC$4:$AC$40),IF($BL40=1,SUM('Final Calculation Sheet'!$AC$4:$AC$40)-SUMIFS('Final Calculation Sheet'!$AC$4:$AC$40,$AZ$5:$AZ$41,10),SUMIFS('Final Calculation Sheet'!$AC$4:$AC$40,$AZ$5:$AZ$41,$BH40))),""))</f>
        <v/>
      </c>
      <c r="AE41" s="70">
        <f>IF($BJ40&gt;0,IF(INDEX('Final Calculation Sheet'!$AD$4:$AD$40,$BJ40-3)="","",INDEX('Final Calculation Sheet'!$AD$4:$AD$40,$BJ40-3)),IF(OR($BI40=1,$BL40=1,$BH40&gt;0),IF($BI40=1,SUM('Final Calculation Sheet'!$AD$4:$AD$40),IF($BL40=1,SUM('Final Calculation Sheet'!$AD$4:$AD$40)-SUMIFS('Final Calculation Sheet'!$AD$4:$AD$40,$AZ$5:$AZ$41,10),SUMIFS('Final Calculation Sheet'!$AD$4:$AD$40,$AZ$5:$AZ$41,$BH40))),""))</f>
        <v/>
      </c>
      <c r="AF41" s="75">
        <f>IF($BJ40&gt;0,IF(INDEX('Final Calculation Sheet'!$AD$4:$AD$40,$BJ40-3)="","",IF(INDEX('Final Calculation Sheet'!$AD$4:$AD$40,$BJ40-3)&lt;=5,"SETTLED","OUTSTANDING")),IF(OR($BI40=1,$BL40=1,$BH40&gt;0),IF(IF($BI40=1,SUM('Final Calculation Sheet'!$AD$4:$AD$40),IF($BL40=1,SUM('Final Calculation Sheet'!$AD$4:$AD$40)-SUMIFS('Final Calculation Sheet'!$AD$4:$AD$40,$AZ$5:$AZ$41,10),SUMIFS('Final Calculation Sheet'!$AD$4:$AD$40,$AZ$5:$AZ$41,$BH40)))&lt;=5,"ALL SETTLED","OUTSTANDING"),""))</f>
        <v/>
      </c>
      <c r="AG41" s="70">
        <f>IF($BJ40&gt;0,IF(INDEX('Final Calculation Sheet'!$AF$4:$AF$40,$BJ40-3)="","",INDEX('Final Calculation Sheet'!$AF$4:$AF$40,$BJ40-3)),IF(OR($BI40=1,$BL40=1,$BH40&gt;0),"–",""))</f>
        <v/>
      </c>
      <c r="AH41" s="74">
        <f>IF($BJ40&gt;0,IF(INDEX('Final Calculation Sheet'!$AG$4:$AG$40,$BJ40-3)="","",INDEX('Final Calculation Sheet'!$AG$4:$AG$40,$BJ40-3)),IF(OR($BI40=1,$BL40=1,$BH40&gt;0),"–",""))</f>
        <v/>
      </c>
      <c r="AI41" s="70">
        <f>IF($BJ40&gt;0,IF(INDEX('Final Calculation Sheet'!$AH$4:$AH$40,$BJ40-3)="","",INDEX('Final Calculation Sheet'!$AH$4:$AH$40,$BJ40-3)),IF(OR($BI40=1,$BL40=1,$BH40&gt;0),"–",""))</f>
        <v/>
      </c>
      <c r="AK41">
        <f>IF($F$3="Lot No.",'Final Calculation Sheet'!$F$40,IF($F$3="Buyer",'Final Calculation Sheet'!$G$40,IF($F$3="Lot Name",'Final Calculation Sheet'!$B$40,IF($F$3="Bid Sheet",'Final Calculation Sheet'!$D$40,IF($F$3="Unit",'Final Calculation Sheet'!$E$40,'Final Calculation Sheet'!$F$40&amp;" "&amp;'Final Calculation Sheet'!$G$40&amp;" "&amp;'Final Calculation Sheet'!$B$40)))))</f>
        <v/>
      </c>
      <c r="AL41">
        <f>AL40+IF($B$3="",0,--(SUMPRODUCT(--($AR$6:$AY$6&lt;&gt;""),--ISNUMBER(SEARCH($AR$6:$AY$6,$AK41)))&gt;0))</f>
        <v/>
      </c>
      <c r="AM41">
        <f>IF(COUNTIF($BM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AZ41">
        <f>IF($B$3="",IF(COUNTIF($A$4:$AI$4,"&lt;&gt;")=0,9,IF($AM41=1,9,10)),IF($AM41=0,10,IF(AND($AR$6&lt;&gt;"",ISNUMBER(SEARCH($AR$6,$AK41))),1,IF(AND($AS$6&lt;&gt;"",ISNUMBER(SEARCH($AS$6,$AK41))),2,IF(AND($AT$6&lt;&gt;"",ISNUMBER(SEARCH($AT$6,$AK41))),3,IF(AND($AU$6&lt;&gt;"",ISNUMBER(SEARCH($AU$6,$AK41))),4,IF(AND($AV$6&lt;&gt;"",ISNUMBER(SEARCH($AV$6,$AK41))),5,IF(AND($AW$6&lt;&gt;"",ISNUMBER(SEARCH($AW$6,$AK41))),6,IF(AND($AX$6&lt;&gt;"",ISNUMBER(SEARCH($AX$6,$AK41))),7,IF(AND($AY$6&lt;&gt;"",ISNUMBER(SEARCH($AY$6,$AK41))),8,0))))))))))</f>
        <v/>
      </c>
      <c r="BA41">
        <f>SUMPRODUCT(($AZ$5:$AZ$41=$AZ41)*($BC$5:$BC$41&lt;$BC41))+1</f>
        <v/>
      </c>
      <c r="BB41">
        <f>IF(INDEX($BF$4:$BF$13,$AZ41)=0,0,INDEX($BE$4:$BE$13,$AZ41)+$BA41-1)</f>
        <v/>
      </c>
      <c r="BC41" t="n">
        <v>40</v>
      </c>
      <c r="BH41">
        <f>IFERROR(MATCH(41,$BF$4:$BF$13,0),0)</f>
        <v/>
      </c>
      <c r="BI41">
        <f>IF(41=$BG$5,1,0)</f>
        <v/>
      </c>
      <c r="BJ41">
        <f>IF(OR($BH41&gt;0,$BI41=1,$BL41=1),0,IFERROR(INDEX($BC$5:$BC$41,MATCH(41,$BB$5:$BB$41,0)),0))</f>
        <v/>
      </c>
      <c r="BK41">
        <f>IF($BJ41&gt;0,IF(INDEX($AZ$5:$AZ$41,MATCH(41,$BB$5:$BB$41,0))=10,1,0),IF($BH41=10,1,0))</f>
        <v/>
      </c>
      <c r="BL41">
        <f>IF(41=$BG$4,1,0)</f>
        <v/>
      </c>
      <c r="BM41">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41">
        <f>IF($B$4="",1,--(OR(SUMPRODUCT(--(TRIM(MID(SUBSTITUTE(SUBSTITUTE($B$4,"/",","),",",REPT(" ",99)),(ROW($1:$8)-1)*99+1,99))&lt;&gt;""),--ISNUMBER(SEARCH(TRIM(MID(SUBSTITUTE(SUBSTITUTE($B$4,"/",","),",",REPT(" ",99)),(ROW($1:$8)-1)*99+1,99)),IFERROR(('Final Calculation Sheet'!$F$40)&amp;"",""))))&gt;0,AND(ISNUMBER(SEARCH("blank",$B$4)),NOT(ISNUMBER(SEARCH("nonblank",$B$4))),IFERROR(('Final Calculation Sheet'!$F$40)&amp;"","")=""),AND(OR(ISNUMBER(SEARCH("nonblank",$B$4)),ISNUMBER(SEARCH("&lt;&gt;",$B$4))),IFERROR(('Final Calculation Sheet'!$F$40)&amp;"","")&lt;&gt;""),AND(TRIM($B$4)="",IFERROR(('Final Calculation Sheet'!$F$40)&amp;"","")=""))))</f>
        <v/>
      </c>
      <c r="BO41">
        <f>IF($CW$3="",1,--(OR(SUMPRODUCT(--(TRIM(MID(SUBSTITUTE(SUBSTITUTE($CW$3,"/",","),",",REPT(" ",99)),(ROW($1:$8)-1)*99+1,99))&lt;&gt;""),--ISNUMBER(SEARCH(TRIM(MID(SUBSTITUTE(SUBSTITUTE($CW$3,"/",","),",",REPT(" ",99)),(ROW($1:$8)-1)*99+1,99)),IFERROR(('Final Calculation Sheet'!$G$40)&amp;"",""))))&gt;0,AND(ISNUMBER(SEARCH("blank",$CW$3)),NOT(ISNUMBER(SEARCH("nonblank",$CW$3))),IFERROR(('Final Calculation Sheet'!$G$40)&amp;"","")=""),AND(OR(ISNUMBER(SEARCH("nonblank",$CW$3)),ISNUMBER(SEARCH("&lt;&gt;",$CW$3))),IFERROR(('Final Calculation Sheet'!$G$40)&amp;"","")&lt;&gt;""),AND(TRIM($CW$3)="",IFERROR(('Final Calculation Sheet'!$G$40)&amp;"","")=""))))</f>
        <v/>
      </c>
      <c r="BP41">
        <f>IF($D$4="",1,--(OR(SUMPRODUCT(--(TRIM(MID(SUBSTITUTE(SUBSTITUTE($D$4,"/",","),",",REPT(" ",99)),(ROW($1:$8)-1)*99+1,99))&lt;&gt;""),--ISNUMBER(SEARCH(TRIM(MID(SUBSTITUTE(SUBSTITUTE($D$4,"/",","),",",REPT(" ",99)),(ROW($1:$8)-1)*99+1,99)),IFERROR(('Final Calculation Sheet'!$B$40)&amp;"",""))))&gt;0,AND(ISNUMBER(SEARCH("blank",$D$4)),NOT(ISNUMBER(SEARCH("nonblank",$D$4))),IFERROR(('Final Calculation Sheet'!$B$40)&amp;"","")=""),AND(OR(ISNUMBER(SEARCH("nonblank",$D$4)),ISNUMBER(SEARCH("&lt;&gt;",$D$4))),IFERROR(('Final Calculation Sheet'!$B$40)&amp;"","")&lt;&gt;""),AND(TRIM($D$4)="",IFERROR(('Final Calculation Sheet'!$B$40)&amp;"","")=""))))</f>
        <v/>
      </c>
      <c r="BQ41">
        <f>IF($E$4="",1,--(OR(SUMPRODUCT(--(TRIM(MID(SUBSTITUTE(SUBSTITUTE($E$4,"/",","),",",REPT(" ",99)),(ROW($1:$8)-1)*99+1,99))&lt;&gt;""),--ISNUMBER(SEARCH(TRIM(MID(SUBSTITUTE(SUBSTITUTE($E$4,"/",","),",",REPT(" ",99)),(ROW($1:$8)-1)*99+1,99)),IFERROR(('Final Calculation Sheet'!$D$40)&amp;"",""))))&gt;0,AND(ISNUMBER(SEARCH("blank",$E$4)),NOT(ISNUMBER(SEARCH("nonblank",$E$4))),IFERROR(('Final Calculation Sheet'!$D$40)&amp;"","")=""),AND(OR(ISNUMBER(SEARCH("nonblank",$E$4)),ISNUMBER(SEARCH("&lt;&gt;",$E$4))),IFERROR(('Final Calculation Sheet'!$D$40)&amp;"","")&lt;&gt;""),AND(TRIM($E$4)="",IFERROR(('Final Calculation Sheet'!$D$40)&amp;"","")=""))))</f>
        <v/>
      </c>
      <c r="BR41">
        <f>IF($F$4="",1,--(OR(SUMPRODUCT(--(TRIM(MID(SUBSTITUTE(SUBSTITUTE($F$4,"/",","),",",REPT(" ",99)),(ROW($1:$8)-1)*99+1,99))&lt;&gt;""),--ISNUMBER(SEARCH(TRIM(MID(SUBSTITUTE(SUBSTITUTE($F$4,"/",","),",",REPT(" ",99)),(ROW($1:$8)-1)*99+1,99)),IFERROR(('Final Calculation Sheet'!$A$40)&amp;"",""))))&gt;0,AND(ISNUMBER(SEARCH("blank",$F$4)),NOT(ISNUMBER(SEARCH("nonblank",$F$4))),IFERROR(('Final Calculation Sheet'!$A$40)&amp;"","")=""),AND(OR(ISNUMBER(SEARCH("nonblank",$F$4)),ISNUMBER(SEARCH("&lt;&gt;",$F$4))),IFERROR(('Final Calculation Sheet'!$A$40)&amp;"","")&lt;&gt;""),AND(TRIM($F$4)="",IFERROR(('Final Calculation Sheet'!$A$40)&amp;"","")=""))))</f>
        <v/>
      </c>
      <c r="BS41">
        <f>IF($G$4="",1,--(OR(SUMPRODUCT(--(TRIM(MID(SUBSTITUTE(SUBSTITUTE($G$4,"/",","),",",REPT(" ",99)),(ROW($1:$8)-1)*99+1,99))&lt;&gt;""),--ISNUMBER(SEARCH(TRIM(MID(SUBSTITUTE(SUBSTITUTE($G$4,"/",","),",",REPT(" ",99)),(ROW($1:$8)-1)*99+1,99)),IFERROR(('Final Calculation Sheet'!$E$40)&amp;"",""))))&gt;0,AND(ISNUMBER(SEARCH("blank",$G$4)),NOT(ISNUMBER(SEARCH("nonblank",$G$4))),IFERROR(('Final Calculation Sheet'!$E$40)&amp;"","")=""),AND(OR(ISNUMBER(SEARCH("nonblank",$G$4)),ISNUMBER(SEARCH("&lt;&gt;",$G$4))),IFERROR(('Final Calculation Sheet'!$E$40)&amp;"","")&lt;&gt;""),AND(TRIM($G$4)="",IFERROR(('Final Calculation Sheet'!$E$40)&amp;"","")=""))))</f>
        <v/>
      </c>
      <c r="BT41">
        <f>IF($H$4="",1,--(OR(SUMPRODUCT(--(TRIM(MID(SUBSTITUTE(SUBSTITUTE($H$4,"/",","),",",REPT(" ",99)),(ROW($1:$8)-1)*99+1,99))&lt;&gt;""),--ISNUMBER(SEARCH(TRIM(MID(SUBSTITUTE(SUBSTITUTE($H$4,"/",","),",",REPT(" ",99)),(ROW($1:$8)-1)*99+1,99)),IFERROR(('Final Calculation Sheet'!$C$40)&amp;"",""))))&gt;0,AND(ISNUMBER(SEARCH("blank",$H$4)),NOT(ISNUMBER(SEARCH("nonblank",$H$4))),IFERROR(('Final Calculation Sheet'!$C$40)&amp;"","")=""),AND(OR(ISNUMBER(SEARCH("nonblank",$H$4)),ISNUMBER(SEARCH("&lt;&gt;",$H$4))),IFERROR(('Final Calculation Sheet'!$C$40)&amp;"","")&lt;&gt;""),AND(TRIM($H$4)="",IFERROR(('Final Calculation Sheet'!$C$40)&amp;"","")=""))))</f>
        <v/>
      </c>
      <c r="BU41">
        <f>IF($I$4="",1,--(OR(SUMPRODUCT(--(TRIM(MID(SUBSTITUTE(SUBSTITUTE($I$4,"/",","),",",REPT(" ",99)),(ROW($1:$8)-1)*99+1,99))&lt;&gt;""),--ISNUMBER(SEARCH(TRIM(MID(SUBSTITUTE(SUBSTITUTE($I$4,"/",","),",",REPT(" ",99)),(ROW($1:$8)-1)*99+1,99)),IFERROR(('Final Calculation Sheet'!$H$40)&amp;"",""))))&gt;0,AND(ISNUMBER(SEARCH("blank",$I$4)),NOT(ISNUMBER(SEARCH("nonblank",$I$4))),IFERROR(('Final Calculation Sheet'!$H$40)&amp;"","")=""),AND(OR(ISNUMBER(SEARCH("nonblank",$I$4)),ISNUMBER(SEARCH("&lt;&gt;",$I$4))),IFERROR(('Final Calculation Sheet'!$H$40)&amp;"","")&lt;&gt;""),AND(TRIM($I$4)="",IFERROR(('Final Calculation Sheet'!$H$40)&amp;"","")=""))))</f>
        <v/>
      </c>
      <c r="BV41">
        <f>IF($J$4="",1,--(OR(SUMPRODUCT(--(TRIM(MID(SUBSTITUTE(SUBSTITUTE($J$4,"/",","),",",REPT(" ",99)),(ROW($1:$8)-1)*99+1,99))&lt;&gt;""),--ISNUMBER(SEARCH(TRIM(MID(SUBSTITUTE(SUBSTITUTE($J$4,"/",","),",",REPT(" ",99)),(ROW($1:$8)-1)*99+1,99)),IFERROR(('Final Calculation Sheet'!$I$40)&amp;"",""))))&gt;0,AND(ISNUMBER(SEARCH("blank",$J$4)),NOT(ISNUMBER(SEARCH("nonblank",$J$4))),IFERROR(('Final Calculation Sheet'!$I$40)&amp;"","")=""),AND(OR(ISNUMBER(SEARCH("nonblank",$J$4)),ISNUMBER(SEARCH("&lt;&gt;",$J$4))),IFERROR(('Final Calculation Sheet'!$I$40)&amp;"","")&lt;&gt;""),AND(TRIM($J$4)="",IFERROR(('Final Calculation Sheet'!$I$40)&amp;"","")=""))))</f>
        <v/>
      </c>
      <c r="BW41">
        <f>IF($K$4="",1,--(OR(SUMPRODUCT(--(TRIM(MID(SUBSTITUTE(SUBSTITUTE($K$4,"/",","),",",REPT(" ",99)),(ROW($1:$8)-1)*99+1,99))&lt;&gt;""),--ISNUMBER(SEARCH(TRIM(MID(SUBSTITUTE(SUBSTITUTE($K$4,"/",","),",",REPT(" ",99)),(ROW($1:$8)-1)*99+1,99)),IFERROR(('Final Calculation Sheet'!$J$40)&amp;"",""))))&gt;0,AND(ISNUMBER(SEARCH("blank",$K$4)),NOT(ISNUMBER(SEARCH("nonblank",$K$4))),IFERROR(('Final Calculation Sheet'!$J$40)&amp;"","")=""),AND(OR(ISNUMBER(SEARCH("nonblank",$K$4)),ISNUMBER(SEARCH("&lt;&gt;",$K$4))),IFERROR(('Final Calculation Sheet'!$J$40)&amp;"","")&lt;&gt;""),AND(TRIM($K$4)="",IFERROR(('Final Calculation Sheet'!$J$40)&amp;"","")=""))))</f>
        <v/>
      </c>
      <c r="BX41">
        <f>IF($L$4="",1,--(OR(SUMPRODUCT(--(TRIM(MID(SUBSTITUTE(SUBSTITUTE($L$4,"/",","),",",REPT(" ",99)),(ROW($1:$8)-1)*99+1,99))&lt;&gt;""),--ISNUMBER(SEARCH(TRIM(MID(SUBSTITUTE(SUBSTITUTE($L$4,"/",","),",",REPT(" ",99)),(ROW($1:$8)-1)*99+1,99)),IFERROR(('Final Calculation Sheet'!$K$40)&amp;"",""))))&gt;0,AND(ISNUMBER(SEARCH("blank",$L$4)),NOT(ISNUMBER(SEARCH("nonblank",$L$4))),IFERROR(('Final Calculation Sheet'!$K$40)&amp;"","")=""),AND(OR(ISNUMBER(SEARCH("nonblank",$L$4)),ISNUMBER(SEARCH("&lt;&gt;",$L$4))),IFERROR(('Final Calculation Sheet'!$K$40)&amp;"","")&lt;&gt;""),AND(TRIM($L$4)="",IFERROR(('Final Calculation Sheet'!$K$40)&amp;"","")=""))))</f>
        <v/>
      </c>
      <c r="BY41">
        <f>IF($M$4="",1,--(OR(SUMPRODUCT(--(TRIM(MID(SUBSTITUTE(SUBSTITUTE($M$4,"/",","),",",REPT(" ",99)),(ROW($1:$8)-1)*99+1,99))&lt;&gt;""),--ISNUMBER(SEARCH(TRIM(MID(SUBSTITUTE(SUBSTITUTE($M$4,"/",","),",",REPT(" ",99)),(ROW($1:$8)-1)*99+1,99)),IFERROR(('Final Calculation Sheet'!$L$40)&amp;"",""))))&gt;0,AND(ISNUMBER(SEARCH("blank",$M$4)),NOT(ISNUMBER(SEARCH("nonblank",$M$4))),IFERROR(('Final Calculation Sheet'!$L$40)&amp;"","")=""),AND(OR(ISNUMBER(SEARCH("nonblank",$M$4)),ISNUMBER(SEARCH("&lt;&gt;",$M$4))),IFERROR(('Final Calculation Sheet'!$L$40)&amp;"","")&lt;&gt;""),AND(TRIM($M$4)="",IFERROR(('Final Calculation Sheet'!$L$40)&amp;"","")=""))))</f>
        <v/>
      </c>
      <c r="BZ41">
        <f>IF($N$4="",1,--(OR(SUMPRODUCT(--(TRIM(MID(SUBSTITUTE(SUBSTITUTE($N$4,"/",","),",",REPT(" ",99)),(ROW($1:$8)-1)*99+1,99))&lt;&gt;""),--ISNUMBER(SEARCH(TRIM(MID(SUBSTITUTE(SUBSTITUTE($N$4,"/",","),",",REPT(" ",99)),(ROW($1:$8)-1)*99+1,99)),IFERROR(('Final Calculation Sheet'!$M$40)&amp;"",""))))&gt;0,AND(ISNUMBER(SEARCH("blank",$N$4)),NOT(ISNUMBER(SEARCH("nonblank",$N$4))),IFERROR(('Final Calculation Sheet'!$M$40)&amp;"","")=""),AND(OR(ISNUMBER(SEARCH("nonblank",$N$4)),ISNUMBER(SEARCH("&lt;&gt;",$N$4))),IFERROR(('Final Calculation Sheet'!$M$40)&amp;"","")&lt;&gt;""),AND(TRIM($N$4)="",IFERROR(('Final Calculation Sheet'!$M$40)&amp;"","")=""))))</f>
        <v/>
      </c>
      <c r="CA41">
        <f>IF($O$4="",1,--(OR(SUMPRODUCT(--(TRIM(MID(SUBSTITUTE(SUBSTITUTE($O$4,"/",","),",",REPT(" ",99)),(ROW($1:$8)-1)*99+1,99))&lt;&gt;""),--ISNUMBER(SEARCH(TRIM(MID(SUBSTITUTE(SUBSTITUTE($O$4,"/",","),",",REPT(" ",99)),(ROW($1:$8)-1)*99+1,99)),IFERROR(('Final Calculation Sheet'!$N$40)&amp;"",""))))&gt;0,AND(ISNUMBER(SEARCH("blank",$O$4)),NOT(ISNUMBER(SEARCH("nonblank",$O$4))),IFERROR(('Final Calculation Sheet'!$N$40)&amp;"","")=""),AND(OR(ISNUMBER(SEARCH("nonblank",$O$4)),ISNUMBER(SEARCH("&lt;&gt;",$O$4))),IFERROR(('Final Calculation Sheet'!$N$40)&amp;"","")&lt;&gt;""),AND(TRIM($O$4)="",IFERROR(('Final Calculation Sheet'!$N$40)&amp;"","")=""))))</f>
        <v/>
      </c>
      <c r="CB41">
        <f>IF($P$4="",1,--(OR(SUMPRODUCT(--(TRIM(MID(SUBSTITUTE(SUBSTITUTE($P$4,"/",","),",",REPT(" ",99)),(ROW($1:$8)-1)*99+1,99))&lt;&gt;""),--ISNUMBER(SEARCH(TRIM(MID(SUBSTITUTE(SUBSTITUTE($P$4,"/",","),",",REPT(" ",99)),(ROW($1:$8)-1)*99+1,99)),IFERROR(('Final Calculation Sheet'!$O$40)&amp;"",""))))&gt;0,AND(ISNUMBER(SEARCH("blank",$P$4)),NOT(ISNUMBER(SEARCH("nonblank",$P$4))),IFERROR(('Final Calculation Sheet'!$O$40)&amp;"","")=""),AND(OR(ISNUMBER(SEARCH("nonblank",$P$4)),ISNUMBER(SEARCH("&lt;&gt;",$P$4))),IFERROR(('Final Calculation Sheet'!$O$40)&amp;"","")&lt;&gt;""),AND(TRIM($P$4)="",IFERROR(('Final Calculation Sheet'!$O$40)&amp;"","")=""))))</f>
        <v/>
      </c>
      <c r="CC41">
        <f>IF($Q$4="",1,--(OR(SUMPRODUCT(--(TRIM(MID(SUBSTITUTE(SUBSTITUTE($Q$4,"/",","),",",REPT(" ",99)),(ROW($1:$8)-1)*99+1,99))&lt;&gt;""),--ISNUMBER(SEARCH(TRIM(MID(SUBSTITUTE(SUBSTITUTE($Q$4,"/",","),",",REPT(" ",99)),(ROW($1:$8)-1)*99+1,99)),IFERROR(('Final Calculation Sheet'!$P$40)&amp;"",""))))&gt;0,AND(ISNUMBER(SEARCH("blank",$Q$4)),NOT(ISNUMBER(SEARCH("nonblank",$Q$4))),IFERROR(('Final Calculation Sheet'!$P$40)&amp;"","")=""),AND(OR(ISNUMBER(SEARCH("nonblank",$Q$4)),ISNUMBER(SEARCH("&lt;&gt;",$Q$4))),IFERROR(('Final Calculation Sheet'!$P$40)&amp;"","")&lt;&gt;""),AND(TRIM($Q$4)="",IFERROR(('Final Calculation Sheet'!$P$40)&amp;"","")=""))))</f>
        <v/>
      </c>
      <c r="CD41">
        <f>IF($R$4="",1,--(OR(SUMPRODUCT(--(TRIM(MID(SUBSTITUTE(SUBSTITUTE($R$4,"/",","),",",REPT(" ",99)),(ROW($1:$8)-1)*99+1,99))&lt;&gt;""),--ISNUMBER(SEARCH(TRIM(MID(SUBSTITUTE(SUBSTITUTE($R$4,"/",","),",",REPT(" ",99)),(ROW($1:$8)-1)*99+1,99)),IFERROR(('Final Calculation Sheet'!$Q$40)&amp;"",""))))&gt;0,AND(ISNUMBER(SEARCH("blank",$R$4)),NOT(ISNUMBER(SEARCH("nonblank",$R$4))),IFERROR(('Final Calculation Sheet'!$Q$40)&amp;"","")=""),AND(OR(ISNUMBER(SEARCH("nonblank",$R$4)),ISNUMBER(SEARCH("&lt;&gt;",$R$4))),IFERROR(('Final Calculation Sheet'!$Q$40)&amp;"","")&lt;&gt;""),AND(TRIM($R$4)="",IFERROR(('Final Calculation Sheet'!$Q$40)&amp;"","")=""))))</f>
        <v/>
      </c>
      <c r="CE41">
        <f>IF($S$4="",1,--(OR(SUMPRODUCT(--(TRIM(MID(SUBSTITUTE(SUBSTITUTE($S$4,"/",","),",",REPT(" ",99)),(ROW($1:$8)-1)*99+1,99))&lt;&gt;""),--ISNUMBER(SEARCH(TRIM(MID(SUBSTITUTE(SUBSTITUTE($S$4,"/",","),",",REPT(" ",99)),(ROW($1:$8)-1)*99+1,99)),IFERROR(('Final Calculation Sheet'!$R$40)&amp;"",""))))&gt;0,AND(ISNUMBER(SEARCH("blank",$S$4)),NOT(ISNUMBER(SEARCH("nonblank",$S$4))),IFERROR(('Final Calculation Sheet'!$R$40)&amp;"","")=""),AND(OR(ISNUMBER(SEARCH("nonblank",$S$4)),ISNUMBER(SEARCH("&lt;&gt;",$S$4))),IFERROR(('Final Calculation Sheet'!$R$40)&amp;"","")&lt;&gt;""),AND(TRIM($S$4)="",IFERROR(('Final Calculation Sheet'!$R$40)&amp;"","")=""))))</f>
        <v/>
      </c>
      <c r="CF41">
        <f>IF($T$4="",1,--(OR(SUMPRODUCT(--(TRIM(MID(SUBSTITUTE(SUBSTITUTE($T$4,"/",","),",",REPT(" ",99)),(ROW($1:$8)-1)*99+1,99))&lt;&gt;""),--ISNUMBER(SEARCH(TRIM(MID(SUBSTITUTE(SUBSTITUTE($T$4,"/",","),",",REPT(" ",99)),(ROW($1:$8)-1)*99+1,99)),IFERROR(('Final Calculation Sheet'!$S$40)&amp;"",""))))&gt;0,AND(ISNUMBER(SEARCH("blank",$T$4)),NOT(ISNUMBER(SEARCH("nonblank",$T$4))),IFERROR(('Final Calculation Sheet'!$S$40)&amp;"","")=""),AND(OR(ISNUMBER(SEARCH("nonblank",$T$4)),ISNUMBER(SEARCH("&lt;&gt;",$T$4))),IFERROR(('Final Calculation Sheet'!$S$40)&amp;"","")&lt;&gt;""),AND(TRIM($T$4)="",IFERROR(('Final Calculation Sheet'!$S$40)&amp;"","")=""))))</f>
        <v/>
      </c>
      <c r="CG41">
        <f>IF($U$4="",1,--(OR(SUMPRODUCT(--(TRIM(MID(SUBSTITUTE(SUBSTITUTE($U$4,"/",","),",",REPT(" ",99)),(ROW($1:$8)-1)*99+1,99))&lt;&gt;""),--ISNUMBER(SEARCH(TRIM(MID(SUBSTITUTE(SUBSTITUTE($U$4,"/",","),",",REPT(" ",99)),(ROW($1:$8)-1)*99+1,99)),IFERROR(('Final Calculation Sheet'!$T$40)&amp;"",""))))&gt;0,AND(ISNUMBER(SEARCH("blank",$U$4)),NOT(ISNUMBER(SEARCH("nonblank",$U$4))),IFERROR(('Final Calculation Sheet'!$T$40)&amp;"","")=""),AND(OR(ISNUMBER(SEARCH("nonblank",$U$4)),ISNUMBER(SEARCH("&lt;&gt;",$U$4))),IFERROR(('Final Calculation Sheet'!$T$40)&amp;"","")&lt;&gt;""),AND(TRIM($U$4)="",IFERROR(('Final Calculation Sheet'!$T$40)&amp;"","")=""))))</f>
        <v/>
      </c>
      <c r="CH41">
        <f>IF($V$4="",1,--(OR(SUMPRODUCT(--(TRIM(MID(SUBSTITUTE(SUBSTITUTE($V$4,"/",","),",",REPT(" ",99)),(ROW($1:$8)-1)*99+1,99))&lt;&gt;""),--ISNUMBER(SEARCH(TRIM(MID(SUBSTITUTE(SUBSTITUTE($V$4,"/",","),",",REPT(" ",99)),(ROW($1:$8)-1)*99+1,99)),IFERROR(('Final Calculation Sheet'!$U$40)&amp;"",""))))&gt;0,AND(ISNUMBER(SEARCH("blank",$V$4)),NOT(ISNUMBER(SEARCH("nonblank",$V$4))),IFERROR(('Final Calculation Sheet'!$U$40)&amp;"","")=""),AND(OR(ISNUMBER(SEARCH("nonblank",$V$4)),ISNUMBER(SEARCH("&lt;&gt;",$V$4))),IFERROR(('Final Calculation Sheet'!$U$40)&amp;"","")&lt;&gt;""),AND(TRIM($V$4)="",IFERROR(('Final Calculation Sheet'!$U$40)&amp;"","")=""))))</f>
        <v/>
      </c>
      <c r="CI41">
        <f>IF($W$4="",1,--(OR(SUMPRODUCT(--(TRIM(MID(SUBSTITUTE(SUBSTITUTE($W$4,"/",","),",",REPT(" ",99)),(ROW($1:$8)-1)*99+1,99))&lt;&gt;""),--ISNUMBER(SEARCH(TRIM(MID(SUBSTITUTE(SUBSTITUTE($W$4,"/",","),",",REPT(" ",99)),(ROW($1:$8)-1)*99+1,99)),IFERROR(('Final Calculation Sheet'!$V$40)&amp;"",""))))&gt;0,AND(ISNUMBER(SEARCH("blank",$W$4)),NOT(ISNUMBER(SEARCH("nonblank",$W$4))),IFERROR(('Final Calculation Sheet'!$V$40)&amp;"","")=""),AND(OR(ISNUMBER(SEARCH("nonblank",$W$4)),ISNUMBER(SEARCH("&lt;&gt;",$W$4))),IFERROR(('Final Calculation Sheet'!$V$40)&amp;"","")&lt;&gt;""),AND(TRIM($W$4)="",IFERROR(('Final Calculation Sheet'!$V$40)&amp;"","")=""))))</f>
        <v/>
      </c>
      <c r="CJ41">
        <f>IF($X$4="",1,--(OR(SUMPRODUCT(--(TRIM(MID(SUBSTITUTE(SUBSTITUTE($X$4,"/",","),",",REPT(" ",99)),(ROW($1:$8)-1)*99+1,99))&lt;&gt;""),--ISNUMBER(SEARCH(TRIM(MID(SUBSTITUTE(SUBSTITUTE($X$4,"/",","),",",REPT(" ",99)),(ROW($1:$8)-1)*99+1,99)),IFERROR(('Final Calculation Sheet'!$W$40)&amp;"",""))))&gt;0,AND(ISNUMBER(SEARCH("blank",$X$4)),NOT(ISNUMBER(SEARCH("nonblank",$X$4))),IFERROR(('Final Calculation Sheet'!$W$40)&amp;"","")=""),AND(OR(ISNUMBER(SEARCH("nonblank",$X$4)),ISNUMBER(SEARCH("&lt;&gt;",$X$4))),IFERROR(('Final Calculation Sheet'!$W$40)&amp;"","")&lt;&gt;""),AND(TRIM($X$4)="",IFERROR(('Final Calculation Sheet'!$W$40)&amp;"","")=""))))</f>
        <v/>
      </c>
      <c r="CK41">
        <f>IF($Y$4="",1,--(OR(SUMPRODUCT(--(TRIM(MID(SUBSTITUTE(SUBSTITUTE($Y$4,"/",","),",",REPT(" ",99)),(ROW($1:$8)-1)*99+1,99))&lt;&gt;""),--ISNUMBER(SEARCH(TRIM(MID(SUBSTITUTE(SUBSTITUTE($Y$4,"/",","),",",REPT(" ",99)),(ROW($1:$8)-1)*99+1,99)),IFERROR(('Final Calculation Sheet'!$X$40)&amp;"",""))))&gt;0,AND(ISNUMBER(SEARCH("blank",$Y$4)),NOT(ISNUMBER(SEARCH("nonblank",$Y$4))),IFERROR(('Final Calculation Sheet'!$X$40)&amp;"","")=""),AND(OR(ISNUMBER(SEARCH("nonblank",$Y$4)),ISNUMBER(SEARCH("&lt;&gt;",$Y$4))),IFERROR(('Final Calculation Sheet'!$X$40)&amp;"","")&lt;&gt;""),AND(TRIM($Y$4)="",IFERROR(('Final Calculation Sheet'!$X$40)&amp;"","")=""))))</f>
        <v/>
      </c>
      <c r="CL41">
        <f>IF($Z$4="",1,--(OR(SUMPRODUCT(--(TRIM(MID(SUBSTITUTE(SUBSTITUTE($Z$4,"/",","),",",REPT(" ",99)),(ROW($1:$8)-1)*99+1,99))&lt;&gt;""),--ISNUMBER(SEARCH(TRIM(MID(SUBSTITUTE(SUBSTITUTE($Z$4,"/",","),",",REPT(" ",99)),(ROW($1:$8)-1)*99+1,99)),IFERROR(('Final Calculation Sheet'!$Y$40)&amp;"",""))))&gt;0,AND(ISNUMBER(SEARCH("blank",$Z$4)),NOT(ISNUMBER(SEARCH("nonblank",$Z$4))),IFERROR(('Final Calculation Sheet'!$Y$40)&amp;"","")=""),AND(OR(ISNUMBER(SEARCH("nonblank",$Z$4)),ISNUMBER(SEARCH("&lt;&gt;",$Z$4))),IFERROR(('Final Calculation Sheet'!$Y$40)&amp;"","")&lt;&gt;""),AND(TRIM($Z$4)="",IFERROR(('Final Calculation Sheet'!$Y$40)&amp;"","")=""))))</f>
        <v/>
      </c>
      <c r="CM41">
        <f>IF($AA$4="",1,--(OR(SUMPRODUCT(--(TRIM(MID(SUBSTITUTE(SUBSTITUTE($AA$4,"/",","),",",REPT(" ",99)),(ROW($1:$8)-1)*99+1,99))&lt;&gt;""),--ISNUMBER(SEARCH(TRIM(MID(SUBSTITUTE(SUBSTITUTE($AA$4,"/",","),",",REPT(" ",99)),(ROW($1:$8)-1)*99+1,99)),IFERROR(('Final Calculation Sheet'!$Z$40)&amp;"",""))))&gt;0,AND(ISNUMBER(SEARCH("blank",$AA$4)),NOT(ISNUMBER(SEARCH("nonblank",$AA$4))),IFERROR(('Final Calculation Sheet'!$Z$40)&amp;"","")=""),AND(OR(ISNUMBER(SEARCH("nonblank",$AA$4)),ISNUMBER(SEARCH("&lt;&gt;",$AA$4))),IFERROR(('Final Calculation Sheet'!$Z$40)&amp;"","")&lt;&gt;""),AND(TRIM($AA$4)="",IFERROR(('Final Calculation Sheet'!$Z$40)&amp;"","")=""))))</f>
        <v/>
      </c>
      <c r="CN41">
        <f>IF($AB$4="",1,--(OR(SUMPRODUCT(--(TRIM(MID(SUBSTITUTE(SUBSTITUTE($AB$4,"/",","),",",REPT(" ",99)),(ROW($1:$8)-1)*99+1,99))&lt;&gt;""),--ISNUMBER(SEARCH(TRIM(MID(SUBSTITUTE(SUBSTITUTE($AB$4,"/",","),",",REPT(" ",99)),(ROW($1:$8)-1)*99+1,99)),IFERROR(('Final Calculation Sheet'!$AA$40)&amp;"",""))))&gt;0,AND(ISNUMBER(SEARCH("blank",$AB$4)),NOT(ISNUMBER(SEARCH("nonblank",$AB$4))),IFERROR(('Final Calculation Sheet'!$AA$40)&amp;"","")=""),AND(OR(ISNUMBER(SEARCH("nonblank",$AB$4)),ISNUMBER(SEARCH("&lt;&gt;",$AB$4))),IFERROR(('Final Calculation Sheet'!$AA$40)&amp;"","")&lt;&gt;""),AND(TRIM($AB$4)="",IFERROR(('Final Calculation Sheet'!$AA$40)&amp;"","")=""))))</f>
        <v/>
      </c>
      <c r="CO41">
        <f>IF($AC$4="",1,--(OR(SUMPRODUCT(--(TRIM(MID(SUBSTITUTE(SUBSTITUTE($AC$4,"/",","),",",REPT(" ",99)),(ROW($1:$8)-1)*99+1,99))&lt;&gt;""),--ISNUMBER(SEARCH(TRIM(MID(SUBSTITUTE(SUBSTITUTE($AC$4,"/",","),",",REPT(" ",99)),(ROW($1:$8)-1)*99+1,99)),IFERROR(('Final Calculation Sheet'!$AB$40)&amp;"",""))))&gt;0,AND(ISNUMBER(SEARCH("blank",$AC$4)),NOT(ISNUMBER(SEARCH("nonblank",$AC$4))),IFERROR(('Final Calculation Sheet'!$AB$40)&amp;"","")=""),AND(OR(ISNUMBER(SEARCH("nonblank",$AC$4)),ISNUMBER(SEARCH("&lt;&gt;",$AC$4))),IFERROR(('Final Calculation Sheet'!$AB$40)&amp;"","")&lt;&gt;""),AND(TRIM($AC$4)="",IFERROR(('Final Calculation Sheet'!$AB$40)&amp;"","")=""))))</f>
        <v/>
      </c>
      <c r="CP41">
        <f>IF($AD$4="",1,--(OR(SUMPRODUCT(--(TRIM(MID(SUBSTITUTE(SUBSTITUTE($AD$4,"/",","),",",REPT(" ",99)),(ROW($1:$8)-1)*99+1,99))&lt;&gt;""),--ISNUMBER(SEARCH(TRIM(MID(SUBSTITUTE(SUBSTITUTE($AD$4,"/",","),",",REPT(" ",99)),(ROW($1:$8)-1)*99+1,99)),IFERROR(('Final Calculation Sheet'!$AC$40)&amp;"",""))))&gt;0,AND(ISNUMBER(SEARCH("blank",$AD$4)),NOT(ISNUMBER(SEARCH("nonblank",$AD$4))),IFERROR(('Final Calculation Sheet'!$AC$40)&amp;"","")=""),AND(OR(ISNUMBER(SEARCH("nonblank",$AD$4)),ISNUMBER(SEARCH("&lt;&gt;",$AD$4))),IFERROR(('Final Calculation Sheet'!$AC$40)&amp;"","")&lt;&gt;""),AND(TRIM($AD$4)="",IFERROR(('Final Calculation Sheet'!$AC$40)&amp;"","")=""))))</f>
        <v/>
      </c>
      <c r="CQ41">
        <f>IF($AE$4="",1,--(OR(SUMPRODUCT(--(TRIM(MID(SUBSTITUTE(SUBSTITUTE($AE$4,"/",","),",",REPT(" ",99)),(ROW($1:$8)-1)*99+1,99))&lt;&gt;""),--ISNUMBER(SEARCH(TRIM(MID(SUBSTITUTE(SUBSTITUTE($AE$4,"/",","),",",REPT(" ",99)),(ROW($1:$8)-1)*99+1,99)),IFERROR(('Final Calculation Sheet'!$AD$40)&amp;"",""))))&gt;0,AND(ISNUMBER(SEARCH("blank",$AE$4)),NOT(ISNUMBER(SEARCH("nonblank",$AE$4))),IFERROR(('Final Calculation Sheet'!$AD$40)&amp;"","")=""),AND(OR(ISNUMBER(SEARCH("nonblank",$AE$4)),ISNUMBER(SEARCH("&lt;&gt;",$AE$4))),IFERROR(('Final Calculation Sheet'!$AD$40)&amp;"","")&lt;&gt;""),AND(TRIM($AE$4)="",IFERROR(('Final Calculation Sheet'!$AD$40)&amp;"","")=""))))</f>
        <v/>
      </c>
      <c r="CR41">
        <f>IF($AG$4="",1,--(OR(SUMPRODUCT(--(TRIM(MID(SUBSTITUTE(SUBSTITUTE($AG$4,"/",","),",",REPT(" ",99)),(ROW($1:$8)-1)*99+1,99))&lt;&gt;""),--ISNUMBER(SEARCH(TRIM(MID(SUBSTITUTE(SUBSTITUTE($AG$4,"/",","),",",REPT(" ",99)),(ROW($1:$8)-1)*99+1,99)),IFERROR(('Final Calculation Sheet'!$AF$40)&amp;"",""))))&gt;0,AND(ISNUMBER(SEARCH("blank",$AG$4)),NOT(ISNUMBER(SEARCH("nonblank",$AG$4))),IFERROR(('Final Calculation Sheet'!$AF$40)&amp;"","")=""),AND(OR(ISNUMBER(SEARCH("nonblank",$AG$4)),ISNUMBER(SEARCH("&lt;&gt;",$AG$4))),IFERROR(('Final Calculation Sheet'!$AF$40)&amp;"","")&lt;&gt;""),AND(TRIM($AG$4)="",IFERROR(('Final Calculation Sheet'!$AF$40)&amp;"","")=""))))</f>
        <v/>
      </c>
      <c r="CS41">
        <f>IF($AH$4="",1,--(OR(SUMPRODUCT(--(TRIM(MID(SUBSTITUTE(SUBSTITUTE($AH$4,"/",","),",",REPT(" ",99)),(ROW($1:$8)-1)*99+1,99))&lt;&gt;""),--ISNUMBER(SEARCH(TRIM(MID(SUBSTITUTE(SUBSTITUTE($AH$4,"/",","),",",REPT(" ",99)),(ROW($1:$8)-1)*99+1,99)),IFERROR(('Final Calculation Sheet'!$AG$40)&amp;"",""))))&gt;0,AND(ISNUMBER(SEARCH("blank",$AH$4)),NOT(ISNUMBER(SEARCH("nonblank",$AH$4))),IFERROR(('Final Calculation Sheet'!$AG$40)&amp;"","")=""),AND(OR(ISNUMBER(SEARCH("nonblank",$AH$4)),ISNUMBER(SEARCH("&lt;&gt;",$AH$4))),IFERROR(('Final Calculation Sheet'!$AG$40)&amp;"","")&lt;&gt;""),AND(TRIM($AH$4)="",IFERROR(('Final Calculation Sheet'!$AG$40)&amp;"","")=""))))</f>
        <v/>
      </c>
      <c r="CT41">
        <f>IF($AI$4="",1,--(OR(SUMPRODUCT(--(TRIM(MID(SUBSTITUTE(SUBSTITUTE($AI$4,"/",","),",",REPT(" ",99)),(ROW($1:$8)-1)*99+1,99))&lt;&gt;""),--ISNUMBER(SEARCH(TRIM(MID(SUBSTITUTE(SUBSTITUTE($AI$4,"/",","),",",REPT(" ",99)),(ROW($1:$8)-1)*99+1,99)),IFERROR(('Final Calculation Sheet'!$AH$40)&amp;"",""))))&gt;0,AND(ISNUMBER(SEARCH("blank",$AI$4)),NOT(ISNUMBER(SEARCH("nonblank",$AI$4))),IFERROR(('Final Calculation Sheet'!$AH$40)&amp;"","")=""),AND(OR(ISNUMBER(SEARCH("nonblank",$AI$4)),ISNUMBER(SEARCH("&lt;&gt;",$AI$4))),IFERROR(('Final Calculation Sheet'!$AH$40)&amp;"","")&lt;&gt;""),AND(TRIM($AI$4)="",IFERROR(('Final Calculation Sheet'!$AH$40)&amp;"","")=""))))</f>
        <v/>
      </c>
      <c r="CU41">
        <f>IF($AF$4="",1,--(OR(SUMPRODUCT(--(TRIM(MID(SUBSTITUTE(SUBSTITUTE($AF$4,"/",","),",",REPT(" ",99)),(ROW($1:$8)-1)*99+1,99))&lt;&gt;""),--ISNUMBER(SEARCH(TRIM(MID(SUBSTITUTE(SUBSTITUTE($AF$4,"/",","),",",REPT(" ",99)),(ROW($1:$8)-1)*99+1,99)),IFERROR((IF('Final Calculation Sheet'!$AD$40&lt;=5,"SETTLED","OUTSTANDING"))&amp;"",""))))&gt;0,AND(ISNUMBER(SEARCH("blank",$AF$4)),NOT(ISNUMBER(SEARCH("nonblank",$AF$4))),IFERROR((IF('Final Calculation Sheet'!$AD$40&lt;=5,"SETTLED","OUTSTANDING"))&amp;"","")=""),AND(OR(ISNUMBER(SEARCH("nonblank",$AF$4)),ISNUMBER(SEARCH("&lt;&gt;",$AF$4))),IFERROR((IF('Final Calculation Sheet'!$AD$40&lt;=5,"SETTLED","OUTSTANDING"))&amp;"","")&lt;&gt;""),AND(TRIM($AF$4)="",IFERROR((IF('Final Calculation Sheet'!$AD$40&lt;=5,"SETTLED","OUTSTANDING"))&amp;"","")=""))))</f>
        <v/>
      </c>
    </row>
    <row r="42" ht="15" customHeight="1" s="137">
      <c r="A42" s="67">
        <f>IF($BJ41&gt;0,INDEX($BA$5:$BA$41,MATCH(41,$BB$5:$BB$41,0)),IF(OR($BI41=1,$BL41=1,$BH41&gt;0),"∑",""))</f>
        <v/>
      </c>
      <c r="B42" s="76">
        <f>IF($BJ41&gt;0,IF(INDEX('Final Calculation Sheet'!$F$4:$F$40,$BJ41-3)="","",INDEX('Final Calculation Sheet'!$F$4:$F$40,$BJ41-3)),"")</f>
        <v/>
      </c>
      <c r="C42" s="76">
        <f>IF($BJ41&gt;0,IF(INDEX('Final Calculation Sheet'!$G$4:$G$40,$BJ41-3)="","",INDEX('Final Calculation Sheet'!$G$4:$G$40,$BJ41-3)),IF(OR($BI41=1,$BL41=1,$BH41&gt;0),IF($BI41=1,37,IF($BL41=1,37-INDEX($BD$4:$BD$13,10),INDEX($BD$4:$BD$13,$BH41)))&amp;" lot(s)",""))</f>
        <v/>
      </c>
      <c r="D42" s="80">
        <f>IF($BJ41&gt;0,IF(INDEX('Final Calculation Sheet'!$B$4:$B$40,$BJ41-3)="","",INDEX('Final Calculation Sheet'!$B$4:$B$40,$BJ41-3)),IF(OR($BI41=1,$BL41=1,$BH41&gt;0),IF($BI41=1,"GRAND TOTAL  —  matching + remaining",IF($BL41=1,"TOTAL MATCHED  —  every group together",IF($BH41=10,"REMAINING  —  did not match the search",IF($BH41=9,IF(COUNTIF($A$4:$AI$4,"&lt;&gt;")&gt;0,"FILTERED LOTS  —  column fields","ALL LOTS  —  nothing typed in the box"),"GROUP "&amp;$BH41&amp;" TOTAL  —  lots matching  "&amp;INDEX($AR$6:$AY$6,$BH41))))),""))</f>
        <v/>
      </c>
      <c r="E42" s="80">
        <f>IF($BJ41&gt;0,IF(INDEX('Final Calculation Sheet'!$D$4:$D$40,$BJ41-3)="","",INDEX('Final Calculation Sheet'!$D$4:$D$40,$BJ41-3)),IF(OR($BI41=1,$BL41=1,$BH41&gt;0),"–",""))</f>
        <v/>
      </c>
      <c r="F42" s="80">
        <f>IF($BJ41&gt;0,IF(INDEX('Final Calculation Sheet'!$A$4:$A$40,$BJ41-3)="","",INDEX('Final Calculation Sheet'!$A$4:$A$40,$BJ41-3)),IF(OR($BI41=1,$BL41=1,$BH41&gt;0),IF($BI41=1,SUM('Final Calculation Sheet'!$A$4:$A$40),IF($BL41=1,SUM('Final Calculation Sheet'!$A$4:$A$40)-SUMIFS('Final Calculation Sheet'!$A$4:$A$40,$AZ$5:$AZ$41,10),SUMIFS('Final Calculation Sheet'!$A$4:$A$40,$AZ$5:$AZ$41,$BH41))),""))</f>
        <v/>
      </c>
      <c r="G42" s="80">
        <f>IF($BJ41&gt;0,IF(INDEX('Final Calculation Sheet'!$E$4:$E$40,$BJ41-3)="","",INDEX('Final Calculation Sheet'!$E$4:$E$40,$BJ41-3)),IF(OR($BI41=1,$BL41=1,$BH41&gt;0),"–",""))</f>
        <v/>
      </c>
      <c r="H42" s="70">
        <f>IF($BJ41&gt;0,IF(INDEX('Final Calculation Sheet'!$C$4:$C$40,$BJ41-3)="","",INDEX('Final Calculation Sheet'!$C$4:$C$40,$BJ41-3)),IF(OR($BI41=1,$BL41=1,$BH41&gt;0),"–",""))</f>
        <v/>
      </c>
      <c r="I42" s="70">
        <f>IF($BJ41&gt;0,IF(INDEX('Final Calculation Sheet'!$H$4:$H$40,$BJ41-3)="","",INDEX('Final Calculation Sheet'!$H$4:$H$40,$BJ41-3)),IF(OR($BI41=1,$BL41=1,$BH41&gt;0),IF($BI41=1,SUM('Final Calculation Sheet'!$H$4:$H$40),IF($BL41=1,SUM('Final Calculation Sheet'!$H$4:$H$40)-SUMIFS('Final Calculation Sheet'!$H$4:$H$40,$AZ$5:$AZ$41,10),SUMIFS('Final Calculation Sheet'!$H$4:$H$40,$AZ$5:$AZ$41,$BH41))),""))</f>
        <v/>
      </c>
      <c r="J42" s="70">
        <f>IF($BJ41&gt;0,IF(INDEX('Final Calculation Sheet'!$I$4:$I$40,$BJ41-3)="","",INDEX('Final Calculation Sheet'!$I$4:$I$40,$BJ41-3)),IF(OR($BI41=1,$BL41=1,$BH41&gt;0),IF($BI41=1,SUM('Final Calculation Sheet'!$I$4:$I$40),IF($BL41=1,SUM('Final Calculation Sheet'!$I$4:$I$40)-SUMIFS('Final Calculation Sheet'!$I$4:$I$40,$AZ$5:$AZ$41,10),SUMIFS('Final Calculation Sheet'!$I$4:$I$40,$AZ$5:$AZ$41,$BH41))),""))</f>
        <v/>
      </c>
      <c r="K42" s="70">
        <f>IF($BJ41&gt;0,IF(INDEX('Final Calculation Sheet'!$J$4:$J$40,$BJ41-3)="","",INDEX('Final Calculation Sheet'!$J$4:$J$40,$BJ41-3)),IF(OR($BI41=1,$BL41=1,$BH41&gt;0),IF($BI41=1,SUM('Final Calculation Sheet'!$J$4:$J$40),IF($BL41=1,SUM('Final Calculation Sheet'!$J$4:$J$40)-SUMIFS('Final Calculation Sheet'!$J$4:$J$40,$AZ$5:$AZ$41,10),SUMIFS('Final Calculation Sheet'!$J$4:$J$40,$AZ$5:$AZ$41,$BH41))),""))</f>
        <v/>
      </c>
      <c r="L42" s="70">
        <f>IF($BJ41&gt;0,IF(INDEX('Final Calculation Sheet'!$K$4:$K$40,$BJ41-3)="","",INDEX('Final Calculation Sheet'!$K$4:$K$40,$BJ41-3)),IF(OR($BI41=1,$BL41=1,$BH41&gt;0),IF($BI41=1,SUM('Final Calculation Sheet'!$K$4:$K$40),IF($BL41=1,SUM('Final Calculation Sheet'!$K$4:$K$40)-SUMIFS('Final Calculation Sheet'!$K$4:$K$40,$AZ$5:$AZ$41,10),SUMIFS('Final Calculation Sheet'!$K$4:$K$40,$AZ$5:$AZ$41,$BH41))),""))</f>
        <v/>
      </c>
      <c r="M42" s="70">
        <f>IF($BJ41&gt;0,IF(INDEX('Final Calculation Sheet'!$L$4:$L$40,$BJ41-3)="","",INDEX('Final Calculation Sheet'!$L$4:$L$40,$BJ41-3)),IF(OR($BI41=1,$BL41=1,$BH41&gt;0),IF($BI41=1,SUM('Final Calculation Sheet'!$L$4:$L$40),IF($BL41=1,SUM('Final Calculation Sheet'!$L$4:$L$40)-SUMIFS('Final Calculation Sheet'!$L$4:$L$40,$AZ$5:$AZ$41,10),SUMIFS('Final Calculation Sheet'!$L$4:$L$40,$AZ$5:$AZ$41,$BH41))),""))</f>
        <v/>
      </c>
      <c r="N42" s="70">
        <f>IF($BJ41&gt;0,IF(INDEX('Final Calculation Sheet'!$M$4:$M$40,$BJ41-3)="","",INDEX('Final Calculation Sheet'!$M$4:$M$40,$BJ41-3)),IF(OR($BI41=1,$BL41=1,$BH41&gt;0),IF($BI41=1,SUM('Final Calculation Sheet'!$M$4:$M$40),IF($BL41=1,SUM('Final Calculation Sheet'!$M$4:$M$40)-SUMIFS('Final Calculation Sheet'!$M$4:$M$40,$AZ$5:$AZ$41,10),SUMIFS('Final Calculation Sheet'!$M$4:$M$40,$AZ$5:$AZ$41,$BH41))),""))</f>
        <v/>
      </c>
      <c r="O42" s="71">
        <f>IF($BJ41&gt;0,IF(INDEX('Final Calculation Sheet'!$N$4:$N$40,$BJ41-3)="","",INDEX('Final Calculation Sheet'!$N$4:$N$40,$BJ41-3)),IF(OR($BI41=1,$BL41=1,$BH41&gt;0),IF($BI41=1,SUM('Final Calculation Sheet'!$N$4:$N$40),IF($BL41=1,SUM('Final Calculation Sheet'!$N$4:$N$40)-SUMIFS('Final Calculation Sheet'!$N$4:$N$40,$AZ$5:$AZ$41,10),SUMIFS('Final Calculation Sheet'!$N$4:$N$40,$AZ$5:$AZ$41,$BH41))),""))</f>
        <v/>
      </c>
      <c r="P42" s="70">
        <f>IF($BJ41&gt;0,IF(INDEX('Final Calculation Sheet'!$O$4:$O$40,$BJ41-3)="","",INDEX('Final Calculation Sheet'!$O$4:$O$40,$BJ41-3)),IF(OR($BI41=1,$BL41=1,$BH41&gt;0),IF($BI41=1,SUM('Final Calculation Sheet'!$O$4:$O$40),IF($BL41=1,SUM('Final Calculation Sheet'!$O$4:$O$40)-SUMIFS('Final Calculation Sheet'!$O$4:$O$40,$AZ$5:$AZ$41,10),SUMIFS('Final Calculation Sheet'!$O$4:$O$40,$AZ$5:$AZ$41,$BH41))),""))</f>
        <v/>
      </c>
      <c r="Q42" s="70">
        <f>IF($BJ41&gt;0,IF(INDEX('Final Calculation Sheet'!$P$4:$P$40,$BJ41-3)="","",INDEX('Final Calculation Sheet'!$P$4:$P$40,$BJ41-3)),IF(OR($BI41=1,$BL41=1,$BH41&gt;0),IF($BI41=1,SUM('Final Calculation Sheet'!$P$4:$P$40),IF($BL41=1,SUM('Final Calculation Sheet'!$P$4:$P$40)-SUMIFS('Final Calculation Sheet'!$P$4:$P$40,$AZ$5:$AZ$41,10),SUMIFS('Final Calculation Sheet'!$P$4:$P$40,$AZ$5:$AZ$41,$BH41))),""))</f>
        <v/>
      </c>
      <c r="R42" s="72">
        <f>IF($BJ41&gt;0,IF(INDEX('Final Calculation Sheet'!$Q$4:$Q$40,$BJ41-3)="","",INDEX('Final Calculation Sheet'!$Q$4:$Q$40,$BJ41-3)),IF(OR($BI41=1,$BL41=1,$BH41&gt;0),"–",""))</f>
        <v/>
      </c>
      <c r="S42" s="70">
        <f>IF($BJ41&gt;0,IF(INDEX('Final Calculation Sheet'!$R$4:$R$40,$BJ41-3)="","",INDEX('Final Calculation Sheet'!$R$4:$R$40,$BJ41-3)),IF(OR($BI41=1,$BL41=1,$BH41&gt;0),IF($BI41=1,SUM('Final Calculation Sheet'!$R$4:$R$40),IF($BL41=1,SUM('Final Calculation Sheet'!$R$4:$R$40)-SUMIFS('Final Calculation Sheet'!$R$4:$R$40,$AZ$5:$AZ$41,10),SUMIFS('Final Calculation Sheet'!$R$4:$R$40,$AZ$5:$AZ$41,$BH41))),""))</f>
        <v/>
      </c>
      <c r="T42" s="70">
        <f>IF($BJ41&gt;0,IF(INDEX('Final Calculation Sheet'!$S$4:$S$40,$BJ41-3)="","",INDEX('Final Calculation Sheet'!$S$4:$S$40,$BJ41-3)),IF(OR($BI41=1,$BL41=1,$BH41&gt;0),IF($BI41=1,SUM('Final Calculation Sheet'!$S$4:$S$40),IF($BL41=1,SUM('Final Calculation Sheet'!$S$4:$S$40)-SUMIFS('Final Calculation Sheet'!$S$4:$S$40,$AZ$5:$AZ$41,10),SUMIFS('Final Calculation Sheet'!$S$4:$S$40,$AZ$5:$AZ$41,$BH41))),""))</f>
        <v/>
      </c>
      <c r="U42" s="70">
        <f>IF($BJ41&gt;0,IF(INDEX('Final Calculation Sheet'!$T$4:$T$40,$BJ41-3)="","",INDEX('Final Calculation Sheet'!$T$4:$T$40,$BJ41-3)),IF(OR($BI41=1,$BL41=1,$BH41&gt;0),IF($BI41=1,SUM('Final Calculation Sheet'!$T$4:$T$40),IF($BL41=1,SUM('Final Calculation Sheet'!$T$4:$T$40)-SUMIFS('Final Calculation Sheet'!$T$4:$T$40,$AZ$5:$AZ$41,10),SUMIFS('Final Calculation Sheet'!$T$4:$T$40,$AZ$5:$AZ$41,$BH41))),""))</f>
        <v/>
      </c>
      <c r="V42" s="73">
        <f>IF($BJ41&gt;0,IF(INDEX('Final Calculation Sheet'!$U$4:$U$40,$BJ41-3)="","",INDEX('Final Calculation Sheet'!$U$4:$U$40,$BJ41-3)),IF(OR($BI41=1,$BL41=1,$BH41&gt;0),IF($BI41=1,SUM('Final Calculation Sheet'!$U$4:$U$40),IF($BL41=1,SUM('Final Calculation Sheet'!$U$4:$U$40)-SUMIFS('Final Calculation Sheet'!$U$4:$U$40,$AZ$5:$AZ$41,10),SUMIFS('Final Calculation Sheet'!$U$4:$U$40,$AZ$5:$AZ$41,$BH41))),""))</f>
        <v/>
      </c>
      <c r="W42" s="70">
        <f>IF($BJ41&gt;0,IF(INDEX('Final Calculation Sheet'!$V$4:$V$40,$BJ41-3)="","",INDEX('Final Calculation Sheet'!$V$4:$V$40,$BJ41-3)),IF(OR($BI41=1,$BL41=1,$BH41&gt;0),"–",""))</f>
        <v/>
      </c>
      <c r="X42" s="70">
        <f>IF($BJ41&gt;0,IF(INDEX('Final Calculation Sheet'!$W$4:$W$40,$BJ41-3)="","",INDEX('Final Calculation Sheet'!$W$4:$W$40,$BJ41-3)),IF(OR($BI41=1,$BL41=1,$BH41&gt;0),IF($BI41=1,SUM('Final Calculation Sheet'!$W$4:$W$40),IF($BL41=1,SUM('Final Calculation Sheet'!$W$4:$W$40)-SUMIFS('Final Calculation Sheet'!$W$4:$W$40,$AZ$5:$AZ$41,10),SUMIFS('Final Calculation Sheet'!$W$4:$W$40,$AZ$5:$AZ$41,$BH41))),""))</f>
        <v/>
      </c>
      <c r="Y42" s="70">
        <f>IF($BJ41&gt;0,IF(INDEX('Final Calculation Sheet'!$X$4:$X$40,$BJ41-3)="","",INDEX('Final Calculation Sheet'!$X$4:$X$40,$BJ41-3)),IF(OR($BI41=1,$BL41=1,$BH41&gt;0),IF($BI41=1,SUM('Final Calculation Sheet'!$X$4:$X$40),IF($BL41=1,SUM('Final Calculation Sheet'!$X$4:$X$40)-SUMIFS('Final Calculation Sheet'!$X$4:$X$40,$AZ$5:$AZ$41,10),SUMIFS('Final Calculation Sheet'!$X$4:$X$40,$AZ$5:$AZ$41,$BH41))),""))</f>
        <v/>
      </c>
      <c r="Z42" s="70">
        <f>IF($BJ41&gt;0,IF(INDEX('Final Calculation Sheet'!$Y$4:$Y$40,$BJ41-3)="","",INDEX('Final Calculation Sheet'!$Y$4:$Y$40,$BJ41-3)),IF(OR($BI41=1,$BL41=1,$BH41&gt;0),"–",""))</f>
        <v/>
      </c>
      <c r="AA42" s="70">
        <f>IF($BJ41&gt;0,IF(INDEX('Final Calculation Sheet'!$Z$4:$Z$40,$BJ41-3)="","",INDEX('Final Calculation Sheet'!$Z$4:$Z$40,$BJ41-3)),IF(OR($BI41=1,$BL41=1,$BH41&gt;0),IF($BI41=1,SUM('Final Calculation Sheet'!$Z$4:$Z$40),IF($BL41=1,SUM('Final Calculation Sheet'!$Z$4:$Z$40)-SUMIFS('Final Calculation Sheet'!$Z$4:$Z$40,$AZ$5:$AZ$41,10),SUMIFS('Final Calculation Sheet'!$Z$4:$Z$40,$AZ$5:$AZ$41,$BH41))),""))</f>
        <v/>
      </c>
      <c r="AB42" s="70">
        <f>IF($BJ41&gt;0,IF(INDEX('Final Calculation Sheet'!$AA$4:$AA$40,$BJ41-3)="","",INDEX('Final Calculation Sheet'!$AA$4:$AA$40,$BJ41-3)),IF(OR($BI41=1,$BL41=1,$BH41&gt;0),IF($BI41=1,SUM('Final Calculation Sheet'!$AA$4:$AA$40),IF($BL41=1,SUM('Final Calculation Sheet'!$AA$4:$AA$40)-SUMIFS('Final Calculation Sheet'!$AA$4:$AA$40,$AZ$5:$AZ$41,10),SUMIFS('Final Calculation Sheet'!$AA$4:$AA$40,$AZ$5:$AZ$41,$BH41))),""))</f>
        <v/>
      </c>
      <c r="AC42" s="70">
        <f>IF($BJ41&gt;0,IF(INDEX('Final Calculation Sheet'!$AB$4:$AB$40,$BJ41-3)="","",INDEX('Final Calculation Sheet'!$AB$4:$AB$40,$BJ41-3)),IF(OR($BI41=1,$BL41=1,$BH41&gt;0),"–",""))</f>
        <v/>
      </c>
      <c r="AD42" s="70">
        <f>IF($BJ41&gt;0,IF(INDEX('Final Calculation Sheet'!$AC$4:$AC$40,$BJ41-3)="","",INDEX('Final Calculation Sheet'!$AC$4:$AC$40,$BJ41-3)),IF(OR($BI41=1,$BL41=1,$BH41&gt;0),IF($BI41=1,SUM('Final Calculation Sheet'!$AC$4:$AC$40),IF($BL41=1,SUM('Final Calculation Sheet'!$AC$4:$AC$40)-SUMIFS('Final Calculation Sheet'!$AC$4:$AC$40,$AZ$5:$AZ$41,10),SUMIFS('Final Calculation Sheet'!$AC$4:$AC$40,$AZ$5:$AZ$41,$BH41))),""))</f>
        <v/>
      </c>
      <c r="AE42" s="70">
        <f>IF($BJ41&gt;0,IF(INDEX('Final Calculation Sheet'!$AD$4:$AD$40,$BJ41-3)="","",INDEX('Final Calculation Sheet'!$AD$4:$AD$40,$BJ41-3)),IF(OR($BI41=1,$BL41=1,$BH41&gt;0),IF($BI41=1,SUM('Final Calculation Sheet'!$AD$4:$AD$40),IF($BL41=1,SUM('Final Calculation Sheet'!$AD$4:$AD$40)-SUMIFS('Final Calculation Sheet'!$AD$4:$AD$40,$AZ$5:$AZ$41,10),SUMIFS('Final Calculation Sheet'!$AD$4:$AD$40,$AZ$5:$AZ$41,$BH41))),""))</f>
        <v/>
      </c>
      <c r="AF42" s="75">
        <f>IF($BJ41&gt;0,IF(INDEX('Final Calculation Sheet'!$AD$4:$AD$40,$BJ41-3)="","",IF(INDEX('Final Calculation Sheet'!$AD$4:$AD$40,$BJ41-3)&lt;=5,"SETTLED","OUTSTANDING")),IF(OR($BI41=1,$BL41=1,$BH41&gt;0),IF(IF($BI41=1,SUM('Final Calculation Sheet'!$AD$4:$AD$40),IF($BL41=1,SUM('Final Calculation Sheet'!$AD$4:$AD$40)-SUMIFS('Final Calculation Sheet'!$AD$4:$AD$40,$AZ$5:$AZ$41,10),SUMIFS('Final Calculation Sheet'!$AD$4:$AD$40,$AZ$5:$AZ$41,$BH41)))&lt;=5,"ALL SETTLED","OUTSTANDING"),""))</f>
        <v/>
      </c>
      <c r="AG42" s="70">
        <f>IF($BJ41&gt;0,IF(INDEX('Final Calculation Sheet'!$AF$4:$AF$40,$BJ41-3)="","",INDEX('Final Calculation Sheet'!$AF$4:$AF$40,$BJ41-3)),IF(OR($BI41=1,$BL41=1,$BH41&gt;0),"–",""))</f>
        <v/>
      </c>
      <c r="AH42" s="74">
        <f>IF($BJ41&gt;0,IF(INDEX('Final Calculation Sheet'!$AG$4:$AG$40,$BJ41-3)="","",INDEX('Final Calculation Sheet'!$AG$4:$AG$40,$BJ41-3)),IF(OR($BI41=1,$BL41=1,$BH41&gt;0),"–",""))</f>
        <v/>
      </c>
      <c r="AI42" s="70">
        <f>IF($BJ41&gt;0,IF(INDEX('Final Calculation Sheet'!$AH$4:$AH$40,$BJ41-3)="","",INDEX('Final Calculation Sheet'!$AH$4:$AH$40,$BJ41-3)),IF(OR($BI41=1,$BL41=1,$BH41&gt;0),"–",""))</f>
        <v/>
      </c>
      <c r="BH42">
        <f>IFERROR(MATCH(42,$BF$4:$BF$13,0),0)</f>
        <v/>
      </c>
      <c r="BI42">
        <f>IF(42=$BG$5,1,0)</f>
        <v/>
      </c>
      <c r="BJ42">
        <f>IF(OR($BH42&gt;0,$BI42=1,$BL42=1),0,IFERROR(INDEX($BC$5:$BC$41,MATCH(42,$BB$5:$BB$41,0)),0))</f>
        <v/>
      </c>
      <c r="BK42">
        <f>IF($BJ42&gt;0,IF(INDEX($AZ$5:$AZ$41,MATCH(42,$BB$5:$BB$41,0))=10,1,0),IF($BH42=10,1,0))</f>
        <v/>
      </c>
      <c r="BL42">
        <f>IF(42=$BG$4,1,0)</f>
        <v/>
      </c>
    </row>
    <row r="43" ht="15" customHeight="1" s="137">
      <c r="A43" s="67">
        <f>IF($BJ42&gt;0,INDEX($BA$5:$BA$41,MATCH(42,$BB$5:$BB$41,0)),IF(OR($BI42=1,$BL42=1,$BH42&gt;0),"∑",""))</f>
        <v/>
      </c>
      <c r="B43" s="76">
        <f>IF($BJ42&gt;0,IF(INDEX('Final Calculation Sheet'!$F$4:$F$40,$BJ42-3)="","",INDEX('Final Calculation Sheet'!$F$4:$F$40,$BJ42-3)),"")</f>
        <v/>
      </c>
      <c r="C43" s="76">
        <f>IF($BJ42&gt;0,IF(INDEX('Final Calculation Sheet'!$G$4:$G$40,$BJ42-3)="","",INDEX('Final Calculation Sheet'!$G$4:$G$40,$BJ42-3)),IF(OR($BI42=1,$BL42=1,$BH42&gt;0),IF($BI42=1,37,IF($BL42=1,37-INDEX($BD$4:$BD$13,10),INDEX($BD$4:$BD$13,$BH42)))&amp;" lot(s)",""))</f>
        <v/>
      </c>
      <c r="D43" s="80">
        <f>IF($BJ42&gt;0,IF(INDEX('Final Calculation Sheet'!$B$4:$B$40,$BJ42-3)="","",INDEX('Final Calculation Sheet'!$B$4:$B$40,$BJ42-3)),IF(OR($BI42=1,$BL42=1,$BH42&gt;0),IF($BI42=1,"GRAND TOTAL  —  matching + remaining",IF($BL42=1,"TOTAL MATCHED  —  every group together",IF($BH42=10,"REMAINING  —  did not match the search",IF($BH42=9,IF(COUNTIF($A$4:$AI$4,"&lt;&gt;")&gt;0,"FILTERED LOTS  —  column fields","ALL LOTS  —  nothing typed in the box"),"GROUP "&amp;$BH42&amp;" TOTAL  —  lots matching  "&amp;INDEX($AR$6:$AY$6,$BH42))))),""))</f>
        <v/>
      </c>
      <c r="E43" s="80">
        <f>IF($BJ42&gt;0,IF(INDEX('Final Calculation Sheet'!$D$4:$D$40,$BJ42-3)="","",INDEX('Final Calculation Sheet'!$D$4:$D$40,$BJ42-3)),IF(OR($BI42=1,$BL42=1,$BH42&gt;0),"–",""))</f>
        <v/>
      </c>
      <c r="F43" s="80">
        <f>IF($BJ42&gt;0,IF(INDEX('Final Calculation Sheet'!$A$4:$A$40,$BJ42-3)="","",INDEX('Final Calculation Sheet'!$A$4:$A$40,$BJ42-3)),IF(OR($BI42=1,$BL42=1,$BH42&gt;0),IF($BI42=1,SUM('Final Calculation Sheet'!$A$4:$A$40),IF($BL42=1,SUM('Final Calculation Sheet'!$A$4:$A$40)-SUMIFS('Final Calculation Sheet'!$A$4:$A$40,$AZ$5:$AZ$41,10),SUMIFS('Final Calculation Sheet'!$A$4:$A$40,$AZ$5:$AZ$41,$BH42))),""))</f>
        <v/>
      </c>
      <c r="G43" s="80">
        <f>IF($BJ42&gt;0,IF(INDEX('Final Calculation Sheet'!$E$4:$E$40,$BJ42-3)="","",INDEX('Final Calculation Sheet'!$E$4:$E$40,$BJ42-3)),IF(OR($BI42=1,$BL42=1,$BH42&gt;0),"–",""))</f>
        <v/>
      </c>
      <c r="H43" s="70">
        <f>IF($BJ42&gt;0,IF(INDEX('Final Calculation Sheet'!$C$4:$C$40,$BJ42-3)="","",INDEX('Final Calculation Sheet'!$C$4:$C$40,$BJ42-3)),IF(OR($BI42=1,$BL42=1,$BH42&gt;0),"–",""))</f>
        <v/>
      </c>
      <c r="I43" s="70">
        <f>IF($BJ42&gt;0,IF(INDEX('Final Calculation Sheet'!$H$4:$H$40,$BJ42-3)="","",INDEX('Final Calculation Sheet'!$H$4:$H$40,$BJ42-3)),IF(OR($BI42=1,$BL42=1,$BH42&gt;0),IF($BI42=1,SUM('Final Calculation Sheet'!$H$4:$H$40),IF($BL42=1,SUM('Final Calculation Sheet'!$H$4:$H$40)-SUMIFS('Final Calculation Sheet'!$H$4:$H$40,$AZ$5:$AZ$41,10),SUMIFS('Final Calculation Sheet'!$H$4:$H$40,$AZ$5:$AZ$41,$BH42))),""))</f>
        <v/>
      </c>
      <c r="J43" s="70">
        <f>IF($BJ42&gt;0,IF(INDEX('Final Calculation Sheet'!$I$4:$I$40,$BJ42-3)="","",INDEX('Final Calculation Sheet'!$I$4:$I$40,$BJ42-3)),IF(OR($BI42=1,$BL42=1,$BH42&gt;0),IF($BI42=1,SUM('Final Calculation Sheet'!$I$4:$I$40),IF($BL42=1,SUM('Final Calculation Sheet'!$I$4:$I$40)-SUMIFS('Final Calculation Sheet'!$I$4:$I$40,$AZ$5:$AZ$41,10),SUMIFS('Final Calculation Sheet'!$I$4:$I$40,$AZ$5:$AZ$41,$BH42))),""))</f>
        <v/>
      </c>
      <c r="K43" s="70">
        <f>IF($BJ42&gt;0,IF(INDEX('Final Calculation Sheet'!$J$4:$J$40,$BJ42-3)="","",INDEX('Final Calculation Sheet'!$J$4:$J$40,$BJ42-3)),IF(OR($BI42=1,$BL42=1,$BH42&gt;0),IF($BI42=1,SUM('Final Calculation Sheet'!$J$4:$J$40),IF($BL42=1,SUM('Final Calculation Sheet'!$J$4:$J$40)-SUMIFS('Final Calculation Sheet'!$J$4:$J$40,$AZ$5:$AZ$41,10),SUMIFS('Final Calculation Sheet'!$J$4:$J$40,$AZ$5:$AZ$41,$BH42))),""))</f>
        <v/>
      </c>
      <c r="L43" s="70">
        <f>IF($BJ42&gt;0,IF(INDEX('Final Calculation Sheet'!$K$4:$K$40,$BJ42-3)="","",INDEX('Final Calculation Sheet'!$K$4:$K$40,$BJ42-3)),IF(OR($BI42=1,$BL42=1,$BH42&gt;0),IF($BI42=1,SUM('Final Calculation Sheet'!$K$4:$K$40),IF($BL42=1,SUM('Final Calculation Sheet'!$K$4:$K$40)-SUMIFS('Final Calculation Sheet'!$K$4:$K$40,$AZ$5:$AZ$41,10),SUMIFS('Final Calculation Sheet'!$K$4:$K$40,$AZ$5:$AZ$41,$BH42))),""))</f>
        <v/>
      </c>
      <c r="M43" s="70">
        <f>IF($BJ42&gt;0,IF(INDEX('Final Calculation Sheet'!$L$4:$L$40,$BJ42-3)="","",INDEX('Final Calculation Sheet'!$L$4:$L$40,$BJ42-3)),IF(OR($BI42=1,$BL42=1,$BH42&gt;0),IF($BI42=1,SUM('Final Calculation Sheet'!$L$4:$L$40),IF($BL42=1,SUM('Final Calculation Sheet'!$L$4:$L$40)-SUMIFS('Final Calculation Sheet'!$L$4:$L$40,$AZ$5:$AZ$41,10),SUMIFS('Final Calculation Sheet'!$L$4:$L$40,$AZ$5:$AZ$41,$BH42))),""))</f>
        <v/>
      </c>
      <c r="N43" s="70">
        <f>IF($BJ42&gt;0,IF(INDEX('Final Calculation Sheet'!$M$4:$M$40,$BJ42-3)="","",INDEX('Final Calculation Sheet'!$M$4:$M$40,$BJ42-3)),IF(OR($BI42=1,$BL42=1,$BH42&gt;0),IF($BI42=1,SUM('Final Calculation Sheet'!$M$4:$M$40),IF($BL42=1,SUM('Final Calculation Sheet'!$M$4:$M$40)-SUMIFS('Final Calculation Sheet'!$M$4:$M$40,$AZ$5:$AZ$41,10),SUMIFS('Final Calculation Sheet'!$M$4:$M$40,$AZ$5:$AZ$41,$BH42))),""))</f>
        <v/>
      </c>
      <c r="O43" s="71">
        <f>IF($BJ42&gt;0,IF(INDEX('Final Calculation Sheet'!$N$4:$N$40,$BJ42-3)="","",INDEX('Final Calculation Sheet'!$N$4:$N$40,$BJ42-3)),IF(OR($BI42=1,$BL42=1,$BH42&gt;0),IF($BI42=1,SUM('Final Calculation Sheet'!$N$4:$N$40),IF($BL42=1,SUM('Final Calculation Sheet'!$N$4:$N$40)-SUMIFS('Final Calculation Sheet'!$N$4:$N$40,$AZ$5:$AZ$41,10),SUMIFS('Final Calculation Sheet'!$N$4:$N$40,$AZ$5:$AZ$41,$BH42))),""))</f>
        <v/>
      </c>
      <c r="P43" s="70">
        <f>IF($BJ42&gt;0,IF(INDEX('Final Calculation Sheet'!$O$4:$O$40,$BJ42-3)="","",INDEX('Final Calculation Sheet'!$O$4:$O$40,$BJ42-3)),IF(OR($BI42=1,$BL42=1,$BH42&gt;0),IF($BI42=1,SUM('Final Calculation Sheet'!$O$4:$O$40),IF($BL42=1,SUM('Final Calculation Sheet'!$O$4:$O$40)-SUMIFS('Final Calculation Sheet'!$O$4:$O$40,$AZ$5:$AZ$41,10),SUMIFS('Final Calculation Sheet'!$O$4:$O$40,$AZ$5:$AZ$41,$BH42))),""))</f>
        <v/>
      </c>
      <c r="Q43" s="70">
        <f>IF($BJ42&gt;0,IF(INDEX('Final Calculation Sheet'!$P$4:$P$40,$BJ42-3)="","",INDEX('Final Calculation Sheet'!$P$4:$P$40,$BJ42-3)),IF(OR($BI42=1,$BL42=1,$BH42&gt;0),IF($BI42=1,SUM('Final Calculation Sheet'!$P$4:$P$40),IF($BL42=1,SUM('Final Calculation Sheet'!$P$4:$P$40)-SUMIFS('Final Calculation Sheet'!$P$4:$P$40,$AZ$5:$AZ$41,10),SUMIFS('Final Calculation Sheet'!$P$4:$P$40,$AZ$5:$AZ$41,$BH42))),""))</f>
        <v/>
      </c>
      <c r="R43" s="72">
        <f>IF($BJ42&gt;0,IF(INDEX('Final Calculation Sheet'!$Q$4:$Q$40,$BJ42-3)="","",INDEX('Final Calculation Sheet'!$Q$4:$Q$40,$BJ42-3)),IF(OR($BI42=1,$BL42=1,$BH42&gt;0),"–",""))</f>
        <v/>
      </c>
      <c r="S43" s="70">
        <f>IF($BJ42&gt;0,IF(INDEX('Final Calculation Sheet'!$R$4:$R$40,$BJ42-3)="","",INDEX('Final Calculation Sheet'!$R$4:$R$40,$BJ42-3)),IF(OR($BI42=1,$BL42=1,$BH42&gt;0),IF($BI42=1,SUM('Final Calculation Sheet'!$R$4:$R$40),IF($BL42=1,SUM('Final Calculation Sheet'!$R$4:$R$40)-SUMIFS('Final Calculation Sheet'!$R$4:$R$40,$AZ$5:$AZ$41,10),SUMIFS('Final Calculation Sheet'!$R$4:$R$40,$AZ$5:$AZ$41,$BH42))),""))</f>
        <v/>
      </c>
      <c r="T43" s="70">
        <f>IF($BJ42&gt;0,IF(INDEX('Final Calculation Sheet'!$S$4:$S$40,$BJ42-3)="","",INDEX('Final Calculation Sheet'!$S$4:$S$40,$BJ42-3)),IF(OR($BI42=1,$BL42=1,$BH42&gt;0),IF($BI42=1,SUM('Final Calculation Sheet'!$S$4:$S$40),IF($BL42=1,SUM('Final Calculation Sheet'!$S$4:$S$40)-SUMIFS('Final Calculation Sheet'!$S$4:$S$40,$AZ$5:$AZ$41,10),SUMIFS('Final Calculation Sheet'!$S$4:$S$40,$AZ$5:$AZ$41,$BH42))),""))</f>
        <v/>
      </c>
      <c r="U43" s="70">
        <f>IF($BJ42&gt;0,IF(INDEX('Final Calculation Sheet'!$T$4:$T$40,$BJ42-3)="","",INDEX('Final Calculation Sheet'!$T$4:$T$40,$BJ42-3)),IF(OR($BI42=1,$BL42=1,$BH42&gt;0),IF($BI42=1,SUM('Final Calculation Sheet'!$T$4:$T$40),IF($BL42=1,SUM('Final Calculation Sheet'!$T$4:$T$40)-SUMIFS('Final Calculation Sheet'!$T$4:$T$40,$AZ$5:$AZ$41,10),SUMIFS('Final Calculation Sheet'!$T$4:$T$40,$AZ$5:$AZ$41,$BH42))),""))</f>
        <v/>
      </c>
      <c r="V43" s="73">
        <f>IF($BJ42&gt;0,IF(INDEX('Final Calculation Sheet'!$U$4:$U$40,$BJ42-3)="","",INDEX('Final Calculation Sheet'!$U$4:$U$40,$BJ42-3)),IF(OR($BI42=1,$BL42=1,$BH42&gt;0),IF($BI42=1,SUM('Final Calculation Sheet'!$U$4:$U$40),IF($BL42=1,SUM('Final Calculation Sheet'!$U$4:$U$40)-SUMIFS('Final Calculation Sheet'!$U$4:$U$40,$AZ$5:$AZ$41,10),SUMIFS('Final Calculation Sheet'!$U$4:$U$40,$AZ$5:$AZ$41,$BH42))),""))</f>
        <v/>
      </c>
      <c r="W43" s="70">
        <f>IF($BJ42&gt;0,IF(INDEX('Final Calculation Sheet'!$V$4:$V$40,$BJ42-3)="","",INDEX('Final Calculation Sheet'!$V$4:$V$40,$BJ42-3)),IF(OR($BI42=1,$BL42=1,$BH42&gt;0),"–",""))</f>
        <v/>
      </c>
      <c r="X43" s="70">
        <f>IF($BJ42&gt;0,IF(INDEX('Final Calculation Sheet'!$W$4:$W$40,$BJ42-3)="","",INDEX('Final Calculation Sheet'!$W$4:$W$40,$BJ42-3)),IF(OR($BI42=1,$BL42=1,$BH42&gt;0),IF($BI42=1,SUM('Final Calculation Sheet'!$W$4:$W$40),IF($BL42=1,SUM('Final Calculation Sheet'!$W$4:$W$40)-SUMIFS('Final Calculation Sheet'!$W$4:$W$40,$AZ$5:$AZ$41,10),SUMIFS('Final Calculation Sheet'!$W$4:$W$40,$AZ$5:$AZ$41,$BH42))),""))</f>
        <v/>
      </c>
      <c r="Y43" s="70">
        <f>IF($BJ42&gt;0,IF(INDEX('Final Calculation Sheet'!$X$4:$X$40,$BJ42-3)="","",INDEX('Final Calculation Sheet'!$X$4:$X$40,$BJ42-3)),IF(OR($BI42=1,$BL42=1,$BH42&gt;0),IF($BI42=1,SUM('Final Calculation Sheet'!$X$4:$X$40),IF($BL42=1,SUM('Final Calculation Sheet'!$X$4:$X$40)-SUMIFS('Final Calculation Sheet'!$X$4:$X$40,$AZ$5:$AZ$41,10),SUMIFS('Final Calculation Sheet'!$X$4:$X$40,$AZ$5:$AZ$41,$BH42))),""))</f>
        <v/>
      </c>
      <c r="Z43" s="70">
        <f>IF($BJ42&gt;0,IF(INDEX('Final Calculation Sheet'!$Y$4:$Y$40,$BJ42-3)="","",INDEX('Final Calculation Sheet'!$Y$4:$Y$40,$BJ42-3)),IF(OR($BI42=1,$BL42=1,$BH42&gt;0),"–",""))</f>
        <v/>
      </c>
      <c r="AA43" s="70">
        <f>IF($BJ42&gt;0,IF(INDEX('Final Calculation Sheet'!$Z$4:$Z$40,$BJ42-3)="","",INDEX('Final Calculation Sheet'!$Z$4:$Z$40,$BJ42-3)),IF(OR($BI42=1,$BL42=1,$BH42&gt;0),IF($BI42=1,SUM('Final Calculation Sheet'!$Z$4:$Z$40),IF($BL42=1,SUM('Final Calculation Sheet'!$Z$4:$Z$40)-SUMIFS('Final Calculation Sheet'!$Z$4:$Z$40,$AZ$5:$AZ$41,10),SUMIFS('Final Calculation Sheet'!$Z$4:$Z$40,$AZ$5:$AZ$41,$BH42))),""))</f>
        <v/>
      </c>
      <c r="AB43" s="70">
        <f>IF($BJ42&gt;0,IF(INDEX('Final Calculation Sheet'!$AA$4:$AA$40,$BJ42-3)="","",INDEX('Final Calculation Sheet'!$AA$4:$AA$40,$BJ42-3)),IF(OR($BI42=1,$BL42=1,$BH42&gt;0),IF($BI42=1,SUM('Final Calculation Sheet'!$AA$4:$AA$40),IF($BL42=1,SUM('Final Calculation Sheet'!$AA$4:$AA$40)-SUMIFS('Final Calculation Sheet'!$AA$4:$AA$40,$AZ$5:$AZ$41,10),SUMIFS('Final Calculation Sheet'!$AA$4:$AA$40,$AZ$5:$AZ$41,$BH42))),""))</f>
        <v/>
      </c>
      <c r="AC43" s="70">
        <f>IF($BJ42&gt;0,IF(INDEX('Final Calculation Sheet'!$AB$4:$AB$40,$BJ42-3)="","",INDEX('Final Calculation Sheet'!$AB$4:$AB$40,$BJ42-3)),IF(OR($BI42=1,$BL42=1,$BH42&gt;0),"–",""))</f>
        <v/>
      </c>
      <c r="AD43" s="70">
        <f>IF($BJ42&gt;0,IF(INDEX('Final Calculation Sheet'!$AC$4:$AC$40,$BJ42-3)="","",INDEX('Final Calculation Sheet'!$AC$4:$AC$40,$BJ42-3)),IF(OR($BI42=1,$BL42=1,$BH42&gt;0),IF($BI42=1,SUM('Final Calculation Sheet'!$AC$4:$AC$40),IF($BL42=1,SUM('Final Calculation Sheet'!$AC$4:$AC$40)-SUMIFS('Final Calculation Sheet'!$AC$4:$AC$40,$AZ$5:$AZ$41,10),SUMIFS('Final Calculation Sheet'!$AC$4:$AC$40,$AZ$5:$AZ$41,$BH42))),""))</f>
        <v/>
      </c>
      <c r="AE43" s="70">
        <f>IF($BJ42&gt;0,IF(INDEX('Final Calculation Sheet'!$AD$4:$AD$40,$BJ42-3)="","",INDEX('Final Calculation Sheet'!$AD$4:$AD$40,$BJ42-3)),IF(OR($BI42=1,$BL42=1,$BH42&gt;0),IF($BI42=1,SUM('Final Calculation Sheet'!$AD$4:$AD$40),IF($BL42=1,SUM('Final Calculation Sheet'!$AD$4:$AD$40)-SUMIFS('Final Calculation Sheet'!$AD$4:$AD$40,$AZ$5:$AZ$41,10),SUMIFS('Final Calculation Sheet'!$AD$4:$AD$40,$AZ$5:$AZ$41,$BH42))),""))</f>
        <v/>
      </c>
      <c r="AF43" s="75">
        <f>IF($BJ42&gt;0,IF(INDEX('Final Calculation Sheet'!$AD$4:$AD$40,$BJ42-3)="","",IF(INDEX('Final Calculation Sheet'!$AD$4:$AD$40,$BJ42-3)&lt;=5,"SETTLED","OUTSTANDING")),IF(OR($BI42=1,$BL42=1,$BH42&gt;0),IF(IF($BI42=1,SUM('Final Calculation Sheet'!$AD$4:$AD$40),IF($BL42=1,SUM('Final Calculation Sheet'!$AD$4:$AD$40)-SUMIFS('Final Calculation Sheet'!$AD$4:$AD$40,$AZ$5:$AZ$41,10),SUMIFS('Final Calculation Sheet'!$AD$4:$AD$40,$AZ$5:$AZ$41,$BH42)))&lt;=5,"ALL SETTLED","OUTSTANDING"),""))</f>
        <v/>
      </c>
      <c r="AG43" s="70">
        <f>IF($BJ42&gt;0,IF(INDEX('Final Calculation Sheet'!$AF$4:$AF$40,$BJ42-3)="","",INDEX('Final Calculation Sheet'!$AF$4:$AF$40,$BJ42-3)),IF(OR($BI42=1,$BL42=1,$BH42&gt;0),"–",""))</f>
        <v/>
      </c>
      <c r="AH43" s="74">
        <f>IF($BJ42&gt;0,IF(INDEX('Final Calculation Sheet'!$AG$4:$AG$40,$BJ42-3)="","",INDEX('Final Calculation Sheet'!$AG$4:$AG$40,$BJ42-3)),IF(OR($BI42=1,$BL42=1,$BH42&gt;0),"–",""))</f>
        <v/>
      </c>
      <c r="AI43" s="70">
        <f>IF($BJ42&gt;0,IF(INDEX('Final Calculation Sheet'!$AH$4:$AH$40,$BJ42-3)="","",INDEX('Final Calculation Sheet'!$AH$4:$AH$40,$BJ42-3)),IF(OR($BI42=1,$BL42=1,$BH42&gt;0),"–",""))</f>
        <v/>
      </c>
      <c r="BH43">
        <f>IFERROR(MATCH(43,$BF$4:$BF$13,0),0)</f>
        <v/>
      </c>
      <c r="BI43">
        <f>IF(43=$BG$5,1,0)</f>
        <v/>
      </c>
      <c r="BJ43">
        <f>IF(OR($BH43&gt;0,$BI43=1,$BL43=1),0,IFERROR(INDEX($BC$5:$BC$41,MATCH(43,$BB$5:$BB$41,0)),0))</f>
        <v/>
      </c>
      <c r="BK43">
        <f>IF($BJ43&gt;0,IF(INDEX($AZ$5:$AZ$41,MATCH(43,$BB$5:$BB$41,0))=10,1,0),IF($BH43=10,1,0))</f>
        <v/>
      </c>
      <c r="BL43">
        <f>IF(43=$BG$4,1,0)</f>
        <v/>
      </c>
    </row>
    <row r="44" ht="15" customHeight="1" s="137">
      <c r="A44" s="67">
        <f>IF($BJ43&gt;0,INDEX($BA$5:$BA$41,MATCH(43,$BB$5:$BB$41,0)),IF(OR($BI43=1,$BL43=1,$BH43&gt;0),"∑",""))</f>
        <v/>
      </c>
      <c r="B44" s="76">
        <f>IF($BJ43&gt;0,IF(INDEX('Final Calculation Sheet'!$F$4:$F$40,$BJ43-3)="","",INDEX('Final Calculation Sheet'!$F$4:$F$40,$BJ43-3)),"")</f>
        <v/>
      </c>
      <c r="C44" s="76">
        <f>IF($BJ43&gt;0,IF(INDEX('Final Calculation Sheet'!$G$4:$G$40,$BJ43-3)="","",INDEX('Final Calculation Sheet'!$G$4:$G$40,$BJ43-3)),IF(OR($BI43=1,$BL43=1,$BH43&gt;0),IF($BI43=1,37,IF($BL43=1,37-INDEX($BD$4:$BD$13,10),INDEX($BD$4:$BD$13,$BH43)))&amp;" lot(s)",""))</f>
        <v/>
      </c>
      <c r="D44" s="80">
        <f>IF($BJ43&gt;0,IF(INDEX('Final Calculation Sheet'!$B$4:$B$40,$BJ43-3)="","",INDEX('Final Calculation Sheet'!$B$4:$B$40,$BJ43-3)),IF(OR($BI43=1,$BL43=1,$BH43&gt;0),IF($BI43=1,"GRAND TOTAL  —  matching + remaining",IF($BL43=1,"TOTAL MATCHED  —  every group together",IF($BH43=10,"REMAINING  —  did not match the search",IF($BH43=9,IF(COUNTIF($A$4:$AI$4,"&lt;&gt;")&gt;0,"FILTERED LOTS  —  column fields","ALL LOTS  —  nothing typed in the box"),"GROUP "&amp;$BH43&amp;" TOTAL  —  lots matching  "&amp;INDEX($AR$6:$AY$6,$BH43))))),""))</f>
        <v/>
      </c>
      <c r="E44" s="80">
        <f>IF($BJ43&gt;0,IF(INDEX('Final Calculation Sheet'!$D$4:$D$40,$BJ43-3)="","",INDEX('Final Calculation Sheet'!$D$4:$D$40,$BJ43-3)),IF(OR($BI43=1,$BL43=1,$BH43&gt;0),"–",""))</f>
        <v/>
      </c>
      <c r="F44" s="80">
        <f>IF($BJ43&gt;0,IF(INDEX('Final Calculation Sheet'!$A$4:$A$40,$BJ43-3)="","",INDEX('Final Calculation Sheet'!$A$4:$A$40,$BJ43-3)),IF(OR($BI43=1,$BL43=1,$BH43&gt;0),IF($BI43=1,SUM('Final Calculation Sheet'!$A$4:$A$40),IF($BL43=1,SUM('Final Calculation Sheet'!$A$4:$A$40)-SUMIFS('Final Calculation Sheet'!$A$4:$A$40,$AZ$5:$AZ$41,10),SUMIFS('Final Calculation Sheet'!$A$4:$A$40,$AZ$5:$AZ$41,$BH43))),""))</f>
        <v/>
      </c>
      <c r="G44" s="80">
        <f>IF($BJ43&gt;0,IF(INDEX('Final Calculation Sheet'!$E$4:$E$40,$BJ43-3)="","",INDEX('Final Calculation Sheet'!$E$4:$E$40,$BJ43-3)),IF(OR($BI43=1,$BL43=1,$BH43&gt;0),"–",""))</f>
        <v/>
      </c>
      <c r="H44" s="70">
        <f>IF($BJ43&gt;0,IF(INDEX('Final Calculation Sheet'!$C$4:$C$40,$BJ43-3)="","",INDEX('Final Calculation Sheet'!$C$4:$C$40,$BJ43-3)),IF(OR($BI43=1,$BL43=1,$BH43&gt;0),"–",""))</f>
        <v/>
      </c>
      <c r="I44" s="70">
        <f>IF($BJ43&gt;0,IF(INDEX('Final Calculation Sheet'!$H$4:$H$40,$BJ43-3)="","",INDEX('Final Calculation Sheet'!$H$4:$H$40,$BJ43-3)),IF(OR($BI43=1,$BL43=1,$BH43&gt;0),IF($BI43=1,SUM('Final Calculation Sheet'!$H$4:$H$40),IF($BL43=1,SUM('Final Calculation Sheet'!$H$4:$H$40)-SUMIFS('Final Calculation Sheet'!$H$4:$H$40,$AZ$5:$AZ$41,10),SUMIFS('Final Calculation Sheet'!$H$4:$H$40,$AZ$5:$AZ$41,$BH43))),""))</f>
        <v/>
      </c>
      <c r="J44" s="70">
        <f>IF($BJ43&gt;0,IF(INDEX('Final Calculation Sheet'!$I$4:$I$40,$BJ43-3)="","",INDEX('Final Calculation Sheet'!$I$4:$I$40,$BJ43-3)),IF(OR($BI43=1,$BL43=1,$BH43&gt;0),IF($BI43=1,SUM('Final Calculation Sheet'!$I$4:$I$40),IF($BL43=1,SUM('Final Calculation Sheet'!$I$4:$I$40)-SUMIFS('Final Calculation Sheet'!$I$4:$I$40,$AZ$5:$AZ$41,10),SUMIFS('Final Calculation Sheet'!$I$4:$I$40,$AZ$5:$AZ$41,$BH43))),""))</f>
        <v/>
      </c>
      <c r="K44" s="70">
        <f>IF($BJ43&gt;0,IF(INDEX('Final Calculation Sheet'!$J$4:$J$40,$BJ43-3)="","",INDEX('Final Calculation Sheet'!$J$4:$J$40,$BJ43-3)),IF(OR($BI43=1,$BL43=1,$BH43&gt;0),IF($BI43=1,SUM('Final Calculation Sheet'!$J$4:$J$40),IF($BL43=1,SUM('Final Calculation Sheet'!$J$4:$J$40)-SUMIFS('Final Calculation Sheet'!$J$4:$J$40,$AZ$5:$AZ$41,10),SUMIFS('Final Calculation Sheet'!$J$4:$J$40,$AZ$5:$AZ$41,$BH43))),""))</f>
        <v/>
      </c>
      <c r="L44" s="70">
        <f>IF($BJ43&gt;0,IF(INDEX('Final Calculation Sheet'!$K$4:$K$40,$BJ43-3)="","",INDEX('Final Calculation Sheet'!$K$4:$K$40,$BJ43-3)),IF(OR($BI43=1,$BL43=1,$BH43&gt;0),IF($BI43=1,SUM('Final Calculation Sheet'!$K$4:$K$40),IF($BL43=1,SUM('Final Calculation Sheet'!$K$4:$K$40)-SUMIFS('Final Calculation Sheet'!$K$4:$K$40,$AZ$5:$AZ$41,10),SUMIFS('Final Calculation Sheet'!$K$4:$K$40,$AZ$5:$AZ$41,$BH43))),""))</f>
        <v/>
      </c>
      <c r="M44" s="70">
        <f>IF($BJ43&gt;0,IF(INDEX('Final Calculation Sheet'!$L$4:$L$40,$BJ43-3)="","",INDEX('Final Calculation Sheet'!$L$4:$L$40,$BJ43-3)),IF(OR($BI43=1,$BL43=1,$BH43&gt;0),IF($BI43=1,SUM('Final Calculation Sheet'!$L$4:$L$40),IF($BL43=1,SUM('Final Calculation Sheet'!$L$4:$L$40)-SUMIFS('Final Calculation Sheet'!$L$4:$L$40,$AZ$5:$AZ$41,10),SUMIFS('Final Calculation Sheet'!$L$4:$L$40,$AZ$5:$AZ$41,$BH43))),""))</f>
        <v/>
      </c>
      <c r="N44" s="70">
        <f>IF($BJ43&gt;0,IF(INDEX('Final Calculation Sheet'!$M$4:$M$40,$BJ43-3)="","",INDEX('Final Calculation Sheet'!$M$4:$M$40,$BJ43-3)),IF(OR($BI43=1,$BL43=1,$BH43&gt;0),IF($BI43=1,SUM('Final Calculation Sheet'!$M$4:$M$40),IF($BL43=1,SUM('Final Calculation Sheet'!$M$4:$M$40)-SUMIFS('Final Calculation Sheet'!$M$4:$M$40,$AZ$5:$AZ$41,10),SUMIFS('Final Calculation Sheet'!$M$4:$M$40,$AZ$5:$AZ$41,$BH43))),""))</f>
        <v/>
      </c>
      <c r="O44" s="71">
        <f>IF($BJ43&gt;0,IF(INDEX('Final Calculation Sheet'!$N$4:$N$40,$BJ43-3)="","",INDEX('Final Calculation Sheet'!$N$4:$N$40,$BJ43-3)),IF(OR($BI43=1,$BL43=1,$BH43&gt;0),IF($BI43=1,SUM('Final Calculation Sheet'!$N$4:$N$40),IF($BL43=1,SUM('Final Calculation Sheet'!$N$4:$N$40)-SUMIFS('Final Calculation Sheet'!$N$4:$N$40,$AZ$5:$AZ$41,10),SUMIFS('Final Calculation Sheet'!$N$4:$N$40,$AZ$5:$AZ$41,$BH43))),""))</f>
        <v/>
      </c>
      <c r="P44" s="70">
        <f>IF($BJ43&gt;0,IF(INDEX('Final Calculation Sheet'!$O$4:$O$40,$BJ43-3)="","",INDEX('Final Calculation Sheet'!$O$4:$O$40,$BJ43-3)),IF(OR($BI43=1,$BL43=1,$BH43&gt;0),IF($BI43=1,SUM('Final Calculation Sheet'!$O$4:$O$40),IF($BL43=1,SUM('Final Calculation Sheet'!$O$4:$O$40)-SUMIFS('Final Calculation Sheet'!$O$4:$O$40,$AZ$5:$AZ$41,10),SUMIFS('Final Calculation Sheet'!$O$4:$O$40,$AZ$5:$AZ$41,$BH43))),""))</f>
        <v/>
      </c>
      <c r="Q44" s="70">
        <f>IF($BJ43&gt;0,IF(INDEX('Final Calculation Sheet'!$P$4:$P$40,$BJ43-3)="","",INDEX('Final Calculation Sheet'!$P$4:$P$40,$BJ43-3)),IF(OR($BI43=1,$BL43=1,$BH43&gt;0),IF($BI43=1,SUM('Final Calculation Sheet'!$P$4:$P$40),IF($BL43=1,SUM('Final Calculation Sheet'!$P$4:$P$40)-SUMIFS('Final Calculation Sheet'!$P$4:$P$40,$AZ$5:$AZ$41,10),SUMIFS('Final Calculation Sheet'!$P$4:$P$40,$AZ$5:$AZ$41,$BH43))),""))</f>
        <v/>
      </c>
      <c r="R44" s="72">
        <f>IF($BJ43&gt;0,IF(INDEX('Final Calculation Sheet'!$Q$4:$Q$40,$BJ43-3)="","",INDEX('Final Calculation Sheet'!$Q$4:$Q$40,$BJ43-3)),IF(OR($BI43=1,$BL43=1,$BH43&gt;0),"–",""))</f>
        <v/>
      </c>
      <c r="S44" s="70">
        <f>IF($BJ43&gt;0,IF(INDEX('Final Calculation Sheet'!$R$4:$R$40,$BJ43-3)="","",INDEX('Final Calculation Sheet'!$R$4:$R$40,$BJ43-3)),IF(OR($BI43=1,$BL43=1,$BH43&gt;0),IF($BI43=1,SUM('Final Calculation Sheet'!$R$4:$R$40),IF($BL43=1,SUM('Final Calculation Sheet'!$R$4:$R$40)-SUMIFS('Final Calculation Sheet'!$R$4:$R$40,$AZ$5:$AZ$41,10),SUMIFS('Final Calculation Sheet'!$R$4:$R$40,$AZ$5:$AZ$41,$BH43))),""))</f>
        <v/>
      </c>
      <c r="T44" s="70">
        <f>IF($BJ43&gt;0,IF(INDEX('Final Calculation Sheet'!$S$4:$S$40,$BJ43-3)="","",INDEX('Final Calculation Sheet'!$S$4:$S$40,$BJ43-3)),IF(OR($BI43=1,$BL43=1,$BH43&gt;0),IF($BI43=1,SUM('Final Calculation Sheet'!$S$4:$S$40),IF($BL43=1,SUM('Final Calculation Sheet'!$S$4:$S$40)-SUMIFS('Final Calculation Sheet'!$S$4:$S$40,$AZ$5:$AZ$41,10),SUMIFS('Final Calculation Sheet'!$S$4:$S$40,$AZ$5:$AZ$41,$BH43))),""))</f>
        <v/>
      </c>
      <c r="U44" s="70">
        <f>IF($BJ43&gt;0,IF(INDEX('Final Calculation Sheet'!$T$4:$T$40,$BJ43-3)="","",INDEX('Final Calculation Sheet'!$T$4:$T$40,$BJ43-3)),IF(OR($BI43=1,$BL43=1,$BH43&gt;0),IF($BI43=1,SUM('Final Calculation Sheet'!$T$4:$T$40),IF($BL43=1,SUM('Final Calculation Sheet'!$T$4:$T$40)-SUMIFS('Final Calculation Sheet'!$T$4:$T$40,$AZ$5:$AZ$41,10),SUMIFS('Final Calculation Sheet'!$T$4:$T$40,$AZ$5:$AZ$41,$BH43))),""))</f>
        <v/>
      </c>
      <c r="V44" s="73">
        <f>IF($BJ43&gt;0,IF(INDEX('Final Calculation Sheet'!$U$4:$U$40,$BJ43-3)="","",INDEX('Final Calculation Sheet'!$U$4:$U$40,$BJ43-3)),IF(OR($BI43=1,$BL43=1,$BH43&gt;0),IF($BI43=1,SUM('Final Calculation Sheet'!$U$4:$U$40),IF($BL43=1,SUM('Final Calculation Sheet'!$U$4:$U$40)-SUMIFS('Final Calculation Sheet'!$U$4:$U$40,$AZ$5:$AZ$41,10),SUMIFS('Final Calculation Sheet'!$U$4:$U$40,$AZ$5:$AZ$41,$BH43))),""))</f>
        <v/>
      </c>
      <c r="W44" s="70">
        <f>IF($BJ43&gt;0,IF(INDEX('Final Calculation Sheet'!$V$4:$V$40,$BJ43-3)="","",INDEX('Final Calculation Sheet'!$V$4:$V$40,$BJ43-3)),IF(OR($BI43=1,$BL43=1,$BH43&gt;0),"–",""))</f>
        <v/>
      </c>
      <c r="X44" s="70">
        <f>IF($BJ43&gt;0,IF(INDEX('Final Calculation Sheet'!$W$4:$W$40,$BJ43-3)="","",INDEX('Final Calculation Sheet'!$W$4:$W$40,$BJ43-3)),IF(OR($BI43=1,$BL43=1,$BH43&gt;0),IF($BI43=1,SUM('Final Calculation Sheet'!$W$4:$W$40),IF($BL43=1,SUM('Final Calculation Sheet'!$W$4:$W$40)-SUMIFS('Final Calculation Sheet'!$W$4:$W$40,$AZ$5:$AZ$41,10),SUMIFS('Final Calculation Sheet'!$W$4:$W$40,$AZ$5:$AZ$41,$BH43))),""))</f>
        <v/>
      </c>
      <c r="Y44" s="70">
        <f>IF($BJ43&gt;0,IF(INDEX('Final Calculation Sheet'!$X$4:$X$40,$BJ43-3)="","",INDEX('Final Calculation Sheet'!$X$4:$X$40,$BJ43-3)),IF(OR($BI43=1,$BL43=1,$BH43&gt;0),IF($BI43=1,SUM('Final Calculation Sheet'!$X$4:$X$40),IF($BL43=1,SUM('Final Calculation Sheet'!$X$4:$X$40)-SUMIFS('Final Calculation Sheet'!$X$4:$X$40,$AZ$5:$AZ$41,10),SUMIFS('Final Calculation Sheet'!$X$4:$X$40,$AZ$5:$AZ$41,$BH43))),""))</f>
        <v/>
      </c>
      <c r="Z44" s="70">
        <f>IF($BJ43&gt;0,IF(INDEX('Final Calculation Sheet'!$Y$4:$Y$40,$BJ43-3)="","",INDEX('Final Calculation Sheet'!$Y$4:$Y$40,$BJ43-3)),IF(OR($BI43=1,$BL43=1,$BH43&gt;0),"–",""))</f>
        <v/>
      </c>
      <c r="AA44" s="70">
        <f>IF($BJ43&gt;0,IF(INDEX('Final Calculation Sheet'!$Z$4:$Z$40,$BJ43-3)="","",INDEX('Final Calculation Sheet'!$Z$4:$Z$40,$BJ43-3)),IF(OR($BI43=1,$BL43=1,$BH43&gt;0),IF($BI43=1,SUM('Final Calculation Sheet'!$Z$4:$Z$40),IF($BL43=1,SUM('Final Calculation Sheet'!$Z$4:$Z$40)-SUMIFS('Final Calculation Sheet'!$Z$4:$Z$40,$AZ$5:$AZ$41,10),SUMIFS('Final Calculation Sheet'!$Z$4:$Z$40,$AZ$5:$AZ$41,$BH43))),""))</f>
        <v/>
      </c>
      <c r="AB44" s="70">
        <f>IF($BJ43&gt;0,IF(INDEX('Final Calculation Sheet'!$AA$4:$AA$40,$BJ43-3)="","",INDEX('Final Calculation Sheet'!$AA$4:$AA$40,$BJ43-3)),IF(OR($BI43=1,$BL43=1,$BH43&gt;0),IF($BI43=1,SUM('Final Calculation Sheet'!$AA$4:$AA$40),IF($BL43=1,SUM('Final Calculation Sheet'!$AA$4:$AA$40)-SUMIFS('Final Calculation Sheet'!$AA$4:$AA$40,$AZ$5:$AZ$41,10),SUMIFS('Final Calculation Sheet'!$AA$4:$AA$40,$AZ$5:$AZ$41,$BH43))),""))</f>
        <v/>
      </c>
      <c r="AC44" s="70">
        <f>IF($BJ43&gt;0,IF(INDEX('Final Calculation Sheet'!$AB$4:$AB$40,$BJ43-3)="","",INDEX('Final Calculation Sheet'!$AB$4:$AB$40,$BJ43-3)),IF(OR($BI43=1,$BL43=1,$BH43&gt;0),"–",""))</f>
        <v/>
      </c>
      <c r="AD44" s="70">
        <f>IF($BJ43&gt;0,IF(INDEX('Final Calculation Sheet'!$AC$4:$AC$40,$BJ43-3)="","",INDEX('Final Calculation Sheet'!$AC$4:$AC$40,$BJ43-3)),IF(OR($BI43=1,$BL43=1,$BH43&gt;0),IF($BI43=1,SUM('Final Calculation Sheet'!$AC$4:$AC$40),IF($BL43=1,SUM('Final Calculation Sheet'!$AC$4:$AC$40)-SUMIFS('Final Calculation Sheet'!$AC$4:$AC$40,$AZ$5:$AZ$41,10),SUMIFS('Final Calculation Sheet'!$AC$4:$AC$40,$AZ$5:$AZ$41,$BH43))),""))</f>
        <v/>
      </c>
      <c r="AE44" s="70">
        <f>IF($BJ43&gt;0,IF(INDEX('Final Calculation Sheet'!$AD$4:$AD$40,$BJ43-3)="","",INDEX('Final Calculation Sheet'!$AD$4:$AD$40,$BJ43-3)),IF(OR($BI43=1,$BL43=1,$BH43&gt;0),IF($BI43=1,SUM('Final Calculation Sheet'!$AD$4:$AD$40),IF($BL43=1,SUM('Final Calculation Sheet'!$AD$4:$AD$40)-SUMIFS('Final Calculation Sheet'!$AD$4:$AD$40,$AZ$5:$AZ$41,10),SUMIFS('Final Calculation Sheet'!$AD$4:$AD$40,$AZ$5:$AZ$41,$BH43))),""))</f>
        <v/>
      </c>
      <c r="AF44" s="75">
        <f>IF($BJ43&gt;0,IF(INDEX('Final Calculation Sheet'!$AD$4:$AD$40,$BJ43-3)="","",IF(INDEX('Final Calculation Sheet'!$AD$4:$AD$40,$BJ43-3)&lt;=5,"SETTLED","OUTSTANDING")),IF(OR($BI43=1,$BL43=1,$BH43&gt;0),IF(IF($BI43=1,SUM('Final Calculation Sheet'!$AD$4:$AD$40),IF($BL43=1,SUM('Final Calculation Sheet'!$AD$4:$AD$40)-SUMIFS('Final Calculation Sheet'!$AD$4:$AD$40,$AZ$5:$AZ$41,10),SUMIFS('Final Calculation Sheet'!$AD$4:$AD$40,$AZ$5:$AZ$41,$BH43)))&lt;=5,"ALL SETTLED","OUTSTANDING"),""))</f>
        <v/>
      </c>
      <c r="AG44" s="70">
        <f>IF($BJ43&gt;0,IF(INDEX('Final Calculation Sheet'!$AF$4:$AF$40,$BJ43-3)="","",INDEX('Final Calculation Sheet'!$AF$4:$AF$40,$BJ43-3)),IF(OR($BI43=1,$BL43=1,$BH43&gt;0),"–",""))</f>
        <v/>
      </c>
      <c r="AH44" s="74">
        <f>IF($BJ43&gt;0,IF(INDEX('Final Calculation Sheet'!$AG$4:$AG$40,$BJ43-3)="","",INDEX('Final Calculation Sheet'!$AG$4:$AG$40,$BJ43-3)),IF(OR($BI43=1,$BL43=1,$BH43&gt;0),"–",""))</f>
        <v/>
      </c>
      <c r="AI44" s="70">
        <f>IF($BJ43&gt;0,IF(INDEX('Final Calculation Sheet'!$AH$4:$AH$40,$BJ43-3)="","",INDEX('Final Calculation Sheet'!$AH$4:$AH$40,$BJ43-3)),IF(OR($BI43=1,$BL43=1,$BH43&gt;0),"–",""))</f>
        <v/>
      </c>
      <c r="BH44">
        <f>IFERROR(MATCH(44,$BF$4:$BF$13,0),0)</f>
        <v/>
      </c>
      <c r="BI44">
        <f>IF(44=$BG$5,1,0)</f>
        <v/>
      </c>
      <c r="BJ44">
        <f>IF(OR($BH44&gt;0,$BI44=1,$BL44=1),0,IFERROR(INDEX($BC$5:$BC$41,MATCH(44,$BB$5:$BB$41,0)),0))</f>
        <v/>
      </c>
      <c r="BK44">
        <f>IF($BJ44&gt;0,IF(INDEX($AZ$5:$AZ$41,MATCH(44,$BB$5:$BB$41,0))=10,1,0),IF($BH44=10,1,0))</f>
        <v/>
      </c>
      <c r="BL44">
        <f>IF(44=$BG$4,1,0)</f>
        <v/>
      </c>
    </row>
    <row r="45" ht="15" customHeight="1" s="137">
      <c r="A45" s="67">
        <f>IF($BJ44&gt;0,INDEX($BA$5:$BA$41,MATCH(44,$BB$5:$BB$41,0)),IF(OR($BI44=1,$BL44=1,$BH44&gt;0),"∑",""))</f>
        <v/>
      </c>
      <c r="B45" s="76">
        <f>IF($BJ44&gt;0,IF(INDEX('Final Calculation Sheet'!$F$4:$F$40,$BJ44-3)="","",INDEX('Final Calculation Sheet'!$F$4:$F$40,$BJ44-3)),"")</f>
        <v/>
      </c>
      <c r="C45" s="76">
        <f>IF($BJ44&gt;0,IF(INDEX('Final Calculation Sheet'!$G$4:$G$40,$BJ44-3)="","",INDEX('Final Calculation Sheet'!$G$4:$G$40,$BJ44-3)),IF(OR($BI44=1,$BL44=1,$BH44&gt;0),IF($BI44=1,37,IF($BL44=1,37-INDEX($BD$4:$BD$13,10),INDEX($BD$4:$BD$13,$BH44)))&amp;" lot(s)",""))</f>
        <v/>
      </c>
      <c r="D45" s="80">
        <f>IF($BJ44&gt;0,IF(INDEX('Final Calculation Sheet'!$B$4:$B$40,$BJ44-3)="","",INDEX('Final Calculation Sheet'!$B$4:$B$40,$BJ44-3)),IF(OR($BI44=1,$BL44=1,$BH44&gt;0),IF($BI44=1,"GRAND TOTAL  —  matching + remaining",IF($BL44=1,"TOTAL MATCHED  —  every group together",IF($BH44=10,"REMAINING  —  did not match the search",IF($BH44=9,IF(COUNTIF($A$4:$AI$4,"&lt;&gt;")&gt;0,"FILTERED LOTS  —  column fields","ALL LOTS  —  nothing typed in the box"),"GROUP "&amp;$BH44&amp;" TOTAL  —  lots matching  "&amp;INDEX($AR$6:$AY$6,$BH44))))),""))</f>
        <v/>
      </c>
      <c r="E45" s="80">
        <f>IF($BJ44&gt;0,IF(INDEX('Final Calculation Sheet'!$D$4:$D$40,$BJ44-3)="","",INDEX('Final Calculation Sheet'!$D$4:$D$40,$BJ44-3)),IF(OR($BI44=1,$BL44=1,$BH44&gt;0),"–",""))</f>
        <v/>
      </c>
      <c r="F45" s="80">
        <f>IF($BJ44&gt;0,IF(INDEX('Final Calculation Sheet'!$A$4:$A$40,$BJ44-3)="","",INDEX('Final Calculation Sheet'!$A$4:$A$40,$BJ44-3)),IF(OR($BI44=1,$BL44=1,$BH44&gt;0),IF($BI44=1,SUM('Final Calculation Sheet'!$A$4:$A$40),IF($BL44=1,SUM('Final Calculation Sheet'!$A$4:$A$40)-SUMIFS('Final Calculation Sheet'!$A$4:$A$40,$AZ$5:$AZ$41,10),SUMIFS('Final Calculation Sheet'!$A$4:$A$40,$AZ$5:$AZ$41,$BH44))),""))</f>
        <v/>
      </c>
      <c r="G45" s="80">
        <f>IF($BJ44&gt;0,IF(INDEX('Final Calculation Sheet'!$E$4:$E$40,$BJ44-3)="","",INDEX('Final Calculation Sheet'!$E$4:$E$40,$BJ44-3)),IF(OR($BI44=1,$BL44=1,$BH44&gt;0),"–",""))</f>
        <v/>
      </c>
      <c r="H45" s="70">
        <f>IF($BJ44&gt;0,IF(INDEX('Final Calculation Sheet'!$C$4:$C$40,$BJ44-3)="","",INDEX('Final Calculation Sheet'!$C$4:$C$40,$BJ44-3)),IF(OR($BI44=1,$BL44=1,$BH44&gt;0),"–",""))</f>
        <v/>
      </c>
      <c r="I45" s="70">
        <f>IF($BJ44&gt;0,IF(INDEX('Final Calculation Sheet'!$H$4:$H$40,$BJ44-3)="","",INDEX('Final Calculation Sheet'!$H$4:$H$40,$BJ44-3)),IF(OR($BI44=1,$BL44=1,$BH44&gt;0),IF($BI44=1,SUM('Final Calculation Sheet'!$H$4:$H$40),IF($BL44=1,SUM('Final Calculation Sheet'!$H$4:$H$40)-SUMIFS('Final Calculation Sheet'!$H$4:$H$40,$AZ$5:$AZ$41,10),SUMIFS('Final Calculation Sheet'!$H$4:$H$40,$AZ$5:$AZ$41,$BH44))),""))</f>
        <v/>
      </c>
      <c r="J45" s="70">
        <f>IF($BJ44&gt;0,IF(INDEX('Final Calculation Sheet'!$I$4:$I$40,$BJ44-3)="","",INDEX('Final Calculation Sheet'!$I$4:$I$40,$BJ44-3)),IF(OR($BI44=1,$BL44=1,$BH44&gt;0),IF($BI44=1,SUM('Final Calculation Sheet'!$I$4:$I$40),IF($BL44=1,SUM('Final Calculation Sheet'!$I$4:$I$40)-SUMIFS('Final Calculation Sheet'!$I$4:$I$40,$AZ$5:$AZ$41,10),SUMIFS('Final Calculation Sheet'!$I$4:$I$40,$AZ$5:$AZ$41,$BH44))),""))</f>
        <v/>
      </c>
      <c r="K45" s="70">
        <f>IF($BJ44&gt;0,IF(INDEX('Final Calculation Sheet'!$J$4:$J$40,$BJ44-3)="","",INDEX('Final Calculation Sheet'!$J$4:$J$40,$BJ44-3)),IF(OR($BI44=1,$BL44=1,$BH44&gt;0),IF($BI44=1,SUM('Final Calculation Sheet'!$J$4:$J$40),IF($BL44=1,SUM('Final Calculation Sheet'!$J$4:$J$40)-SUMIFS('Final Calculation Sheet'!$J$4:$J$40,$AZ$5:$AZ$41,10),SUMIFS('Final Calculation Sheet'!$J$4:$J$40,$AZ$5:$AZ$41,$BH44))),""))</f>
        <v/>
      </c>
      <c r="L45" s="70">
        <f>IF($BJ44&gt;0,IF(INDEX('Final Calculation Sheet'!$K$4:$K$40,$BJ44-3)="","",INDEX('Final Calculation Sheet'!$K$4:$K$40,$BJ44-3)),IF(OR($BI44=1,$BL44=1,$BH44&gt;0),IF($BI44=1,SUM('Final Calculation Sheet'!$K$4:$K$40),IF($BL44=1,SUM('Final Calculation Sheet'!$K$4:$K$40)-SUMIFS('Final Calculation Sheet'!$K$4:$K$40,$AZ$5:$AZ$41,10),SUMIFS('Final Calculation Sheet'!$K$4:$K$40,$AZ$5:$AZ$41,$BH44))),""))</f>
        <v/>
      </c>
      <c r="M45" s="70">
        <f>IF($BJ44&gt;0,IF(INDEX('Final Calculation Sheet'!$L$4:$L$40,$BJ44-3)="","",INDEX('Final Calculation Sheet'!$L$4:$L$40,$BJ44-3)),IF(OR($BI44=1,$BL44=1,$BH44&gt;0),IF($BI44=1,SUM('Final Calculation Sheet'!$L$4:$L$40),IF($BL44=1,SUM('Final Calculation Sheet'!$L$4:$L$40)-SUMIFS('Final Calculation Sheet'!$L$4:$L$40,$AZ$5:$AZ$41,10),SUMIFS('Final Calculation Sheet'!$L$4:$L$40,$AZ$5:$AZ$41,$BH44))),""))</f>
        <v/>
      </c>
      <c r="N45" s="70">
        <f>IF($BJ44&gt;0,IF(INDEX('Final Calculation Sheet'!$M$4:$M$40,$BJ44-3)="","",INDEX('Final Calculation Sheet'!$M$4:$M$40,$BJ44-3)),IF(OR($BI44=1,$BL44=1,$BH44&gt;0),IF($BI44=1,SUM('Final Calculation Sheet'!$M$4:$M$40),IF($BL44=1,SUM('Final Calculation Sheet'!$M$4:$M$40)-SUMIFS('Final Calculation Sheet'!$M$4:$M$40,$AZ$5:$AZ$41,10),SUMIFS('Final Calculation Sheet'!$M$4:$M$40,$AZ$5:$AZ$41,$BH44))),""))</f>
        <v/>
      </c>
      <c r="O45" s="71">
        <f>IF($BJ44&gt;0,IF(INDEX('Final Calculation Sheet'!$N$4:$N$40,$BJ44-3)="","",INDEX('Final Calculation Sheet'!$N$4:$N$40,$BJ44-3)),IF(OR($BI44=1,$BL44=1,$BH44&gt;0),IF($BI44=1,SUM('Final Calculation Sheet'!$N$4:$N$40),IF($BL44=1,SUM('Final Calculation Sheet'!$N$4:$N$40)-SUMIFS('Final Calculation Sheet'!$N$4:$N$40,$AZ$5:$AZ$41,10),SUMIFS('Final Calculation Sheet'!$N$4:$N$40,$AZ$5:$AZ$41,$BH44))),""))</f>
        <v/>
      </c>
      <c r="P45" s="70">
        <f>IF($BJ44&gt;0,IF(INDEX('Final Calculation Sheet'!$O$4:$O$40,$BJ44-3)="","",INDEX('Final Calculation Sheet'!$O$4:$O$40,$BJ44-3)),IF(OR($BI44=1,$BL44=1,$BH44&gt;0),IF($BI44=1,SUM('Final Calculation Sheet'!$O$4:$O$40),IF($BL44=1,SUM('Final Calculation Sheet'!$O$4:$O$40)-SUMIFS('Final Calculation Sheet'!$O$4:$O$40,$AZ$5:$AZ$41,10),SUMIFS('Final Calculation Sheet'!$O$4:$O$40,$AZ$5:$AZ$41,$BH44))),""))</f>
        <v/>
      </c>
      <c r="Q45" s="70">
        <f>IF($BJ44&gt;0,IF(INDEX('Final Calculation Sheet'!$P$4:$P$40,$BJ44-3)="","",INDEX('Final Calculation Sheet'!$P$4:$P$40,$BJ44-3)),IF(OR($BI44=1,$BL44=1,$BH44&gt;0),IF($BI44=1,SUM('Final Calculation Sheet'!$P$4:$P$40),IF($BL44=1,SUM('Final Calculation Sheet'!$P$4:$P$40)-SUMIFS('Final Calculation Sheet'!$P$4:$P$40,$AZ$5:$AZ$41,10),SUMIFS('Final Calculation Sheet'!$P$4:$P$40,$AZ$5:$AZ$41,$BH44))),""))</f>
        <v/>
      </c>
      <c r="R45" s="72">
        <f>IF($BJ44&gt;0,IF(INDEX('Final Calculation Sheet'!$Q$4:$Q$40,$BJ44-3)="","",INDEX('Final Calculation Sheet'!$Q$4:$Q$40,$BJ44-3)),IF(OR($BI44=1,$BL44=1,$BH44&gt;0),"–",""))</f>
        <v/>
      </c>
      <c r="S45" s="70">
        <f>IF($BJ44&gt;0,IF(INDEX('Final Calculation Sheet'!$R$4:$R$40,$BJ44-3)="","",INDEX('Final Calculation Sheet'!$R$4:$R$40,$BJ44-3)),IF(OR($BI44=1,$BL44=1,$BH44&gt;0),IF($BI44=1,SUM('Final Calculation Sheet'!$R$4:$R$40),IF($BL44=1,SUM('Final Calculation Sheet'!$R$4:$R$40)-SUMIFS('Final Calculation Sheet'!$R$4:$R$40,$AZ$5:$AZ$41,10),SUMIFS('Final Calculation Sheet'!$R$4:$R$40,$AZ$5:$AZ$41,$BH44))),""))</f>
        <v/>
      </c>
      <c r="T45" s="70">
        <f>IF($BJ44&gt;0,IF(INDEX('Final Calculation Sheet'!$S$4:$S$40,$BJ44-3)="","",INDEX('Final Calculation Sheet'!$S$4:$S$40,$BJ44-3)),IF(OR($BI44=1,$BL44=1,$BH44&gt;0),IF($BI44=1,SUM('Final Calculation Sheet'!$S$4:$S$40),IF($BL44=1,SUM('Final Calculation Sheet'!$S$4:$S$40)-SUMIFS('Final Calculation Sheet'!$S$4:$S$40,$AZ$5:$AZ$41,10),SUMIFS('Final Calculation Sheet'!$S$4:$S$40,$AZ$5:$AZ$41,$BH44))),""))</f>
        <v/>
      </c>
      <c r="U45" s="70">
        <f>IF($BJ44&gt;0,IF(INDEX('Final Calculation Sheet'!$T$4:$T$40,$BJ44-3)="","",INDEX('Final Calculation Sheet'!$T$4:$T$40,$BJ44-3)),IF(OR($BI44=1,$BL44=1,$BH44&gt;0),IF($BI44=1,SUM('Final Calculation Sheet'!$T$4:$T$40),IF($BL44=1,SUM('Final Calculation Sheet'!$T$4:$T$40)-SUMIFS('Final Calculation Sheet'!$T$4:$T$40,$AZ$5:$AZ$41,10),SUMIFS('Final Calculation Sheet'!$T$4:$T$40,$AZ$5:$AZ$41,$BH44))),""))</f>
        <v/>
      </c>
      <c r="V45" s="73">
        <f>IF($BJ44&gt;0,IF(INDEX('Final Calculation Sheet'!$U$4:$U$40,$BJ44-3)="","",INDEX('Final Calculation Sheet'!$U$4:$U$40,$BJ44-3)),IF(OR($BI44=1,$BL44=1,$BH44&gt;0),IF($BI44=1,SUM('Final Calculation Sheet'!$U$4:$U$40),IF($BL44=1,SUM('Final Calculation Sheet'!$U$4:$U$40)-SUMIFS('Final Calculation Sheet'!$U$4:$U$40,$AZ$5:$AZ$41,10),SUMIFS('Final Calculation Sheet'!$U$4:$U$40,$AZ$5:$AZ$41,$BH44))),""))</f>
        <v/>
      </c>
      <c r="W45" s="70">
        <f>IF($BJ44&gt;0,IF(INDEX('Final Calculation Sheet'!$V$4:$V$40,$BJ44-3)="","",INDEX('Final Calculation Sheet'!$V$4:$V$40,$BJ44-3)),IF(OR($BI44=1,$BL44=1,$BH44&gt;0),"–",""))</f>
        <v/>
      </c>
      <c r="X45" s="70">
        <f>IF($BJ44&gt;0,IF(INDEX('Final Calculation Sheet'!$W$4:$W$40,$BJ44-3)="","",INDEX('Final Calculation Sheet'!$W$4:$W$40,$BJ44-3)),IF(OR($BI44=1,$BL44=1,$BH44&gt;0),IF($BI44=1,SUM('Final Calculation Sheet'!$W$4:$W$40),IF($BL44=1,SUM('Final Calculation Sheet'!$W$4:$W$40)-SUMIFS('Final Calculation Sheet'!$W$4:$W$40,$AZ$5:$AZ$41,10),SUMIFS('Final Calculation Sheet'!$W$4:$W$40,$AZ$5:$AZ$41,$BH44))),""))</f>
        <v/>
      </c>
      <c r="Y45" s="70">
        <f>IF($BJ44&gt;0,IF(INDEX('Final Calculation Sheet'!$X$4:$X$40,$BJ44-3)="","",INDEX('Final Calculation Sheet'!$X$4:$X$40,$BJ44-3)),IF(OR($BI44=1,$BL44=1,$BH44&gt;0),IF($BI44=1,SUM('Final Calculation Sheet'!$X$4:$X$40),IF($BL44=1,SUM('Final Calculation Sheet'!$X$4:$X$40)-SUMIFS('Final Calculation Sheet'!$X$4:$X$40,$AZ$5:$AZ$41,10),SUMIFS('Final Calculation Sheet'!$X$4:$X$40,$AZ$5:$AZ$41,$BH44))),""))</f>
        <v/>
      </c>
      <c r="Z45" s="70">
        <f>IF($BJ44&gt;0,IF(INDEX('Final Calculation Sheet'!$Y$4:$Y$40,$BJ44-3)="","",INDEX('Final Calculation Sheet'!$Y$4:$Y$40,$BJ44-3)),IF(OR($BI44=1,$BL44=1,$BH44&gt;0),"–",""))</f>
        <v/>
      </c>
      <c r="AA45" s="70">
        <f>IF($BJ44&gt;0,IF(INDEX('Final Calculation Sheet'!$Z$4:$Z$40,$BJ44-3)="","",INDEX('Final Calculation Sheet'!$Z$4:$Z$40,$BJ44-3)),IF(OR($BI44=1,$BL44=1,$BH44&gt;0),IF($BI44=1,SUM('Final Calculation Sheet'!$Z$4:$Z$40),IF($BL44=1,SUM('Final Calculation Sheet'!$Z$4:$Z$40)-SUMIFS('Final Calculation Sheet'!$Z$4:$Z$40,$AZ$5:$AZ$41,10),SUMIFS('Final Calculation Sheet'!$Z$4:$Z$40,$AZ$5:$AZ$41,$BH44))),""))</f>
        <v/>
      </c>
      <c r="AB45" s="70">
        <f>IF($BJ44&gt;0,IF(INDEX('Final Calculation Sheet'!$AA$4:$AA$40,$BJ44-3)="","",INDEX('Final Calculation Sheet'!$AA$4:$AA$40,$BJ44-3)),IF(OR($BI44=1,$BL44=1,$BH44&gt;0),IF($BI44=1,SUM('Final Calculation Sheet'!$AA$4:$AA$40),IF($BL44=1,SUM('Final Calculation Sheet'!$AA$4:$AA$40)-SUMIFS('Final Calculation Sheet'!$AA$4:$AA$40,$AZ$5:$AZ$41,10),SUMIFS('Final Calculation Sheet'!$AA$4:$AA$40,$AZ$5:$AZ$41,$BH44))),""))</f>
        <v/>
      </c>
      <c r="AC45" s="70">
        <f>IF($BJ44&gt;0,IF(INDEX('Final Calculation Sheet'!$AB$4:$AB$40,$BJ44-3)="","",INDEX('Final Calculation Sheet'!$AB$4:$AB$40,$BJ44-3)),IF(OR($BI44=1,$BL44=1,$BH44&gt;0),"–",""))</f>
        <v/>
      </c>
      <c r="AD45" s="70">
        <f>IF($BJ44&gt;0,IF(INDEX('Final Calculation Sheet'!$AC$4:$AC$40,$BJ44-3)="","",INDEX('Final Calculation Sheet'!$AC$4:$AC$40,$BJ44-3)),IF(OR($BI44=1,$BL44=1,$BH44&gt;0),IF($BI44=1,SUM('Final Calculation Sheet'!$AC$4:$AC$40),IF($BL44=1,SUM('Final Calculation Sheet'!$AC$4:$AC$40)-SUMIFS('Final Calculation Sheet'!$AC$4:$AC$40,$AZ$5:$AZ$41,10),SUMIFS('Final Calculation Sheet'!$AC$4:$AC$40,$AZ$5:$AZ$41,$BH44))),""))</f>
        <v/>
      </c>
      <c r="AE45" s="70">
        <f>IF($BJ44&gt;0,IF(INDEX('Final Calculation Sheet'!$AD$4:$AD$40,$BJ44-3)="","",INDEX('Final Calculation Sheet'!$AD$4:$AD$40,$BJ44-3)),IF(OR($BI44=1,$BL44=1,$BH44&gt;0),IF($BI44=1,SUM('Final Calculation Sheet'!$AD$4:$AD$40),IF($BL44=1,SUM('Final Calculation Sheet'!$AD$4:$AD$40)-SUMIFS('Final Calculation Sheet'!$AD$4:$AD$40,$AZ$5:$AZ$41,10),SUMIFS('Final Calculation Sheet'!$AD$4:$AD$40,$AZ$5:$AZ$41,$BH44))),""))</f>
        <v/>
      </c>
      <c r="AF45" s="75">
        <f>IF($BJ44&gt;0,IF(INDEX('Final Calculation Sheet'!$AD$4:$AD$40,$BJ44-3)="","",IF(INDEX('Final Calculation Sheet'!$AD$4:$AD$40,$BJ44-3)&lt;=5,"SETTLED","OUTSTANDING")),IF(OR($BI44=1,$BL44=1,$BH44&gt;0),IF(IF($BI44=1,SUM('Final Calculation Sheet'!$AD$4:$AD$40),IF($BL44=1,SUM('Final Calculation Sheet'!$AD$4:$AD$40)-SUMIFS('Final Calculation Sheet'!$AD$4:$AD$40,$AZ$5:$AZ$41,10),SUMIFS('Final Calculation Sheet'!$AD$4:$AD$40,$AZ$5:$AZ$41,$BH44)))&lt;=5,"ALL SETTLED","OUTSTANDING"),""))</f>
        <v/>
      </c>
      <c r="AG45" s="70">
        <f>IF($BJ44&gt;0,IF(INDEX('Final Calculation Sheet'!$AF$4:$AF$40,$BJ44-3)="","",INDEX('Final Calculation Sheet'!$AF$4:$AF$40,$BJ44-3)),IF(OR($BI44=1,$BL44=1,$BH44&gt;0),"–",""))</f>
        <v/>
      </c>
      <c r="AH45" s="74">
        <f>IF($BJ44&gt;0,IF(INDEX('Final Calculation Sheet'!$AG$4:$AG$40,$BJ44-3)="","",INDEX('Final Calculation Sheet'!$AG$4:$AG$40,$BJ44-3)),IF(OR($BI44=1,$BL44=1,$BH44&gt;0),"–",""))</f>
        <v/>
      </c>
      <c r="AI45" s="70">
        <f>IF($BJ44&gt;0,IF(INDEX('Final Calculation Sheet'!$AH$4:$AH$40,$BJ44-3)="","",INDEX('Final Calculation Sheet'!$AH$4:$AH$40,$BJ44-3)),IF(OR($BI44=1,$BL44=1,$BH44&gt;0),"–",""))</f>
        <v/>
      </c>
      <c r="BH45">
        <f>IFERROR(MATCH(45,$BF$4:$BF$13,0),0)</f>
        <v/>
      </c>
      <c r="BI45">
        <f>IF(45=$BG$5,1,0)</f>
        <v/>
      </c>
      <c r="BJ45">
        <f>IF(OR($BH45&gt;0,$BI45=1,$BL45=1),0,IFERROR(INDEX($BC$5:$BC$41,MATCH(45,$BB$5:$BB$41,0)),0))</f>
        <v/>
      </c>
      <c r="BK45">
        <f>IF($BJ45&gt;0,IF(INDEX($AZ$5:$AZ$41,MATCH(45,$BB$5:$BB$41,0))=10,1,0),IF($BH45=10,1,0))</f>
        <v/>
      </c>
      <c r="BL45">
        <f>IF(45=$BG$4,1,0)</f>
        <v/>
      </c>
    </row>
    <row r="46" ht="15" customHeight="1" s="137">
      <c r="A46" s="67">
        <f>IF($BJ45&gt;0,INDEX($BA$5:$BA$41,MATCH(45,$BB$5:$BB$41,0)),IF(OR($BI45=1,$BL45=1,$BH45&gt;0),"∑",""))</f>
        <v/>
      </c>
      <c r="B46" s="76">
        <f>IF($BJ45&gt;0,IF(INDEX('Final Calculation Sheet'!$F$4:$F$40,$BJ45-3)="","",INDEX('Final Calculation Sheet'!$F$4:$F$40,$BJ45-3)),"")</f>
        <v/>
      </c>
      <c r="C46" s="76">
        <f>IF($BJ45&gt;0,IF(INDEX('Final Calculation Sheet'!$G$4:$G$40,$BJ45-3)="","",INDEX('Final Calculation Sheet'!$G$4:$G$40,$BJ45-3)),IF(OR($BI45=1,$BL45=1,$BH45&gt;0),IF($BI45=1,37,IF($BL45=1,37-INDEX($BD$4:$BD$13,10),INDEX($BD$4:$BD$13,$BH45)))&amp;" lot(s)",""))</f>
        <v/>
      </c>
      <c r="D46" s="80">
        <f>IF($BJ45&gt;0,IF(INDEX('Final Calculation Sheet'!$B$4:$B$40,$BJ45-3)="","",INDEX('Final Calculation Sheet'!$B$4:$B$40,$BJ45-3)),IF(OR($BI45=1,$BL45=1,$BH45&gt;0),IF($BI45=1,"GRAND TOTAL  —  matching + remaining",IF($BL45=1,"TOTAL MATCHED  —  every group together",IF($BH45=10,"REMAINING  —  did not match the search",IF($BH45=9,IF(COUNTIF($A$4:$AI$4,"&lt;&gt;")&gt;0,"FILTERED LOTS  —  column fields","ALL LOTS  —  nothing typed in the box"),"GROUP "&amp;$BH45&amp;" TOTAL  —  lots matching  "&amp;INDEX($AR$6:$AY$6,$BH45))))),""))</f>
        <v/>
      </c>
      <c r="E46" s="80">
        <f>IF($BJ45&gt;0,IF(INDEX('Final Calculation Sheet'!$D$4:$D$40,$BJ45-3)="","",INDEX('Final Calculation Sheet'!$D$4:$D$40,$BJ45-3)),IF(OR($BI45=1,$BL45=1,$BH45&gt;0),"–",""))</f>
        <v/>
      </c>
      <c r="F46" s="80">
        <f>IF($BJ45&gt;0,IF(INDEX('Final Calculation Sheet'!$A$4:$A$40,$BJ45-3)="","",INDEX('Final Calculation Sheet'!$A$4:$A$40,$BJ45-3)),IF(OR($BI45=1,$BL45=1,$BH45&gt;0),IF($BI45=1,SUM('Final Calculation Sheet'!$A$4:$A$40),IF($BL45=1,SUM('Final Calculation Sheet'!$A$4:$A$40)-SUMIFS('Final Calculation Sheet'!$A$4:$A$40,$AZ$5:$AZ$41,10),SUMIFS('Final Calculation Sheet'!$A$4:$A$40,$AZ$5:$AZ$41,$BH45))),""))</f>
        <v/>
      </c>
      <c r="G46" s="80">
        <f>IF($BJ45&gt;0,IF(INDEX('Final Calculation Sheet'!$E$4:$E$40,$BJ45-3)="","",INDEX('Final Calculation Sheet'!$E$4:$E$40,$BJ45-3)),IF(OR($BI45=1,$BL45=1,$BH45&gt;0),"–",""))</f>
        <v/>
      </c>
      <c r="H46" s="70">
        <f>IF($BJ45&gt;0,IF(INDEX('Final Calculation Sheet'!$C$4:$C$40,$BJ45-3)="","",INDEX('Final Calculation Sheet'!$C$4:$C$40,$BJ45-3)),IF(OR($BI45=1,$BL45=1,$BH45&gt;0),"–",""))</f>
        <v/>
      </c>
      <c r="I46" s="70">
        <f>IF($BJ45&gt;0,IF(INDEX('Final Calculation Sheet'!$H$4:$H$40,$BJ45-3)="","",INDEX('Final Calculation Sheet'!$H$4:$H$40,$BJ45-3)),IF(OR($BI45=1,$BL45=1,$BH45&gt;0),IF($BI45=1,SUM('Final Calculation Sheet'!$H$4:$H$40),IF($BL45=1,SUM('Final Calculation Sheet'!$H$4:$H$40)-SUMIFS('Final Calculation Sheet'!$H$4:$H$40,$AZ$5:$AZ$41,10),SUMIFS('Final Calculation Sheet'!$H$4:$H$40,$AZ$5:$AZ$41,$BH45))),""))</f>
        <v/>
      </c>
      <c r="J46" s="70">
        <f>IF($BJ45&gt;0,IF(INDEX('Final Calculation Sheet'!$I$4:$I$40,$BJ45-3)="","",INDEX('Final Calculation Sheet'!$I$4:$I$40,$BJ45-3)),IF(OR($BI45=1,$BL45=1,$BH45&gt;0),IF($BI45=1,SUM('Final Calculation Sheet'!$I$4:$I$40),IF($BL45=1,SUM('Final Calculation Sheet'!$I$4:$I$40)-SUMIFS('Final Calculation Sheet'!$I$4:$I$40,$AZ$5:$AZ$41,10),SUMIFS('Final Calculation Sheet'!$I$4:$I$40,$AZ$5:$AZ$41,$BH45))),""))</f>
        <v/>
      </c>
      <c r="K46" s="70">
        <f>IF($BJ45&gt;0,IF(INDEX('Final Calculation Sheet'!$J$4:$J$40,$BJ45-3)="","",INDEX('Final Calculation Sheet'!$J$4:$J$40,$BJ45-3)),IF(OR($BI45=1,$BL45=1,$BH45&gt;0),IF($BI45=1,SUM('Final Calculation Sheet'!$J$4:$J$40),IF($BL45=1,SUM('Final Calculation Sheet'!$J$4:$J$40)-SUMIFS('Final Calculation Sheet'!$J$4:$J$40,$AZ$5:$AZ$41,10),SUMIFS('Final Calculation Sheet'!$J$4:$J$40,$AZ$5:$AZ$41,$BH45))),""))</f>
        <v/>
      </c>
      <c r="L46" s="70">
        <f>IF($BJ45&gt;0,IF(INDEX('Final Calculation Sheet'!$K$4:$K$40,$BJ45-3)="","",INDEX('Final Calculation Sheet'!$K$4:$K$40,$BJ45-3)),IF(OR($BI45=1,$BL45=1,$BH45&gt;0),IF($BI45=1,SUM('Final Calculation Sheet'!$K$4:$K$40),IF($BL45=1,SUM('Final Calculation Sheet'!$K$4:$K$40)-SUMIFS('Final Calculation Sheet'!$K$4:$K$40,$AZ$5:$AZ$41,10),SUMIFS('Final Calculation Sheet'!$K$4:$K$40,$AZ$5:$AZ$41,$BH45))),""))</f>
        <v/>
      </c>
      <c r="M46" s="70">
        <f>IF($BJ45&gt;0,IF(INDEX('Final Calculation Sheet'!$L$4:$L$40,$BJ45-3)="","",INDEX('Final Calculation Sheet'!$L$4:$L$40,$BJ45-3)),IF(OR($BI45=1,$BL45=1,$BH45&gt;0),IF($BI45=1,SUM('Final Calculation Sheet'!$L$4:$L$40),IF($BL45=1,SUM('Final Calculation Sheet'!$L$4:$L$40)-SUMIFS('Final Calculation Sheet'!$L$4:$L$40,$AZ$5:$AZ$41,10),SUMIFS('Final Calculation Sheet'!$L$4:$L$40,$AZ$5:$AZ$41,$BH45))),""))</f>
        <v/>
      </c>
      <c r="N46" s="70">
        <f>IF($BJ45&gt;0,IF(INDEX('Final Calculation Sheet'!$M$4:$M$40,$BJ45-3)="","",INDEX('Final Calculation Sheet'!$M$4:$M$40,$BJ45-3)),IF(OR($BI45=1,$BL45=1,$BH45&gt;0),IF($BI45=1,SUM('Final Calculation Sheet'!$M$4:$M$40),IF($BL45=1,SUM('Final Calculation Sheet'!$M$4:$M$40)-SUMIFS('Final Calculation Sheet'!$M$4:$M$40,$AZ$5:$AZ$41,10),SUMIFS('Final Calculation Sheet'!$M$4:$M$40,$AZ$5:$AZ$41,$BH45))),""))</f>
        <v/>
      </c>
      <c r="O46" s="71">
        <f>IF($BJ45&gt;0,IF(INDEX('Final Calculation Sheet'!$N$4:$N$40,$BJ45-3)="","",INDEX('Final Calculation Sheet'!$N$4:$N$40,$BJ45-3)),IF(OR($BI45=1,$BL45=1,$BH45&gt;0),IF($BI45=1,SUM('Final Calculation Sheet'!$N$4:$N$40),IF($BL45=1,SUM('Final Calculation Sheet'!$N$4:$N$40)-SUMIFS('Final Calculation Sheet'!$N$4:$N$40,$AZ$5:$AZ$41,10),SUMIFS('Final Calculation Sheet'!$N$4:$N$40,$AZ$5:$AZ$41,$BH45))),""))</f>
        <v/>
      </c>
      <c r="P46" s="70">
        <f>IF($BJ45&gt;0,IF(INDEX('Final Calculation Sheet'!$O$4:$O$40,$BJ45-3)="","",INDEX('Final Calculation Sheet'!$O$4:$O$40,$BJ45-3)),IF(OR($BI45=1,$BL45=1,$BH45&gt;0),IF($BI45=1,SUM('Final Calculation Sheet'!$O$4:$O$40),IF($BL45=1,SUM('Final Calculation Sheet'!$O$4:$O$40)-SUMIFS('Final Calculation Sheet'!$O$4:$O$40,$AZ$5:$AZ$41,10),SUMIFS('Final Calculation Sheet'!$O$4:$O$40,$AZ$5:$AZ$41,$BH45))),""))</f>
        <v/>
      </c>
      <c r="Q46" s="70">
        <f>IF($BJ45&gt;0,IF(INDEX('Final Calculation Sheet'!$P$4:$P$40,$BJ45-3)="","",INDEX('Final Calculation Sheet'!$P$4:$P$40,$BJ45-3)),IF(OR($BI45=1,$BL45=1,$BH45&gt;0),IF($BI45=1,SUM('Final Calculation Sheet'!$P$4:$P$40),IF($BL45=1,SUM('Final Calculation Sheet'!$P$4:$P$40)-SUMIFS('Final Calculation Sheet'!$P$4:$P$40,$AZ$5:$AZ$41,10),SUMIFS('Final Calculation Sheet'!$P$4:$P$40,$AZ$5:$AZ$41,$BH45))),""))</f>
        <v/>
      </c>
      <c r="R46" s="72">
        <f>IF($BJ45&gt;0,IF(INDEX('Final Calculation Sheet'!$Q$4:$Q$40,$BJ45-3)="","",INDEX('Final Calculation Sheet'!$Q$4:$Q$40,$BJ45-3)),IF(OR($BI45=1,$BL45=1,$BH45&gt;0),"–",""))</f>
        <v/>
      </c>
      <c r="S46" s="70">
        <f>IF($BJ45&gt;0,IF(INDEX('Final Calculation Sheet'!$R$4:$R$40,$BJ45-3)="","",INDEX('Final Calculation Sheet'!$R$4:$R$40,$BJ45-3)),IF(OR($BI45=1,$BL45=1,$BH45&gt;0),IF($BI45=1,SUM('Final Calculation Sheet'!$R$4:$R$40),IF($BL45=1,SUM('Final Calculation Sheet'!$R$4:$R$40)-SUMIFS('Final Calculation Sheet'!$R$4:$R$40,$AZ$5:$AZ$41,10),SUMIFS('Final Calculation Sheet'!$R$4:$R$40,$AZ$5:$AZ$41,$BH45))),""))</f>
        <v/>
      </c>
      <c r="T46" s="70">
        <f>IF($BJ45&gt;0,IF(INDEX('Final Calculation Sheet'!$S$4:$S$40,$BJ45-3)="","",INDEX('Final Calculation Sheet'!$S$4:$S$40,$BJ45-3)),IF(OR($BI45=1,$BL45=1,$BH45&gt;0),IF($BI45=1,SUM('Final Calculation Sheet'!$S$4:$S$40),IF($BL45=1,SUM('Final Calculation Sheet'!$S$4:$S$40)-SUMIFS('Final Calculation Sheet'!$S$4:$S$40,$AZ$5:$AZ$41,10),SUMIFS('Final Calculation Sheet'!$S$4:$S$40,$AZ$5:$AZ$41,$BH45))),""))</f>
        <v/>
      </c>
      <c r="U46" s="70">
        <f>IF($BJ45&gt;0,IF(INDEX('Final Calculation Sheet'!$T$4:$T$40,$BJ45-3)="","",INDEX('Final Calculation Sheet'!$T$4:$T$40,$BJ45-3)),IF(OR($BI45=1,$BL45=1,$BH45&gt;0),IF($BI45=1,SUM('Final Calculation Sheet'!$T$4:$T$40),IF($BL45=1,SUM('Final Calculation Sheet'!$T$4:$T$40)-SUMIFS('Final Calculation Sheet'!$T$4:$T$40,$AZ$5:$AZ$41,10),SUMIFS('Final Calculation Sheet'!$T$4:$T$40,$AZ$5:$AZ$41,$BH45))),""))</f>
        <v/>
      </c>
      <c r="V46" s="73">
        <f>IF($BJ45&gt;0,IF(INDEX('Final Calculation Sheet'!$U$4:$U$40,$BJ45-3)="","",INDEX('Final Calculation Sheet'!$U$4:$U$40,$BJ45-3)),IF(OR($BI45=1,$BL45=1,$BH45&gt;0),IF($BI45=1,SUM('Final Calculation Sheet'!$U$4:$U$40),IF($BL45=1,SUM('Final Calculation Sheet'!$U$4:$U$40)-SUMIFS('Final Calculation Sheet'!$U$4:$U$40,$AZ$5:$AZ$41,10),SUMIFS('Final Calculation Sheet'!$U$4:$U$40,$AZ$5:$AZ$41,$BH45))),""))</f>
        <v/>
      </c>
      <c r="W46" s="70">
        <f>IF($BJ45&gt;0,IF(INDEX('Final Calculation Sheet'!$V$4:$V$40,$BJ45-3)="","",INDEX('Final Calculation Sheet'!$V$4:$V$40,$BJ45-3)),IF(OR($BI45=1,$BL45=1,$BH45&gt;0),"–",""))</f>
        <v/>
      </c>
      <c r="X46" s="70">
        <f>IF($BJ45&gt;0,IF(INDEX('Final Calculation Sheet'!$W$4:$W$40,$BJ45-3)="","",INDEX('Final Calculation Sheet'!$W$4:$W$40,$BJ45-3)),IF(OR($BI45=1,$BL45=1,$BH45&gt;0),IF($BI45=1,SUM('Final Calculation Sheet'!$W$4:$W$40),IF($BL45=1,SUM('Final Calculation Sheet'!$W$4:$W$40)-SUMIFS('Final Calculation Sheet'!$W$4:$W$40,$AZ$5:$AZ$41,10),SUMIFS('Final Calculation Sheet'!$W$4:$W$40,$AZ$5:$AZ$41,$BH45))),""))</f>
        <v/>
      </c>
      <c r="Y46" s="70">
        <f>IF($BJ45&gt;0,IF(INDEX('Final Calculation Sheet'!$X$4:$X$40,$BJ45-3)="","",INDEX('Final Calculation Sheet'!$X$4:$X$40,$BJ45-3)),IF(OR($BI45=1,$BL45=1,$BH45&gt;0),IF($BI45=1,SUM('Final Calculation Sheet'!$X$4:$X$40),IF($BL45=1,SUM('Final Calculation Sheet'!$X$4:$X$40)-SUMIFS('Final Calculation Sheet'!$X$4:$X$40,$AZ$5:$AZ$41,10),SUMIFS('Final Calculation Sheet'!$X$4:$X$40,$AZ$5:$AZ$41,$BH45))),""))</f>
        <v/>
      </c>
      <c r="Z46" s="70">
        <f>IF($BJ45&gt;0,IF(INDEX('Final Calculation Sheet'!$Y$4:$Y$40,$BJ45-3)="","",INDEX('Final Calculation Sheet'!$Y$4:$Y$40,$BJ45-3)),IF(OR($BI45=1,$BL45=1,$BH45&gt;0),"–",""))</f>
        <v/>
      </c>
      <c r="AA46" s="70">
        <f>IF($BJ45&gt;0,IF(INDEX('Final Calculation Sheet'!$Z$4:$Z$40,$BJ45-3)="","",INDEX('Final Calculation Sheet'!$Z$4:$Z$40,$BJ45-3)),IF(OR($BI45=1,$BL45=1,$BH45&gt;0),IF($BI45=1,SUM('Final Calculation Sheet'!$Z$4:$Z$40),IF($BL45=1,SUM('Final Calculation Sheet'!$Z$4:$Z$40)-SUMIFS('Final Calculation Sheet'!$Z$4:$Z$40,$AZ$5:$AZ$41,10),SUMIFS('Final Calculation Sheet'!$Z$4:$Z$40,$AZ$5:$AZ$41,$BH45))),""))</f>
        <v/>
      </c>
      <c r="AB46" s="70">
        <f>IF($BJ45&gt;0,IF(INDEX('Final Calculation Sheet'!$AA$4:$AA$40,$BJ45-3)="","",INDEX('Final Calculation Sheet'!$AA$4:$AA$40,$BJ45-3)),IF(OR($BI45=1,$BL45=1,$BH45&gt;0),IF($BI45=1,SUM('Final Calculation Sheet'!$AA$4:$AA$40),IF($BL45=1,SUM('Final Calculation Sheet'!$AA$4:$AA$40)-SUMIFS('Final Calculation Sheet'!$AA$4:$AA$40,$AZ$5:$AZ$41,10),SUMIFS('Final Calculation Sheet'!$AA$4:$AA$40,$AZ$5:$AZ$41,$BH45))),""))</f>
        <v/>
      </c>
      <c r="AC46" s="70">
        <f>IF($BJ45&gt;0,IF(INDEX('Final Calculation Sheet'!$AB$4:$AB$40,$BJ45-3)="","",INDEX('Final Calculation Sheet'!$AB$4:$AB$40,$BJ45-3)),IF(OR($BI45=1,$BL45=1,$BH45&gt;0),"–",""))</f>
        <v/>
      </c>
      <c r="AD46" s="70">
        <f>IF($BJ45&gt;0,IF(INDEX('Final Calculation Sheet'!$AC$4:$AC$40,$BJ45-3)="","",INDEX('Final Calculation Sheet'!$AC$4:$AC$40,$BJ45-3)),IF(OR($BI45=1,$BL45=1,$BH45&gt;0),IF($BI45=1,SUM('Final Calculation Sheet'!$AC$4:$AC$40),IF($BL45=1,SUM('Final Calculation Sheet'!$AC$4:$AC$40)-SUMIFS('Final Calculation Sheet'!$AC$4:$AC$40,$AZ$5:$AZ$41,10),SUMIFS('Final Calculation Sheet'!$AC$4:$AC$40,$AZ$5:$AZ$41,$BH45))),""))</f>
        <v/>
      </c>
      <c r="AE46" s="70">
        <f>IF($BJ45&gt;0,IF(INDEX('Final Calculation Sheet'!$AD$4:$AD$40,$BJ45-3)="","",INDEX('Final Calculation Sheet'!$AD$4:$AD$40,$BJ45-3)),IF(OR($BI45=1,$BL45=1,$BH45&gt;0),IF($BI45=1,SUM('Final Calculation Sheet'!$AD$4:$AD$40),IF($BL45=1,SUM('Final Calculation Sheet'!$AD$4:$AD$40)-SUMIFS('Final Calculation Sheet'!$AD$4:$AD$40,$AZ$5:$AZ$41,10),SUMIFS('Final Calculation Sheet'!$AD$4:$AD$40,$AZ$5:$AZ$41,$BH45))),""))</f>
        <v/>
      </c>
      <c r="AF46" s="75">
        <f>IF($BJ45&gt;0,IF(INDEX('Final Calculation Sheet'!$AD$4:$AD$40,$BJ45-3)="","",IF(INDEX('Final Calculation Sheet'!$AD$4:$AD$40,$BJ45-3)&lt;=5,"SETTLED","OUTSTANDING")),IF(OR($BI45=1,$BL45=1,$BH45&gt;0),IF(IF($BI45=1,SUM('Final Calculation Sheet'!$AD$4:$AD$40),IF($BL45=1,SUM('Final Calculation Sheet'!$AD$4:$AD$40)-SUMIFS('Final Calculation Sheet'!$AD$4:$AD$40,$AZ$5:$AZ$41,10),SUMIFS('Final Calculation Sheet'!$AD$4:$AD$40,$AZ$5:$AZ$41,$BH45)))&lt;=5,"ALL SETTLED","OUTSTANDING"),""))</f>
        <v/>
      </c>
      <c r="AG46" s="70">
        <f>IF($BJ45&gt;0,IF(INDEX('Final Calculation Sheet'!$AF$4:$AF$40,$BJ45-3)="","",INDEX('Final Calculation Sheet'!$AF$4:$AF$40,$BJ45-3)),IF(OR($BI45=1,$BL45=1,$BH45&gt;0),"–",""))</f>
        <v/>
      </c>
      <c r="AH46" s="74">
        <f>IF($BJ45&gt;0,IF(INDEX('Final Calculation Sheet'!$AG$4:$AG$40,$BJ45-3)="","",INDEX('Final Calculation Sheet'!$AG$4:$AG$40,$BJ45-3)),IF(OR($BI45=1,$BL45=1,$BH45&gt;0),"–",""))</f>
        <v/>
      </c>
      <c r="AI46" s="70">
        <f>IF($BJ45&gt;0,IF(INDEX('Final Calculation Sheet'!$AH$4:$AH$40,$BJ45-3)="","",INDEX('Final Calculation Sheet'!$AH$4:$AH$40,$BJ45-3)),IF(OR($BI45=1,$BL45=1,$BH45&gt;0),"–",""))</f>
        <v/>
      </c>
      <c r="BH46">
        <f>IFERROR(MATCH(46,$BF$4:$BF$13,0),0)</f>
        <v/>
      </c>
      <c r="BI46">
        <f>IF(46=$BG$5,1,0)</f>
        <v/>
      </c>
      <c r="BJ46">
        <f>IF(OR($BH46&gt;0,$BI46=1,$BL46=1),0,IFERROR(INDEX($BC$5:$BC$41,MATCH(46,$BB$5:$BB$41,0)),0))</f>
        <v/>
      </c>
      <c r="BK46">
        <f>IF($BJ46&gt;0,IF(INDEX($AZ$5:$AZ$41,MATCH(46,$BB$5:$BB$41,0))=10,1,0),IF($BH46=10,1,0))</f>
        <v/>
      </c>
      <c r="BL46">
        <f>IF(46=$BG$4,1,0)</f>
        <v/>
      </c>
    </row>
    <row r="47" ht="15" customHeight="1" s="137">
      <c r="A47" s="67">
        <f>IF($BJ46&gt;0,INDEX($BA$5:$BA$41,MATCH(46,$BB$5:$BB$41,0)),IF(OR($BI46=1,$BL46=1,$BH46&gt;0),"∑",""))</f>
        <v/>
      </c>
      <c r="B47" s="76">
        <f>IF($BJ46&gt;0,IF(INDEX('Final Calculation Sheet'!$F$4:$F$40,$BJ46-3)="","",INDEX('Final Calculation Sheet'!$F$4:$F$40,$BJ46-3)),"")</f>
        <v/>
      </c>
      <c r="C47" s="76">
        <f>IF($BJ46&gt;0,IF(INDEX('Final Calculation Sheet'!$G$4:$G$40,$BJ46-3)="","",INDEX('Final Calculation Sheet'!$G$4:$G$40,$BJ46-3)),IF(OR($BI46=1,$BL46=1,$BH46&gt;0),IF($BI46=1,37,IF($BL46=1,37-INDEX($BD$4:$BD$13,10),INDEX($BD$4:$BD$13,$BH46)))&amp;" lot(s)",""))</f>
        <v/>
      </c>
      <c r="D47" s="80">
        <f>IF($BJ46&gt;0,IF(INDEX('Final Calculation Sheet'!$B$4:$B$40,$BJ46-3)="","",INDEX('Final Calculation Sheet'!$B$4:$B$40,$BJ46-3)),IF(OR($BI46=1,$BL46=1,$BH46&gt;0),IF($BI46=1,"GRAND TOTAL  —  matching + remaining",IF($BL46=1,"TOTAL MATCHED  —  every group together",IF($BH46=10,"REMAINING  —  did not match the search",IF($BH46=9,IF(COUNTIF($A$4:$AI$4,"&lt;&gt;")&gt;0,"FILTERED LOTS  —  column fields","ALL LOTS  —  nothing typed in the box"),"GROUP "&amp;$BH46&amp;" TOTAL  —  lots matching  "&amp;INDEX($AR$6:$AY$6,$BH46))))),""))</f>
        <v/>
      </c>
      <c r="E47" s="80">
        <f>IF($BJ46&gt;0,IF(INDEX('Final Calculation Sheet'!$D$4:$D$40,$BJ46-3)="","",INDEX('Final Calculation Sheet'!$D$4:$D$40,$BJ46-3)),IF(OR($BI46=1,$BL46=1,$BH46&gt;0),"–",""))</f>
        <v/>
      </c>
      <c r="F47" s="80">
        <f>IF($BJ46&gt;0,IF(INDEX('Final Calculation Sheet'!$A$4:$A$40,$BJ46-3)="","",INDEX('Final Calculation Sheet'!$A$4:$A$40,$BJ46-3)),IF(OR($BI46=1,$BL46=1,$BH46&gt;0),IF($BI46=1,SUM('Final Calculation Sheet'!$A$4:$A$40),IF($BL46=1,SUM('Final Calculation Sheet'!$A$4:$A$40)-SUMIFS('Final Calculation Sheet'!$A$4:$A$40,$AZ$5:$AZ$41,10),SUMIFS('Final Calculation Sheet'!$A$4:$A$40,$AZ$5:$AZ$41,$BH46))),""))</f>
        <v/>
      </c>
      <c r="G47" s="80">
        <f>IF($BJ46&gt;0,IF(INDEX('Final Calculation Sheet'!$E$4:$E$40,$BJ46-3)="","",INDEX('Final Calculation Sheet'!$E$4:$E$40,$BJ46-3)),IF(OR($BI46=1,$BL46=1,$BH46&gt;0),"–",""))</f>
        <v/>
      </c>
      <c r="H47" s="70">
        <f>IF($BJ46&gt;0,IF(INDEX('Final Calculation Sheet'!$C$4:$C$40,$BJ46-3)="","",INDEX('Final Calculation Sheet'!$C$4:$C$40,$BJ46-3)),IF(OR($BI46=1,$BL46=1,$BH46&gt;0),"–",""))</f>
        <v/>
      </c>
      <c r="I47" s="70">
        <f>IF($BJ46&gt;0,IF(INDEX('Final Calculation Sheet'!$H$4:$H$40,$BJ46-3)="","",INDEX('Final Calculation Sheet'!$H$4:$H$40,$BJ46-3)),IF(OR($BI46=1,$BL46=1,$BH46&gt;0),IF($BI46=1,SUM('Final Calculation Sheet'!$H$4:$H$40),IF($BL46=1,SUM('Final Calculation Sheet'!$H$4:$H$40)-SUMIFS('Final Calculation Sheet'!$H$4:$H$40,$AZ$5:$AZ$41,10),SUMIFS('Final Calculation Sheet'!$H$4:$H$40,$AZ$5:$AZ$41,$BH46))),""))</f>
        <v/>
      </c>
      <c r="J47" s="70">
        <f>IF($BJ46&gt;0,IF(INDEX('Final Calculation Sheet'!$I$4:$I$40,$BJ46-3)="","",INDEX('Final Calculation Sheet'!$I$4:$I$40,$BJ46-3)),IF(OR($BI46=1,$BL46=1,$BH46&gt;0),IF($BI46=1,SUM('Final Calculation Sheet'!$I$4:$I$40),IF($BL46=1,SUM('Final Calculation Sheet'!$I$4:$I$40)-SUMIFS('Final Calculation Sheet'!$I$4:$I$40,$AZ$5:$AZ$41,10),SUMIFS('Final Calculation Sheet'!$I$4:$I$40,$AZ$5:$AZ$41,$BH46))),""))</f>
        <v/>
      </c>
      <c r="K47" s="70">
        <f>IF($BJ46&gt;0,IF(INDEX('Final Calculation Sheet'!$J$4:$J$40,$BJ46-3)="","",INDEX('Final Calculation Sheet'!$J$4:$J$40,$BJ46-3)),IF(OR($BI46=1,$BL46=1,$BH46&gt;0),IF($BI46=1,SUM('Final Calculation Sheet'!$J$4:$J$40),IF($BL46=1,SUM('Final Calculation Sheet'!$J$4:$J$40)-SUMIFS('Final Calculation Sheet'!$J$4:$J$40,$AZ$5:$AZ$41,10),SUMIFS('Final Calculation Sheet'!$J$4:$J$40,$AZ$5:$AZ$41,$BH46))),""))</f>
        <v/>
      </c>
      <c r="L47" s="70">
        <f>IF($BJ46&gt;0,IF(INDEX('Final Calculation Sheet'!$K$4:$K$40,$BJ46-3)="","",INDEX('Final Calculation Sheet'!$K$4:$K$40,$BJ46-3)),IF(OR($BI46=1,$BL46=1,$BH46&gt;0),IF($BI46=1,SUM('Final Calculation Sheet'!$K$4:$K$40),IF($BL46=1,SUM('Final Calculation Sheet'!$K$4:$K$40)-SUMIFS('Final Calculation Sheet'!$K$4:$K$40,$AZ$5:$AZ$41,10),SUMIFS('Final Calculation Sheet'!$K$4:$K$40,$AZ$5:$AZ$41,$BH46))),""))</f>
        <v/>
      </c>
      <c r="M47" s="70">
        <f>IF($BJ46&gt;0,IF(INDEX('Final Calculation Sheet'!$L$4:$L$40,$BJ46-3)="","",INDEX('Final Calculation Sheet'!$L$4:$L$40,$BJ46-3)),IF(OR($BI46=1,$BL46=1,$BH46&gt;0),IF($BI46=1,SUM('Final Calculation Sheet'!$L$4:$L$40),IF($BL46=1,SUM('Final Calculation Sheet'!$L$4:$L$40)-SUMIFS('Final Calculation Sheet'!$L$4:$L$40,$AZ$5:$AZ$41,10),SUMIFS('Final Calculation Sheet'!$L$4:$L$40,$AZ$5:$AZ$41,$BH46))),""))</f>
        <v/>
      </c>
      <c r="N47" s="70">
        <f>IF($BJ46&gt;0,IF(INDEX('Final Calculation Sheet'!$M$4:$M$40,$BJ46-3)="","",INDEX('Final Calculation Sheet'!$M$4:$M$40,$BJ46-3)),IF(OR($BI46=1,$BL46=1,$BH46&gt;0),IF($BI46=1,SUM('Final Calculation Sheet'!$M$4:$M$40),IF($BL46=1,SUM('Final Calculation Sheet'!$M$4:$M$40)-SUMIFS('Final Calculation Sheet'!$M$4:$M$40,$AZ$5:$AZ$41,10),SUMIFS('Final Calculation Sheet'!$M$4:$M$40,$AZ$5:$AZ$41,$BH46))),""))</f>
        <v/>
      </c>
      <c r="O47" s="71">
        <f>IF($BJ46&gt;0,IF(INDEX('Final Calculation Sheet'!$N$4:$N$40,$BJ46-3)="","",INDEX('Final Calculation Sheet'!$N$4:$N$40,$BJ46-3)),IF(OR($BI46=1,$BL46=1,$BH46&gt;0),IF($BI46=1,SUM('Final Calculation Sheet'!$N$4:$N$40),IF($BL46=1,SUM('Final Calculation Sheet'!$N$4:$N$40)-SUMIFS('Final Calculation Sheet'!$N$4:$N$40,$AZ$5:$AZ$41,10),SUMIFS('Final Calculation Sheet'!$N$4:$N$40,$AZ$5:$AZ$41,$BH46))),""))</f>
        <v/>
      </c>
      <c r="P47" s="70">
        <f>IF($BJ46&gt;0,IF(INDEX('Final Calculation Sheet'!$O$4:$O$40,$BJ46-3)="","",INDEX('Final Calculation Sheet'!$O$4:$O$40,$BJ46-3)),IF(OR($BI46=1,$BL46=1,$BH46&gt;0),IF($BI46=1,SUM('Final Calculation Sheet'!$O$4:$O$40),IF($BL46=1,SUM('Final Calculation Sheet'!$O$4:$O$40)-SUMIFS('Final Calculation Sheet'!$O$4:$O$40,$AZ$5:$AZ$41,10),SUMIFS('Final Calculation Sheet'!$O$4:$O$40,$AZ$5:$AZ$41,$BH46))),""))</f>
        <v/>
      </c>
      <c r="Q47" s="70">
        <f>IF($BJ46&gt;0,IF(INDEX('Final Calculation Sheet'!$P$4:$P$40,$BJ46-3)="","",INDEX('Final Calculation Sheet'!$P$4:$P$40,$BJ46-3)),IF(OR($BI46=1,$BL46=1,$BH46&gt;0),IF($BI46=1,SUM('Final Calculation Sheet'!$P$4:$P$40),IF($BL46=1,SUM('Final Calculation Sheet'!$P$4:$P$40)-SUMIFS('Final Calculation Sheet'!$P$4:$P$40,$AZ$5:$AZ$41,10),SUMIFS('Final Calculation Sheet'!$P$4:$P$40,$AZ$5:$AZ$41,$BH46))),""))</f>
        <v/>
      </c>
      <c r="R47" s="72">
        <f>IF($BJ46&gt;0,IF(INDEX('Final Calculation Sheet'!$Q$4:$Q$40,$BJ46-3)="","",INDEX('Final Calculation Sheet'!$Q$4:$Q$40,$BJ46-3)),IF(OR($BI46=1,$BL46=1,$BH46&gt;0),"–",""))</f>
        <v/>
      </c>
      <c r="S47" s="70">
        <f>IF($BJ46&gt;0,IF(INDEX('Final Calculation Sheet'!$R$4:$R$40,$BJ46-3)="","",INDEX('Final Calculation Sheet'!$R$4:$R$40,$BJ46-3)),IF(OR($BI46=1,$BL46=1,$BH46&gt;0),IF($BI46=1,SUM('Final Calculation Sheet'!$R$4:$R$40),IF($BL46=1,SUM('Final Calculation Sheet'!$R$4:$R$40)-SUMIFS('Final Calculation Sheet'!$R$4:$R$40,$AZ$5:$AZ$41,10),SUMIFS('Final Calculation Sheet'!$R$4:$R$40,$AZ$5:$AZ$41,$BH46))),""))</f>
        <v/>
      </c>
      <c r="T47" s="70">
        <f>IF($BJ46&gt;0,IF(INDEX('Final Calculation Sheet'!$S$4:$S$40,$BJ46-3)="","",INDEX('Final Calculation Sheet'!$S$4:$S$40,$BJ46-3)),IF(OR($BI46=1,$BL46=1,$BH46&gt;0),IF($BI46=1,SUM('Final Calculation Sheet'!$S$4:$S$40),IF($BL46=1,SUM('Final Calculation Sheet'!$S$4:$S$40)-SUMIFS('Final Calculation Sheet'!$S$4:$S$40,$AZ$5:$AZ$41,10),SUMIFS('Final Calculation Sheet'!$S$4:$S$40,$AZ$5:$AZ$41,$BH46))),""))</f>
        <v/>
      </c>
      <c r="U47" s="70">
        <f>IF($BJ46&gt;0,IF(INDEX('Final Calculation Sheet'!$T$4:$T$40,$BJ46-3)="","",INDEX('Final Calculation Sheet'!$T$4:$T$40,$BJ46-3)),IF(OR($BI46=1,$BL46=1,$BH46&gt;0),IF($BI46=1,SUM('Final Calculation Sheet'!$T$4:$T$40),IF($BL46=1,SUM('Final Calculation Sheet'!$T$4:$T$40)-SUMIFS('Final Calculation Sheet'!$T$4:$T$40,$AZ$5:$AZ$41,10),SUMIFS('Final Calculation Sheet'!$T$4:$T$40,$AZ$5:$AZ$41,$BH46))),""))</f>
        <v/>
      </c>
      <c r="V47" s="73">
        <f>IF($BJ46&gt;0,IF(INDEX('Final Calculation Sheet'!$U$4:$U$40,$BJ46-3)="","",INDEX('Final Calculation Sheet'!$U$4:$U$40,$BJ46-3)),IF(OR($BI46=1,$BL46=1,$BH46&gt;0),IF($BI46=1,SUM('Final Calculation Sheet'!$U$4:$U$40),IF($BL46=1,SUM('Final Calculation Sheet'!$U$4:$U$40)-SUMIFS('Final Calculation Sheet'!$U$4:$U$40,$AZ$5:$AZ$41,10),SUMIFS('Final Calculation Sheet'!$U$4:$U$40,$AZ$5:$AZ$41,$BH46))),""))</f>
        <v/>
      </c>
      <c r="W47" s="70">
        <f>IF($BJ46&gt;0,IF(INDEX('Final Calculation Sheet'!$V$4:$V$40,$BJ46-3)="","",INDEX('Final Calculation Sheet'!$V$4:$V$40,$BJ46-3)),IF(OR($BI46=1,$BL46=1,$BH46&gt;0),"–",""))</f>
        <v/>
      </c>
      <c r="X47" s="70">
        <f>IF($BJ46&gt;0,IF(INDEX('Final Calculation Sheet'!$W$4:$W$40,$BJ46-3)="","",INDEX('Final Calculation Sheet'!$W$4:$W$40,$BJ46-3)),IF(OR($BI46=1,$BL46=1,$BH46&gt;0),IF($BI46=1,SUM('Final Calculation Sheet'!$W$4:$W$40),IF($BL46=1,SUM('Final Calculation Sheet'!$W$4:$W$40)-SUMIFS('Final Calculation Sheet'!$W$4:$W$40,$AZ$5:$AZ$41,10),SUMIFS('Final Calculation Sheet'!$W$4:$W$40,$AZ$5:$AZ$41,$BH46))),""))</f>
        <v/>
      </c>
      <c r="Y47" s="70">
        <f>IF($BJ46&gt;0,IF(INDEX('Final Calculation Sheet'!$X$4:$X$40,$BJ46-3)="","",INDEX('Final Calculation Sheet'!$X$4:$X$40,$BJ46-3)),IF(OR($BI46=1,$BL46=1,$BH46&gt;0),IF($BI46=1,SUM('Final Calculation Sheet'!$X$4:$X$40),IF($BL46=1,SUM('Final Calculation Sheet'!$X$4:$X$40)-SUMIFS('Final Calculation Sheet'!$X$4:$X$40,$AZ$5:$AZ$41,10),SUMIFS('Final Calculation Sheet'!$X$4:$X$40,$AZ$5:$AZ$41,$BH46))),""))</f>
        <v/>
      </c>
      <c r="Z47" s="70">
        <f>IF($BJ46&gt;0,IF(INDEX('Final Calculation Sheet'!$Y$4:$Y$40,$BJ46-3)="","",INDEX('Final Calculation Sheet'!$Y$4:$Y$40,$BJ46-3)),IF(OR($BI46=1,$BL46=1,$BH46&gt;0),"–",""))</f>
        <v/>
      </c>
      <c r="AA47" s="70">
        <f>IF($BJ46&gt;0,IF(INDEX('Final Calculation Sheet'!$Z$4:$Z$40,$BJ46-3)="","",INDEX('Final Calculation Sheet'!$Z$4:$Z$40,$BJ46-3)),IF(OR($BI46=1,$BL46=1,$BH46&gt;0),IF($BI46=1,SUM('Final Calculation Sheet'!$Z$4:$Z$40),IF($BL46=1,SUM('Final Calculation Sheet'!$Z$4:$Z$40)-SUMIFS('Final Calculation Sheet'!$Z$4:$Z$40,$AZ$5:$AZ$41,10),SUMIFS('Final Calculation Sheet'!$Z$4:$Z$40,$AZ$5:$AZ$41,$BH46))),""))</f>
        <v/>
      </c>
      <c r="AB47" s="70">
        <f>IF($BJ46&gt;0,IF(INDEX('Final Calculation Sheet'!$AA$4:$AA$40,$BJ46-3)="","",INDEX('Final Calculation Sheet'!$AA$4:$AA$40,$BJ46-3)),IF(OR($BI46=1,$BL46=1,$BH46&gt;0),IF($BI46=1,SUM('Final Calculation Sheet'!$AA$4:$AA$40),IF($BL46=1,SUM('Final Calculation Sheet'!$AA$4:$AA$40)-SUMIFS('Final Calculation Sheet'!$AA$4:$AA$40,$AZ$5:$AZ$41,10),SUMIFS('Final Calculation Sheet'!$AA$4:$AA$40,$AZ$5:$AZ$41,$BH46))),""))</f>
        <v/>
      </c>
      <c r="AC47" s="70">
        <f>IF($BJ46&gt;0,IF(INDEX('Final Calculation Sheet'!$AB$4:$AB$40,$BJ46-3)="","",INDEX('Final Calculation Sheet'!$AB$4:$AB$40,$BJ46-3)),IF(OR($BI46=1,$BL46=1,$BH46&gt;0),"–",""))</f>
        <v/>
      </c>
      <c r="AD47" s="70">
        <f>IF($BJ46&gt;0,IF(INDEX('Final Calculation Sheet'!$AC$4:$AC$40,$BJ46-3)="","",INDEX('Final Calculation Sheet'!$AC$4:$AC$40,$BJ46-3)),IF(OR($BI46=1,$BL46=1,$BH46&gt;0),IF($BI46=1,SUM('Final Calculation Sheet'!$AC$4:$AC$40),IF($BL46=1,SUM('Final Calculation Sheet'!$AC$4:$AC$40)-SUMIFS('Final Calculation Sheet'!$AC$4:$AC$40,$AZ$5:$AZ$41,10),SUMIFS('Final Calculation Sheet'!$AC$4:$AC$40,$AZ$5:$AZ$41,$BH46))),""))</f>
        <v/>
      </c>
      <c r="AE47" s="70">
        <f>IF($BJ46&gt;0,IF(INDEX('Final Calculation Sheet'!$AD$4:$AD$40,$BJ46-3)="","",INDEX('Final Calculation Sheet'!$AD$4:$AD$40,$BJ46-3)),IF(OR($BI46=1,$BL46=1,$BH46&gt;0),IF($BI46=1,SUM('Final Calculation Sheet'!$AD$4:$AD$40),IF($BL46=1,SUM('Final Calculation Sheet'!$AD$4:$AD$40)-SUMIFS('Final Calculation Sheet'!$AD$4:$AD$40,$AZ$5:$AZ$41,10),SUMIFS('Final Calculation Sheet'!$AD$4:$AD$40,$AZ$5:$AZ$41,$BH46))),""))</f>
        <v/>
      </c>
      <c r="AF47" s="75">
        <f>IF($BJ46&gt;0,IF(INDEX('Final Calculation Sheet'!$AD$4:$AD$40,$BJ46-3)="","",IF(INDEX('Final Calculation Sheet'!$AD$4:$AD$40,$BJ46-3)&lt;=5,"SETTLED","OUTSTANDING")),IF(OR($BI46=1,$BL46=1,$BH46&gt;0),IF(IF($BI46=1,SUM('Final Calculation Sheet'!$AD$4:$AD$40),IF($BL46=1,SUM('Final Calculation Sheet'!$AD$4:$AD$40)-SUMIFS('Final Calculation Sheet'!$AD$4:$AD$40,$AZ$5:$AZ$41,10),SUMIFS('Final Calculation Sheet'!$AD$4:$AD$40,$AZ$5:$AZ$41,$BH46)))&lt;=5,"ALL SETTLED","OUTSTANDING"),""))</f>
        <v/>
      </c>
      <c r="AG47" s="70">
        <f>IF($BJ46&gt;0,IF(INDEX('Final Calculation Sheet'!$AF$4:$AF$40,$BJ46-3)="","",INDEX('Final Calculation Sheet'!$AF$4:$AF$40,$BJ46-3)),IF(OR($BI46=1,$BL46=1,$BH46&gt;0),"–",""))</f>
        <v/>
      </c>
      <c r="AH47" s="74">
        <f>IF($BJ46&gt;0,IF(INDEX('Final Calculation Sheet'!$AG$4:$AG$40,$BJ46-3)="","",INDEX('Final Calculation Sheet'!$AG$4:$AG$40,$BJ46-3)),IF(OR($BI46=1,$BL46=1,$BH46&gt;0),"–",""))</f>
        <v/>
      </c>
      <c r="AI47" s="70">
        <f>IF($BJ46&gt;0,IF(INDEX('Final Calculation Sheet'!$AH$4:$AH$40,$BJ46-3)="","",INDEX('Final Calculation Sheet'!$AH$4:$AH$40,$BJ46-3)),IF(OR($BI46=1,$BL46=1,$BH46&gt;0),"–",""))</f>
        <v/>
      </c>
      <c r="BH47">
        <f>IFERROR(MATCH(47,$BF$4:$BF$13,0),0)</f>
        <v/>
      </c>
      <c r="BI47">
        <f>IF(47=$BG$5,1,0)</f>
        <v/>
      </c>
      <c r="BJ47">
        <f>IF(OR($BH47&gt;0,$BI47=1,$BL47=1),0,IFERROR(INDEX($BC$5:$BC$41,MATCH(47,$BB$5:$BB$41,0)),0))</f>
        <v/>
      </c>
      <c r="BK47">
        <f>IF($BJ47&gt;0,IF(INDEX($AZ$5:$AZ$41,MATCH(47,$BB$5:$BB$41,0))=10,1,0),IF($BH47=10,1,0))</f>
        <v/>
      </c>
      <c r="BL47">
        <f>IF(47=$BG$4,1,0)</f>
        <v/>
      </c>
    </row>
    <row r="48" ht="15" customHeight="1" s="137">
      <c r="A48" s="67">
        <f>IF($BJ47&gt;0,INDEX($BA$5:$BA$41,MATCH(47,$BB$5:$BB$41,0)),IF(OR($BI47=1,$BL47=1,$BH47&gt;0),"∑",""))</f>
        <v/>
      </c>
      <c r="B48" s="76">
        <f>IF($BJ47&gt;0,IF(INDEX('Final Calculation Sheet'!$F$4:$F$40,$BJ47-3)="","",INDEX('Final Calculation Sheet'!$F$4:$F$40,$BJ47-3)),"")</f>
        <v/>
      </c>
      <c r="C48" s="76">
        <f>IF($BJ47&gt;0,IF(INDEX('Final Calculation Sheet'!$G$4:$G$40,$BJ47-3)="","",INDEX('Final Calculation Sheet'!$G$4:$G$40,$BJ47-3)),IF(OR($BI47=1,$BL47=1,$BH47&gt;0),IF($BI47=1,37,IF($BL47=1,37-INDEX($BD$4:$BD$13,10),INDEX($BD$4:$BD$13,$BH47)))&amp;" lot(s)",""))</f>
        <v/>
      </c>
      <c r="D48" s="80">
        <f>IF($BJ47&gt;0,IF(INDEX('Final Calculation Sheet'!$B$4:$B$40,$BJ47-3)="","",INDEX('Final Calculation Sheet'!$B$4:$B$40,$BJ47-3)),IF(OR($BI47=1,$BL47=1,$BH47&gt;0),IF($BI47=1,"GRAND TOTAL  —  matching + remaining",IF($BL47=1,"TOTAL MATCHED  —  every group together",IF($BH47=10,"REMAINING  —  did not match the search",IF($BH47=9,IF(COUNTIF($A$4:$AI$4,"&lt;&gt;")&gt;0,"FILTERED LOTS  —  column fields","ALL LOTS  —  nothing typed in the box"),"GROUP "&amp;$BH47&amp;" TOTAL  —  lots matching  "&amp;INDEX($AR$6:$AY$6,$BH47))))),""))</f>
        <v/>
      </c>
      <c r="E48" s="80">
        <f>IF($BJ47&gt;0,IF(INDEX('Final Calculation Sheet'!$D$4:$D$40,$BJ47-3)="","",INDEX('Final Calculation Sheet'!$D$4:$D$40,$BJ47-3)),IF(OR($BI47=1,$BL47=1,$BH47&gt;0),"–",""))</f>
        <v/>
      </c>
      <c r="F48" s="80">
        <f>IF($BJ47&gt;0,IF(INDEX('Final Calculation Sheet'!$A$4:$A$40,$BJ47-3)="","",INDEX('Final Calculation Sheet'!$A$4:$A$40,$BJ47-3)),IF(OR($BI47=1,$BL47=1,$BH47&gt;0),IF($BI47=1,SUM('Final Calculation Sheet'!$A$4:$A$40),IF($BL47=1,SUM('Final Calculation Sheet'!$A$4:$A$40)-SUMIFS('Final Calculation Sheet'!$A$4:$A$40,$AZ$5:$AZ$41,10),SUMIFS('Final Calculation Sheet'!$A$4:$A$40,$AZ$5:$AZ$41,$BH47))),""))</f>
        <v/>
      </c>
      <c r="G48" s="80">
        <f>IF($BJ47&gt;0,IF(INDEX('Final Calculation Sheet'!$E$4:$E$40,$BJ47-3)="","",INDEX('Final Calculation Sheet'!$E$4:$E$40,$BJ47-3)),IF(OR($BI47=1,$BL47=1,$BH47&gt;0),"–",""))</f>
        <v/>
      </c>
      <c r="H48" s="70">
        <f>IF($BJ47&gt;0,IF(INDEX('Final Calculation Sheet'!$C$4:$C$40,$BJ47-3)="","",INDEX('Final Calculation Sheet'!$C$4:$C$40,$BJ47-3)),IF(OR($BI47=1,$BL47=1,$BH47&gt;0),"–",""))</f>
        <v/>
      </c>
      <c r="I48" s="70">
        <f>IF($BJ47&gt;0,IF(INDEX('Final Calculation Sheet'!$H$4:$H$40,$BJ47-3)="","",INDEX('Final Calculation Sheet'!$H$4:$H$40,$BJ47-3)),IF(OR($BI47=1,$BL47=1,$BH47&gt;0),IF($BI47=1,SUM('Final Calculation Sheet'!$H$4:$H$40),IF($BL47=1,SUM('Final Calculation Sheet'!$H$4:$H$40)-SUMIFS('Final Calculation Sheet'!$H$4:$H$40,$AZ$5:$AZ$41,10),SUMIFS('Final Calculation Sheet'!$H$4:$H$40,$AZ$5:$AZ$41,$BH47))),""))</f>
        <v/>
      </c>
      <c r="J48" s="70">
        <f>IF($BJ47&gt;0,IF(INDEX('Final Calculation Sheet'!$I$4:$I$40,$BJ47-3)="","",INDEX('Final Calculation Sheet'!$I$4:$I$40,$BJ47-3)),IF(OR($BI47=1,$BL47=1,$BH47&gt;0),IF($BI47=1,SUM('Final Calculation Sheet'!$I$4:$I$40),IF($BL47=1,SUM('Final Calculation Sheet'!$I$4:$I$40)-SUMIFS('Final Calculation Sheet'!$I$4:$I$40,$AZ$5:$AZ$41,10),SUMIFS('Final Calculation Sheet'!$I$4:$I$40,$AZ$5:$AZ$41,$BH47))),""))</f>
        <v/>
      </c>
      <c r="K48" s="70">
        <f>IF($BJ47&gt;0,IF(INDEX('Final Calculation Sheet'!$J$4:$J$40,$BJ47-3)="","",INDEX('Final Calculation Sheet'!$J$4:$J$40,$BJ47-3)),IF(OR($BI47=1,$BL47=1,$BH47&gt;0),IF($BI47=1,SUM('Final Calculation Sheet'!$J$4:$J$40),IF($BL47=1,SUM('Final Calculation Sheet'!$J$4:$J$40)-SUMIFS('Final Calculation Sheet'!$J$4:$J$40,$AZ$5:$AZ$41,10),SUMIFS('Final Calculation Sheet'!$J$4:$J$40,$AZ$5:$AZ$41,$BH47))),""))</f>
        <v/>
      </c>
      <c r="L48" s="70">
        <f>IF($BJ47&gt;0,IF(INDEX('Final Calculation Sheet'!$K$4:$K$40,$BJ47-3)="","",INDEX('Final Calculation Sheet'!$K$4:$K$40,$BJ47-3)),IF(OR($BI47=1,$BL47=1,$BH47&gt;0),IF($BI47=1,SUM('Final Calculation Sheet'!$K$4:$K$40),IF($BL47=1,SUM('Final Calculation Sheet'!$K$4:$K$40)-SUMIFS('Final Calculation Sheet'!$K$4:$K$40,$AZ$5:$AZ$41,10),SUMIFS('Final Calculation Sheet'!$K$4:$K$40,$AZ$5:$AZ$41,$BH47))),""))</f>
        <v/>
      </c>
      <c r="M48" s="70">
        <f>IF($BJ47&gt;0,IF(INDEX('Final Calculation Sheet'!$L$4:$L$40,$BJ47-3)="","",INDEX('Final Calculation Sheet'!$L$4:$L$40,$BJ47-3)),IF(OR($BI47=1,$BL47=1,$BH47&gt;0),IF($BI47=1,SUM('Final Calculation Sheet'!$L$4:$L$40),IF($BL47=1,SUM('Final Calculation Sheet'!$L$4:$L$40)-SUMIFS('Final Calculation Sheet'!$L$4:$L$40,$AZ$5:$AZ$41,10),SUMIFS('Final Calculation Sheet'!$L$4:$L$40,$AZ$5:$AZ$41,$BH47))),""))</f>
        <v/>
      </c>
      <c r="N48" s="70">
        <f>IF($BJ47&gt;0,IF(INDEX('Final Calculation Sheet'!$M$4:$M$40,$BJ47-3)="","",INDEX('Final Calculation Sheet'!$M$4:$M$40,$BJ47-3)),IF(OR($BI47=1,$BL47=1,$BH47&gt;0),IF($BI47=1,SUM('Final Calculation Sheet'!$M$4:$M$40),IF($BL47=1,SUM('Final Calculation Sheet'!$M$4:$M$40)-SUMIFS('Final Calculation Sheet'!$M$4:$M$40,$AZ$5:$AZ$41,10),SUMIFS('Final Calculation Sheet'!$M$4:$M$40,$AZ$5:$AZ$41,$BH47))),""))</f>
        <v/>
      </c>
      <c r="O48" s="71">
        <f>IF($BJ47&gt;0,IF(INDEX('Final Calculation Sheet'!$N$4:$N$40,$BJ47-3)="","",INDEX('Final Calculation Sheet'!$N$4:$N$40,$BJ47-3)),IF(OR($BI47=1,$BL47=1,$BH47&gt;0),IF($BI47=1,SUM('Final Calculation Sheet'!$N$4:$N$40),IF($BL47=1,SUM('Final Calculation Sheet'!$N$4:$N$40)-SUMIFS('Final Calculation Sheet'!$N$4:$N$40,$AZ$5:$AZ$41,10),SUMIFS('Final Calculation Sheet'!$N$4:$N$40,$AZ$5:$AZ$41,$BH47))),""))</f>
        <v/>
      </c>
      <c r="P48" s="70">
        <f>IF($BJ47&gt;0,IF(INDEX('Final Calculation Sheet'!$O$4:$O$40,$BJ47-3)="","",INDEX('Final Calculation Sheet'!$O$4:$O$40,$BJ47-3)),IF(OR($BI47=1,$BL47=1,$BH47&gt;0),IF($BI47=1,SUM('Final Calculation Sheet'!$O$4:$O$40),IF($BL47=1,SUM('Final Calculation Sheet'!$O$4:$O$40)-SUMIFS('Final Calculation Sheet'!$O$4:$O$40,$AZ$5:$AZ$41,10),SUMIFS('Final Calculation Sheet'!$O$4:$O$40,$AZ$5:$AZ$41,$BH47))),""))</f>
        <v/>
      </c>
      <c r="Q48" s="70">
        <f>IF($BJ47&gt;0,IF(INDEX('Final Calculation Sheet'!$P$4:$P$40,$BJ47-3)="","",INDEX('Final Calculation Sheet'!$P$4:$P$40,$BJ47-3)),IF(OR($BI47=1,$BL47=1,$BH47&gt;0),IF($BI47=1,SUM('Final Calculation Sheet'!$P$4:$P$40),IF($BL47=1,SUM('Final Calculation Sheet'!$P$4:$P$40)-SUMIFS('Final Calculation Sheet'!$P$4:$P$40,$AZ$5:$AZ$41,10),SUMIFS('Final Calculation Sheet'!$P$4:$P$40,$AZ$5:$AZ$41,$BH47))),""))</f>
        <v/>
      </c>
      <c r="R48" s="72">
        <f>IF($BJ47&gt;0,IF(INDEX('Final Calculation Sheet'!$Q$4:$Q$40,$BJ47-3)="","",INDEX('Final Calculation Sheet'!$Q$4:$Q$40,$BJ47-3)),IF(OR($BI47=1,$BL47=1,$BH47&gt;0),"–",""))</f>
        <v/>
      </c>
      <c r="S48" s="70">
        <f>IF($BJ47&gt;0,IF(INDEX('Final Calculation Sheet'!$R$4:$R$40,$BJ47-3)="","",INDEX('Final Calculation Sheet'!$R$4:$R$40,$BJ47-3)),IF(OR($BI47=1,$BL47=1,$BH47&gt;0),IF($BI47=1,SUM('Final Calculation Sheet'!$R$4:$R$40),IF($BL47=1,SUM('Final Calculation Sheet'!$R$4:$R$40)-SUMIFS('Final Calculation Sheet'!$R$4:$R$40,$AZ$5:$AZ$41,10),SUMIFS('Final Calculation Sheet'!$R$4:$R$40,$AZ$5:$AZ$41,$BH47))),""))</f>
        <v/>
      </c>
      <c r="T48" s="70">
        <f>IF($BJ47&gt;0,IF(INDEX('Final Calculation Sheet'!$S$4:$S$40,$BJ47-3)="","",INDEX('Final Calculation Sheet'!$S$4:$S$40,$BJ47-3)),IF(OR($BI47=1,$BL47=1,$BH47&gt;0),IF($BI47=1,SUM('Final Calculation Sheet'!$S$4:$S$40),IF($BL47=1,SUM('Final Calculation Sheet'!$S$4:$S$40)-SUMIFS('Final Calculation Sheet'!$S$4:$S$40,$AZ$5:$AZ$41,10),SUMIFS('Final Calculation Sheet'!$S$4:$S$40,$AZ$5:$AZ$41,$BH47))),""))</f>
        <v/>
      </c>
      <c r="U48" s="70">
        <f>IF($BJ47&gt;0,IF(INDEX('Final Calculation Sheet'!$T$4:$T$40,$BJ47-3)="","",INDEX('Final Calculation Sheet'!$T$4:$T$40,$BJ47-3)),IF(OR($BI47=1,$BL47=1,$BH47&gt;0),IF($BI47=1,SUM('Final Calculation Sheet'!$T$4:$T$40),IF($BL47=1,SUM('Final Calculation Sheet'!$T$4:$T$40)-SUMIFS('Final Calculation Sheet'!$T$4:$T$40,$AZ$5:$AZ$41,10),SUMIFS('Final Calculation Sheet'!$T$4:$T$40,$AZ$5:$AZ$41,$BH47))),""))</f>
        <v/>
      </c>
      <c r="V48" s="73">
        <f>IF($BJ47&gt;0,IF(INDEX('Final Calculation Sheet'!$U$4:$U$40,$BJ47-3)="","",INDEX('Final Calculation Sheet'!$U$4:$U$40,$BJ47-3)),IF(OR($BI47=1,$BL47=1,$BH47&gt;0),IF($BI47=1,SUM('Final Calculation Sheet'!$U$4:$U$40),IF($BL47=1,SUM('Final Calculation Sheet'!$U$4:$U$40)-SUMIFS('Final Calculation Sheet'!$U$4:$U$40,$AZ$5:$AZ$41,10),SUMIFS('Final Calculation Sheet'!$U$4:$U$40,$AZ$5:$AZ$41,$BH47))),""))</f>
        <v/>
      </c>
      <c r="W48" s="70">
        <f>IF($BJ47&gt;0,IF(INDEX('Final Calculation Sheet'!$V$4:$V$40,$BJ47-3)="","",INDEX('Final Calculation Sheet'!$V$4:$V$40,$BJ47-3)),IF(OR($BI47=1,$BL47=1,$BH47&gt;0),"–",""))</f>
        <v/>
      </c>
      <c r="X48" s="70">
        <f>IF($BJ47&gt;0,IF(INDEX('Final Calculation Sheet'!$W$4:$W$40,$BJ47-3)="","",INDEX('Final Calculation Sheet'!$W$4:$W$40,$BJ47-3)),IF(OR($BI47=1,$BL47=1,$BH47&gt;0),IF($BI47=1,SUM('Final Calculation Sheet'!$W$4:$W$40),IF($BL47=1,SUM('Final Calculation Sheet'!$W$4:$W$40)-SUMIFS('Final Calculation Sheet'!$W$4:$W$40,$AZ$5:$AZ$41,10),SUMIFS('Final Calculation Sheet'!$W$4:$W$40,$AZ$5:$AZ$41,$BH47))),""))</f>
        <v/>
      </c>
      <c r="Y48" s="70">
        <f>IF($BJ47&gt;0,IF(INDEX('Final Calculation Sheet'!$X$4:$X$40,$BJ47-3)="","",INDEX('Final Calculation Sheet'!$X$4:$X$40,$BJ47-3)),IF(OR($BI47=1,$BL47=1,$BH47&gt;0),IF($BI47=1,SUM('Final Calculation Sheet'!$X$4:$X$40),IF($BL47=1,SUM('Final Calculation Sheet'!$X$4:$X$40)-SUMIFS('Final Calculation Sheet'!$X$4:$X$40,$AZ$5:$AZ$41,10),SUMIFS('Final Calculation Sheet'!$X$4:$X$40,$AZ$5:$AZ$41,$BH47))),""))</f>
        <v/>
      </c>
      <c r="Z48" s="70">
        <f>IF($BJ47&gt;0,IF(INDEX('Final Calculation Sheet'!$Y$4:$Y$40,$BJ47-3)="","",INDEX('Final Calculation Sheet'!$Y$4:$Y$40,$BJ47-3)),IF(OR($BI47=1,$BL47=1,$BH47&gt;0),"–",""))</f>
        <v/>
      </c>
      <c r="AA48" s="70">
        <f>IF($BJ47&gt;0,IF(INDEX('Final Calculation Sheet'!$Z$4:$Z$40,$BJ47-3)="","",INDEX('Final Calculation Sheet'!$Z$4:$Z$40,$BJ47-3)),IF(OR($BI47=1,$BL47=1,$BH47&gt;0),IF($BI47=1,SUM('Final Calculation Sheet'!$Z$4:$Z$40),IF($BL47=1,SUM('Final Calculation Sheet'!$Z$4:$Z$40)-SUMIFS('Final Calculation Sheet'!$Z$4:$Z$40,$AZ$5:$AZ$41,10),SUMIFS('Final Calculation Sheet'!$Z$4:$Z$40,$AZ$5:$AZ$41,$BH47))),""))</f>
        <v/>
      </c>
      <c r="AB48" s="70">
        <f>IF($BJ47&gt;0,IF(INDEX('Final Calculation Sheet'!$AA$4:$AA$40,$BJ47-3)="","",INDEX('Final Calculation Sheet'!$AA$4:$AA$40,$BJ47-3)),IF(OR($BI47=1,$BL47=1,$BH47&gt;0),IF($BI47=1,SUM('Final Calculation Sheet'!$AA$4:$AA$40),IF($BL47=1,SUM('Final Calculation Sheet'!$AA$4:$AA$40)-SUMIFS('Final Calculation Sheet'!$AA$4:$AA$40,$AZ$5:$AZ$41,10),SUMIFS('Final Calculation Sheet'!$AA$4:$AA$40,$AZ$5:$AZ$41,$BH47))),""))</f>
        <v/>
      </c>
      <c r="AC48" s="70">
        <f>IF($BJ47&gt;0,IF(INDEX('Final Calculation Sheet'!$AB$4:$AB$40,$BJ47-3)="","",INDEX('Final Calculation Sheet'!$AB$4:$AB$40,$BJ47-3)),IF(OR($BI47=1,$BL47=1,$BH47&gt;0),"–",""))</f>
        <v/>
      </c>
      <c r="AD48" s="70">
        <f>IF($BJ47&gt;0,IF(INDEX('Final Calculation Sheet'!$AC$4:$AC$40,$BJ47-3)="","",INDEX('Final Calculation Sheet'!$AC$4:$AC$40,$BJ47-3)),IF(OR($BI47=1,$BL47=1,$BH47&gt;0),IF($BI47=1,SUM('Final Calculation Sheet'!$AC$4:$AC$40),IF($BL47=1,SUM('Final Calculation Sheet'!$AC$4:$AC$40)-SUMIFS('Final Calculation Sheet'!$AC$4:$AC$40,$AZ$5:$AZ$41,10),SUMIFS('Final Calculation Sheet'!$AC$4:$AC$40,$AZ$5:$AZ$41,$BH47))),""))</f>
        <v/>
      </c>
      <c r="AE48" s="70">
        <f>IF($BJ47&gt;0,IF(INDEX('Final Calculation Sheet'!$AD$4:$AD$40,$BJ47-3)="","",INDEX('Final Calculation Sheet'!$AD$4:$AD$40,$BJ47-3)),IF(OR($BI47=1,$BL47=1,$BH47&gt;0),IF($BI47=1,SUM('Final Calculation Sheet'!$AD$4:$AD$40),IF($BL47=1,SUM('Final Calculation Sheet'!$AD$4:$AD$40)-SUMIFS('Final Calculation Sheet'!$AD$4:$AD$40,$AZ$5:$AZ$41,10),SUMIFS('Final Calculation Sheet'!$AD$4:$AD$40,$AZ$5:$AZ$41,$BH47))),""))</f>
        <v/>
      </c>
      <c r="AF48" s="75">
        <f>IF($BJ47&gt;0,IF(INDEX('Final Calculation Sheet'!$AD$4:$AD$40,$BJ47-3)="","",IF(INDEX('Final Calculation Sheet'!$AD$4:$AD$40,$BJ47-3)&lt;=5,"SETTLED","OUTSTANDING")),IF(OR($BI47=1,$BL47=1,$BH47&gt;0),IF(IF($BI47=1,SUM('Final Calculation Sheet'!$AD$4:$AD$40),IF($BL47=1,SUM('Final Calculation Sheet'!$AD$4:$AD$40)-SUMIFS('Final Calculation Sheet'!$AD$4:$AD$40,$AZ$5:$AZ$41,10),SUMIFS('Final Calculation Sheet'!$AD$4:$AD$40,$AZ$5:$AZ$41,$BH47)))&lt;=5,"ALL SETTLED","OUTSTANDING"),""))</f>
        <v/>
      </c>
      <c r="AG48" s="70">
        <f>IF($BJ47&gt;0,IF(INDEX('Final Calculation Sheet'!$AF$4:$AF$40,$BJ47-3)="","",INDEX('Final Calculation Sheet'!$AF$4:$AF$40,$BJ47-3)),IF(OR($BI47=1,$BL47=1,$BH47&gt;0),"–",""))</f>
        <v/>
      </c>
      <c r="AH48" s="74">
        <f>IF($BJ47&gt;0,IF(INDEX('Final Calculation Sheet'!$AG$4:$AG$40,$BJ47-3)="","",INDEX('Final Calculation Sheet'!$AG$4:$AG$40,$BJ47-3)),IF(OR($BI47=1,$BL47=1,$BH47&gt;0),"–",""))</f>
        <v/>
      </c>
      <c r="AI48" s="70">
        <f>IF($BJ47&gt;0,IF(INDEX('Final Calculation Sheet'!$AH$4:$AH$40,$BJ47-3)="","",INDEX('Final Calculation Sheet'!$AH$4:$AH$40,$BJ47-3)),IF(OR($BI47=1,$BL47=1,$BH47&gt;0),"–",""))</f>
        <v/>
      </c>
      <c r="BH48">
        <f>IFERROR(MATCH(48,$BF$4:$BF$13,0),0)</f>
        <v/>
      </c>
      <c r="BI48">
        <f>IF(48=$BG$5,1,0)</f>
        <v/>
      </c>
      <c r="BJ48">
        <f>IF(OR($BH48&gt;0,$BI48=1,$BL48=1),0,IFERROR(INDEX($BC$5:$BC$41,MATCH(48,$BB$5:$BB$41,0)),0))</f>
        <v/>
      </c>
      <c r="BK48">
        <f>IF($BJ48&gt;0,IF(INDEX($AZ$5:$AZ$41,MATCH(48,$BB$5:$BB$41,0))=10,1,0),IF($BH48=10,1,0))</f>
        <v/>
      </c>
      <c r="BL48">
        <f>IF(48=$BG$4,1,0)</f>
        <v/>
      </c>
    </row>
    <row r="49" ht="15" customHeight="1" s="137">
      <c r="A49" s="67">
        <f>IF($BJ48&gt;0,INDEX($BA$5:$BA$41,MATCH(48,$BB$5:$BB$41,0)),IF(OR($BI48=1,$BL48=1,$BH48&gt;0),"∑",""))</f>
        <v/>
      </c>
      <c r="B49" s="76">
        <f>IF($BJ48&gt;0,IF(INDEX('Final Calculation Sheet'!$F$4:$F$40,$BJ48-3)="","",INDEX('Final Calculation Sheet'!$F$4:$F$40,$BJ48-3)),"")</f>
        <v/>
      </c>
      <c r="C49" s="76">
        <f>IF($BJ48&gt;0,IF(INDEX('Final Calculation Sheet'!$G$4:$G$40,$BJ48-3)="","",INDEX('Final Calculation Sheet'!$G$4:$G$40,$BJ48-3)),IF(OR($BI48=1,$BL48=1,$BH48&gt;0),IF($BI48=1,37,IF($BL48=1,37-INDEX($BD$4:$BD$13,10),INDEX($BD$4:$BD$13,$BH48)))&amp;" lot(s)",""))</f>
        <v/>
      </c>
      <c r="D49" s="80">
        <f>IF($BJ48&gt;0,IF(INDEX('Final Calculation Sheet'!$B$4:$B$40,$BJ48-3)="","",INDEX('Final Calculation Sheet'!$B$4:$B$40,$BJ48-3)),IF(OR($BI48=1,$BL48=1,$BH48&gt;0),IF($BI48=1,"GRAND TOTAL  —  matching + remaining",IF($BL48=1,"TOTAL MATCHED  —  every group together",IF($BH48=10,"REMAINING  —  did not match the search",IF($BH48=9,IF(COUNTIF($A$4:$AI$4,"&lt;&gt;")&gt;0,"FILTERED LOTS  —  column fields","ALL LOTS  —  nothing typed in the box"),"GROUP "&amp;$BH48&amp;" TOTAL  —  lots matching  "&amp;INDEX($AR$6:$AY$6,$BH48))))),""))</f>
        <v/>
      </c>
      <c r="E49" s="80">
        <f>IF($BJ48&gt;0,IF(INDEX('Final Calculation Sheet'!$D$4:$D$40,$BJ48-3)="","",INDEX('Final Calculation Sheet'!$D$4:$D$40,$BJ48-3)),IF(OR($BI48=1,$BL48=1,$BH48&gt;0),"–",""))</f>
        <v/>
      </c>
      <c r="F49" s="80">
        <f>IF($BJ48&gt;0,IF(INDEX('Final Calculation Sheet'!$A$4:$A$40,$BJ48-3)="","",INDEX('Final Calculation Sheet'!$A$4:$A$40,$BJ48-3)),IF(OR($BI48=1,$BL48=1,$BH48&gt;0),IF($BI48=1,SUM('Final Calculation Sheet'!$A$4:$A$40),IF($BL48=1,SUM('Final Calculation Sheet'!$A$4:$A$40)-SUMIFS('Final Calculation Sheet'!$A$4:$A$40,$AZ$5:$AZ$41,10),SUMIFS('Final Calculation Sheet'!$A$4:$A$40,$AZ$5:$AZ$41,$BH48))),""))</f>
        <v/>
      </c>
      <c r="G49" s="80">
        <f>IF($BJ48&gt;0,IF(INDEX('Final Calculation Sheet'!$E$4:$E$40,$BJ48-3)="","",INDEX('Final Calculation Sheet'!$E$4:$E$40,$BJ48-3)),IF(OR($BI48=1,$BL48=1,$BH48&gt;0),"–",""))</f>
        <v/>
      </c>
      <c r="H49" s="70">
        <f>IF($BJ48&gt;0,IF(INDEX('Final Calculation Sheet'!$C$4:$C$40,$BJ48-3)="","",INDEX('Final Calculation Sheet'!$C$4:$C$40,$BJ48-3)),IF(OR($BI48=1,$BL48=1,$BH48&gt;0),"–",""))</f>
        <v/>
      </c>
      <c r="I49" s="70">
        <f>IF($BJ48&gt;0,IF(INDEX('Final Calculation Sheet'!$H$4:$H$40,$BJ48-3)="","",INDEX('Final Calculation Sheet'!$H$4:$H$40,$BJ48-3)),IF(OR($BI48=1,$BL48=1,$BH48&gt;0),IF($BI48=1,SUM('Final Calculation Sheet'!$H$4:$H$40),IF($BL48=1,SUM('Final Calculation Sheet'!$H$4:$H$40)-SUMIFS('Final Calculation Sheet'!$H$4:$H$40,$AZ$5:$AZ$41,10),SUMIFS('Final Calculation Sheet'!$H$4:$H$40,$AZ$5:$AZ$41,$BH48))),""))</f>
        <v/>
      </c>
      <c r="J49" s="70">
        <f>IF($BJ48&gt;0,IF(INDEX('Final Calculation Sheet'!$I$4:$I$40,$BJ48-3)="","",INDEX('Final Calculation Sheet'!$I$4:$I$40,$BJ48-3)),IF(OR($BI48=1,$BL48=1,$BH48&gt;0),IF($BI48=1,SUM('Final Calculation Sheet'!$I$4:$I$40),IF($BL48=1,SUM('Final Calculation Sheet'!$I$4:$I$40)-SUMIFS('Final Calculation Sheet'!$I$4:$I$40,$AZ$5:$AZ$41,10),SUMIFS('Final Calculation Sheet'!$I$4:$I$40,$AZ$5:$AZ$41,$BH48))),""))</f>
        <v/>
      </c>
      <c r="K49" s="70">
        <f>IF($BJ48&gt;0,IF(INDEX('Final Calculation Sheet'!$J$4:$J$40,$BJ48-3)="","",INDEX('Final Calculation Sheet'!$J$4:$J$40,$BJ48-3)),IF(OR($BI48=1,$BL48=1,$BH48&gt;0),IF($BI48=1,SUM('Final Calculation Sheet'!$J$4:$J$40),IF($BL48=1,SUM('Final Calculation Sheet'!$J$4:$J$40)-SUMIFS('Final Calculation Sheet'!$J$4:$J$40,$AZ$5:$AZ$41,10),SUMIFS('Final Calculation Sheet'!$J$4:$J$40,$AZ$5:$AZ$41,$BH48))),""))</f>
        <v/>
      </c>
      <c r="L49" s="70">
        <f>IF($BJ48&gt;0,IF(INDEX('Final Calculation Sheet'!$K$4:$K$40,$BJ48-3)="","",INDEX('Final Calculation Sheet'!$K$4:$K$40,$BJ48-3)),IF(OR($BI48=1,$BL48=1,$BH48&gt;0),IF($BI48=1,SUM('Final Calculation Sheet'!$K$4:$K$40),IF($BL48=1,SUM('Final Calculation Sheet'!$K$4:$K$40)-SUMIFS('Final Calculation Sheet'!$K$4:$K$40,$AZ$5:$AZ$41,10),SUMIFS('Final Calculation Sheet'!$K$4:$K$40,$AZ$5:$AZ$41,$BH48))),""))</f>
        <v/>
      </c>
      <c r="M49" s="70">
        <f>IF($BJ48&gt;0,IF(INDEX('Final Calculation Sheet'!$L$4:$L$40,$BJ48-3)="","",INDEX('Final Calculation Sheet'!$L$4:$L$40,$BJ48-3)),IF(OR($BI48=1,$BL48=1,$BH48&gt;0),IF($BI48=1,SUM('Final Calculation Sheet'!$L$4:$L$40),IF($BL48=1,SUM('Final Calculation Sheet'!$L$4:$L$40)-SUMIFS('Final Calculation Sheet'!$L$4:$L$40,$AZ$5:$AZ$41,10),SUMIFS('Final Calculation Sheet'!$L$4:$L$40,$AZ$5:$AZ$41,$BH48))),""))</f>
        <v/>
      </c>
      <c r="N49" s="70">
        <f>IF($BJ48&gt;0,IF(INDEX('Final Calculation Sheet'!$M$4:$M$40,$BJ48-3)="","",INDEX('Final Calculation Sheet'!$M$4:$M$40,$BJ48-3)),IF(OR($BI48=1,$BL48=1,$BH48&gt;0),IF($BI48=1,SUM('Final Calculation Sheet'!$M$4:$M$40),IF($BL48=1,SUM('Final Calculation Sheet'!$M$4:$M$40)-SUMIFS('Final Calculation Sheet'!$M$4:$M$40,$AZ$5:$AZ$41,10),SUMIFS('Final Calculation Sheet'!$M$4:$M$40,$AZ$5:$AZ$41,$BH48))),""))</f>
        <v/>
      </c>
      <c r="O49" s="71">
        <f>IF($BJ48&gt;0,IF(INDEX('Final Calculation Sheet'!$N$4:$N$40,$BJ48-3)="","",INDEX('Final Calculation Sheet'!$N$4:$N$40,$BJ48-3)),IF(OR($BI48=1,$BL48=1,$BH48&gt;0),IF($BI48=1,SUM('Final Calculation Sheet'!$N$4:$N$40),IF($BL48=1,SUM('Final Calculation Sheet'!$N$4:$N$40)-SUMIFS('Final Calculation Sheet'!$N$4:$N$40,$AZ$5:$AZ$41,10),SUMIFS('Final Calculation Sheet'!$N$4:$N$40,$AZ$5:$AZ$41,$BH48))),""))</f>
        <v/>
      </c>
      <c r="P49" s="70">
        <f>IF($BJ48&gt;0,IF(INDEX('Final Calculation Sheet'!$O$4:$O$40,$BJ48-3)="","",INDEX('Final Calculation Sheet'!$O$4:$O$40,$BJ48-3)),IF(OR($BI48=1,$BL48=1,$BH48&gt;0),IF($BI48=1,SUM('Final Calculation Sheet'!$O$4:$O$40),IF($BL48=1,SUM('Final Calculation Sheet'!$O$4:$O$40)-SUMIFS('Final Calculation Sheet'!$O$4:$O$40,$AZ$5:$AZ$41,10),SUMIFS('Final Calculation Sheet'!$O$4:$O$40,$AZ$5:$AZ$41,$BH48))),""))</f>
        <v/>
      </c>
      <c r="Q49" s="70">
        <f>IF($BJ48&gt;0,IF(INDEX('Final Calculation Sheet'!$P$4:$P$40,$BJ48-3)="","",INDEX('Final Calculation Sheet'!$P$4:$P$40,$BJ48-3)),IF(OR($BI48=1,$BL48=1,$BH48&gt;0),IF($BI48=1,SUM('Final Calculation Sheet'!$P$4:$P$40),IF($BL48=1,SUM('Final Calculation Sheet'!$P$4:$P$40)-SUMIFS('Final Calculation Sheet'!$P$4:$P$40,$AZ$5:$AZ$41,10),SUMIFS('Final Calculation Sheet'!$P$4:$P$40,$AZ$5:$AZ$41,$BH48))),""))</f>
        <v/>
      </c>
      <c r="R49" s="72">
        <f>IF($BJ48&gt;0,IF(INDEX('Final Calculation Sheet'!$Q$4:$Q$40,$BJ48-3)="","",INDEX('Final Calculation Sheet'!$Q$4:$Q$40,$BJ48-3)),IF(OR($BI48=1,$BL48=1,$BH48&gt;0),"–",""))</f>
        <v/>
      </c>
      <c r="S49" s="70">
        <f>IF($BJ48&gt;0,IF(INDEX('Final Calculation Sheet'!$R$4:$R$40,$BJ48-3)="","",INDEX('Final Calculation Sheet'!$R$4:$R$40,$BJ48-3)),IF(OR($BI48=1,$BL48=1,$BH48&gt;0),IF($BI48=1,SUM('Final Calculation Sheet'!$R$4:$R$40),IF($BL48=1,SUM('Final Calculation Sheet'!$R$4:$R$40)-SUMIFS('Final Calculation Sheet'!$R$4:$R$40,$AZ$5:$AZ$41,10),SUMIFS('Final Calculation Sheet'!$R$4:$R$40,$AZ$5:$AZ$41,$BH48))),""))</f>
        <v/>
      </c>
      <c r="T49" s="70">
        <f>IF($BJ48&gt;0,IF(INDEX('Final Calculation Sheet'!$S$4:$S$40,$BJ48-3)="","",INDEX('Final Calculation Sheet'!$S$4:$S$40,$BJ48-3)),IF(OR($BI48=1,$BL48=1,$BH48&gt;0),IF($BI48=1,SUM('Final Calculation Sheet'!$S$4:$S$40),IF($BL48=1,SUM('Final Calculation Sheet'!$S$4:$S$40)-SUMIFS('Final Calculation Sheet'!$S$4:$S$40,$AZ$5:$AZ$41,10),SUMIFS('Final Calculation Sheet'!$S$4:$S$40,$AZ$5:$AZ$41,$BH48))),""))</f>
        <v/>
      </c>
      <c r="U49" s="70">
        <f>IF($BJ48&gt;0,IF(INDEX('Final Calculation Sheet'!$T$4:$T$40,$BJ48-3)="","",INDEX('Final Calculation Sheet'!$T$4:$T$40,$BJ48-3)),IF(OR($BI48=1,$BL48=1,$BH48&gt;0),IF($BI48=1,SUM('Final Calculation Sheet'!$T$4:$T$40),IF($BL48=1,SUM('Final Calculation Sheet'!$T$4:$T$40)-SUMIFS('Final Calculation Sheet'!$T$4:$T$40,$AZ$5:$AZ$41,10),SUMIFS('Final Calculation Sheet'!$T$4:$T$40,$AZ$5:$AZ$41,$BH48))),""))</f>
        <v/>
      </c>
      <c r="V49" s="73">
        <f>IF($BJ48&gt;0,IF(INDEX('Final Calculation Sheet'!$U$4:$U$40,$BJ48-3)="","",INDEX('Final Calculation Sheet'!$U$4:$U$40,$BJ48-3)),IF(OR($BI48=1,$BL48=1,$BH48&gt;0),IF($BI48=1,SUM('Final Calculation Sheet'!$U$4:$U$40),IF($BL48=1,SUM('Final Calculation Sheet'!$U$4:$U$40)-SUMIFS('Final Calculation Sheet'!$U$4:$U$40,$AZ$5:$AZ$41,10),SUMIFS('Final Calculation Sheet'!$U$4:$U$40,$AZ$5:$AZ$41,$BH48))),""))</f>
        <v/>
      </c>
      <c r="W49" s="70">
        <f>IF($BJ48&gt;0,IF(INDEX('Final Calculation Sheet'!$V$4:$V$40,$BJ48-3)="","",INDEX('Final Calculation Sheet'!$V$4:$V$40,$BJ48-3)),IF(OR($BI48=1,$BL48=1,$BH48&gt;0),"–",""))</f>
        <v/>
      </c>
      <c r="X49" s="70">
        <f>IF($BJ48&gt;0,IF(INDEX('Final Calculation Sheet'!$W$4:$W$40,$BJ48-3)="","",INDEX('Final Calculation Sheet'!$W$4:$W$40,$BJ48-3)),IF(OR($BI48=1,$BL48=1,$BH48&gt;0),IF($BI48=1,SUM('Final Calculation Sheet'!$W$4:$W$40),IF($BL48=1,SUM('Final Calculation Sheet'!$W$4:$W$40)-SUMIFS('Final Calculation Sheet'!$W$4:$W$40,$AZ$5:$AZ$41,10),SUMIFS('Final Calculation Sheet'!$W$4:$W$40,$AZ$5:$AZ$41,$BH48))),""))</f>
        <v/>
      </c>
      <c r="Y49" s="70">
        <f>IF($BJ48&gt;0,IF(INDEX('Final Calculation Sheet'!$X$4:$X$40,$BJ48-3)="","",INDEX('Final Calculation Sheet'!$X$4:$X$40,$BJ48-3)),IF(OR($BI48=1,$BL48=1,$BH48&gt;0),IF($BI48=1,SUM('Final Calculation Sheet'!$X$4:$X$40),IF($BL48=1,SUM('Final Calculation Sheet'!$X$4:$X$40)-SUMIFS('Final Calculation Sheet'!$X$4:$X$40,$AZ$5:$AZ$41,10),SUMIFS('Final Calculation Sheet'!$X$4:$X$40,$AZ$5:$AZ$41,$BH48))),""))</f>
        <v/>
      </c>
      <c r="Z49" s="70">
        <f>IF($BJ48&gt;0,IF(INDEX('Final Calculation Sheet'!$Y$4:$Y$40,$BJ48-3)="","",INDEX('Final Calculation Sheet'!$Y$4:$Y$40,$BJ48-3)),IF(OR($BI48=1,$BL48=1,$BH48&gt;0),"–",""))</f>
        <v/>
      </c>
      <c r="AA49" s="70">
        <f>IF($BJ48&gt;0,IF(INDEX('Final Calculation Sheet'!$Z$4:$Z$40,$BJ48-3)="","",INDEX('Final Calculation Sheet'!$Z$4:$Z$40,$BJ48-3)),IF(OR($BI48=1,$BL48=1,$BH48&gt;0),IF($BI48=1,SUM('Final Calculation Sheet'!$Z$4:$Z$40),IF($BL48=1,SUM('Final Calculation Sheet'!$Z$4:$Z$40)-SUMIFS('Final Calculation Sheet'!$Z$4:$Z$40,$AZ$5:$AZ$41,10),SUMIFS('Final Calculation Sheet'!$Z$4:$Z$40,$AZ$5:$AZ$41,$BH48))),""))</f>
        <v/>
      </c>
      <c r="AB49" s="70">
        <f>IF($BJ48&gt;0,IF(INDEX('Final Calculation Sheet'!$AA$4:$AA$40,$BJ48-3)="","",INDEX('Final Calculation Sheet'!$AA$4:$AA$40,$BJ48-3)),IF(OR($BI48=1,$BL48=1,$BH48&gt;0),IF($BI48=1,SUM('Final Calculation Sheet'!$AA$4:$AA$40),IF($BL48=1,SUM('Final Calculation Sheet'!$AA$4:$AA$40)-SUMIFS('Final Calculation Sheet'!$AA$4:$AA$40,$AZ$5:$AZ$41,10),SUMIFS('Final Calculation Sheet'!$AA$4:$AA$40,$AZ$5:$AZ$41,$BH48))),""))</f>
        <v/>
      </c>
      <c r="AC49" s="70">
        <f>IF($BJ48&gt;0,IF(INDEX('Final Calculation Sheet'!$AB$4:$AB$40,$BJ48-3)="","",INDEX('Final Calculation Sheet'!$AB$4:$AB$40,$BJ48-3)),IF(OR($BI48=1,$BL48=1,$BH48&gt;0),"–",""))</f>
        <v/>
      </c>
      <c r="AD49" s="70">
        <f>IF($BJ48&gt;0,IF(INDEX('Final Calculation Sheet'!$AC$4:$AC$40,$BJ48-3)="","",INDEX('Final Calculation Sheet'!$AC$4:$AC$40,$BJ48-3)),IF(OR($BI48=1,$BL48=1,$BH48&gt;0),IF($BI48=1,SUM('Final Calculation Sheet'!$AC$4:$AC$40),IF($BL48=1,SUM('Final Calculation Sheet'!$AC$4:$AC$40)-SUMIFS('Final Calculation Sheet'!$AC$4:$AC$40,$AZ$5:$AZ$41,10),SUMIFS('Final Calculation Sheet'!$AC$4:$AC$40,$AZ$5:$AZ$41,$BH48))),""))</f>
        <v/>
      </c>
      <c r="AE49" s="70">
        <f>IF($BJ48&gt;0,IF(INDEX('Final Calculation Sheet'!$AD$4:$AD$40,$BJ48-3)="","",INDEX('Final Calculation Sheet'!$AD$4:$AD$40,$BJ48-3)),IF(OR($BI48=1,$BL48=1,$BH48&gt;0),IF($BI48=1,SUM('Final Calculation Sheet'!$AD$4:$AD$40),IF($BL48=1,SUM('Final Calculation Sheet'!$AD$4:$AD$40)-SUMIFS('Final Calculation Sheet'!$AD$4:$AD$40,$AZ$5:$AZ$41,10),SUMIFS('Final Calculation Sheet'!$AD$4:$AD$40,$AZ$5:$AZ$41,$BH48))),""))</f>
        <v/>
      </c>
      <c r="AF49" s="75">
        <f>IF($BJ48&gt;0,IF(INDEX('Final Calculation Sheet'!$AD$4:$AD$40,$BJ48-3)="","",IF(INDEX('Final Calculation Sheet'!$AD$4:$AD$40,$BJ48-3)&lt;=5,"SETTLED","OUTSTANDING")),IF(OR($BI48=1,$BL48=1,$BH48&gt;0),IF(IF($BI48=1,SUM('Final Calculation Sheet'!$AD$4:$AD$40),IF($BL48=1,SUM('Final Calculation Sheet'!$AD$4:$AD$40)-SUMIFS('Final Calculation Sheet'!$AD$4:$AD$40,$AZ$5:$AZ$41,10),SUMIFS('Final Calculation Sheet'!$AD$4:$AD$40,$AZ$5:$AZ$41,$BH48)))&lt;=5,"ALL SETTLED","OUTSTANDING"),""))</f>
        <v/>
      </c>
      <c r="AG49" s="70">
        <f>IF($BJ48&gt;0,IF(INDEX('Final Calculation Sheet'!$AF$4:$AF$40,$BJ48-3)="","",INDEX('Final Calculation Sheet'!$AF$4:$AF$40,$BJ48-3)),IF(OR($BI48=1,$BL48=1,$BH48&gt;0),"–",""))</f>
        <v/>
      </c>
      <c r="AH49" s="74">
        <f>IF($BJ48&gt;0,IF(INDEX('Final Calculation Sheet'!$AG$4:$AG$40,$BJ48-3)="","",INDEX('Final Calculation Sheet'!$AG$4:$AG$40,$BJ48-3)),IF(OR($BI48=1,$BL48=1,$BH48&gt;0),"–",""))</f>
        <v/>
      </c>
      <c r="AI49" s="70">
        <f>IF($BJ48&gt;0,IF(INDEX('Final Calculation Sheet'!$AH$4:$AH$40,$BJ48-3)="","",INDEX('Final Calculation Sheet'!$AH$4:$AH$40,$BJ48-3)),IF(OR($BI48=1,$BL48=1,$BH48&gt;0),"–",""))</f>
        <v/>
      </c>
      <c r="BH49">
        <f>IFERROR(MATCH(49,$BF$4:$BF$13,0),0)</f>
        <v/>
      </c>
      <c r="BI49">
        <f>IF(49=$BG$5,1,0)</f>
        <v/>
      </c>
      <c r="BJ49">
        <f>IF(OR($BH49&gt;0,$BI49=1,$BL49=1),0,IFERROR(INDEX($BC$5:$BC$41,MATCH(49,$BB$5:$BB$41,0)),0))</f>
        <v/>
      </c>
      <c r="BK49">
        <f>IF($BJ49&gt;0,IF(INDEX($AZ$5:$AZ$41,MATCH(49,$BB$5:$BB$41,0))=10,1,0),IF($BH49=10,1,0))</f>
        <v/>
      </c>
      <c r="BL49">
        <f>IF(49=$BG$4,1,0)</f>
        <v/>
      </c>
    </row>
    <row r="50" ht="15" customHeight="1" s="137">
      <c r="A50" s="67">
        <f>IF($BJ49&gt;0,INDEX($BA$5:$BA$41,MATCH(49,$BB$5:$BB$41,0)),IF(OR($BI49=1,$BL49=1,$BH49&gt;0),"∑",""))</f>
        <v/>
      </c>
      <c r="B50" s="76">
        <f>IF($BJ49&gt;0,IF(INDEX('Final Calculation Sheet'!$F$4:$F$40,$BJ49-3)="","",INDEX('Final Calculation Sheet'!$F$4:$F$40,$BJ49-3)),"")</f>
        <v/>
      </c>
      <c r="C50" s="76">
        <f>IF($BJ49&gt;0,IF(INDEX('Final Calculation Sheet'!$G$4:$G$40,$BJ49-3)="","",INDEX('Final Calculation Sheet'!$G$4:$G$40,$BJ49-3)),IF(OR($BI49=1,$BL49=1,$BH49&gt;0),IF($BI49=1,37,IF($BL49=1,37-INDEX($BD$4:$BD$13,10),INDEX($BD$4:$BD$13,$BH49)))&amp;" lot(s)",""))</f>
        <v/>
      </c>
      <c r="D50" s="80">
        <f>IF($BJ49&gt;0,IF(INDEX('Final Calculation Sheet'!$B$4:$B$40,$BJ49-3)="","",INDEX('Final Calculation Sheet'!$B$4:$B$40,$BJ49-3)),IF(OR($BI49=1,$BL49=1,$BH49&gt;0),IF($BI49=1,"GRAND TOTAL  —  matching + remaining",IF($BL49=1,"TOTAL MATCHED  —  every group together",IF($BH49=10,"REMAINING  —  did not match the search",IF($BH49=9,IF(COUNTIF($A$4:$AI$4,"&lt;&gt;")&gt;0,"FILTERED LOTS  —  column fields","ALL LOTS  —  nothing typed in the box"),"GROUP "&amp;$BH49&amp;" TOTAL  —  lots matching  "&amp;INDEX($AR$6:$AY$6,$BH49))))),""))</f>
        <v/>
      </c>
      <c r="E50" s="80">
        <f>IF($BJ49&gt;0,IF(INDEX('Final Calculation Sheet'!$D$4:$D$40,$BJ49-3)="","",INDEX('Final Calculation Sheet'!$D$4:$D$40,$BJ49-3)),IF(OR($BI49=1,$BL49=1,$BH49&gt;0),"–",""))</f>
        <v/>
      </c>
      <c r="F50" s="80">
        <f>IF($BJ49&gt;0,IF(INDEX('Final Calculation Sheet'!$A$4:$A$40,$BJ49-3)="","",INDEX('Final Calculation Sheet'!$A$4:$A$40,$BJ49-3)),IF(OR($BI49=1,$BL49=1,$BH49&gt;0),IF($BI49=1,SUM('Final Calculation Sheet'!$A$4:$A$40),IF($BL49=1,SUM('Final Calculation Sheet'!$A$4:$A$40)-SUMIFS('Final Calculation Sheet'!$A$4:$A$40,$AZ$5:$AZ$41,10),SUMIFS('Final Calculation Sheet'!$A$4:$A$40,$AZ$5:$AZ$41,$BH49))),""))</f>
        <v/>
      </c>
      <c r="G50" s="80">
        <f>IF($BJ49&gt;0,IF(INDEX('Final Calculation Sheet'!$E$4:$E$40,$BJ49-3)="","",INDEX('Final Calculation Sheet'!$E$4:$E$40,$BJ49-3)),IF(OR($BI49=1,$BL49=1,$BH49&gt;0),"–",""))</f>
        <v/>
      </c>
      <c r="H50" s="70">
        <f>IF($BJ49&gt;0,IF(INDEX('Final Calculation Sheet'!$C$4:$C$40,$BJ49-3)="","",INDEX('Final Calculation Sheet'!$C$4:$C$40,$BJ49-3)),IF(OR($BI49=1,$BL49=1,$BH49&gt;0),"–",""))</f>
        <v/>
      </c>
      <c r="I50" s="70">
        <f>IF($BJ49&gt;0,IF(INDEX('Final Calculation Sheet'!$H$4:$H$40,$BJ49-3)="","",INDEX('Final Calculation Sheet'!$H$4:$H$40,$BJ49-3)),IF(OR($BI49=1,$BL49=1,$BH49&gt;0),IF($BI49=1,SUM('Final Calculation Sheet'!$H$4:$H$40),IF($BL49=1,SUM('Final Calculation Sheet'!$H$4:$H$40)-SUMIFS('Final Calculation Sheet'!$H$4:$H$40,$AZ$5:$AZ$41,10),SUMIFS('Final Calculation Sheet'!$H$4:$H$40,$AZ$5:$AZ$41,$BH49))),""))</f>
        <v/>
      </c>
      <c r="J50" s="70">
        <f>IF($BJ49&gt;0,IF(INDEX('Final Calculation Sheet'!$I$4:$I$40,$BJ49-3)="","",INDEX('Final Calculation Sheet'!$I$4:$I$40,$BJ49-3)),IF(OR($BI49=1,$BL49=1,$BH49&gt;0),IF($BI49=1,SUM('Final Calculation Sheet'!$I$4:$I$40),IF($BL49=1,SUM('Final Calculation Sheet'!$I$4:$I$40)-SUMIFS('Final Calculation Sheet'!$I$4:$I$40,$AZ$5:$AZ$41,10),SUMIFS('Final Calculation Sheet'!$I$4:$I$40,$AZ$5:$AZ$41,$BH49))),""))</f>
        <v/>
      </c>
      <c r="K50" s="70">
        <f>IF($BJ49&gt;0,IF(INDEX('Final Calculation Sheet'!$J$4:$J$40,$BJ49-3)="","",INDEX('Final Calculation Sheet'!$J$4:$J$40,$BJ49-3)),IF(OR($BI49=1,$BL49=1,$BH49&gt;0),IF($BI49=1,SUM('Final Calculation Sheet'!$J$4:$J$40),IF($BL49=1,SUM('Final Calculation Sheet'!$J$4:$J$40)-SUMIFS('Final Calculation Sheet'!$J$4:$J$40,$AZ$5:$AZ$41,10),SUMIFS('Final Calculation Sheet'!$J$4:$J$40,$AZ$5:$AZ$41,$BH49))),""))</f>
        <v/>
      </c>
      <c r="L50" s="70">
        <f>IF($BJ49&gt;0,IF(INDEX('Final Calculation Sheet'!$K$4:$K$40,$BJ49-3)="","",INDEX('Final Calculation Sheet'!$K$4:$K$40,$BJ49-3)),IF(OR($BI49=1,$BL49=1,$BH49&gt;0),IF($BI49=1,SUM('Final Calculation Sheet'!$K$4:$K$40),IF($BL49=1,SUM('Final Calculation Sheet'!$K$4:$K$40)-SUMIFS('Final Calculation Sheet'!$K$4:$K$40,$AZ$5:$AZ$41,10),SUMIFS('Final Calculation Sheet'!$K$4:$K$40,$AZ$5:$AZ$41,$BH49))),""))</f>
        <v/>
      </c>
      <c r="M50" s="70">
        <f>IF($BJ49&gt;0,IF(INDEX('Final Calculation Sheet'!$L$4:$L$40,$BJ49-3)="","",INDEX('Final Calculation Sheet'!$L$4:$L$40,$BJ49-3)),IF(OR($BI49=1,$BL49=1,$BH49&gt;0),IF($BI49=1,SUM('Final Calculation Sheet'!$L$4:$L$40),IF($BL49=1,SUM('Final Calculation Sheet'!$L$4:$L$40)-SUMIFS('Final Calculation Sheet'!$L$4:$L$40,$AZ$5:$AZ$41,10),SUMIFS('Final Calculation Sheet'!$L$4:$L$40,$AZ$5:$AZ$41,$BH49))),""))</f>
        <v/>
      </c>
      <c r="N50" s="70">
        <f>IF($BJ49&gt;0,IF(INDEX('Final Calculation Sheet'!$M$4:$M$40,$BJ49-3)="","",INDEX('Final Calculation Sheet'!$M$4:$M$40,$BJ49-3)),IF(OR($BI49=1,$BL49=1,$BH49&gt;0),IF($BI49=1,SUM('Final Calculation Sheet'!$M$4:$M$40),IF($BL49=1,SUM('Final Calculation Sheet'!$M$4:$M$40)-SUMIFS('Final Calculation Sheet'!$M$4:$M$40,$AZ$5:$AZ$41,10),SUMIFS('Final Calculation Sheet'!$M$4:$M$40,$AZ$5:$AZ$41,$BH49))),""))</f>
        <v/>
      </c>
      <c r="O50" s="71">
        <f>IF($BJ49&gt;0,IF(INDEX('Final Calculation Sheet'!$N$4:$N$40,$BJ49-3)="","",INDEX('Final Calculation Sheet'!$N$4:$N$40,$BJ49-3)),IF(OR($BI49=1,$BL49=1,$BH49&gt;0),IF($BI49=1,SUM('Final Calculation Sheet'!$N$4:$N$40),IF($BL49=1,SUM('Final Calculation Sheet'!$N$4:$N$40)-SUMIFS('Final Calculation Sheet'!$N$4:$N$40,$AZ$5:$AZ$41,10),SUMIFS('Final Calculation Sheet'!$N$4:$N$40,$AZ$5:$AZ$41,$BH49))),""))</f>
        <v/>
      </c>
      <c r="P50" s="70">
        <f>IF($BJ49&gt;0,IF(INDEX('Final Calculation Sheet'!$O$4:$O$40,$BJ49-3)="","",INDEX('Final Calculation Sheet'!$O$4:$O$40,$BJ49-3)),IF(OR($BI49=1,$BL49=1,$BH49&gt;0),IF($BI49=1,SUM('Final Calculation Sheet'!$O$4:$O$40),IF($BL49=1,SUM('Final Calculation Sheet'!$O$4:$O$40)-SUMIFS('Final Calculation Sheet'!$O$4:$O$40,$AZ$5:$AZ$41,10),SUMIFS('Final Calculation Sheet'!$O$4:$O$40,$AZ$5:$AZ$41,$BH49))),""))</f>
        <v/>
      </c>
      <c r="Q50" s="70">
        <f>IF($BJ49&gt;0,IF(INDEX('Final Calculation Sheet'!$P$4:$P$40,$BJ49-3)="","",INDEX('Final Calculation Sheet'!$P$4:$P$40,$BJ49-3)),IF(OR($BI49=1,$BL49=1,$BH49&gt;0),IF($BI49=1,SUM('Final Calculation Sheet'!$P$4:$P$40),IF($BL49=1,SUM('Final Calculation Sheet'!$P$4:$P$40)-SUMIFS('Final Calculation Sheet'!$P$4:$P$40,$AZ$5:$AZ$41,10),SUMIFS('Final Calculation Sheet'!$P$4:$P$40,$AZ$5:$AZ$41,$BH49))),""))</f>
        <v/>
      </c>
      <c r="R50" s="72">
        <f>IF($BJ49&gt;0,IF(INDEX('Final Calculation Sheet'!$Q$4:$Q$40,$BJ49-3)="","",INDEX('Final Calculation Sheet'!$Q$4:$Q$40,$BJ49-3)),IF(OR($BI49=1,$BL49=1,$BH49&gt;0),"–",""))</f>
        <v/>
      </c>
      <c r="S50" s="70">
        <f>IF($BJ49&gt;0,IF(INDEX('Final Calculation Sheet'!$R$4:$R$40,$BJ49-3)="","",INDEX('Final Calculation Sheet'!$R$4:$R$40,$BJ49-3)),IF(OR($BI49=1,$BL49=1,$BH49&gt;0),IF($BI49=1,SUM('Final Calculation Sheet'!$R$4:$R$40),IF($BL49=1,SUM('Final Calculation Sheet'!$R$4:$R$40)-SUMIFS('Final Calculation Sheet'!$R$4:$R$40,$AZ$5:$AZ$41,10),SUMIFS('Final Calculation Sheet'!$R$4:$R$40,$AZ$5:$AZ$41,$BH49))),""))</f>
        <v/>
      </c>
      <c r="T50" s="70">
        <f>IF($BJ49&gt;0,IF(INDEX('Final Calculation Sheet'!$S$4:$S$40,$BJ49-3)="","",INDEX('Final Calculation Sheet'!$S$4:$S$40,$BJ49-3)),IF(OR($BI49=1,$BL49=1,$BH49&gt;0),IF($BI49=1,SUM('Final Calculation Sheet'!$S$4:$S$40),IF($BL49=1,SUM('Final Calculation Sheet'!$S$4:$S$40)-SUMIFS('Final Calculation Sheet'!$S$4:$S$40,$AZ$5:$AZ$41,10),SUMIFS('Final Calculation Sheet'!$S$4:$S$40,$AZ$5:$AZ$41,$BH49))),""))</f>
        <v/>
      </c>
      <c r="U50" s="70">
        <f>IF($BJ49&gt;0,IF(INDEX('Final Calculation Sheet'!$T$4:$T$40,$BJ49-3)="","",INDEX('Final Calculation Sheet'!$T$4:$T$40,$BJ49-3)),IF(OR($BI49=1,$BL49=1,$BH49&gt;0),IF($BI49=1,SUM('Final Calculation Sheet'!$T$4:$T$40),IF($BL49=1,SUM('Final Calculation Sheet'!$T$4:$T$40)-SUMIFS('Final Calculation Sheet'!$T$4:$T$40,$AZ$5:$AZ$41,10),SUMIFS('Final Calculation Sheet'!$T$4:$T$40,$AZ$5:$AZ$41,$BH49))),""))</f>
        <v/>
      </c>
      <c r="V50" s="73">
        <f>IF($BJ49&gt;0,IF(INDEX('Final Calculation Sheet'!$U$4:$U$40,$BJ49-3)="","",INDEX('Final Calculation Sheet'!$U$4:$U$40,$BJ49-3)),IF(OR($BI49=1,$BL49=1,$BH49&gt;0),IF($BI49=1,SUM('Final Calculation Sheet'!$U$4:$U$40),IF($BL49=1,SUM('Final Calculation Sheet'!$U$4:$U$40)-SUMIFS('Final Calculation Sheet'!$U$4:$U$40,$AZ$5:$AZ$41,10),SUMIFS('Final Calculation Sheet'!$U$4:$U$40,$AZ$5:$AZ$41,$BH49))),""))</f>
        <v/>
      </c>
      <c r="W50" s="70">
        <f>IF($BJ49&gt;0,IF(INDEX('Final Calculation Sheet'!$V$4:$V$40,$BJ49-3)="","",INDEX('Final Calculation Sheet'!$V$4:$V$40,$BJ49-3)),IF(OR($BI49=1,$BL49=1,$BH49&gt;0),"–",""))</f>
        <v/>
      </c>
      <c r="X50" s="70">
        <f>IF($BJ49&gt;0,IF(INDEX('Final Calculation Sheet'!$W$4:$W$40,$BJ49-3)="","",INDEX('Final Calculation Sheet'!$W$4:$W$40,$BJ49-3)),IF(OR($BI49=1,$BL49=1,$BH49&gt;0),IF($BI49=1,SUM('Final Calculation Sheet'!$W$4:$W$40),IF($BL49=1,SUM('Final Calculation Sheet'!$W$4:$W$40)-SUMIFS('Final Calculation Sheet'!$W$4:$W$40,$AZ$5:$AZ$41,10),SUMIFS('Final Calculation Sheet'!$W$4:$W$40,$AZ$5:$AZ$41,$BH49))),""))</f>
        <v/>
      </c>
      <c r="Y50" s="70">
        <f>IF($BJ49&gt;0,IF(INDEX('Final Calculation Sheet'!$X$4:$X$40,$BJ49-3)="","",INDEX('Final Calculation Sheet'!$X$4:$X$40,$BJ49-3)),IF(OR($BI49=1,$BL49=1,$BH49&gt;0),IF($BI49=1,SUM('Final Calculation Sheet'!$X$4:$X$40),IF($BL49=1,SUM('Final Calculation Sheet'!$X$4:$X$40)-SUMIFS('Final Calculation Sheet'!$X$4:$X$40,$AZ$5:$AZ$41,10),SUMIFS('Final Calculation Sheet'!$X$4:$X$40,$AZ$5:$AZ$41,$BH49))),""))</f>
        <v/>
      </c>
      <c r="Z50" s="70">
        <f>IF($BJ49&gt;0,IF(INDEX('Final Calculation Sheet'!$Y$4:$Y$40,$BJ49-3)="","",INDEX('Final Calculation Sheet'!$Y$4:$Y$40,$BJ49-3)),IF(OR($BI49=1,$BL49=1,$BH49&gt;0),"–",""))</f>
        <v/>
      </c>
      <c r="AA50" s="70">
        <f>IF($BJ49&gt;0,IF(INDEX('Final Calculation Sheet'!$Z$4:$Z$40,$BJ49-3)="","",INDEX('Final Calculation Sheet'!$Z$4:$Z$40,$BJ49-3)),IF(OR($BI49=1,$BL49=1,$BH49&gt;0),IF($BI49=1,SUM('Final Calculation Sheet'!$Z$4:$Z$40),IF($BL49=1,SUM('Final Calculation Sheet'!$Z$4:$Z$40)-SUMIFS('Final Calculation Sheet'!$Z$4:$Z$40,$AZ$5:$AZ$41,10),SUMIFS('Final Calculation Sheet'!$Z$4:$Z$40,$AZ$5:$AZ$41,$BH49))),""))</f>
        <v/>
      </c>
      <c r="AB50" s="70">
        <f>IF($BJ49&gt;0,IF(INDEX('Final Calculation Sheet'!$AA$4:$AA$40,$BJ49-3)="","",INDEX('Final Calculation Sheet'!$AA$4:$AA$40,$BJ49-3)),IF(OR($BI49=1,$BL49=1,$BH49&gt;0),IF($BI49=1,SUM('Final Calculation Sheet'!$AA$4:$AA$40),IF($BL49=1,SUM('Final Calculation Sheet'!$AA$4:$AA$40)-SUMIFS('Final Calculation Sheet'!$AA$4:$AA$40,$AZ$5:$AZ$41,10),SUMIFS('Final Calculation Sheet'!$AA$4:$AA$40,$AZ$5:$AZ$41,$BH49))),""))</f>
        <v/>
      </c>
      <c r="AC50" s="70">
        <f>IF($BJ49&gt;0,IF(INDEX('Final Calculation Sheet'!$AB$4:$AB$40,$BJ49-3)="","",INDEX('Final Calculation Sheet'!$AB$4:$AB$40,$BJ49-3)),IF(OR($BI49=1,$BL49=1,$BH49&gt;0),"–",""))</f>
        <v/>
      </c>
      <c r="AD50" s="70">
        <f>IF($BJ49&gt;0,IF(INDEX('Final Calculation Sheet'!$AC$4:$AC$40,$BJ49-3)="","",INDEX('Final Calculation Sheet'!$AC$4:$AC$40,$BJ49-3)),IF(OR($BI49=1,$BL49=1,$BH49&gt;0),IF($BI49=1,SUM('Final Calculation Sheet'!$AC$4:$AC$40),IF($BL49=1,SUM('Final Calculation Sheet'!$AC$4:$AC$40)-SUMIFS('Final Calculation Sheet'!$AC$4:$AC$40,$AZ$5:$AZ$41,10),SUMIFS('Final Calculation Sheet'!$AC$4:$AC$40,$AZ$5:$AZ$41,$BH49))),""))</f>
        <v/>
      </c>
      <c r="AE50" s="70">
        <f>IF($BJ49&gt;0,IF(INDEX('Final Calculation Sheet'!$AD$4:$AD$40,$BJ49-3)="","",INDEX('Final Calculation Sheet'!$AD$4:$AD$40,$BJ49-3)),IF(OR($BI49=1,$BL49=1,$BH49&gt;0),IF($BI49=1,SUM('Final Calculation Sheet'!$AD$4:$AD$40),IF($BL49=1,SUM('Final Calculation Sheet'!$AD$4:$AD$40)-SUMIFS('Final Calculation Sheet'!$AD$4:$AD$40,$AZ$5:$AZ$41,10),SUMIFS('Final Calculation Sheet'!$AD$4:$AD$40,$AZ$5:$AZ$41,$BH49))),""))</f>
        <v/>
      </c>
      <c r="AF50" s="75">
        <f>IF($BJ49&gt;0,IF(INDEX('Final Calculation Sheet'!$AD$4:$AD$40,$BJ49-3)="","",IF(INDEX('Final Calculation Sheet'!$AD$4:$AD$40,$BJ49-3)&lt;=5,"SETTLED","OUTSTANDING")),IF(OR($BI49=1,$BL49=1,$BH49&gt;0),IF(IF($BI49=1,SUM('Final Calculation Sheet'!$AD$4:$AD$40),IF($BL49=1,SUM('Final Calculation Sheet'!$AD$4:$AD$40)-SUMIFS('Final Calculation Sheet'!$AD$4:$AD$40,$AZ$5:$AZ$41,10),SUMIFS('Final Calculation Sheet'!$AD$4:$AD$40,$AZ$5:$AZ$41,$BH49)))&lt;=5,"ALL SETTLED","OUTSTANDING"),""))</f>
        <v/>
      </c>
      <c r="AG50" s="70">
        <f>IF($BJ49&gt;0,IF(INDEX('Final Calculation Sheet'!$AF$4:$AF$40,$BJ49-3)="","",INDEX('Final Calculation Sheet'!$AF$4:$AF$40,$BJ49-3)),IF(OR($BI49=1,$BL49=1,$BH49&gt;0),"–",""))</f>
        <v/>
      </c>
      <c r="AH50" s="74">
        <f>IF($BJ49&gt;0,IF(INDEX('Final Calculation Sheet'!$AG$4:$AG$40,$BJ49-3)="","",INDEX('Final Calculation Sheet'!$AG$4:$AG$40,$BJ49-3)),IF(OR($BI49=1,$BL49=1,$BH49&gt;0),"–",""))</f>
        <v/>
      </c>
      <c r="AI50" s="70">
        <f>IF($BJ49&gt;0,IF(INDEX('Final Calculation Sheet'!$AH$4:$AH$40,$BJ49-3)="","",INDEX('Final Calculation Sheet'!$AH$4:$AH$40,$BJ49-3)),IF(OR($BI49=1,$BL49=1,$BH49&gt;0),"–",""))</f>
        <v/>
      </c>
      <c r="BH50">
        <f>IFERROR(MATCH(50,$BF$4:$BF$13,0),0)</f>
        <v/>
      </c>
      <c r="BI50">
        <f>IF(50=$BG$5,1,0)</f>
        <v/>
      </c>
      <c r="BJ50">
        <f>IF(OR($BH50&gt;0,$BI50=1,$BL50=1),0,IFERROR(INDEX($BC$5:$BC$41,MATCH(50,$BB$5:$BB$41,0)),0))</f>
        <v/>
      </c>
      <c r="BK50">
        <f>IF($BJ50&gt;0,IF(INDEX($AZ$5:$AZ$41,MATCH(50,$BB$5:$BB$41,0))=10,1,0),IF($BH50=10,1,0))</f>
        <v/>
      </c>
      <c r="BL50">
        <f>IF(50=$BG$4,1,0)</f>
        <v/>
      </c>
    </row>
    <row r="51" ht="15" customHeight="1" s="137">
      <c r="A51" s="67">
        <f>IF($BJ50&gt;0,INDEX($BA$5:$BA$41,MATCH(50,$BB$5:$BB$41,0)),IF(OR($BI50=1,$BL50=1,$BH50&gt;0),"∑",""))</f>
        <v/>
      </c>
      <c r="B51" s="76">
        <f>IF($BJ50&gt;0,IF(INDEX('Final Calculation Sheet'!$F$4:$F$40,$BJ50-3)="","",INDEX('Final Calculation Sheet'!$F$4:$F$40,$BJ50-3)),"")</f>
        <v/>
      </c>
      <c r="C51" s="76">
        <f>IF($BJ50&gt;0,IF(INDEX('Final Calculation Sheet'!$G$4:$G$40,$BJ50-3)="","",INDEX('Final Calculation Sheet'!$G$4:$G$40,$BJ50-3)),IF(OR($BI50=1,$BL50=1,$BH50&gt;0),IF($BI50=1,37,IF($BL50=1,37-INDEX($BD$4:$BD$13,10),INDEX($BD$4:$BD$13,$BH50)))&amp;" lot(s)",""))</f>
        <v/>
      </c>
      <c r="D51" s="80">
        <f>IF($BJ50&gt;0,IF(INDEX('Final Calculation Sheet'!$B$4:$B$40,$BJ50-3)="","",INDEX('Final Calculation Sheet'!$B$4:$B$40,$BJ50-3)),IF(OR($BI50=1,$BL50=1,$BH50&gt;0),IF($BI50=1,"GRAND TOTAL  —  matching + remaining",IF($BL50=1,"TOTAL MATCHED  —  every group together",IF($BH50=10,"REMAINING  —  did not match the search",IF($BH50=9,IF(COUNTIF($A$4:$AI$4,"&lt;&gt;")&gt;0,"FILTERED LOTS  —  column fields","ALL LOTS  —  nothing typed in the box"),"GROUP "&amp;$BH50&amp;" TOTAL  —  lots matching  "&amp;INDEX($AR$6:$AY$6,$BH50))))),""))</f>
        <v/>
      </c>
      <c r="E51" s="80">
        <f>IF($BJ50&gt;0,IF(INDEX('Final Calculation Sheet'!$D$4:$D$40,$BJ50-3)="","",INDEX('Final Calculation Sheet'!$D$4:$D$40,$BJ50-3)),IF(OR($BI50=1,$BL50=1,$BH50&gt;0),"–",""))</f>
        <v/>
      </c>
      <c r="F51" s="80">
        <f>IF($BJ50&gt;0,IF(INDEX('Final Calculation Sheet'!$A$4:$A$40,$BJ50-3)="","",INDEX('Final Calculation Sheet'!$A$4:$A$40,$BJ50-3)),IF(OR($BI50=1,$BL50=1,$BH50&gt;0),IF($BI50=1,SUM('Final Calculation Sheet'!$A$4:$A$40),IF($BL50=1,SUM('Final Calculation Sheet'!$A$4:$A$40)-SUMIFS('Final Calculation Sheet'!$A$4:$A$40,$AZ$5:$AZ$41,10),SUMIFS('Final Calculation Sheet'!$A$4:$A$40,$AZ$5:$AZ$41,$BH50))),""))</f>
        <v/>
      </c>
      <c r="G51" s="80">
        <f>IF($BJ50&gt;0,IF(INDEX('Final Calculation Sheet'!$E$4:$E$40,$BJ50-3)="","",INDEX('Final Calculation Sheet'!$E$4:$E$40,$BJ50-3)),IF(OR($BI50=1,$BL50=1,$BH50&gt;0),"–",""))</f>
        <v/>
      </c>
      <c r="H51" s="70">
        <f>IF($BJ50&gt;0,IF(INDEX('Final Calculation Sheet'!$C$4:$C$40,$BJ50-3)="","",INDEX('Final Calculation Sheet'!$C$4:$C$40,$BJ50-3)),IF(OR($BI50=1,$BL50=1,$BH50&gt;0),"–",""))</f>
        <v/>
      </c>
      <c r="I51" s="70">
        <f>IF($BJ50&gt;0,IF(INDEX('Final Calculation Sheet'!$H$4:$H$40,$BJ50-3)="","",INDEX('Final Calculation Sheet'!$H$4:$H$40,$BJ50-3)),IF(OR($BI50=1,$BL50=1,$BH50&gt;0),IF($BI50=1,SUM('Final Calculation Sheet'!$H$4:$H$40),IF($BL50=1,SUM('Final Calculation Sheet'!$H$4:$H$40)-SUMIFS('Final Calculation Sheet'!$H$4:$H$40,$AZ$5:$AZ$41,10),SUMIFS('Final Calculation Sheet'!$H$4:$H$40,$AZ$5:$AZ$41,$BH50))),""))</f>
        <v/>
      </c>
      <c r="J51" s="70">
        <f>IF($BJ50&gt;0,IF(INDEX('Final Calculation Sheet'!$I$4:$I$40,$BJ50-3)="","",INDEX('Final Calculation Sheet'!$I$4:$I$40,$BJ50-3)),IF(OR($BI50=1,$BL50=1,$BH50&gt;0),IF($BI50=1,SUM('Final Calculation Sheet'!$I$4:$I$40),IF($BL50=1,SUM('Final Calculation Sheet'!$I$4:$I$40)-SUMIFS('Final Calculation Sheet'!$I$4:$I$40,$AZ$5:$AZ$41,10),SUMIFS('Final Calculation Sheet'!$I$4:$I$40,$AZ$5:$AZ$41,$BH50))),""))</f>
        <v/>
      </c>
      <c r="K51" s="70">
        <f>IF($BJ50&gt;0,IF(INDEX('Final Calculation Sheet'!$J$4:$J$40,$BJ50-3)="","",INDEX('Final Calculation Sheet'!$J$4:$J$40,$BJ50-3)),IF(OR($BI50=1,$BL50=1,$BH50&gt;0),IF($BI50=1,SUM('Final Calculation Sheet'!$J$4:$J$40),IF($BL50=1,SUM('Final Calculation Sheet'!$J$4:$J$40)-SUMIFS('Final Calculation Sheet'!$J$4:$J$40,$AZ$5:$AZ$41,10),SUMIFS('Final Calculation Sheet'!$J$4:$J$40,$AZ$5:$AZ$41,$BH50))),""))</f>
        <v/>
      </c>
      <c r="L51" s="70">
        <f>IF($BJ50&gt;0,IF(INDEX('Final Calculation Sheet'!$K$4:$K$40,$BJ50-3)="","",INDEX('Final Calculation Sheet'!$K$4:$K$40,$BJ50-3)),IF(OR($BI50=1,$BL50=1,$BH50&gt;0),IF($BI50=1,SUM('Final Calculation Sheet'!$K$4:$K$40),IF($BL50=1,SUM('Final Calculation Sheet'!$K$4:$K$40)-SUMIFS('Final Calculation Sheet'!$K$4:$K$40,$AZ$5:$AZ$41,10),SUMIFS('Final Calculation Sheet'!$K$4:$K$40,$AZ$5:$AZ$41,$BH50))),""))</f>
        <v/>
      </c>
      <c r="M51" s="70">
        <f>IF($BJ50&gt;0,IF(INDEX('Final Calculation Sheet'!$L$4:$L$40,$BJ50-3)="","",INDEX('Final Calculation Sheet'!$L$4:$L$40,$BJ50-3)),IF(OR($BI50=1,$BL50=1,$BH50&gt;0),IF($BI50=1,SUM('Final Calculation Sheet'!$L$4:$L$40),IF($BL50=1,SUM('Final Calculation Sheet'!$L$4:$L$40)-SUMIFS('Final Calculation Sheet'!$L$4:$L$40,$AZ$5:$AZ$41,10),SUMIFS('Final Calculation Sheet'!$L$4:$L$40,$AZ$5:$AZ$41,$BH50))),""))</f>
        <v/>
      </c>
      <c r="N51" s="70">
        <f>IF($BJ50&gt;0,IF(INDEX('Final Calculation Sheet'!$M$4:$M$40,$BJ50-3)="","",INDEX('Final Calculation Sheet'!$M$4:$M$40,$BJ50-3)),IF(OR($BI50=1,$BL50=1,$BH50&gt;0),IF($BI50=1,SUM('Final Calculation Sheet'!$M$4:$M$40),IF($BL50=1,SUM('Final Calculation Sheet'!$M$4:$M$40)-SUMIFS('Final Calculation Sheet'!$M$4:$M$40,$AZ$5:$AZ$41,10),SUMIFS('Final Calculation Sheet'!$M$4:$M$40,$AZ$5:$AZ$41,$BH50))),""))</f>
        <v/>
      </c>
      <c r="O51" s="71">
        <f>IF($BJ50&gt;0,IF(INDEX('Final Calculation Sheet'!$N$4:$N$40,$BJ50-3)="","",INDEX('Final Calculation Sheet'!$N$4:$N$40,$BJ50-3)),IF(OR($BI50=1,$BL50=1,$BH50&gt;0),IF($BI50=1,SUM('Final Calculation Sheet'!$N$4:$N$40),IF($BL50=1,SUM('Final Calculation Sheet'!$N$4:$N$40)-SUMIFS('Final Calculation Sheet'!$N$4:$N$40,$AZ$5:$AZ$41,10),SUMIFS('Final Calculation Sheet'!$N$4:$N$40,$AZ$5:$AZ$41,$BH50))),""))</f>
        <v/>
      </c>
      <c r="P51" s="70">
        <f>IF($BJ50&gt;0,IF(INDEX('Final Calculation Sheet'!$O$4:$O$40,$BJ50-3)="","",INDEX('Final Calculation Sheet'!$O$4:$O$40,$BJ50-3)),IF(OR($BI50=1,$BL50=1,$BH50&gt;0),IF($BI50=1,SUM('Final Calculation Sheet'!$O$4:$O$40),IF($BL50=1,SUM('Final Calculation Sheet'!$O$4:$O$40)-SUMIFS('Final Calculation Sheet'!$O$4:$O$40,$AZ$5:$AZ$41,10),SUMIFS('Final Calculation Sheet'!$O$4:$O$40,$AZ$5:$AZ$41,$BH50))),""))</f>
        <v/>
      </c>
      <c r="Q51" s="70">
        <f>IF($BJ50&gt;0,IF(INDEX('Final Calculation Sheet'!$P$4:$P$40,$BJ50-3)="","",INDEX('Final Calculation Sheet'!$P$4:$P$40,$BJ50-3)),IF(OR($BI50=1,$BL50=1,$BH50&gt;0),IF($BI50=1,SUM('Final Calculation Sheet'!$P$4:$P$40),IF($BL50=1,SUM('Final Calculation Sheet'!$P$4:$P$40)-SUMIFS('Final Calculation Sheet'!$P$4:$P$40,$AZ$5:$AZ$41,10),SUMIFS('Final Calculation Sheet'!$P$4:$P$40,$AZ$5:$AZ$41,$BH50))),""))</f>
        <v/>
      </c>
      <c r="R51" s="72">
        <f>IF($BJ50&gt;0,IF(INDEX('Final Calculation Sheet'!$Q$4:$Q$40,$BJ50-3)="","",INDEX('Final Calculation Sheet'!$Q$4:$Q$40,$BJ50-3)),IF(OR($BI50=1,$BL50=1,$BH50&gt;0),"–",""))</f>
        <v/>
      </c>
      <c r="S51" s="70">
        <f>IF($BJ50&gt;0,IF(INDEX('Final Calculation Sheet'!$R$4:$R$40,$BJ50-3)="","",INDEX('Final Calculation Sheet'!$R$4:$R$40,$BJ50-3)),IF(OR($BI50=1,$BL50=1,$BH50&gt;0),IF($BI50=1,SUM('Final Calculation Sheet'!$R$4:$R$40),IF($BL50=1,SUM('Final Calculation Sheet'!$R$4:$R$40)-SUMIFS('Final Calculation Sheet'!$R$4:$R$40,$AZ$5:$AZ$41,10),SUMIFS('Final Calculation Sheet'!$R$4:$R$40,$AZ$5:$AZ$41,$BH50))),""))</f>
        <v/>
      </c>
      <c r="T51" s="70">
        <f>IF($BJ50&gt;0,IF(INDEX('Final Calculation Sheet'!$S$4:$S$40,$BJ50-3)="","",INDEX('Final Calculation Sheet'!$S$4:$S$40,$BJ50-3)),IF(OR($BI50=1,$BL50=1,$BH50&gt;0),IF($BI50=1,SUM('Final Calculation Sheet'!$S$4:$S$40),IF($BL50=1,SUM('Final Calculation Sheet'!$S$4:$S$40)-SUMIFS('Final Calculation Sheet'!$S$4:$S$40,$AZ$5:$AZ$41,10),SUMIFS('Final Calculation Sheet'!$S$4:$S$40,$AZ$5:$AZ$41,$BH50))),""))</f>
        <v/>
      </c>
      <c r="U51" s="70">
        <f>IF($BJ50&gt;0,IF(INDEX('Final Calculation Sheet'!$T$4:$T$40,$BJ50-3)="","",INDEX('Final Calculation Sheet'!$T$4:$T$40,$BJ50-3)),IF(OR($BI50=1,$BL50=1,$BH50&gt;0),IF($BI50=1,SUM('Final Calculation Sheet'!$T$4:$T$40),IF($BL50=1,SUM('Final Calculation Sheet'!$T$4:$T$40)-SUMIFS('Final Calculation Sheet'!$T$4:$T$40,$AZ$5:$AZ$41,10),SUMIFS('Final Calculation Sheet'!$T$4:$T$40,$AZ$5:$AZ$41,$BH50))),""))</f>
        <v/>
      </c>
      <c r="V51" s="73">
        <f>IF($BJ50&gt;0,IF(INDEX('Final Calculation Sheet'!$U$4:$U$40,$BJ50-3)="","",INDEX('Final Calculation Sheet'!$U$4:$U$40,$BJ50-3)),IF(OR($BI50=1,$BL50=1,$BH50&gt;0),IF($BI50=1,SUM('Final Calculation Sheet'!$U$4:$U$40),IF($BL50=1,SUM('Final Calculation Sheet'!$U$4:$U$40)-SUMIFS('Final Calculation Sheet'!$U$4:$U$40,$AZ$5:$AZ$41,10),SUMIFS('Final Calculation Sheet'!$U$4:$U$40,$AZ$5:$AZ$41,$BH50))),""))</f>
        <v/>
      </c>
      <c r="W51" s="70">
        <f>IF($BJ50&gt;0,IF(INDEX('Final Calculation Sheet'!$V$4:$V$40,$BJ50-3)="","",INDEX('Final Calculation Sheet'!$V$4:$V$40,$BJ50-3)),IF(OR($BI50=1,$BL50=1,$BH50&gt;0),"–",""))</f>
        <v/>
      </c>
      <c r="X51" s="70">
        <f>IF($BJ50&gt;0,IF(INDEX('Final Calculation Sheet'!$W$4:$W$40,$BJ50-3)="","",INDEX('Final Calculation Sheet'!$W$4:$W$40,$BJ50-3)),IF(OR($BI50=1,$BL50=1,$BH50&gt;0),IF($BI50=1,SUM('Final Calculation Sheet'!$W$4:$W$40),IF($BL50=1,SUM('Final Calculation Sheet'!$W$4:$W$40)-SUMIFS('Final Calculation Sheet'!$W$4:$W$40,$AZ$5:$AZ$41,10),SUMIFS('Final Calculation Sheet'!$W$4:$W$40,$AZ$5:$AZ$41,$BH50))),""))</f>
        <v/>
      </c>
      <c r="Y51" s="70">
        <f>IF($BJ50&gt;0,IF(INDEX('Final Calculation Sheet'!$X$4:$X$40,$BJ50-3)="","",INDEX('Final Calculation Sheet'!$X$4:$X$40,$BJ50-3)),IF(OR($BI50=1,$BL50=1,$BH50&gt;0),IF($BI50=1,SUM('Final Calculation Sheet'!$X$4:$X$40),IF($BL50=1,SUM('Final Calculation Sheet'!$X$4:$X$40)-SUMIFS('Final Calculation Sheet'!$X$4:$X$40,$AZ$5:$AZ$41,10),SUMIFS('Final Calculation Sheet'!$X$4:$X$40,$AZ$5:$AZ$41,$BH50))),""))</f>
        <v/>
      </c>
      <c r="Z51" s="70">
        <f>IF($BJ50&gt;0,IF(INDEX('Final Calculation Sheet'!$Y$4:$Y$40,$BJ50-3)="","",INDEX('Final Calculation Sheet'!$Y$4:$Y$40,$BJ50-3)),IF(OR($BI50=1,$BL50=1,$BH50&gt;0),"–",""))</f>
        <v/>
      </c>
      <c r="AA51" s="70">
        <f>IF($BJ50&gt;0,IF(INDEX('Final Calculation Sheet'!$Z$4:$Z$40,$BJ50-3)="","",INDEX('Final Calculation Sheet'!$Z$4:$Z$40,$BJ50-3)),IF(OR($BI50=1,$BL50=1,$BH50&gt;0),IF($BI50=1,SUM('Final Calculation Sheet'!$Z$4:$Z$40),IF($BL50=1,SUM('Final Calculation Sheet'!$Z$4:$Z$40)-SUMIFS('Final Calculation Sheet'!$Z$4:$Z$40,$AZ$5:$AZ$41,10),SUMIFS('Final Calculation Sheet'!$Z$4:$Z$40,$AZ$5:$AZ$41,$BH50))),""))</f>
        <v/>
      </c>
      <c r="AB51" s="70">
        <f>IF($BJ50&gt;0,IF(INDEX('Final Calculation Sheet'!$AA$4:$AA$40,$BJ50-3)="","",INDEX('Final Calculation Sheet'!$AA$4:$AA$40,$BJ50-3)),IF(OR($BI50=1,$BL50=1,$BH50&gt;0),IF($BI50=1,SUM('Final Calculation Sheet'!$AA$4:$AA$40),IF($BL50=1,SUM('Final Calculation Sheet'!$AA$4:$AA$40)-SUMIFS('Final Calculation Sheet'!$AA$4:$AA$40,$AZ$5:$AZ$41,10),SUMIFS('Final Calculation Sheet'!$AA$4:$AA$40,$AZ$5:$AZ$41,$BH50))),""))</f>
        <v/>
      </c>
      <c r="AC51" s="70">
        <f>IF($BJ50&gt;0,IF(INDEX('Final Calculation Sheet'!$AB$4:$AB$40,$BJ50-3)="","",INDEX('Final Calculation Sheet'!$AB$4:$AB$40,$BJ50-3)),IF(OR($BI50=1,$BL50=1,$BH50&gt;0),"–",""))</f>
        <v/>
      </c>
      <c r="AD51" s="70">
        <f>IF($BJ50&gt;0,IF(INDEX('Final Calculation Sheet'!$AC$4:$AC$40,$BJ50-3)="","",INDEX('Final Calculation Sheet'!$AC$4:$AC$40,$BJ50-3)),IF(OR($BI50=1,$BL50=1,$BH50&gt;0),IF($BI50=1,SUM('Final Calculation Sheet'!$AC$4:$AC$40),IF($BL50=1,SUM('Final Calculation Sheet'!$AC$4:$AC$40)-SUMIFS('Final Calculation Sheet'!$AC$4:$AC$40,$AZ$5:$AZ$41,10),SUMIFS('Final Calculation Sheet'!$AC$4:$AC$40,$AZ$5:$AZ$41,$BH50))),""))</f>
        <v/>
      </c>
      <c r="AE51" s="70">
        <f>IF($BJ50&gt;0,IF(INDEX('Final Calculation Sheet'!$AD$4:$AD$40,$BJ50-3)="","",INDEX('Final Calculation Sheet'!$AD$4:$AD$40,$BJ50-3)),IF(OR($BI50=1,$BL50=1,$BH50&gt;0),IF($BI50=1,SUM('Final Calculation Sheet'!$AD$4:$AD$40),IF($BL50=1,SUM('Final Calculation Sheet'!$AD$4:$AD$40)-SUMIFS('Final Calculation Sheet'!$AD$4:$AD$40,$AZ$5:$AZ$41,10),SUMIFS('Final Calculation Sheet'!$AD$4:$AD$40,$AZ$5:$AZ$41,$BH50))),""))</f>
        <v/>
      </c>
      <c r="AF51" s="75">
        <f>IF($BJ50&gt;0,IF(INDEX('Final Calculation Sheet'!$AD$4:$AD$40,$BJ50-3)="","",IF(INDEX('Final Calculation Sheet'!$AD$4:$AD$40,$BJ50-3)&lt;=5,"SETTLED","OUTSTANDING")),IF(OR($BI50=1,$BL50=1,$BH50&gt;0),IF(IF($BI50=1,SUM('Final Calculation Sheet'!$AD$4:$AD$40),IF($BL50=1,SUM('Final Calculation Sheet'!$AD$4:$AD$40)-SUMIFS('Final Calculation Sheet'!$AD$4:$AD$40,$AZ$5:$AZ$41,10),SUMIFS('Final Calculation Sheet'!$AD$4:$AD$40,$AZ$5:$AZ$41,$BH50)))&lt;=5,"ALL SETTLED","OUTSTANDING"),""))</f>
        <v/>
      </c>
      <c r="AG51" s="70">
        <f>IF($BJ50&gt;0,IF(INDEX('Final Calculation Sheet'!$AF$4:$AF$40,$BJ50-3)="","",INDEX('Final Calculation Sheet'!$AF$4:$AF$40,$BJ50-3)),IF(OR($BI50=1,$BL50=1,$BH50&gt;0),"–",""))</f>
        <v/>
      </c>
      <c r="AH51" s="74">
        <f>IF($BJ50&gt;0,IF(INDEX('Final Calculation Sheet'!$AG$4:$AG$40,$BJ50-3)="","",INDEX('Final Calculation Sheet'!$AG$4:$AG$40,$BJ50-3)),IF(OR($BI50=1,$BL50=1,$BH50&gt;0),"–",""))</f>
        <v/>
      </c>
      <c r="AI51" s="70">
        <f>IF($BJ50&gt;0,IF(INDEX('Final Calculation Sheet'!$AH$4:$AH$40,$BJ50-3)="","",INDEX('Final Calculation Sheet'!$AH$4:$AH$40,$BJ50-3)),IF(OR($BI50=1,$BL50=1,$BH50&gt;0),"–",""))</f>
        <v/>
      </c>
      <c r="BH51">
        <f>IFERROR(MATCH(51,$BF$4:$BF$13,0),0)</f>
        <v/>
      </c>
      <c r="BI51">
        <f>IF(51=$BG$5,1,0)</f>
        <v/>
      </c>
      <c r="BJ51">
        <f>IF(OR($BH51&gt;0,$BI51=1,$BL51=1),0,IFERROR(INDEX($BC$5:$BC$41,MATCH(51,$BB$5:$BB$41,0)),0))</f>
        <v/>
      </c>
      <c r="BK51">
        <f>IF($BJ51&gt;0,IF(INDEX($AZ$5:$AZ$41,MATCH(51,$BB$5:$BB$41,0))=10,1,0),IF($BH51=10,1,0))</f>
        <v/>
      </c>
      <c r="BL51">
        <f>IF(51=$BG$4,1,0)</f>
        <v/>
      </c>
    </row>
    <row r="52" ht="15" customHeight="1" s="137">
      <c r="A52" s="67">
        <f>IF($BJ51&gt;0,INDEX($BA$5:$BA$41,MATCH(51,$BB$5:$BB$41,0)),IF(OR($BI51=1,$BL51=1,$BH51&gt;0),"∑",""))</f>
        <v/>
      </c>
      <c r="B52" s="76">
        <f>IF($BJ51&gt;0,IF(INDEX('Final Calculation Sheet'!$F$4:$F$40,$BJ51-3)="","",INDEX('Final Calculation Sheet'!$F$4:$F$40,$BJ51-3)),"")</f>
        <v/>
      </c>
      <c r="C52" s="76">
        <f>IF($BJ51&gt;0,IF(INDEX('Final Calculation Sheet'!$G$4:$G$40,$BJ51-3)="","",INDEX('Final Calculation Sheet'!$G$4:$G$40,$BJ51-3)),IF(OR($BI51=1,$BL51=1,$BH51&gt;0),IF($BI51=1,37,IF($BL51=1,37-INDEX($BD$4:$BD$13,10),INDEX($BD$4:$BD$13,$BH51)))&amp;" lot(s)",""))</f>
        <v/>
      </c>
      <c r="D52" s="80">
        <f>IF($BJ51&gt;0,IF(INDEX('Final Calculation Sheet'!$B$4:$B$40,$BJ51-3)="","",INDEX('Final Calculation Sheet'!$B$4:$B$40,$BJ51-3)),IF(OR($BI51=1,$BL51=1,$BH51&gt;0),IF($BI51=1,"GRAND TOTAL  —  matching + remaining",IF($BL51=1,"TOTAL MATCHED  —  every group together",IF($BH51=10,"REMAINING  —  did not match the search",IF($BH51=9,IF(COUNTIF($A$4:$AI$4,"&lt;&gt;")&gt;0,"FILTERED LOTS  —  column fields","ALL LOTS  —  nothing typed in the box"),"GROUP "&amp;$BH51&amp;" TOTAL  —  lots matching  "&amp;INDEX($AR$6:$AY$6,$BH51))))),""))</f>
        <v/>
      </c>
      <c r="E52" s="80">
        <f>IF($BJ51&gt;0,IF(INDEX('Final Calculation Sheet'!$D$4:$D$40,$BJ51-3)="","",INDEX('Final Calculation Sheet'!$D$4:$D$40,$BJ51-3)),IF(OR($BI51=1,$BL51=1,$BH51&gt;0),"–",""))</f>
        <v/>
      </c>
      <c r="F52" s="80">
        <f>IF($BJ51&gt;0,IF(INDEX('Final Calculation Sheet'!$A$4:$A$40,$BJ51-3)="","",INDEX('Final Calculation Sheet'!$A$4:$A$40,$BJ51-3)),IF(OR($BI51=1,$BL51=1,$BH51&gt;0),IF($BI51=1,SUM('Final Calculation Sheet'!$A$4:$A$40),IF($BL51=1,SUM('Final Calculation Sheet'!$A$4:$A$40)-SUMIFS('Final Calculation Sheet'!$A$4:$A$40,$AZ$5:$AZ$41,10),SUMIFS('Final Calculation Sheet'!$A$4:$A$40,$AZ$5:$AZ$41,$BH51))),""))</f>
        <v/>
      </c>
      <c r="G52" s="80">
        <f>IF($BJ51&gt;0,IF(INDEX('Final Calculation Sheet'!$E$4:$E$40,$BJ51-3)="","",INDEX('Final Calculation Sheet'!$E$4:$E$40,$BJ51-3)),IF(OR($BI51=1,$BL51=1,$BH51&gt;0),"–",""))</f>
        <v/>
      </c>
      <c r="H52" s="70">
        <f>IF($BJ51&gt;0,IF(INDEX('Final Calculation Sheet'!$C$4:$C$40,$BJ51-3)="","",INDEX('Final Calculation Sheet'!$C$4:$C$40,$BJ51-3)),IF(OR($BI51=1,$BL51=1,$BH51&gt;0),"–",""))</f>
        <v/>
      </c>
      <c r="I52" s="70">
        <f>IF($BJ51&gt;0,IF(INDEX('Final Calculation Sheet'!$H$4:$H$40,$BJ51-3)="","",INDEX('Final Calculation Sheet'!$H$4:$H$40,$BJ51-3)),IF(OR($BI51=1,$BL51=1,$BH51&gt;0),IF($BI51=1,SUM('Final Calculation Sheet'!$H$4:$H$40),IF($BL51=1,SUM('Final Calculation Sheet'!$H$4:$H$40)-SUMIFS('Final Calculation Sheet'!$H$4:$H$40,$AZ$5:$AZ$41,10),SUMIFS('Final Calculation Sheet'!$H$4:$H$40,$AZ$5:$AZ$41,$BH51))),""))</f>
        <v/>
      </c>
      <c r="J52" s="70">
        <f>IF($BJ51&gt;0,IF(INDEX('Final Calculation Sheet'!$I$4:$I$40,$BJ51-3)="","",INDEX('Final Calculation Sheet'!$I$4:$I$40,$BJ51-3)),IF(OR($BI51=1,$BL51=1,$BH51&gt;0),IF($BI51=1,SUM('Final Calculation Sheet'!$I$4:$I$40),IF($BL51=1,SUM('Final Calculation Sheet'!$I$4:$I$40)-SUMIFS('Final Calculation Sheet'!$I$4:$I$40,$AZ$5:$AZ$41,10),SUMIFS('Final Calculation Sheet'!$I$4:$I$40,$AZ$5:$AZ$41,$BH51))),""))</f>
        <v/>
      </c>
      <c r="K52" s="70">
        <f>IF($BJ51&gt;0,IF(INDEX('Final Calculation Sheet'!$J$4:$J$40,$BJ51-3)="","",INDEX('Final Calculation Sheet'!$J$4:$J$40,$BJ51-3)),IF(OR($BI51=1,$BL51=1,$BH51&gt;0),IF($BI51=1,SUM('Final Calculation Sheet'!$J$4:$J$40),IF($BL51=1,SUM('Final Calculation Sheet'!$J$4:$J$40)-SUMIFS('Final Calculation Sheet'!$J$4:$J$40,$AZ$5:$AZ$41,10),SUMIFS('Final Calculation Sheet'!$J$4:$J$40,$AZ$5:$AZ$41,$BH51))),""))</f>
        <v/>
      </c>
      <c r="L52" s="70">
        <f>IF($BJ51&gt;0,IF(INDEX('Final Calculation Sheet'!$K$4:$K$40,$BJ51-3)="","",INDEX('Final Calculation Sheet'!$K$4:$K$40,$BJ51-3)),IF(OR($BI51=1,$BL51=1,$BH51&gt;0),IF($BI51=1,SUM('Final Calculation Sheet'!$K$4:$K$40),IF($BL51=1,SUM('Final Calculation Sheet'!$K$4:$K$40)-SUMIFS('Final Calculation Sheet'!$K$4:$K$40,$AZ$5:$AZ$41,10),SUMIFS('Final Calculation Sheet'!$K$4:$K$40,$AZ$5:$AZ$41,$BH51))),""))</f>
        <v/>
      </c>
      <c r="M52" s="70">
        <f>IF($BJ51&gt;0,IF(INDEX('Final Calculation Sheet'!$L$4:$L$40,$BJ51-3)="","",INDEX('Final Calculation Sheet'!$L$4:$L$40,$BJ51-3)),IF(OR($BI51=1,$BL51=1,$BH51&gt;0),IF($BI51=1,SUM('Final Calculation Sheet'!$L$4:$L$40),IF($BL51=1,SUM('Final Calculation Sheet'!$L$4:$L$40)-SUMIFS('Final Calculation Sheet'!$L$4:$L$40,$AZ$5:$AZ$41,10),SUMIFS('Final Calculation Sheet'!$L$4:$L$40,$AZ$5:$AZ$41,$BH51))),""))</f>
        <v/>
      </c>
      <c r="N52" s="70">
        <f>IF($BJ51&gt;0,IF(INDEX('Final Calculation Sheet'!$M$4:$M$40,$BJ51-3)="","",INDEX('Final Calculation Sheet'!$M$4:$M$40,$BJ51-3)),IF(OR($BI51=1,$BL51=1,$BH51&gt;0),IF($BI51=1,SUM('Final Calculation Sheet'!$M$4:$M$40),IF($BL51=1,SUM('Final Calculation Sheet'!$M$4:$M$40)-SUMIFS('Final Calculation Sheet'!$M$4:$M$40,$AZ$5:$AZ$41,10),SUMIFS('Final Calculation Sheet'!$M$4:$M$40,$AZ$5:$AZ$41,$BH51))),""))</f>
        <v/>
      </c>
      <c r="O52" s="71">
        <f>IF($BJ51&gt;0,IF(INDEX('Final Calculation Sheet'!$N$4:$N$40,$BJ51-3)="","",INDEX('Final Calculation Sheet'!$N$4:$N$40,$BJ51-3)),IF(OR($BI51=1,$BL51=1,$BH51&gt;0),IF($BI51=1,SUM('Final Calculation Sheet'!$N$4:$N$40),IF($BL51=1,SUM('Final Calculation Sheet'!$N$4:$N$40)-SUMIFS('Final Calculation Sheet'!$N$4:$N$40,$AZ$5:$AZ$41,10),SUMIFS('Final Calculation Sheet'!$N$4:$N$40,$AZ$5:$AZ$41,$BH51))),""))</f>
        <v/>
      </c>
      <c r="P52" s="70">
        <f>IF($BJ51&gt;0,IF(INDEX('Final Calculation Sheet'!$O$4:$O$40,$BJ51-3)="","",INDEX('Final Calculation Sheet'!$O$4:$O$40,$BJ51-3)),IF(OR($BI51=1,$BL51=1,$BH51&gt;0),IF($BI51=1,SUM('Final Calculation Sheet'!$O$4:$O$40),IF($BL51=1,SUM('Final Calculation Sheet'!$O$4:$O$40)-SUMIFS('Final Calculation Sheet'!$O$4:$O$40,$AZ$5:$AZ$41,10),SUMIFS('Final Calculation Sheet'!$O$4:$O$40,$AZ$5:$AZ$41,$BH51))),""))</f>
        <v/>
      </c>
      <c r="Q52" s="70">
        <f>IF($BJ51&gt;0,IF(INDEX('Final Calculation Sheet'!$P$4:$P$40,$BJ51-3)="","",INDEX('Final Calculation Sheet'!$P$4:$P$40,$BJ51-3)),IF(OR($BI51=1,$BL51=1,$BH51&gt;0),IF($BI51=1,SUM('Final Calculation Sheet'!$P$4:$P$40),IF($BL51=1,SUM('Final Calculation Sheet'!$P$4:$P$40)-SUMIFS('Final Calculation Sheet'!$P$4:$P$40,$AZ$5:$AZ$41,10),SUMIFS('Final Calculation Sheet'!$P$4:$P$40,$AZ$5:$AZ$41,$BH51))),""))</f>
        <v/>
      </c>
      <c r="R52" s="72">
        <f>IF($BJ51&gt;0,IF(INDEX('Final Calculation Sheet'!$Q$4:$Q$40,$BJ51-3)="","",INDEX('Final Calculation Sheet'!$Q$4:$Q$40,$BJ51-3)),IF(OR($BI51=1,$BL51=1,$BH51&gt;0),"–",""))</f>
        <v/>
      </c>
      <c r="S52" s="70">
        <f>IF($BJ51&gt;0,IF(INDEX('Final Calculation Sheet'!$R$4:$R$40,$BJ51-3)="","",INDEX('Final Calculation Sheet'!$R$4:$R$40,$BJ51-3)),IF(OR($BI51=1,$BL51=1,$BH51&gt;0),IF($BI51=1,SUM('Final Calculation Sheet'!$R$4:$R$40),IF($BL51=1,SUM('Final Calculation Sheet'!$R$4:$R$40)-SUMIFS('Final Calculation Sheet'!$R$4:$R$40,$AZ$5:$AZ$41,10),SUMIFS('Final Calculation Sheet'!$R$4:$R$40,$AZ$5:$AZ$41,$BH51))),""))</f>
        <v/>
      </c>
      <c r="T52" s="70">
        <f>IF($BJ51&gt;0,IF(INDEX('Final Calculation Sheet'!$S$4:$S$40,$BJ51-3)="","",INDEX('Final Calculation Sheet'!$S$4:$S$40,$BJ51-3)),IF(OR($BI51=1,$BL51=1,$BH51&gt;0),IF($BI51=1,SUM('Final Calculation Sheet'!$S$4:$S$40),IF($BL51=1,SUM('Final Calculation Sheet'!$S$4:$S$40)-SUMIFS('Final Calculation Sheet'!$S$4:$S$40,$AZ$5:$AZ$41,10),SUMIFS('Final Calculation Sheet'!$S$4:$S$40,$AZ$5:$AZ$41,$BH51))),""))</f>
        <v/>
      </c>
      <c r="U52" s="70">
        <f>IF($BJ51&gt;0,IF(INDEX('Final Calculation Sheet'!$T$4:$T$40,$BJ51-3)="","",INDEX('Final Calculation Sheet'!$T$4:$T$40,$BJ51-3)),IF(OR($BI51=1,$BL51=1,$BH51&gt;0),IF($BI51=1,SUM('Final Calculation Sheet'!$T$4:$T$40),IF($BL51=1,SUM('Final Calculation Sheet'!$T$4:$T$40)-SUMIFS('Final Calculation Sheet'!$T$4:$T$40,$AZ$5:$AZ$41,10),SUMIFS('Final Calculation Sheet'!$T$4:$T$40,$AZ$5:$AZ$41,$BH51))),""))</f>
        <v/>
      </c>
      <c r="V52" s="73">
        <f>IF($BJ51&gt;0,IF(INDEX('Final Calculation Sheet'!$U$4:$U$40,$BJ51-3)="","",INDEX('Final Calculation Sheet'!$U$4:$U$40,$BJ51-3)),IF(OR($BI51=1,$BL51=1,$BH51&gt;0),IF($BI51=1,SUM('Final Calculation Sheet'!$U$4:$U$40),IF($BL51=1,SUM('Final Calculation Sheet'!$U$4:$U$40)-SUMIFS('Final Calculation Sheet'!$U$4:$U$40,$AZ$5:$AZ$41,10),SUMIFS('Final Calculation Sheet'!$U$4:$U$40,$AZ$5:$AZ$41,$BH51))),""))</f>
        <v/>
      </c>
      <c r="W52" s="70">
        <f>IF($BJ51&gt;0,IF(INDEX('Final Calculation Sheet'!$V$4:$V$40,$BJ51-3)="","",INDEX('Final Calculation Sheet'!$V$4:$V$40,$BJ51-3)),IF(OR($BI51=1,$BL51=1,$BH51&gt;0),"–",""))</f>
        <v/>
      </c>
      <c r="X52" s="70">
        <f>IF($BJ51&gt;0,IF(INDEX('Final Calculation Sheet'!$W$4:$W$40,$BJ51-3)="","",INDEX('Final Calculation Sheet'!$W$4:$W$40,$BJ51-3)),IF(OR($BI51=1,$BL51=1,$BH51&gt;0),IF($BI51=1,SUM('Final Calculation Sheet'!$W$4:$W$40),IF($BL51=1,SUM('Final Calculation Sheet'!$W$4:$W$40)-SUMIFS('Final Calculation Sheet'!$W$4:$W$40,$AZ$5:$AZ$41,10),SUMIFS('Final Calculation Sheet'!$W$4:$W$40,$AZ$5:$AZ$41,$BH51))),""))</f>
        <v/>
      </c>
      <c r="Y52" s="70">
        <f>IF($BJ51&gt;0,IF(INDEX('Final Calculation Sheet'!$X$4:$X$40,$BJ51-3)="","",INDEX('Final Calculation Sheet'!$X$4:$X$40,$BJ51-3)),IF(OR($BI51=1,$BL51=1,$BH51&gt;0),IF($BI51=1,SUM('Final Calculation Sheet'!$X$4:$X$40),IF($BL51=1,SUM('Final Calculation Sheet'!$X$4:$X$40)-SUMIFS('Final Calculation Sheet'!$X$4:$X$40,$AZ$5:$AZ$41,10),SUMIFS('Final Calculation Sheet'!$X$4:$X$40,$AZ$5:$AZ$41,$BH51))),""))</f>
        <v/>
      </c>
      <c r="Z52" s="70">
        <f>IF($BJ51&gt;0,IF(INDEX('Final Calculation Sheet'!$Y$4:$Y$40,$BJ51-3)="","",INDEX('Final Calculation Sheet'!$Y$4:$Y$40,$BJ51-3)),IF(OR($BI51=1,$BL51=1,$BH51&gt;0),"–",""))</f>
        <v/>
      </c>
      <c r="AA52" s="70">
        <f>IF($BJ51&gt;0,IF(INDEX('Final Calculation Sheet'!$Z$4:$Z$40,$BJ51-3)="","",INDEX('Final Calculation Sheet'!$Z$4:$Z$40,$BJ51-3)),IF(OR($BI51=1,$BL51=1,$BH51&gt;0),IF($BI51=1,SUM('Final Calculation Sheet'!$Z$4:$Z$40),IF($BL51=1,SUM('Final Calculation Sheet'!$Z$4:$Z$40)-SUMIFS('Final Calculation Sheet'!$Z$4:$Z$40,$AZ$5:$AZ$41,10),SUMIFS('Final Calculation Sheet'!$Z$4:$Z$40,$AZ$5:$AZ$41,$BH51))),""))</f>
        <v/>
      </c>
      <c r="AB52" s="70">
        <f>IF($BJ51&gt;0,IF(INDEX('Final Calculation Sheet'!$AA$4:$AA$40,$BJ51-3)="","",INDEX('Final Calculation Sheet'!$AA$4:$AA$40,$BJ51-3)),IF(OR($BI51=1,$BL51=1,$BH51&gt;0),IF($BI51=1,SUM('Final Calculation Sheet'!$AA$4:$AA$40),IF($BL51=1,SUM('Final Calculation Sheet'!$AA$4:$AA$40)-SUMIFS('Final Calculation Sheet'!$AA$4:$AA$40,$AZ$5:$AZ$41,10),SUMIFS('Final Calculation Sheet'!$AA$4:$AA$40,$AZ$5:$AZ$41,$BH51))),""))</f>
        <v/>
      </c>
      <c r="AC52" s="70">
        <f>IF($BJ51&gt;0,IF(INDEX('Final Calculation Sheet'!$AB$4:$AB$40,$BJ51-3)="","",INDEX('Final Calculation Sheet'!$AB$4:$AB$40,$BJ51-3)),IF(OR($BI51=1,$BL51=1,$BH51&gt;0),"–",""))</f>
        <v/>
      </c>
      <c r="AD52" s="70">
        <f>IF($BJ51&gt;0,IF(INDEX('Final Calculation Sheet'!$AC$4:$AC$40,$BJ51-3)="","",INDEX('Final Calculation Sheet'!$AC$4:$AC$40,$BJ51-3)),IF(OR($BI51=1,$BL51=1,$BH51&gt;0),IF($BI51=1,SUM('Final Calculation Sheet'!$AC$4:$AC$40),IF($BL51=1,SUM('Final Calculation Sheet'!$AC$4:$AC$40)-SUMIFS('Final Calculation Sheet'!$AC$4:$AC$40,$AZ$5:$AZ$41,10),SUMIFS('Final Calculation Sheet'!$AC$4:$AC$40,$AZ$5:$AZ$41,$BH51))),""))</f>
        <v/>
      </c>
      <c r="AE52" s="70">
        <f>IF($BJ51&gt;0,IF(INDEX('Final Calculation Sheet'!$AD$4:$AD$40,$BJ51-3)="","",INDEX('Final Calculation Sheet'!$AD$4:$AD$40,$BJ51-3)),IF(OR($BI51=1,$BL51=1,$BH51&gt;0),IF($BI51=1,SUM('Final Calculation Sheet'!$AD$4:$AD$40),IF($BL51=1,SUM('Final Calculation Sheet'!$AD$4:$AD$40)-SUMIFS('Final Calculation Sheet'!$AD$4:$AD$40,$AZ$5:$AZ$41,10),SUMIFS('Final Calculation Sheet'!$AD$4:$AD$40,$AZ$5:$AZ$41,$BH51))),""))</f>
        <v/>
      </c>
      <c r="AF52" s="75">
        <f>IF($BJ51&gt;0,IF(INDEX('Final Calculation Sheet'!$AD$4:$AD$40,$BJ51-3)="","",IF(INDEX('Final Calculation Sheet'!$AD$4:$AD$40,$BJ51-3)&lt;=5,"SETTLED","OUTSTANDING")),IF(OR($BI51=1,$BL51=1,$BH51&gt;0),IF(IF($BI51=1,SUM('Final Calculation Sheet'!$AD$4:$AD$40),IF($BL51=1,SUM('Final Calculation Sheet'!$AD$4:$AD$40)-SUMIFS('Final Calculation Sheet'!$AD$4:$AD$40,$AZ$5:$AZ$41,10),SUMIFS('Final Calculation Sheet'!$AD$4:$AD$40,$AZ$5:$AZ$41,$BH51)))&lt;=5,"ALL SETTLED","OUTSTANDING"),""))</f>
        <v/>
      </c>
      <c r="AG52" s="70">
        <f>IF($BJ51&gt;0,IF(INDEX('Final Calculation Sheet'!$AF$4:$AF$40,$BJ51-3)="","",INDEX('Final Calculation Sheet'!$AF$4:$AF$40,$BJ51-3)),IF(OR($BI51=1,$BL51=1,$BH51&gt;0),"–",""))</f>
        <v/>
      </c>
      <c r="AH52" s="74">
        <f>IF($BJ51&gt;0,IF(INDEX('Final Calculation Sheet'!$AG$4:$AG$40,$BJ51-3)="","",INDEX('Final Calculation Sheet'!$AG$4:$AG$40,$BJ51-3)),IF(OR($BI51=1,$BL51=1,$BH51&gt;0),"–",""))</f>
        <v/>
      </c>
      <c r="AI52" s="70">
        <f>IF($BJ51&gt;0,IF(INDEX('Final Calculation Sheet'!$AH$4:$AH$40,$BJ51-3)="","",INDEX('Final Calculation Sheet'!$AH$4:$AH$40,$BJ51-3)),IF(OR($BI51=1,$BL51=1,$BH51&gt;0),"–",""))</f>
        <v/>
      </c>
      <c r="BH52">
        <f>IFERROR(MATCH(52,$BF$4:$BF$13,0),0)</f>
        <v/>
      </c>
      <c r="BI52">
        <f>IF(52=$BG$5,1,0)</f>
        <v/>
      </c>
      <c r="BJ52">
        <f>IF(OR($BH52&gt;0,$BI52=1,$BL52=1),0,IFERROR(INDEX($BC$5:$BC$41,MATCH(52,$BB$5:$BB$41,0)),0))</f>
        <v/>
      </c>
      <c r="BK52">
        <f>IF($BJ52&gt;0,IF(INDEX($AZ$5:$AZ$41,MATCH(52,$BB$5:$BB$41,0))=10,1,0),IF($BH52=10,1,0))</f>
        <v/>
      </c>
      <c r="BL52">
        <f>IF(52=$BG$4,1,0)</f>
        <v/>
      </c>
    </row>
    <row r="53" ht="15" customHeight="1" s="137">
      <c r="A53" s="67">
        <f>IF($BJ52&gt;0,INDEX($BA$5:$BA$41,MATCH(52,$BB$5:$BB$41,0)),IF(OR($BI52=1,$BL52=1,$BH52&gt;0),"∑",""))</f>
        <v/>
      </c>
      <c r="B53" s="76">
        <f>IF($BJ52&gt;0,IF(INDEX('Final Calculation Sheet'!$F$4:$F$40,$BJ52-3)="","",INDEX('Final Calculation Sheet'!$F$4:$F$40,$BJ52-3)),"")</f>
        <v/>
      </c>
      <c r="C53" s="76">
        <f>IF($BJ52&gt;0,IF(INDEX('Final Calculation Sheet'!$G$4:$G$40,$BJ52-3)="","",INDEX('Final Calculation Sheet'!$G$4:$G$40,$BJ52-3)),IF(OR($BI52=1,$BL52=1,$BH52&gt;0),IF($BI52=1,37,IF($BL52=1,37-INDEX($BD$4:$BD$13,10),INDEX($BD$4:$BD$13,$BH52)))&amp;" lot(s)",""))</f>
        <v/>
      </c>
      <c r="D53" s="80">
        <f>IF($BJ52&gt;0,IF(INDEX('Final Calculation Sheet'!$B$4:$B$40,$BJ52-3)="","",INDEX('Final Calculation Sheet'!$B$4:$B$40,$BJ52-3)),IF(OR($BI52=1,$BL52=1,$BH52&gt;0),IF($BI52=1,"GRAND TOTAL  —  matching + remaining",IF($BL52=1,"TOTAL MATCHED  —  every group together",IF($BH52=10,"REMAINING  —  did not match the search",IF($BH52=9,IF(COUNTIF($A$4:$AI$4,"&lt;&gt;")&gt;0,"FILTERED LOTS  —  column fields","ALL LOTS  —  nothing typed in the box"),"GROUP "&amp;$BH52&amp;" TOTAL  —  lots matching  "&amp;INDEX($AR$6:$AY$6,$BH52))))),""))</f>
        <v/>
      </c>
      <c r="E53" s="80">
        <f>IF($BJ52&gt;0,IF(INDEX('Final Calculation Sheet'!$D$4:$D$40,$BJ52-3)="","",INDEX('Final Calculation Sheet'!$D$4:$D$40,$BJ52-3)),IF(OR($BI52=1,$BL52=1,$BH52&gt;0),"–",""))</f>
        <v/>
      </c>
      <c r="F53" s="80">
        <f>IF($BJ52&gt;0,IF(INDEX('Final Calculation Sheet'!$A$4:$A$40,$BJ52-3)="","",INDEX('Final Calculation Sheet'!$A$4:$A$40,$BJ52-3)),IF(OR($BI52=1,$BL52=1,$BH52&gt;0),IF($BI52=1,SUM('Final Calculation Sheet'!$A$4:$A$40),IF($BL52=1,SUM('Final Calculation Sheet'!$A$4:$A$40)-SUMIFS('Final Calculation Sheet'!$A$4:$A$40,$AZ$5:$AZ$41,10),SUMIFS('Final Calculation Sheet'!$A$4:$A$40,$AZ$5:$AZ$41,$BH52))),""))</f>
        <v/>
      </c>
      <c r="G53" s="80">
        <f>IF($BJ52&gt;0,IF(INDEX('Final Calculation Sheet'!$E$4:$E$40,$BJ52-3)="","",INDEX('Final Calculation Sheet'!$E$4:$E$40,$BJ52-3)),IF(OR($BI52=1,$BL52=1,$BH52&gt;0),"–",""))</f>
        <v/>
      </c>
      <c r="H53" s="70">
        <f>IF($BJ52&gt;0,IF(INDEX('Final Calculation Sheet'!$C$4:$C$40,$BJ52-3)="","",INDEX('Final Calculation Sheet'!$C$4:$C$40,$BJ52-3)),IF(OR($BI52=1,$BL52=1,$BH52&gt;0),"–",""))</f>
        <v/>
      </c>
      <c r="I53" s="70">
        <f>IF($BJ52&gt;0,IF(INDEX('Final Calculation Sheet'!$H$4:$H$40,$BJ52-3)="","",INDEX('Final Calculation Sheet'!$H$4:$H$40,$BJ52-3)),IF(OR($BI52=1,$BL52=1,$BH52&gt;0),IF($BI52=1,SUM('Final Calculation Sheet'!$H$4:$H$40),IF($BL52=1,SUM('Final Calculation Sheet'!$H$4:$H$40)-SUMIFS('Final Calculation Sheet'!$H$4:$H$40,$AZ$5:$AZ$41,10),SUMIFS('Final Calculation Sheet'!$H$4:$H$40,$AZ$5:$AZ$41,$BH52))),""))</f>
        <v/>
      </c>
      <c r="J53" s="70">
        <f>IF($BJ52&gt;0,IF(INDEX('Final Calculation Sheet'!$I$4:$I$40,$BJ52-3)="","",INDEX('Final Calculation Sheet'!$I$4:$I$40,$BJ52-3)),IF(OR($BI52=1,$BL52=1,$BH52&gt;0),IF($BI52=1,SUM('Final Calculation Sheet'!$I$4:$I$40),IF($BL52=1,SUM('Final Calculation Sheet'!$I$4:$I$40)-SUMIFS('Final Calculation Sheet'!$I$4:$I$40,$AZ$5:$AZ$41,10),SUMIFS('Final Calculation Sheet'!$I$4:$I$40,$AZ$5:$AZ$41,$BH52))),""))</f>
        <v/>
      </c>
      <c r="K53" s="70">
        <f>IF($BJ52&gt;0,IF(INDEX('Final Calculation Sheet'!$J$4:$J$40,$BJ52-3)="","",INDEX('Final Calculation Sheet'!$J$4:$J$40,$BJ52-3)),IF(OR($BI52=1,$BL52=1,$BH52&gt;0),IF($BI52=1,SUM('Final Calculation Sheet'!$J$4:$J$40),IF($BL52=1,SUM('Final Calculation Sheet'!$J$4:$J$40)-SUMIFS('Final Calculation Sheet'!$J$4:$J$40,$AZ$5:$AZ$41,10),SUMIFS('Final Calculation Sheet'!$J$4:$J$40,$AZ$5:$AZ$41,$BH52))),""))</f>
        <v/>
      </c>
      <c r="L53" s="70">
        <f>IF($BJ52&gt;0,IF(INDEX('Final Calculation Sheet'!$K$4:$K$40,$BJ52-3)="","",INDEX('Final Calculation Sheet'!$K$4:$K$40,$BJ52-3)),IF(OR($BI52=1,$BL52=1,$BH52&gt;0),IF($BI52=1,SUM('Final Calculation Sheet'!$K$4:$K$40),IF($BL52=1,SUM('Final Calculation Sheet'!$K$4:$K$40)-SUMIFS('Final Calculation Sheet'!$K$4:$K$40,$AZ$5:$AZ$41,10),SUMIFS('Final Calculation Sheet'!$K$4:$K$40,$AZ$5:$AZ$41,$BH52))),""))</f>
        <v/>
      </c>
      <c r="M53" s="70">
        <f>IF($BJ52&gt;0,IF(INDEX('Final Calculation Sheet'!$L$4:$L$40,$BJ52-3)="","",INDEX('Final Calculation Sheet'!$L$4:$L$40,$BJ52-3)),IF(OR($BI52=1,$BL52=1,$BH52&gt;0),IF($BI52=1,SUM('Final Calculation Sheet'!$L$4:$L$40),IF($BL52=1,SUM('Final Calculation Sheet'!$L$4:$L$40)-SUMIFS('Final Calculation Sheet'!$L$4:$L$40,$AZ$5:$AZ$41,10),SUMIFS('Final Calculation Sheet'!$L$4:$L$40,$AZ$5:$AZ$41,$BH52))),""))</f>
        <v/>
      </c>
      <c r="N53" s="70">
        <f>IF($BJ52&gt;0,IF(INDEX('Final Calculation Sheet'!$M$4:$M$40,$BJ52-3)="","",INDEX('Final Calculation Sheet'!$M$4:$M$40,$BJ52-3)),IF(OR($BI52=1,$BL52=1,$BH52&gt;0),IF($BI52=1,SUM('Final Calculation Sheet'!$M$4:$M$40),IF($BL52=1,SUM('Final Calculation Sheet'!$M$4:$M$40)-SUMIFS('Final Calculation Sheet'!$M$4:$M$40,$AZ$5:$AZ$41,10),SUMIFS('Final Calculation Sheet'!$M$4:$M$40,$AZ$5:$AZ$41,$BH52))),""))</f>
        <v/>
      </c>
      <c r="O53" s="71">
        <f>IF($BJ52&gt;0,IF(INDEX('Final Calculation Sheet'!$N$4:$N$40,$BJ52-3)="","",INDEX('Final Calculation Sheet'!$N$4:$N$40,$BJ52-3)),IF(OR($BI52=1,$BL52=1,$BH52&gt;0),IF($BI52=1,SUM('Final Calculation Sheet'!$N$4:$N$40),IF($BL52=1,SUM('Final Calculation Sheet'!$N$4:$N$40)-SUMIFS('Final Calculation Sheet'!$N$4:$N$40,$AZ$5:$AZ$41,10),SUMIFS('Final Calculation Sheet'!$N$4:$N$40,$AZ$5:$AZ$41,$BH52))),""))</f>
        <v/>
      </c>
      <c r="P53" s="70">
        <f>IF($BJ52&gt;0,IF(INDEX('Final Calculation Sheet'!$O$4:$O$40,$BJ52-3)="","",INDEX('Final Calculation Sheet'!$O$4:$O$40,$BJ52-3)),IF(OR($BI52=1,$BL52=1,$BH52&gt;0),IF($BI52=1,SUM('Final Calculation Sheet'!$O$4:$O$40),IF($BL52=1,SUM('Final Calculation Sheet'!$O$4:$O$40)-SUMIFS('Final Calculation Sheet'!$O$4:$O$40,$AZ$5:$AZ$41,10),SUMIFS('Final Calculation Sheet'!$O$4:$O$40,$AZ$5:$AZ$41,$BH52))),""))</f>
        <v/>
      </c>
      <c r="Q53" s="70">
        <f>IF($BJ52&gt;0,IF(INDEX('Final Calculation Sheet'!$P$4:$P$40,$BJ52-3)="","",INDEX('Final Calculation Sheet'!$P$4:$P$40,$BJ52-3)),IF(OR($BI52=1,$BL52=1,$BH52&gt;0),IF($BI52=1,SUM('Final Calculation Sheet'!$P$4:$P$40),IF($BL52=1,SUM('Final Calculation Sheet'!$P$4:$P$40)-SUMIFS('Final Calculation Sheet'!$P$4:$P$40,$AZ$5:$AZ$41,10),SUMIFS('Final Calculation Sheet'!$P$4:$P$40,$AZ$5:$AZ$41,$BH52))),""))</f>
        <v/>
      </c>
      <c r="R53" s="72">
        <f>IF($BJ52&gt;0,IF(INDEX('Final Calculation Sheet'!$Q$4:$Q$40,$BJ52-3)="","",INDEX('Final Calculation Sheet'!$Q$4:$Q$40,$BJ52-3)),IF(OR($BI52=1,$BL52=1,$BH52&gt;0),"–",""))</f>
        <v/>
      </c>
      <c r="S53" s="70">
        <f>IF($BJ52&gt;0,IF(INDEX('Final Calculation Sheet'!$R$4:$R$40,$BJ52-3)="","",INDEX('Final Calculation Sheet'!$R$4:$R$40,$BJ52-3)),IF(OR($BI52=1,$BL52=1,$BH52&gt;0),IF($BI52=1,SUM('Final Calculation Sheet'!$R$4:$R$40),IF($BL52=1,SUM('Final Calculation Sheet'!$R$4:$R$40)-SUMIFS('Final Calculation Sheet'!$R$4:$R$40,$AZ$5:$AZ$41,10),SUMIFS('Final Calculation Sheet'!$R$4:$R$40,$AZ$5:$AZ$41,$BH52))),""))</f>
        <v/>
      </c>
      <c r="T53" s="70">
        <f>IF($BJ52&gt;0,IF(INDEX('Final Calculation Sheet'!$S$4:$S$40,$BJ52-3)="","",INDEX('Final Calculation Sheet'!$S$4:$S$40,$BJ52-3)),IF(OR($BI52=1,$BL52=1,$BH52&gt;0),IF($BI52=1,SUM('Final Calculation Sheet'!$S$4:$S$40),IF($BL52=1,SUM('Final Calculation Sheet'!$S$4:$S$40)-SUMIFS('Final Calculation Sheet'!$S$4:$S$40,$AZ$5:$AZ$41,10),SUMIFS('Final Calculation Sheet'!$S$4:$S$40,$AZ$5:$AZ$41,$BH52))),""))</f>
        <v/>
      </c>
      <c r="U53" s="70">
        <f>IF($BJ52&gt;0,IF(INDEX('Final Calculation Sheet'!$T$4:$T$40,$BJ52-3)="","",INDEX('Final Calculation Sheet'!$T$4:$T$40,$BJ52-3)),IF(OR($BI52=1,$BL52=1,$BH52&gt;0),IF($BI52=1,SUM('Final Calculation Sheet'!$T$4:$T$40),IF($BL52=1,SUM('Final Calculation Sheet'!$T$4:$T$40)-SUMIFS('Final Calculation Sheet'!$T$4:$T$40,$AZ$5:$AZ$41,10),SUMIFS('Final Calculation Sheet'!$T$4:$T$40,$AZ$5:$AZ$41,$BH52))),""))</f>
        <v/>
      </c>
      <c r="V53" s="73">
        <f>IF($BJ52&gt;0,IF(INDEX('Final Calculation Sheet'!$U$4:$U$40,$BJ52-3)="","",INDEX('Final Calculation Sheet'!$U$4:$U$40,$BJ52-3)),IF(OR($BI52=1,$BL52=1,$BH52&gt;0),IF($BI52=1,SUM('Final Calculation Sheet'!$U$4:$U$40),IF($BL52=1,SUM('Final Calculation Sheet'!$U$4:$U$40)-SUMIFS('Final Calculation Sheet'!$U$4:$U$40,$AZ$5:$AZ$41,10),SUMIFS('Final Calculation Sheet'!$U$4:$U$40,$AZ$5:$AZ$41,$BH52))),""))</f>
        <v/>
      </c>
      <c r="W53" s="70">
        <f>IF($BJ52&gt;0,IF(INDEX('Final Calculation Sheet'!$V$4:$V$40,$BJ52-3)="","",INDEX('Final Calculation Sheet'!$V$4:$V$40,$BJ52-3)),IF(OR($BI52=1,$BL52=1,$BH52&gt;0),"–",""))</f>
        <v/>
      </c>
      <c r="X53" s="70">
        <f>IF($BJ52&gt;0,IF(INDEX('Final Calculation Sheet'!$W$4:$W$40,$BJ52-3)="","",INDEX('Final Calculation Sheet'!$W$4:$W$40,$BJ52-3)),IF(OR($BI52=1,$BL52=1,$BH52&gt;0),IF($BI52=1,SUM('Final Calculation Sheet'!$W$4:$W$40),IF($BL52=1,SUM('Final Calculation Sheet'!$W$4:$W$40)-SUMIFS('Final Calculation Sheet'!$W$4:$W$40,$AZ$5:$AZ$41,10),SUMIFS('Final Calculation Sheet'!$W$4:$W$40,$AZ$5:$AZ$41,$BH52))),""))</f>
        <v/>
      </c>
      <c r="Y53" s="70">
        <f>IF($BJ52&gt;0,IF(INDEX('Final Calculation Sheet'!$X$4:$X$40,$BJ52-3)="","",INDEX('Final Calculation Sheet'!$X$4:$X$40,$BJ52-3)),IF(OR($BI52=1,$BL52=1,$BH52&gt;0),IF($BI52=1,SUM('Final Calculation Sheet'!$X$4:$X$40),IF($BL52=1,SUM('Final Calculation Sheet'!$X$4:$X$40)-SUMIFS('Final Calculation Sheet'!$X$4:$X$40,$AZ$5:$AZ$41,10),SUMIFS('Final Calculation Sheet'!$X$4:$X$40,$AZ$5:$AZ$41,$BH52))),""))</f>
        <v/>
      </c>
      <c r="Z53" s="70">
        <f>IF($BJ52&gt;0,IF(INDEX('Final Calculation Sheet'!$Y$4:$Y$40,$BJ52-3)="","",INDEX('Final Calculation Sheet'!$Y$4:$Y$40,$BJ52-3)),IF(OR($BI52=1,$BL52=1,$BH52&gt;0),"–",""))</f>
        <v/>
      </c>
      <c r="AA53" s="70">
        <f>IF($BJ52&gt;0,IF(INDEX('Final Calculation Sheet'!$Z$4:$Z$40,$BJ52-3)="","",INDEX('Final Calculation Sheet'!$Z$4:$Z$40,$BJ52-3)),IF(OR($BI52=1,$BL52=1,$BH52&gt;0),IF($BI52=1,SUM('Final Calculation Sheet'!$Z$4:$Z$40),IF($BL52=1,SUM('Final Calculation Sheet'!$Z$4:$Z$40)-SUMIFS('Final Calculation Sheet'!$Z$4:$Z$40,$AZ$5:$AZ$41,10),SUMIFS('Final Calculation Sheet'!$Z$4:$Z$40,$AZ$5:$AZ$41,$BH52))),""))</f>
        <v/>
      </c>
      <c r="AB53" s="70">
        <f>IF($BJ52&gt;0,IF(INDEX('Final Calculation Sheet'!$AA$4:$AA$40,$BJ52-3)="","",INDEX('Final Calculation Sheet'!$AA$4:$AA$40,$BJ52-3)),IF(OR($BI52=1,$BL52=1,$BH52&gt;0),IF($BI52=1,SUM('Final Calculation Sheet'!$AA$4:$AA$40),IF($BL52=1,SUM('Final Calculation Sheet'!$AA$4:$AA$40)-SUMIFS('Final Calculation Sheet'!$AA$4:$AA$40,$AZ$5:$AZ$41,10),SUMIFS('Final Calculation Sheet'!$AA$4:$AA$40,$AZ$5:$AZ$41,$BH52))),""))</f>
        <v/>
      </c>
      <c r="AC53" s="70">
        <f>IF($BJ52&gt;0,IF(INDEX('Final Calculation Sheet'!$AB$4:$AB$40,$BJ52-3)="","",INDEX('Final Calculation Sheet'!$AB$4:$AB$40,$BJ52-3)),IF(OR($BI52=1,$BL52=1,$BH52&gt;0),"–",""))</f>
        <v/>
      </c>
      <c r="AD53" s="70">
        <f>IF($BJ52&gt;0,IF(INDEX('Final Calculation Sheet'!$AC$4:$AC$40,$BJ52-3)="","",INDEX('Final Calculation Sheet'!$AC$4:$AC$40,$BJ52-3)),IF(OR($BI52=1,$BL52=1,$BH52&gt;0),IF($BI52=1,SUM('Final Calculation Sheet'!$AC$4:$AC$40),IF($BL52=1,SUM('Final Calculation Sheet'!$AC$4:$AC$40)-SUMIFS('Final Calculation Sheet'!$AC$4:$AC$40,$AZ$5:$AZ$41,10),SUMIFS('Final Calculation Sheet'!$AC$4:$AC$40,$AZ$5:$AZ$41,$BH52))),""))</f>
        <v/>
      </c>
      <c r="AE53" s="70">
        <f>IF($BJ52&gt;0,IF(INDEX('Final Calculation Sheet'!$AD$4:$AD$40,$BJ52-3)="","",INDEX('Final Calculation Sheet'!$AD$4:$AD$40,$BJ52-3)),IF(OR($BI52=1,$BL52=1,$BH52&gt;0),IF($BI52=1,SUM('Final Calculation Sheet'!$AD$4:$AD$40),IF($BL52=1,SUM('Final Calculation Sheet'!$AD$4:$AD$40)-SUMIFS('Final Calculation Sheet'!$AD$4:$AD$40,$AZ$5:$AZ$41,10),SUMIFS('Final Calculation Sheet'!$AD$4:$AD$40,$AZ$5:$AZ$41,$BH52))),""))</f>
        <v/>
      </c>
      <c r="AF53" s="75">
        <f>IF($BJ52&gt;0,IF(INDEX('Final Calculation Sheet'!$AD$4:$AD$40,$BJ52-3)="","",IF(INDEX('Final Calculation Sheet'!$AD$4:$AD$40,$BJ52-3)&lt;=5,"SETTLED","OUTSTANDING")),IF(OR($BI52=1,$BL52=1,$BH52&gt;0),IF(IF($BI52=1,SUM('Final Calculation Sheet'!$AD$4:$AD$40),IF($BL52=1,SUM('Final Calculation Sheet'!$AD$4:$AD$40)-SUMIFS('Final Calculation Sheet'!$AD$4:$AD$40,$AZ$5:$AZ$41,10),SUMIFS('Final Calculation Sheet'!$AD$4:$AD$40,$AZ$5:$AZ$41,$BH52)))&lt;=5,"ALL SETTLED","OUTSTANDING"),""))</f>
        <v/>
      </c>
      <c r="AG53" s="70">
        <f>IF($BJ52&gt;0,IF(INDEX('Final Calculation Sheet'!$AF$4:$AF$40,$BJ52-3)="","",INDEX('Final Calculation Sheet'!$AF$4:$AF$40,$BJ52-3)),IF(OR($BI52=1,$BL52=1,$BH52&gt;0),"–",""))</f>
        <v/>
      </c>
      <c r="AH53" s="74">
        <f>IF($BJ52&gt;0,IF(INDEX('Final Calculation Sheet'!$AG$4:$AG$40,$BJ52-3)="","",INDEX('Final Calculation Sheet'!$AG$4:$AG$40,$BJ52-3)),IF(OR($BI52=1,$BL52=1,$BH52&gt;0),"–",""))</f>
        <v/>
      </c>
      <c r="AI53" s="70">
        <f>IF($BJ52&gt;0,IF(INDEX('Final Calculation Sheet'!$AH$4:$AH$40,$BJ52-3)="","",INDEX('Final Calculation Sheet'!$AH$4:$AH$40,$BJ52-3)),IF(OR($BI52=1,$BL52=1,$BH52&gt;0),"–",""))</f>
        <v/>
      </c>
      <c r="BH53">
        <f>IFERROR(MATCH(53,$BF$4:$BF$13,0),0)</f>
        <v/>
      </c>
      <c r="BI53">
        <f>IF(53=$BG$5,1,0)</f>
        <v/>
      </c>
      <c r="BJ53">
        <f>IF(OR($BH53&gt;0,$BI53=1,$BL53=1),0,IFERROR(INDEX($BC$5:$BC$41,MATCH(53,$BB$5:$BB$41,0)),0))</f>
        <v/>
      </c>
      <c r="BK53">
        <f>IF($BJ53&gt;0,IF(INDEX($AZ$5:$AZ$41,MATCH(53,$BB$5:$BB$41,0))=10,1,0),IF($BH53=10,1,0))</f>
        <v/>
      </c>
      <c r="BL53">
        <f>IF(53=$BG$4,1,0)</f>
        <v/>
      </c>
    </row>
    <row r="54" ht="15" customHeight="1" s="137">
      <c r="A54" s="67">
        <f>IF($BJ53&gt;0,INDEX($BA$5:$BA$41,MATCH(53,$BB$5:$BB$41,0)),IF(OR($BI53=1,$BL53=1,$BH53&gt;0),"∑",""))</f>
        <v/>
      </c>
      <c r="B54" s="76">
        <f>IF($BJ53&gt;0,IF(INDEX('Final Calculation Sheet'!$F$4:$F$40,$BJ53-3)="","",INDEX('Final Calculation Sheet'!$F$4:$F$40,$BJ53-3)),"")</f>
        <v/>
      </c>
      <c r="C54" s="76">
        <f>IF($BJ53&gt;0,IF(INDEX('Final Calculation Sheet'!$G$4:$G$40,$BJ53-3)="","",INDEX('Final Calculation Sheet'!$G$4:$G$40,$BJ53-3)),IF(OR($BI53=1,$BL53=1,$BH53&gt;0),IF($BI53=1,37,IF($BL53=1,37-INDEX($BD$4:$BD$13,10),INDEX($BD$4:$BD$13,$BH53)))&amp;" lot(s)",""))</f>
        <v/>
      </c>
      <c r="D54" s="80">
        <f>IF($BJ53&gt;0,IF(INDEX('Final Calculation Sheet'!$B$4:$B$40,$BJ53-3)="","",INDEX('Final Calculation Sheet'!$B$4:$B$40,$BJ53-3)),IF(OR($BI53=1,$BL53=1,$BH53&gt;0),IF($BI53=1,"GRAND TOTAL  —  matching + remaining",IF($BL53=1,"TOTAL MATCHED  —  every group together",IF($BH53=10,"REMAINING  —  did not match the search",IF($BH53=9,IF(COUNTIF($A$4:$AI$4,"&lt;&gt;")&gt;0,"FILTERED LOTS  —  column fields","ALL LOTS  —  nothing typed in the box"),"GROUP "&amp;$BH53&amp;" TOTAL  —  lots matching  "&amp;INDEX($AR$6:$AY$6,$BH53))))),""))</f>
        <v/>
      </c>
      <c r="E54" s="80">
        <f>IF($BJ53&gt;0,IF(INDEX('Final Calculation Sheet'!$D$4:$D$40,$BJ53-3)="","",INDEX('Final Calculation Sheet'!$D$4:$D$40,$BJ53-3)),IF(OR($BI53=1,$BL53=1,$BH53&gt;0),"–",""))</f>
        <v/>
      </c>
      <c r="F54" s="80">
        <f>IF($BJ53&gt;0,IF(INDEX('Final Calculation Sheet'!$A$4:$A$40,$BJ53-3)="","",INDEX('Final Calculation Sheet'!$A$4:$A$40,$BJ53-3)),IF(OR($BI53=1,$BL53=1,$BH53&gt;0),IF($BI53=1,SUM('Final Calculation Sheet'!$A$4:$A$40),IF($BL53=1,SUM('Final Calculation Sheet'!$A$4:$A$40)-SUMIFS('Final Calculation Sheet'!$A$4:$A$40,$AZ$5:$AZ$41,10),SUMIFS('Final Calculation Sheet'!$A$4:$A$40,$AZ$5:$AZ$41,$BH53))),""))</f>
        <v/>
      </c>
      <c r="G54" s="80">
        <f>IF($BJ53&gt;0,IF(INDEX('Final Calculation Sheet'!$E$4:$E$40,$BJ53-3)="","",INDEX('Final Calculation Sheet'!$E$4:$E$40,$BJ53-3)),IF(OR($BI53=1,$BL53=1,$BH53&gt;0),"–",""))</f>
        <v/>
      </c>
      <c r="H54" s="70">
        <f>IF($BJ53&gt;0,IF(INDEX('Final Calculation Sheet'!$C$4:$C$40,$BJ53-3)="","",INDEX('Final Calculation Sheet'!$C$4:$C$40,$BJ53-3)),IF(OR($BI53=1,$BL53=1,$BH53&gt;0),"–",""))</f>
        <v/>
      </c>
      <c r="I54" s="70">
        <f>IF($BJ53&gt;0,IF(INDEX('Final Calculation Sheet'!$H$4:$H$40,$BJ53-3)="","",INDEX('Final Calculation Sheet'!$H$4:$H$40,$BJ53-3)),IF(OR($BI53=1,$BL53=1,$BH53&gt;0),IF($BI53=1,SUM('Final Calculation Sheet'!$H$4:$H$40),IF($BL53=1,SUM('Final Calculation Sheet'!$H$4:$H$40)-SUMIFS('Final Calculation Sheet'!$H$4:$H$40,$AZ$5:$AZ$41,10),SUMIFS('Final Calculation Sheet'!$H$4:$H$40,$AZ$5:$AZ$41,$BH53))),""))</f>
        <v/>
      </c>
      <c r="J54" s="70">
        <f>IF($BJ53&gt;0,IF(INDEX('Final Calculation Sheet'!$I$4:$I$40,$BJ53-3)="","",INDEX('Final Calculation Sheet'!$I$4:$I$40,$BJ53-3)),IF(OR($BI53=1,$BL53=1,$BH53&gt;0),IF($BI53=1,SUM('Final Calculation Sheet'!$I$4:$I$40),IF($BL53=1,SUM('Final Calculation Sheet'!$I$4:$I$40)-SUMIFS('Final Calculation Sheet'!$I$4:$I$40,$AZ$5:$AZ$41,10),SUMIFS('Final Calculation Sheet'!$I$4:$I$40,$AZ$5:$AZ$41,$BH53))),""))</f>
        <v/>
      </c>
      <c r="K54" s="70">
        <f>IF($BJ53&gt;0,IF(INDEX('Final Calculation Sheet'!$J$4:$J$40,$BJ53-3)="","",INDEX('Final Calculation Sheet'!$J$4:$J$40,$BJ53-3)),IF(OR($BI53=1,$BL53=1,$BH53&gt;0),IF($BI53=1,SUM('Final Calculation Sheet'!$J$4:$J$40),IF($BL53=1,SUM('Final Calculation Sheet'!$J$4:$J$40)-SUMIFS('Final Calculation Sheet'!$J$4:$J$40,$AZ$5:$AZ$41,10),SUMIFS('Final Calculation Sheet'!$J$4:$J$40,$AZ$5:$AZ$41,$BH53))),""))</f>
        <v/>
      </c>
      <c r="L54" s="70">
        <f>IF($BJ53&gt;0,IF(INDEX('Final Calculation Sheet'!$K$4:$K$40,$BJ53-3)="","",INDEX('Final Calculation Sheet'!$K$4:$K$40,$BJ53-3)),IF(OR($BI53=1,$BL53=1,$BH53&gt;0),IF($BI53=1,SUM('Final Calculation Sheet'!$K$4:$K$40),IF($BL53=1,SUM('Final Calculation Sheet'!$K$4:$K$40)-SUMIFS('Final Calculation Sheet'!$K$4:$K$40,$AZ$5:$AZ$41,10),SUMIFS('Final Calculation Sheet'!$K$4:$K$40,$AZ$5:$AZ$41,$BH53))),""))</f>
        <v/>
      </c>
      <c r="M54" s="70">
        <f>IF($BJ53&gt;0,IF(INDEX('Final Calculation Sheet'!$L$4:$L$40,$BJ53-3)="","",INDEX('Final Calculation Sheet'!$L$4:$L$40,$BJ53-3)),IF(OR($BI53=1,$BL53=1,$BH53&gt;0),IF($BI53=1,SUM('Final Calculation Sheet'!$L$4:$L$40),IF($BL53=1,SUM('Final Calculation Sheet'!$L$4:$L$40)-SUMIFS('Final Calculation Sheet'!$L$4:$L$40,$AZ$5:$AZ$41,10),SUMIFS('Final Calculation Sheet'!$L$4:$L$40,$AZ$5:$AZ$41,$BH53))),""))</f>
        <v/>
      </c>
      <c r="N54" s="70">
        <f>IF($BJ53&gt;0,IF(INDEX('Final Calculation Sheet'!$M$4:$M$40,$BJ53-3)="","",INDEX('Final Calculation Sheet'!$M$4:$M$40,$BJ53-3)),IF(OR($BI53=1,$BL53=1,$BH53&gt;0),IF($BI53=1,SUM('Final Calculation Sheet'!$M$4:$M$40),IF($BL53=1,SUM('Final Calculation Sheet'!$M$4:$M$40)-SUMIFS('Final Calculation Sheet'!$M$4:$M$40,$AZ$5:$AZ$41,10),SUMIFS('Final Calculation Sheet'!$M$4:$M$40,$AZ$5:$AZ$41,$BH53))),""))</f>
        <v/>
      </c>
      <c r="O54" s="71">
        <f>IF($BJ53&gt;0,IF(INDEX('Final Calculation Sheet'!$N$4:$N$40,$BJ53-3)="","",INDEX('Final Calculation Sheet'!$N$4:$N$40,$BJ53-3)),IF(OR($BI53=1,$BL53=1,$BH53&gt;0),IF($BI53=1,SUM('Final Calculation Sheet'!$N$4:$N$40),IF($BL53=1,SUM('Final Calculation Sheet'!$N$4:$N$40)-SUMIFS('Final Calculation Sheet'!$N$4:$N$40,$AZ$5:$AZ$41,10),SUMIFS('Final Calculation Sheet'!$N$4:$N$40,$AZ$5:$AZ$41,$BH53))),""))</f>
        <v/>
      </c>
      <c r="P54" s="70">
        <f>IF($BJ53&gt;0,IF(INDEX('Final Calculation Sheet'!$O$4:$O$40,$BJ53-3)="","",INDEX('Final Calculation Sheet'!$O$4:$O$40,$BJ53-3)),IF(OR($BI53=1,$BL53=1,$BH53&gt;0),IF($BI53=1,SUM('Final Calculation Sheet'!$O$4:$O$40),IF($BL53=1,SUM('Final Calculation Sheet'!$O$4:$O$40)-SUMIFS('Final Calculation Sheet'!$O$4:$O$40,$AZ$5:$AZ$41,10),SUMIFS('Final Calculation Sheet'!$O$4:$O$40,$AZ$5:$AZ$41,$BH53))),""))</f>
        <v/>
      </c>
      <c r="Q54" s="70">
        <f>IF($BJ53&gt;0,IF(INDEX('Final Calculation Sheet'!$P$4:$P$40,$BJ53-3)="","",INDEX('Final Calculation Sheet'!$P$4:$P$40,$BJ53-3)),IF(OR($BI53=1,$BL53=1,$BH53&gt;0),IF($BI53=1,SUM('Final Calculation Sheet'!$P$4:$P$40),IF($BL53=1,SUM('Final Calculation Sheet'!$P$4:$P$40)-SUMIFS('Final Calculation Sheet'!$P$4:$P$40,$AZ$5:$AZ$41,10),SUMIFS('Final Calculation Sheet'!$P$4:$P$40,$AZ$5:$AZ$41,$BH53))),""))</f>
        <v/>
      </c>
      <c r="R54" s="72">
        <f>IF($BJ53&gt;0,IF(INDEX('Final Calculation Sheet'!$Q$4:$Q$40,$BJ53-3)="","",INDEX('Final Calculation Sheet'!$Q$4:$Q$40,$BJ53-3)),IF(OR($BI53=1,$BL53=1,$BH53&gt;0),"–",""))</f>
        <v/>
      </c>
      <c r="S54" s="70">
        <f>IF($BJ53&gt;0,IF(INDEX('Final Calculation Sheet'!$R$4:$R$40,$BJ53-3)="","",INDEX('Final Calculation Sheet'!$R$4:$R$40,$BJ53-3)),IF(OR($BI53=1,$BL53=1,$BH53&gt;0),IF($BI53=1,SUM('Final Calculation Sheet'!$R$4:$R$40),IF($BL53=1,SUM('Final Calculation Sheet'!$R$4:$R$40)-SUMIFS('Final Calculation Sheet'!$R$4:$R$40,$AZ$5:$AZ$41,10),SUMIFS('Final Calculation Sheet'!$R$4:$R$40,$AZ$5:$AZ$41,$BH53))),""))</f>
        <v/>
      </c>
      <c r="T54" s="70">
        <f>IF($BJ53&gt;0,IF(INDEX('Final Calculation Sheet'!$S$4:$S$40,$BJ53-3)="","",INDEX('Final Calculation Sheet'!$S$4:$S$40,$BJ53-3)),IF(OR($BI53=1,$BL53=1,$BH53&gt;0),IF($BI53=1,SUM('Final Calculation Sheet'!$S$4:$S$40),IF($BL53=1,SUM('Final Calculation Sheet'!$S$4:$S$40)-SUMIFS('Final Calculation Sheet'!$S$4:$S$40,$AZ$5:$AZ$41,10),SUMIFS('Final Calculation Sheet'!$S$4:$S$40,$AZ$5:$AZ$41,$BH53))),""))</f>
        <v/>
      </c>
      <c r="U54" s="70">
        <f>IF($BJ53&gt;0,IF(INDEX('Final Calculation Sheet'!$T$4:$T$40,$BJ53-3)="","",INDEX('Final Calculation Sheet'!$T$4:$T$40,$BJ53-3)),IF(OR($BI53=1,$BL53=1,$BH53&gt;0),IF($BI53=1,SUM('Final Calculation Sheet'!$T$4:$T$40),IF($BL53=1,SUM('Final Calculation Sheet'!$T$4:$T$40)-SUMIFS('Final Calculation Sheet'!$T$4:$T$40,$AZ$5:$AZ$41,10),SUMIFS('Final Calculation Sheet'!$T$4:$T$40,$AZ$5:$AZ$41,$BH53))),""))</f>
        <v/>
      </c>
      <c r="V54" s="73">
        <f>IF($BJ53&gt;0,IF(INDEX('Final Calculation Sheet'!$U$4:$U$40,$BJ53-3)="","",INDEX('Final Calculation Sheet'!$U$4:$U$40,$BJ53-3)),IF(OR($BI53=1,$BL53=1,$BH53&gt;0),IF($BI53=1,SUM('Final Calculation Sheet'!$U$4:$U$40),IF($BL53=1,SUM('Final Calculation Sheet'!$U$4:$U$40)-SUMIFS('Final Calculation Sheet'!$U$4:$U$40,$AZ$5:$AZ$41,10),SUMIFS('Final Calculation Sheet'!$U$4:$U$40,$AZ$5:$AZ$41,$BH53))),""))</f>
        <v/>
      </c>
      <c r="W54" s="70">
        <f>IF($BJ53&gt;0,IF(INDEX('Final Calculation Sheet'!$V$4:$V$40,$BJ53-3)="","",INDEX('Final Calculation Sheet'!$V$4:$V$40,$BJ53-3)),IF(OR($BI53=1,$BL53=1,$BH53&gt;0),"–",""))</f>
        <v/>
      </c>
      <c r="X54" s="70">
        <f>IF($BJ53&gt;0,IF(INDEX('Final Calculation Sheet'!$W$4:$W$40,$BJ53-3)="","",INDEX('Final Calculation Sheet'!$W$4:$W$40,$BJ53-3)),IF(OR($BI53=1,$BL53=1,$BH53&gt;0),IF($BI53=1,SUM('Final Calculation Sheet'!$W$4:$W$40),IF($BL53=1,SUM('Final Calculation Sheet'!$W$4:$W$40)-SUMIFS('Final Calculation Sheet'!$W$4:$W$40,$AZ$5:$AZ$41,10),SUMIFS('Final Calculation Sheet'!$W$4:$W$40,$AZ$5:$AZ$41,$BH53))),""))</f>
        <v/>
      </c>
      <c r="Y54" s="70">
        <f>IF($BJ53&gt;0,IF(INDEX('Final Calculation Sheet'!$X$4:$X$40,$BJ53-3)="","",INDEX('Final Calculation Sheet'!$X$4:$X$40,$BJ53-3)),IF(OR($BI53=1,$BL53=1,$BH53&gt;0),IF($BI53=1,SUM('Final Calculation Sheet'!$X$4:$X$40),IF($BL53=1,SUM('Final Calculation Sheet'!$X$4:$X$40)-SUMIFS('Final Calculation Sheet'!$X$4:$X$40,$AZ$5:$AZ$41,10),SUMIFS('Final Calculation Sheet'!$X$4:$X$40,$AZ$5:$AZ$41,$BH53))),""))</f>
        <v/>
      </c>
      <c r="Z54" s="70">
        <f>IF($BJ53&gt;0,IF(INDEX('Final Calculation Sheet'!$Y$4:$Y$40,$BJ53-3)="","",INDEX('Final Calculation Sheet'!$Y$4:$Y$40,$BJ53-3)),IF(OR($BI53=1,$BL53=1,$BH53&gt;0),"–",""))</f>
        <v/>
      </c>
      <c r="AA54" s="70">
        <f>IF($BJ53&gt;0,IF(INDEX('Final Calculation Sheet'!$Z$4:$Z$40,$BJ53-3)="","",INDEX('Final Calculation Sheet'!$Z$4:$Z$40,$BJ53-3)),IF(OR($BI53=1,$BL53=1,$BH53&gt;0),IF($BI53=1,SUM('Final Calculation Sheet'!$Z$4:$Z$40),IF($BL53=1,SUM('Final Calculation Sheet'!$Z$4:$Z$40)-SUMIFS('Final Calculation Sheet'!$Z$4:$Z$40,$AZ$5:$AZ$41,10),SUMIFS('Final Calculation Sheet'!$Z$4:$Z$40,$AZ$5:$AZ$41,$BH53))),""))</f>
        <v/>
      </c>
      <c r="AB54" s="70">
        <f>IF($BJ53&gt;0,IF(INDEX('Final Calculation Sheet'!$AA$4:$AA$40,$BJ53-3)="","",INDEX('Final Calculation Sheet'!$AA$4:$AA$40,$BJ53-3)),IF(OR($BI53=1,$BL53=1,$BH53&gt;0),IF($BI53=1,SUM('Final Calculation Sheet'!$AA$4:$AA$40),IF($BL53=1,SUM('Final Calculation Sheet'!$AA$4:$AA$40)-SUMIFS('Final Calculation Sheet'!$AA$4:$AA$40,$AZ$5:$AZ$41,10),SUMIFS('Final Calculation Sheet'!$AA$4:$AA$40,$AZ$5:$AZ$41,$BH53))),""))</f>
        <v/>
      </c>
      <c r="AC54" s="70">
        <f>IF($BJ53&gt;0,IF(INDEX('Final Calculation Sheet'!$AB$4:$AB$40,$BJ53-3)="","",INDEX('Final Calculation Sheet'!$AB$4:$AB$40,$BJ53-3)),IF(OR($BI53=1,$BL53=1,$BH53&gt;0),"–",""))</f>
        <v/>
      </c>
      <c r="AD54" s="70">
        <f>IF($BJ53&gt;0,IF(INDEX('Final Calculation Sheet'!$AC$4:$AC$40,$BJ53-3)="","",INDEX('Final Calculation Sheet'!$AC$4:$AC$40,$BJ53-3)),IF(OR($BI53=1,$BL53=1,$BH53&gt;0),IF($BI53=1,SUM('Final Calculation Sheet'!$AC$4:$AC$40),IF($BL53=1,SUM('Final Calculation Sheet'!$AC$4:$AC$40)-SUMIFS('Final Calculation Sheet'!$AC$4:$AC$40,$AZ$5:$AZ$41,10),SUMIFS('Final Calculation Sheet'!$AC$4:$AC$40,$AZ$5:$AZ$41,$BH53))),""))</f>
        <v/>
      </c>
      <c r="AE54" s="70">
        <f>IF($BJ53&gt;0,IF(INDEX('Final Calculation Sheet'!$AD$4:$AD$40,$BJ53-3)="","",INDEX('Final Calculation Sheet'!$AD$4:$AD$40,$BJ53-3)),IF(OR($BI53=1,$BL53=1,$BH53&gt;0),IF($BI53=1,SUM('Final Calculation Sheet'!$AD$4:$AD$40),IF($BL53=1,SUM('Final Calculation Sheet'!$AD$4:$AD$40)-SUMIFS('Final Calculation Sheet'!$AD$4:$AD$40,$AZ$5:$AZ$41,10),SUMIFS('Final Calculation Sheet'!$AD$4:$AD$40,$AZ$5:$AZ$41,$BH53))),""))</f>
        <v/>
      </c>
      <c r="AF54" s="75">
        <f>IF($BJ53&gt;0,IF(INDEX('Final Calculation Sheet'!$AD$4:$AD$40,$BJ53-3)="","",IF(INDEX('Final Calculation Sheet'!$AD$4:$AD$40,$BJ53-3)&lt;=5,"SETTLED","OUTSTANDING")),IF(OR($BI53=1,$BL53=1,$BH53&gt;0),IF(IF($BI53=1,SUM('Final Calculation Sheet'!$AD$4:$AD$40),IF($BL53=1,SUM('Final Calculation Sheet'!$AD$4:$AD$40)-SUMIFS('Final Calculation Sheet'!$AD$4:$AD$40,$AZ$5:$AZ$41,10),SUMIFS('Final Calculation Sheet'!$AD$4:$AD$40,$AZ$5:$AZ$41,$BH53)))&lt;=5,"ALL SETTLED","OUTSTANDING"),""))</f>
        <v/>
      </c>
      <c r="AG54" s="70">
        <f>IF($BJ53&gt;0,IF(INDEX('Final Calculation Sheet'!$AF$4:$AF$40,$BJ53-3)="","",INDEX('Final Calculation Sheet'!$AF$4:$AF$40,$BJ53-3)),IF(OR($BI53=1,$BL53=1,$BH53&gt;0),"–",""))</f>
        <v/>
      </c>
      <c r="AH54" s="74">
        <f>IF($BJ53&gt;0,IF(INDEX('Final Calculation Sheet'!$AG$4:$AG$40,$BJ53-3)="","",INDEX('Final Calculation Sheet'!$AG$4:$AG$40,$BJ53-3)),IF(OR($BI53=1,$BL53=1,$BH53&gt;0),"–",""))</f>
        <v/>
      </c>
      <c r="AI54" s="70">
        <f>IF($BJ53&gt;0,IF(INDEX('Final Calculation Sheet'!$AH$4:$AH$40,$BJ53-3)="","",INDEX('Final Calculation Sheet'!$AH$4:$AH$40,$BJ53-3)),IF(OR($BI53=1,$BL53=1,$BH53&gt;0),"–",""))</f>
        <v/>
      </c>
    </row>
  </sheetData>
  <mergeCells count="4">
    <mergeCell ref="A2:AI2"/>
    <mergeCell ref="B3:D3"/>
    <mergeCell ref="I3:AI3"/>
    <mergeCell ref="A1:AI1"/>
  </mergeCells>
  <conditionalFormatting sqref="A6:AI54">
    <cfRule type="expression" priority="2" dxfId="50">
      <formula>AND($B$3&lt;&gt;"",$BK5=1,$BH5=0,$BI5=0)</formula>
    </cfRule>
    <cfRule type="expression" priority="3" dxfId="49">
      <formula>$BH5=10</formula>
    </cfRule>
    <cfRule type="expression" priority="4" dxfId="48">
      <formula>$BI5=1</formula>
    </cfRule>
    <cfRule type="expression" priority="5" dxfId="47">
      <formula>$BL5=1</formula>
    </cfRule>
    <cfRule type="expression" priority="6" dxfId="46">
      <formula>$BH5&gt;0</formula>
    </cfRule>
    <cfRule type="expression" priority="7" dxfId="3">
      <formula>AND($B$3&lt;&gt;"",$BJ5&gt;0,$BK5=0)</formula>
    </cfRule>
    <cfRule type="expression" priority="8" dxfId="44">
      <formula>AND($BJ5&gt;0,MOD($BJ5,2)=0)</formula>
    </cfRule>
    <cfRule type="expression" priority="12" dxfId="40">
      <formula>OR($BJ5&gt;0,$BH5&gt;0,$BI5=1,$BL5=1)</formula>
    </cfRule>
  </conditionalFormatting>
  <conditionalFormatting sqref="AE6:AE54">
    <cfRule type="cellIs" priority="9" operator="greaterThan" dxfId="0">
      <formula>5</formula>
    </cfRule>
  </conditionalFormatting>
  <conditionalFormatting sqref="AF6:AF54">
    <cfRule type="cellIs" priority="10" operator="equal" dxfId="2">
      <formula>"SETTLED"</formula>
    </cfRule>
    <cfRule type="cellIs" priority="11" operator="equal" dxfId="0">
      <formula>"OUTSTANDING"</formula>
    </cfRule>
  </conditionalFormatting>
  <dataValidations count="38">
    <dataValidation sqref="F3" showDropDown="0" showInputMessage="0" showErrorMessage="0" allowBlank="0" type="list">
      <formula1>$AO$4:$AO$9</formula1>
      <formula2>0</formula2>
    </dataValidation>
    <dataValidation sqref="B3" showDropDown="0" showInputMessage="0" showErrorMessage="0" allowBlank="0" type="list">
      <formula1>SUG_MAIN</formula1>
      <formula2>0</formula2>
    </dataValidation>
    <dataValidation sqref="A4" showDropDown="0" showInputMessage="0" showErrorMessage="0" allowBlank="0" type="list">
      <formula1>SUG_A</formula1>
      <formula2>0</formula2>
    </dataValidation>
    <dataValidation sqref="B4" showDropDown="0" showInputMessage="0" showErrorMessage="0" allowBlank="0" type="list">
      <formula1>SUG_B</formula1>
      <formula2>0</formula2>
    </dataValidation>
    <dataValidation sqref="C4" showDropDown="0" showInputMessage="0" showErrorMessage="0" allowBlank="0" type="list">
      <formula1>SUG_C</formula1>
      <formula2>0</formula2>
    </dataValidation>
    <dataValidation sqref="D4" showDropDown="0" showInputMessage="0" showErrorMessage="0" allowBlank="0" type="list">
      <formula1>SUG_D</formula1>
      <formula2>0</formula2>
    </dataValidation>
    <dataValidation sqref="E4" showDropDown="0" showInputMessage="0" showErrorMessage="0" allowBlank="0" type="list">
      <formula1>SUG_E</formula1>
      <formula2>0</formula2>
    </dataValidation>
    <dataValidation sqref="F4" showDropDown="0" showInputMessage="0" showErrorMessage="0" allowBlank="0" type="list">
      <formula1>SUG_F</formula1>
      <formula2>0</formula2>
    </dataValidation>
    <dataValidation sqref="G4" showDropDown="0" showInputMessage="0" showErrorMessage="0" allowBlank="0" type="list">
      <formula1>SUG_G</formula1>
      <formula2>0</formula2>
    </dataValidation>
    <dataValidation sqref="H4" showDropDown="0" showInputMessage="0" showErrorMessage="0" allowBlank="0" type="list">
      <formula1>SUG_H</formula1>
      <formula2>0</formula2>
    </dataValidation>
    <dataValidation sqref="I4" showDropDown="0" showInputMessage="0" showErrorMessage="0" allowBlank="0" type="list">
      <formula1>SUG_I</formula1>
      <formula2>0</formula2>
    </dataValidation>
    <dataValidation sqref="J4" showDropDown="0" showInputMessage="0" showErrorMessage="0" allowBlank="0" type="list">
      <formula1>SUG_J</formula1>
      <formula2>0</formula2>
    </dataValidation>
    <dataValidation sqref="K4" showDropDown="0" showInputMessage="0" showErrorMessage="0" allowBlank="0" type="list">
      <formula1>SUG_K</formula1>
      <formula2>0</formula2>
    </dataValidation>
    <dataValidation sqref="L4" showDropDown="0" showInputMessage="0" showErrorMessage="0" allowBlank="0" type="list">
      <formula1>SUG_L</formula1>
      <formula2>0</formula2>
    </dataValidation>
    <dataValidation sqref="M4" showDropDown="0" showInputMessage="0" showErrorMessage="0" allowBlank="0" type="list">
      <formula1>SUG_M</formula1>
      <formula2>0</formula2>
    </dataValidation>
    <dataValidation sqref="N4" showDropDown="0" showInputMessage="0" showErrorMessage="0" allowBlank="0" type="list">
      <formula1>SUG_N</formula1>
      <formula2>0</formula2>
    </dataValidation>
    <dataValidation sqref="O4" showDropDown="0" showInputMessage="0" showErrorMessage="0" allowBlank="0" type="list">
      <formula1>SUG_O</formula1>
      <formula2>0</formula2>
    </dataValidation>
    <dataValidation sqref="P4" showDropDown="0" showInputMessage="0" showErrorMessage="0" allowBlank="0" type="list">
      <formula1>SUG_P</formula1>
      <formula2>0</formula2>
    </dataValidation>
    <dataValidation sqref="Q4" showDropDown="0" showInputMessage="0" showErrorMessage="0" allowBlank="0" type="list">
      <formula1>SUG_Q</formula1>
      <formula2>0</formula2>
    </dataValidation>
    <dataValidation sqref="R4" showDropDown="0" showInputMessage="0" showErrorMessage="0" allowBlank="0" type="list">
      <formula1>SUG_R</formula1>
      <formula2>0</formula2>
    </dataValidation>
    <dataValidation sqref="S4" showDropDown="0" showInputMessage="0" showErrorMessage="0" allowBlank="0" type="list">
      <formula1>SUG_S</formula1>
      <formula2>0</formula2>
    </dataValidation>
    <dataValidation sqref="T4" showDropDown="0" showInputMessage="0" showErrorMessage="0" allowBlank="0" type="list">
      <formula1>SUG_T</formula1>
      <formula2>0</formula2>
    </dataValidation>
    <dataValidation sqref="U4" showDropDown="0" showInputMessage="0" showErrorMessage="0" allowBlank="0" type="list">
      <formula1>SUG_U</formula1>
      <formula2>0</formula2>
    </dataValidation>
    <dataValidation sqref="V4" showDropDown="0" showInputMessage="0" showErrorMessage="0" allowBlank="0" type="list">
      <formula1>SUG_V</formula1>
      <formula2>0</formula2>
    </dataValidation>
    <dataValidation sqref="W4" showDropDown="0" showInputMessage="0" showErrorMessage="0" allowBlank="0" type="list">
      <formula1>SUG_W</formula1>
      <formula2>0</formula2>
    </dataValidation>
    <dataValidation sqref="X4" showDropDown="0" showInputMessage="0" showErrorMessage="0" allowBlank="0" type="list">
      <formula1>SUG_X</formula1>
      <formula2>0</formula2>
    </dataValidation>
    <dataValidation sqref="Y4" showDropDown="0" showInputMessage="0" showErrorMessage="0" allowBlank="0" type="list">
      <formula1>SUG_Y</formula1>
      <formula2>0</formula2>
    </dataValidation>
    <dataValidation sqref="Z4" showDropDown="0" showInputMessage="0" showErrorMessage="0" allowBlank="0" type="list">
      <formula1>SUG_Z</formula1>
      <formula2>0</formula2>
    </dataValidation>
    <dataValidation sqref="AA4" showDropDown="0" showInputMessage="0" showErrorMessage="0" allowBlank="0" type="list">
      <formula1>SUG_AA</formula1>
      <formula2>0</formula2>
    </dataValidation>
    <dataValidation sqref="AB4" showDropDown="0" showInputMessage="0" showErrorMessage="0" allowBlank="0" type="list">
      <formula1>SUG_AB</formula1>
      <formula2>0</formula2>
    </dataValidation>
    <dataValidation sqref="AC4" showDropDown="0" showInputMessage="0" showErrorMessage="0" allowBlank="0" type="list">
      <formula1>SUG_AC</formula1>
      <formula2>0</formula2>
    </dataValidation>
    <dataValidation sqref="AD4" showDropDown="0" showInputMessage="0" showErrorMessage="0" allowBlank="0" type="list">
      <formula1>SUG_AD</formula1>
      <formula2>0</formula2>
    </dataValidation>
    <dataValidation sqref="AE4" showDropDown="0" showInputMessage="0" showErrorMessage="0" allowBlank="0" type="list">
      <formula1>SUG_AE</formula1>
      <formula2>0</formula2>
    </dataValidation>
    <dataValidation sqref="AG4" showDropDown="0" showInputMessage="0" showErrorMessage="0" allowBlank="0" type="list">
      <formula1>SUG_AF</formula1>
      <formula2>0</formula2>
    </dataValidation>
    <dataValidation sqref="AH4" showDropDown="0" showInputMessage="0" showErrorMessage="0" allowBlank="0" type="list">
      <formula1>SUG_AG</formula1>
      <formula2>0</formula2>
    </dataValidation>
    <dataValidation sqref="AI4" showDropDown="0" showInputMessage="0" showErrorMessage="0" allowBlank="0" type="list">
      <formula1>SUG_AH</formula1>
      <formula2>0</formula2>
    </dataValidation>
    <dataValidation sqref="AF4" showDropDown="0" showInputMessage="0" showErrorMessage="0" allowBlank="0" type="list">
      <formula1>SUG_AI</formula1>
      <formula2>0</formula2>
    </dataValidation>
    <dataValidation type="list" showDropDown="0" showInputMessage="0" showErrorMessage="0" allowBlank="0" sqref="D3">
      <formula1>SUG_C</formula1>
    </dataValidation>
  </dataValidations>
  <pageMargins left="0.75" right="0.75" top="1" bottom="1" header="0.511811023622047" footer="0.511811023622047"/>
  <pageSetup orientation="landscape" fitToHeight="0" horizontalDpi="300" verticalDpi="300"/>
</worksheet>
</file>

<file path=xl/worksheets/sheet3.xml><?xml version="1.0" encoding="utf-8"?>
<worksheet xmlns="http://schemas.openxmlformats.org/spreadsheetml/2006/main">
  <sheetPr codeName="Sheet3">
    <tabColor rgb="FF2E75B6"/>
    <outlinePr summaryBelow="1" summaryRight="1"/>
    <pageSetUpPr/>
  </sheetPr>
  <dimension ref="A1:EP95"/>
  <sheetViews>
    <sheetView zoomScaleNormal="10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8.7109375" defaultRowHeight="15" outlineLevelRow="1"/>
  <cols>
    <col hidden="1" width="14.85546875" customWidth="1" style="137" min="1" max="1"/>
    <col width="10" customWidth="1" style="137" min="2" max="2"/>
    <col width="30" customWidth="1" style="137" min="3" max="3"/>
    <col outlineLevel="1" width="42" customWidth="1" style="137" min="4" max="4"/>
    <col outlineLevel="1" width="11.7109375" customWidth="1" style="137" min="5" max="5"/>
    <col outlineLevel="1" width="12" customWidth="1" style="137" min="6" max="6"/>
    <col outlineLevel="1" width="11" customWidth="1" style="137" min="7" max="7"/>
    <col outlineLevel="1" width="8.85546875" customWidth="1" style="137" min="8" max="8"/>
    <col width="10.28515625" customWidth="1" style="137" min="9" max="9"/>
    <col outlineLevel="1" width="8.85546875" customWidth="1" style="137" min="10" max="10"/>
    <col outlineLevel="1" width="13.42578125" customWidth="1" style="137" min="11" max="11"/>
    <col outlineLevel="1" width="13" customWidth="1" style="137" min="12" max="16"/>
    <col outlineLevel="1" width="13" customWidth="1" style="137" min="13" max="13"/>
    <col outlineLevel="1" width="13" customWidth="1" style="137" min="14" max="14"/>
    <col outlineLevel="1" width="13" customWidth="1" style="137" min="15" max="15"/>
    <col outlineLevel="1" width="13" customWidth="1" style="137" min="16" max="16"/>
    <col width="13.42578125" customWidth="1" style="137" min="17" max="19"/>
    <col outlineLevel="1" width="13" customWidth="1" style="137" min="18" max="18"/>
    <col width="13" customWidth="1" style="137" min="20" max="20"/>
    <col outlineLevel="1" width="13.42578125" customWidth="1" style="137" min="21" max="21"/>
    <col width="13.42578125" customWidth="1" style="137" min="22" max="22"/>
    <col width="13" customWidth="1" style="137" min="23" max="23"/>
    <col outlineLevel="1" width="13" customWidth="1" style="137" min="24" max="24"/>
    <col width="13" customWidth="1" style="137" min="25" max="26"/>
    <col outlineLevel="1" width="13" customWidth="1" style="137" min="27" max="27"/>
    <col width="13" customWidth="1" style="137" min="28" max="35"/>
    <col width="13" customWidth="1" style="137" min="32" max="32"/>
    <col width="13" customWidth="1" style="137" min="33" max="33"/>
    <col width="13" customWidth="1" style="137" min="34" max="34"/>
    <col width="13" customWidth="1" style="137" min="35" max="35"/>
    <col hidden="1" width="13" customWidth="1" style="137" min="36" max="106"/>
    <col hidden="1" width="13" customWidth="1" style="137" min="111" max="111"/>
    <col hidden="1" width="13" customWidth="1" style="137" min="112" max="112"/>
    <col hidden="1" width="13" customWidth="1" style="137" min="113" max="113"/>
    <col hidden="1" width="13" customWidth="1" style="137" min="114" max="114"/>
    <col hidden="1" width="13" customWidth="1" style="137" min="115" max="115"/>
    <col hidden="1" width="13" customWidth="1" style="137" min="116" max="116"/>
    <col hidden="1" width="13" customWidth="1" style="137" min="117" max="117"/>
    <col hidden="1" width="13" customWidth="1" style="137" min="118" max="118"/>
    <col hidden="1" width="13" customWidth="1" style="137" min="119" max="119"/>
    <col hidden="1" width="13" customWidth="1" style="137" min="120" max="120"/>
    <col hidden="1" width="13" customWidth="1" style="137" min="121" max="121"/>
    <col hidden="1" width="13" customWidth="1" style="137" min="122" max="122"/>
    <col hidden="1" width="13" customWidth="1" style="137" min="123" max="123"/>
    <col hidden="1" width="13" customWidth="1" style="137" min="124" max="124"/>
    <col hidden="1" width="13" customWidth="1" style="137" min="125" max="125"/>
    <col hidden="1" width="13" customWidth="1" style="137" min="126" max="126"/>
    <col hidden="1" width="13" customWidth="1" style="137" min="127" max="127"/>
    <col hidden="1" width="13" customWidth="1" style="137" min="128" max="128"/>
    <col hidden="1" width="13" customWidth="1" style="137" min="129" max="129"/>
    <col hidden="1" width="13" customWidth="1" style="137" min="130" max="130"/>
    <col hidden="1" width="13" customWidth="1" style="137" min="131" max="131"/>
    <col hidden="1" width="13" customWidth="1" style="137" min="132" max="132"/>
    <col hidden="1" width="13" customWidth="1" style="137" min="133" max="133"/>
    <col hidden="1" width="13" customWidth="1" style="137" min="134" max="134"/>
    <col hidden="1" width="13" customWidth="1" style="137" min="135" max="135"/>
    <col hidden="1" width="13" customWidth="1" style="137" min="136" max="136"/>
    <col hidden="1" width="13" customWidth="1" style="137" min="137" max="137"/>
    <col hidden="1" width="13" customWidth="1" style="137" min="138" max="138"/>
    <col hidden="1" width="13" customWidth="1" style="137" min="139" max="139"/>
    <col hidden="1" width="13" customWidth="1" style="137" min="140" max="140"/>
    <col hidden="1" width="13" customWidth="1" style="137" min="141" max="141"/>
    <col hidden="1" width="13" customWidth="1" style="137" min="142" max="142"/>
    <col hidden="1" width="13" customWidth="1" style="137" min="143" max="143"/>
    <col hidden="1" width="13" customWidth="1" style="137" min="144" max="144"/>
  </cols>
  <sheetData>
    <row r="1" ht="30" customHeight="1" s="137">
      <c r="A1" s="142" t="inlineStr">
        <is>
          <t>MSTC LIMITED  •  BUYER-WISE GROUPS   (each buyer’s lots in one block with a shaded ∑ subtotal beneath it, a blue TOTAL of every buyer and a green GRAND TOTAL cross-checked to the source at the foot)</t>
        </is>
      </c>
    </row>
    <row r="2" ht="43.5" customHeight="1" s="137">
      <c r="A2" s="143" t="inlineStr">
        <is>
          <t>HOW TO READ  ▶  lots are grouped alphabetically by buyer; the navy ∑ row beneath each block subtotals that buyer only.  •  TOTAL adds the buyer subtotals; GRAND TOTAL sums Final Calculation Sheet directly — the two must always agree.  •  nothing here is typed in: every figure is a live link to Final Calculation Sheet.  •  use the +/- outline control above columns D:H to expand/collapse Lot Name through Rate, and above columns J:P to expand/collapse GST through Net Service Charge under Service charge to MSTC, and above column R to collapse GST TDS Rate.  •  ROW GROUPS - use the +/- buttons at the left of each navy subtotal row to collapse/expand that buyer’s lots; the 1 / 2 buttons above collapse all blocks or expand everything.  •  the (Expected) columns of Security Deposit, Final Payment and LPP each collapse via their own +/- button above the column.   •   SETTLED TOLERANCE - a lot received short by up to Rs. 5 counts as SETTLED (rounding tolerance); only shortfalls above Rs. 5 show OUTSTANDING.  •  COLUMN SEARCH — type in the yellow SEARCH row (row 4) above any column to highlight every match in that column (contains-text, case-insensitive; works for numbers and dates too). Use (blank) / (nonblank) to find empty or filled cells. Totals and subtotals never highlight. Clear the cell to reset.  •  FUNNEL FILTERS — every header in row 5 has a filter funnel: click it and use its search box to narrow the list down to matching lots. Note: subtotals, TOTAL and GRAND always show FULL (unfiltered) sums even while a filter is on.  •  SEARCH DROPDOWNS — every yellow search cell has a cascading dropdown (same style as Live Search): click a search cell and press Alt+↓ to pick a value. Each list narrows to values still possible given your other yellow filters — pick a buyer and Lot No. only shows that buyer’s lots, and so on. Clear a cell to widen its list again.  •  MATCHED LOTS — as soon as any SEARCH box holds a value, the matching lots light up in yellow and are counted on the MATCHED LOTS bar (row 6), and the non-matching lots are greyed out; it re-checks on every keystroke, and clearing the SEARCH row puts the plain view back.  •  NARROWING DROPDOWNS — dropdowns cascade with your other filters (only values that still match remain); in newer Excel, typing a few letters further filters the list as you type, like Google. The highlight and MATCHED LOTS update live. Clear the cell for the full cascading list again.</t>
        </is>
      </c>
      <c r="EP2" s="0" t="inlineStr">
        <is>
          <t>▸ MATCHED LOTS  —  type in any yellow SEARCH box and the matching lots light up in yellow and are counted for you, with the non-matching lots greyed out in the blocks below.  Clear the SEARCH row and the plain view comes back.</t>
        </is>
      </c>
    </row>
    <row r="3" ht="21.75" customHeight="1" s="137">
      <c r="A3" s="59" t="inlineStr">
        <is>
          <t>BUYERS  ▸</t>
        </is>
      </c>
      <c r="B3" s="62">
        <f>SUMPRODUCT(1/COUNTIF('Final Calculation Sheet'!$G$4:$G$40,'Final Calculation Sheet'!$G$4:$G$40))</f>
        <v/>
      </c>
      <c r="C3" s="59" t="inlineStr">
        <is>
          <t>LOTS  ▸</t>
        </is>
      </c>
      <c r="D3" s="62">
        <f>COUNTA('Final Calculation Sheet'!$G$4:$G$40)</f>
        <v/>
      </c>
      <c r="DG3" t="inlineStr">
        <is>
          <t>BG match helper B</t>
        </is>
      </c>
      <c r="DH3" t="inlineStr">
        <is>
          <t>BG match helper C</t>
        </is>
      </c>
      <c r="DI3" t="inlineStr">
        <is>
          <t>BG match helper D</t>
        </is>
      </c>
      <c r="DJ3" t="inlineStr">
        <is>
          <t>BG match helper E</t>
        </is>
      </c>
      <c r="DK3" t="inlineStr">
        <is>
          <t>BG match helper F</t>
        </is>
      </c>
      <c r="DL3" t="inlineStr">
        <is>
          <t>BG match helper G</t>
        </is>
      </c>
      <c r="DM3" t="inlineStr">
        <is>
          <t>BG match helper H</t>
        </is>
      </c>
      <c r="DN3" t="inlineStr">
        <is>
          <t>BG match helper I</t>
        </is>
      </c>
      <c r="DO3" t="inlineStr">
        <is>
          <t>BG match helper J</t>
        </is>
      </c>
      <c r="DP3" t="inlineStr">
        <is>
          <t>BG match helper K</t>
        </is>
      </c>
      <c r="DQ3" t="inlineStr">
        <is>
          <t>BG match helper L</t>
        </is>
      </c>
      <c r="DR3" t="inlineStr">
        <is>
          <t>BG match helper M</t>
        </is>
      </c>
      <c r="DS3" t="inlineStr">
        <is>
          <t>BG match helper N</t>
        </is>
      </c>
      <c r="DT3" t="inlineStr">
        <is>
          <t>BG match helper O</t>
        </is>
      </c>
      <c r="DU3" t="inlineStr">
        <is>
          <t>BG match helper P</t>
        </is>
      </c>
      <c r="DV3" t="inlineStr">
        <is>
          <t>BG match helper Q</t>
        </is>
      </c>
      <c r="DW3" t="inlineStr">
        <is>
          <t>BG match helper R</t>
        </is>
      </c>
      <c r="DX3" t="inlineStr">
        <is>
          <t>BG match helper S</t>
        </is>
      </c>
      <c r="DY3" t="inlineStr">
        <is>
          <t>BG match helper T</t>
        </is>
      </c>
      <c r="DZ3" t="inlineStr">
        <is>
          <t>BG match helper U</t>
        </is>
      </c>
      <c r="EA3" t="inlineStr">
        <is>
          <t>BG match helper V</t>
        </is>
      </c>
      <c r="EB3" t="inlineStr">
        <is>
          <t>BG match helper W</t>
        </is>
      </c>
      <c r="EC3" t="inlineStr">
        <is>
          <t>BG match helper X</t>
        </is>
      </c>
      <c r="ED3" t="inlineStr">
        <is>
          <t>BG match helper Y</t>
        </is>
      </c>
      <c r="EE3" t="inlineStr">
        <is>
          <t>BG match helper Z</t>
        </is>
      </c>
      <c r="EF3" t="inlineStr">
        <is>
          <t>BG match helper AA</t>
        </is>
      </c>
      <c r="EG3" t="inlineStr">
        <is>
          <t>BG match helper AB</t>
        </is>
      </c>
      <c r="EH3" t="inlineStr">
        <is>
          <t>BG match helper AC</t>
        </is>
      </c>
      <c r="EI3" t="inlineStr">
        <is>
          <t>BG match helper AD</t>
        </is>
      </c>
      <c r="EJ3" t="inlineStr">
        <is>
          <t>BG match helper AE</t>
        </is>
      </c>
      <c r="EK3" t="inlineStr">
        <is>
          <t>BG match helper AF</t>
        </is>
      </c>
      <c r="EL3" t="inlineStr">
        <is>
          <t>BG match helper AG</t>
        </is>
      </c>
      <c r="EM3" t="inlineStr">
        <is>
          <t>BG match helper AH</t>
        </is>
      </c>
      <c r="EN3" t="inlineStr">
        <is>
          <t>BG match helper AI</t>
        </is>
      </c>
    </row>
    <row r="4" ht="18" customHeight="1" s="137">
      <c r="A4" s="77" t="inlineStr">
        <is>
          <t>SEARCH ▸</t>
        </is>
      </c>
      <c r="B4" s="78" t="n"/>
      <c r="C4" s="78" t="n"/>
      <c r="D4" s="78" t="n"/>
      <c r="E4" s="78" t="n"/>
      <c r="F4" s="78" t="n"/>
      <c r="G4" s="78" t="n"/>
      <c r="H4" s="78" t="n"/>
      <c r="I4" s="78" t="n"/>
      <c r="J4" s="78" t="n"/>
      <c r="K4" s="78" t="n"/>
      <c r="L4" s="78" t="n"/>
      <c r="M4" s="78" t="n"/>
      <c r="N4" s="78" t="n"/>
      <c r="O4" s="78" t="n"/>
      <c r="P4" s="78" t="n"/>
      <c r="Q4" s="78" t="n"/>
      <c r="R4" s="78" t="n"/>
      <c r="S4" s="78" t="n"/>
      <c r="T4" s="78" t="n"/>
      <c r="U4" s="78" t="n"/>
      <c r="V4" s="78" t="n"/>
      <c r="W4" s="78" t="n"/>
      <c r="X4" s="78" t="n"/>
      <c r="Y4" s="78" t="n"/>
      <c r="Z4" s="78" t="n"/>
      <c r="AA4" s="78" t="n"/>
      <c r="AB4" s="78" t="n"/>
      <c r="AC4" s="78" t="n"/>
      <c r="AD4" s="78" t="n"/>
      <c r="AE4" s="78" t="n"/>
      <c r="AF4" s="78" t="n"/>
      <c r="AG4" s="78" t="n"/>
      <c r="AH4" s="78" t="n"/>
      <c r="AI4" s="78" t="n"/>
    </row>
    <row r="5" ht="43.5" customHeight="1" s="137">
      <c r="A5" s="64" t="inlineStr">
        <is>
          <t>#</t>
        </is>
      </c>
      <c r="B5" s="64" t="inlineStr">
        <is>
          <t>Lot No.</t>
        </is>
      </c>
      <c r="C5" s="64" t="inlineStr">
        <is>
          <t>Buyer</t>
        </is>
      </c>
      <c r="D5" s="64" t="inlineStr">
        <is>
          <t>Lot Name</t>
        </is>
      </c>
      <c r="E5" s="64" t="inlineStr">
        <is>
          <t>Bid Sheet</t>
        </is>
      </c>
      <c r="F5" s="64" t="inlineStr">
        <is>
          <t>Quantity</t>
        </is>
      </c>
      <c r="G5" s="64" t="inlineStr">
        <is>
          <t>Unit</t>
        </is>
      </c>
      <c r="H5" s="64" t="inlineStr">
        <is>
          <t>Rate</t>
        </is>
      </c>
      <c r="I5" s="64" t="inlineStr">
        <is>
          <t>Mat. Value</t>
        </is>
      </c>
      <c r="J5" s="64" t="inlineStr">
        <is>
          <t>GST</t>
        </is>
      </c>
      <c r="K5" s="64" t="inlineStr">
        <is>
          <t>Mat. Value + GST</t>
        </is>
      </c>
      <c r="L5" s="64" t="inlineStr">
        <is>
          <t>TCS</t>
        </is>
      </c>
      <c r="M5" s="64" t="inlineStr">
        <is>
          <t>TDS u/s 194(O)</t>
        </is>
      </c>
      <c r="N5" s="64" t="inlineStr">
        <is>
          <t>Service Charge to MSTC</t>
        </is>
      </c>
      <c r="O5" s="64" t="inlineStr">
        <is>
          <t>TDS u/s 194(H)</t>
        </is>
      </c>
      <c r="P5" s="64" t="inlineStr">
        <is>
          <t>Net Service Charge (post TDS 194H)</t>
        </is>
      </c>
      <c r="Q5" s="64" t="inlineStr">
        <is>
          <t>Service charge to MSTC</t>
        </is>
      </c>
      <c r="R5" s="64" t="inlineStr">
        <is>
          <t>GST TDS Rate</t>
        </is>
      </c>
      <c r="S5" s="64" t="inlineStr">
        <is>
          <t>GST TDS</t>
        </is>
      </c>
      <c r="T5" s="64" t="inlineStr">
        <is>
          <t>Total Receivables in Cash</t>
        </is>
      </c>
      <c r="U5" s="64" t="inlineStr">
        <is>
          <t>Security Deposit (Expected)</t>
        </is>
      </c>
      <c r="V5" s="64" t="inlineStr">
        <is>
          <t>Security Deposit (Received)</t>
        </is>
      </c>
      <c r="W5" s="64" t="inlineStr">
        <is>
          <t>Date of Receipt (col V)</t>
        </is>
      </c>
      <c r="X5" s="64" t="inlineStr">
        <is>
          <t>Final Payment (Expected)</t>
        </is>
      </c>
      <c r="Y5" s="64" t="inlineStr">
        <is>
          <t>Final Payment (Received)</t>
        </is>
      </c>
      <c r="Z5" s="64" t="inlineStr">
        <is>
          <t>Date of Receipt (col Y)</t>
        </is>
      </c>
      <c r="AA5" s="64" t="inlineStr">
        <is>
          <t>LPP Expected</t>
        </is>
      </c>
      <c r="AB5" s="64" t="inlineStr">
        <is>
          <t>LPP Received</t>
        </is>
      </c>
      <c r="AC5" s="64" t="inlineStr">
        <is>
          <t>Date of Recepit of LPP</t>
        </is>
      </c>
      <c r="AD5" s="64" t="inlineStr">
        <is>
          <t>Total Received</t>
        </is>
      </c>
      <c r="AE5" s="64" t="inlineStr">
        <is>
          <t>Outstanding</t>
        </is>
      </c>
      <c r="AF5" s="64" t="inlineStr">
        <is>
          <t>Payment Status</t>
        </is>
      </c>
      <c r="AG5" s="64" t="inlineStr">
        <is>
          <t>Invoice No.</t>
        </is>
      </c>
      <c r="AH5" s="64" t="inlineStr">
        <is>
          <t>SAP Document</t>
        </is>
      </c>
      <c r="AI5" s="64" t="inlineStr">
        <is>
          <t>Doc./Invoice Date</t>
        </is>
      </c>
    </row>
    <row r="6">
      <c r="A6" s="117" t="inlineStr">
        <is>
          <t>▸ MATCHED LOTS</t>
        </is>
      </c>
      <c r="B6" s="117" t="n"/>
      <c r="C6" s="117" t="str">
        <f>IF(COUNTIF($B$4:$AI$4,"&lt;&gt;")=0,$EP$2,"▶ MATCHED LOTS  —  "&amp;SUM($AJ$7:$AJ$56)&amp;" of 37 lot(s) match   ·   non-matching lots are greyed out in the blocks below")</f>
        <v>▸ MATCHED LOTS  —  type in any yellow SEARCH box and the matching lots light up in yellow and are counted for you, with the non-matching lots greyed out in the blocks below.  Clear the SEARCH row and the plain view comes back.</v>
      </c>
      <c r="D6" s="117" t="n"/>
      <c r="E6" s="117" t="n"/>
      <c r="F6" s="117" t="n"/>
      <c r="G6" s="117" t="n"/>
      <c r="H6" s="117" t="n"/>
      <c r="I6" s="117" t="n"/>
      <c r="J6" s="117" t="n"/>
      <c r="K6" s="117" t="n"/>
      <c r="L6" s="117" t="n"/>
      <c r="M6" s="117" t="n"/>
      <c r="N6" s="117" t="n"/>
      <c r="O6" s="117" t="n"/>
      <c r="P6" s="117" t="n"/>
      <c r="Q6" s="117" t="n"/>
      <c r="R6" s="117" t="n"/>
      <c r="S6" s="117" t="n"/>
      <c r="T6" s="117" t="n"/>
      <c r="U6" s="117" t="n"/>
      <c r="V6" s="117" t="n"/>
      <c r="W6" s="117" t="n"/>
      <c r="X6" s="117" t="n"/>
      <c r="Y6" s="117" t="n"/>
      <c r="Z6" s="117" t="n"/>
      <c r="AA6" s="117" t="n"/>
      <c r="AB6" s="117" t="n"/>
      <c r="AC6" s="117" t="n"/>
      <c r="AD6" s="117" t="n"/>
      <c r="AE6" s="117" t="n"/>
      <c r="AF6" s="117" t="n"/>
      <c r="AG6" s="117" t="n"/>
      <c r="AH6" s="117" t="n"/>
      <c r="AI6" s="117" t="n"/>
    </row>
    <row r="7" outlineLevel="1" ht="15" customHeight="1" s="137">
      <c r="A7" s="67" t="n">
        <v>1</v>
      </c>
      <c r="B7" s="76">
        <f>IF('Final Calculation Sheet'!$F$4="","",'Final Calculation Sheet'!$F$4)</f>
        <v/>
      </c>
      <c r="C7" s="76">
        <f>IF('Final Calculation Sheet'!$G$4="","",'Final Calculation Sheet'!$G$4)</f>
        <v/>
      </c>
      <c r="D7" s="80">
        <f>IF('Final Calculation Sheet'!$B$4="","",'Final Calculation Sheet'!$B$4)</f>
        <v/>
      </c>
      <c r="E7" s="80">
        <f>IF('Final Calculation Sheet'!$D$4="","",'Final Calculation Sheet'!$D$4)</f>
        <v/>
      </c>
      <c r="F7" s="80">
        <f>IF('Final Calculation Sheet'!$A$4="","",'Final Calculation Sheet'!$A$4)</f>
        <v/>
      </c>
      <c r="G7" s="80">
        <f>IF('Final Calculation Sheet'!$E$4="","",'Final Calculation Sheet'!$E$4)</f>
        <v/>
      </c>
      <c r="H7" s="70">
        <f>IF('Final Calculation Sheet'!$C$4="","",'Final Calculation Sheet'!$C$4)</f>
        <v/>
      </c>
      <c r="I7" s="70">
        <f>IF('Final Calculation Sheet'!$H$4="","",'Final Calculation Sheet'!$H$4)</f>
        <v/>
      </c>
      <c r="J7" s="70">
        <f>IF('Final Calculation Sheet'!$I$4="","",'Final Calculation Sheet'!$I$4)</f>
        <v/>
      </c>
      <c r="K7" s="70">
        <f>IF('Final Calculation Sheet'!$J$4="","",'Final Calculation Sheet'!$J$4)</f>
        <v/>
      </c>
      <c r="L7" s="70">
        <f>IF('Final Calculation Sheet'!$K$4="","",'Final Calculation Sheet'!$K$4)</f>
        <v/>
      </c>
      <c r="M7" s="70">
        <f>IF('Final Calculation Sheet'!$L$4="","",'Final Calculation Sheet'!$L$4)</f>
        <v/>
      </c>
      <c r="N7" s="70">
        <f>IF('Final Calculation Sheet'!$M$4="","",'Final Calculation Sheet'!$M$4)</f>
        <v/>
      </c>
      <c r="O7" s="71">
        <f>IF('Final Calculation Sheet'!$N$4="","",'Final Calculation Sheet'!$N$4)</f>
        <v/>
      </c>
      <c r="P7" s="70">
        <f>IF('Final Calculation Sheet'!$O$4="","",'Final Calculation Sheet'!$O$4)</f>
        <v/>
      </c>
      <c r="Q7" s="70">
        <f>IF('Final Calculation Sheet'!$P$4="","",'Final Calculation Sheet'!$P$4)</f>
        <v/>
      </c>
      <c r="R7" s="72">
        <f>IF('Final Calculation Sheet'!$Q$4="","",'Final Calculation Sheet'!$Q$4)</f>
        <v/>
      </c>
      <c r="S7" s="70">
        <f>IF('Final Calculation Sheet'!$R$4="","",'Final Calculation Sheet'!$R$4)</f>
        <v/>
      </c>
      <c r="T7" s="70">
        <f>IF('Final Calculation Sheet'!$S$4="","",'Final Calculation Sheet'!$S$4)</f>
        <v/>
      </c>
      <c r="U7" s="70">
        <f>IF('Final Calculation Sheet'!$T$4="","",'Final Calculation Sheet'!$T$4)</f>
        <v/>
      </c>
      <c r="V7" s="73">
        <f>IF('Final Calculation Sheet'!$U$4="","",'Final Calculation Sheet'!$U$4)</f>
        <v/>
      </c>
      <c r="W7" s="70">
        <f>IF('Final Calculation Sheet'!$V$4="","",'Final Calculation Sheet'!$V$4)</f>
        <v/>
      </c>
      <c r="X7" s="70">
        <f>IF('Final Calculation Sheet'!$W$4="","",'Final Calculation Sheet'!$W$4)</f>
        <v/>
      </c>
      <c r="Y7" s="70">
        <f>IF('Final Calculation Sheet'!$X$4="","",'Final Calculation Sheet'!$X$4)</f>
        <v/>
      </c>
      <c r="Z7" s="70">
        <f>IF('Final Calculation Sheet'!$Y$4="","",'Final Calculation Sheet'!$Y$4)</f>
        <v/>
      </c>
      <c r="AA7" s="70">
        <f>IF('Final Calculation Sheet'!$Z$4="","",'Final Calculation Sheet'!$Z$4)</f>
        <v/>
      </c>
      <c r="AB7" s="70">
        <f>IF('Final Calculation Sheet'!$AA$4="","",'Final Calculation Sheet'!$AA$4)</f>
        <v/>
      </c>
      <c r="AC7" s="70">
        <f>IF('Final Calculation Sheet'!$AB$4="","",'Final Calculation Sheet'!$AB$4)</f>
        <v/>
      </c>
      <c r="AD7" s="70">
        <f>IF('Final Calculation Sheet'!$AC$4="","",'Final Calculation Sheet'!$AC$4)</f>
        <v/>
      </c>
      <c r="AE7" s="70">
        <f>IF('Final Calculation Sheet'!$AD$4="","",'Final Calculation Sheet'!$AD$4)</f>
        <v/>
      </c>
      <c r="AF7" s="75">
        <f>IF('Final Calculation Sheet'!$AD$4="","",IF('Final Calculation Sheet'!$AD$4&lt;=5,"SETTLED","OUTSTANDING"))</f>
        <v/>
      </c>
      <c r="AG7" s="70">
        <f>IF('Final Calculation Sheet'!$AF$4="","",'Final Calculation Sheet'!$AF$4)</f>
        <v/>
      </c>
      <c r="AH7" s="74">
        <f>IF('Final Calculation Sheet'!$AG$4="","",'Final Calculation Sheet'!$AG$4)</f>
        <v/>
      </c>
      <c r="AI7" s="70">
        <f>IF('Final Calculation Sheet'!$AH$4="","",'Final Calculation Sheet'!$AH$4)</f>
        <v/>
      </c>
      <c r="AJ7">
        <f>IF(AND(IF($B$4="",TRUE(),IF($B$4="(blank)",'Final Calculation Sheet'!$F$4="",IF($B$4="(nonblank)",'Final Calculation Sheet'!$F$4&lt;&gt;"",ISNUMBER(SEARCH($B$4,'Final Calculation Sheet'!$F$4))))),IF($C$4="",TRUE(),IF($C$4="(blank)",'Final Calculation Sheet'!$G$4="",IF($C$4="(nonblank)",'Final Calculation Sheet'!$G$4&lt;&gt;"",ISNUMBER(SEARCH($C$4,'Final Calculation Sheet'!$G$4))))),IF($D$4="",TRUE(),IF($D$4="(blank)",'Final Calculation Sheet'!$B$4="",IF($D$4="(nonblank)",'Final Calculation Sheet'!$B$4&lt;&gt;"",ISNUMBER(SEARCH($D$4,'Final Calculation Sheet'!$B$4))))),IF($E$4="",TRUE(),IF($E$4="(blank)",'Final Calculation Sheet'!$D$4="",IF($E$4="(nonblank)",'Final Calculation Sheet'!$D$4&lt;&gt;"",ISNUMBER(SEARCH($E$4,'Final Calculation Sheet'!$D$4))))),IF($F$4="",TRUE(),IF($F$4="(blank)",'Final Calculation Sheet'!$A$4="",IF($F$4="(nonblank)",'Final Calculation Sheet'!$A$4&lt;&gt;"",ISNUMBER(SEARCH($F$4,'Final Calculation Sheet'!$A$4))))),IF($G$4="",TRUE(),IF($G$4="(blank)",'Final Calculation Sheet'!$E$4="",IF($G$4="(nonblank)",'Final Calculation Sheet'!$E$4&lt;&gt;"",ISNUMBER(SEARCH($G$4,'Final Calculation Sheet'!$E$4))))),IF($H$4="",TRUE(),IF($H$4="(blank)",'Final Calculation Sheet'!$C$4="",IF($H$4="(nonblank)",'Final Calculation Sheet'!$C$4&lt;&gt;"",ISNUMBER(SEARCH($H$4,'Final Calculation Sheet'!$C$4))))),IF($I$4="",TRUE(),IF($I$4="(blank)",'Final Calculation Sheet'!$H$4="",IF($I$4="(nonblank)",'Final Calculation Sheet'!$H$4&lt;&gt;"",ISNUMBER(SEARCH($I$4,'Final Calculation Sheet'!$H$4))))),IF($J$4="",TRUE(),IF($J$4="(blank)",'Final Calculation Sheet'!$I$4="",IF($J$4="(nonblank)",'Final Calculation Sheet'!$I$4&lt;&gt;"",ISNUMBER(SEARCH($J$4,'Final Calculation Sheet'!$I$4))))),IF($K$4="",TRUE(),IF($K$4="(blank)",'Final Calculation Sheet'!$J$4="",IF($K$4="(nonblank)",'Final Calculation Sheet'!$J$4&lt;&gt;"",ISNUMBER(SEARCH($K$4,'Final Calculation Sheet'!$J$4))))),IF($L$4="",TRUE(),IF($L$4="(blank)",'Final Calculation Sheet'!$K$4="",IF($L$4="(nonblank)",'Final Calculation Sheet'!$K$4&lt;&gt;"",ISNUMBER(SEARCH($L$4,'Final Calculation Sheet'!$K$4))))),IF($M$4="",TRUE(),IF($M$4="(blank)",'Final Calculation Sheet'!$L$4="",IF($M$4="(nonblank)",'Final Calculation Sheet'!$L$4&lt;&gt;"",ISNUMBER(SEARCH($M$4,'Final Calculation Sheet'!$L$4))))),IF($N$4="",TRUE(),IF($N$4="(blank)",'Final Calculation Sheet'!$M$4="",IF($N$4="(nonblank)",'Final Calculation Sheet'!$M$4&lt;&gt;"",ISNUMBER(SEARCH($N$4,'Final Calculation Sheet'!$M$4))))),IF($O$4="",TRUE(),IF($O$4="(blank)",'Final Calculation Sheet'!$N$4="",IF($O$4="(nonblank)",'Final Calculation Sheet'!$N$4&lt;&gt;"",ISNUMBER(SEARCH($O$4,'Final Calculation Sheet'!$N$4))))),IF($P$4="",TRUE(),IF($P$4="(blank)",'Final Calculation Sheet'!$O$4="",IF($P$4="(nonblank)",'Final Calculation Sheet'!$O$4&lt;&gt;"",ISNUMBER(SEARCH($P$4,'Final Calculation Sheet'!$O$4))))),IF($Q$4="",TRUE(),IF($Q$4="(blank)",'Final Calculation Sheet'!$P$4="",IF($Q$4="(nonblank)",'Final Calculation Sheet'!$P$4&lt;&gt;"",ISNUMBER(SEARCH($Q$4,'Final Calculation Sheet'!$P$4))))),IF($R$4="",TRUE(),IF($R$4="(blank)",'Final Calculation Sheet'!$Q$4="",IF($R$4="(nonblank)",'Final Calculation Sheet'!$Q$4&lt;&gt;"",ISNUMBER(SEARCH($R$4,'Final Calculation Sheet'!$Q$4))))),IF($S$4="",TRUE(),IF($S$4="(blank)",'Final Calculation Sheet'!$R$4="",IF($S$4="(nonblank)",'Final Calculation Sheet'!$R$4&lt;&gt;"",ISNUMBER(SEARCH($S$4,'Final Calculation Sheet'!$R$4))))),IF($T$4="",TRUE(),IF($T$4="(blank)",'Final Calculation Sheet'!$S$4="",IF($T$4="(nonblank)",'Final Calculation Sheet'!$S$4&lt;&gt;"",ISNUMBER(SEARCH($T$4,'Final Calculation Sheet'!$S$4))))),IF($U$4="",TRUE(),IF($U$4="(blank)",'Final Calculation Sheet'!$T$4="",IF($U$4="(nonblank)",'Final Calculation Sheet'!$T$4&lt;&gt;"",ISNUMBER(SEARCH($U$4,'Final Calculation Sheet'!$T$4))))),IF($V$4="",TRUE(),IF($V$4="(blank)",'Final Calculation Sheet'!$U$4="",IF($V$4="(nonblank)",'Final Calculation Sheet'!$U$4&lt;&gt;"",ISNUMBER(SEARCH($V$4,'Final Calculation Sheet'!$U$4))))),IF($W$4="",TRUE(),IF($W$4="(blank)",'Final Calculation Sheet'!$V$4="",IF($W$4="(nonblank)",'Final Calculation Sheet'!$V$4&lt;&gt;"",ISNUMBER(SEARCH($W$4,'Final Calculation Sheet'!$V$4))))),IF($X$4="",TRUE(),IF($X$4="(blank)",'Final Calculation Sheet'!$W$4="",IF($X$4="(nonblank)",'Final Calculation Sheet'!$W$4&lt;&gt;"",ISNUMBER(SEARCH($X$4,'Final Calculation Sheet'!$W$4))))),IF($Y$4="",TRUE(),IF($Y$4="(blank)",'Final Calculation Sheet'!$X$4="",IF($Y$4="(nonblank)",'Final Calculation Sheet'!$X$4&lt;&gt;"",ISNUMBER(SEARCH($Y$4,'Final Calculation Sheet'!$X$4))))),IF($Z$4="",TRUE(),IF($Z$4="(blank)",'Final Calculation Sheet'!$Y$4="",IF($Z$4="(nonblank)",'Final Calculation Sheet'!$Y$4&lt;&gt;"",ISNUMBER(SEARCH($Z$4,'Final Calculation Sheet'!$Y$4))))),IF($AA$4="",TRUE(),IF($AA$4="(blank)",'Final Calculation Sheet'!$Z$4="",IF($AA$4="(nonblank)",'Final Calculation Sheet'!$Z$4&lt;&gt;"",ISNUMBER(SEARCH($AA$4,'Final Calculation Sheet'!$Z$4))))),IF($AB$4="",TRUE(),IF($AB$4="(blank)",'Final Calculation Sheet'!$AA$4="",IF($AB$4="(nonblank)",'Final Calculation Sheet'!$AA$4&lt;&gt;"",ISNUMBER(SEARCH($AB$4,'Final Calculation Sheet'!$AA$4))))),IF($AC$4="",TRUE(),IF($AC$4="(blank)",'Final Calculation Sheet'!$AB$4="",IF($AC$4="(nonblank)",'Final Calculation Sheet'!$AB$4&lt;&gt;"",ISNUMBER(SEARCH($AC$4,'Final Calculation Sheet'!$AB$4))))),IF($AD$4="",TRUE(),IF($AD$4="(blank)",'Final Calculation Sheet'!$AC$4="",IF($AD$4="(nonblank)",'Final Calculation Sheet'!$AC$4&lt;&gt;"",ISNUMBER(SEARCH($AD$4,'Final Calculation Sheet'!$AC$4))))),IF($AE$4="",TRUE(),IF($AE$4="(blank)",'Final Calculation Sheet'!$AD$4="",IF($AE$4="(nonblank)",'Final Calculation Sheet'!$AD$4&lt;&gt;"",ISNUMBER(SEARCH($AE$4,'Final Calculation Sheet'!$AD$4))))),IF($AG$4="",TRUE(),IF($AG$4="(blank)",'Final Calculation Sheet'!$AF$4="",IF($AG$4="(nonblank)",'Final Calculation Sheet'!$AF$4&lt;&gt;"",ISNUMBER(SEARCH($AG$4,'Final Calculation Sheet'!$AF$4))))),IF($AH$4="",TRUE(),IF($AH$4="(blank)",'Final Calculation Sheet'!$AG$4="",IF($AH$4="(nonblank)",'Final Calculation Sheet'!$AG$4&lt;&gt;"",ISNUMBER(SEARCH($AH$4,'Final Calculation Sheet'!$AG$4))))),IF($AI$4="",TRUE(),IF($AI$4="(blank)",'Final Calculation Sheet'!$AH$4="",IF($AI$4="(nonblank)",'Final Calculation Sheet'!$AH$4&lt;&gt;"",ISNUMBER(SEARCH($AI$4,'Final Calculation Sheet'!$AH$4))))),IF($AF$4="",TRUE(),IF($AF$4="(blank)",IF('Final Calculation Sheet'!$AD$4&lt;=5,"SETTLED","OUTSTANDING")="",IF($AF$4="(nonblank)",IF('Final Calculation Sheet'!$AD$4&lt;=5,"SETTLED","OUTSTANDING")&lt;&gt;"",ISNUMBER(SEARCH($AF$4,IF('Final Calculation Sheet'!$AD$4&lt;=5,"SETTLED","OUTSTANDING"))))))),1,0)</f>
      </c>
      <c r="AK7">
        <f>IF(AJ7=1,COUNTIF(AJ$7:AJ7,1),"")</f>
        <v/>
      </c>
    </row>
    <row r="8" ht="15" customHeight="1" s="137">
      <c r="A8" s="81" t="inlineStr">
        <is>
          <t>∑</t>
        </is>
      </c>
      <c r="B8" s="83" t="n"/>
      <c r="C8" s="83">
        <f>ROWS($C$7:$C$7)&amp;" lot(s)"</f>
        <v/>
      </c>
      <c r="D8" s="83" t="inlineStr">
        <is>
          <t>SUBTOTAL — AL HAMD TRADE CORPORATION</t>
        </is>
      </c>
      <c r="E8" s="83" t="inlineStr">
        <is>
          <t>–</t>
        </is>
      </c>
      <c r="F8" s="83">
        <f>SUM(F7:F7)</f>
        <v/>
      </c>
      <c r="G8" s="83" t="inlineStr">
        <is>
          <t>–</t>
        </is>
      </c>
      <c r="H8" s="84" t="inlineStr">
        <is>
          <t>–</t>
        </is>
      </c>
      <c r="I8" s="84">
        <f>SUM(I7:I7)</f>
        <v/>
      </c>
      <c r="J8" s="84">
        <f>SUM(J7:J7)</f>
        <v/>
      </c>
      <c r="K8" s="84">
        <f>SUM(K7:K7)</f>
        <v/>
      </c>
      <c r="L8" s="84">
        <f>SUM(L7:L7)</f>
        <v/>
      </c>
      <c r="M8" s="84">
        <f>SUM(M7:M7)</f>
        <v/>
      </c>
      <c r="N8" s="84">
        <f>SUM(N7:N7)</f>
        <v/>
      </c>
      <c r="O8" s="85">
        <f>SUM(O7:O7)</f>
        <v/>
      </c>
      <c r="P8" s="84">
        <f>SUM(P7:P7)</f>
        <v/>
      </c>
      <c r="Q8" s="84">
        <f>SUM(Q7:Q7)</f>
        <v/>
      </c>
      <c r="R8" s="86" t="inlineStr">
        <is>
          <t>–</t>
        </is>
      </c>
      <c r="S8" s="84">
        <f>SUM(S7:S7)</f>
        <v/>
      </c>
      <c r="T8" s="84">
        <f>SUM(T7:T7)</f>
        <v/>
      </c>
      <c r="U8" s="84">
        <f>SUM(U7:U7)</f>
        <v/>
      </c>
      <c r="V8" s="87">
        <f>SUM(V7:V7)</f>
        <v/>
      </c>
      <c r="W8" s="84" t="inlineStr">
        <is>
          <t>–</t>
        </is>
      </c>
      <c r="X8" s="84">
        <f>SUM(X7:X7)</f>
        <v/>
      </c>
      <c r="Y8" s="84">
        <f>SUM(Y7:Y7)</f>
        <v/>
      </c>
      <c r="Z8" s="84" t="inlineStr">
        <is>
          <t>–</t>
        </is>
      </c>
      <c r="AA8" s="84">
        <f>SUM(AA7:AA7)</f>
        <v/>
      </c>
      <c r="AB8" s="84">
        <f>SUM(AB7:AB7)</f>
        <v/>
      </c>
      <c r="AC8" s="84" t="inlineStr">
        <is>
          <t>–</t>
        </is>
      </c>
      <c r="AD8" s="84">
        <f>SUM(AD7:AD7)</f>
        <v/>
      </c>
      <c r="AE8" s="84">
        <f>SUM(AE7:AE7)</f>
        <v/>
      </c>
      <c r="AF8" s="89">
        <f>IF(AE8&lt;=5,"SETTLED","OUTSTANDING")</f>
        <v/>
      </c>
      <c r="AG8" s="84" t="inlineStr">
        <is>
          <t>–</t>
        </is>
      </c>
      <c r="AH8" s="88" t="inlineStr">
        <is>
          <t>–</t>
        </is>
      </c>
      <c r="AI8" s="84" t="inlineStr">
        <is>
          <t>–</t>
        </is>
      </c>
    </row>
    <row r="9" outlineLevel="1" ht="15" customHeight="1" s="137">
      <c r="A9" s="67" t="n">
        <v>1</v>
      </c>
      <c r="B9" s="76">
        <f>IF('Final Calculation Sheet'!$F$6="","",'Final Calculation Sheet'!$F$6)</f>
        <v/>
      </c>
      <c r="C9" s="76">
        <f>IF('Final Calculation Sheet'!$G$6="","",'Final Calculation Sheet'!$G$6)</f>
        <v/>
      </c>
      <c r="D9" s="80">
        <f>IF('Final Calculation Sheet'!$B$6="","",'Final Calculation Sheet'!$B$6)</f>
        <v/>
      </c>
      <c r="E9" s="80">
        <f>IF('Final Calculation Sheet'!$D$6="","",'Final Calculation Sheet'!$D$6)</f>
        <v/>
      </c>
      <c r="F9" s="80">
        <f>IF('Final Calculation Sheet'!$A$6="","",'Final Calculation Sheet'!$A$6)</f>
        <v/>
      </c>
      <c r="G9" s="80">
        <f>IF('Final Calculation Sheet'!$E$6="","",'Final Calculation Sheet'!$E$6)</f>
        <v/>
      </c>
      <c r="H9" s="70">
        <f>IF('Final Calculation Sheet'!$C$6="","",'Final Calculation Sheet'!$C$6)</f>
        <v/>
      </c>
      <c r="I9" s="70">
        <f>IF('Final Calculation Sheet'!$H$6="","",'Final Calculation Sheet'!$H$6)</f>
        <v/>
      </c>
      <c r="J9" s="70">
        <f>IF('Final Calculation Sheet'!$I$6="","",'Final Calculation Sheet'!$I$6)</f>
        <v/>
      </c>
      <c r="K9" s="70">
        <f>IF('Final Calculation Sheet'!$J$6="","",'Final Calculation Sheet'!$J$6)</f>
        <v/>
      </c>
      <c r="L9" s="70">
        <f>IF('Final Calculation Sheet'!$K$6="","",'Final Calculation Sheet'!$K$6)</f>
        <v/>
      </c>
      <c r="M9" s="70">
        <f>IF('Final Calculation Sheet'!$L$6="","",'Final Calculation Sheet'!$L$6)</f>
        <v/>
      </c>
      <c r="N9" s="70">
        <f>IF('Final Calculation Sheet'!$M$6="","",'Final Calculation Sheet'!$M$6)</f>
        <v/>
      </c>
      <c r="O9" s="71">
        <f>IF('Final Calculation Sheet'!$N$6="","",'Final Calculation Sheet'!$N$6)</f>
        <v/>
      </c>
      <c r="P9" s="70">
        <f>IF('Final Calculation Sheet'!$O$6="","",'Final Calculation Sheet'!$O$6)</f>
        <v/>
      </c>
      <c r="Q9" s="70">
        <f>IF('Final Calculation Sheet'!$P$6="","",'Final Calculation Sheet'!$P$6)</f>
        <v/>
      </c>
      <c r="R9" s="72">
        <f>IF('Final Calculation Sheet'!$Q$6="","",'Final Calculation Sheet'!$Q$6)</f>
        <v/>
      </c>
      <c r="S9" s="70">
        <f>IF('Final Calculation Sheet'!$R$6="","",'Final Calculation Sheet'!$R$6)</f>
        <v/>
      </c>
      <c r="T9" s="70">
        <f>IF('Final Calculation Sheet'!$S$6="","",'Final Calculation Sheet'!$S$6)</f>
        <v/>
      </c>
      <c r="U9" s="70">
        <f>IF('Final Calculation Sheet'!$T$6="","",'Final Calculation Sheet'!$T$6)</f>
        <v/>
      </c>
      <c r="V9" s="73">
        <f>IF('Final Calculation Sheet'!$U$6="","",'Final Calculation Sheet'!$U$6)</f>
        <v/>
      </c>
      <c r="W9" s="70">
        <f>IF('Final Calculation Sheet'!$V$6="","",'Final Calculation Sheet'!$V$6)</f>
        <v/>
      </c>
      <c r="X9" s="70">
        <f>IF('Final Calculation Sheet'!$W$6="","",'Final Calculation Sheet'!$W$6)</f>
        <v/>
      </c>
      <c r="Y9" s="70">
        <f>IF('Final Calculation Sheet'!$X$6="","",'Final Calculation Sheet'!$X$6)</f>
        <v/>
      </c>
      <c r="Z9" s="70">
        <f>IF('Final Calculation Sheet'!$Y$6="","",'Final Calculation Sheet'!$Y$6)</f>
        <v/>
      </c>
      <c r="AA9" s="70">
        <f>IF('Final Calculation Sheet'!$Z$6="","",'Final Calculation Sheet'!$Z$6)</f>
        <v/>
      </c>
      <c r="AB9" s="70">
        <f>IF('Final Calculation Sheet'!$AA$6="","",'Final Calculation Sheet'!$AA$6)</f>
        <v/>
      </c>
      <c r="AC9" s="70">
        <f>IF('Final Calculation Sheet'!$AB$6="","",'Final Calculation Sheet'!$AB$6)</f>
        <v/>
      </c>
      <c r="AD9" s="70">
        <f>IF('Final Calculation Sheet'!$AC$6="","",'Final Calculation Sheet'!$AC$6)</f>
        <v/>
      </c>
      <c r="AE9" s="70">
        <f>IF('Final Calculation Sheet'!$AD$6="","",'Final Calculation Sheet'!$AD$6)</f>
        <v/>
      </c>
      <c r="AF9" s="75">
        <f>IF('Final Calculation Sheet'!$AD$6="","",IF('Final Calculation Sheet'!$AD$6&lt;=5,"SETTLED","OUTSTANDING"))</f>
        <v/>
      </c>
      <c r="AG9" s="70">
        <f>IF('Final Calculation Sheet'!$AF$6="","",'Final Calculation Sheet'!$AF$6)</f>
        <v/>
      </c>
      <c r="AH9" s="74">
        <f>IF('Final Calculation Sheet'!$AG$6="","",'Final Calculation Sheet'!$AG$6)</f>
        <v/>
      </c>
      <c r="AI9" s="70">
        <f>IF('Final Calculation Sheet'!$AH$6="","",'Final Calculation Sheet'!$AH$6)</f>
        <v/>
      </c>
      <c r="AJ9">
        <f>IF(AND(IF($B$4="",TRUE(),IF($B$4="(blank)",'Final Calculation Sheet'!$F$6="",IF($B$4="(nonblank)",'Final Calculation Sheet'!$F$6&lt;&gt;"",ISNUMBER(SEARCH($B$4,'Final Calculation Sheet'!$F$6))))),IF($C$4="",TRUE(),IF($C$4="(blank)",'Final Calculation Sheet'!$G$6="",IF($C$4="(nonblank)",'Final Calculation Sheet'!$G$6&lt;&gt;"",ISNUMBER(SEARCH($C$4,'Final Calculation Sheet'!$G$6))))),IF($D$4="",TRUE(),IF($D$4="(blank)",'Final Calculation Sheet'!$B$6="",IF($D$4="(nonblank)",'Final Calculation Sheet'!$B$6&lt;&gt;"",ISNUMBER(SEARCH($D$4,'Final Calculation Sheet'!$B$6))))),IF($E$4="",TRUE(),IF($E$4="(blank)",'Final Calculation Sheet'!$D$6="",IF($E$4="(nonblank)",'Final Calculation Sheet'!$D$6&lt;&gt;"",ISNUMBER(SEARCH($E$4,'Final Calculation Sheet'!$D$6))))),IF($F$4="",TRUE(),IF($F$4="(blank)",'Final Calculation Sheet'!$A$6="",IF($F$4="(nonblank)",'Final Calculation Sheet'!$A$6&lt;&gt;"",ISNUMBER(SEARCH($F$4,'Final Calculation Sheet'!$A$6))))),IF($G$4="",TRUE(),IF($G$4="(blank)",'Final Calculation Sheet'!$E$6="",IF($G$4="(nonblank)",'Final Calculation Sheet'!$E$6&lt;&gt;"",ISNUMBER(SEARCH($G$4,'Final Calculation Sheet'!$E$6))))),IF($H$4="",TRUE(),IF($H$4="(blank)",'Final Calculation Sheet'!$C$6="",IF($H$4="(nonblank)",'Final Calculation Sheet'!$C$6&lt;&gt;"",ISNUMBER(SEARCH($H$4,'Final Calculation Sheet'!$C$6))))),IF($I$4="",TRUE(),IF($I$4="(blank)",'Final Calculation Sheet'!$H$6="",IF($I$4="(nonblank)",'Final Calculation Sheet'!$H$6&lt;&gt;"",ISNUMBER(SEARCH($I$4,'Final Calculation Sheet'!$H$6))))),IF($J$4="",TRUE(),IF($J$4="(blank)",'Final Calculation Sheet'!$I$6="",IF($J$4="(nonblank)",'Final Calculation Sheet'!$I$6&lt;&gt;"",ISNUMBER(SEARCH($J$4,'Final Calculation Sheet'!$I$6))))),IF($K$4="",TRUE(),IF($K$4="(blank)",'Final Calculation Sheet'!$J$6="",IF($K$4="(nonblank)",'Final Calculation Sheet'!$J$6&lt;&gt;"",ISNUMBER(SEARCH($K$4,'Final Calculation Sheet'!$J$6))))),IF($L$4="",TRUE(),IF($L$4="(blank)",'Final Calculation Sheet'!$K$6="",IF($L$4="(nonblank)",'Final Calculation Sheet'!$K$6&lt;&gt;"",ISNUMBER(SEARCH($L$4,'Final Calculation Sheet'!$K$6))))),IF($M$4="",TRUE(),IF($M$4="(blank)",'Final Calculation Sheet'!$L$6="",IF($M$4="(nonblank)",'Final Calculation Sheet'!$L$6&lt;&gt;"",ISNUMBER(SEARCH($M$4,'Final Calculation Sheet'!$L$6))))),IF($N$4="",TRUE(),IF($N$4="(blank)",'Final Calculation Sheet'!$M$6="",IF($N$4="(nonblank)",'Final Calculation Sheet'!$M$6&lt;&gt;"",ISNUMBER(SEARCH($N$4,'Final Calculation Sheet'!$M$6))))),IF($O$4="",TRUE(),IF($O$4="(blank)",'Final Calculation Sheet'!$N$6="",IF($O$4="(nonblank)",'Final Calculation Sheet'!$N$6&lt;&gt;"",ISNUMBER(SEARCH($O$4,'Final Calculation Sheet'!$N$6))))),IF($P$4="",TRUE(),IF($P$4="(blank)",'Final Calculation Sheet'!$O$6="",IF($P$4="(nonblank)",'Final Calculation Sheet'!$O$6&lt;&gt;"",ISNUMBER(SEARCH($P$4,'Final Calculation Sheet'!$O$6))))),IF($Q$4="",TRUE(),IF($Q$4="(blank)",'Final Calculation Sheet'!$P$6="",IF($Q$4="(nonblank)",'Final Calculation Sheet'!$P$6&lt;&gt;"",ISNUMBER(SEARCH($Q$4,'Final Calculation Sheet'!$P$6))))),IF($R$4="",TRUE(),IF($R$4="(blank)",'Final Calculation Sheet'!$Q$6="",IF($R$4="(nonblank)",'Final Calculation Sheet'!$Q$6&lt;&gt;"",ISNUMBER(SEARCH($R$4,'Final Calculation Sheet'!$Q$6))))),IF($S$4="",TRUE(),IF($S$4="(blank)",'Final Calculation Sheet'!$R$6="",IF($S$4="(nonblank)",'Final Calculation Sheet'!$R$6&lt;&gt;"",ISNUMBER(SEARCH($S$4,'Final Calculation Sheet'!$R$6))))),IF($T$4="",TRUE(),IF($T$4="(blank)",'Final Calculation Sheet'!$S$6="",IF($T$4="(nonblank)",'Final Calculation Sheet'!$S$6&lt;&gt;"",ISNUMBER(SEARCH($T$4,'Final Calculation Sheet'!$S$6))))),IF($U$4="",TRUE(),IF($U$4="(blank)",'Final Calculation Sheet'!$T$6="",IF($U$4="(nonblank)",'Final Calculation Sheet'!$T$6&lt;&gt;"",ISNUMBER(SEARCH($U$4,'Final Calculation Sheet'!$T$6))))),IF($V$4="",TRUE(),IF($V$4="(blank)",'Final Calculation Sheet'!$U$6="",IF($V$4="(nonblank)",'Final Calculation Sheet'!$U$6&lt;&gt;"",ISNUMBER(SEARCH($V$4,'Final Calculation Sheet'!$U$6))))),IF($W$4="",TRUE(),IF($W$4="(blank)",'Final Calculation Sheet'!$V$6="",IF($W$4="(nonblank)",'Final Calculation Sheet'!$V$6&lt;&gt;"",ISNUMBER(SEARCH($W$4,'Final Calculation Sheet'!$V$6))))),IF($X$4="",TRUE(),IF($X$4="(blank)",'Final Calculation Sheet'!$W$6="",IF($X$4="(nonblank)",'Final Calculation Sheet'!$W$6&lt;&gt;"",ISNUMBER(SEARCH($X$4,'Final Calculation Sheet'!$W$6))))),IF($Y$4="",TRUE(),IF($Y$4="(blank)",'Final Calculation Sheet'!$X$6="",IF($Y$4="(nonblank)",'Final Calculation Sheet'!$X$6&lt;&gt;"",ISNUMBER(SEARCH($Y$4,'Final Calculation Sheet'!$X$6))))),IF($Z$4="",TRUE(),IF($Z$4="(blank)",'Final Calculation Sheet'!$Y$6="",IF($Z$4="(nonblank)",'Final Calculation Sheet'!$Y$6&lt;&gt;"",ISNUMBER(SEARCH($Z$4,'Final Calculation Sheet'!$Y$6))))),IF($AA$4="",TRUE(),IF($AA$4="(blank)",'Final Calculation Sheet'!$Z$6="",IF($AA$4="(nonblank)",'Final Calculation Sheet'!$Z$6&lt;&gt;"",ISNUMBER(SEARCH($AA$4,'Final Calculation Sheet'!$Z$6))))),IF($AB$4="",TRUE(),IF($AB$4="(blank)",'Final Calculation Sheet'!$AA$6="",IF($AB$4="(nonblank)",'Final Calculation Sheet'!$AA$6&lt;&gt;"",ISNUMBER(SEARCH($AB$4,'Final Calculation Sheet'!$AA$6))))),IF($AC$4="",TRUE(),IF($AC$4="(blank)",'Final Calculation Sheet'!$AB$6="",IF($AC$4="(nonblank)",'Final Calculation Sheet'!$AB$6&lt;&gt;"",ISNUMBER(SEARCH($AC$4,'Final Calculation Sheet'!$AB$6))))),IF($AD$4="",TRUE(),IF($AD$4="(blank)",'Final Calculation Sheet'!$AC$6="",IF($AD$4="(nonblank)",'Final Calculation Sheet'!$AC$6&lt;&gt;"",ISNUMBER(SEARCH($AD$4,'Final Calculation Sheet'!$AC$6))))),IF($AE$4="",TRUE(),IF($AE$4="(blank)",'Final Calculation Sheet'!$AD$6="",IF($AE$4="(nonblank)",'Final Calculation Sheet'!$AD$6&lt;&gt;"",ISNUMBER(SEARCH($AE$4,'Final Calculation Sheet'!$AD$6))))),IF($AG$4="",TRUE(),IF($AG$4="(blank)",'Final Calculation Sheet'!$AF$6="",IF($AG$4="(nonblank)",'Final Calculation Sheet'!$AF$6&lt;&gt;"",ISNUMBER(SEARCH($AG$4,'Final Calculation Sheet'!$AF$6))))),IF($AH$4="",TRUE(),IF($AH$4="(blank)",'Final Calculation Sheet'!$AG$6="",IF($AH$4="(nonblank)",'Final Calculation Sheet'!$AG$6&lt;&gt;"",ISNUMBER(SEARCH($AH$4,'Final Calculation Sheet'!$AG$6))))),IF($AI$4="",TRUE(),IF($AI$4="(blank)",'Final Calculation Sheet'!$AH$6="",IF($AI$4="(nonblank)",'Final Calculation Sheet'!$AH$6&lt;&gt;"",ISNUMBER(SEARCH($AI$4,'Final Calculation Sheet'!$AH$6))))),IF($AF$4="",TRUE(),IF($AF$4="(blank)",IF('Final Calculation Sheet'!$AD$6&lt;=5,"SETTLED","OUTSTANDING")="",IF($AF$4="(nonblank)",IF('Final Calculation Sheet'!$AD$6&lt;=5,"SETTLED","OUTSTANDING")&lt;&gt;"",ISNUMBER(SEARCH($AF$4,IF('Final Calculation Sheet'!$AD$6&lt;=5,"SETTLED","OUTSTANDING"))))))),1,0)</f>
      </c>
      <c r="AK9">
        <f>IF(AJ9=1,COUNTIF(AJ$7:AJ9,1),"")</f>
        <v/>
      </c>
    </row>
    <row r="10" outlineLevel="1" ht="15" customHeight="1" s="137">
      <c r="A10" s="90" t="n">
        <v>2</v>
      </c>
      <c r="B10" s="92">
        <f>IF('Final Calculation Sheet'!$F$7="","",'Final Calculation Sheet'!$F$7)</f>
        <v/>
      </c>
      <c r="C10" s="92">
        <f>IF('Final Calculation Sheet'!$G$7="","",'Final Calculation Sheet'!$G$7)</f>
        <v/>
      </c>
      <c r="D10" s="94">
        <f>IF('Final Calculation Sheet'!$B$7="","",'Final Calculation Sheet'!$B$7)</f>
        <v/>
      </c>
      <c r="E10" s="94">
        <f>IF('Final Calculation Sheet'!$D$7="","",'Final Calculation Sheet'!$D$7)</f>
        <v/>
      </c>
      <c r="F10" s="94">
        <f>IF('Final Calculation Sheet'!$A$7="","",'Final Calculation Sheet'!$A$7)</f>
        <v/>
      </c>
      <c r="G10" s="94">
        <f>IF('Final Calculation Sheet'!$E$7="","",'Final Calculation Sheet'!$E$7)</f>
        <v/>
      </c>
      <c r="H10" s="95">
        <f>IF('Final Calculation Sheet'!$C$7="","",'Final Calculation Sheet'!$C$7)</f>
        <v/>
      </c>
      <c r="I10" s="95">
        <f>IF('Final Calculation Sheet'!$H$7="","",'Final Calculation Sheet'!$H$7)</f>
        <v/>
      </c>
      <c r="J10" s="95">
        <f>IF('Final Calculation Sheet'!$I$7="","",'Final Calculation Sheet'!$I$7)</f>
        <v/>
      </c>
      <c r="K10" s="95">
        <f>IF('Final Calculation Sheet'!$J$7="","",'Final Calculation Sheet'!$J$7)</f>
        <v/>
      </c>
      <c r="L10" s="95">
        <f>IF('Final Calculation Sheet'!$K$7="","",'Final Calculation Sheet'!$K$7)</f>
        <v/>
      </c>
      <c r="M10" s="95">
        <f>IF('Final Calculation Sheet'!$L$7="","",'Final Calculation Sheet'!$L$7)</f>
        <v/>
      </c>
      <c r="N10" s="95">
        <f>IF('Final Calculation Sheet'!$M$7="","",'Final Calculation Sheet'!$M$7)</f>
        <v/>
      </c>
      <c r="O10" s="96">
        <f>IF('Final Calculation Sheet'!$N$7="","",'Final Calculation Sheet'!$N$7)</f>
        <v/>
      </c>
      <c r="P10" s="95">
        <f>IF('Final Calculation Sheet'!$O$7="","",'Final Calculation Sheet'!$O$7)</f>
        <v/>
      </c>
      <c r="Q10" s="95">
        <f>IF('Final Calculation Sheet'!$P$7="","",'Final Calculation Sheet'!$P$7)</f>
        <v/>
      </c>
      <c r="R10" s="97">
        <f>IF('Final Calculation Sheet'!$Q$7="","",'Final Calculation Sheet'!$Q$7)</f>
        <v/>
      </c>
      <c r="S10" s="95">
        <f>IF('Final Calculation Sheet'!$R$7="","",'Final Calculation Sheet'!$R$7)</f>
        <v/>
      </c>
      <c r="T10" s="95">
        <f>IF('Final Calculation Sheet'!$S$7="","",'Final Calculation Sheet'!$S$7)</f>
        <v/>
      </c>
      <c r="U10" s="95">
        <f>IF('Final Calculation Sheet'!$T$7="","",'Final Calculation Sheet'!$T$7)</f>
        <v/>
      </c>
      <c r="V10" s="98">
        <f>IF('Final Calculation Sheet'!$U$7="","",'Final Calculation Sheet'!$U$7)</f>
        <v/>
      </c>
      <c r="W10" s="95">
        <f>IF('Final Calculation Sheet'!$V$7="","",'Final Calculation Sheet'!$V$7)</f>
        <v/>
      </c>
      <c r="X10" s="95">
        <f>IF('Final Calculation Sheet'!$W$7="","",'Final Calculation Sheet'!$W$7)</f>
        <v/>
      </c>
      <c r="Y10" s="95">
        <f>IF('Final Calculation Sheet'!$X$7="","",'Final Calculation Sheet'!$X$7)</f>
        <v/>
      </c>
      <c r="Z10" s="95">
        <f>IF('Final Calculation Sheet'!$Y$7="","",'Final Calculation Sheet'!$Y$7)</f>
        <v/>
      </c>
      <c r="AA10" s="95">
        <f>IF('Final Calculation Sheet'!$Z$7="","",'Final Calculation Sheet'!$Z$7)</f>
        <v/>
      </c>
      <c r="AB10" s="95">
        <f>IF('Final Calculation Sheet'!$AA$7="","",'Final Calculation Sheet'!$AA$7)</f>
        <v/>
      </c>
      <c r="AC10" s="95">
        <f>IF('Final Calculation Sheet'!$AB$7="","",'Final Calculation Sheet'!$AB$7)</f>
        <v/>
      </c>
      <c r="AD10" s="95">
        <f>IF('Final Calculation Sheet'!$AC$7="","",'Final Calculation Sheet'!$AC$7)</f>
        <v/>
      </c>
      <c r="AE10" s="95">
        <f>IF('Final Calculation Sheet'!$AD$7="","",'Final Calculation Sheet'!$AD$7)</f>
        <v/>
      </c>
      <c r="AF10" s="100">
        <f>IF('Final Calculation Sheet'!$AD$7="","",IF('Final Calculation Sheet'!$AD$7&lt;=5,"SETTLED","OUTSTANDING"))</f>
        <v/>
      </c>
      <c r="AG10" s="95">
        <f>IF('Final Calculation Sheet'!$AF$7="","",'Final Calculation Sheet'!$AF$7)</f>
        <v/>
      </c>
      <c r="AH10" s="99">
        <f>IF('Final Calculation Sheet'!$AG$7="","",'Final Calculation Sheet'!$AG$7)</f>
        <v/>
      </c>
      <c r="AI10" s="95">
        <f>IF('Final Calculation Sheet'!$AH$7="","",'Final Calculation Sheet'!$AH$7)</f>
        <v/>
      </c>
      <c r="AJ10">
        <f>IF(AND(IF($B$4="",TRUE(),IF($B$4="(blank)",'Final Calculation Sheet'!$F$7="",IF($B$4="(nonblank)",'Final Calculation Sheet'!$F$7&lt;&gt;"",ISNUMBER(SEARCH($B$4,'Final Calculation Sheet'!$F$7))))),IF($C$4="",TRUE(),IF($C$4="(blank)",'Final Calculation Sheet'!$G$7="",IF($C$4="(nonblank)",'Final Calculation Sheet'!$G$7&lt;&gt;"",ISNUMBER(SEARCH($C$4,'Final Calculation Sheet'!$G$7))))),IF($D$4="",TRUE(),IF($D$4="(blank)",'Final Calculation Sheet'!$B$7="",IF($D$4="(nonblank)",'Final Calculation Sheet'!$B$7&lt;&gt;"",ISNUMBER(SEARCH($D$4,'Final Calculation Sheet'!$B$7))))),IF($E$4="",TRUE(),IF($E$4="(blank)",'Final Calculation Sheet'!$D$7="",IF($E$4="(nonblank)",'Final Calculation Sheet'!$D$7&lt;&gt;"",ISNUMBER(SEARCH($E$4,'Final Calculation Sheet'!$D$7))))),IF($F$4="",TRUE(),IF($F$4="(blank)",'Final Calculation Sheet'!$A$7="",IF($F$4="(nonblank)",'Final Calculation Sheet'!$A$7&lt;&gt;"",ISNUMBER(SEARCH($F$4,'Final Calculation Sheet'!$A$7))))),IF($G$4="",TRUE(),IF($G$4="(blank)",'Final Calculation Sheet'!$E$7="",IF($G$4="(nonblank)",'Final Calculation Sheet'!$E$7&lt;&gt;"",ISNUMBER(SEARCH($G$4,'Final Calculation Sheet'!$E$7))))),IF($H$4="",TRUE(),IF($H$4="(blank)",'Final Calculation Sheet'!$C$7="",IF($H$4="(nonblank)",'Final Calculation Sheet'!$C$7&lt;&gt;"",ISNUMBER(SEARCH($H$4,'Final Calculation Sheet'!$C$7))))),IF($I$4="",TRUE(),IF($I$4="(blank)",'Final Calculation Sheet'!$H$7="",IF($I$4="(nonblank)",'Final Calculation Sheet'!$H$7&lt;&gt;"",ISNUMBER(SEARCH($I$4,'Final Calculation Sheet'!$H$7))))),IF($J$4="",TRUE(),IF($J$4="(blank)",'Final Calculation Sheet'!$I$7="",IF($J$4="(nonblank)",'Final Calculation Sheet'!$I$7&lt;&gt;"",ISNUMBER(SEARCH($J$4,'Final Calculation Sheet'!$I$7))))),IF($K$4="",TRUE(),IF($K$4="(blank)",'Final Calculation Sheet'!$J$7="",IF($K$4="(nonblank)",'Final Calculation Sheet'!$J$7&lt;&gt;"",ISNUMBER(SEARCH($K$4,'Final Calculation Sheet'!$J$7))))),IF($L$4="",TRUE(),IF($L$4="(blank)",'Final Calculation Sheet'!$K$7="",IF($L$4="(nonblank)",'Final Calculation Sheet'!$K$7&lt;&gt;"",ISNUMBER(SEARCH($L$4,'Final Calculation Sheet'!$K$7))))),IF($M$4="",TRUE(),IF($M$4="(blank)",'Final Calculation Sheet'!$L$7="",IF($M$4="(nonblank)",'Final Calculation Sheet'!$L$7&lt;&gt;"",ISNUMBER(SEARCH($M$4,'Final Calculation Sheet'!$L$7))))),IF($N$4="",TRUE(),IF($N$4="(blank)",'Final Calculation Sheet'!$M$7="",IF($N$4="(nonblank)",'Final Calculation Sheet'!$M$7&lt;&gt;"",ISNUMBER(SEARCH($N$4,'Final Calculation Sheet'!$M$7))))),IF($O$4="",TRUE(),IF($O$4="(blank)",'Final Calculation Sheet'!$N$7="",IF($O$4="(nonblank)",'Final Calculation Sheet'!$N$7&lt;&gt;"",ISNUMBER(SEARCH($O$4,'Final Calculation Sheet'!$N$7))))),IF($P$4="",TRUE(),IF($P$4="(blank)",'Final Calculation Sheet'!$O$7="",IF($P$4="(nonblank)",'Final Calculation Sheet'!$O$7&lt;&gt;"",ISNUMBER(SEARCH($P$4,'Final Calculation Sheet'!$O$7))))),IF($Q$4="",TRUE(),IF($Q$4="(blank)",'Final Calculation Sheet'!$P$7="",IF($Q$4="(nonblank)",'Final Calculation Sheet'!$P$7&lt;&gt;"",ISNUMBER(SEARCH($Q$4,'Final Calculation Sheet'!$P$7))))),IF($R$4="",TRUE(),IF($R$4="(blank)",'Final Calculation Sheet'!$Q$7="",IF($R$4="(nonblank)",'Final Calculation Sheet'!$Q$7&lt;&gt;"",ISNUMBER(SEARCH($R$4,'Final Calculation Sheet'!$Q$7))))),IF($S$4="",TRUE(),IF($S$4="(blank)",'Final Calculation Sheet'!$R$7="",IF($S$4="(nonblank)",'Final Calculation Sheet'!$R$7&lt;&gt;"",ISNUMBER(SEARCH($S$4,'Final Calculation Sheet'!$R$7))))),IF($T$4="",TRUE(),IF($T$4="(blank)",'Final Calculation Sheet'!$S$7="",IF($T$4="(nonblank)",'Final Calculation Sheet'!$S$7&lt;&gt;"",ISNUMBER(SEARCH($T$4,'Final Calculation Sheet'!$S$7))))),IF($U$4="",TRUE(),IF($U$4="(blank)",'Final Calculation Sheet'!$T$7="",IF($U$4="(nonblank)",'Final Calculation Sheet'!$T$7&lt;&gt;"",ISNUMBER(SEARCH($U$4,'Final Calculation Sheet'!$T$7))))),IF($V$4="",TRUE(),IF($V$4="(blank)",'Final Calculation Sheet'!$U$7="",IF($V$4="(nonblank)",'Final Calculation Sheet'!$U$7&lt;&gt;"",ISNUMBER(SEARCH($V$4,'Final Calculation Sheet'!$U$7))))),IF($W$4="",TRUE(),IF($W$4="(blank)",'Final Calculation Sheet'!$V$7="",IF($W$4="(nonblank)",'Final Calculation Sheet'!$V$7&lt;&gt;"",ISNUMBER(SEARCH($W$4,'Final Calculation Sheet'!$V$7))))),IF($X$4="",TRUE(),IF($X$4="(blank)",'Final Calculation Sheet'!$W$7="",IF($X$4="(nonblank)",'Final Calculation Sheet'!$W$7&lt;&gt;"",ISNUMBER(SEARCH($X$4,'Final Calculation Sheet'!$W$7))))),IF($Y$4="",TRUE(),IF($Y$4="(blank)",'Final Calculation Sheet'!$X$7="",IF($Y$4="(nonblank)",'Final Calculation Sheet'!$X$7&lt;&gt;"",ISNUMBER(SEARCH($Y$4,'Final Calculation Sheet'!$X$7))))),IF($Z$4="",TRUE(),IF($Z$4="(blank)",'Final Calculation Sheet'!$Y$7="",IF($Z$4="(nonblank)",'Final Calculation Sheet'!$Y$7&lt;&gt;"",ISNUMBER(SEARCH($Z$4,'Final Calculation Sheet'!$Y$7))))),IF($AA$4="",TRUE(),IF($AA$4="(blank)",'Final Calculation Sheet'!$Z$7="",IF($AA$4="(nonblank)",'Final Calculation Sheet'!$Z$7&lt;&gt;"",ISNUMBER(SEARCH($AA$4,'Final Calculation Sheet'!$Z$7))))),IF($AB$4="",TRUE(),IF($AB$4="(blank)",'Final Calculation Sheet'!$AA$7="",IF($AB$4="(nonblank)",'Final Calculation Sheet'!$AA$7&lt;&gt;"",ISNUMBER(SEARCH($AB$4,'Final Calculation Sheet'!$AA$7))))),IF($AC$4="",TRUE(),IF($AC$4="(blank)",'Final Calculation Sheet'!$AB$7="",IF($AC$4="(nonblank)",'Final Calculation Sheet'!$AB$7&lt;&gt;"",ISNUMBER(SEARCH($AC$4,'Final Calculation Sheet'!$AB$7))))),IF($AD$4="",TRUE(),IF($AD$4="(blank)",'Final Calculation Sheet'!$AC$7="",IF($AD$4="(nonblank)",'Final Calculation Sheet'!$AC$7&lt;&gt;"",ISNUMBER(SEARCH($AD$4,'Final Calculation Sheet'!$AC$7))))),IF($AE$4="",TRUE(),IF($AE$4="(blank)",'Final Calculation Sheet'!$AD$7="",IF($AE$4="(nonblank)",'Final Calculation Sheet'!$AD$7&lt;&gt;"",ISNUMBER(SEARCH($AE$4,'Final Calculation Sheet'!$AD$7))))),IF($AG$4="",TRUE(),IF($AG$4="(blank)",'Final Calculation Sheet'!$AF$7="",IF($AG$4="(nonblank)",'Final Calculation Sheet'!$AF$7&lt;&gt;"",ISNUMBER(SEARCH($AG$4,'Final Calculation Sheet'!$AF$7))))),IF($AH$4="",TRUE(),IF($AH$4="(blank)",'Final Calculation Sheet'!$AG$7="",IF($AH$4="(nonblank)",'Final Calculation Sheet'!$AG$7&lt;&gt;"",ISNUMBER(SEARCH($AH$4,'Final Calculation Sheet'!$AG$7))))),IF($AI$4="",TRUE(),IF($AI$4="(blank)",'Final Calculation Sheet'!$AH$7="",IF($AI$4="(nonblank)",'Final Calculation Sheet'!$AH$7&lt;&gt;"",ISNUMBER(SEARCH($AI$4,'Final Calculation Sheet'!$AH$7))))),IF($AF$4="",TRUE(),IF($AF$4="(blank)",IF('Final Calculation Sheet'!$AD$7&lt;=5,"SETTLED","OUTSTANDING")="",IF($AF$4="(nonblank)",IF('Final Calculation Sheet'!$AD$7&lt;=5,"SETTLED","OUTSTANDING")&lt;&gt;"",ISNUMBER(SEARCH($AF$4,IF('Final Calculation Sheet'!$AD$7&lt;=5,"SETTLED","OUTSTANDING"))))))),1,0)</f>
      </c>
      <c r="AK10">
        <f>IF(AJ10=1,COUNTIF(AJ$7:AJ10,1),"")</f>
        <v/>
      </c>
    </row>
    <row r="11" ht="15" customHeight="1" s="137">
      <c r="A11" s="81" t="inlineStr">
        <is>
          <t>∑</t>
        </is>
      </c>
      <c r="B11" s="83" t="n"/>
      <c r="C11" s="83">
        <f>ROWS($C$9:$C$10)&amp;" lot(s)"</f>
        <v/>
      </c>
      <c r="D11" s="83" t="inlineStr">
        <is>
          <t>SUBTOTAL — F R KHANS ENTERPRISES</t>
        </is>
      </c>
      <c r="E11" s="83" t="inlineStr">
        <is>
          <t>–</t>
        </is>
      </c>
      <c r="F11" s="83">
        <f>SUM(F9:F10)</f>
        <v/>
      </c>
      <c r="G11" s="83" t="inlineStr">
        <is>
          <t>–</t>
        </is>
      </c>
      <c r="H11" s="84" t="inlineStr">
        <is>
          <t>–</t>
        </is>
      </c>
      <c r="I11" s="84">
        <f>SUM(I9:I10)</f>
        <v/>
      </c>
      <c r="J11" s="84">
        <f>SUM(J9:J10)</f>
        <v/>
      </c>
      <c r="K11" s="84">
        <f>SUM(K9:K10)</f>
        <v/>
      </c>
      <c r="L11" s="84">
        <f>SUM(L9:L10)</f>
        <v/>
      </c>
      <c r="M11" s="84">
        <f>SUM(M9:M10)</f>
        <v/>
      </c>
      <c r="N11" s="84">
        <f>SUM(N9:N10)</f>
        <v/>
      </c>
      <c r="O11" s="85">
        <f>SUM(O9:O10)</f>
        <v/>
      </c>
      <c r="P11" s="84">
        <f>SUM(P9:P10)</f>
        <v/>
      </c>
      <c r="Q11" s="84">
        <f>SUM(Q9:Q10)</f>
        <v/>
      </c>
      <c r="R11" s="86" t="inlineStr">
        <is>
          <t>–</t>
        </is>
      </c>
      <c r="S11" s="84">
        <f>SUM(S9:S10)</f>
        <v/>
      </c>
      <c r="T11" s="84">
        <f>SUM(T9:T10)</f>
        <v/>
      </c>
      <c r="U11" s="84">
        <f>SUM(U9:U10)</f>
        <v/>
      </c>
      <c r="V11" s="87">
        <f>SUM(V9:V10)</f>
        <v/>
      </c>
      <c r="W11" s="84" t="inlineStr">
        <is>
          <t>–</t>
        </is>
      </c>
      <c r="X11" s="84">
        <f>SUM(X9:X10)</f>
        <v/>
      </c>
      <c r="Y11" s="84">
        <f>SUM(Y9:Y10)</f>
        <v/>
      </c>
      <c r="Z11" s="84" t="inlineStr">
        <is>
          <t>–</t>
        </is>
      </c>
      <c r="AA11" s="84">
        <f>SUM(AA9:AA10)</f>
        <v/>
      </c>
      <c r="AB11" s="84">
        <f>SUM(AB9:AB10)</f>
        <v/>
      </c>
      <c r="AC11" s="84" t="inlineStr">
        <is>
          <t>–</t>
        </is>
      </c>
      <c r="AD11" s="84">
        <f>SUM(AD9:AD10)</f>
        <v/>
      </c>
      <c r="AE11" s="84">
        <f>SUM(AE9:AE10)</f>
        <v/>
      </c>
      <c r="AF11" s="89">
        <f>IF(AE11&lt;=5,"SETTLED","OUTSTANDING")</f>
        <v/>
      </c>
      <c r="AG11" s="84" t="inlineStr">
        <is>
          <t>–</t>
        </is>
      </c>
      <c r="AH11" s="88" t="inlineStr">
        <is>
          <t>–</t>
        </is>
      </c>
      <c r="AI11" s="84" t="inlineStr">
        <is>
          <t>–</t>
        </is>
      </c>
    </row>
    <row r="12" outlineLevel="1" ht="15" customHeight="1" s="137">
      <c r="A12" s="67" t="n">
        <v>1</v>
      </c>
      <c r="B12" s="76">
        <f>IF('Final Calculation Sheet'!$F$15="","",'Final Calculation Sheet'!$F$15)</f>
        <v/>
      </c>
      <c r="C12" s="76">
        <f>IF('Final Calculation Sheet'!$G$15="","",'Final Calculation Sheet'!$G$15)</f>
        <v/>
      </c>
      <c r="D12" s="80">
        <f>IF('Final Calculation Sheet'!$B$15="","",'Final Calculation Sheet'!$B$15)</f>
        <v/>
      </c>
      <c r="E12" s="80">
        <f>IF('Final Calculation Sheet'!$D$15="","",'Final Calculation Sheet'!$D$15)</f>
        <v/>
      </c>
      <c r="F12" s="80">
        <f>IF('Final Calculation Sheet'!$A$15="","",'Final Calculation Sheet'!$A$15)</f>
        <v/>
      </c>
      <c r="G12" s="80">
        <f>IF('Final Calculation Sheet'!$E$15="","",'Final Calculation Sheet'!$E$15)</f>
        <v/>
      </c>
      <c r="H12" s="70">
        <f>IF('Final Calculation Sheet'!$C$15="","",'Final Calculation Sheet'!$C$15)</f>
        <v/>
      </c>
      <c r="I12" s="70">
        <f>IF('Final Calculation Sheet'!$H$15="","",'Final Calculation Sheet'!$H$15)</f>
        <v/>
      </c>
      <c r="J12" s="70">
        <f>IF('Final Calculation Sheet'!$I$15="","",'Final Calculation Sheet'!$I$15)</f>
        <v/>
      </c>
      <c r="K12" s="70">
        <f>IF('Final Calculation Sheet'!$J$15="","",'Final Calculation Sheet'!$J$15)</f>
        <v/>
      </c>
      <c r="L12" s="70">
        <f>IF('Final Calculation Sheet'!$K$15="","",'Final Calculation Sheet'!$K$15)</f>
        <v/>
      </c>
      <c r="M12" s="70">
        <f>IF('Final Calculation Sheet'!$L$15="","",'Final Calculation Sheet'!$L$15)</f>
        <v/>
      </c>
      <c r="N12" s="70">
        <f>IF('Final Calculation Sheet'!$M$15="","",'Final Calculation Sheet'!$M$15)</f>
        <v/>
      </c>
      <c r="O12" s="71">
        <f>IF('Final Calculation Sheet'!$N$15="","",'Final Calculation Sheet'!$N$15)</f>
        <v/>
      </c>
      <c r="P12" s="70">
        <f>IF('Final Calculation Sheet'!$O$15="","",'Final Calculation Sheet'!$O$15)</f>
        <v/>
      </c>
      <c r="Q12" s="70">
        <f>IF('Final Calculation Sheet'!$P$15="","",'Final Calculation Sheet'!$P$15)</f>
        <v/>
      </c>
      <c r="R12" s="72">
        <f>IF('Final Calculation Sheet'!$Q$15="","",'Final Calculation Sheet'!$Q$15)</f>
        <v/>
      </c>
      <c r="S12" s="70">
        <f>IF('Final Calculation Sheet'!$R$15="","",'Final Calculation Sheet'!$R$15)</f>
        <v/>
      </c>
      <c r="T12" s="70">
        <f>IF('Final Calculation Sheet'!$S$15="","",'Final Calculation Sheet'!$S$15)</f>
        <v/>
      </c>
      <c r="U12" s="70">
        <f>IF('Final Calculation Sheet'!$T$15="","",'Final Calculation Sheet'!$T$15)</f>
        <v/>
      </c>
      <c r="V12" s="73">
        <f>IF('Final Calculation Sheet'!$U$15="","",'Final Calculation Sheet'!$U$15)</f>
        <v/>
      </c>
      <c r="W12" s="70">
        <f>IF('Final Calculation Sheet'!$V$15="","",'Final Calculation Sheet'!$V$15)</f>
        <v/>
      </c>
      <c r="X12" s="70">
        <f>IF('Final Calculation Sheet'!$W$15="","",'Final Calculation Sheet'!$W$15)</f>
        <v/>
      </c>
      <c r="Y12" s="70">
        <f>IF('Final Calculation Sheet'!$X$15="","",'Final Calculation Sheet'!$X$15)</f>
        <v/>
      </c>
      <c r="Z12" s="70">
        <f>IF('Final Calculation Sheet'!$Y$15="","",'Final Calculation Sheet'!$Y$15)</f>
        <v/>
      </c>
      <c r="AA12" s="70">
        <f>IF('Final Calculation Sheet'!$Z$15="","",'Final Calculation Sheet'!$Z$15)</f>
        <v/>
      </c>
      <c r="AB12" s="70">
        <f>IF('Final Calculation Sheet'!$AA$15="","",'Final Calculation Sheet'!$AA$15)</f>
        <v/>
      </c>
      <c r="AC12" s="70">
        <f>IF('Final Calculation Sheet'!$AB$15="","",'Final Calculation Sheet'!$AB$15)</f>
        <v/>
      </c>
      <c r="AD12" s="70">
        <f>IF('Final Calculation Sheet'!$AC$15="","",'Final Calculation Sheet'!$AC$15)</f>
        <v/>
      </c>
      <c r="AE12" s="70">
        <f>IF('Final Calculation Sheet'!$AD$15="","",'Final Calculation Sheet'!$AD$15)</f>
        <v/>
      </c>
      <c r="AF12" s="75">
        <f>IF('Final Calculation Sheet'!$AD$15="","",IF('Final Calculation Sheet'!$AD$15&lt;=5,"SETTLED","OUTSTANDING"))</f>
        <v/>
      </c>
      <c r="AG12" s="70">
        <f>IF('Final Calculation Sheet'!$AF$15="","",'Final Calculation Sheet'!$AF$15)</f>
        <v/>
      </c>
      <c r="AH12" s="74">
        <f>IF('Final Calculation Sheet'!$AG$15="","",'Final Calculation Sheet'!$AG$15)</f>
        <v/>
      </c>
      <c r="AI12" s="70">
        <f>IF('Final Calculation Sheet'!$AH$15="","",'Final Calculation Sheet'!$AH$15)</f>
        <v/>
      </c>
      <c r="AJ12">
        <f>IF(AND(IF($B$4="",TRUE(),IF($B$4="(blank)",'Final Calculation Sheet'!$F$15="",IF($B$4="(nonblank)",'Final Calculation Sheet'!$F$15&lt;&gt;"",ISNUMBER(SEARCH($B$4,'Final Calculation Sheet'!$F$15))))),IF($C$4="",TRUE(),IF($C$4="(blank)",'Final Calculation Sheet'!$G$15="",IF($C$4="(nonblank)",'Final Calculation Sheet'!$G$15&lt;&gt;"",ISNUMBER(SEARCH($C$4,'Final Calculation Sheet'!$G$15))))),IF($D$4="",TRUE(),IF($D$4="(blank)",'Final Calculation Sheet'!$B$15="",IF($D$4="(nonblank)",'Final Calculation Sheet'!$B$15&lt;&gt;"",ISNUMBER(SEARCH($D$4,'Final Calculation Sheet'!$B$15))))),IF($E$4="",TRUE(),IF($E$4="(blank)",'Final Calculation Sheet'!$D$15="",IF($E$4="(nonblank)",'Final Calculation Sheet'!$D$15&lt;&gt;"",ISNUMBER(SEARCH($E$4,'Final Calculation Sheet'!$D$15))))),IF($F$4="",TRUE(),IF($F$4="(blank)",'Final Calculation Sheet'!$A$15="",IF($F$4="(nonblank)",'Final Calculation Sheet'!$A$15&lt;&gt;"",ISNUMBER(SEARCH($F$4,'Final Calculation Sheet'!$A$15))))),IF($G$4="",TRUE(),IF($G$4="(blank)",'Final Calculation Sheet'!$E$15="",IF($G$4="(nonblank)",'Final Calculation Sheet'!$E$15&lt;&gt;"",ISNUMBER(SEARCH($G$4,'Final Calculation Sheet'!$E$15))))),IF($H$4="",TRUE(),IF($H$4="(blank)",'Final Calculation Sheet'!$C$15="",IF($H$4="(nonblank)",'Final Calculation Sheet'!$C$15&lt;&gt;"",ISNUMBER(SEARCH($H$4,'Final Calculation Sheet'!$C$15))))),IF($I$4="",TRUE(),IF($I$4="(blank)",'Final Calculation Sheet'!$H$15="",IF($I$4="(nonblank)",'Final Calculation Sheet'!$H$15&lt;&gt;"",ISNUMBER(SEARCH($I$4,'Final Calculation Sheet'!$H$15))))),IF($J$4="",TRUE(),IF($J$4="(blank)",'Final Calculation Sheet'!$I$15="",IF($J$4="(nonblank)",'Final Calculation Sheet'!$I$15&lt;&gt;"",ISNUMBER(SEARCH($J$4,'Final Calculation Sheet'!$I$15))))),IF($K$4="",TRUE(),IF($K$4="(blank)",'Final Calculation Sheet'!$J$15="",IF($K$4="(nonblank)",'Final Calculation Sheet'!$J$15&lt;&gt;"",ISNUMBER(SEARCH($K$4,'Final Calculation Sheet'!$J$15))))),IF($L$4="",TRUE(),IF($L$4="(blank)",'Final Calculation Sheet'!$K$15="",IF($L$4="(nonblank)",'Final Calculation Sheet'!$K$15&lt;&gt;"",ISNUMBER(SEARCH($L$4,'Final Calculation Sheet'!$K$15))))),IF($M$4="",TRUE(),IF($M$4="(blank)",'Final Calculation Sheet'!$L$15="",IF($M$4="(nonblank)",'Final Calculation Sheet'!$L$15&lt;&gt;"",ISNUMBER(SEARCH($M$4,'Final Calculation Sheet'!$L$15))))),IF($N$4="",TRUE(),IF($N$4="(blank)",'Final Calculation Sheet'!$M$15="",IF($N$4="(nonblank)",'Final Calculation Sheet'!$M$15&lt;&gt;"",ISNUMBER(SEARCH($N$4,'Final Calculation Sheet'!$M$15))))),IF($O$4="",TRUE(),IF($O$4="(blank)",'Final Calculation Sheet'!$N$15="",IF($O$4="(nonblank)",'Final Calculation Sheet'!$N$15&lt;&gt;"",ISNUMBER(SEARCH($O$4,'Final Calculation Sheet'!$N$15))))),IF($P$4="",TRUE(),IF($P$4="(blank)",'Final Calculation Sheet'!$O$15="",IF($P$4="(nonblank)",'Final Calculation Sheet'!$O$15&lt;&gt;"",ISNUMBER(SEARCH($P$4,'Final Calculation Sheet'!$O$15))))),IF($Q$4="",TRUE(),IF($Q$4="(blank)",'Final Calculation Sheet'!$P$15="",IF($Q$4="(nonblank)",'Final Calculation Sheet'!$P$15&lt;&gt;"",ISNUMBER(SEARCH($Q$4,'Final Calculation Sheet'!$P$15))))),IF($R$4="",TRUE(),IF($R$4="(blank)",'Final Calculation Sheet'!$Q$15="",IF($R$4="(nonblank)",'Final Calculation Sheet'!$Q$15&lt;&gt;"",ISNUMBER(SEARCH($R$4,'Final Calculation Sheet'!$Q$15))))),IF($S$4="",TRUE(),IF($S$4="(blank)",'Final Calculation Sheet'!$R$15="",IF($S$4="(nonblank)",'Final Calculation Sheet'!$R$15&lt;&gt;"",ISNUMBER(SEARCH($S$4,'Final Calculation Sheet'!$R$15))))),IF($T$4="",TRUE(),IF($T$4="(blank)",'Final Calculation Sheet'!$S$15="",IF($T$4="(nonblank)",'Final Calculation Sheet'!$S$15&lt;&gt;"",ISNUMBER(SEARCH($T$4,'Final Calculation Sheet'!$S$15))))),IF($U$4="",TRUE(),IF($U$4="(blank)",'Final Calculation Sheet'!$T$15="",IF($U$4="(nonblank)",'Final Calculation Sheet'!$T$15&lt;&gt;"",ISNUMBER(SEARCH($U$4,'Final Calculation Sheet'!$T$15))))),IF($V$4="",TRUE(),IF($V$4="(blank)",'Final Calculation Sheet'!$U$15="",IF($V$4="(nonblank)",'Final Calculation Sheet'!$U$15&lt;&gt;"",ISNUMBER(SEARCH($V$4,'Final Calculation Sheet'!$U$15))))),IF($W$4="",TRUE(),IF($W$4="(blank)",'Final Calculation Sheet'!$V$15="",IF($W$4="(nonblank)",'Final Calculation Sheet'!$V$15&lt;&gt;"",ISNUMBER(SEARCH($W$4,'Final Calculation Sheet'!$V$15))))),IF($X$4="",TRUE(),IF($X$4="(blank)",'Final Calculation Sheet'!$W$15="",IF($X$4="(nonblank)",'Final Calculation Sheet'!$W$15&lt;&gt;"",ISNUMBER(SEARCH($X$4,'Final Calculation Sheet'!$W$15))))),IF($Y$4="",TRUE(),IF($Y$4="(blank)",'Final Calculation Sheet'!$X$15="",IF($Y$4="(nonblank)",'Final Calculation Sheet'!$X$15&lt;&gt;"",ISNUMBER(SEARCH($Y$4,'Final Calculation Sheet'!$X$15))))),IF($Z$4="",TRUE(),IF($Z$4="(blank)",'Final Calculation Sheet'!$Y$15="",IF($Z$4="(nonblank)",'Final Calculation Sheet'!$Y$15&lt;&gt;"",ISNUMBER(SEARCH($Z$4,'Final Calculation Sheet'!$Y$15))))),IF($AA$4="",TRUE(),IF($AA$4="(blank)",'Final Calculation Sheet'!$Z$15="",IF($AA$4="(nonblank)",'Final Calculation Sheet'!$Z$15&lt;&gt;"",ISNUMBER(SEARCH($AA$4,'Final Calculation Sheet'!$Z$15))))),IF($AB$4="",TRUE(),IF($AB$4="(blank)",'Final Calculation Sheet'!$AA$15="",IF($AB$4="(nonblank)",'Final Calculation Sheet'!$AA$15&lt;&gt;"",ISNUMBER(SEARCH($AB$4,'Final Calculation Sheet'!$AA$15))))),IF($AC$4="",TRUE(),IF($AC$4="(blank)",'Final Calculation Sheet'!$AB$15="",IF($AC$4="(nonblank)",'Final Calculation Sheet'!$AB$15&lt;&gt;"",ISNUMBER(SEARCH($AC$4,'Final Calculation Sheet'!$AB$15))))),IF($AD$4="",TRUE(),IF($AD$4="(blank)",'Final Calculation Sheet'!$AC$15="",IF($AD$4="(nonblank)",'Final Calculation Sheet'!$AC$15&lt;&gt;"",ISNUMBER(SEARCH($AD$4,'Final Calculation Sheet'!$AC$15))))),IF($AE$4="",TRUE(),IF($AE$4="(blank)",'Final Calculation Sheet'!$AD$15="",IF($AE$4="(nonblank)",'Final Calculation Sheet'!$AD$15&lt;&gt;"",ISNUMBER(SEARCH($AE$4,'Final Calculation Sheet'!$AD$15))))),IF($AG$4="",TRUE(),IF($AG$4="(blank)",'Final Calculation Sheet'!$AF$15="",IF($AG$4="(nonblank)",'Final Calculation Sheet'!$AF$15&lt;&gt;"",ISNUMBER(SEARCH($AG$4,'Final Calculation Sheet'!$AF$15))))),IF($AH$4="",TRUE(),IF($AH$4="(blank)",'Final Calculation Sheet'!$AG$15="",IF($AH$4="(nonblank)",'Final Calculation Sheet'!$AG$15&lt;&gt;"",ISNUMBER(SEARCH($AH$4,'Final Calculation Sheet'!$AG$15))))),IF($AI$4="",TRUE(),IF($AI$4="(blank)",'Final Calculation Sheet'!$AH$15="",IF($AI$4="(nonblank)",'Final Calculation Sheet'!$AH$15&lt;&gt;"",ISNUMBER(SEARCH($AI$4,'Final Calculation Sheet'!$AH$15))))),IF($AF$4="",TRUE(),IF($AF$4="(blank)",IF('Final Calculation Sheet'!$AD$15&lt;=5,"SETTLED","OUTSTANDING")="",IF($AF$4="(nonblank)",IF('Final Calculation Sheet'!$AD$15&lt;=5,"SETTLED","OUTSTANDING")&lt;&gt;"",ISNUMBER(SEARCH($AF$4,IF('Final Calculation Sheet'!$AD$15&lt;=5,"SETTLED","OUTSTANDING"))))))),1,0)</f>
      </c>
      <c r="AK12">
        <f>IF(AJ12=1,COUNTIF(AJ$7:AJ12,1),"")</f>
        <v/>
      </c>
    </row>
    <row r="13" ht="15" customHeight="1" s="137">
      <c r="A13" s="81" t="inlineStr">
        <is>
          <t>∑</t>
        </is>
      </c>
      <c r="B13" s="83" t="n"/>
      <c r="C13" s="83">
        <f>ROWS($C$12:$C$12)&amp;" lot(s)"</f>
        <v/>
      </c>
      <c r="D13" s="83" t="inlineStr">
        <is>
          <t>SUBTOTAL — HIND TRADERS</t>
        </is>
      </c>
      <c r="E13" s="83" t="inlineStr">
        <is>
          <t>–</t>
        </is>
      </c>
      <c r="F13" s="83">
        <f>SUM(F12:F12)</f>
        <v/>
      </c>
      <c r="G13" s="83" t="inlineStr">
        <is>
          <t>–</t>
        </is>
      </c>
      <c r="H13" s="84" t="inlineStr">
        <is>
          <t>–</t>
        </is>
      </c>
      <c r="I13" s="84">
        <f>SUM(I12:I12)</f>
        <v/>
      </c>
      <c r="J13" s="84">
        <f>SUM(J12:J12)</f>
        <v/>
      </c>
      <c r="K13" s="84">
        <f>SUM(K12:K12)</f>
        <v/>
      </c>
      <c r="L13" s="84">
        <f>SUM(L12:L12)</f>
        <v/>
      </c>
      <c r="M13" s="84">
        <f>SUM(M12:M12)</f>
        <v/>
      </c>
      <c r="N13" s="84">
        <f>SUM(N12:N12)</f>
        <v/>
      </c>
      <c r="O13" s="85">
        <f>SUM(O12:O12)</f>
        <v/>
      </c>
      <c r="P13" s="84">
        <f>SUM(P12:P12)</f>
        <v/>
      </c>
      <c r="Q13" s="84">
        <f>SUM(Q12:Q12)</f>
        <v/>
      </c>
      <c r="R13" s="86" t="inlineStr">
        <is>
          <t>–</t>
        </is>
      </c>
      <c r="S13" s="84">
        <f>SUM(S12:S12)</f>
        <v/>
      </c>
      <c r="T13" s="84">
        <f>SUM(T12:T12)</f>
        <v/>
      </c>
      <c r="U13" s="84">
        <f>SUM(U12:U12)</f>
        <v/>
      </c>
      <c r="V13" s="87">
        <f>SUM(V12:V12)</f>
        <v/>
      </c>
      <c r="W13" s="84" t="inlineStr">
        <is>
          <t>–</t>
        </is>
      </c>
      <c r="X13" s="84">
        <f>SUM(X12:X12)</f>
        <v/>
      </c>
      <c r="Y13" s="84">
        <f>SUM(Y12:Y12)</f>
        <v/>
      </c>
      <c r="Z13" s="84" t="inlineStr">
        <is>
          <t>–</t>
        </is>
      </c>
      <c r="AA13" s="84">
        <f>SUM(AA12:AA12)</f>
        <v/>
      </c>
      <c r="AB13" s="84">
        <f>SUM(AB12:AB12)</f>
        <v/>
      </c>
      <c r="AC13" s="84" t="inlineStr">
        <is>
          <t>–</t>
        </is>
      </c>
      <c r="AD13" s="84">
        <f>SUM(AD12:AD12)</f>
        <v/>
      </c>
      <c r="AE13" s="84">
        <f>SUM(AE12:AE12)</f>
        <v/>
      </c>
      <c r="AF13" s="89">
        <f>IF(AE13&lt;=5,"SETTLED","OUTSTANDING")</f>
        <v/>
      </c>
      <c r="AG13" s="84" t="inlineStr">
        <is>
          <t>–</t>
        </is>
      </c>
      <c r="AH13" s="88" t="inlineStr">
        <is>
          <t>–</t>
        </is>
      </c>
      <c r="AI13" s="84" t="inlineStr">
        <is>
          <t>–</t>
        </is>
      </c>
    </row>
    <row r="14" outlineLevel="1" ht="15" customHeight="1" s="137">
      <c r="A14" s="67" t="n">
        <v>1</v>
      </c>
      <c r="B14" s="76">
        <f>IF('Final Calculation Sheet'!$F$38="","",'Final Calculation Sheet'!$F$38)</f>
        <v/>
      </c>
      <c r="C14" s="76">
        <f>IF('Final Calculation Sheet'!$G$38="","",'Final Calculation Sheet'!$G$38)</f>
        <v/>
      </c>
      <c r="D14" s="80">
        <f>IF('Final Calculation Sheet'!$B$38="","",'Final Calculation Sheet'!$B$38)</f>
        <v/>
      </c>
      <c r="E14" s="80">
        <f>IF('Final Calculation Sheet'!$D$38="","",'Final Calculation Sheet'!$D$38)</f>
        <v/>
      </c>
      <c r="F14" s="80">
        <f>IF('Final Calculation Sheet'!$A$38="","",'Final Calculation Sheet'!$A$38)</f>
        <v/>
      </c>
      <c r="G14" s="80">
        <f>IF('Final Calculation Sheet'!$E$38="","",'Final Calculation Sheet'!$E$38)</f>
        <v/>
      </c>
      <c r="H14" s="70">
        <f>IF('Final Calculation Sheet'!$C$38="","",'Final Calculation Sheet'!$C$38)</f>
        <v/>
      </c>
      <c r="I14" s="70">
        <f>IF('Final Calculation Sheet'!$H$38="","",'Final Calculation Sheet'!$H$38)</f>
        <v/>
      </c>
      <c r="J14" s="70">
        <f>IF('Final Calculation Sheet'!$I$38="","",'Final Calculation Sheet'!$I$38)</f>
        <v/>
      </c>
      <c r="K14" s="70">
        <f>IF('Final Calculation Sheet'!$J$38="","",'Final Calculation Sheet'!$J$38)</f>
        <v/>
      </c>
      <c r="L14" s="70">
        <f>IF('Final Calculation Sheet'!$K$38="","",'Final Calculation Sheet'!$K$38)</f>
        <v/>
      </c>
      <c r="M14" s="70">
        <f>IF('Final Calculation Sheet'!$L$38="","",'Final Calculation Sheet'!$L$38)</f>
        <v/>
      </c>
      <c r="N14" s="70">
        <f>IF('Final Calculation Sheet'!$M$38="","",'Final Calculation Sheet'!$M$38)</f>
        <v/>
      </c>
      <c r="O14" s="71">
        <f>IF('Final Calculation Sheet'!$N$38="","",'Final Calculation Sheet'!$N$38)</f>
        <v/>
      </c>
      <c r="P14" s="70">
        <f>IF('Final Calculation Sheet'!$O$38="","",'Final Calculation Sheet'!$O$38)</f>
        <v/>
      </c>
      <c r="Q14" s="70">
        <f>IF('Final Calculation Sheet'!$P$38="","",'Final Calculation Sheet'!$P$38)</f>
        <v/>
      </c>
      <c r="R14" s="72">
        <f>IF('Final Calculation Sheet'!$Q$38="","",'Final Calculation Sheet'!$Q$38)</f>
        <v/>
      </c>
      <c r="S14" s="70">
        <f>IF('Final Calculation Sheet'!$R$38="","",'Final Calculation Sheet'!$R$38)</f>
        <v/>
      </c>
      <c r="T14" s="70">
        <f>IF('Final Calculation Sheet'!$S$38="","",'Final Calculation Sheet'!$S$38)</f>
        <v/>
      </c>
      <c r="U14" s="70">
        <f>IF('Final Calculation Sheet'!$T$38="","",'Final Calculation Sheet'!$T$38)</f>
        <v/>
      </c>
      <c r="V14" s="73">
        <f>IF('Final Calculation Sheet'!$U$38="","",'Final Calculation Sheet'!$U$38)</f>
        <v/>
      </c>
      <c r="W14" s="70">
        <f>IF('Final Calculation Sheet'!$V$38="","",'Final Calculation Sheet'!$V$38)</f>
        <v/>
      </c>
      <c r="X14" s="70">
        <f>IF('Final Calculation Sheet'!$W$38="","",'Final Calculation Sheet'!$W$38)</f>
        <v/>
      </c>
      <c r="Y14" s="70">
        <f>IF('Final Calculation Sheet'!$X$38="","",'Final Calculation Sheet'!$X$38)</f>
        <v/>
      </c>
      <c r="Z14" s="70">
        <f>IF('Final Calculation Sheet'!$Y$38="","",'Final Calculation Sheet'!$Y$38)</f>
        <v/>
      </c>
      <c r="AA14" s="70">
        <f>IF('Final Calculation Sheet'!$Z$38="","",'Final Calculation Sheet'!$Z$38)</f>
        <v/>
      </c>
      <c r="AB14" s="70">
        <f>IF('Final Calculation Sheet'!$AA$38="","",'Final Calculation Sheet'!$AA$38)</f>
        <v/>
      </c>
      <c r="AC14" s="70">
        <f>IF('Final Calculation Sheet'!$AB$38="","",'Final Calculation Sheet'!$AB$38)</f>
        <v/>
      </c>
      <c r="AD14" s="70">
        <f>IF('Final Calculation Sheet'!$AC$38="","",'Final Calculation Sheet'!$AC$38)</f>
        <v/>
      </c>
      <c r="AE14" s="70">
        <f>IF('Final Calculation Sheet'!$AD$38="","",'Final Calculation Sheet'!$AD$38)</f>
        <v/>
      </c>
      <c r="AF14" s="75">
        <f>IF('Final Calculation Sheet'!$AD$38="","",IF('Final Calculation Sheet'!$AD$38&lt;=5,"SETTLED","OUTSTANDING"))</f>
        <v/>
      </c>
      <c r="AG14" s="70">
        <f>IF('Final Calculation Sheet'!$AF$38="","",'Final Calculation Sheet'!$AF$38)</f>
        <v/>
      </c>
      <c r="AH14" s="74">
        <f>IF('Final Calculation Sheet'!$AG$38="","",'Final Calculation Sheet'!$AG$38)</f>
        <v/>
      </c>
      <c r="AI14" s="70">
        <f>IF('Final Calculation Sheet'!$AH$38="","",'Final Calculation Sheet'!$AH$38)</f>
        <v/>
      </c>
      <c r="AJ14">
        <f>IF(AND(IF($B$4="",TRUE(),IF($B$4="(blank)",'Final Calculation Sheet'!$F$38="",IF($B$4="(nonblank)",'Final Calculation Sheet'!$F$38&lt;&gt;"",ISNUMBER(SEARCH($B$4,'Final Calculation Sheet'!$F$38))))),IF($C$4="",TRUE(),IF($C$4="(blank)",'Final Calculation Sheet'!$G$38="",IF($C$4="(nonblank)",'Final Calculation Sheet'!$G$38&lt;&gt;"",ISNUMBER(SEARCH($C$4,'Final Calculation Sheet'!$G$38))))),IF($D$4="",TRUE(),IF($D$4="(blank)",'Final Calculation Sheet'!$B$38="",IF($D$4="(nonblank)",'Final Calculation Sheet'!$B$38&lt;&gt;"",ISNUMBER(SEARCH($D$4,'Final Calculation Sheet'!$B$38))))),IF($E$4="",TRUE(),IF($E$4="(blank)",'Final Calculation Sheet'!$D$38="",IF($E$4="(nonblank)",'Final Calculation Sheet'!$D$38&lt;&gt;"",ISNUMBER(SEARCH($E$4,'Final Calculation Sheet'!$D$38))))),IF($F$4="",TRUE(),IF($F$4="(blank)",'Final Calculation Sheet'!$A$38="",IF($F$4="(nonblank)",'Final Calculation Sheet'!$A$38&lt;&gt;"",ISNUMBER(SEARCH($F$4,'Final Calculation Sheet'!$A$38))))),IF($G$4="",TRUE(),IF($G$4="(blank)",'Final Calculation Sheet'!$E$38="",IF($G$4="(nonblank)",'Final Calculation Sheet'!$E$38&lt;&gt;"",ISNUMBER(SEARCH($G$4,'Final Calculation Sheet'!$E$38))))),IF($H$4="",TRUE(),IF($H$4="(blank)",'Final Calculation Sheet'!$C$38="",IF($H$4="(nonblank)",'Final Calculation Sheet'!$C$38&lt;&gt;"",ISNUMBER(SEARCH($H$4,'Final Calculation Sheet'!$C$38))))),IF($I$4="",TRUE(),IF($I$4="(blank)",'Final Calculation Sheet'!$H$38="",IF($I$4="(nonblank)",'Final Calculation Sheet'!$H$38&lt;&gt;"",ISNUMBER(SEARCH($I$4,'Final Calculation Sheet'!$H$38))))),IF($J$4="",TRUE(),IF($J$4="(blank)",'Final Calculation Sheet'!$I$38="",IF($J$4="(nonblank)",'Final Calculation Sheet'!$I$38&lt;&gt;"",ISNUMBER(SEARCH($J$4,'Final Calculation Sheet'!$I$38))))),IF($K$4="",TRUE(),IF($K$4="(blank)",'Final Calculation Sheet'!$J$38="",IF($K$4="(nonblank)",'Final Calculation Sheet'!$J$38&lt;&gt;"",ISNUMBER(SEARCH($K$4,'Final Calculation Sheet'!$J$38))))),IF($L$4="",TRUE(),IF($L$4="(blank)",'Final Calculation Sheet'!$K$38="",IF($L$4="(nonblank)",'Final Calculation Sheet'!$K$38&lt;&gt;"",ISNUMBER(SEARCH($L$4,'Final Calculation Sheet'!$K$38))))),IF($M$4="",TRUE(),IF($M$4="(blank)",'Final Calculation Sheet'!$L$38="",IF($M$4="(nonblank)",'Final Calculation Sheet'!$L$38&lt;&gt;"",ISNUMBER(SEARCH($M$4,'Final Calculation Sheet'!$L$38))))),IF($N$4="",TRUE(),IF($N$4="(blank)",'Final Calculation Sheet'!$M$38="",IF($N$4="(nonblank)",'Final Calculation Sheet'!$M$38&lt;&gt;"",ISNUMBER(SEARCH($N$4,'Final Calculation Sheet'!$M$38))))),IF($O$4="",TRUE(),IF($O$4="(blank)",'Final Calculation Sheet'!$N$38="",IF($O$4="(nonblank)",'Final Calculation Sheet'!$N$38&lt;&gt;"",ISNUMBER(SEARCH($O$4,'Final Calculation Sheet'!$N$38))))),IF($P$4="",TRUE(),IF($P$4="(blank)",'Final Calculation Sheet'!$O$38="",IF($P$4="(nonblank)",'Final Calculation Sheet'!$O$38&lt;&gt;"",ISNUMBER(SEARCH($P$4,'Final Calculation Sheet'!$O$38))))),IF($Q$4="",TRUE(),IF($Q$4="(blank)",'Final Calculation Sheet'!$P$38="",IF($Q$4="(nonblank)",'Final Calculation Sheet'!$P$38&lt;&gt;"",ISNUMBER(SEARCH($Q$4,'Final Calculation Sheet'!$P$38))))),IF($R$4="",TRUE(),IF($R$4="(blank)",'Final Calculation Sheet'!$Q$38="",IF($R$4="(nonblank)",'Final Calculation Sheet'!$Q$38&lt;&gt;"",ISNUMBER(SEARCH($R$4,'Final Calculation Sheet'!$Q$38))))),IF($S$4="",TRUE(),IF($S$4="(blank)",'Final Calculation Sheet'!$R$38="",IF($S$4="(nonblank)",'Final Calculation Sheet'!$R$38&lt;&gt;"",ISNUMBER(SEARCH($S$4,'Final Calculation Sheet'!$R$38))))),IF($T$4="",TRUE(),IF($T$4="(blank)",'Final Calculation Sheet'!$S$38="",IF($T$4="(nonblank)",'Final Calculation Sheet'!$S$38&lt;&gt;"",ISNUMBER(SEARCH($T$4,'Final Calculation Sheet'!$S$38))))),IF($U$4="",TRUE(),IF($U$4="(blank)",'Final Calculation Sheet'!$T$38="",IF($U$4="(nonblank)",'Final Calculation Sheet'!$T$38&lt;&gt;"",ISNUMBER(SEARCH($U$4,'Final Calculation Sheet'!$T$38))))),IF($V$4="",TRUE(),IF($V$4="(blank)",'Final Calculation Sheet'!$U$38="",IF($V$4="(nonblank)",'Final Calculation Sheet'!$U$38&lt;&gt;"",ISNUMBER(SEARCH($V$4,'Final Calculation Sheet'!$U$38))))),IF($W$4="",TRUE(),IF($W$4="(blank)",'Final Calculation Sheet'!$V$38="",IF($W$4="(nonblank)",'Final Calculation Sheet'!$V$38&lt;&gt;"",ISNUMBER(SEARCH($W$4,'Final Calculation Sheet'!$V$38))))),IF($X$4="",TRUE(),IF($X$4="(blank)",'Final Calculation Sheet'!$W$38="",IF($X$4="(nonblank)",'Final Calculation Sheet'!$W$38&lt;&gt;"",ISNUMBER(SEARCH($X$4,'Final Calculation Sheet'!$W$38))))),IF($Y$4="",TRUE(),IF($Y$4="(blank)",'Final Calculation Sheet'!$X$38="",IF($Y$4="(nonblank)",'Final Calculation Sheet'!$X$38&lt;&gt;"",ISNUMBER(SEARCH($Y$4,'Final Calculation Sheet'!$X$38))))),IF($Z$4="",TRUE(),IF($Z$4="(blank)",'Final Calculation Sheet'!$Y$38="",IF($Z$4="(nonblank)",'Final Calculation Sheet'!$Y$38&lt;&gt;"",ISNUMBER(SEARCH($Z$4,'Final Calculation Sheet'!$Y$38))))),IF($AA$4="",TRUE(),IF($AA$4="(blank)",'Final Calculation Sheet'!$Z$38="",IF($AA$4="(nonblank)",'Final Calculation Sheet'!$Z$38&lt;&gt;"",ISNUMBER(SEARCH($AA$4,'Final Calculation Sheet'!$Z$38))))),IF($AB$4="",TRUE(),IF($AB$4="(blank)",'Final Calculation Sheet'!$AA$38="",IF($AB$4="(nonblank)",'Final Calculation Sheet'!$AA$38&lt;&gt;"",ISNUMBER(SEARCH($AB$4,'Final Calculation Sheet'!$AA$38))))),IF($AC$4="",TRUE(),IF($AC$4="(blank)",'Final Calculation Sheet'!$AB$38="",IF($AC$4="(nonblank)",'Final Calculation Sheet'!$AB$38&lt;&gt;"",ISNUMBER(SEARCH($AC$4,'Final Calculation Sheet'!$AB$38))))),IF($AD$4="",TRUE(),IF($AD$4="(blank)",'Final Calculation Sheet'!$AC$38="",IF($AD$4="(nonblank)",'Final Calculation Sheet'!$AC$38&lt;&gt;"",ISNUMBER(SEARCH($AD$4,'Final Calculation Sheet'!$AC$38))))),IF($AE$4="",TRUE(),IF($AE$4="(blank)",'Final Calculation Sheet'!$AD$38="",IF($AE$4="(nonblank)",'Final Calculation Sheet'!$AD$38&lt;&gt;"",ISNUMBER(SEARCH($AE$4,'Final Calculation Sheet'!$AD$38))))),IF($AG$4="",TRUE(),IF($AG$4="(blank)",'Final Calculation Sheet'!$AF$38="",IF($AG$4="(nonblank)",'Final Calculation Sheet'!$AF$38&lt;&gt;"",ISNUMBER(SEARCH($AG$4,'Final Calculation Sheet'!$AF$38))))),IF($AH$4="",TRUE(),IF($AH$4="(blank)",'Final Calculation Sheet'!$AG$38="",IF($AH$4="(nonblank)",'Final Calculation Sheet'!$AG$38&lt;&gt;"",ISNUMBER(SEARCH($AH$4,'Final Calculation Sheet'!$AG$38))))),IF($AI$4="",TRUE(),IF($AI$4="(blank)",'Final Calculation Sheet'!$AH$38="",IF($AI$4="(nonblank)",'Final Calculation Sheet'!$AH$38&lt;&gt;"",ISNUMBER(SEARCH($AI$4,'Final Calculation Sheet'!$AH$38))))),IF($AF$4="",TRUE(),IF($AF$4="(blank)",IF('Final Calculation Sheet'!$AD$38&lt;=5,"SETTLED","OUTSTANDING")="",IF($AF$4="(nonblank)",IF('Final Calculation Sheet'!$AD$38&lt;=5,"SETTLED","OUTSTANDING")&lt;&gt;"",ISNUMBER(SEARCH($AF$4,IF('Final Calculation Sheet'!$AD$38&lt;=5,"SETTLED","OUTSTANDING"))))))),1,0)</f>
      </c>
      <c r="AK14">
        <f>IF(AJ14=1,COUNTIF(AJ$7:AJ14,1),"")</f>
        <v/>
      </c>
    </row>
    <row r="15" ht="15" customHeight="1" s="137">
      <c r="A15" s="81" t="inlineStr">
        <is>
          <t>∑</t>
        </is>
      </c>
      <c r="B15" s="83" t="n"/>
      <c r="C15" s="83">
        <f>ROWS($C$14:$C$14)&amp;" lot(s)"</f>
        <v/>
      </c>
      <c r="D15" s="83" t="inlineStr">
        <is>
          <t>SUBTOTAL — KASHYAP TRADING CO</t>
        </is>
      </c>
      <c r="E15" s="83" t="inlineStr">
        <is>
          <t>–</t>
        </is>
      </c>
      <c r="F15" s="83">
        <f>SUM(F14:F14)</f>
        <v/>
      </c>
      <c r="G15" s="83" t="inlineStr">
        <is>
          <t>–</t>
        </is>
      </c>
      <c r="H15" s="84" t="inlineStr">
        <is>
          <t>–</t>
        </is>
      </c>
      <c r="I15" s="84">
        <f>SUM(I14:I14)</f>
        <v/>
      </c>
      <c r="J15" s="84">
        <f>SUM(J14:J14)</f>
        <v/>
      </c>
      <c r="K15" s="84">
        <f>SUM(K14:K14)</f>
        <v/>
      </c>
      <c r="L15" s="84">
        <f>SUM(L14:L14)</f>
        <v/>
      </c>
      <c r="M15" s="84">
        <f>SUM(M14:M14)</f>
        <v/>
      </c>
      <c r="N15" s="84">
        <f>SUM(N14:N14)</f>
        <v/>
      </c>
      <c r="O15" s="85">
        <f>SUM(O14:O14)</f>
        <v/>
      </c>
      <c r="P15" s="84">
        <f>SUM(P14:P14)</f>
        <v/>
      </c>
      <c r="Q15" s="84">
        <f>SUM(Q14:Q14)</f>
        <v/>
      </c>
      <c r="R15" s="86" t="inlineStr">
        <is>
          <t>–</t>
        </is>
      </c>
      <c r="S15" s="84">
        <f>SUM(S14:S14)</f>
        <v/>
      </c>
      <c r="T15" s="84">
        <f>SUM(T14:T14)</f>
        <v/>
      </c>
      <c r="U15" s="84">
        <f>SUM(U14:U14)</f>
        <v/>
      </c>
      <c r="V15" s="87">
        <f>SUM(V14:V14)</f>
        <v/>
      </c>
      <c r="W15" s="84" t="inlineStr">
        <is>
          <t>–</t>
        </is>
      </c>
      <c r="X15" s="84">
        <f>SUM(X14:X14)</f>
        <v/>
      </c>
      <c r="Y15" s="84">
        <f>SUM(Y14:Y14)</f>
        <v/>
      </c>
      <c r="Z15" s="84" t="inlineStr">
        <is>
          <t>–</t>
        </is>
      </c>
      <c r="AA15" s="84">
        <f>SUM(AA14:AA14)</f>
        <v/>
      </c>
      <c r="AB15" s="84">
        <f>SUM(AB14:AB14)</f>
        <v/>
      </c>
      <c r="AC15" s="84" t="inlineStr">
        <is>
          <t>–</t>
        </is>
      </c>
      <c r="AD15" s="84">
        <f>SUM(AD14:AD14)</f>
        <v/>
      </c>
      <c r="AE15" s="84">
        <f>SUM(AE14:AE14)</f>
        <v/>
      </c>
      <c r="AF15" s="89">
        <f>IF(AE15&lt;=5,"SETTLED","OUTSTANDING")</f>
        <v/>
      </c>
      <c r="AG15" s="84" t="inlineStr">
        <is>
          <t>–</t>
        </is>
      </c>
      <c r="AH15" s="88" t="inlineStr">
        <is>
          <t>–</t>
        </is>
      </c>
      <c r="AI15" s="84" t="inlineStr">
        <is>
          <t>–</t>
        </is>
      </c>
    </row>
    <row r="16" outlineLevel="1" ht="15" customHeight="1" s="137">
      <c r="A16" s="67" t="n">
        <v>1</v>
      </c>
      <c r="B16" s="76">
        <f>IF('Final Calculation Sheet'!$F$27="","",'Final Calculation Sheet'!$F$27)</f>
        <v/>
      </c>
      <c r="C16" s="76">
        <f>IF('Final Calculation Sheet'!$G$27="","",'Final Calculation Sheet'!$G$27)</f>
        <v/>
      </c>
      <c r="D16" s="80">
        <f>IF('Final Calculation Sheet'!$B$27="","",'Final Calculation Sheet'!$B$27)</f>
        <v/>
      </c>
      <c r="E16" s="80">
        <f>IF('Final Calculation Sheet'!$D$27="","",'Final Calculation Sheet'!$D$27)</f>
        <v/>
      </c>
      <c r="F16" s="80">
        <f>IF('Final Calculation Sheet'!$A$27="","",'Final Calculation Sheet'!$A$27)</f>
        <v/>
      </c>
      <c r="G16" s="80">
        <f>IF('Final Calculation Sheet'!$E$27="","",'Final Calculation Sheet'!$E$27)</f>
        <v/>
      </c>
      <c r="H16" s="70">
        <f>IF('Final Calculation Sheet'!$C$27="","",'Final Calculation Sheet'!$C$27)</f>
        <v/>
      </c>
      <c r="I16" s="70">
        <f>IF('Final Calculation Sheet'!$H$27="","",'Final Calculation Sheet'!$H$27)</f>
        <v/>
      </c>
      <c r="J16" s="70">
        <f>IF('Final Calculation Sheet'!$I$27="","",'Final Calculation Sheet'!$I$27)</f>
        <v/>
      </c>
      <c r="K16" s="70">
        <f>IF('Final Calculation Sheet'!$J$27="","",'Final Calculation Sheet'!$J$27)</f>
        <v/>
      </c>
      <c r="L16" s="70">
        <f>IF('Final Calculation Sheet'!$K$27="","",'Final Calculation Sheet'!$K$27)</f>
        <v/>
      </c>
      <c r="M16" s="70">
        <f>IF('Final Calculation Sheet'!$L$27="","",'Final Calculation Sheet'!$L$27)</f>
        <v/>
      </c>
      <c r="N16" s="70">
        <f>IF('Final Calculation Sheet'!$M$27="","",'Final Calculation Sheet'!$M$27)</f>
        <v/>
      </c>
      <c r="O16" s="71">
        <f>IF('Final Calculation Sheet'!$N$27="","",'Final Calculation Sheet'!$N$27)</f>
        <v/>
      </c>
      <c r="P16" s="70">
        <f>IF('Final Calculation Sheet'!$O$27="","",'Final Calculation Sheet'!$O$27)</f>
        <v/>
      </c>
      <c r="Q16" s="70">
        <f>IF('Final Calculation Sheet'!$P$27="","",'Final Calculation Sheet'!$P$27)</f>
        <v/>
      </c>
      <c r="R16" s="72">
        <f>IF('Final Calculation Sheet'!$Q$27="","",'Final Calculation Sheet'!$Q$27)</f>
        <v/>
      </c>
      <c r="S16" s="70">
        <f>IF('Final Calculation Sheet'!$R$27="","",'Final Calculation Sheet'!$R$27)</f>
        <v/>
      </c>
      <c r="T16" s="70">
        <f>IF('Final Calculation Sheet'!$S$27="","",'Final Calculation Sheet'!$S$27)</f>
        <v/>
      </c>
      <c r="U16" s="70">
        <f>IF('Final Calculation Sheet'!$T$27="","",'Final Calculation Sheet'!$T$27)</f>
        <v/>
      </c>
      <c r="V16" s="73">
        <f>IF('Final Calculation Sheet'!$U$27="","",'Final Calculation Sheet'!$U$27)</f>
        <v/>
      </c>
      <c r="W16" s="70">
        <f>IF('Final Calculation Sheet'!$V$27="","",'Final Calculation Sheet'!$V$27)</f>
        <v/>
      </c>
      <c r="X16" s="70">
        <f>IF('Final Calculation Sheet'!$W$27="","",'Final Calculation Sheet'!$W$27)</f>
        <v/>
      </c>
      <c r="Y16" s="70">
        <f>IF('Final Calculation Sheet'!$X$27="","",'Final Calculation Sheet'!$X$27)</f>
        <v/>
      </c>
      <c r="Z16" s="70">
        <f>IF('Final Calculation Sheet'!$Y$27="","",'Final Calculation Sheet'!$Y$27)</f>
        <v/>
      </c>
      <c r="AA16" s="70">
        <f>IF('Final Calculation Sheet'!$Z$27="","",'Final Calculation Sheet'!$Z$27)</f>
        <v/>
      </c>
      <c r="AB16" s="70">
        <f>IF('Final Calculation Sheet'!$AA$27="","",'Final Calculation Sheet'!$AA$27)</f>
        <v/>
      </c>
      <c r="AC16" s="70">
        <f>IF('Final Calculation Sheet'!$AB$27="","",'Final Calculation Sheet'!$AB$27)</f>
        <v/>
      </c>
      <c r="AD16" s="70">
        <f>IF('Final Calculation Sheet'!$AC$27="","",'Final Calculation Sheet'!$AC$27)</f>
        <v/>
      </c>
      <c r="AE16" s="70">
        <f>IF('Final Calculation Sheet'!$AD$27="","",'Final Calculation Sheet'!$AD$27)</f>
        <v/>
      </c>
      <c r="AF16" s="75">
        <f>IF('Final Calculation Sheet'!$AD$27="","",IF('Final Calculation Sheet'!$AD$27&lt;=5,"SETTLED","OUTSTANDING"))</f>
        <v/>
      </c>
      <c r="AG16" s="70">
        <f>IF('Final Calculation Sheet'!$AF$27="","",'Final Calculation Sheet'!$AF$27)</f>
        <v/>
      </c>
      <c r="AH16" s="74">
        <f>IF('Final Calculation Sheet'!$AG$27="","",'Final Calculation Sheet'!$AG$27)</f>
        <v/>
      </c>
      <c r="AI16" s="70">
        <f>IF('Final Calculation Sheet'!$AH$27="","",'Final Calculation Sheet'!$AH$27)</f>
        <v/>
      </c>
      <c r="AJ16">
        <f>IF(AND(IF($B$4="",TRUE(),IF($B$4="(blank)",'Final Calculation Sheet'!$F$27="",IF($B$4="(nonblank)",'Final Calculation Sheet'!$F$27&lt;&gt;"",ISNUMBER(SEARCH($B$4,'Final Calculation Sheet'!$F$27))))),IF($C$4="",TRUE(),IF($C$4="(blank)",'Final Calculation Sheet'!$G$27="",IF($C$4="(nonblank)",'Final Calculation Sheet'!$G$27&lt;&gt;"",ISNUMBER(SEARCH($C$4,'Final Calculation Sheet'!$G$27))))),IF($D$4="",TRUE(),IF($D$4="(blank)",'Final Calculation Sheet'!$B$27="",IF($D$4="(nonblank)",'Final Calculation Sheet'!$B$27&lt;&gt;"",ISNUMBER(SEARCH($D$4,'Final Calculation Sheet'!$B$27))))),IF($E$4="",TRUE(),IF($E$4="(blank)",'Final Calculation Sheet'!$D$27="",IF($E$4="(nonblank)",'Final Calculation Sheet'!$D$27&lt;&gt;"",ISNUMBER(SEARCH($E$4,'Final Calculation Sheet'!$D$27))))),IF($F$4="",TRUE(),IF($F$4="(blank)",'Final Calculation Sheet'!$A$27="",IF($F$4="(nonblank)",'Final Calculation Sheet'!$A$27&lt;&gt;"",ISNUMBER(SEARCH($F$4,'Final Calculation Sheet'!$A$27))))),IF($G$4="",TRUE(),IF($G$4="(blank)",'Final Calculation Sheet'!$E$27="",IF($G$4="(nonblank)",'Final Calculation Sheet'!$E$27&lt;&gt;"",ISNUMBER(SEARCH($G$4,'Final Calculation Sheet'!$E$27))))),IF($H$4="",TRUE(),IF($H$4="(blank)",'Final Calculation Sheet'!$C$27="",IF($H$4="(nonblank)",'Final Calculation Sheet'!$C$27&lt;&gt;"",ISNUMBER(SEARCH($H$4,'Final Calculation Sheet'!$C$27))))),IF($I$4="",TRUE(),IF($I$4="(blank)",'Final Calculation Sheet'!$H$27="",IF($I$4="(nonblank)",'Final Calculation Sheet'!$H$27&lt;&gt;"",ISNUMBER(SEARCH($I$4,'Final Calculation Sheet'!$H$27))))),IF($J$4="",TRUE(),IF($J$4="(blank)",'Final Calculation Sheet'!$I$27="",IF($J$4="(nonblank)",'Final Calculation Sheet'!$I$27&lt;&gt;"",ISNUMBER(SEARCH($J$4,'Final Calculation Sheet'!$I$27))))),IF($K$4="",TRUE(),IF($K$4="(blank)",'Final Calculation Sheet'!$J$27="",IF($K$4="(nonblank)",'Final Calculation Sheet'!$J$27&lt;&gt;"",ISNUMBER(SEARCH($K$4,'Final Calculation Sheet'!$J$27))))),IF($L$4="",TRUE(),IF($L$4="(blank)",'Final Calculation Sheet'!$K$27="",IF($L$4="(nonblank)",'Final Calculation Sheet'!$K$27&lt;&gt;"",ISNUMBER(SEARCH($L$4,'Final Calculation Sheet'!$K$27))))),IF($M$4="",TRUE(),IF($M$4="(blank)",'Final Calculation Sheet'!$L$27="",IF($M$4="(nonblank)",'Final Calculation Sheet'!$L$27&lt;&gt;"",ISNUMBER(SEARCH($M$4,'Final Calculation Sheet'!$L$27))))),IF($N$4="",TRUE(),IF($N$4="(blank)",'Final Calculation Sheet'!$M$27="",IF($N$4="(nonblank)",'Final Calculation Sheet'!$M$27&lt;&gt;"",ISNUMBER(SEARCH($N$4,'Final Calculation Sheet'!$M$27))))),IF($O$4="",TRUE(),IF($O$4="(blank)",'Final Calculation Sheet'!$N$27="",IF($O$4="(nonblank)",'Final Calculation Sheet'!$N$27&lt;&gt;"",ISNUMBER(SEARCH($O$4,'Final Calculation Sheet'!$N$27))))),IF($P$4="",TRUE(),IF($P$4="(blank)",'Final Calculation Sheet'!$O$27="",IF($P$4="(nonblank)",'Final Calculation Sheet'!$O$27&lt;&gt;"",ISNUMBER(SEARCH($P$4,'Final Calculation Sheet'!$O$27))))),IF($Q$4="",TRUE(),IF($Q$4="(blank)",'Final Calculation Sheet'!$P$27="",IF($Q$4="(nonblank)",'Final Calculation Sheet'!$P$27&lt;&gt;"",ISNUMBER(SEARCH($Q$4,'Final Calculation Sheet'!$P$27))))),IF($R$4="",TRUE(),IF($R$4="(blank)",'Final Calculation Sheet'!$Q$27="",IF($R$4="(nonblank)",'Final Calculation Sheet'!$Q$27&lt;&gt;"",ISNUMBER(SEARCH($R$4,'Final Calculation Sheet'!$Q$27))))),IF($S$4="",TRUE(),IF($S$4="(blank)",'Final Calculation Sheet'!$R$27="",IF($S$4="(nonblank)",'Final Calculation Sheet'!$R$27&lt;&gt;"",ISNUMBER(SEARCH($S$4,'Final Calculation Sheet'!$R$27))))),IF($T$4="",TRUE(),IF($T$4="(blank)",'Final Calculation Sheet'!$S$27="",IF($T$4="(nonblank)",'Final Calculation Sheet'!$S$27&lt;&gt;"",ISNUMBER(SEARCH($T$4,'Final Calculation Sheet'!$S$27))))),IF($U$4="",TRUE(),IF($U$4="(blank)",'Final Calculation Sheet'!$T$27="",IF($U$4="(nonblank)",'Final Calculation Sheet'!$T$27&lt;&gt;"",ISNUMBER(SEARCH($U$4,'Final Calculation Sheet'!$T$27))))),IF($V$4="",TRUE(),IF($V$4="(blank)",'Final Calculation Sheet'!$U$27="",IF($V$4="(nonblank)",'Final Calculation Sheet'!$U$27&lt;&gt;"",ISNUMBER(SEARCH($V$4,'Final Calculation Sheet'!$U$27))))),IF($W$4="",TRUE(),IF($W$4="(blank)",'Final Calculation Sheet'!$V$27="",IF($W$4="(nonblank)",'Final Calculation Sheet'!$V$27&lt;&gt;"",ISNUMBER(SEARCH($W$4,'Final Calculation Sheet'!$V$27))))),IF($X$4="",TRUE(),IF($X$4="(blank)",'Final Calculation Sheet'!$W$27="",IF($X$4="(nonblank)",'Final Calculation Sheet'!$W$27&lt;&gt;"",ISNUMBER(SEARCH($X$4,'Final Calculation Sheet'!$W$27))))),IF($Y$4="",TRUE(),IF($Y$4="(blank)",'Final Calculation Sheet'!$X$27="",IF($Y$4="(nonblank)",'Final Calculation Sheet'!$X$27&lt;&gt;"",ISNUMBER(SEARCH($Y$4,'Final Calculation Sheet'!$X$27))))),IF($Z$4="",TRUE(),IF($Z$4="(blank)",'Final Calculation Sheet'!$Y$27="",IF($Z$4="(nonblank)",'Final Calculation Sheet'!$Y$27&lt;&gt;"",ISNUMBER(SEARCH($Z$4,'Final Calculation Sheet'!$Y$27))))),IF($AA$4="",TRUE(),IF($AA$4="(blank)",'Final Calculation Sheet'!$Z$27="",IF($AA$4="(nonblank)",'Final Calculation Sheet'!$Z$27&lt;&gt;"",ISNUMBER(SEARCH($AA$4,'Final Calculation Sheet'!$Z$27))))),IF($AB$4="",TRUE(),IF($AB$4="(blank)",'Final Calculation Sheet'!$AA$27="",IF($AB$4="(nonblank)",'Final Calculation Sheet'!$AA$27&lt;&gt;"",ISNUMBER(SEARCH($AB$4,'Final Calculation Sheet'!$AA$27))))),IF($AC$4="",TRUE(),IF($AC$4="(blank)",'Final Calculation Sheet'!$AB$27="",IF($AC$4="(nonblank)",'Final Calculation Sheet'!$AB$27&lt;&gt;"",ISNUMBER(SEARCH($AC$4,'Final Calculation Sheet'!$AB$27))))),IF($AD$4="",TRUE(),IF($AD$4="(blank)",'Final Calculation Sheet'!$AC$27="",IF($AD$4="(nonblank)",'Final Calculation Sheet'!$AC$27&lt;&gt;"",ISNUMBER(SEARCH($AD$4,'Final Calculation Sheet'!$AC$27))))),IF($AE$4="",TRUE(),IF($AE$4="(blank)",'Final Calculation Sheet'!$AD$27="",IF($AE$4="(nonblank)",'Final Calculation Sheet'!$AD$27&lt;&gt;"",ISNUMBER(SEARCH($AE$4,'Final Calculation Sheet'!$AD$27))))),IF($AG$4="",TRUE(),IF($AG$4="(blank)",'Final Calculation Sheet'!$AF$27="",IF($AG$4="(nonblank)",'Final Calculation Sheet'!$AF$27&lt;&gt;"",ISNUMBER(SEARCH($AG$4,'Final Calculation Sheet'!$AF$27))))),IF($AH$4="",TRUE(),IF($AH$4="(blank)",'Final Calculation Sheet'!$AG$27="",IF($AH$4="(nonblank)",'Final Calculation Sheet'!$AG$27&lt;&gt;"",ISNUMBER(SEARCH($AH$4,'Final Calculation Sheet'!$AG$27))))),IF($AI$4="",TRUE(),IF($AI$4="(blank)",'Final Calculation Sheet'!$AH$27="",IF($AI$4="(nonblank)",'Final Calculation Sheet'!$AH$27&lt;&gt;"",ISNUMBER(SEARCH($AI$4,'Final Calculation Sheet'!$AH$27))))),IF($AF$4="",TRUE(),IF($AF$4="(blank)",IF('Final Calculation Sheet'!$AD$27&lt;=5,"SETTLED","OUTSTANDING")="",IF($AF$4="(nonblank)",IF('Final Calculation Sheet'!$AD$27&lt;=5,"SETTLED","OUTSTANDING")&lt;&gt;"",ISNUMBER(SEARCH($AF$4,IF('Final Calculation Sheet'!$AD$27&lt;=5,"SETTLED","OUTSTANDING"))))))),1,0)</f>
      </c>
      <c r="AK16">
        <f>IF(AJ16=1,COUNTIF(AJ$7:AJ16,1),"")</f>
        <v/>
      </c>
    </row>
    <row r="17" ht="15" customHeight="1" s="137">
      <c r="A17" s="81" t="inlineStr">
        <is>
          <t>∑</t>
        </is>
      </c>
      <c r="B17" s="83" t="n"/>
      <c r="C17" s="83">
        <f>ROWS($C$16:$C$16)&amp;" lot(s)"</f>
        <v/>
      </c>
      <c r="D17" s="83" t="inlineStr">
        <is>
          <t>SUBTOTAL — M I SCRAP TRADERS</t>
        </is>
      </c>
      <c r="E17" s="83" t="inlineStr">
        <is>
          <t>–</t>
        </is>
      </c>
      <c r="F17" s="83">
        <f>SUM(F16:F16)</f>
        <v/>
      </c>
      <c r="G17" s="83" t="inlineStr">
        <is>
          <t>–</t>
        </is>
      </c>
      <c r="H17" s="84" t="inlineStr">
        <is>
          <t>–</t>
        </is>
      </c>
      <c r="I17" s="84">
        <f>SUM(I16:I16)</f>
        <v/>
      </c>
      <c r="J17" s="84">
        <f>SUM(J16:J16)</f>
        <v/>
      </c>
      <c r="K17" s="84">
        <f>SUM(K16:K16)</f>
        <v/>
      </c>
      <c r="L17" s="84">
        <f>SUM(L16:L16)</f>
        <v/>
      </c>
      <c r="M17" s="84">
        <f>SUM(M16:M16)</f>
        <v/>
      </c>
      <c r="N17" s="84">
        <f>SUM(N16:N16)</f>
        <v/>
      </c>
      <c r="O17" s="85">
        <f>SUM(O16:O16)</f>
        <v/>
      </c>
      <c r="P17" s="84">
        <f>SUM(P16:P16)</f>
        <v/>
      </c>
      <c r="Q17" s="84">
        <f>SUM(Q16:Q16)</f>
        <v/>
      </c>
      <c r="R17" s="86" t="inlineStr">
        <is>
          <t>–</t>
        </is>
      </c>
      <c r="S17" s="84">
        <f>SUM(S16:S16)</f>
        <v/>
      </c>
      <c r="T17" s="84">
        <f>SUM(T16:T16)</f>
        <v/>
      </c>
      <c r="U17" s="84">
        <f>SUM(U16:U16)</f>
        <v/>
      </c>
      <c r="V17" s="87">
        <f>SUM(V16:V16)</f>
        <v/>
      </c>
      <c r="W17" s="84" t="inlineStr">
        <is>
          <t>–</t>
        </is>
      </c>
      <c r="X17" s="84">
        <f>SUM(X16:X16)</f>
        <v/>
      </c>
      <c r="Y17" s="84">
        <f>SUM(Y16:Y16)</f>
        <v/>
      </c>
      <c r="Z17" s="84" t="inlineStr">
        <is>
          <t>–</t>
        </is>
      </c>
      <c r="AA17" s="84">
        <f>SUM(AA16:AA16)</f>
        <v/>
      </c>
      <c r="AB17" s="84">
        <f>SUM(AB16:AB16)</f>
        <v/>
      </c>
      <c r="AC17" s="84" t="inlineStr">
        <is>
          <t>–</t>
        </is>
      </c>
      <c r="AD17" s="84">
        <f>SUM(AD16:AD16)</f>
        <v/>
      </c>
      <c r="AE17" s="84">
        <f>SUM(AE16:AE16)</f>
        <v/>
      </c>
      <c r="AF17" s="89">
        <f>IF(AE17&lt;=5,"SETTLED","OUTSTANDING")</f>
        <v/>
      </c>
      <c r="AG17" s="84" t="inlineStr">
        <is>
          <t>–</t>
        </is>
      </c>
      <c r="AH17" s="88" t="inlineStr">
        <is>
          <t>–</t>
        </is>
      </c>
      <c r="AI17" s="84" t="inlineStr">
        <is>
          <t>–</t>
        </is>
      </c>
    </row>
    <row r="18" outlineLevel="1" ht="15" customHeight="1" s="137">
      <c r="A18" s="67" t="n">
        <v>1</v>
      </c>
      <c r="B18" s="76">
        <f>IF('Final Calculation Sheet'!$F$5="","",'Final Calculation Sheet'!$F$5)</f>
        <v/>
      </c>
      <c r="C18" s="76">
        <f>IF('Final Calculation Sheet'!$G$5="","",'Final Calculation Sheet'!$G$5)</f>
        <v/>
      </c>
      <c r="D18" s="80">
        <f>IF('Final Calculation Sheet'!$B$5="","",'Final Calculation Sheet'!$B$5)</f>
        <v/>
      </c>
      <c r="E18" s="80">
        <f>IF('Final Calculation Sheet'!$D$5="","",'Final Calculation Sheet'!$D$5)</f>
        <v/>
      </c>
      <c r="F18" s="80">
        <f>IF('Final Calculation Sheet'!$A$5="","",'Final Calculation Sheet'!$A$5)</f>
        <v/>
      </c>
      <c r="G18" s="80">
        <f>IF('Final Calculation Sheet'!$E$5="","",'Final Calculation Sheet'!$E$5)</f>
        <v/>
      </c>
      <c r="H18" s="70">
        <f>IF('Final Calculation Sheet'!$C$5="","",'Final Calculation Sheet'!$C$5)</f>
        <v/>
      </c>
      <c r="I18" s="70">
        <f>IF('Final Calculation Sheet'!$H$5="","",'Final Calculation Sheet'!$H$5)</f>
        <v/>
      </c>
      <c r="J18" s="70">
        <f>IF('Final Calculation Sheet'!$I$5="","",'Final Calculation Sheet'!$I$5)</f>
        <v/>
      </c>
      <c r="K18" s="70">
        <f>IF('Final Calculation Sheet'!$J$5="","",'Final Calculation Sheet'!$J$5)</f>
        <v/>
      </c>
      <c r="L18" s="70">
        <f>IF('Final Calculation Sheet'!$K$5="","",'Final Calculation Sheet'!$K$5)</f>
        <v/>
      </c>
      <c r="M18" s="70">
        <f>IF('Final Calculation Sheet'!$L$5="","",'Final Calculation Sheet'!$L$5)</f>
        <v/>
      </c>
      <c r="N18" s="70">
        <f>IF('Final Calculation Sheet'!$M$5="","",'Final Calculation Sheet'!$M$5)</f>
        <v/>
      </c>
      <c r="O18" s="71">
        <f>IF('Final Calculation Sheet'!$N$5="","",'Final Calculation Sheet'!$N$5)</f>
        <v/>
      </c>
      <c r="P18" s="70">
        <f>IF('Final Calculation Sheet'!$O$5="","",'Final Calculation Sheet'!$O$5)</f>
        <v/>
      </c>
      <c r="Q18" s="70">
        <f>IF('Final Calculation Sheet'!$P$5="","",'Final Calculation Sheet'!$P$5)</f>
        <v/>
      </c>
      <c r="R18" s="72">
        <f>IF('Final Calculation Sheet'!$Q$5="","",'Final Calculation Sheet'!$Q$5)</f>
        <v/>
      </c>
      <c r="S18" s="70">
        <f>IF('Final Calculation Sheet'!$R$5="","",'Final Calculation Sheet'!$R$5)</f>
        <v/>
      </c>
      <c r="T18" s="70">
        <f>IF('Final Calculation Sheet'!$S$5="","",'Final Calculation Sheet'!$S$5)</f>
        <v/>
      </c>
      <c r="U18" s="70">
        <f>IF('Final Calculation Sheet'!$T$5="","",'Final Calculation Sheet'!$T$5)</f>
        <v/>
      </c>
      <c r="V18" s="73">
        <f>IF('Final Calculation Sheet'!$U$5="","",'Final Calculation Sheet'!$U$5)</f>
        <v/>
      </c>
      <c r="W18" s="70">
        <f>IF('Final Calculation Sheet'!$V$5="","",'Final Calculation Sheet'!$V$5)</f>
        <v/>
      </c>
      <c r="X18" s="70">
        <f>IF('Final Calculation Sheet'!$W$5="","",'Final Calculation Sheet'!$W$5)</f>
        <v/>
      </c>
      <c r="Y18" s="70">
        <f>IF('Final Calculation Sheet'!$X$5="","",'Final Calculation Sheet'!$X$5)</f>
        <v/>
      </c>
      <c r="Z18" s="70">
        <f>IF('Final Calculation Sheet'!$Y$5="","",'Final Calculation Sheet'!$Y$5)</f>
        <v/>
      </c>
      <c r="AA18" s="70">
        <f>IF('Final Calculation Sheet'!$Z$5="","",'Final Calculation Sheet'!$Z$5)</f>
        <v/>
      </c>
      <c r="AB18" s="70">
        <f>IF('Final Calculation Sheet'!$AA$5="","",'Final Calculation Sheet'!$AA$5)</f>
        <v/>
      </c>
      <c r="AC18" s="70">
        <f>IF('Final Calculation Sheet'!$AB$5="","",'Final Calculation Sheet'!$AB$5)</f>
        <v/>
      </c>
      <c r="AD18" s="70">
        <f>IF('Final Calculation Sheet'!$AC$5="","",'Final Calculation Sheet'!$AC$5)</f>
        <v/>
      </c>
      <c r="AE18" s="70">
        <f>IF('Final Calculation Sheet'!$AD$5="","",'Final Calculation Sheet'!$AD$5)</f>
        <v/>
      </c>
      <c r="AF18" s="75">
        <f>IF('Final Calculation Sheet'!$AD$5="","",IF('Final Calculation Sheet'!$AD$5&lt;=5,"SETTLED","OUTSTANDING"))</f>
        <v/>
      </c>
      <c r="AG18" s="70">
        <f>IF('Final Calculation Sheet'!$AF$5="","",'Final Calculation Sheet'!$AF$5)</f>
        <v/>
      </c>
      <c r="AH18" s="74">
        <f>IF('Final Calculation Sheet'!$AG$5="","",'Final Calculation Sheet'!$AG$5)</f>
        <v/>
      </c>
      <c r="AI18" s="70">
        <f>IF('Final Calculation Sheet'!$AH$5="","",'Final Calculation Sheet'!$AH$5)</f>
        <v/>
      </c>
      <c r="AJ18">
        <f>IF(AND(IF($B$4="",TRUE(),IF($B$4="(blank)",'Final Calculation Sheet'!$F$5="",IF($B$4="(nonblank)",'Final Calculation Sheet'!$F$5&lt;&gt;"",ISNUMBER(SEARCH($B$4,'Final Calculation Sheet'!$F$5))))),IF($C$4="",TRUE(),IF($C$4="(blank)",'Final Calculation Sheet'!$G$5="",IF($C$4="(nonblank)",'Final Calculation Sheet'!$G$5&lt;&gt;"",ISNUMBER(SEARCH($C$4,'Final Calculation Sheet'!$G$5))))),IF($D$4="",TRUE(),IF($D$4="(blank)",'Final Calculation Sheet'!$B$5="",IF($D$4="(nonblank)",'Final Calculation Sheet'!$B$5&lt;&gt;"",ISNUMBER(SEARCH($D$4,'Final Calculation Sheet'!$B$5))))),IF($E$4="",TRUE(),IF($E$4="(blank)",'Final Calculation Sheet'!$D$5="",IF($E$4="(nonblank)",'Final Calculation Sheet'!$D$5&lt;&gt;"",ISNUMBER(SEARCH($E$4,'Final Calculation Sheet'!$D$5))))),IF($F$4="",TRUE(),IF($F$4="(blank)",'Final Calculation Sheet'!$A$5="",IF($F$4="(nonblank)",'Final Calculation Sheet'!$A$5&lt;&gt;"",ISNUMBER(SEARCH($F$4,'Final Calculation Sheet'!$A$5))))),IF($G$4="",TRUE(),IF($G$4="(blank)",'Final Calculation Sheet'!$E$5="",IF($G$4="(nonblank)",'Final Calculation Sheet'!$E$5&lt;&gt;"",ISNUMBER(SEARCH($G$4,'Final Calculation Sheet'!$E$5))))),IF($H$4="",TRUE(),IF($H$4="(blank)",'Final Calculation Sheet'!$C$5="",IF($H$4="(nonblank)",'Final Calculation Sheet'!$C$5&lt;&gt;"",ISNUMBER(SEARCH($H$4,'Final Calculation Sheet'!$C$5))))),IF($I$4="",TRUE(),IF($I$4="(blank)",'Final Calculation Sheet'!$H$5="",IF($I$4="(nonblank)",'Final Calculation Sheet'!$H$5&lt;&gt;"",ISNUMBER(SEARCH($I$4,'Final Calculation Sheet'!$H$5))))),IF($J$4="",TRUE(),IF($J$4="(blank)",'Final Calculation Sheet'!$I$5="",IF($J$4="(nonblank)",'Final Calculation Sheet'!$I$5&lt;&gt;"",ISNUMBER(SEARCH($J$4,'Final Calculation Sheet'!$I$5))))),IF($K$4="",TRUE(),IF($K$4="(blank)",'Final Calculation Sheet'!$J$5="",IF($K$4="(nonblank)",'Final Calculation Sheet'!$J$5&lt;&gt;"",ISNUMBER(SEARCH($K$4,'Final Calculation Sheet'!$J$5))))),IF($L$4="",TRUE(),IF($L$4="(blank)",'Final Calculation Sheet'!$K$5="",IF($L$4="(nonblank)",'Final Calculation Sheet'!$K$5&lt;&gt;"",ISNUMBER(SEARCH($L$4,'Final Calculation Sheet'!$K$5))))),IF($M$4="",TRUE(),IF($M$4="(blank)",'Final Calculation Sheet'!$L$5="",IF($M$4="(nonblank)",'Final Calculation Sheet'!$L$5&lt;&gt;"",ISNUMBER(SEARCH($M$4,'Final Calculation Sheet'!$L$5))))),IF($N$4="",TRUE(),IF($N$4="(blank)",'Final Calculation Sheet'!$M$5="",IF($N$4="(nonblank)",'Final Calculation Sheet'!$M$5&lt;&gt;"",ISNUMBER(SEARCH($N$4,'Final Calculation Sheet'!$M$5))))),IF($O$4="",TRUE(),IF($O$4="(blank)",'Final Calculation Sheet'!$N$5="",IF($O$4="(nonblank)",'Final Calculation Sheet'!$N$5&lt;&gt;"",ISNUMBER(SEARCH($O$4,'Final Calculation Sheet'!$N$5))))),IF($P$4="",TRUE(),IF($P$4="(blank)",'Final Calculation Sheet'!$O$5="",IF($P$4="(nonblank)",'Final Calculation Sheet'!$O$5&lt;&gt;"",ISNUMBER(SEARCH($P$4,'Final Calculation Sheet'!$O$5))))),IF($Q$4="",TRUE(),IF($Q$4="(blank)",'Final Calculation Sheet'!$P$5="",IF($Q$4="(nonblank)",'Final Calculation Sheet'!$P$5&lt;&gt;"",ISNUMBER(SEARCH($Q$4,'Final Calculation Sheet'!$P$5))))),IF($R$4="",TRUE(),IF($R$4="(blank)",'Final Calculation Sheet'!$Q$5="",IF($R$4="(nonblank)",'Final Calculation Sheet'!$Q$5&lt;&gt;"",ISNUMBER(SEARCH($R$4,'Final Calculation Sheet'!$Q$5))))),IF($S$4="",TRUE(),IF($S$4="(blank)",'Final Calculation Sheet'!$R$5="",IF($S$4="(nonblank)",'Final Calculation Sheet'!$R$5&lt;&gt;"",ISNUMBER(SEARCH($S$4,'Final Calculation Sheet'!$R$5))))),IF($T$4="",TRUE(),IF($T$4="(blank)",'Final Calculation Sheet'!$S$5="",IF($T$4="(nonblank)",'Final Calculation Sheet'!$S$5&lt;&gt;"",ISNUMBER(SEARCH($T$4,'Final Calculation Sheet'!$S$5))))),IF($U$4="",TRUE(),IF($U$4="(blank)",'Final Calculation Sheet'!$T$5="",IF($U$4="(nonblank)",'Final Calculation Sheet'!$T$5&lt;&gt;"",ISNUMBER(SEARCH($U$4,'Final Calculation Sheet'!$T$5))))),IF($V$4="",TRUE(),IF($V$4="(blank)",'Final Calculation Sheet'!$U$5="",IF($V$4="(nonblank)",'Final Calculation Sheet'!$U$5&lt;&gt;"",ISNUMBER(SEARCH($V$4,'Final Calculation Sheet'!$U$5))))),IF($W$4="",TRUE(),IF($W$4="(blank)",'Final Calculation Sheet'!$V$5="",IF($W$4="(nonblank)",'Final Calculation Sheet'!$V$5&lt;&gt;"",ISNUMBER(SEARCH($W$4,'Final Calculation Sheet'!$V$5))))),IF($X$4="",TRUE(),IF($X$4="(blank)",'Final Calculation Sheet'!$W$5="",IF($X$4="(nonblank)",'Final Calculation Sheet'!$W$5&lt;&gt;"",ISNUMBER(SEARCH($X$4,'Final Calculation Sheet'!$W$5))))),IF($Y$4="",TRUE(),IF($Y$4="(blank)",'Final Calculation Sheet'!$X$5="",IF($Y$4="(nonblank)",'Final Calculation Sheet'!$X$5&lt;&gt;"",ISNUMBER(SEARCH($Y$4,'Final Calculation Sheet'!$X$5))))),IF($Z$4="",TRUE(),IF($Z$4="(blank)",'Final Calculation Sheet'!$Y$5="",IF($Z$4="(nonblank)",'Final Calculation Sheet'!$Y$5&lt;&gt;"",ISNUMBER(SEARCH($Z$4,'Final Calculation Sheet'!$Y$5))))),IF($AA$4="",TRUE(),IF($AA$4="(blank)",'Final Calculation Sheet'!$Z$5="",IF($AA$4="(nonblank)",'Final Calculation Sheet'!$Z$5&lt;&gt;"",ISNUMBER(SEARCH($AA$4,'Final Calculation Sheet'!$Z$5))))),IF($AB$4="",TRUE(),IF($AB$4="(blank)",'Final Calculation Sheet'!$AA$5="",IF($AB$4="(nonblank)",'Final Calculation Sheet'!$AA$5&lt;&gt;"",ISNUMBER(SEARCH($AB$4,'Final Calculation Sheet'!$AA$5))))),IF($AC$4="",TRUE(),IF($AC$4="(blank)",'Final Calculation Sheet'!$AB$5="",IF($AC$4="(nonblank)",'Final Calculation Sheet'!$AB$5&lt;&gt;"",ISNUMBER(SEARCH($AC$4,'Final Calculation Sheet'!$AB$5))))),IF($AD$4="",TRUE(),IF($AD$4="(blank)",'Final Calculation Sheet'!$AC$5="",IF($AD$4="(nonblank)",'Final Calculation Sheet'!$AC$5&lt;&gt;"",ISNUMBER(SEARCH($AD$4,'Final Calculation Sheet'!$AC$5))))),IF($AE$4="",TRUE(),IF($AE$4="(blank)",'Final Calculation Sheet'!$AD$5="",IF($AE$4="(nonblank)",'Final Calculation Sheet'!$AD$5&lt;&gt;"",ISNUMBER(SEARCH($AE$4,'Final Calculation Sheet'!$AD$5))))),IF($AG$4="",TRUE(),IF($AG$4="(blank)",'Final Calculation Sheet'!$AF$5="",IF($AG$4="(nonblank)",'Final Calculation Sheet'!$AF$5&lt;&gt;"",ISNUMBER(SEARCH($AG$4,'Final Calculation Sheet'!$AF$5))))),IF($AH$4="",TRUE(),IF($AH$4="(blank)",'Final Calculation Sheet'!$AG$5="",IF($AH$4="(nonblank)",'Final Calculation Sheet'!$AG$5&lt;&gt;"",ISNUMBER(SEARCH($AH$4,'Final Calculation Sheet'!$AG$5))))),IF($AI$4="",TRUE(),IF($AI$4="(blank)",'Final Calculation Sheet'!$AH$5="",IF($AI$4="(nonblank)",'Final Calculation Sheet'!$AH$5&lt;&gt;"",ISNUMBER(SEARCH($AI$4,'Final Calculation Sheet'!$AH$5))))),IF($AF$4="",TRUE(),IF($AF$4="(blank)",IF('Final Calculation Sheet'!$AD$5&lt;=5,"SETTLED","OUTSTANDING")="",IF($AF$4="(nonblank)",IF('Final Calculation Sheet'!$AD$5&lt;=5,"SETTLED","OUTSTANDING")&lt;&gt;"",ISNUMBER(SEARCH($AF$4,IF('Final Calculation Sheet'!$AD$5&lt;=5,"SETTLED","OUTSTANDING"))))))),1,0)</f>
      </c>
      <c r="AK18">
        <f>IF(AJ18=1,COUNTIF(AJ$7:AJ18,1),"")</f>
        <v/>
      </c>
    </row>
    <row r="19" outlineLevel="1" ht="15" customHeight="1" s="137">
      <c r="A19" s="90" t="n">
        <v>2</v>
      </c>
      <c r="B19" s="92">
        <f>IF('Final Calculation Sheet'!$F$10="","",'Final Calculation Sheet'!$F$10)</f>
        <v/>
      </c>
      <c r="C19" s="92">
        <f>IF('Final Calculation Sheet'!$G$10="","",'Final Calculation Sheet'!$G$10)</f>
        <v/>
      </c>
      <c r="D19" s="94">
        <f>IF('Final Calculation Sheet'!$B$10="","",'Final Calculation Sheet'!$B$10)</f>
        <v/>
      </c>
      <c r="E19" s="94">
        <f>IF('Final Calculation Sheet'!$D$10="","",'Final Calculation Sheet'!$D$10)</f>
        <v/>
      </c>
      <c r="F19" s="94">
        <f>IF('Final Calculation Sheet'!$A$10="","",'Final Calculation Sheet'!$A$10)</f>
        <v/>
      </c>
      <c r="G19" s="94">
        <f>IF('Final Calculation Sheet'!$E$10="","",'Final Calculation Sheet'!$E$10)</f>
        <v/>
      </c>
      <c r="H19" s="95">
        <f>IF('Final Calculation Sheet'!$C$10="","",'Final Calculation Sheet'!$C$10)</f>
        <v/>
      </c>
      <c r="I19" s="95">
        <f>IF('Final Calculation Sheet'!$H$10="","",'Final Calculation Sheet'!$H$10)</f>
        <v/>
      </c>
      <c r="J19" s="95">
        <f>IF('Final Calculation Sheet'!$I$10="","",'Final Calculation Sheet'!$I$10)</f>
        <v/>
      </c>
      <c r="K19" s="95">
        <f>IF('Final Calculation Sheet'!$J$10="","",'Final Calculation Sheet'!$J$10)</f>
        <v/>
      </c>
      <c r="L19" s="95">
        <f>IF('Final Calculation Sheet'!$K$10="","",'Final Calculation Sheet'!$K$10)</f>
        <v/>
      </c>
      <c r="M19" s="95">
        <f>IF('Final Calculation Sheet'!$L$10="","",'Final Calculation Sheet'!$L$10)</f>
        <v/>
      </c>
      <c r="N19" s="95">
        <f>IF('Final Calculation Sheet'!$M$10="","",'Final Calculation Sheet'!$M$10)</f>
        <v/>
      </c>
      <c r="O19" s="96">
        <f>IF('Final Calculation Sheet'!$N$10="","",'Final Calculation Sheet'!$N$10)</f>
        <v/>
      </c>
      <c r="P19" s="95">
        <f>IF('Final Calculation Sheet'!$O$10="","",'Final Calculation Sheet'!$O$10)</f>
        <v/>
      </c>
      <c r="Q19" s="95">
        <f>IF('Final Calculation Sheet'!$P$10="","",'Final Calculation Sheet'!$P$10)</f>
        <v/>
      </c>
      <c r="R19" s="97">
        <f>IF('Final Calculation Sheet'!$Q$10="","",'Final Calculation Sheet'!$Q$10)</f>
        <v/>
      </c>
      <c r="S19" s="95">
        <f>IF('Final Calculation Sheet'!$R$10="","",'Final Calculation Sheet'!$R$10)</f>
        <v/>
      </c>
      <c r="T19" s="95">
        <f>IF('Final Calculation Sheet'!$S$10="","",'Final Calculation Sheet'!$S$10)</f>
        <v/>
      </c>
      <c r="U19" s="95">
        <f>IF('Final Calculation Sheet'!$T$10="","",'Final Calculation Sheet'!$T$10)</f>
        <v/>
      </c>
      <c r="V19" s="98">
        <f>IF('Final Calculation Sheet'!$U$10="","",'Final Calculation Sheet'!$U$10)</f>
        <v/>
      </c>
      <c r="W19" s="95">
        <f>IF('Final Calculation Sheet'!$V$10="","",'Final Calculation Sheet'!$V$10)</f>
        <v/>
      </c>
      <c r="X19" s="95">
        <f>IF('Final Calculation Sheet'!$W$10="","",'Final Calculation Sheet'!$W$10)</f>
        <v/>
      </c>
      <c r="Y19" s="95">
        <f>IF('Final Calculation Sheet'!$X$10="","",'Final Calculation Sheet'!$X$10)</f>
        <v/>
      </c>
      <c r="Z19" s="95">
        <f>IF('Final Calculation Sheet'!$Y$10="","",'Final Calculation Sheet'!$Y$10)</f>
        <v/>
      </c>
      <c r="AA19" s="95">
        <f>IF('Final Calculation Sheet'!$Z$10="","",'Final Calculation Sheet'!$Z$10)</f>
        <v/>
      </c>
      <c r="AB19" s="95">
        <f>IF('Final Calculation Sheet'!$AA$10="","",'Final Calculation Sheet'!$AA$10)</f>
        <v/>
      </c>
      <c r="AC19" s="95">
        <f>IF('Final Calculation Sheet'!$AB$10="","",'Final Calculation Sheet'!$AB$10)</f>
        <v/>
      </c>
      <c r="AD19" s="95">
        <f>IF('Final Calculation Sheet'!$AC$10="","",'Final Calculation Sheet'!$AC$10)</f>
        <v/>
      </c>
      <c r="AE19" s="95">
        <f>IF('Final Calculation Sheet'!$AD$10="","",'Final Calculation Sheet'!$AD$10)</f>
        <v/>
      </c>
      <c r="AF19" s="100">
        <f>IF('Final Calculation Sheet'!$AD$10="","",IF('Final Calculation Sheet'!$AD$10&lt;=5,"SETTLED","OUTSTANDING"))</f>
        <v/>
      </c>
      <c r="AG19" s="95">
        <f>IF('Final Calculation Sheet'!$AF$10="","",'Final Calculation Sheet'!$AF$10)</f>
        <v/>
      </c>
      <c r="AH19" s="99">
        <f>IF('Final Calculation Sheet'!$AG$10="","",'Final Calculation Sheet'!$AG$10)</f>
        <v/>
      </c>
      <c r="AI19" s="95">
        <f>IF('Final Calculation Sheet'!$AH$10="","",'Final Calculation Sheet'!$AH$10)</f>
        <v/>
      </c>
      <c r="AJ19">
        <f>IF(AND(IF($B$4="",TRUE(),IF($B$4="(blank)",'Final Calculation Sheet'!$F$10="",IF($B$4="(nonblank)",'Final Calculation Sheet'!$F$10&lt;&gt;"",ISNUMBER(SEARCH($B$4,'Final Calculation Sheet'!$F$10))))),IF($C$4="",TRUE(),IF($C$4="(blank)",'Final Calculation Sheet'!$G$10="",IF($C$4="(nonblank)",'Final Calculation Sheet'!$G$10&lt;&gt;"",ISNUMBER(SEARCH($C$4,'Final Calculation Sheet'!$G$10))))),IF($D$4="",TRUE(),IF($D$4="(blank)",'Final Calculation Sheet'!$B$10="",IF($D$4="(nonblank)",'Final Calculation Sheet'!$B$10&lt;&gt;"",ISNUMBER(SEARCH($D$4,'Final Calculation Sheet'!$B$10))))),IF($E$4="",TRUE(),IF($E$4="(blank)",'Final Calculation Sheet'!$D$10="",IF($E$4="(nonblank)",'Final Calculation Sheet'!$D$10&lt;&gt;"",ISNUMBER(SEARCH($E$4,'Final Calculation Sheet'!$D$10))))),IF($F$4="",TRUE(),IF($F$4="(blank)",'Final Calculation Sheet'!$A$10="",IF($F$4="(nonblank)",'Final Calculation Sheet'!$A$10&lt;&gt;"",ISNUMBER(SEARCH($F$4,'Final Calculation Sheet'!$A$10))))),IF($G$4="",TRUE(),IF($G$4="(blank)",'Final Calculation Sheet'!$E$10="",IF($G$4="(nonblank)",'Final Calculation Sheet'!$E$10&lt;&gt;"",ISNUMBER(SEARCH($G$4,'Final Calculation Sheet'!$E$10))))),IF($H$4="",TRUE(),IF($H$4="(blank)",'Final Calculation Sheet'!$C$10="",IF($H$4="(nonblank)",'Final Calculation Sheet'!$C$10&lt;&gt;"",ISNUMBER(SEARCH($H$4,'Final Calculation Sheet'!$C$10))))),IF($I$4="",TRUE(),IF($I$4="(blank)",'Final Calculation Sheet'!$H$10="",IF($I$4="(nonblank)",'Final Calculation Sheet'!$H$10&lt;&gt;"",ISNUMBER(SEARCH($I$4,'Final Calculation Sheet'!$H$10))))),IF($J$4="",TRUE(),IF($J$4="(blank)",'Final Calculation Sheet'!$I$10="",IF($J$4="(nonblank)",'Final Calculation Sheet'!$I$10&lt;&gt;"",ISNUMBER(SEARCH($J$4,'Final Calculation Sheet'!$I$10))))),IF($K$4="",TRUE(),IF($K$4="(blank)",'Final Calculation Sheet'!$J$10="",IF($K$4="(nonblank)",'Final Calculation Sheet'!$J$10&lt;&gt;"",ISNUMBER(SEARCH($K$4,'Final Calculation Sheet'!$J$10))))),IF($L$4="",TRUE(),IF($L$4="(blank)",'Final Calculation Sheet'!$K$10="",IF($L$4="(nonblank)",'Final Calculation Sheet'!$K$10&lt;&gt;"",ISNUMBER(SEARCH($L$4,'Final Calculation Sheet'!$K$10))))),IF($M$4="",TRUE(),IF($M$4="(blank)",'Final Calculation Sheet'!$L$10="",IF($M$4="(nonblank)",'Final Calculation Sheet'!$L$10&lt;&gt;"",ISNUMBER(SEARCH($M$4,'Final Calculation Sheet'!$L$10))))),IF($N$4="",TRUE(),IF($N$4="(blank)",'Final Calculation Sheet'!$M$10="",IF($N$4="(nonblank)",'Final Calculation Sheet'!$M$10&lt;&gt;"",ISNUMBER(SEARCH($N$4,'Final Calculation Sheet'!$M$10))))),IF($O$4="",TRUE(),IF($O$4="(blank)",'Final Calculation Sheet'!$N$10="",IF($O$4="(nonblank)",'Final Calculation Sheet'!$N$10&lt;&gt;"",ISNUMBER(SEARCH($O$4,'Final Calculation Sheet'!$N$10))))),IF($P$4="",TRUE(),IF($P$4="(blank)",'Final Calculation Sheet'!$O$10="",IF($P$4="(nonblank)",'Final Calculation Sheet'!$O$10&lt;&gt;"",ISNUMBER(SEARCH($P$4,'Final Calculation Sheet'!$O$10))))),IF($Q$4="",TRUE(),IF($Q$4="(blank)",'Final Calculation Sheet'!$P$10="",IF($Q$4="(nonblank)",'Final Calculation Sheet'!$P$10&lt;&gt;"",ISNUMBER(SEARCH($Q$4,'Final Calculation Sheet'!$P$10))))),IF($R$4="",TRUE(),IF($R$4="(blank)",'Final Calculation Sheet'!$Q$10="",IF($R$4="(nonblank)",'Final Calculation Sheet'!$Q$10&lt;&gt;"",ISNUMBER(SEARCH($R$4,'Final Calculation Sheet'!$Q$10))))),IF($S$4="",TRUE(),IF($S$4="(blank)",'Final Calculation Sheet'!$R$10="",IF($S$4="(nonblank)",'Final Calculation Sheet'!$R$10&lt;&gt;"",ISNUMBER(SEARCH($S$4,'Final Calculation Sheet'!$R$10))))),IF($T$4="",TRUE(),IF($T$4="(blank)",'Final Calculation Sheet'!$S$10="",IF($T$4="(nonblank)",'Final Calculation Sheet'!$S$10&lt;&gt;"",ISNUMBER(SEARCH($T$4,'Final Calculation Sheet'!$S$10))))),IF($U$4="",TRUE(),IF($U$4="(blank)",'Final Calculation Sheet'!$T$10="",IF($U$4="(nonblank)",'Final Calculation Sheet'!$T$10&lt;&gt;"",ISNUMBER(SEARCH($U$4,'Final Calculation Sheet'!$T$10))))),IF($V$4="",TRUE(),IF($V$4="(blank)",'Final Calculation Sheet'!$U$10="",IF($V$4="(nonblank)",'Final Calculation Sheet'!$U$10&lt;&gt;"",ISNUMBER(SEARCH($V$4,'Final Calculation Sheet'!$U$10))))),IF($W$4="",TRUE(),IF($W$4="(blank)",'Final Calculation Sheet'!$V$10="",IF($W$4="(nonblank)",'Final Calculation Sheet'!$V$10&lt;&gt;"",ISNUMBER(SEARCH($W$4,'Final Calculation Sheet'!$V$10))))),IF($X$4="",TRUE(),IF($X$4="(blank)",'Final Calculation Sheet'!$W$10="",IF($X$4="(nonblank)",'Final Calculation Sheet'!$W$10&lt;&gt;"",ISNUMBER(SEARCH($X$4,'Final Calculation Sheet'!$W$10))))),IF($Y$4="",TRUE(),IF($Y$4="(blank)",'Final Calculation Sheet'!$X$10="",IF($Y$4="(nonblank)",'Final Calculation Sheet'!$X$10&lt;&gt;"",ISNUMBER(SEARCH($Y$4,'Final Calculation Sheet'!$X$10))))),IF($Z$4="",TRUE(),IF($Z$4="(blank)",'Final Calculation Sheet'!$Y$10="",IF($Z$4="(nonblank)",'Final Calculation Sheet'!$Y$10&lt;&gt;"",ISNUMBER(SEARCH($Z$4,'Final Calculation Sheet'!$Y$10))))),IF($AA$4="",TRUE(),IF($AA$4="(blank)",'Final Calculation Sheet'!$Z$10="",IF($AA$4="(nonblank)",'Final Calculation Sheet'!$Z$10&lt;&gt;"",ISNUMBER(SEARCH($AA$4,'Final Calculation Sheet'!$Z$10))))),IF($AB$4="",TRUE(),IF($AB$4="(blank)",'Final Calculation Sheet'!$AA$10="",IF($AB$4="(nonblank)",'Final Calculation Sheet'!$AA$10&lt;&gt;"",ISNUMBER(SEARCH($AB$4,'Final Calculation Sheet'!$AA$10))))),IF($AC$4="",TRUE(),IF($AC$4="(blank)",'Final Calculation Sheet'!$AB$10="",IF($AC$4="(nonblank)",'Final Calculation Sheet'!$AB$10&lt;&gt;"",ISNUMBER(SEARCH($AC$4,'Final Calculation Sheet'!$AB$10))))),IF($AD$4="",TRUE(),IF($AD$4="(blank)",'Final Calculation Sheet'!$AC$10="",IF($AD$4="(nonblank)",'Final Calculation Sheet'!$AC$10&lt;&gt;"",ISNUMBER(SEARCH($AD$4,'Final Calculation Sheet'!$AC$10))))),IF($AE$4="",TRUE(),IF($AE$4="(blank)",'Final Calculation Sheet'!$AD$10="",IF($AE$4="(nonblank)",'Final Calculation Sheet'!$AD$10&lt;&gt;"",ISNUMBER(SEARCH($AE$4,'Final Calculation Sheet'!$AD$10))))),IF($AG$4="",TRUE(),IF($AG$4="(blank)",'Final Calculation Sheet'!$AF$10="",IF($AG$4="(nonblank)",'Final Calculation Sheet'!$AF$10&lt;&gt;"",ISNUMBER(SEARCH($AG$4,'Final Calculation Sheet'!$AF$10))))),IF($AH$4="",TRUE(),IF($AH$4="(blank)",'Final Calculation Sheet'!$AG$10="",IF($AH$4="(nonblank)",'Final Calculation Sheet'!$AG$10&lt;&gt;"",ISNUMBER(SEARCH($AH$4,'Final Calculation Sheet'!$AG$10))))),IF($AI$4="",TRUE(),IF($AI$4="(blank)",'Final Calculation Sheet'!$AH$10="",IF($AI$4="(nonblank)",'Final Calculation Sheet'!$AH$10&lt;&gt;"",ISNUMBER(SEARCH($AI$4,'Final Calculation Sheet'!$AH$10))))),IF($AF$4="",TRUE(),IF($AF$4="(blank)",IF('Final Calculation Sheet'!$AD$10&lt;=5,"SETTLED","OUTSTANDING")="",IF($AF$4="(nonblank)",IF('Final Calculation Sheet'!$AD$10&lt;=5,"SETTLED","OUTSTANDING")&lt;&gt;"",ISNUMBER(SEARCH($AF$4,IF('Final Calculation Sheet'!$AD$10&lt;=5,"SETTLED","OUTSTANDING"))))))),1,0)</f>
      </c>
      <c r="AK19">
        <f>IF(AJ19=1,COUNTIF(AJ$7:AJ19,1),"")</f>
        <v/>
      </c>
    </row>
    <row r="20" outlineLevel="1" ht="15" customHeight="1" s="137">
      <c r="A20" s="67" t="n">
        <v>3</v>
      </c>
      <c r="B20" s="76">
        <f>IF('Final Calculation Sheet'!$F$11="","",'Final Calculation Sheet'!$F$11)</f>
        <v/>
      </c>
      <c r="C20" s="76">
        <f>IF('Final Calculation Sheet'!$G$11="","",'Final Calculation Sheet'!$G$11)</f>
        <v/>
      </c>
      <c r="D20" s="80">
        <f>IF('Final Calculation Sheet'!$B$11="","",'Final Calculation Sheet'!$B$11)</f>
        <v/>
      </c>
      <c r="E20" s="80">
        <f>IF('Final Calculation Sheet'!$D$11="","",'Final Calculation Sheet'!$D$11)</f>
        <v/>
      </c>
      <c r="F20" s="80">
        <f>IF('Final Calculation Sheet'!$A$11="","",'Final Calculation Sheet'!$A$11)</f>
        <v/>
      </c>
      <c r="G20" s="80">
        <f>IF('Final Calculation Sheet'!$E$11="","",'Final Calculation Sheet'!$E$11)</f>
        <v/>
      </c>
      <c r="H20" s="70">
        <f>IF('Final Calculation Sheet'!$C$11="","",'Final Calculation Sheet'!$C$11)</f>
        <v/>
      </c>
      <c r="I20" s="70">
        <f>IF('Final Calculation Sheet'!$H$11="","",'Final Calculation Sheet'!$H$11)</f>
        <v/>
      </c>
      <c r="J20" s="70">
        <f>IF('Final Calculation Sheet'!$I$11="","",'Final Calculation Sheet'!$I$11)</f>
        <v/>
      </c>
      <c r="K20" s="70">
        <f>IF('Final Calculation Sheet'!$J$11="","",'Final Calculation Sheet'!$J$11)</f>
        <v/>
      </c>
      <c r="L20" s="70">
        <f>IF('Final Calculation Sheet'!$K$11="","",'Final Calculation Sheet'!$K$11)</f>
        <v/>
      </c>
      <c r="M20" s="70">
        <f>IF('Final Calculation Sheet'!$L$11="","",'Final Calculation Sheet'!$L$11)</f>
        <v/>
      </c>
      <c r="N20" s="70">
        <f>IF('Final Calculation Sheet'!$M$11="","",'Final Calculation Sheet'!$M$11)</f>
        <v/>
      </c>
      <c r="O20" s="71">
        <f>IF('Final Calculation Sheet'!$N$11="","",'Final Calculation Sheet'!$N$11)</f>
        <v/>
      </c>
      <c r="P20" s="70">
        <f>IF('Final Calculation Sheet'!$O$11="","",'Final Calculation Sheet'!$O$11)</f>
        <v/>
      </c>
      <c r="Q20" s="70">
        <f>IF('Final Calculation Sheet'!$P$11="","",'Final Calculation Sheet'!$P$11)</f>
        <v/>
      </c>
      <c r="R20" s="72">
        <f>IF('Final Calculation Sheet'!$Q$11="","",'Final Calculation Sheet'!$Q$11)</f>
        <v/>
      </c>
      <c r="S20" s="70">
        <f>IF('Final Calculation Sheet'!$R$11="","",'Final Calculation Sheet'!$R$11)</f>
        <v/>
      </c>
      <c r="T20" s="70">
        <f>IF('Final Calculation Sheet'!$S$11="","",'Final Calculation Sheet'!$S$11)</f>
        <v/>
      </c>
      <c r="U20" s="70">
        <f>IF('Final Calculation Sheet'!$T$11="","",'Final Calculation Sheet'!$T$11)</f>
        <v/>
      </c>
      <c r="V20" s="73">
        <f>IF('Final Calculation Sheet'!$U$11="","",'Final Calculation Sheet'!$U$11)</f>
        <v/>
      </c>
      <c r="W20" s="70">
        <f>IF('Final Calculation Sheet'!$V$11="","",'Final Calculation Sheet'!$V$11)</f>
        <v/>
      </c>
      <c r="X20" s="70">
        <f>IF('Final Calculation Sheet'!$W$11="","",'Final Calculation Sheet'!$W$11)</f>
        <v/>
      </c>
      <c r="Y20" s="70">
        <f>IF('Final Calculation Sheet'!$X$11="","",'Final Calculation Sheet'!$X$11)</f>
        <v/>
      </c>
      <c r="Z20" s="70">
        <f>IF('Final Calculation Sheet'!$Y$11="","",'Final Calculation Sheet'!$Y$11)</f>
        <v/>
      </c>
      <c r="AA20" s="70">
        <f>IF('Final Calculation Sheet'!$Z$11="","",'Final Calculation Sheet'!$Z$11)</f>
        <v/>
      </c>
      <c r="AB20" s="70">
        <f>IF('Final Calculation Sheet'!$AA$11="","",'Final Calculation Sheet'!$AA$11)</f>
        <v/>
      </c>
      <c r="AC20" s="70">
        <f>IF('Final Calculation Sheet'!$AB$11="","",'Final Calculation Sheet'!$AB$11)</f>
        <v/>
      </c>
      <c r="AD20" s="70">
        <f>IF('Final Calculation Sheet'!$AC$11="","",'Final Calculation Sheet'!$AC$11)</f>
        <v/>
      </c>
      <c r="AE20" s="70">
        <f>IF('Final Calculation Sheet'!$AD$11="","",'Final Calculation Sheet'!$AD$11)</f>
        <v/>
      </c>
      <c r="AF20" s="75">
        <f>IF('Final Calculation Sheet'!$AD$11="","",IF('Final Calculation Sheet'!$AD$11&lt;=5,"SETTLED","OUTSTANDING"))</f>
        <v/>
      </c>
      <c r="AG20" s="70">
        <f>IF('Final Calculation Sheet'!$AF$11="","",'Final Calculation Sheet'!$AF$11)</f>
        <v/>
      </c>
      <c r="AH20" s="74">
        <f>IF('Final Calculation Sheet'!$AG$11="","",'Final Calculation Sheet'!$AG$11)</f>
        <v/>
      </c>
      <c r="AI20" s="70">
        <f>IF('Final Calculation Sheet'!$AH$11="","",'Final Calculation Sheet'!$AH$11)</f>
        <v/>
      </c>
      <c r="AJ20">
        <f>IF(AND(IF($B$4="",TRUE(),IF($B$4="(blank)",'Final Calculation Sheet'!$F$11="",IF($B$4="(nonblank)",'Final Calculation Sheet'!$F$11&lt;&gt;"",ISNUMBER(SEARCH($B$4,'Final Calculation Sheet'!$F$11))))),IF($C$4="",TRUE(),IF($C$4="(blank)",'Final Calculation Sheet'!$G$11="",IF($C$4="(nonblank)",'Final Calculation Sheet'!$G$11&lt;&gt;"",ISNUMBER(SEARCH($C$4,'Final Calculation Sheet'!$G$11))))),IF($D$4="",TRUE(),IF($D$4="(blank)",'Final Calculation Sheet'!$B$11="",IF($D$4="(nonblank)",'Final Calculation Sheet'!$B$11&lt;&gt;"",ISNUMBER(SEARCH($D$4,'Final Calculation Sheet'!$B$11))))),IF($E$4="",TRUE(),IF($E$4="(blank)",'Final Calculation Sheet'!$D$11="",IF($E$4="(nonblank)",'Final Calculation Sheet'!$D$11&lt;&gt;"",ISNUMBER(SEARCH($E$4,'Final Calculation Sheet'!$D$11))))),IF($F$4="",TRUE(),IF($F$4="(blank)",'Final Calculation Sheet'!$A$11="",IF($F$4="(nonblank)",'Final Calculation Sheet'!$A$11&lt;&gt;"",ISNUMBER(SEARCH($F$4,'Final Calculation Sheet'!$A$11))))),IF($G$4="",TRUE(),IF($G$4="(blank)",'Final Calculation Sheet'!$E$11="",IF($G$4="(nonblank)",'Final Calculation Sheet'!$E$11&lt;&gt;"",ISNUMBER(SEARCH($G$4,'Final Calculation Sheet'!$E$11))))),IF($H$4="",TRUE(),IF($H$4="(blank)",'Final Calculation Sheet'!$C$11="",IF($H$4="(nonblank)",'Final Calculation Sheet'!$C$11&lt;&gt;"",ISNUMBER(SEARCH($H$4,'Final Calculation Sheet'!$C$11))))),IF($I$4="",TRUE(),IF($I$4="(blank)",'Final Calculation Sheet'!$H$11="",IF($I$4="(nonblank)",'Final Calculation Sheet'!$H$11&lt;&gt;"",ISNUMBER(SEARCH($I$4,'Final Calculation Sheet'!$H$11))))),IF($J$4="",TRUE(),IF($J$4="(blank)",'Final Calculation Sheet'!$I$11="",IF($J$4="(nonblank)",'Final Calculation Sheet'!$I$11&lt;&gt;"",ISNUMBER(SEARCH($J$4,'Final Calculation Sheet'!$I$11))))),IF($K$4="",TRUE(),IF($K$4="(blank)",'Final Calculation Sheet'!$J$11="",IF($K$4="(nonblank)",'Final Calculation Sheet'!$J$11&lt;&gt;"",ISNUMBER(SEARCH($K$4,'Final Calculation Sheet'!$J$11))))),IF($L$4="",TRUE(),IF($L$4="(blank)",'Final Calculation Sheet'!$K$11="",IF($L$4="(nonblank)",'Final Calculation Sheet'!$K$11&lt;&gt;"",ISNUMBER(SEARCH($L$4,'Final Calculation Sheet'!$K$11))))),IF($M$4="",TRUE(),IF($M$4="(blank)",'Final Calculation Sheet'!$L$11="",IF($M$4="(nonblank)",'Final Calculation Sheet'!$L$11&lt;&gt;"",ISNUMBER(SEARCH($M$4,'Final Calculation Sheet'!$L$11))))),IF($N$4="",TRUE(),IF($N$4="(blank)",'Final Calculation Sheet'!$M$11="",IF($N$4="(nonblank)",'Final Calculation Sheet'!$M$11&lt;&gt;"",ISNUMBER(SEARCH($N$4,'Final Calculation Sheet'!$M$11))))),IF($O$4="",TRUE(),IF($O$4="(blank)",'Final Calculation Sheet'!$N$11="",IF($O$4="(nonblank)",'Final Calculation Sheet'!$N$11&lt;&gt;"",ISNUMBER(SEARCH($O$4,'Final Calculation Sheet'!$N$11))))),IF($P$4="",TRUE(),IF($P$4="(blank)",'Final Calculation Sheet'!$O$11="",IF($P$4="(nonblank)",'Final Calculation Sheet'!$O$11&lt;&gt;"",ISNUMBER(SEARCH($P$4,'Final Calculation Sheet'!$O$11))))),IF($Q$4="",TRUE(),IF($Q$4="(blank)",'Final Calculation Sheet'!$P$11="",IF($Q$4="(nonblank)",'Final Calculation Sheet'!$P$11&lt;&gt;"",ISNUMBER(SEARCH($Q$4,'Final Calculation Sheet'!$P$11))))),IF($R$4="",TRUE(),IF($R$4="(blank)",'Final Calculation Sheet'!$Q$11="",IF($R$4="(nonblank)",'Final Calculation Sheet'!$Q$11&lt;&gt;"",ISNUMBER(SEARCH($R$4,'Final Calculation Sheet'!$Q$11))))),IF($S$4="",TRUE(),IF($S$4="(blank)",'Final Calculation Sheet'!$R$11="",IF($S$4="(nonblank)",'Final Calculation Sheet'!$R$11&lt;&gt;"",ISNUMBER(SEARCH($S$4,'Final Calculation Sheet'!$R$11))))),IF($T$4="",TRUE(),IF($T$4="(blank)",'Final Calculation Sheet'!$S$11="",IF($T$4="(nonblank)",'Final Calculation Sheet'!$S$11&lt;&gt;"",ISNUMBER(SEARCH($T$4,'Final Calculation Sheet'!$S$11))))),IF($U$4="",TRUE(),IF($U$4="(blank)",'Final Calculation Sheet'!$T$11="",IF($U$4="(nonblank)",'Final Calculation Sheet'!$T$11&lt;&gt;"",ISNUMBER(SEARCH($U$4,'Final Calculation Sheet'!$T$11))))),IF($V$4="",TRUE(),IF($V$4="(blank)",'Final Calculation Sheet'!$U$11="",IF($V$4="(nonblank)",'Final Calculation Sheet'!$U$11&lt;&gt;"",ISNUMBER(SEARCH($V$4,'Final Calculation Sheet'!$U$11))))),IF($W$4="",TRUE(),IF($W$4="(blank)",'Final Calculation Sheet'!$V$11="",IF($W$4="(nonblank)",'Final Calculation Sheet'!$V$11&lt;&gt;"",ISNUMBER(SEARCH($W$4,'Final Calculation Sheet'!$V$11))))),IF($X$4="",TRUE(),IF($X$4="(blank)",'Final Calculation Sheet'!$W$11="",IF($X$4="(nonblank)",'Final Calculation Sheet'!$W$11&lt;&gt;"",ISNUMBER(SEARCH($X$4,'Final Calculation Sheet'!$W$11))))),IF($Y$4="",TRUE(),IF($Y$4="(blank)",'Final Calculation Sheet'!$X$11="",IF($Y$4="(nonblank)",'Final Calculation Sheet'!$X$11&lt;&gt;"",ISNUMBER(SEARCH($Y$4,'Final Calculation Sheet'!$X$11))))),IF($Z$4="",TRUE(),IF($Z$4="(blank)",'Final Calculation Sheet'!$Y$11="",IF($Z$4="(nonblank)",'Final Calculation Sheet'!$Y$11&lt;&gt;"",ISNUMBER(SEARCH($Z$4,'Final Calculation Sheet'!$Y$11))))),IF($AA$4="",TRUE(),IF($AA$4="(blank)",'Final Calculation Sheet'!$Z$11="",IF($AA$4="(nonblank)",'Final Calculation Sheet'!$Z$11&lt;&gt;"",ISNUMBER(SEARCH($AA$4,'Final Calculation Sheet'!$Z$11))))),IF($AB$4="",TRUE(),IF($AB$4="(blank)",'Final Calculation Sheet'!$AA$11="",IF($AB$4="(nonblank)",'Final Calculation Sheet'!$AA$11&lt;&gt;"",ISNUMBER(SEARCH($AB$4,'Final Calculation Sheet'!$AA$11))))),IF($AC$4="",TRUE(),IF($AC$4="(blank)",'Final Calculation Sheet'!$AB$11="",IF($AC$4="(nonblank)",'Final Calculation Sheet'!$AB$11&lt;&gt;"",ISNUMBER(SEARCH($AC$4,'Final Calculation Sheet'!$AB$11))))),IF($AD$4="",TRUE(),IF($AD$4="(blank)",'Final Calculation Sheet'!$AC$11="",IF($AD$4="(nonblank)",'Final Calculation Sheet'!$AC$11&lt;&gt;"",ISNUMBER(SEARCH($AD$4,'Final Calculation Sheet'!$AC$11))))),IF($AE$4="",TRUE(),IF($AE$4="(blank)",'Final Calculation Sheet'!$AD$11="",IF($AE$4="(nonblank)",'Final Calculation Sheet'!$AD$11&lt;&gt;"",ISNUMBER(SEARCH($AE$4,'Final Calculation Sheet'!$AD$11))))),IF($AG$4="",TRUE(),IF($AG$4="(blank)",'Final Calculation Sheet'!$AF$11="",IF($AG$4="(nonblank)",'Final Calculation Sheet'!$AF$11&lt;&gt;"",ISNUMBER(SEARCH($AG$4,'Final Calculation Sheet'!$AF$11))))),IF($AH$4="",TRUE(),IF($AH$4="(blank)",'Final Calculation Sheet'!$AG$11="",IF($AH$4="(nonblank)",'Final Calculation Sheet'!$AG$11&lt;&gt;"",ISNUMBER(SEARCH($AH$4,'Final Calculation Sheet'!$AG$11))))),IF($AI$4="",TRUE(),IF($AI$4="(blank)",'Final Calculation Sheet'!$AH$11="",IF($AI$4="(nonblank)",'Final Calculation Sheet'!$AH$11&lt;&gt;"",ISNUMBER(SEARCH($AI$4,'Final Calculation Sheet'!$AH$11))))),IF($AF$4="",TRUE(),IF($AF$4="(blank)",IF('Final Calculation Sheet'!$AD$11&lt;=5,"SETTLED","OUTSTANDING")="",IF($AF$4="(nonblank)",IF('Final Calculation Sheet'!$AD$11&lt;=5,"SETTLED","OUTSTANDING")&lt;&gt;"",ISNUMBER(SEARCH($AF$4,IF('Final Calculation Sheet'!$AD$11&lt;=5,"SETTLED","OUTSTANDING"))))))),1,0)</f>
      </c>
      <c r="AK20">
        <f>IF(AJ20=1,COUNTIF(AJ$7:AJ20,1),"")</f>
        <v/>
      </c>
    </row>
    <row r="21" outlineLevel="1" ht="15" customHeight="1" s="137">
      <c r="A21" s="90" t="n">
        <v>4</v>
      </c>
      <c r="B21" s="92">
        <f>IF('Final Calculation Sheet'!$F$12="","",'Final Calculation Sheet'!$F$12)</f>
        <v/>
      </c>
      <c r="C21" s="92">
        <f>IF('Final Calculation Sheet'!$G$12="","",'Final Calculation Sheet'!$G$12)</f>
        <v/>
      </c>
      <c r="D21" s="94">
        <f>IF('Final Calculation Sheet'!$B$12="","",'Final Calculation Sheet'!$B$12)</f>
        <v/>
      </c>
      <c r="E21" s="94">
        <f>IF('Final Calculation Sheet'!$D$12="","",'Final Calculation Sheet'!$D$12)</f>
        <v/>
      </c>
      <c r="F21" s="94">
        <f>IF('Final Calculation Sheet'!$A$12="","",'Final Calculation Sheet'!$A$12)</f>
        <v/>
      </c>
      <c r="G21" s="94">
        <f>IF('Final Calculation Sheet'!$E$12="","",'Final Calculation Sheet'!$E$12)</f>
        <v/>
      </c>
      <c r="H21" s="95">
        <f>IF('Final Calculation Sheet'!$C$12="","",'Final Calculation Sheet'!$C$12)</f>
        <v/>
      </c>
      <c r="I21" s="95">
        <f>IF('Final Calculation Sheet'!$H$12="","",'Final Calculation Sheet'!$H$12)</f>
        <v/>
      </c>
      <c r="J21" s="95">
        <f>IF('Final Calculation Sheet'!$I$12="","",'Final Calculation Sheet'!$I$12)</f>
        <v/>
      </c>
      <c r="K21" s="95">
        <f>IF('Final Calculation Sheet'!$J$12="","",'Final Calculation Sheet'!$J$12)</f>
        <v/>
      </c>
      <c r="L21" s="95">
        <f>IF('Final Calculation Sheet'!$K$12="","",'Final Calculation Sheet'!$K$12)</f>
        <v/>
      </c>
      <c r="M21" s="95">
        <f>IF('Final Calculation Sheet'!$L$12="","",'Final Calculation Sheet'!$L$12)</f>
        <v/>
      </c>
      <c r="N21" s="95">
        <f>IF('Final Calculation Sheet'!$M$12="","",'Final Calculation Sheet'!$M$12)</f>
        <v/>
      </c>
      <c r="O21" s="96">
        <f>IF('Final Calculation Sheet'!$N$12="","",'Final Calculation Sheet'!$N$12)</f>
        <v/>
      </c>
      <c r="P21" s="95">
        <f>IF('Final Calculation Sheet'!$O$12="","",'Final Calculation Sheet'!$O$12)</f>
        <v/>
      </c>
      <c r="Q21" s="95">
        <f>IF('Final Calculation Sheet'!$P$12="","",'Final Calculation Sheet'!$P$12)</f>
        <v/>
      </c>
      <c r="R21" s="97">
        <f>IF('Final Calculation Sheet'!$Q$12="","",'Final Calculation Sheet'!$Q$12)</f>
        <v/>
      </c>
      <c r="S21" s="95">
        <f>IF('Final Calculation Sheet'!$R$12="","",'Final Calculation Sheet'!$R$12)</f>
        <v/>
      </c>
      <c r="T21" s="95">
        <f>IF('Final Calculation Sheet'!$S$12="","",'Final Calculation Sheet'!$S$12)</f>
        <v/>
      </c>
      <c r="U21" s="95">
        <f>IF('Final Calculation Sheet'!$T$12="","",'Final Calculation Sheet'!$T$12)</f>
        <v/>
      </c>
      <c r="V21" s="98">
        <f>IF('Final Calculation Sheet'!$U$12="","",'Final Calculation Sheet'!$U$12)</f>
        <v/>
      </c>
      <c r="W21" s="95">
        <f>IF('Final Calculation Sheet'!$V$12="","",'Final Calculation Sheet'!$V$12)</f>
        <v/>
      </c>
      <c r="X21" s="95">
        <f>IF('Final Calculation Sheet'!$W$12="","",'Final Calculation Sheet'!$W$12)</f>
        <v/>
      </c>
      <c r="Y21" s="95">
        <f>IF('Final Calculation Sheet'!$X$12="","",'Final Calculation Sheet'!$X$12)</f>
        <v/>
      </c>
      <c r="Z21" s="95">
        <f>IF('Final Calculation Sheet'!$Y$12="","",'Final Calculation Sheet'!$Y$12)</f>
        <v/>
      </c>
      <c r="AA21" s="95">
        <f>IF('Final Calculation Sheet'!$Z$12="","",'Final Calculation Sheet'!$Z$12)</f>
        <v/>
      </c>
      <c r="AB21" s="95">
        <f>IF('Final Calculation Sheet'!$AA$12="","",'Final Calculation Sheet'!$AA$12)</f>
        <v/>
      </c>
      <c r="AC21" s="95">
        <f>IF('Final Calculation Sheet'!$AB$12="","",'Final Calculation Sheet'!$AB$12)</f>
        <v/>
      </c>
      <c r="AD21" s="95">
        <f>IF('Final Calculation Sheet'!$AC$12="","",'Final Calculation Sheet'!$AC$12)</f>
        <v/>
      </c>
      <c r="AE21" s="95">
        <f>IF('Final Calculation Sheet'!$AD$12="","",'Final Calculation Sheet'!$AD$12)</f>
        <v/>
      </c>
      <c r="AF21" s="100">
        <f>IF('Final Calculation Sheet'!$AD$12="","",IF('Final Calculation Sheet'!$AD$12&lt;=5,"SETTLED","OUTSTANDING"))</f>
        <v/>
      </c>
      <c r="AG21" s="95">
        <f>IF('Final Calculation Sheet'!$AF$12="","",'Final Calculation Sheet'!$AF$12)</f>
        <v/>
      </c>
      <c r="AH21" s="99">
        <f>IF('Final Calculation Sheet'!$AG$12="","",'Final Calculation Sheet'!$AG$12)</f>
        <v/>
      </c>
      <c r="AI21" s="95">
        <f>IF('Final Calculation Sheet'!$AH$12="","",'Final Calculation Sheet'!$AH$12)</f>
        <v/>
      </c>
      <c r="AJ21">
        <f>IF(AND(IF($B$4="",TRUE(),IF($B$4="(blank)",'Final Calculation Sheet'!$F$12="",IF($B$4="(nonblank)",'Final Calculation Sheet'!$F$12&lt;&gt;"",ISNUMBER(SEARCH($B$4,'Final Calculation Sheet'!$F$12))))),IF($C$4="",TRUE(),IF($C$4="(blank)",'Final Calculation Sheet'!$G$12="",IF($C$4="(nonblank)",'Final Calculation Sheet'!$G$12&lt;&gt;"",ISNUMBER(SEARCH($C$4,'Final Calculation Sheet'!$G$12))))),IF($D$4="",TRUE(),IF($D$4="(blank)",'Final Calculation Sheet'!$B$12="",IF($D$4="(nonblank)",'Final Calculation Sheet'!$B$12&lt;&gt;"",ISNUMBER(SEARCH($D$4,'Final Calculation Sheet'!$B$12))))),IF($E$4="",TRUE(),IF($E$4="(blank)",'Final Calculation Sheet'!$D$12="",IF($E$4="(nonblank)",'Final Calculation Sheet'!$D$12&lt;&gt;"",ISNUMBER(SEARCH($E$4,'Final Calculation Sheet'!$D$12))))),IF($F$4="",TRUE(),IF($F$4="(blank)",'Final Calculation Sheet'!$A$12="",IF($F$4="(nonblank)",'Final Calculation Sheet'!$A$12&lt;&gt;"",ISNUMBER(SEARCH($F$4,'Final Calculation Sheet'!$A$12))))),IF($G$4="",TRUE(),IF($G$4="(blank)",'Final Calculation Sheet'!$E$12="",IF($G$4="(nonblank)",'Final Calculation Sheet'!$E$12&lt;&gt;"",ISNUMBER(SEARCH($G$4,'Final Calculation Sheet'!$E$12))))),IF($H$4="",TRUE(),IF($H$4="(blank)",'Final Calculation Sheet'!$C$12="",IF($H$4="(nonblank)",'Final Calculation Sheet'!$C$12&lt;&gt;"",ISNUMBER(SEARCH($H$4,'Final Calculation Sheet'!$C$12))))),IF($I$4="",TRUE(),IF($I$4="(blank)",'Final Calculation Sheet'!$H$12="",IF($I$4="(nonblank)",'Final Calculation Sheet'!$H$12&lt;&gt;"",ISNUMBER(SEARCH($I$4,'Final Calculation Sheet'!$H$12))))),IF($J$4="",TRUE(),IF($J$4="(blank)",'Final Calculation Sheet'!$I$12="",IF($J$4="(nonblank)",'Final Calculation Sheet'!$I$12&lt;&gt;"",ISNUMBER(SEARCH($J$4,'Final Calculation Sheet'!$I$12))))),IF($K$4="",TRUE(),IF($K$4="(blank)",'Final Calculation Sheet'!$J$12="",IF($K$4="(nonblank)",'Final Calculation Sheet'!$J$12&lt;&gt;"",ISNUMBER(SEARCH($K$4,'Final Calculation Sheet'!$J$12))))),IF($L$4="",TRUE(),IF($L$4="(blank)",'Final Calculation Sheet'!$K$12="",IF($L$4="(nonblank)",'Final Calculation Sheet'!$K$12&lt;&gt;"",ISNUMBER(SEARCH($L$4,'Final Calculation Sheet'!$K$12))))),IF($M$4="",TRUE(),IF($M$4="(blank)",'Final Calculation Sheet'!$L$12="",IF($M$4="(nonblank)",'Final Calculation Sheet'!$L$12&lt;&gt;"",ISNUMBER(SEARCH($M$4,'Final Calculation Sheet'!$L$12))))),IF($N$4="",TRUE(),IF($N$4="(blank)",'Final Calculation Sheet'!$M$12="",IF($N$4="(nonblank)",'Final Calculation Sheet'!$M$12&lt;&gt;"",ISNUMBER(SEARCH($N$4,'Final Calculation Sheet'!$M$12))))),IF($O$4="",TRUE(),IF($O$4="(blank)",'Final Calculation Sheet'!$N$12="",IF($O$4="(nonblank)",'Final Calculation Sheet'!$N$12&lt;&gt;"",ISNUMBER(SEARCH($O$4,'Final Calculation Sheet'!$N$12))))),IF($P$4="",TRUE(),IF($P$4="(blank)",'Final Calculation Sheet'!$O$12="",IF($P$4="(nonblank)",'Final Calculation Sheet'!$O$12&lt;&gt;"",ISNUMBER(SEARCH($P$4,'Final Calculation Sheet'!$O$12))))),IF($Q$4="",TRUE(),IF($Q$4="(blank)",'Final Calculation Sheet'!$P$12="",IF($Q$4="(nonblank)",'Final Calculation Sheet'!$P$12&lt;&gt;"",ISNUMBER(SEARCH($Q$4,'Final Calculation Sheet'!$P$12))))),IF($R$4="",TRUE(),IF($R$4="(blank)",'Final Calculation Sheet'!$Q$12="",IF($R$4="(nonblank)",'Final Calculation Sheet'!$Q$12&lt;&gt;"",ISNUMBER(SEARCH($R$4,'Final Calculation Sheet'!$Q$12))))),IF($S$4="",TRUE(),IF($S$4="(blank)",'Final Calculation Sheet'!$R$12="",IF($S$4="(nonblank)",'Final Calculation Sheet'!$R$12&lt;&gt;"",ISNUMBER(SEARCH($S$4,'Final Calculation Sheet'!$R$12))))),IF($T$4="",TRUE(),IF($T$4="(blank)",'Final Calculation Sheet'!$S$12="",IF($T$4="(nonblank)",'Final Calculation Sheet'!$S$12&lt;&gt;"",ISNUMBER(SEARCH($T$4,'Final Calculation Sheet'!$S$12))))),IF($U$4="",TRUE(),IF($U$4="(blank)",'Final Calculation Sheet'!$T$12="",IF($U$4="(nonblank)",'Final Calculation Sheet'!$T$12&lt;&gt;"",ISNUMBER(SEARCH($U$4,'Final Calculation Sheet'!$T$12))))),IF($V$4="",TRUE(),IF($V$4="(blank)",'Final Calculation Sheet'!$U$12="",IF($V$4="(nonblank)",'Final Calculation Sheet'!$U$12&lt;&gt;"",ISNUMBER(SEARCH($V$4,'Final Calculation Sheet'!$U$12))))),IF($W$4="",TRUE(),IF($W$4="(blank)",'Final Calculation Sheet'!$V$12="",IF($W$4="(nonblank)",'Final Calculation Sheet'!$V$12&lt;&gt;"",ISNUMBER(SEARCH($W$4,'Final Calculation Sheet'!$V$12))))),IF($X$4="",TRUE(),IF($X$4="(blank)",'Final Calculation Sheet'!$W$12="",IF($X$4="(nonblank)",'Final Calculation Sheet'!$W$12&lt;&gt;"",ISNUMBER(SEARCH($X$4,'Final Calculation Sheet'!$W$12))))),IF($Y$4="",TRUE(),IF($Y$4="(blank)",'Final Calculation Sheet'!$X$12="",IF($Y$4="(nonblank)",'Final Calculation Sheet'!$X$12&lt;&gt;"",ISNUMBER(SEARCH($Y$4,'Final Calculation Sheet'!$X$12))))),IF($Z$4="",TRUE(),IF($Z$4="(blank)",'Final Calculation Sheet'!$Y$12="",IF($Z$4="(nonblank)",'Final Calculation Sheet'!$Y$12&lt;&gt;"",ISNUMBER(SEARCH($Z$4,'Final Calculation Sheet'!$Y$12))))),IF($AA$4="",TRUE(),IF($AA$4="(blank)",'Final Calculation Sheet'!$Z$12="",IF($AA$4="(nonblank)",'Final Calculation Sheet'!$Z$12&lt;&gt;"",ISNUMBER(SEARCH($AA$4,'Final Calculation Sheet'!$Z$12))))),IF($AB$4="",TRUE(),IF($AB$4="(blank)",'Final Calculation Sheet'!$AA$12="",IF($AB$4="(nonblank)",'Final Calculation Sheet'!$AA$12&lt;&gt;"",ISNUMBER(SEARCH($AB$4,'Final Calculation Sheet'!$AA$12))))),IF($AC$4="",TRUE(),IF($AC$4="(blank)",'Final Calculation Sheet'!$AB$12="",IF($AC$4="(nonblank)",'Final Calculation Sheet'!$AB$12&lt;&gt;"",ISNUMBER(SEARCH($AC$4,'Final Calculation Sheet'!$AB$12))))),IF($AD$4="",TRUE(),IF($AD$4="(blank)",'Final Calculation Sheet'!$AC$12="",IF($AD$4="(nonblank)",'Final Calculation Sheet'!$AC$12&lt;&gt;"",ISNUMBER(SEARCH($AD$4,'Final Calculation Sheet'!$AC$12))))),IF($AE$4="",TRUE(),IF($AE$4="(blank)",'Final Calculation Sheet'!$AD$12="",IF($AE$4="(nonblank)",'Final Calculation Sheet'!$AD$12&lt;&gt;"",ISNUMBER(SEARCH($AE$4,'Final Calculation Sheet'!$AD$12))))),IF($AG$4="",TRUE(),IF($AG$4="(blank)",'Final Calculation Sheet'!$AF$12="",IF($AG$4="(nonblank)",'Final Calculation Sheet'!$AF$12&lt;&gt;"",ISNUMBER(SEARCH($AG$4,'Final Calculation Sheet'!$AF$12))))),IF($AH$4="",TRUE(),IF($AH$4="(blank)",'Final Calculation Sheet'!$AG$12="",IF($AH$4="(nonblank)",'Final Calculation Sheet'!$AG$12&lt;&gt;"",ISNUMBER(SEARCH($AH$4,'Final Calculation Sheet'!$AG$12))))),IF($AI$4="",TRUE(),IF($AI$4="(blank)",'Final Calculation Sheet'!$AH$12="",IF($AI$4="(nonblank)",'Final Calculation Sheet'!$AH$12&lt;&gt;"",ISNUMBER(SEARCH($AI$4,'Final Calculation Sheet'!$AH$12))))),IF($AF$4="",TRUE(),IF($AF$4="(blank)",IF('Final Calculation Sheet'!$AD$12&lt;=5,"SETTLED","OUTSTANDING")="",IF($AF$4="(nonblank)",IF('Final Calculation Sheet'!$AD$12&lt;=5,"SETTLED","OUTSTANDING")&lt;&gt;"",ISNUMBER(SEARCH($AF$4,IF('Final Calculation Sheet'!$AD$12&lt;=5,"SETTLED","OUTSTANDING"))))))),1,0)</f>
      </c>
      <c r="AK21">
        <f>IF(AJ21=1,COUNTIF(AJ$7:AJ21,1),"")</f>
        <v/>
      </c>
    </row>
    <row r="22" outlineLevel="1" ht="15" customHeight="1" s="137">
      <c r="A22" s="67" t="n">
        <v>5</v>
      </c>
      <c r="B22" s="76">
        <f>IF('Final Calculation Sheet'!$F$18="","",'Final Calculation Sheet'!$F$18)</f>
        <v/>
      </c>
      <c r="C22" s="76">
        <f>IF('Final Calculation Sheet'!$G$18="","",'Final Calculation Sheet'!$G$18)</f>
        <v/>
      </c>
      <c r="D22" s="80">
        <f>IF('Final Calculation Sheet'!$B$18="","",'Final Calculation Sheet'!$B$18)</f>
        <v/>
      </c>
      <c r="E22" s="80">
        <f>IF('Final Calculation Sheet'!$D$18="","",'Final Calculation Sheet'!$D$18)</f>
        <v/>
      </c>
      <c r="F22" s="80">
        <f>IF('Final Calculation Sheet'!$A$18="","",'Final Calculation Sheet'!$A$18)</f>
        <v/>
      </c>
      <c r="G22" s="80">
        <f>IF('Final Calculation Sheet'!$E$18="","",'Final Calculation Sheet'!$E$18)</f>
        <v/>
      </c>
      <c r="H22" s="70">
        <f>IF('Final Calculation Sheet'!$C$18="","",'Final Calculation Sheet'!$C$18)</f>
        <v/>
      </c>
      <c r="I22" s="70">
        <f>IF('Final Calculation Sheet'!$H$18="","",'Final Calculation Sheet'!$H$18)</f>
        <v/>
      </c>
      <c r="J22" s="70">
        <f>IF('Final Calculation Sheet'!$I$18="","",'Final Calculation Sheet'!$I$18)</f>
        <v/>
      </c>
      <c r="K22" s="70">
        <f>IF('Final Calculation Sheet'!$J$18="","",'Final Calculation Sheet'!$J$18)</f>
        <v/>
      </c>
      <c r="L22" s="70">
        <f>IF('Final Calculation Sheet'!$K$18="","",'Final Calculation Sheet'!$K$18)</f>
        <v/>
      </c>
      <c r="M22" s="70">
        <f>IF('Final Calculation Sheet'!$L$18="","",'Final Calculation Sheet'!$L$18)</f>
        <v/>
      </c>
      <c r="N22" s="70">
        <f>IF('Final Calculation Sheet'!$M$18="","",'Final Calculation Sheet'!$M$18)</f>
        <v/>
      </c>
      <c r="O22" s="71">
        <f>IF('Final Calculation Sheet'!$N$18="","",'Final Calculation Sheet'!$N$18)</f>
        <v/>
      </c>
      <c r="P22" s="70">
        <f>IF('Final Calculation Sheet'!$O$18="","",'Final Calculation Sheet'!$O$18)</f>
        <v/>
      </c>
      <c r="Q22" s="70">
        <f>IF('Final Calculation Sheet'!$P$18="","",'Final Calculation Sheet'!$P$18)</f>
        <v/>
      </c>
      <c r="R22" s="72">
        <f>IF('Final Calculation Sheet'!$Q$18="","",'Final Calculation Sheet'!$Q$18)</f>
        <v/>
      </c>
      <c r="S22" s="70">
        <f>IF('Final Calculation Sheet'!$R$18="","",'Final Calculation Sheet'!$R$18)</f>
        <v/>
      </c>
      <c r="T22" s="70">
        <f>IF('Final Calculation Sheet'!$S$18="","",'Final Calculation Sheet'!$S$18)</f>
        <v/>
      </c>
      <c r="U22" s="70">
        <f>IF('Final Calculation Sheet'!$T$18="","",'Final Calculation Sheet'!$T$18)</f>
        <v/>
      </c>
      <c r="V22" s="73">
        <f>IF('Final Calculation Sheet'!$U$18="","",'Final Calculation Sheet'!$U$18)</f>
        <v/>
      </c>
      <c r="W22" s="70">
        <f>IF('Final Calculation Sheet'!$V$18="","",'Final Calculation Sheet'!$V$18)</f>
        <v/>
      </c>
      <c r="X22" s="70">
        <f>IF('Final Calculation Sheet'!$W$18="","",'Final Calculation Sheet'!$W$18)</f>
        <v/>
      </c>
      <c r="Y22" s="70">
        <f>IF('Final Calculation Sheet'!$X$18="","",'Final Calculation Sheet'!$X$18)</f>
        <v/>
      </c>
      <c r="Z22" s="70">
        <f>IF('Final Calculation Sheet'!$Y$18="","",'Final Calculation Sheet'!$Y$18)</f>
        <v/>
      </c>
      <c r="AA22" s="70">
        <f>IF('Final Calculation Sheet'!$Z$18="","",'Final Calculation Sheet'!$Z$18)</f>
        <v/>
      </c>
      <c r="AB22" s="70">
        <f>IF('Final Calculation Sheet'!$AA$18="","",'Final Calculation Sheet'!$AA$18)</f>
        <v/>
      </c>
      <c r="AC22" s="70">
        <f>IF('Final Calculation Sheet'!$AB$18="","",'Final Calculation Sheet'!$AB$18)</f>
        <v/>
      </c>
      <c r="AD22" s="70">
        <f>IF('Final Calculation Sheet'!$AC$18="","",'Final Calculation Sheet'!$AC$18)</f>
        <v/>
      </c>
      <c r="AE22" s="70">
        <f>IF('Final Calculation Sheet'!$AD$18="","",'Final Calculation Sheet'!$AD$18)</f>
        <v/>
      </c>
      <c r="AF22" s="75">
        <f>IF('Final Calculation Sheet'!$AD$18="","",IF('Final Calculation Sheet'!$AD$18&lt;=5,"SETTLED","OUTSTANDING"))</f>
        <v/>
      </c>
      <c r="AG22" s="70">
        <f>IF('Final Calculation Sheet'!$AF$18="","",'Final Calculation Sheet'!$AF$18)</f>
        <v/>
      </c>
      <c r="AH22" s="74">
        <f>IF('Final Calculation Sheet'!$AG$18="","",'Final Calculation Sheet'!$AG$18)</f>
        <v/>
      </c>
      <c r="AI22" s="70">
        <f>IF('Final Calculation Sheet'!$AH$18="","",'Final Calculation Sheet'!$AH$18)</f>
        <v/>
      </c>
      <c r="AJ22">
        <f>IF(AND(IF($B$4="",TRUE(),IF($B$4="(blank)",'Final Calculation Sheet'!$F$18="",IF($B$4="(nonblank)",'Final Calculation Sheet'!$F$18&lt;&gt;"",ISNUMBER(SEARCH($B$4,'Final Calculation Sheet'!$F$18))))),IF($C$4="",TRUE(),IF($C$4="(blank)",'Final Calculation Sheet'!$G$18="",IF($C$4="(nonblank)",'Final Calculation Sheet'!$G$18&lt;&gt;"",ISNUMBER(SEARCH($C$4,'Final Calculation Sheet'!$G$18))))),IF($D$4="",TRUE(),IF($D$4="(blank)",'Final Calculation Sheet'!$B$18="",IF($D$4="(nonblank)",'Final Calculation Sheet'!$B$18&lt;&gt;"",ISNUMBER(SEARCH($D$4,'Final Calculation Sheet'!$B$18))))),IF($E$4="",TRUE(),IF($E$4="(blank)",'Final Calculation Sheet'!$D$18="",IF($E$4="(nonblank)",'Final Calculation Sheet'!$D$18&lt;&gt;"",ISNUMBER(SEARCH($E$4,'Final Calculation Sheet'!$D$18))))),IF($F$4="",TRUE(),IF($F$4="(blank)",'Final Calculation Sheet'!$A$18="",IF($F$4="(nonblank)",'Final Calculation Sheet'!$A$18&lt;&gt;"",ISNUMBER(SEARCH($F$4,'Final Calculation Sheet'!$A$18))))),IF($G$4="",TRUE(),IF($G$4="(blank)",'Final Calculation Sheet'!$E$18="",IF($G$4="(nonblank)",'Final Calculation Sheet'!$E$18&lt;&gt;"",ISNUMBER(SEARCH($G$4,'Final Calculation Sheet'!$E$18))))),IF($H$4="",TRUE(),IF($H$4="(blank)",'Final Calculation Sheet'!$C$18="",IF($H$4="(nonblank)",'Final Calculation Sheet'!$C$18&lt;&gt;"",ISNUMBER(SEARCH($H$4,'Final Calculation Sheet'!$C$18))))),IF($I$4="",TRUE(),IF($I$4="(blank)",'Final Calculation Sheet'!$H$18="",IF($I$4="(nonblank)",'Final Calculation Sheet'!$H$18&lt;&gt;"",ISNUMBER(SEARCH($I$4,'Final Calculation Sheet'!$H$18))))),IF($J$4="",TRUE(),IF($J$4="(blank)",'Final Calculation Sheet'!$I$18="",IF($J$4="(nonblank)",'Final Calculation Sheet'!$I$18&lt;&gt;"",ISNUMBER(SEARCH($J$4,'Final Calculation Sheet'!$I$18))))),IF($K$4="",TRUE(),IF($K$4="(blank)",'Final Calculation Sheet'!$J$18="",IF($K$4="(nonblank)",'Final Calculation Sheet'!$J$18&lt;&gt;"",ISNUMBER(SEARCH($K$4,'Final Calculation Sheet'!$J$18))))),IF($L$4="",TRUE(),IF($L$4="(blank)",'Final Calculation Sheet'!$K$18="",IF($L$4="(nonblank)",'Final Calculation Sheet'!$K$18&lt;&gt;"",ISNUMBER(SEARCH($L$4,'Final Calculation Sheet'!$K$18))))),IF($M$4="",TRUE(),IF($M$4="(blank)",'Final Calculation Sheet'!$L$18="",IF($M$4="(nonblank)",'Final Calculation Sheet'!$L$18&lt;&gt;"",ISNUMBER(SEARCH($M$4,'Final Calculation Sheet'!$L$18))))),IF($N$4="",TRUE(),IF($N$4="(blank)",'Final Calculation Sheet'!$M$18="",IF($N$4="(nonblank)",'Final Calculation Sheet'!$M$18&lt;&gt;"",ISNUMBER(SEARCH($N$4,'Final Calculation Sheet'!$M$18))))),IF($O$4="",TRUE(),IF($O$4="(blank)",'Final Calculation Sheet'!$N$18="",IF($O$4="(nonblank)",'Final Calculation Sheet'!$N$18&lt;&gt;"",ISNUMBER(SEARCH($O$4,'Final Calculation Sheet'!$N$18))))),IF($P$4="",TRUE(),IF($P$4="(blank)",'Final Calculation Sheet'!$O$18="",IF($P$4="(nonblank)",'Final Calculation Sheet'!$O$18&lt;&gt;"",ISNUMBER(SEARCH($P$4,'Final Calculation Sheet'!$O$18))))),IF($Q$4="",TRUE(),IF($Q$4="(blank)",'Final Calculation Sheet'!$P$18="",IF($Q$4="(nonblank)",'Final Calculation Sheet'!$P$18&lt;&gt;"",ISNUMBER(SEARCH($Q$4,'Final Calculation Sheet'!$P$18))))),IF($R$4="",TRUE(),IF($R$4="(blank)",'Final Calculation Sheet'!$Q$18="",IF($R$4="(nonblank)",'Final Calculation Sheet'!$Q$18&lt;&gt;"",ISNUMBER(SEARCH($R$4,'Final Calculation Sheet'!$Q$18))))),IF($S$4="",TRUE(),IF($S$4="(blank)",'Final Calculation Sheet'!$R$18="",IF($S$4="(nonblank)",'Final Calculation Sheet'!$R$18&lt;&gt;"",ISNUMBER(SEARCH($S$4,'Final Calculation Sheet'!$R$18))))),IF($T$4="",TRUE(),IF($T$4="(blank)",'Final Calculation Sheet'!$S$18="",IF($T$4="(nonblank)",'Final Calculation Sheet'!$S$18&lt;&gt;"",ISNUMBER(SEARCH($T$4,'Final Calculation Sheet'!$S$18))))),IF($U$4="",TRUE(),IF($U$4="(blank)",'Final Calculation Sheet'!$T$18="",IF($U$4="(nonblank)",'Final Calculation Sheet'!$T$18&lt;&gt;"",ISNUMBER(SEARCH($U$4,'Final Calculation Sheet'!$T$18))))),IF($V$4="",TRUE(),IF($V$4="(blank)",'Final Calculation Sheet'!$U$18="",IF($V$4="(nonblank)",'Final Calculation Sheet'!$U$18&lt;&gt;"",ISNUMBER(SEARCH($V$4,'Final Calculation Sheet'!$U$18))))),IF($W$4="",TRUE(),IF($W$4="(blank)",'Final Calculation Sheet'!$V$18="",IF($W$4="(nonblank)",'Final Calculation Sheet'!$V$18&lt;&gt;"",ISNUMBER(SEARCH($W$4,'Final Calculation Sheet'!$V$18))))),IF($X$4="",TRUE(),IF($X$4="(blank)",'Final Calculation Sheet'!$W$18="",IF($X$4="(nonblank)",'Final Calculation Sheet'!$W$18&lt;&gt;"",ISNUMBER(SEARCH($X$4,'Final Calculation Sheet'!$W$18))))),IF($Y$4="",TRUE(),IF($Y$4="(blank)",'Final Calculation Sheet'!$X$18="",IF($Y$4="(nonblank)",'Final Calculation Sheet'!$X$18&lt;&gt;"",ISNUMBER(SEARCH($Y$4,'Final Calculation Sheet'!$X$18))))),IF($Z$4="",TRUE(),IF($Z$4="(blank)",'Final Calculation Sheet'!$Y$18="",IF($Z$4="(nonblank)",'Final Calculation Sheet'!$Y$18&lt;&gt;"",ISNUMBER(SEARCH($Z$4,'Final Calculation Sheet'!$Y$18))))),IF($AA$4="",TRUE(),IF($AA$4="(blank)",'Final Calculation Sheet'!$Z$18="",IF($AA$4="(nonblank)",'Final Calculation Sheet'!$Z$18&lt;&gt;"",ISNUMBER(SEARCH($AA$4,'Final Calculation Sheet'!$Z$18))))),IF($AB$4="",TRUE(),IF($AB$4="(blank)",'Final Calculation Sheet'!$AA$18="",IF($AB$4="(nonblank)",'Final Calculation Sheet'!$AA$18&lt;&gt;"",ISNUMBER(SEARCH($AB$4,'Final Calculation Sheet'!$AA$18))))),IF($AC$4="",TRUE(),IF($AC$4="(blank)",'Final Calculation Sheet'!$AB$18="",IF($AC$4="(nonblank)",'Final Calculation Sheet'!$AB$18&lt;&gt;"",ISNUMBER(SEARCH($AC$4,'Final Calculation Sheet'!$AB$18))))),IF($AD$4="",TRUE(),IF($AD$4="(blank)",'Final Calculation Sheet'!$AC$18="",IF($AD$4="(nonblank)",'Final Calculation Sheet'!$AC$18&lt;&gt;"",ISNUMBER(SEARCH($AD$4,'Final Calculation Sheet'!$AC$18))))),IF($AE$4="",TRUE(),IF($AE$4="(blank)",'Final Calculation Sheet'!$AD$18="",IF($AE$4="(nonblank)",'Final Calculation Sheet'!$AD$18&lt;&gt;"",ISNUMBER(SEARCH($AE$4,'Final Calculation Sheet'!$AD$18))))),IF($AG$4="",TRUE(),IF($AG$4="(blank)",'Final Calculation Sheet'!$AF$18="",IF($AG$4="(nonblank)",'Final Calculation Sheet'!$AF$18&lt;&gt;"",ISNUMBER(SEARCH($AG$4,'Final Calculation Sheet'!$AF$18))))),IF($AH$4="",TRUE(),IF($AH$4="(blank)",'Final Calculation Sheet'!$AG$18="",IF($AH$4="(nonblank)",'Final Calculation Sheet'!$AG$18&lt;&gt;"",ISNUMBER(SEARCH($AH$4,'Final Calculation Sheet'!$AG$18))))),IF($AI$4="",TRUE(),IF($AI$4="(blank)",'Final Calculation Sheet'!$AH$18="",IF($AI$4="(nonblank)",'Final Calculation Sheet'!$AH$18&lt;&gt;"",ISNUMBER(SEARCH($AI$4,'Final Calculation Sheet'!$AH$18))))),IF($AF$4="",TRUE(),IF($AF$4="(blank)",IF('Final Calculation Sheet'!$AD$18&lt;=5,"SETTLED","OUTSTANDING")="",IF($AF$4="(nonblank)",IF('Final Calculation Sheet'!$AD$18&lt;=5,"SETTLED","OUTSTANDING")&lt;&gt;"",ISNUMBER(SEARCH($AF$4,IF('Final Calculation Sheet'!$AD$18&lt;=5,"SETTLED","OUTSTANDING"))))))),1,0)</f>
      </c>
      <c r="AK22">
        <f>IF(AJ22=1,COUNTIF(AJ$7:AJ22,1),"")</f>
        <v/>
      </c>
    </row>
    <row r="23" outlineLevel="1" ht="15" customHeight="1" s="137">
      <c r="A23" s="90" t="n">
        <v>6</v>
      </c>
      <c r="B23" s="92">
        <f>IF('Final Calculation Sheet'!$F$19="","",'Final Calculation Sheet'!$F$19)</f>
        <v/>
      </c>
      <c r="C23" s="92">
        <f>IF('Final Calculation Sheet'!$G$19="","",'Final Calculation Sheet'!$G$19)</f>
        <v/>
      </c>
      <c r="D23" s="94">
        <f>IF('Final Calculation Sheet'!$B$19="","",'Final Calculation Sheet'!$B$19)</f>
        <v/>
      </c>
      <c r="E23" s="94">
        <f>IF('Final Calculation Sheet'!$D$19="","",'Final Calculation Sheet'!$D$19)</f>
        <v/>
      </c>
      <c r="F23" s="94">
        <f>IF('Final Calculation Sheet'!$A$19="","",'Final Calculation Sheet'!$A$19)</f>
        <v/>
      </c>
      <c r="G23" s="94">
        <f>IF('Final Calculation Sheet'!$E$19="","",'Final Calculation Sheet'!$E$19)</f>
        <v/>
      </c>
      <c r="H23" s="95">
        <f>IF('Final Calculation Sheet'!$C$19="","",'Final Calculation Sheet'!$C$19)</f>
        <v/>
      </c>
      <c r="I23" s="95">
        <f>IF('Final Calculation Sheet'!$H$19="","",'Final Calculation Sheet'!$H$19)</f>
        <v/>
      </c>
      <c r="J23" s="95">
        <f>IF('Final Calculation Sheet'!$I$19="","",'Final Calculation Sheet'!$I$19)</f>
        <v/>
      </c>
      <c r="K23" s="95">
        <f>IF('Final Calculation Sheet'!$J$19="","",'Final Calculation Sheet'!$J$19)</f>
        <v/>
      </c>
      <c r="L23" s="95">
        <f>IF('Final Calculation Sheet'!$K$19="","",'Final Calculation Sheet'!$K$19)</f>
        <v/>
      </c>
      <c r="M23" s="95">
        <f>IF('Final Calculation Sheet'!$L$19="","",'Final Calculation Sheet'!$L$19)</f>
        <v/>
      </c>
      <c r="N23" s="95">
        <f>IF('Final Calculation Sheet'!$M$19="","",'Final Calculation Sheet'!$M$19)</f>
        <v/>
      </c>
      <c r="O23" s="96">
        <f>IF('Final Calculation Sheet'!$N$19="","",'Final Calculation Sheet'!$N$19)</f>
        <v/>
      </c>
      <c r="P23" s="95">
        <f>IF('Final Calculation Sheet'!$O$19="","",'Final Calculation Sheet'!$O$19)</f>
        <v/>
      </c>
      <c r="Q23" s="95">
        <f>IF('Final Calculation Sheet'!$P$19="","",'Final Calculation Sheet'!$P$19)</f>
        <v/>
      </c>
      <c r="R23" s="97">
        <f>IF('Final Calculation Sheet'!$Q$19="","",'Final Calculation Sheet'!$Q$19)</f>
        <v/>
      </c>
      <c r="S23" s="95">
        <f>IF('Final Calculation Sheet'!$R$19="","",'Final Calculation Sheet'!$R$19)</f>
        <v/>
      </c>
      <c r="T23" s="95">
        <f>IF('Final Calculation Sheet'!$S$19="","",'Final Calculation Sheet'!$S$19)</f>
        <v/>
      </c>
      <c r="U23" s="95">
        <f>IF('Final Calculation Sheet'!$T$19="","",'Final Calculation Sheet'!$T$19)</f>
        <v/>
      </c>
      <c r="V23" s="98">
        <f>IF('Final Calculation Sheet'!$U$19="","",'Final Calculation Sheet'!$U$19)</f>
        <v/>
      </c>
      <c r="W23" s="95">
        <f>IF('Final Calculation Sheet'!$V$19="","",'Final Calculation Sheet'!$V$19)</f>
        <v/>
      </c>
      <c r="X23" s="95">
        <f>IF('Final Calculation Sheet'!$W$19="","",'Final Calculation Sheet'!$W$19)</f>
        <v/>
      </c>
      <c r="Y23" s="95">
        <f>IF('Final Calculation Sheet'!$X$19="","",'Final Calculation Sheet'!$X$19)</f>
        <v/>
      </c>
      <c r="Z23" s="95">
        <f>IF('Final Calculation Sheet'!$Y$19="","",'Final Calculation Sheet'!$Y$19)</f>
        <v/>
      </c>
      <c r="AA23" s="95">
        <f>IF('Final Calculation Sheet'!$Z$19="","",'Final Calculation Sheet'!$Z$19)</f>
        <v/>
      </c>
      <c r="AB23" s="95">
        <f>IF('Final Calculation Sheet'!$AA$19="","",'Final Calculation Sheet'!$AA$19)</f>
        <v/>
      </c>
      <c r="AC23" s="95">
        <f>IF('Final Calculation Sheet'!$AB$19="","",'Final Calculation Sheet'!$AB$19)</f>
        <v/>
      </c>
      <c r="AD23" s="95">
        <f>IF('Final Calculation Sheet'!$AC$19="","",'Final Calculation Sheet'!$AC$19)</f>
        <v/>
      </c>
      <c r="AE23" s="95">
        <f>IF('Final Calculation Sheet'!$AD$19="","",'Final Calculation Sheet'!$AD$19)</f>
        <v/>
      </c>
      <c r="AF23" s="100">
        <f>IF('Final Calculation Sheet'!$AD$19="","",IF('Final Calculation Sheet'!$AD$19&lt;=5,"SETTLED","OUTSTANDING"))</f>
        <v/>
      </c>
      <c r="AG23" s="95">
        <f>IF('Final Calculation Sheet'!$AF$19="","",'Final Calculation Sheet'!$AF$19)</f>
        <v/>
      </c>
      <c r="AH23" s="99">
        <f>IF('Final Calculation Sheet'!$AG$19="","",'Final Calculation Sheet'!$AG$19)</f>
        <v/>
      </c>
      <c r="AI23" s="95">
        <f>IF('Final Calculation Sheet'!$AH$19="","",'Final Calculation Sheet'!$AH$19)</f>
        <v/>
      </c>
      <c r="AJ23">
        <f>IF(AND(IF($B$4="",TRUE(),IF($B$4="(blank)",'Final Calculation Sheet'!$F$19="",IF($B$4="(nonblank)",'Final Calculation Sheet'!$F$19&lt;&gt;"",ISNUMBER(SEARCH($B$4,'Final Calculation Sheet'!$F$19))))),IF($C$4="",TRUE(),IF($C$4="(blank)",'Final Calculation Sheet'!$G$19="",IF($C$4="(nonblank)",'Final Calculation Sheet'!$G$19&lt;&gt;"",ISNUMBER(SEARCH($C$4,'Final Calculation Sheet'!$G$19))))),IF($D$4="",TRUE(),IF($D$4="(blank)",'Final Calculation Sheet'!$B$19="",IF($D$4="(nonblank)",'Final Calculation Sheet'!$B$19&lt;&gt;"",ISNUMBER(SEARCH($D$4,'Final Calculation Sheet'!$B$19))))),IF($E$4="",TRUE(),IF($E$4="(blank)",'Final Calculation Sheet'!$D$19="",IF($E$4="(nonblank)",'Final Calculation Sheet'!$D$19&lt;&gt;"",ISNUMBER(SEARCH($E$4,'Final Calculation Sheet'!$D$19))))),IF($F$4="",TRUE(),IF($F$4="(blank)",'Final Calculation Sheet'!$A$19="",IF($F$4="(nonblank)",'Final Calculation Sheet'!$A$19&lt;&gt;"",ISNUMBER(SEARCH($F$4,'Final Calculation Sheet'!$A$19))))),IF($G$4="",TRUE(),IF($G$4="(blank)",'Final Calculation Sheet'!$E$19="",IF($G$4="(nonblank)",'Final Calculation Sheet'!$E$19&lt;&gt;"",ISNUMBER(SEARCH($G$4,'Final Calculation Sheet'!$E$19))))),IF($H$4="",TRUE(),IF($H$4="(blank)",'Final Calculation Sheet'!$C$19="",IF($H$4="(nonblank)",'Final Calculation Sheet'!$C$19&lt;&gt;"",ISNUMBER(SEARCH($H$4,'Final Calculation Sheet'!$C$19))))),IF($I$4="",TRUE(),IF($I$4="(blank)",'Final Calculation Sheet'!$H$19="",IF($I$4="(nonblank)",'Final Calculation Sheet'!$H$19&lt;&gt;"",ISNUMBER(SEARCH($I$4,'Final Calculation Sheet'!$H$19))))),IF($J$4="",TRUE(),IF($J$4="(blank)",'Final Calculation Sheet'!$I$19="",IF($J$4="(nonblank)",'Final Calculation Sheet'!$I$19&lt;&gt;"",ISNUMBER(SEARCH($J$4,'Final Calculation Sheet'!$I$19))))),IF($K$4="",TRUE(),IF($K$4="(blank)",'Final Calculation Sheet'!$J$19="",IF($K$4="(nonblank)",'Final Calculation Sheet'!$J$19&lt;&gt;"",ISNUMBER(SEARCH($K$4,'Final Calculation Sheet'!$J$19))))),IF($L$4="",TRUE(),IF($L$4="(blank)",'Final Calculation Sheet'!$K$19="",IF($L$4="(nonblank)",'Final Calculation Sheet'!$K$19&lt;&gt;"",ISNUMBER(SEARCH($L$4,'Final Calculation Sheet'!$K$19))))),IF($M$4="",TRUE(),IF($M$4="(blank)",'Final Calculation Sheet'!$L$19="",IF($M$4="(nonblank)",'Final Calculation Sheet'!$L$19&lt;&gt;"",ISNUMBER(SEARCH($M$4,'Final Calculation Sheet'!$L$19))))),IF($N$4="",TRUE(),IF($N$4="(blank)",'Final Calculation Sheet'!$M$19="",IF($N$4="(nonblank)",'Final Calculation Sheet'!$M$19&lt;&gt;"",ISNUMBER(SEARCH($N$4,'Final Calculation Sheet'!$M$19))))),IF($O$4="",TRUE(),IF($O$4="(blank)",'Final Calculation Sheet'!$N$19="",IF($O$4="(nonblank)",'Final Calculation Sheet'!$N$19&lt;&gt;"",ISNUMBER(SEARCH($O$4,'Final Calculation Sheet'!$N$19))))),IF($P$4="",TRUE(),IF($P$4="(blank)",'Final Calculation Sheet'!$O$19="",IF($P$4="(nonblank)",'Final Calculation Sheet'!$O$19&lt;&gt;"",ISNUMBER(SEARCH($P$4,'Final Calculation Sheet'!$O$19))))),IF($Q$4="",TRUE(),IF($Q$4="(blank)",'Final Calculation Sheet'!$P$19="",IF($Q$4="(nonblank)",'Final Calculation Sheet'!$P$19&lt;&gt;"",ISNUMBER(SEARCH($Q$4,'Final Calculation Sheet'!$P$19))))),IF($R$4="",TRUE(),IF($R$4="(blank)",'Final Calculation Sheet'!$Q$19="",IF($R$4="(nonblank)",'Final Calculation Sheet'!$Q$19&lt;&gt;"",ISNUMBER(SEARCH($R$4,'Final Calculation Sheet'!$Q$19))))),IF($S$4="",TRUE(),IF($S$4="(blank)",'Final Calculation Sheet'!$R$19="",IF($S$4="(nonblank)",'Final Calculation Sheet'!$R$19&lt;&gt;"",ISNUMBER(SEARCH($S$4,'Final Calculation Sheet'!$R$19))))),IF($T$4="",TRUE(),IF($T$4="(blank)",'Final Calculation Sheet'!$S$19="",IF($T$4="(nonblank)",'Final Calculation Sheet'!$S$19&lt;&gt;"",ISNUMBER(SEARCH($T$4,'Final Calculation Sheet'!$S$19))))),IF($U$4="",TRUE(),IF($U$4="(blank)",'Final Calculation Sheet'!$T$19="",IF($U$4="(nonblank)",'Final Calculation Sheet'!$T$19&lt;&gt;"",ISNUMBER(SEARCH($U$4,'Final Calculation Sheet'!$T$19))))),IF($V$4="",TRUE(),IF($V$4="(blank)",'Final Calculation Sheet'!$U$19="",IF($V$4="(nonblank)",'Final Calculation Sheet'!$U$19&lt;&gt;"",ISNUMBER(SEARCH($V$4,'Final Calculation Sheet'!$U$19))))),IF($W$4="",TRUE(),IF($W$4="(blank)",'Final Calculation Sheet'!$V$19="",IF($W$4="(nonblank)",'Final Calculation Sheet'!$V$19&lt;&gt;"",ISNUMBER(SEARCH($W$4,'Final Calculation Sheet'!$V$19))))),IF($X$4="",TRUE(),IF($X$4="(blank)",'Final Calculation Sheet'!$W$19="",IF($X$4="(nonblank)",'Final Calculation Sheet'!$W$19&lt;&gt;"",ISNUMBER(SEARCH($X$4,'Final Calculation Sheet'!$W$19))))),IF($Y$4="",TRUE(),IF($Y$4="(blank)",'Final Calculation Sheet'!$X$19="",IF($Y$4="(nonblank)",'Final Calculation Sheet'!$X$19&lt;&gt;"",ISNUMBER(SEARCH($Y$4,'Final Calculation Sheet'!$X$19))))),IF($Z$4="",TRUE(),IF($Z$4="(blank)",'Final Calculation Sheet'!$Y$19="",IF($Z$4="(nonblank)",'Final Calculation Sheet'!$Y$19&lt;&gt;"",ISNUMBER(SEARCH($Z$4,'Final Calculation Sheet'!$Y$19))))),IF($AA$4="",TRUE(),IF($AA$4="(blank)",'Final Calculation Sheet'!$Z$19="",IF($AA$4="(nonblank)",'Final Calculation Sheet'!$Z$19&lt;&gt;"",ISNUMBER(SEARCH($AA$4,'Final Calculation Sheet'!$Z$19))))),IF($AB$4="",TRUE(),IF($AB$4="(blank)",'Final Calculation Sheet'!$AA$19="",IF($AB$4="(nonblank)",'Final Calculation Sheet'!$AA$19&lt;&gt;"",ISNUMBER(SEARCH($AB$4,'Final Calculation Sheet'!$AA$19))))),IF($AC$4="",TRUE(),IF($AC$4="(blank)",'Final Calculation Sheet'!$AB$19="",IF($AC$4="(nonblank)",'Final Calculation Sheet'!$AB$19&lt;&gt;"",ISNUMBER(SEARCH($AC$4,'Final Calculation Sheet'!$AB$19))))),IF($AD$4="",TRUE(),IF($AD$4="(blank)",'Final Calculation Sheet'!$AC$19="",IF($AD$4="(nonblank)",'Final Calculation Sheet'!$AC$19&lt;&gt;"",ISNUMBER(SEARCH($AD$4,'Final Calculation Sheet'!$AC$19))))),IF($AE$4="",TRUE(),IF($AE$4="(blank)",'Final Calculation Sheet'!$AD$19="",IF($AE$4="(nonblank)",'Final Calculation Sheet'!$AD$19&lt;&gt;"",ISNUMBER(SEARCH($AE$4,'Final Calculation Sheet'!$AD$19))))),IF($AG$4="",TRUE(),IF($AG$4="(blank)",'Final Calculation Sheet'!$AF$19="",IF($AG$4="(nonblank)",'Final Calculation Sheet'!$AF$19&lt;&gt;"",ISNUMBER(SEARCH($AG$4,'Final Calculation Sheet'!$AF$19))))),IF($AH$4="",TRUE(),IF($AH$4="(blank)",'Final Calculation Sheet'!$AG$19="",IF($AH$4="(nonblank)",'Final Calculation Sheet'!$AG$19&lt;&gt;"",ISNUMBER(SEARCH($AH$4,'Final Calculation Sheet'!$AG$19))))),IF($AI$4="",TRUE(),IF($AI$4="(blank)",'Final Calculation Sheet'!$AH$19="",IF($AI$4="(nonblank)",'Final Calculation Sheet'!$AH$19&lt;&gt;"",ISNUMBER(SEARCH($AI$4,'Final Calculation Sheet'!$AH$19))))),IF($AF$4="",TRUE(),IF($AF$4="(blank)",IF('Final Calculation Sheet'!$AD$19&lt;=5,"SETTLED","OUTSTANDING")="",IF($AF$4="(nonblank)",IF('Final Calculation Sheet'!$AD$19&lt;=5,"SETTLED","OUTSTANDING")&lt;&gt;"",ISNUMBER(SEARCH($AF$4,IF('Final Calculation Sheet'!$AD$19&lt;=5,"SETTLED","OUTSTANDING"))))))),1,0)</f>
      </c>
      <c r="AK23">
        <f>IF(AJ23=1,COUNTIF(AJ$7:AJ23,1),"")</f>
        <v/>
      </c>
    </row>
    <row r="24" outlineLevel="1" ht="15" customHeight="1" s="137">
      <c r="A24" s="67" t="n">
        <v>7</v>
      </c>
      <c r="B24" s="76">
        <f>IF('Final Calculation Sheet'!$F$22="","",'Final Calculation Sheet'!$F$22)</f>
        <v/>
      </c>
      <c r="C24" s="76">
        <f>IF('Final Calculation Sheet'!$G$22="","",'Final Calculation Sheet'!$G$22)</f>
        <v/>
      </c>
      <c r="D24" s="80">
        <f>IF('Final Calculation Sheet'!$B$22="","",'Final Calculation Sheet'!$B$22)</f>
        <v/>
      </c>
      <c r="E24" s="80">
        <f>IF('Final Calculation Sheet'!$D$22="","",'Final Calculation Sheet'!$D$22)</f>
        <v/>
      </c>
      <c r="F24" s="80">
        <f>IF('Final Calculation Sheet'!$A$22="","",'Final Calculation Sheet'!$A$22)</f>
        <v/>
      </c>
      <c r="G24" s="80">
        <f>IF('Final Calculation Sheet'!$E$22="","",'Final Calculation Sheet'!$E$22)</f>
        <v/>
      </c>
      <c r="H24" s="70">
        <f>IF('Final Calculation Sheet'!$C$22="","",'Final Calculation Sheet'!$C$22)</f>
        <v/>
      </c>
      <c r="I24" s="70">
        <f>IF('Final Calculation Sheet'!$H$22="","",'Final Calculation Sheet'!$H$22)</f>
        <v/>
      </c>
      <c r="J24" s="70">
        <f>IF('Final Calculation Sheet'!$I$22="","",'Final Calculation Sheet'!$I$22)</f>
        <v/>
      </c>
      <c r="K24" s="70">
        <f>IF('Final Calculation Sheet'!$J$22="","",'Final Calculation Sheet'!$J$22)</f>
        <v/>
      </c>
      <c r="L24" s="70">
        <f>IF('Final Calculation Sheet'!$K$22="","",'Final Calculation Sheet'!$K$22)</f>
        <v/>
      </c>
      <c r="M24" s="70">
        <f>IF('Final Calculation Sheet'!$L$22="","",'Final Calculation Sheet'!$L$22)</f>
        <v/>
      </c>
      <c r="N24" s="70">
        <f>IF('Final Calculation Sheet'!$M$22="","",'Final Calculation Sheet'!$M$22)</f>
        <v/>
      </c>
      <c r="O24" s="71">
        <f>IF('Final Calculation Sheet'!$N$22="","",'Final Calculation Sheet'!$N$22)</f>
        <v/>
      </c>
      <c r="P24" s="70">
        <f>IF('Final Calculation Sheet'!$O$22="","",'Final Calculation Sheet'!$O$22)</f>
        <v/>
      </c>
      <c r="Q24" s="70">
        <f>IF('Final Calculation Sheet'!$P$22="","",'Final Calculation Sheet'!$P$22)</f>
        <v/>
      </c>
      <c r="R24" s="72">
        <f>IF('Final Calculation Sheet'!$Q$22="","",'Final Calculation Sheet'!$Q$22)</f>
        <v/>
      </c>
      <c r="S24" s="70">
        <f>IF('Final Calculation Sheet'!$R$22="","",'Final Calculation Sheet'!$R$22)</f>
        <v/>
      </c>
      <c r="T24" s="70">
        <f>IF('Final Calculation Sheet'!$S$22="","",'Final Calculation Sheet'!$S$22)</f>
        <v/>
      </c>
      <c r="U24" s="70">
        <f>IF('Final Calculation Sheet'!$T$22="","",'Final Calculation Sheet'!$T$22)</f>
        <v/>
      </c>
      <c r="V24" s="73">
        <f>IF('Final Calculation Sheet'!$U$22="","",'Final Calculation Sheet'!$U$22)</f>
        <v/>
      </c>
      <c r="W24" s="70">
        <f>IF('Final Calculation Sheet'!$V$22="","",'Final Calculation Sheet'!$V$22)</f>
        <v/>
      </c>
      <c r="X24" s="70">
        <f>IF('Final Calculation Sheet'!$W$22="","",'Final Calculation Sheet'!$W$22)</f>
        <v/>
      </c>
      <c r="Y24" s="70">
        <f>IF('Final Calculation Sheet'!$X$22="","",'Final Calculation Sheet'!$X$22)</f>
        <v/>
      </c>
      <c r="Z24" s="70">
        <f>IF('Final Calculation Sheet'!$Y$22="","",'Final Calculation Sheet'!$Y$22)</f>
        <v/>
      </c>
      <c r="AA24" s="70">
        <f>IF('Final Calculation Sheet'!$Z$22="","",'Final Calculation Sheet'!$Z$22)</f>
        <v/>
      </c>
      <c r="AB24" s="70">
        <f>IF('Final Calculation Sheet'!$AA$22="","",'Final Calculation Sheet'!$AA$22)</f>
        <v/>
      </c>
      <c r="AC24" s="70">
        <f>IF('Final Calculation Sheet'!$AB$22="","",'Final Calculation Sheet'!$AB$22)</f>
        <v/>
      </c>
      <c r="AD24" s="70">
        <f>IF('Final Calculation Sheet'!$AC$22="","",'Final Calculation Sheet'!$AC$22)</f>
        <v/>
      </c>
      <c r="AE24" s="70">
        <f>IF('Final Calculation Sheet'!$AD$22="","",'Final Calculation Sheet'!$AD$22)</f>
        <v/>
      </c>
      <c r="AF24" s="75">
        <f>IF('Final Calculation Sheet'!$AD$22="","",IF('Final Calculation Sheet'!$AD$22&lt;=5,"SETTLED","OUTSTANDING"))</f>
        <v/>
      </c>
      <c r="AG24" s="70">
        <f>IF('Final Calculation Sheet'!$AF$22="","",'Final Calculation Sheet'!$AF$22)</f>
        <v/>
      </c>
      <c r="AH24" s="74">
        <f>IF('Final Calculation Sheet'!$AG$22="","",'Final Calculation Sheet'!$AG$22)</f>
        <v/>
      </c>
      <c r="AI24" s="70">
        <f>IF('Final Calculation Sheet'!$AH$22="","",'Final Calculation Sheet'!$AH$22)</f>
        <v/>
      </c>
      <c r="AJ24">
        <f>IF(AND(IF($B$4="",TRUE(),IF($B$4="(blank)",'Final Calculation Sheet'!$F$22="",IF($B$4="(nonblank)",'Final Calculation Sheet'!$F$22&lt;&gt;"",ISNUMBER(SEARCH($B$4,'Final Calculation Sheet'!$F$22))))),IF($C$4="",TRUE(),IF($C$4="(blank)",'Final Calculation Sheet'!$G$22="",IF($C$4="(nonblank)",'Final Calculation Sheet'!$G$22&lt;&gt;"",ISNUMBER(SEARCH($C$4,'Final Calculation Sheet'!$G$22))))),IF($D$4="",TRUE(),IF($D$4="(blank)",'Final Calculation Sheet'!$B$22="",IF($D$4="(nonblank)",'Final Calculation Sheet'!$B$22&lt;&gt;"",ISNUMBER(SEARCH($D$4,'Final Calculation Sheet'!$B$22))))),IF($E$4="",TRUE(),IF($E$4="(blank)",'Final Calculation Sheet'!$D$22="",IF($E$4="(nonblank)",'Final Calculation Sheet'!$D$22&lt;&gt;"",ISNUMBER(SEARCH($E$4,'Final Calculation Sheet'!$D$22))))),IF($F$4="",TRUE(),IF($F$4="(blank)",'Final Calculation Sheet'!$A$22="",IF($F$4="(nonblank)",'Final Calculation Sheet'!$A$22&lt;&gt;"",ISNUMBER(SEARCH($F$4,'Final Calculation Sheet'!$A$22))))),IF($G$4="",TRUE(),IF($G$4="(blank)",'Final Calculation Sheet'!$E$22="",IF($G$4="(nonblank)",'Final Calculation Sheet'!$E$22&lt;&gt;"",ISNUMBER(SEARCH($G$4,'Final Calculation Sheet'!$E$22))))),IF($H$4="",TRUE(),IF($H$4="(blank)",'Final Calculation Sheet'!$C$22="",IF($H$4="(nonblank)",'Final Calculation Sheet'!$C$22&lt;&gt;"",ISNUMBER(SEARCH($H$4,'Final Calculation Sheet'!$C$22))))),IF($I$4="",TRUE(),IF($I$4="(blank)",'Final Calculation Sheet'!$H$22="",IF($I$4="(nonblank)",'Final Calculation Sheet'!$H$22&lt;&gt;"",ISNUMBER(SEARCH($I$4,'Final Calculation Sheet'!$H$22))))),IF($J$4="",TRUE(),IF($J$4="(blank)",'Final Calculation Sheet'!$I$22="",IF($J$4="(nonblank)",'Final Calculation Sheet'!$I$22&lt;&gt;"",ISNUMBER(SEARCH($J$4,'Final Calculation Sheet'!$I$22))))),IF($K$4="",TRUE(),IF($K$4="(blank)",'Final Calculation Sheet'!$J$22="",IF($K$4="(nonblank)",'Final Calculation Sheet'!$J$22&lt;&gt;"",ISNUMBER(SEARCH($K$4,'Final Calculation Sheet'!$J$22))))),IF($L$4="",TRUE(),IF($L$4="(blank)",'Final Calculation Sheet'!$K$22="",IF($L$4="(nonblank)",'Final Calculation Sheet'!$K$22&lt;&gt;"",ISNUMBER(SEARCH($L$4,'Final Calculation Sheet'!$K$22))))),IF($M$4="",TRUE(),IF($M$4="(blank)",'Final Calculation Sheet'!$L$22="",IF($M$4="(nonblank)",'Final Calculation Sheet'!$L$22&lt;&gt;"",ISNUMBER(SEARCH($M$4,'Final Calculation Sheet'!$L$22))))),IF($N$4="",TRUE(),IF($N$4="(blank)",'Final Calculation Sheet'!$M$22="",IF($N$4="(nonblank)",'Final Calculation Sheet'!$M$22&lt;&gt;"",ISNUMBER(SEARCH($N$4,'Final Calculation Sheet'!$M$22))))),IF($O$4="",TRUE(),IF($O$4="(blank)",'Final Calculation Sheet'!$N$22="",IF($O$4="(nonblank)",'Final Calculation Sheet'!$N$22&lt;&gt;"",ISNUMBER(SEARCH($O$4,'Final Calculation Sheet'!$N$22))))),IF($P$4="",TRUE(),IF($P$4="(blank)",'Final Calculation Sheet'!$O$22="",IF($P$4="(nonblank)",'Final Calculation Sheet'!$O$22&lt;&gt;"",ISNUMBER(SEARCH($P$4,'Final Calculation Sheet'!$O$22))))),IF($Q$4="",TRUE(),IF($Q$4="(blank)",'Final Calculation Sheet'!$P$22="",IF($Q$4="(nonblank)",'Final Calculation Sheet'!$P$22&lt;&gt;"",ISNUMBER(SEARCH($Q$4,'Final Calculation Sheet'!$P$22))))),IF($R$4="",TRUE(),IF($R$4="(blank)",'Final Calculation Sheet'!$Q$22="",IF($R$4="(nonblank)",'Final Calculation Sheet'!$Q$22&lt;&gt;"",ISNUMBER(SEARCH($R$4,'Final Calculation Sheet'!$Q$22))))),IF($S$4="",TRUE(),IF($S$4="(blank)",'Final Calculation Sheet'!$R$22="",IF($S$4="(nonblank)",'Final Calculation Sheet'!$R$22&lt;&gt;"",ISNUMBER(SEARCH($S$4,'Final Calculation Sheet'!$R$22))))),IF($T$4="",TRUE(),IF($T$4="(blank)",'Final Calculation Sheet'!$S$22="",IF($T$4="(nonblank)",'Final Calculation Sheet'!$S$22&lt;&gt;"",ISNUMBER(SEARCH($T$4,'Final Calculation Sheet'!$S$22))))),IF($U$4="",TRUE(),IF($U$4="(blank)",'Final Calculation Sheet'!$T$22="",IF($U$4="(nonblank)",'Final Calculation Sheet'!$T$22&lt;&gt;"",ISNUMBER(SEARCH($U$4,'Final Calculation Sheet'!$T$22))))),IF($V$4="",TRUE(),IF($V$4="(blank)",'Final Calculation Sheet'!$U$22="",IF($V$4="(nonblank)",'Final Calculation Sheet'!$U$22&lt;&gt;"",ISNUMBER(SEARCH($V$4,'Final Calculation Sheet'!$U$22))))),IF($W$4="",TRUE(),IF($W$4="(blank)",'Final Calculation Sheet'!$V$22="",IF($W$4="(nonblank)",'Final Calculation Sheet'!$V$22&lt;&gt;"",ISNUMBER(SEARCH($W$4,'Final Calculation Sheet'!$V$22))))),IF($X$4="",TRUE(),IF($X$4="(blank)",'Final Calculation Sheet'!$W$22="",IF($X$4="(nonblank)",'Final Calculation Sheet'!$W$22&lt;&gt;"",ISNUMBER(SEARCH($X$4,'Final Calculation Sheet'!$W$22))))),IF($Y$4="",TRUE(),IF($Y$4="(blank)",'Final Calculation Sheet'!$X$22="",IF($Y$4="(nonblank)",'Final Calculation Sheet'!$X$22&lt;&gt;"",ISNUMBER(SEARCH($Y$4,'Final Calculation Sheet'!$X$22))))),IF($Z$4="",TRUE(),IF($Z$4="(blank)",'Final Calculation Sheet'!$Y$22="",IF($Z$4="(nonblank)",'Final Calculation Sheet'!$Y$22&lt;&gt;"",ISNUMBER(SEARCH($Z$4,'Final Calculation Sheet'!$Y$22))))),IF($AA$4="",TRUE(),IF($AA$4="(blank)",'Final Calculation Sheet'!$Z$22="",IF($AA$4="(nonblank)",'Final Calculation Sheet'!$Z$22&lt;&gt;"",ISNUMBER(SEARCH($AA$4,'Final Calculation Sheet'!$Z$22))))),IF($AB$4="",TRUE(),IF($AB$4="(blank)",'Final Calculation Sheet'!$AA$22="",IF($AB$4="(nonblank)",'Final Calculation Sheet'!$AA$22&lt;&gt;"",ISNUMBER(SEARCH($AB$4,'Final Calculation Sheet'!$AA$22))))),IF($AC$4="",TRUE(),IF($AC$4="(blank)",'Final Calculation Sheet'!$AB$22="",IF($AC$4="(nonblank)",'Final Calculation Sheet'!$AB$22&lt;&gt;"",ISNUMBER(SEARCH($AC$4,'Final Calculation Sheet'!$AB$22))))),IF($AD$4="",TRUE(),IF($AD$4="(blank)",'Final Calculation Sheet'!$AC$22="",IF($AD$4="(nonblank)",'Final Calculation Sheet'!$AC$22&lt;&gt;"",ISNUMBER(SEARCH($AD$4,'Final Calculation Sheet'!$AC$22))))),IF($AE$4="",TRUE(),IF($AE$4="(blank)",'Final Calculation Sheet'!$AD$22="",IF($AE$4="(nonblank)",'Final Calculation Sheet'!$AD$22&lt;&gt;"",ISNUMBER(SEARCH($AE$4,'Final Calculation Sheet'!$AD$22))))),IF($AG$4="",TRUE(),IF($AG$4="(blank)",'Final Calculation Sheet'!$AF$22="",IF($AG$4="(nonblank)",'Final Calculation Sheet'!$AF$22&lt;&gt;"",ISNUMBER(SEARCH($AG$4,'Final Calculation Sheet'!$AF$22))))),IF($AH$4="",TRUE(),IF($AH$4="(blank)",'Final Calculation Sheet'!$AG$22="",IF($AH$4="(nonblank)",'Final Calculation Sheet'!$AG$22&lt;&gt;"",ISNUMBER(SEARCH($AH$4,'Final Calculation Sheet'!$AG$22))))),IF($AI$4="",TRUE(),IF($AI$4="(blank)",'Final Calculation Sheet'!$AH$22="",IF($AI$4="(nonblank)",'Final Calculation Sheet'!$AH$22&lt;&gt;"",ISNUMBER(SEARCH($AI$4,'Final Calculation Sheet'!$AH$22))))),IF($AF$4="",TRUE(),IF($AF$4="(blank)",IF('Final Calculation Sheet'!$AD$22&lt;=5,"SETTLED","OUTSTANDING")="",IF($AF$4="(nonblank)",IF('Final Calculation Sheet'!$AD$22&lt;=5,"SETTLED","OUTSTANDING")&lt;&gt;"",ISNUMBER(SEARCH($AF$4,IF('Final Calculation Sheet'!$AD$22&lt;=5,"SETTLED","OUTSTANDING"))))))),1,0)</f>
      </c>
      <c r="AK24">
        <f>IF(AJ24=1,COUNTIF(AJ$7:AJ24,1),"")</f>
        <v/>
      </c>
    </row>
    <row r="25" outlineLevel="1" ht="15" customHeight="1" s="137">
      <c r="A25" s="90" t="n">
        <v>8</v>
      </c>
      <c r="B25" s="92">
        <f>IF('Final Calculation Sheet'!$F$24="","",'Final Calculation Sheet'!$F$24)</f>
        <v/>
      </c>
      <c r="C25" s="92">
        <f>IF('Final Calculation Sheet'!$G$24="","",'Final Calculation Sheet'!$G$24)</f>
        <v/>
      </c>
      <c r="D25" s="94">
        <f>IF('Final Calculation Sheet'!$B$24="","",'Final Calculation Sheet'!$B$24)</f>
        <v/>
      </c>
      <c r="E25" s="94">
        <f>IF('Final Calculation Sheet'!$D$24="","",'Final Calculation Sheet'!$D$24)</f>
        <v/>
      </c>
      <c r="F25" s="94">
        <f>IF('Final Calculation Sheet'!$A$24="","",'Final Calculation Sheet'!$A$24)</f>
        <v/>
      </c>
      <c r="G25" s="94">
        <f>IF('Final Calculation Sheet'!$E$24="","",'Final Calculation Sheet'!$E$24)</f>
        <v/>
      </c>
      <c r="H25" s="95">
        <f>IF('Final Calculation Sheet'!$C$24="","",'Final Calculation Sheet'!$C$24)</f>
        <v/>
      </c>
      <c r="I25" s="95">
        <f>IF('Final Calculation Sheet'!$H$24="","",'Final Calculation Sheet'!$H$24)</f>
        <v/>
      </c>
      <c r="J25" s="95">
        <f>IF('Final Calculation Sheet'!$I$24="","",'Final Calculation Sheet'!$I$24)</f>
        <v/>
      </c>
      <c r="K25" s="95">
        <f>IF('Final Calculation Sheet'!$J$24="","",'Final Calculation Sheet'!$J$24)</f>
        <v/>
      </c>
      <c r="L25" s="95">
        <f>IF('Final Calculation Sheet'!$K$24="","",'Final Calculation Sheet'!$K$24)</f>
        <v/>
      </c>
      <c r="M25" s="95">
        <f>IF('Final Calculation Sheet'!$L$24="","",'Final Calculation Sheet'!$L$24)</f>
        <v/>
      </c>
      <c r="N25" s="95">
        <f>IF('Final Calculation Sheet'!$M$24="","",'Final Calculation Sheet'!$M$24)</f>
        <v/>
      </c>
      <c r="O25" s="96">
        <f>IF('Final Calculation Sheet'!$N$24="","",'Final Calculation Sheet'!$N$24)</f>
        <v/>
      </c>
      <c r="P25" s="95">
        <f>IF('Final Calculation Sheet'!$O$24="","",'Final Calculation Sheet'!$O$24)</f>
        <v/>
      </c>
      <c r="Q25" s="95">
        <f>IF('Final Calculation Sheet'!$P$24="","",'Final Calculation Sheet'!$P$24)</f>
        <v/>
      </c>
      <c r="R25" s="97">
        <f>IF('Final Calculation Sheet'!$Q$24="","",'Final Calculation Sheet'!$Q$24)</f>
        <v/>
      </c>
      <c r="S25" s="95">
        <f>IF('Final Calculation Sheet'!$R$24="","",'Final Calculation Sheet'!$R$24)</f>
        <v/>
      </c>
      <c r="T25" s="95">
        <f>IF('Final Calculation Sheet'!$S$24="","",'Final Calculation Sheet'!$S$24)</f>
        <v/>
      </c>
      <c r="U25" s="95">
        <f>IF('Final Calculation Sheet'!$T$24="","",'Final Calculation Sheet'!$T$24)</f>
        <v/>
      </c>
      <c r="V25" s="98">
        <f>IF('Final Calculation Sheet'!$U$24="","",'Final Calculation Sheet'!$U$24)</f>
        <v/>
      </c>
      <c r="W25" s="95">
        <f>IF('Final Calculation Sheet'!$V$24="","",'Final Calculation Sheet'!$V$24)</f>
        <v/>
      </c>
      <c r="X25" s="95">
        <f>IF('Final Calculation Sheet'!$W$24="","",'Final Calculation Sheet'!$W$24)</f>
        <v/>
      </c>
      <c r="Y25" s="95">
        <f>IF('Final Calculation Sheet'!$X$24="","",'Final Calculation Sheet'!$X$24)</f>
        <v/>
      </c>
      <c r="Z25" s="95">
        <f>IF('Final Calculation Sheet'!$Y$24="","",'Final Calculation Sheet'!$Y$24)</f>
        <v/>
      </c>
      <c r="AA25" s="95">
        <f>IF('Final Calculation Sheet'!$Z$24="","",'Final Calculation Sheet'!$Z$24)</f>
        <v/>
      </c>
      <c r="AB25" s="95">
        <f>IF('Final Calculation Sheet'!$AA$24="","",'Final Calculation Sheet'!$AA$24)</f>
        <v/>
      </c>
      <c r="AC25" s="95">
        <f>IF('Final Calculation Sheet'!$AB$24="","",'Final Calculation Sheet'!$AB$24)</f>
        <v/>
      </c>
      <c r="AD25" s="95">
        <f>IF('Final Calculation Sheet'!$AC$24="","",'Final Calculation Sheet'!$AC$24)</f>
        <v/>
      </c>
      <c r="AE25" s="95">
        <f>IF('Final Calculation Sheet'!$AD$24="","",'Final Calculation Sheet'!$AD$24)</f>
        <v/>
      </c>
      <c r="AF25" s="100">
        <f>IF('Final Calculation Sheet'!$AD$24="","",IF('Final Calculation Sheet'!$AD$24&lt;=5,"SETTLED","OUTSTANDING"))</f>
        <v/>
      </c>
      <c r="AG25" s="95">
        <f>IF('Final Calculation Sheet'!$AF$24="","",'Final Calculation Sheet'!$AF$24)</f>
        <v/>
      </c>
      <c r="AH25" s="99">
        <f>IF('Final Calculation Sheet'!$AG$24="","",'Final Calculation Sheet'!$AG$24)</f>
        <v/>
      </c>
      <c r="AI25" s="95">
        <f>IF('Final Calculation Sheet'!$AH$24="","",'Final Calculation Sheet'!$AH$24)</f>
        <v/>
      </c>
      <c r="AJ25">
        <f>IF(AND(IF($B$4="",TRUE(),IF($B$4="(blank)",'Final Calculation Sheet'!$F$24="",IF($B$4="(nonblank)",'Final Calculation Sheet'!$F$24&lt;&gt;"",ISNUMBER(SEARCH($B$4,'Final Calculation Sheet'!$F$24))))),IF($C$4="",TRUE(),IF($C$4="(blank)",'Final Calculation Sheet'!$G$24="",IF($C$4="(nonblank)",'Final Calculation Sheet'!$G$24&lt;&gt;"",ISNUMBER(SEARCH($C$4,'Final Calculation Sheet'!$G$24))))),IF($D$4="",TRUE(),IF($D$4="(blank)",'Final Calculation Sheet'!$B$24="",IF($D$4="(nonblank)",'Final Calculation Sheet'!$B$24&lt;&gt;"",ISNUMBER(SEARCH($D$4,'Final Calculation Sheet'!$B$24))))),IF($E$4="",TRUE(),IF($E$4="(blank)",'Final Calculation Sheet'!$D$24="",IF($E$4="(nonblank)",'Final Calculation Sheet'!$D$24&lt;&gt;"",ISNUMBER(SEARCH($E$4,'Final Calculation Sheet'!$D$24))))),IF($F$4="",TRUE(),IF($F$4="(blank)",'Final Calculation Sheet'!$A$24="",IF($F$4="(nonblank)",'Final Calculation Sheet'!$A$24&lt;&gt;"",ISNUMBER(SEARCH($F$4,'Final Calculation Sheet'!$A$24))))),IF($G$4="",TRUE(),IF($G$4="(blank)",'Final Calculation Sheet'!$E$24="",IF($G$4="(nonblank)",'Final Calculation Sheet'!$E$24&lt;&gt;"",ISNUMBER(SEARCH($G$4,'Final Calculation Sheet'!$E$24))))),IF($H$4="",TRUE(),IF($H$4="(blank)",'Final Calculation Sheet'!$C$24="",IF($H$4="(nonblank)",'Final Calculation Sheet'!$C$24&lt;&gt;"",ISNUMBER(SEARCH($H$4,'Final Calculation Sheet'!$C$24))))),IF($I$4="",TRUE(),IF($I$4="(blank)",'Final Calculation Sheet'!$H$24="",IF($I$4="(nonblank)",'Final Calculation Sheet'!$H$24&lt;&gt;"",ISNUMBER(SEARCH($I$4,'Final Calculation Sheet'!$H$24))))),IF($J$4="",TRUE(),IF($J$4="(blank)",'Final Calculation Sheet'!$I$24="",IF($J$4="(nonblank)",'Final Calculation Sheet'!$I$24&lt;&gt;"",ISNUMBER(SEARCH($J$4,'Final Calculation Sheet'!$I$24))))),IF($K$4="",TRUE(),IF($K$4="(blank)",'Final Calculation Sheet'!$J$24="",IF($K$4="(nonblank)",'Final Calculation Sheet'!$J$24&lt;&gt;"",ISNUMBER(SEARCH($K$4,'Final Calculation Sheet'!$J$24))))),IF($L$4="",TRUE(),IF($L$4="(blank)",'Final Calculation Sheet'!$K$24="",IF($L$4="(nonblank)",'Final Calculation Sheet'!$K$24&lt;&gt;"",ISNUMBER(SEARCH($L$4,'Final Calculation Sheet'!$K$24))))),IF($M$4="",TRUE(),IF($M$4="(blank)",'Final Calculation Sheet'!$L$24="",IF($M$4="(nonblank)",'Final Calculation Sheet'!$L$24&lt;&gt;"",ISNUMBER(SEARCH($M$4,'Final Calculation Sheet'!$L$24))))),IF($N$4="",TRUE(),IF($N$4="(blank)",'Final Calculation Sheet'!$M$24="",IF($N$4="(nonblank)",'Final Calculation Sheet'!$M$24&lt;&gt;"",ISNUMBER(SEARCH($N$4,'Final Calculation Sheet'!$M$24))))),IF($O$4="",TRUE(),IF($O$4="(blank)",'Final Calculation Sheet'!$N$24="",IF($O$4="(nonblank)",'Final Calculation Sheet'!$N$24&lt;&gt;"",ISNUMBER(SEARCH($O$4,'Final Calculation Sheet'!$N$24))))),IF($P$4="",TRUE(),IF($P$4="(blank)",'Final Calculation Sheet'!$O$24="",IF($P$4="(nonblank)",'Final Calculation Sheet'!$O$24&lt;&gt;"",ISNUMBER(SEARCH($P$4,'Final Calculation Sheet'!$O$24))))),IF($Q$4="",TRUE(),IF($Q$4="(blank)",'Final Calculation Sheet'!$P$24="",IF($Q$4="(nonblank)",'Final Calculation Sheet'!$P$24&lt;&gt;"",ISNUMBER(SEARCH($Q$4,'Final Calculation Sheet'!$P$24))))),IF($R$4="",TRUE(),IF($R$4="(blank)",'Final Calculation Sheet'!$Q$24="",IF($R$4="(nonblank)",'Final Calculation Sheet'!$Q$24&lt;&gt;"",ISNUMBER(SEARCH($R$4,'Final Calculation Sheet'!$Q$24))))),IF($S$4="",TRUE(),IF($S$4="(blank)",'Final Calculation Sheet'!$R$24="",IF($S$4="(nonblank)",'Final Calculation Sheet'!$R$24&lt;&gt;"",ISNUMBER(SEARCH($S$4,'Final Calculation Sheet'!$R$24))))),IF($T$4="",TRUE(),IF($T$4="(blank)",'Final Calculation Sheet'!$S$24="",IF($T$4="(nonblank)",'Final Calculation Sheet'!$S$24&lt;&gt;"",ISNUMBER(SEARCH($T$4,'Final Calculation Sheet'!$S$24))))),IF($U$4="",TRUE(),IF($U$4="(blank)",'Final Calculation Sheet'!$T$24="",IF($U$4="(nonblank)",'Final Calculation Sheet'!$T$24&lt;&gt;"",ISNUMBER(SEARCH($U$4,'Final Calculation Sheet'!$T$24))))),IF($V$4="",TRUE(),IF($V$4="(blank)",'Final Calculation Sheet'!$U$24="",IF($V$4="(nonblank)",'Final Calculation Sheet'!$U$24&lt;&gt;"",ISNUMBER(SEARCH($V$4,'Final Calculation Sheet'!$U$24))))),IF($W$4="",TRUE(),IF($W$4="(blank)",'Final Calculation Sheet'!$V$24="",IF($W$4="(nonblank)",'Final Calculation Sheet'!$V$24&lt;&gt;"",ISNUMBER(SEARCH($W$4,'Final Calculation Sheet'!$V$24))))),IF($X$4="",TRUE(),IF($X$4="(blank)",'Final Calculation Sheet'!$W$24="",IF($X$4="(nonblank)",'Final Calculation Sheet'!$W$24&lt;&gt;"",ISNUMBER(SEARCH($X$4,'Final Calculation Sheet'!$W$24))))),IF($Y$4="",TRUE(),IF($Y$4="(blank)",'Final Calculation Sheet'!$X$24="",IF($Y$4="(nonblank)",'Final Calculation Sheet'!$X$24&lt;&gt;"",ISNUMBER(SEARCH($Y$4,'Final Calculation Sheet'!$X$24))))),IF($Z$4="",TRUE(),IF($Z$4="(blank)",'Final Calculation Sheet'!$Y$24="",IF($Z$4="(nonblank)",'Final Calculation Sheet'!$Y$24&lt;&gt;"",ISNUMBER(SEARCH($Z$4,'Final Calculation Sheet'!$Y$24))))),IF($AA$4="",TRUE(),IF($AA$4="(blank)",'Final Calculation Sheet'!$Z$24="",IF($AA$4="(nonblank)",'Final Calculation Sheet'!$Z$24&lt;&gt;"",ISNUMBER(SEARCH($AA$4,'Final Calculation Sheet'!$Z$24))))),IF($AB$4="",TRUE(),IF($AB$4="(blank)",'Final Calculation Sheet'!$AA$24="",IF($AB$4="(nonblank)",'Final Calculation Sheet'!$AA$24&lt;&gt;"",ISNUMBER(SEARCH($AB$4,'Final Calculation Sheet'!$AA$24))))),IF($AC$4="",TRUE(),IF($AC$4="(blank)",'Final Calculation Sheet'!$AB$24="",IF($AC$4="(nonblank)",'Final Calculation Sheet'!$AB$24&lt;&gt;"",ISNUMBER(SEARCH($AC$4,'Final Calculation Sheet'!$AB$24))))),IF($AD$4="",TRUE(),IF($AD$4="(blank)",'Final Calculation Sheet'!$AC$24="",IF($AD$4="(nonblank)",'Final Calculation Sheet'!$AC$24&lt;&gt;"",ISNUMBER(SEARCH($AD$4,'Final Calculation Sheet'!$AC$24))))),IF($AE$4="",TRUE(),IF($AE$4="(blank)",'Final Calculation Sheet'!$AD$24="",IF($AE$4="(nonblank)",'Final Calculation Sheet'!$AD$24&lt;&gt;"",ISNUMBER(SEARCH($AE$4,'Final Calculation Sheet'!$AD$24))))),IF($AG$4="",TRUE(),IF($AG$4="(blank)",'Final Calculation Sheet'!$AF$24="",IF($AG$4="(nonblank)",'Final Calculation Sheet'!$AF$24&lt;&gt;"",ISNUMBER(SEARCH($AG$4,'Final Calculation Sheet'!$AF$24))))),IF($AH$4="",TRUE(),IF($AH$4="(blank)",'Final Calculation Sheet'!$AG$24="",IF($AH$4="(nonblank)",'Final Calculation Sheet'!$AG$24&lt;&gt;"",ISNUMBER(SEARCH($AH$4,'Final Calculation Sheet'!$AG$24))))),IF($AI$4="",TRUE(),IF($AI$4="(blank)",'Final Calculation Sheet'!$AH$24="",IF($AI$4="(nonblank)",'Final Calculation Sheet'!$AH$24&lt;&gt;"",ISNUMBER(SEARCH($AI$4,'Final Calculation Sheet'!$AH$24))))),IF($AF$4="",TRUE(),IF($AF$4="(blank)",IF('Final Calculation Sheet'!$AD$24&lt;=5,"SETTLED","OUTSTANDING")="",IF($AF$4="(nonblank)",IF('Final Calculation Sheet'!$AD$24&lt;=5,"SETTLED","OUTSTANDING")&lt;&gt;"",ISNUMBER(SEARCH($AF$4,IF('Final Calculation Sheet'!$AD$24&lt;=5,"SETTLED","OUTSTANDING"))))))),1,0)</f>
      </c>
      <c r="AK25">
        <f>IF(AJ25=1,COUNTIF(AJ$7:AJ25,1),"")</f>
        <v/>
      </c>
    </row>
    <row r="26" outlineLevel="1" ht="15" customHeight="1" s="137">
      <c r="A26" s="67" t="n">
        <v>9</v>
      </c>
      <c r="B26" s="76">
        <f>IF('Final Calculation Sheet'!$F$26="","",'Final Calculation Sheet'!$F$26)</f>
        <v/>
      </c>
      <c r="C26" s="76">
        <f>IF('Final Calculation Sheet'!$G$26="","",'Final Calculation Sheet'!$G$26)</f>
        <v/>
      </c>
      <c r="D26" s="80">
        <f>IF('Final Calculation Sheet'!$B$26="","",'Final Calculation Sheet'!$B$26)</f>
        <v/>
      </c>
      <c r="E26" s="80">
        <f>IF('Final Calculation Sheet'!$D$26="","",'Final Calculation Sheet'!$D$26)</f>
        <v/>
      </c>
      <c r="F26" s="80">
        <f>IF('Final Calculation Sheet'!$A$26="","",'Final Calculation Sheet'!$A$26)</f>
        <v/>
      </c>
      <c r="G26" s="80">
        <f>IF('Final Calculation Sheet'!$E$26="","",'Final Calculation Sheet'!$E$26)</f>
        <v/>
      </c>
      <c r="H26" s="70">
        <f>IF('Final Calculation Sheet'!$C$26="","",'Final Calculation Sheet'!$C$26)</f>
        <v/>
      </c>
      <c r="I26" s="70">
        <f>IF('Final Calculation Sheet'!$H$26="","",'Final Calculation Sheet'!$H$26)</f>
        <v/>
      </c>
      <c r="J26" s="70">
        <f>IF('Final Calculation Sheet'!$I$26="","",'Final Calculation Sheet'!$I$26)</f>
        <v/>
      </c>
      <c r="K26" s="70">
        <f>IF('Final Calculation Sheet'!$J$26="","",'Final Calculation Sheet'!$J$26)</f>
        <v/>
      </c>
      <c r="L26" s="70">
        <f>IF('Final Calculation Sheet'!$K$26="","",'Final Calculation Sheet'!$K$26)</f>
        <v/>
      </c>
      <c r="M26" s="70">
        <f>IF('Final Calculation Sheet'!$L$26="","",'Final Calculation Sheet'!$L$26)</f>
        <v/>
      </c>
      <c r="N26" s="70">
        <f>IF('Final Calculation Sheet'!$M$26="","",'Final Calculation Sheet'!$M$26)</f>
        <v/>
      </c>
      <c r="O26" s="71">
        <f>IF('Final Calculation Sheet'!$N$26="","",'Final Calculation Sheet'!$N$26)</f>
        <v/>
      </c>
      <c r="P26" s="70">
        <f>IF('Final Calculation Sheet'!$O$26="","",'Final Calculation Sheet'!$O$26)</f>
        <v/>
      </c>
      <c r="Q26" s="70">
        <f>IF('Final Calculation Sheet'!$P$26="","",'Final Calculation Sheet'!$P$26)</f>
        <v/>
      </c>
      <c r="R26" s="72">
        <f>IF('Final Calculation Sheet'!$Q$26="","",'Final Calculation Sheet'!$Q$26)</f>
        <v/>
      </c>
      <c r="S26" s="70">
        <f>IF('Final Calculation Sheet'!$R$26="","",'Final Calculation Sheet'!$R$26)</f>
        <v/>
      </c>
      <c r="T26" s="70">
        <f>IF('Final Calculation Sheet'!$S$26="","",'Final Calculation Sheet'!$S$26)</f>
        <v/>
      </c>
      <c r="U26" s="70">
        <f>IF('Final Calculation Sheet'!$T$26="","",'Final Calculation Sheet'!$T$26)</f>
        <v/>
      </c>
      <c r="V26" s="73">
        <f>IF('Final Calculation Sheet'!$U$26="","",'Final Calculation Sheet'!$U$26)</f>
        <v/>
      </c>
      <c r="W26" s="70">
        <f>IF('Final Calculation Sheet'!$V$26="","",'Final Calculation Sheet'!$V$26)</f>
        <v/>
      </c>
      <c r="X26" s="70">
        <f>IF('Final Calculation Sheet'!$W$26="","",'Final Calculation Sheet'!$W$26)</f>
        <v/>
      </c>
      <c r="Y26" s="70">
        <f>IF('Final Calculation Sheet'!$X$26="","",'Final Calculation Sheet'!$X$26)</f>
        <v/>
      </c>
      <c r="Z26" s="70">
        <f>IF('Final Calculation Sheet'!$Y$26="","",'Final Calculation Sheet'!$Y$26)</f>
        <v/>
      </c>
      <c r="AA26" s="70">
        <f>IF('Final Calculation Sheet'!$Z$26="","",'Final Calculation Sheet'!$Z$26)</f>
        <v/>
      </c>
      <c r="AB26" s="70">
        <f>IF('Final Calculation Sheet'!$AA$26="","",'Final Calculation Sheet'!$AA$26)</f>
        <v/>
      </c>
      <c r="AC26" s="70">
        <f>IF('Final Calculation Sheet'!$AB$26="","",'Final Calculation Sheet'!$AB$26)</f>
        <v/>
      </c>
      <c r="AD26" s="70">
        <f>IF('Final Calculation Sheet'!$AC$26="","",'Final Calculation Sheet'!$AC$26)</f>
        <v/>
      </c>
      <c r="AE26" s="70">
        <f>IF('Final Calculation Sheet'!$AD$26="","",'Final Calculation Sheet'!$AD$26)</f>
        <v/>
      </c>
      <c r="AF26" s="75">
        <f>IF('Final Calculation Sheet'!$AD$26="","",IF('Final Calculation Sheet'!$AD$26&lt;=5,"SETTLED","OUTSTANDING"))</f>
        <v/>
      </c>
      <c r="AG26" s="70">
        <f>IF('Final Calculation Sheet'!$AF$26="","",'Final Calculation Sheet'!$AF$26)</f>
        <v/>
      </c>
      <c r="AH26" s="74">
        <f>IF('Final Calculation Sheet'!$AG$26="","",'Final Calculation Sheet'!$AG$26)</f>
        <v/>
      </c>
      <c r="AI26" s="70">
        <f>IF('Final Calculation Sheet'!$AH$26="","",'Final Calculation Sheet'!$AH$26)</f>
        <v/>
      </c>
      <c r="AJ26">
        <f>IF(AND(IF($B$4="",TRUE(),IF($B$4="(blank)",'Final Calculation Sheet'!$F$26="",IF($B$4="(nonblank)",'Final Calculation Sheet'!$F$26&lt;&gt;"",ISNUMBER(SEARCH($B$4,'Final Calculation Sheet'!$F$26))))),IF($C$4="",TRUE(),IF($C$4="(blank)",'Final Calculation Sheet'!$G$26="",IF($C$4="(nonblank)",'Final Calculation Sheet'!$G$26&lt;&gt;"",ISNUMBER(SEARCH($C$4,'Final Calculation Sheet'!$G$26))))),IF($D$4="",TRUE(),IF($D$4="(blank)",'Final Calculation Sheet'!$B$26="",IF($D$4="(nonblank)",'Final Calculation Sheet'!$B$26&lt;&gt;"",ISNUMBER(SEARCH($D$4,'Final Calculation Sheet'!$B$26))))),IF($E$4="",TRUE(),IF($E$4="(blank)",'Final Calculation Sheet'!$D$26="",IF($E$4="(nonblank)",'Final Calculation Sheet'!$D$26&lt;&gt;"",ISNUMBER(SEARCH($E$4,'Final Calculation Sheet'!$D$26))))),IF($F$4="",TRUE(),IF($F$4="(blank)",'Final Calculation Sheet'!$A$26="",IF($F$4="(nonblank)",'Final Calculation Sheet'!$A$26&lt;&gt;"",ISNUMBER(SEARCH($F$4,'Final Calculation Sheet'!$A$26))))),IF($G$4="",TRUE(),IF($G$4="(blank)",'Final Calculation Sheet'!$E$26="",IF($G$4="(nonblank)",'Final Calculation Sheet'!$E$26&lt;&gt;"",ISNUMBER(SEARCH($G$4,'Final Calculation Sheet'!$E$26))))),IF($H$4="",TRUE(),IF($H$4="(blank)",'Final Calculation Sheet'!$C$26="",IF($H$4="(nonblank)",'Final Calculation Sheet'!$C$26&lt;&gt;"",ISNUMBER(SEARCH($H$4,'Final Calculation Sheet'!$C$26))))),IF($I$4="",TRUE(),IF($I$4="(blank)",'Final Calculation Sheet'!$H$26="",IF($I$4="(nonblank)",'Final Calculation Sheet'!$H$26&lt;&gt;"",ISNUMBER(SEARCH($I$4,'Final Calculation Sheet'!$H$26))))),IF($J$4="",TRUE(),IF($J$4="(blank)",'Final Calculation Sheet'!$I$26="",IF($J$4="(nonblank)",'Final Calculation Sheet'!$I$26&lt;&gt;"",ISNUMBER(SEARCH($J$4,'Final Calculation Sheet'!$I$26))))),IF($K$4="",TRUE(),IF($K$4="(blank)",'Final Calculation Sheet'!$J$26="",IF($K$4="(nonblank)",'Final Calculation Sheet'!$J$26&lt;&gt;"",ISNUMBER(SEARCH($K$4,'Final Calculation Sheet'!$J$26))))),IF($L$4="",TRUE(),IF($L$4="(blank)",'Final Calculation Sheet'!$K$26="",IF($L$4="(nonblank)",'Final Calculation Sheet'!$K$26&lt;&gt;"",ISNUMBER(SEARCH($L$4,'Final Calculation Sheet'!$K$26))))),IF($M$4="",TRUE(),IF($M$4="(blank)",'Final Calculation Sheet'!$L$26="",IF($M$4="(nonblank)",'Final Calculation Sheet'!$L$26&lt;&gt;"",ISNUMBER(SEARCH($M$4,'Final Calculation Sheet'!$L$26))))),IF($N$4="",TRUE(),IF($N$4="(blank)",'Final Calculation Sheet'!$M$26="",IF($N$4="(nonblank)",'Final Calculation Sheet'!$M$26&lt;&gt;"",ISNUMBER(SEARCH($N$4,'Final Calculation Sheet'!$M$26))))),IF($O$4="",TRUE(),IF($O$4="(blank)",'Final Calculation Sheet'!$N$26="",IF($O$4="(nonblank)",'Final Calculation Sheet'!$N$26&lt;&gt;"",ISNUMBER(SEARCH($O$4,'Final Calculation Sheet'!$N$26))))),IF($P$4="",TRUE(),IF($P$4="(blank)",'Final Calculation Sheet'!$O$26="",IF($P$4="(nonblank)",'Final Calculation Sheet'!$O$26&lt;&gt;"",ISNUMBER(SEARCH($P$4,'Final Calculation Sheet'!$O$26))))),IF($Q$4="",TRUE(),IF($Q$4="(blank)",'Final Calculation Sheet'!$P$26="",IF($Q$4="(nonblank)",'Final Calculation Sheet'!$P$26&lt;&gt;"",ISNUMBER(SEARCH($Q$4,'Final Calculation Sheet'!$P$26))))),IF($R$4="",TRUE(),IF($R$4="(blank)",'Final Calculation Sheet'!$Q$26="",IF($R$4="(nonblank)",'Final Calculation Sheet'!$Q$26&lt;&gt;"",ISNUMBER(SEARCH($R$4,'Final Calculation Sheet'!$Q$26))))),IF($S$4="",TRUE(),IF($S$4="(blank)",'Final Calculation Sheet'!$R$26="",IF($S$4="(nonblank)",'Final Calculation Sheet'!$R$26&lt;&gt;"",ISNUMBER(SEARCH($S$4,'Final Calculation Sheet'!$R$26))))),IF($T$4="",TRUE(),IF($T$4="(blank)",'Final Calculation Sheet'!$S$26="",IF($T$4="(nonblank)",'Final Calculation Sheet'!$S$26&lt;&gt;"",ISNUMBER(SEARCH($T$4,'Final Calculation Sheet'!$S$26))))),IF($U$4="",TRUE(),IF($U$4="(blank)",'Final Calculation Sheet'!$T$26="",IF($U$4="(nonblank)",'Final Calculation Sheet'!$T$26&lt;&gt;"",ISNUMBER(SEARCH($U$4,'Final Calculation Sheet'!$T$26))))),IF($V$4="",TRUE(),IF($V$4="(blank)",'Final Calculation Sheet'!$U$26="",IF($V$4="(nonblank)",'Final Calculation Sheet'!$U$26&lt;&gt;"",ISNUMBER(SEARCH($V$4,'Final Calculation Sheet'!$U$26))))),IF($W$4="",TRUE(),IF($W$4="(blank)",'Final Calculation Sheet'!$V$26="",IF($W$4="(nonblank)",'Final Calculation Sheet'!$V$26&lt;&gt;"",ISNUMBER(SEARCH($W$4,'Final Calculation Sheet'!$V$26))))),IF($X$4="",TRUE(),IF($X$4="(blank)",'Final Calculation Sheet'!$W$26="",IF($X$4="(nonblank)",'Final Calculation Sheet'!$W$26&lt;&gt;"",ISNUMBER(SEARCH($X$4,'Final Calculation Sheet'!$W$26))))),IF($Y$4="",TRUE(),IF($Y$4="(blank)",'Final Calculation Sheet'!$X$26="",IF($Y$4="(nonblank)",'Final Calculation Sheet'!$X$26&lt;&gt;"",ISNUMBER(SEARCH($Y$4,'Final Calculation Sheet'!$X$26))))),IF($Z$4="",TRUE(),IF($Z$4="(blank)",'Final Calculation Sheet'!$Y$26="",IF($Z$4="(nonblank)",'Final Calculation Sheet'!$Y$26&lt;&gt;"",ISNUMBER(SEARCH($Z$4,'Final Calculation Sheet'!$Y$26))))),IF($AA$4="",TRUE(),IF($AA$4="(blank)",'Final Calculation Sheet'!$Z$26="",IF($AA$4="(nonblank)",'Final Calculation Sheet'!$Z$26&lt;&gt;"",ISNUMBER(SEARCH($AA$4,'Final Calculation Sheet'!$Z$26))))),IF($AB$4="",TRUE(),IF($AB$4="(blank)",'Final Calculation Sheet'!$AA$26="",IF($AB$4="(nonblank)",'Final Calculation Sheet'!$AA$26&lt;&gt;"",ISNUMBER(SEARCH($AB$4,'Final Calculation Sheet'!$AA$26))))),IF($AC$4="",TRUE(),IF($AC$4="(blank)",'Final Calculation Sheet'!$AB$26="",IF($AC$4="(nonblank)",'Final Calculation Sheet'!$AB$26&lt;&gt;"",ISNUMBER(SEARCH($AC$4,'Final Calculation Sheet'!$AB$26))))),IF($AD$4="",TRUE(),IF($AD$4="(blank)",'Final Calculation Sheet'!$AC$26="",IF($AD$4="(nonblank)",'Final Calculation Sheet'!$AC$26&lt;&gt;"",ISNUMBER(SEARCH($AD$4,'Final Calculation Sheet'!$AC$26))))),IF($AE$4="",TRUE(),IF($AE$4="(blank)",'Final Calculation Sheet'!$AD$26="",IF($AE$4="(nonblank)",'Final Calculation Sheet'!$AD$26&lt;&gt;"",ISNUMBER(SEARCH($AE$4,'Final Calculation Sheet'!$AD$26))))),IF($AG$4="",TRUE(),IF($AG$4="(blank)",'Final Calculation Sheet'!$AF$26="",IF($AG$4="(nonblank)",'Final Calculation Sheet'!$AF$26&lt;&gt;"",ISNUMBER(SEARCH($AG$4,'Final Calculation Sheet'!$AF$26))))),IF($AH$4="",TRUE(),IF($AH$4="(blank)",'Final Calculation Sheet'!$AG$26="",IF($AH$4="(nonblank)",'Final Calculation Sheet'!$AG$26&lt;&gt;"",ISNUMBER(SEARCH($AH$4,'Final Calculation Sheet'!$AG$26))))),IF($AI$4="",TRUE(),IF($AI$4="(blank)",'Final Calculation Sheet'!$AH$26="",IF($AI$4="(nonblank)",'Final Calculation Sheet'!$AH$26&lt;&gt;"",ISNUMBER(SEARCH($AI$4,'Final Calculation Sheet'!$AH$26))))),IF($AF$4="",TRUE(),IF($AF$4="(blank)",IF('Final Calculation Sheet'!$AD$26&lt;=5,"SETTLED","OUTSTANDING")="",IF($AF$4="(nonblank)",IF('Final Calculation Sheet'!$AD$26&lt;=5,"SETTLED","OUTSTANDING")&lt;&gt;"",ISNUMBER(SEARCH($AF$4,IF('Final Calculation Sheet'!$AD$26&lt;=5,"SETTLED","OUTSTANDING"))))))),1,0)</f>
      </c>
      <c r="AK26">
        <f>IF(AJ26=1,COUNTIF(AJ$7:AJ26,1),"")</f>
        <v/>
      </c>
    </row>
    <row r="27" outlineLevel="1" ht="15" customHeight="1" s="137">
      <c r="A27" s="90" t="n">
        <v>10</v>
      </c>
      <c r="B27" s="92">
        <f>IF('Final Calculation Sheet'!$F$30="","",'Final Calculation Sheet'!$F$30)</f>
        <v/>
      </c>
      <c r="C27" s="92">
        <f>IF('Final Calculation Sheet'!$G$30="","",'Final Calculation Sheet'!$G$30)</f>
        <v/>
      </c>
      <c r="D27" s="94">
        <f>IF('Final Calculation Sheet'!$B$30="","",'Final Calculation Sheet'!$B$30)</f>
        <v/>
      </c>
      <c r="E27" s="94">
        <f>IF('Final Calculation Sheet'!$D$30="","",'Final Calculation Sheet'!$D$30)</f>
        <v/>
      </c>
      <c r="F27" s="94">
        <f>IF('Final Calculation Sheet'!$A$30="","",'Final Calculation Sheet'!$A$30)</f>
        <v/>
      </c>
      <c r="G27" s="94">
        <f>IF('Final Calculation Sheet'!$E$30="","",'Final Calculation Sheet'!$E$30)</f>
        <v/>
      </c>
      <c r="H27" s="95">
        <f>IF('Final Calculation Sheet'!$C$30="","",'Final Calculation Sheet'!$C$30)</f>
        <v/>
      </c>
      <c r="I27" s="95">
        <f>IF('Final Calculation Sheet'!$H$30="","",'Final Calculation Sheet'!$H$30)</f>
        <v/>
      </c>
      <c r="J27" s="95">
        <f>IF('Final Calculation Sheet'!$I$30="","",'Final Calculation Sheet'!$I$30)</f>
        <v/>
      </c>
      <c r="K27" s="95">
        <f>IF('Final Calculation Sheet'!$J$30="","",'Final Calculation Sheet'!$J$30)</f>
        <v/>
      </c>
      <c r="L27" s="95">
        <f>IF('Final Calculation Sheet'!$K$30="","",'Final Calculation Sheet'!$K$30)</f>
        <v/>
      </c>
      <c r="M27" s="95">
        <f>IF('Final Calculation Sheet'!$L$30="","",'Final Calculation Sheet'!$L$30)</f>
        <v/>
      </c>
      <c r="N27" s="95">
        <f>IF('Final Calculation Sheet'!$M$30="","",'Final Calculation Sheet'!$M$30)</f>
        <v/>
      </c>
      <c r="O27" s="96">
        <f>IF('Final Calculation Sheet'!$N$30="","",'Final Calculation Sheet'!$N$30)</f>
        <v/>
      </c>
      <c r="P27" s="95">
        <f>IF('Final Calculation Sheet'!$O$30="","",'Final Calculation Sheet'!$O$30)</f>
        <v/>
      </c>
      <c r="Q27" s="95">
        <f>IF('Final Calculation Sheet'!$P$30="","",'Final Calculation Sheet'!$P$30)</f>
        <v/>
      </c>
      <c r="R27" s="97">
        <f>IF('Final Calculation Sheet'!$Q$30="","",'Final Calculation Sheet'!$Q$30)</f>
        <v/>
      </c>
      <c r="S27" s="95">
        <f>IF('Final Calculation Sheet'!$R$30="","",'Final Calculation Sheet'!$R$30)</f>
        <v/>
      </c>
      <c r="T27" s="95">
        <f>IF('Final Calculation Sheet'!$S$30="","",'Final Calculation Sheet'!$S$30)</f>
        <v/>
      </c>
      <c r="U27" s="95">
        <f>IF('Final Calculation Sheet'!$T$30="","",'Final Calculation Sheet'!$T$30)</f>
        <v/>
      </c>
      <c r="V27" s="98">
        <f>IF('Final Calculation Sheet'!$U$30="","",'Final Calculation Sheet'!$U$30)</f>
        <v/>
      </c>
      <c r="W27" s="95">
        <f>IF('Final Calculation Sheet'!$V$30="","",'Final Calculation Sheet'!$V$30)</f>
        <v/>
      </c>
      <c r="X27" s="95">
        <f>IF('Final Calculation Sheet'!$W$30="","",'Final Calculation Sheet'!$W$30)</f>
        <v/>
      </c>
      <c r="Y27" s="95">
        <f>IF('Final Calculation Sheet'!$X$30="","",'Final Calculation Sheet'!$X$30)</f>
        <v/>
      </c>
      <c r="Z27" s="95">
        <f>IF('Final Calculation Sheet'!$Y$30="","",'Final Calculation Sheet'!$Y$30)</f>
        <v/>
      </c>
      <c r="AA27" s="95">
        <f>IF('Final Calculation Sheet'!$Z$30="","",'Final Calculation Sheet'!$Z$30)</f>
        <v/>
      </c>
      <c r="AB27" s="95">
        <f>IF('Final Calculation Sheet'!$AA$30="","",'Final Calculation Sheet'!$AA$30)</f>
        <v/>
      </c>
      <c r="AC27" s="95">
        <f>IF('Final Calculation Sheet'!$AB$30="","",'Final Calculation Sheet'!$AB$30)</f>
        <v/>
      </c>
      <c r="AD27" s="95">
        <f>IF('Final Calculation Sheet'!$AC$30="","",'Final Calculation Sheet'!$AC$30)</f>
        <v/>
      </c>
      <c r="AE27" s="95">
        <f>IF('Final Calculation Sheet'!$AD$30="","",'Final Calculation Sheet'!$AD$30)</f>
        <v/>
      </c>
      <c r="AF27" s="100">
        <f>IF('Final Calculation Sheet'!$AD$30="","",IF('Final Calculation Sheet'!$AD$30&lt;=5,"SETTLED","OUTSTANDING"))</f>
        <v/>
      </c>
      <c r="AG27" s="95">
        <f>IF('Final Calculation Sheet'!$AF$30="","",'Final Calculation Sheet'!$AF$30)</f>
        <v/>
      </c>
      <c r="AH27" s="99">
        <f>IF('Final Calculation Sheet'!$AG$30="","",'Final Calculation Sheet'!$AG$30)</f>
        <v/>
      </c>
      <c r="AI27" s="95">
        <f>IF('Final Calculation Sheet'!$AH$30="","",'Final Calculation Sheet'!$AH$30)</f>
        <v/>
      </c>
      <c r="AJ27">
        <f>IF(AND(IF($B$4="",TRUE(),IF($B$4="(blank)",'Final Calculation Sheet'!$F$30="",IF($B$4="(nonblank)",'Final Calculation Sheet'!$F$30&lt;&gt;"",ISNUMBER(SEARCH($B$4,'Final Calculation Sheet'!$F$30))))),IF($C$4="",TRUE(),IF($C$4="(blank)",'Final Calculation Sheet'!$G$30="",IF($C$4="(nonblank)",'Final Calculation Sheet'!$G$30&lt;&gt;"",ISNUMBER(SEARCH($C$4,'Final Calculation Sheet'!$G$30))))),IF($D$4="",TRUE(),IF($D$4="(blank)",'Final Calculation Sheet'!$B$30="",IF($D$4="(nonblank)",'Final Calculation Sheet'!$B$30&lt;&gt;"",ISNUMBER(SEARCH($D$4,'Final Calculation Sheet'!$B$30))))),IF($E$4="",TRUE(),IF($E$4="(blank)",'Final Calculation Sheet'!$D$30="",IF($E$4="(nonblank)",'Final Calculation Sheet'!$D$30&lt;&gt;"",ISNUMBER(SEARCH($E$4,'Final Calculation Sheet'!$D$30))))),IF($F$4="",TRUE(),IF($F$4="(blank)",'Final Calculation Sheet'!$A$30="",IF($F$4="(nonblank)",'Final Calculation Sheet'!$A$30&lt;&gt;"",ISNUMBER(SEARCH($F$4,'Final Calculation Sheet'!$A$30))))),IF($G$4="",TRUE(),IF($G$4="(blank)",'Final Calculation Sheet'!$E$30="",IF($G$4="(nonblank)",'Final Calculation Sheet'!$E$30&lt;&gt;"",ISNUMBER(SEARCH($G$4,'Final Calculation Sheet'!$E$30))))),IF($H$4="",TRUE(),IF($H$4="(blank)",'Final Calculation Sheet'!$C$30="",IF($H$4="(nonblank)",'Final Calculation Sheet'!$C$30&lt;&gt;"",ISNUMBER(SEARCH($H$4,'Final Calculation Sheet'!$C$30))))),IF($I$4="",TRUE(),IF($I$4="(blank)",'Final Calculation Sheet'!$H$30="",IF($I$4="(nonblank)",'Final Calculation Sheet'!$H$30&lt;&gt;"",ISNUMBER(SEARCH($I$4,'Final Calculation Sheet'!$H$30))))),IF($J$4="",TRUE(),IF($J$4="(blank)",'Final Calculation Sheet'!$I$30="",IF($J$4="(nonblank)",'Final Calculation Sheet'!$I$30&lt;&gt;"",ISNUMBER(SEARCH($J$4,'Final Calculation Sheet'!$I$30))))),IF($K$4="",TRUE(),IF($K$4="(blank)",'Final Calculation Sheet'!$J$30="",IF($K$4="(nonblank)",'Final Calculation Sheet'!$J$30&lt;&gt;"",ISNUMBER(SEARCH($K$4,'Final Calculation Sheet'!$J$30))))),IF($L$4="",TRUE(),IF($L$4="(blank)",'Final Calculation Sheet'!$K$30="",IF($L$4="(nonblank)",'Final Calculation Sheet'!$K$30&lt;&gt;"",ISNUMBER(SEARCH($L$4,'Final Calculation Sheet'!$K$30))))),IF($M$4="",TRUE(),IF($M$4="(blank)",'Final Calculation Sheet'!$L$30="",IF($M$4="(nonblank)",'Final Calculation Sheet'!$L$30&lt;&gt;"",ISNUMBER(SEARCH($M$4,'Final Calculation Sheet'!$L$30))))),IF($N$4="",TRUE(),IF($N$4="(blank)",'Final Calculation Sheet'!$M$30="",IF($N$4="(nonblank)",'Final Calculation Sheet'!$M$30&lt;&gt;"",ISNUMBER(SEARCH($N$4,'Final Calculation Sheet'!$M$30))))),IF($O$4="",TRUE(),IF($O$4="(blank)",'Final Calculation Sheet'!$N$30="",IF($O$4="(nonblank)",'Final Calculation Sheet'!$N$30&lt;&gt;"",ISNUMBER(SEARCH($O$4,'Final Calculation Sheet'!$N$30))))),IF($P$4="",TRUE(),IF($P$4="(blank)",'Final Calculation Sheet'!$O$30="",IF($P$4="(nonblank)",'Final Calculation Sheet'!$O$30&lt;&gt;"",ISNUMBER(SEARCH($P$4,'Final Calculation Sheet'!$O$30))))),IF($Q$4="",TRUE(),IF($Q$4="(blank)",'Final Calculation Sheet'!$P$30="",IF($Q$4="(nonblank)",'Final Calculation Sheet'!$P$30&lt;&gt;"",ISNUMBER(SEARCH($Q$4,'Final Calculation Sheet'!$P$30))))),IF($R$4="",TRUE(),IF($R$4="(blank)",'Final Calculation Sheet'!$Q$30="",IF($R$4="(nonblank)",'Final Calculation Sheet'!$Q$30&lt;&gt;"",ISNUMBER(SEARCH($R$4,'Final Calculation Sheet'!$Q$30))))),IF($S$4="",TRUE(),IF($S$4="(blank)",'Final Calculation Sheet'!$R$30="",IF($S$4="(nonblank)",'Final Calculation Sheet'!$R$30&lt;&gt;"",ISNUMBER(SEARCH($S$4,'Final Calculation Sheet'!$R$30))))),IF($T$4="",TRUE(),IF($T$4="(blank)",'Final Calculation Sheet'!$S$30="",IF($T$4="(nonblank)",'Final Calculation Sheet'!$S$30&lt;&gt;"",ISNUMBER(SEARCH($T$4,'Final Calculation Sheet'!$S$30))))),IF($U$4="",TRUE(),IF($U$4="(blank)",'Final Calculation Sheet'!$T$30="",IF($U$4="(nonblank)",'Final Calculation Sheet'!$T$30&lt;&gt;"",ISNUMBER(SEARCH($U$4,'Final Calculation Sheet'!$T$30))))),IF($V$4="",TRUE(),IF($V$4="(blank)",'Final Calculation Sheet'!$U$30="",IF($V$4="(nonblank)",'Final Calculation Sheet'!$U$30&lt;&gt;"",ISNUMBER(SEARCH($V$4,'Final Calculation Sheet'!$U$30))))),IF($W$4="",TRUE(),IF($W$4="(blank)",'Final Calculation Sheet'!$V$30="",IF($W$4="(nonblank)",'Final Calculation Sheet'!$V$30&lt;&gt;"",ISNUMBER(SEARCH($W$4,'Final Calculation Sheet'!$V$30))))),IF($X$4="",TRUE(),IF($X$4="(blank)",'Final Calculation Sheet'!$W$30="",IF($X$4="(nonblank)",'Final Calculation Sheet'!$W$30&lt;&gt;"",ISNUMBER(SEARCH($X$4,'Final Calculation Sheet'!$W$30))))),IF($Y$4="",TRUE(),IF($Y$4="(blank)",'Final Calculation Sheet'!$X$30="",IF($Y$4="(nonblank)",'Final Calculation Sheet'!$X$30&lt;&gt;"",ISNUMBER(SEARCH($Y$4,'Final Calculation Sheet'!$X$30))))),IF($Z$4="",TRUE(),IF($Z$4="(blank)",'Final Calculation Sheet'!$Y$30="",IF($Z$4="(nonblank)",'Final Calculation Sheet'!$Y$30&lt;&gt;"",ISNUMBER(SEARCH($Z$4,'Final Calculation Sheet'!$Y$30))))),IF($AA$4="",TRUE(),IF($AA$4="(blank)",'Final Calculation Sheet'!$Z$30="",IF($AA$4="(nonblank)",'Final Calculation Sheet'!$Z$30&lt;&gt;"",ISNUMBER(SEARCH($AA$4,'Final Calculation Sheet'!$Z$30))))),IF($AB$4="",TRUE(),IF($AB$4="(blank)",'Final Calculation Sheet'!$AA$30="",IF($AB$4="(nonblank)",'Final Calculation Sheet'!$AA$30&lt;&gt;"",ISNUMBER(SEARCH($AB$4,'Final Calculation Sheet'!$AA$30))))),IF($AC$4="",TRUE(),IF($AC$4="(blank)",'Final Calculation Sheet'!$AB$30="",IF($AC$4="(nonblank)",'Final Calculation Sheet'!$AB$30&lt;&gt;"",ISNUMBER(SEARCH($AC$4,'Final Calculation Sheet'!$AB$30))))),IF($AD$4="",TRUE(),IF($AD$4="(blank)",'Final Calculation Sheet'!$AC$30="",IF($AD$4="(nonblank)",'Final Calculation Sheet'!$AC$30&lt;&gt;"",ISNUMBER(SEARCH($AD$4,'Final Calculation Sheet'!$AC$30))))),IF($AE$4="",TRUE(),IF($AE$4="(blank)",'Final Calculation Sheet'!$AD$30="",IF($AE$4="(nonblank)",'Final Calculation Sheet'!$AD$30&lt;&gt;"",ISNUMBER(SEARCH($AE$4,'Final Calculation Sheet'!$AD$30))))),IF($AG$4="",TRUE(),IF($AG$4="(blank)",'Final Calculation Sheet'!$AF$30="",IF($AG$4="(nonblank)",'Final Calculation Sheet'!$AF$30&lt;&gt;"",ISNUMBER(SEARCH($AG$4,'Final Calculation Sheet'!$AF$30))))),IF($AH$4="",TRUE(),IF($AH$4="(blank)",'Final Calculation Sheet'!$AG$30="",IF($AH$4="(nonblank)",'Final Calculation Sheet'!$AG$30&lt;&gt;"",ISNUMBER(SEARCH($AH$4,'Final Calculation Sheet'!$AG$30))))),IF($AI$4="",TRUE(),IF($AI$4="(blank)",'Final Calculation Sheet'!$AH$30="",IF($AI$4="(nonblank)",'Final Calculation Sheet'!$AH$30&lt;&gt;"",ISNUMBER(SEARCH($AI$4,'Final Calculation Sheet'!$AH$30))))),IF($AF$4="",TRUE(),IF($AF$4="(blank)",IF('Final Calculation Sheet'!$AD$30&lt;=5,"SETTLED","OUTSTANDING")="",IF($AF$4="(nonblank)",IF('Final Calculation Sheet'!$AD$30&lt;=5,"SETTLED","OUTSTANDING")&lt;&gt;"",ISNUMBER(SEARCH($AF$4,IF('Final Calculation Sheet'!$AD$30&lt;=5,"SETTLED","OUTSTANDING"))))))),1,0)</f>
      </c>
      <c r="AK27">
        <f>IF(AJ27=1,COUNTIF(AJ$7:AJ27,1),"")</f>
        <v/>
      </c>
    </row>
    <row r="28" outlineLevel="1" ht="15" customHeight="1" s="137">
      <c r="A28" s="67" t="n">
        <v>11</v>
      </c>
      <c r="B28" s="76">
        <f>IF('Final Calculation Sheet'!$F$32="","",'Final Calculation Sheet'!$F$32)</f>
        <v/>
      </c>
      <c r="C28" s="76">
        <f>IF('Final Calculation Sheet'!$G$32="","",'Final Calculation Sheet'!$G$32)</f>
        <v/>
      </c>
      <c r="D28" s="80">
        <f>IF('Final Calculation Sheet'!$B$32="","",'Final Calculation Sheet'!$B$32)</f>
        <v/>
      </c>
      <c r="E28" s="80">
        <f>IF('Final Calculation Sheet'!$D$32="","",'Final Calculation Sheet'!$D$32)</f>
        <v/>
      </c>
      <c r="F28" s="80">
        <f>IF('Final Calculation Sheet'!$A$32="","",'Final Calculation Sheet'!$A$32)</f>
        <v/>
      </c>
      <c r="G28" s="80">
        <f>IF('Final Calculation Sheet'!$E$32="","",'Final Calculation Sheet'!$E$32)</f>
        <v/>
      </c>
      <c r="H28" s="70">
        <f>IF('Final Calculation Sheet'!$C$32="","",'Final Calculation Sheet'!$C$32)</f>
        <v/>
      </c>
      <c r="I28" s="70">
        <f>IF('Final Calculation Sheet'!$H$32="","",'Final Calculation Sheet'!$H$32)</f>
        <v/>
      </c>
      <c r="J28" s="70">
        <f>IF('Final Calculation Sheet'!$I$32="","",'Final Calculation Sheet'!$I$32)</f>
        <v/>
      </c>
      <c r="K28" s="70">
        <f>IF('Final Calculation Sheet'!$J$32="","",'Final Calculation Sheet'!$J$32)</f>
        <v/>
      </c>
      <c r="L28" s="70">
        <f>IF('Final Calculation Sheet'!$K$32="","",'Final Calculation Sheet'!$K$32)</f>
        <v/>
      </c>
      <c r="M28" s="70">
        <f>IF('Final Calculation Sheet'!$L$32="","",'Final Calculation Sheet'!$L$32)</f>
        <v/>
      </c>
      <c r="N28" s="70">
        <f>IF('Final Calculation Sheet'!$M$32="","",'Final Calculation Sheet'!$M$32)</f>
        <v/>
      </c>
      <c r="O28" s="71">
        <f>IF('Final Calculation Sheet'!$N$32="","",'Final Calculation Sheet'!$N$32)</f>
        <v/>
      </c>
      <c r="P28" s="70">
        <f>IF('Final Calculation Sheet'!$O$32="","",'Final Calculation Sheet'!$O$32)</f>
        <v/>
      </c>
      <c r="Q28" s="70">
        <f>IF('Final Calculation Sheet'!$P$32="","",'Final Calculation Sheet'!$P$32)</f>
        <v/>
      </c>
      <c r="R28" s="72">
        <f>IF('Final Calculation Sheet'!$Q$32="","",'Final Calculation Sheet'!$Q$32)</f>
        <v/>
      </c>
      <c r="S28" s="70">
        <f>IF('Final Calculation Sheet'!$R$32="","",'Final Calculation Sheet'!$R$32)</f>
        <v/>
      </c>
      <c r="T28" s="70">
        <f>IF('Final Calculation Sheet'!$S$32="","",'Final Calculation Sheet'!$S$32)</f>
        <v/>
      </c>
      <c r="U28" s="70">
        <f>IF('Final Calculation Sheet'!$T$32="","",'Final Calculation Sheet'!$T$32)</f>
        <v/>
      </c>
      <c r="V28" s="73">
        <f>IF('Final Calculation Sheet'!$U$32="","",'Final Calculation Sheet'!$U$32)</f>
        <v/>
      </c>
      <c r="W28" s="70">
        <f>IF('Final Calculation Sheet'!$V$32="","",'Final Calculation Sheet'!$V$32)</f>
        <v/>
      </c>
      <c r="X28" s="70">
        <f>IF('Final Calculation Sheet'!$W$32="","",'Final Calculation Sheet'!$W$32)</f>
        <v/>
      </c>
      <c r="Y28" s="70">
        <f>IF('Final Calculation Sheet'!$X$32="","",'Final Calculation Sheet'!$X$32)</f>
        <v/>
      </c>
      <c r="Z28" s="70">
        <f>IF('Final Calculation Sheet'!$Y$32="","",'Final Calculation Sheet'!$Y$32)</f>
        <v/>
      </c>
      <c r="AA28" s="70">
        <f>IF('Final Calculation Sheet'!$Z$32="","",'Final Calculation Sheet'!$Z$32)</f>
        <v/>
      </c>
      <c r="AB28" s="70">
        <f>IF('Final Calculation Sheet'!$AA$32="","",'Final Calculation Sheet'!$AA$32)</f>
        <v/>
      </c>
      <c r="AC28" s="70">
        <f>IF('Final Calculation Sheet'!$AB$32="","",'Final Calculation Sheet'!$AB$32)</f>
        <v/>
      </c>
      <c r="AD28" s="70">
        <f>IF('Final Calculation Sheet'!$AC$32="","",'Final Calculation Sheet'!$AC$32)</f>
        <v/>
      </c>
      <c r="AE28" s="70">
        <f>IF('Final Calculation Sheet'!$AD$32="","",'Final Calculation Sheet'!$AD$32)</f>
        <v/>
      </c>
      <c r="AF28" s="75">
        <f>IF('Final Calculation Sheet'!$AD$32="","",IF('Final Calculation Sheet'!$AD$32&lt;=5,"SETTLED","OUTSTANDING"))</f>
        <v/>
      </c>
      <c r="AG28" s="70">
        <f>IF('Final Calculation Sheet'!$AF$32="","",'Final Calculation Sheet'!$AF$32)</f>
        <v/>
      </c>
      <c r="AH28" s="74">
        <f>IF('Final Calculation Sheet'!$AG$32="","",'Final Calculation Sheet'!$AG$32)</f>
        <v/>
      </c>
      <c r="AI28" s="70">
        <f>IF('Final Calculation Sheet'!$AH$32="","",'Final Calculation Sheet'!$AH$32)</f>
        <v/>
      </c>
      <c r="AJ28">
        <f>IF(AND(IF($B$4="",TRUE(),IF($B$4="(blank)",'Final Calculation Sheet'!$F$32="",IF($B$4="(nonblank)",'Final Calculation Sheet'!$F$32&lt;&gt;"",ISNUMBER(SEARCH($B$4,'Final Calculation Sheet'!$F$32))))),IF($C$4="",TRUE(),IF($C$4="(blank)",'Final Calculation Sheet'!$G$32="",IF($C$4="(nonblank)",'Final Calculation Sheet'!$G$32&lt;&gt;"",ISNUMBER(SEARCH($C$4,'Final Calculation Sheet'!$G$32))))),IF($D$4="",TRUE(),IF($D$4="(blank)",'Final Calculation Sheet'!$B$32="",IF($D$4="(nonblank)",'Final Calculation Sheet'!$B$32&lt;&gt;"",ISNUMBER(SEARCH($D$4,'Final Calculation Sheet'!$B$32))))),IF($E$4="",TRUE(),IF($E$4="(blank)",'Final Calculation Sheet'!$D$32="",IF($E$4="(nonblank)",'Final Calculation Sheet'!$D$32&lt;&gt;"",ISNUMBER(SEARCH($E$4,'Final Calculation Sheet'!$D$32))))),IF($F$4="",TRUE(),IF($F$4="(blank)",'Final Calculation Sheet'!$A$32="",IF($F$4="(nonblank)",'Final Calculation Sheet'!$A$32&lt;&gt;"",ISNUMBER(SEARCH($F$4,'Final Calculation Sheet'!$A$32))))),IF($G$4="",TRUE(),IF($G$4="(blank)",'Final Calculation Sheet'!$E$32="",IF($G$4="(nonblank)",'Final Calculation Sheet'!$E$32&lt;&gt;"",ISNUMBER(SEARCH($G$4,'Final Calculation Sheet'!$E$32))))),IF($H$4="",TRUE(),IF($H$4="(blank)",'Final Calculation Sheet'!$C$32="",IF($H$4="(nonblank)",'Final Calculation Sheet'!$C$32&lt;&gt;"",ISNUMBER(SEARCH($H$4,'Final Calculation Sheet'!$C$32))))),IF($I$4="",TRUE(),IF($I$4="(blank)",'Final Calculation Sheet'!$H$32="",IF($I$4="(nonblank)",'Final Calculation Sheet'!$H$32&lt;&gt;"",ISNUMBER(SEARCH($I$4,'Final Calculation Sheet'!$H$32))))),IF($J$4="",TRUE(),IF($J$4="(blank)",'Final Calculation Sheet'!$I$32="",IF($J$4="(nonblank)",'Final Calculation Sheet'!$I$32&lt;&gt;"",ISNUMBER(SEARCH($J$4,'Final Calculation Sheet'!$I$32))))),IF($K$4="",TRUE(),IF($K$4="(blank)",'Final Calculation Sheet'!$J$32="",IF($K$4="(nonblank)",'Final Calculation Sheet'!$J$32&lt;&gt;"",ISNUMBER(SEARCH($K$4,'Final Calculation Sheet'!$J$32))))),IF($L$4="",TRUE(),IF($L$4="(blank)",'Final Calculation Sheet'!$K$32="",IF($L$4="(nonblank)",'Final Calculation Sheet'!$K$32&lt;&gt;"",ISNUMBER(SEARCH($L$4,'Final Calculation Sheet'!$K$32))))),IF($M$4="",TRUE(),IF($M$4="(blank)",'Final Calculation Sheet'!$L$32="",IF($M$4="(nonblank)",'Final Calculation Sheet'!$L$32&lt;&gt;"",ISNUMBER(SEARCH($M$4,'Final Calculation Sheet'!$L$32))))),IF($N$4="",TRUE(),IF($N$4="(blank)",'Final Calculation Sheet'!$M$32="",IF($N$4="(nonblank)",'Final Calculation Sheet'!$M$32&lt;&gt;"",ISNUMBER(SEARCH($N$4,'Final Calculation Sheet'!$M$32))))),IF($O$4="",TRUE(),IF($O$4="(blank)",'Final Calculation Sheet'!$N$32="",IF($O$4="(nonblank)",'Final Calculation Sheet'!$N$32&lt;&gt;"",ISNUMBER(SEARCH($O$4,'Final Calculation Sheet'!$N$32))))),IF($P$4="",TRUE(),IF($P$4="(blank)",'Final Calculation Sheet'!$O$32="",IF($P$4="(nonblank)",'Final Calculation Sheet'!$O$32&lt;&gt;"",ISNUMBER(SEARCH($P$4,'Final Calculation Sheet'!$O$32))))),IF($Q$4="",TRUE(),IF($Q$4="(blank)",'Final Calculation Sheet'!$P$32="",IF($Q$4="(nonblank)",'Final Calculation Sheet'!$P$32&lt;&gt;"",ISNUMBER(SEARCH($Q$4,'Final Calculation Sheet'!$P$32))))),IF($R$4="",TRUE(),IF($R$4="(blank)",'Final Calculation Sheet'!$Q$32="",IF($R$4="(nonblank)",'Final Calculation Sheet'!$Q$32&lt;&gt;"",ISNUMBER(SEARCH($R$4,'Final Calculation Sheet'!$Q$32))))),IF($S$4="",TRUE(),IF($S$4="(blank)",'Final Calculation Sheet'!$R$32="",IF($S$4="(nonblank)",'Final Calculation Sheet'!$R$32&lt;&gt;"",ISNUMBER(SEARCH($S$4,'Final Calculation Sheet'!$R$32))))),IF($T$4="",TRUE(),IF($T$4="(blank)",'Final Calculation Sheet'!$S$32="",IF($T$4="(nonblank)",'Final Calculation Sheet'!$S$32&lt;&gt;"",ISNUMBER(SEARCH($T$4,'Final Calculation Sheet'!$S$32))))),IF($U$4="",TRUE(),IF($U$4="(blank)",'Final Calculation Sheet'!$T$32="",IF($U$4="(nonblank)",'Final Calculation Sheet'!$T$32&lt;&gt;"",ISNUMBER(SEARCH($U$4,'Final Calculation Sheet'!$T$32))))),IF($V$4="",TRUE(),IF($V$4="(blank)",'Final Calculation Sheet'!$U$32="",IF($V$4="(nonblank)",'Final Calculation Sheet'!$U$32&lt;&gt;"",ISNUMBER(SEARCH($V$4,'Final Calculation Sheet'!$U$32))))),IF($W$4="",TRUE(),IF($W$4="(blank)",'Final Calculation Sheet'!$V$32="",IF($W$4="(nonblank)",'Final Calculation Sheet'!$V$32&lt;&gt;"",ISNUMBER(SEARCH($W$4,'Final Calculation Sheet'!$V$32))))),IF($X$4="",TRUE(),IF($X$4="(blank)",'Final Calculation Sheet'!$W$32="",IF($X$4="(nonblank)",'Final Calculation Sheet'!$W$32&lt;&gt;"",ISNUMBER(SEARCH($X$4,'Final Calculation Sheet'!$W$32))))),IF($Y$4="",TRUE(),IF($Y$4="(blank)",'Final Calculation Sheet'!$X$32="",IF($Y$4="(nonblank)",'Final Calculation Sheet'!$X$32&lt;&gt;"",ISNUMBER(SEARCH($Y$4,'Final Calculation Sheet'!$X$32))))),IF($Z$4="",TRUE(),IF($Z$4="(blank)",'Final Calculation Sheet'!$Y$32="",IF($Z$4="(nonblank)",'Final Calculation Sheet'!$Y$32&lt;&gt;"",ISNUMBER(SEARCH($Z$4,'Final Calculation Sheet'!$Y$32))))),IF($AA$4="",TRUE(),IF($AA$4="(blank)",'Final Calculation Sheet'!$Z$32="",IF($AA$4="(nonblank)",'Final Calculation Sheet'!$Z$32&lt;&gt;"",ISNUMBER(SEARCH($AA$4,'Final Calculation Sheet'!$Z$32))))),IF($AB$4="",TRUE(),IF($AB$4="(blank)",'Final Calculation Sheet'!$AA$32="",IF($AB$4="(nonblank)",'Final Calculation Sheet'!$AA$32&lt;&gt;"",ISNUMBER(SEARCH($AB$4,'Final Calculation Sheet'!$AA$32))))),IF($AC$4="",TRUE(),IF($AC$4="(blank)",'Final Calculation Sheet'!$AB$32="",IF($AC$4="(nonblank)",'Final Calculation Sheet'!$AB$32&lt;&gt;"",ISNUMBER(SEARCH($AC$4,'Final Calculation Sheet'!$AB$32))))),IF($AD$4="",TRUE(),IF($AD$4="(blank)",'Final Calculation Sheet'!$AC$32="",IF($AD$4="(nonblank)",'Final Calculation Sheet'!$AC$32&lt;&gt;"",ISNUMBER(SEARCH($AD$4,'Final Calculation Sheet'!$AC$32))))),IF($AE$4="",TRUE(),IF($AE$4="(blank)",'Final Calculation Sheet'!$AD$32="",IF($AE$4="(nonblank)",'Final Calculation Sheet'!$AD$32&lt;&gt;"",ISNUMBER(SEARCH($AE$4,'Final Calculation Sheet'!$AD$32))))),IF($AG$4="",TRUE(),IF($AG$4="(blank)",'Final Calculation Sheet'!$AF$32="",IF($AG$4="(nonblank)",'Final Calculation Sheet'!$AF$32&lt;&gt;"",ISNUMBER(SEARCH($AG$4,'Final Calculation Sheet'!$AF$32))))),IF($AH$4="",TRUE(),IF($AH$4="(blank)",'Final Calculation Sheet'!$AG$32="",IF($AH$4="(nonblank)",'Final Calculation Sheet'!$AG$32&lt;&gt;"",ISNUMBER(SEARCH($AH$4,'Final Calculation Sheet'!$AG$32))))),IF($AI$4="",TRUE(),IF($AI$4="(blank)",'Final Calculation Sheet'!$AH$32="",IF($AI$4="(nonblank)",'Final Calculation Sheet'!$AH$32&lt;&gt;"",ISNUMBER(SEARCH($AI$4,'Final Calculation Sheet'!$AH$32))))),IF($AF$4="",TRUE(),IF($AF$4="(blank)",IF('Final Calculation Sheet'!$AD$32&lt;=5,"SETTLED","OUTSTANDING")="",IF($AF$4="(nonblank)",IF('Final Calculation Sheet'!$AD$32&lt;=5,"SETTLED","OUTSTANDING")&lt;&gt;"",ISNUMBER(SEARCH($AF$4,IF('Final Calculation Sheet'!$AD$32&lt;=5,"SETTLED","OUTSTANDING"))))))),1,0)</f>
      </c>
      <c r="AK28">
        <f>IF(AJ28=1,COUNTIF(AJ$7:AJ28,1),"")</f>
        <v/>
      </c>
    </row>
    <row r="29" outlineLevel="1" ht="15" customHeight="1" s="137">
      <c r="A29" s="90" t="n">
        <v>12</v>
      </c>
      <c r="B29" s="92">
        <f>IF('Final Calculation Sheet'!$F$33="","",'Final Calculation Sheet'!$F$33)</f>
        <v/>
      </c>
      <c r="C29" s="92">
        <f>IF('Final Calculation Sheet'!$G$33="","",'Final Calculation Sheet'!$G$33)</f>
        <v/>
      </c>
      <c r="D29" s="94">
        <f>IF('Final Calculation Sheet'!$B$33="","",'Final Calculation Sheet'!$B$33)</f>
        <v/>
      </c>
      <c r="E29" s="94">
        <f>IF('Final Calculation Sheet'!$D$33="","",'Final Calculation Sheet'!$D$33)</f>
        <v/>
      </c>
      <c r="F29" s="94">
        <f>IF('Final Calculation Sheet'!$A$33="","",'Final Calculation Sheet'!$A$33)</f>
        <v/>
      </c>
      <c r="G29" s="94">
        <f>IF('Final Calculation Sheet'!$E$33="","",'Final Calculation Sheet'!$E$33)</f>
        <v/>
      </c>
      <c r="H29" s="95">
        <f>IF('Final Calculation Sheet'!$C$33="","",'Final Calculation Sheet'!$C$33)</f>
        <v/>
      </c>
      <c r="I29" s="95">
        <f>IF('Final Calculation Sheet'!$H$33="","",'Final Calculation Sheet'!$H$33)</f>
        <v/>
      </c>
      <c r="J29" s="95">
        <f>IF('Final Calculation Sheet'!$I$33="","",'Final Calculation Sheet'!$I$33)</f>
        <v/>
      </c>
      <c r="K29" s="95">
        <f>IF('Final Calculation Sheet'!$J$33="","",'Final Calculation Sheet'!$J$33)</f>
        <v/>
      </c>
      <c r="L29" s="95">
        <f>IF('Final Calculation Sheet'!$K$33="","",'Final Calculation Sheet'!$K$33)</f>
        <v/>
      </c>
      <c r="M29" s="95">
        <f>IF('Final Calculation Sheet'!$L$33="","",'Final Calculation Sheet'!$L$33)</f>
        <v/>
      </c>
      <c r="N29" s="95">
        <f>IF('Final Calculation Sheet'!$M$33="","",'Final Calculation Sheet'!$M$33)</f>
        <v/>
      </c>
      <c r="O29" s="96">
        <f>IF('Final Calculation Sheet'!$N$33="","",'Final Calculation Sheet'!$N$33)</f>
        <v/>
      </c>
      <c r="P29" s="95">
        <f>IF('Final Calculation Sheet'!$O$33="","",'Final Calculation Sheet'!$O$33)</f>
        <v/>
      </c>
      <c r="Q29" s="95">
        <f>IF('Final Calculation Sheet'!$P$33="","",'Final Calculation Sheet'!$P$33)</f>
        <v/>
      </c>
      <c r="R29" s="97">
        <f>IF('Final Calculation Sheet'!$Q$33="","",'Final Calculation Sheet'!$Q$33)</f>
        <v/>
      </c>
      <c r="S29" s="95">
        <f>IF('Final Calculation Sheet'!$R$33="","",'Final Calculation Sheet'!$R$33)</f>
        <v/>
      </c>
      <c r="T29" s="95">
        <f>IF('Final Calculation Sheet'!$S$33="","",'Final Calculation Sheet'!$S$33)</f>
        <v/>
      </c>
      <c r="U29" s="95">
        <f>IF('Final Calculation Sheet'!$T$33="","",'Final Calculation Sheet'!$T$33)</f>
        <v/>
      </c>
      <c r="V29" s="98">
        <f>IF('Final Calculation Sheet'!$U$33="","",'Final Calculation Sheet'!$U$33)</f>
        <v/>
      </c>
      <c r="W29" s="95">
        <f>IF('Final Calculation Sheet'!$V$33="","",'Final Calculation Sheet'!$V$33)</f>
        <v/>
      </c>
      <c r="X29" s="95">
        <f>IF('Final Calculation Sheet'!$W$33="","",'Final Calculation Sheet'!$W$33)</f>
        <v/>
      </c>
      <c r="Y29" s="95">
        <f>IF('Final Calculation Sheet'!$X$33="","",'Final Calculation Sheet'!$X$33)</f>
        <v/>
      </c>
      <c r="Z29" s="95">
        <f>IF('Final Calculation Sheet'!$Y$33="","",'Final Calculation Sheet'!$Y$33)</f>
        <v/>
      </c>
      <c r="AA29" s="95">
        <f>IF('Final Calculation Sheet'!$Z$33="","",'Final Calculation Sheet'!$Z$33)</f>
        <v/>
      </c>
      <c r="AB29" s="95">
        <f>IF('Final Calculation Sheet'!$AA$33="","",'Final Calculation Sheet'!$AA$33)</f>
        <v/>
      </c>
      <c r="AC29" s="95">
        <f>IF('Final Calculation Sheet'!$AB$33="","",'Final Calculation Sheet'!$AB$33)</f>
        <v/>
      </c>
      <c r="AD29" s="95">
        <f>IF('Final Calculation Sheet'!$AC$33="","",'Final Calculation Sheet'!$AC$33)</f>
        <v/>
      </c>
      <c r="AE29" s="95">
        <f>IF('Final Calculation Sheet'!$AD$33="","",'Final Calculation Sheet'!$AD$33)</f>
        <v/>
      </c>
      <c r="AF29" s="100">
        <f>IF('Final Calculation Sheet'!$AD$33="","",IF('Final Calculation Sheet'!$AD$33&lt;=5,"SETTLED","OUTSTANDING"))</f>
        <v/>
      </c>
      <c r="AG29" s="95">
        <f>IF('Final Calculation Sheet'!$AF$33="","",'Final Calculation Sheet'!$AF$33)</f>
        <v/>
      </c>
      <c r="AH29" s="99">
        <f>IF('Final Calculation Sheet'!$AG$33="","",'Final Calculation Sheet'!$AG$33)</f>
        <v/>
      </c>
      <c r="AI29" s="95">
        <f>IF('Final Calculation Sheet'!$AH$33="","",'Final Calculation Sheet'!$AH$33)</f>
        <v/>
      </c>
      <c r="AJ29">
        <f>IF(AND(IF($B$4="",TRUE(),IF($B$4="(blank)",'Final Calculation Sheet'!$F$33="",IF($B$4="(nonblank)",'Final Calculation Sheet'!$F$33&lt;&gt;"",ISNUMBER(SEARCH($B$4,'Final Calculation Sheet'!$F$33))))),IF($C$4="",TRUE(),IF($C$4="(blank)",'Final Calculation Sheet'!$G$33="",IF($C$4="(nonblank)",'Final Calculation Sheet'!$G$33&lt;&gt;"",ISNUMBER(SEARCH($C$4,'Final Calculation Sheet'!$G$33))))),IF($D$4="",TRUE(),IF($D$4="(blank)",'Final Calculation Sheet'!$B$33="",IF($D$4="(nonblank)",'Final Calculation Sheet'!$B$33&lt;&gt;"",ISNUMBER(SEARCH($D$4,'Final Calculation Sheet'!$B$33))))),IF($E$4="",TRUE(),IF($E$4="(blank)",'Final Calculation Sheet'!$D$33="",IF($E$4="(nonblank)",'Final Calculation Sheet'!$D$33&lt;&gt;"",ISNUMBER(SEARCH($E$4,'Final Calculation Sheet'!$D$33))))),IF($F$4="",TRUE(),IF($F$4="(blank)",'Final Calculation Sheet'!$A$33="",IF($F$4="(nonblank)",'Final Calculation Sheet'!$A$33&lt;&gt;"",ISNUMBER(SEARCH($F$4,'Final Calculation Sheet'!$A$33))))),IF($G$4="",TRUE(),IF($G$4="(blank)",'Final Calculation Sheet'!$E$33="",IF($G$4="(nonblank)",'Final Calculation Sheet'!$E$33&lt;&gt;"",ISNUMBER(SEARCH($G$4,'Final Calculation Sheet'!$E$33))))),IF($H$4="",TRUE(),IF($H$4="(blank)",'Final Calculation Sheet'!$C$33="",IF($H$4="(nonblank)",'Final Calculation Sheet'!$C$33&lt;&gt;"",ISNUMBER(SEARCH($H$4,'Final Calculation Sheet'!$C$33))))),IF($I$4="",TRUE(),IF($I$4="(blank)",'Final Calculation Sheet'!$H$33="",IF($I$4="(nonblank)",'Final Calculation Sheet'!$H$33&lt;&gt;"",ISNUMBER(SEARCH($I$4,'Final Calculation Sheet'!$H$33))))),IF($J$4="",TRUE(),IF($J$4="(blank)",'Final Calculation Sheet'!$I$33="",IF($J$4="(nonblank)",'Final Calculation Sheet'!$I$33&lt;&gt;"",ISNUMBER(SEARCH($J$4,'Final Calculation Sheet'!$I$33))))),IF($K$4="",TRUE(),IF($K$4="(blank)",'Final Calculation Sheet'!$J$33="",IF($K$4="(nonblank)",'Final Calculation Sheet'!$J$33&lt;&gt;"",ISNUMBER(SEARCH($K$4,'Final Calculation Sheet'!$J$33))))),IF($L$4="",TRUE(),IF($L$4="(blank)",'Final Calculation Sheet'!$K$33="",IF($L$4="(nonblank)",'Final Calculation Sheet'!$K$33&lt;&gt;"",ISNUMBER(SEARCH($L$4,'Final Calculation Sheet'!$K$33))))),IF($M$4="",TRUE(),IF($M$4="(blank)",'Final Calculation Sheet'!$L$33="",IF($M$4="(nonblank)",'Final Calculation Sheet'!$L$33&lt;&gt;"",ISNUMBER(SEARCH($M$4,'Final Calculation Sheet'!$L$33))))),IF($N$4="",TRUE(),IF($N$4="(blank)",'Final Calculation Sheet'!$M$33="",IF($N$4="(nonblank)",'Final Calculation Sheet'!$M$33&lt;&gt;"",ISNUMBER(SEARCH($N$4,'Final Calculation Sheet'!$M$33))))),IF($O$4="",TRUE(),IF($O$4="(blank)",'Final Calculation Sheet'!$N$33="",IF($O$4="(nonblank)",'Final Calculation Sheet'!$N$33&lt;&gt;"",ISNUMBER(SEARCH($O$4,'Final Calculation Sheet'!$N$33))))),IF($P$4="",TRUE(),IF($P$4="(blank)",'Final Calculation Sheet'!$O$33="",IF($P$4="(nonblank)",'Final Calculation Sheet'!$O$33&lt;&gt;"",ISNUMBER(SEARCH($P$4,'Final Calculation Sheet'!$O$33))))),IF($Q$4="",TRUE(),IF($Q$4="(blank)",'Final Calculation Sheet'!$P$33="",IF($Q$4="(nonblank)",'Final Calculation Sheet'!$P$33&lt;&gt;"",ISNUMBER(SEARCH($Q$4,'Final Calculation Sheet'!$P$33))))),IF($R$4="",TRUE(),IF($R$4="(blank)",'Final Calculation Sheet'!$Q$33="",IF($R$4="(nonblank)",'Final Calculation Sheet'!$Q$33&lt;&gt;"",ISNUMBER(SEARCH($R$4,'Final Calculation Sheet'!$Q$33))))),IF($S$4="",TRUE(),IF($S$4="(blank)",'Final Calculation Sheet'!$R$33="",IF($S$4="(nonblank)",'Final Calculation Sheet'!$R$33&lt;&gt;"",ISNUMBER(SEARCH($S$4,'Final Calculation Sheet'!$R$33))))),IF($T$4="",TRUE(),IF($T$4="(blank)",'Final Calculation Sheet'!$S$33="",IF($T$4="(nonblank)",'Final Calculation Sheet'!$S$33&lt;&gt;"",ISNUMBER(SEARCH($T$4,'Final Calculation Sheet'!$S$33))))),IF($U$4="",TRUE(),IF($U$4="(blank)",'Final Calculation Sheet'!$T$33="",IF($U$4="(nonblank)",'Final Calculation Sheet'!$T$33&lt;&gt;"",ISNUMBER(SEARCH($U$4,'Final Calculation Sheet'!$T$33))))),IF($V$4="",TRUE(),IF($V$4="(blank)",'Final Calculation Sheet'!$U$33="",IF($V$4="(nonblank)",'Final Calculation Sheet'!$U$33&lt;&gt;"",ISNUMBER(SEARCH($V$4,'Final Calculation Sheet'!$U$33))))),IF($W$4="",TRUE(),IF($W$4="(blank)",'Final Calculation Sheet'!$V$33="",IF($W$4="(nonblank)",'Final Calculation Sheet'!$V$33&lt;&gt;"",ISNUMBER(SEARCH($W$4,'Final Calculation Sheet'!$V$33))))),IF($X$4="",TRUE(),IF($X$4="(blank)",'Final Calculation Sheet'!$W$33="",IF($X$4="(nonblank)",'Final Calculation Sheet'!$W$33&lt;&gt;"",ISNUMBER(SEARCH($X$4,'Final Calculation Sheet'!$W$33))))),IF($Y$4="",TRUE(),IF($Y$4="(blank)",'Final Calculation Sheet'!$X$33="",IF($Y$4="(nonblank)",'Final Calculation Sheet'!$X$33&lt;&gt;"",ISNUMBER(SEARCH($Y$4,'Final Calculation Sheet'!$X$33))))),IF($Z$4="",TRUE(),IF($Z$4="(blank)",'Final Calculation Sheet'!$Y$33="",IF($Z$4="(nonblank)",'Final Calculation Sheet'!$Y$33&lt;&gt;"",ISNUMBER(SEARCH($Z$4,'Final Calculation Sheet'!$Y$33))))),IF($AA$4="",TRUE(),IF($AA$4="(blank)",'Final Calculation Sheet'!$Z$33="",IF($AA$4="(nonblank)",'Final Calculation Sheet'!$Z$33&lt;&gt;"",ISNUMBER(SEARCH($AA$4,'Final Calculation Sheet'!$Z$33))))),IF($AB$4="",TRUE(),IF($AB$4="(blank)",'Final Calculation Sheet'!$AA$33="",IF($AB$4="(nonblank)",'Final Calculation Sheet'!$AA$33&lt;&gt;"",ISNUMBER(SEARCH($AB$4,'Final Calculation Sheet'!$AA$33))))),IF($AC$4="",TRUE(),IF($AC$4="(blank)",'Final Calculation Sheet'!$AB$33="",IF($AC$4="(nonblank)",'Final Calculation Sheet'!$AB$33&lt;&gt;"",ISNUMBER(SEARCH($AC$4,'Final Calculation Sheet'!$AB$33))))),IF($AD$4="",TRUE(),IF($AD$4="(blank)",'Final Calculation Sheet'!$AC$33="",IF($AD$4="(nonblank)",'Final Calculation Sheet'!$AC$33&lt;&gt;"",ISNUMBER(SEARCH($AD$4,'Final Calculation Sheet'!$AC$33))))),IF($AE$4="",TRUE(),IF($AE$4="(blank)",'Final Calculation Sheet'!$AD$33="",IF($AE$4="(nonblank)",'Final Calculation Sheet'!$AD$33&lt;&gt;"",ISNUMBER(SEARCH($AE$4,'Final Calculation Sheet'!$AD$33))))),IF($AG$4="",TRUE(),IF($AG$4="(blank)",'Final Calculation Sheet'!$AF$33="",IF($AG$4="(nonblank)",'Final Calculation Sheet'!$AF$33&lt;&gt;"",ISNUMBER(SEARCH($AG$4,'Final Calculation Sheet'!$AF$33))))),IF($AH$4="",TRUE(),IF($AH$4="(blank)",'Final Calculation Sheet'!$AG$33="",IF($AH$4="(nonblank)",'Final Calculation Sheet'!$AG$33&lt;&gt;"",ISNUMBER(SEARCH($AH$4,'Final Calculation Sheet'!$AG$33))))),IF($AI$4="",TRUE(),IF($AI$4="(blank)",'Final Calculation Sheet'!$AH$33="",IF($AI$4="(nonblank)",'Final Calculation Sheet'!$AH$33&lt;&gt;"",ISNUMBER(SEARCH($AI$4,'Final Calculation Sheet'!$AH$33))))),IF($AF$4="",TRUE(),IF($AF$4="(blank)",IF('Final Calculation Sheet'!$AD$33&lt;=5,"SETTLED","OUTSTANDING")="",IF($AF$4="(nonblank)",IF('Final Calculation Sheet'!$AD$33&lt;=5,"SETTLED","OUTSTANDING")&lt;&gt;"",ISNUMBER(SEARCH($AF$4,IF('Final Calculation Sheet'!$AD$33&lt;=5,"SETTLED","OUTSTANDING"))))))),1,0)</f>
      </c>
      <c r="AK29">
        <f>IF(AJ29=1,COUNTIF(AJ$7:AJ29,1),"")</f>
        <v/>
      </c>
    </row>
    <row r="30" outlineLevel="1" ht="15" customHeight="1" s="137">
      <c r="A30" s="67" t="n">
        <v>13</v>
      </c>
      <c r="B30" s="76">
        <f>IF('Final Calculation Sheet'!$F$37="","",'Final Calculation Sheet'!$F$37)</f>
        <v/>
      </c>
      <c r="C30" s="76">
        <f>IF('Final Calculation Sheet'!$G$37="","",'Final Calculation Sheet'!$G$37)</f>
        <v/>
      </c>
      <c r="D30" s="80">
        <f>IF('Final Calculation Sheet'!$B$37="","",'Final Calculation Sheet'!$B$37)</f>
        <v/>
      </c>
      <c r="E30" s="80">
        <f>IF('Final Calculation Sheet'!$D$37="","",'Final Calculation Sheet'!$D$37)</f>
        <v/>
      </c>
      <c r="F30" s="80">
        <f>IF('Final Calculation Sheet'!$A$37="","",'Final Calculation Sheet'!$A$37)</f>
        <v/>
      </c>
      <c r="G30" s="80">
        <f>IF('Final Calculation Sheet'!$E$37="","",'Final Calculation Sheet'!$E$37)</f>
        <v/>
      </c>
      <c r="H30" s="70">
        <f>IF('Final Calculation Sheet'!$C$37="","",'Final Calculation Sheet'!$C$37)</f>
        <v/>
      </c>
      <c r="I30" s="70">
        <f>IF('Final Calculation Sheet'!$H$37="","",'Final Calculation Sheet'!$H$37)</f>
        <v/>
      </c>
      <c r="J30" s="70">
        <f>IF('Final Calculation Sheet'!$I$37="","",'Final Calculation Sheet'!$I$37)</f>
        <v/>
      </c>
      <c r="K30" s="70">
        <f>IF('Final Calculation Sheet'!$J$37="","",'Final Calculation Sheet'!$J$37)</f>
        <v/>
      </c>
      <c r="L30" s="70">
        <f>IF('Final Calculation Sheet'!$K$37="","",'Final Calculation Sheet'!$K$37)</f>
        <v/>
      </c>
      <c r="M30" s="70">
        <f>IF('Final Calculation Sheet'!$L$37="","",'Final Calculation Sheet'!$L$37)</f>
        <v/>
      </c>
      <c r="N30" s="70">
        <f>IF('Final Calculation Sheet'!$M$37="","",'Final Calculation Sheet'!$M$37)</f>
        <v/>
      </c>
      <c r="O30" s="71">
        <f>IF('Final Calculation Sheet'!$N$37="","",'Final Calculation Sheet'!$N$37)</f>
        <v/>
      </c>
      <c r="P30" s="70">
        <f>IF('Final Calculation Sheet'!$O$37="","",'Final Calculation Sheet'!$O$37)</f>
        <v/>
      </c>
      <c r="Q30" s="70">
        <f>IF('Final Calculation Sheet'!$P$37="","",'Final Calculation Sheet'!$P$37)</f>
        <v/>
      </c>
      <c r="R30" s="72">
        <f>IF('Final Calculation Sheet'!$Q$37="","",'Final Calculation Sheet'!$Q$37)</f>
        <v/>
      </c>
      <c r="S30" s="70">
        <f>IF('Final Calculation Sheet'!$R$37="","",'Final Calculation Sheet'!$R$37)</f>
        <v/>
      </c>
      <c r="T30" s="70">
        <f>IF('Final Calculation Sheet'!$S$37="","",'Final Calculation Sheet'!$S$37)</f>
        <v/>
      </c>
      <c r="U30" s="70">
        <f>IF('Final Calculation Sheet'!$T$37="","",'Final Calculation Sheet'!$T$37)</f>
        <v/>
      </c>
      <c r="V30" s="73">
        <f>IF('Final Calculation Sheet'!$U$37="","",'Final Calculation Sheet'!$U$37)</f>
        <v/>
      </c>
      <c r="W30" s="70">
        <f>IF('Final Calculation Sheet'!$V$37="","",'Final Calculation Sheet'!$V$37)</f>
        <v/>
      </c>
      <c r="X30" s="70">
        <f>IF('Final Calculation Sheet'!$W$37="","",'Final Calculation Sheet'!$W$37)</f>
        <v/>
      </c>
      <c r="Y30" s="70">
        <f>IF('Final Calculation Sheet'!$X$37="","",'Final Calculation Sheet'!$X$37)</f>
        <v/>
      </c>
      <c r="Z30" s="70">
        <f>IF('Final Calculation Sheet'!$Y$37="","",'Final Calculation Sheet'!$Y$37)</f>
        <v/>
      </c>
      <c r="AA30" s="70">
        <f>IF('Final Calculation Sheet'!$Z$37="","",'Final Calculation Sheet'!$Z$37)</f>
        <v/>
      </c>
      <c r="AB30" s="70">
        <f>IF('Final Calculation Sheet'!$AA$37="","",'Final Calculation Sheet'!$AA$37)</f>
        <v/>
      </c>
      <c r="AC30" s="70">
        <f>IF('Final Calculation Sheet'!$AB$37="","",'Final Calculation Sheet'!$AB$37)</f>
        <v/>
      </c>
      <c r="AD30" s="70">
        <f>IF('Final Calculation Sheet'!$AC$37="","",'Final Calculation Sheet'!$AC$37)</f>
        <v/>
      </c>
      <c r="AE30" s="70">
        <f>IF('Final Calculation Sheet'!$AD$37="","",'Final Calculation Sheet'!$AD$37)</f>
        <v/>
      </c>
      <c r="AF30" s="75">
        <f>IF('Final Calculation Sheet'!$AD$37="","",IF('Final Calculation Sheet'!$AD$37&lt;=5,"SETTLED","OUTSTANDING"))</f>
        <v/>
      </c>
      <c r="AG30" s="70">
        <f>IF('Final Calculation Sheet'!$AF$37="","",'Final Calculation Sheet'!$AF$37)</f>
        <v/>
      </c>
      <c r="AH30" s="74">
        <f>IF('Final Calculation Sheet'!$AG$37="","",'Final Calculation Sheet'!$AG$37)</f>
        <v/>
      </c>
      <c r="AI30" s="70">
        <f>IF('Final Calculation Sheet'!$AH$37="","",'Final Calculation Sheet'!$AH$37)</f>
        <v/>
      </c>
      <c r="AJ30">
        <f>IF(AND(IF($B$4="",TRUE(),IF($B$4="(blank)",'Final Calculation Sheet'!$F$37="",IF($B$4="(nonblank)",'Final Calculation Sheet'!$F$37&lt;&gt;"",ISNUMBER(SEARCH($B$4,'Final Calculation Sheet'!$F$37))))),IF($C$4="",TRUE(),IF($C$4="(blank)",'Final Calculation Sheet'!$G$37="",IF($C$4="(nonblank)",'Final Calculation Sheet'!$G$37&lt;&gt;"",ISNUMBER(SEARCH($C$4,'Final Calculation Sheet'!$G$37))))),IF($D$4="",TRUE(),IF($D$4="(blank)",'Final Calculation Sheet'!$B$37="",IF($D$4="(nonblank)",'Final Calculation Sheet'!$B$37&lt;&gt;"",ISNUMBER(SEARCH($D$4,'Final Calculation Sheet'!$B$37))))),IF($E$4="",TRUE(),IF($E$4="(blank)",'Final Calculation Sheet'!$D$37="",IF($E$4="(nonblank)",'Final Calculation Sheet'!$D$37&lt;&gt;"",ISNUMBER(SEARCH($E$4,'Final Calculation Sheet'!$D$37))))),IF($F$4="",TRUE(),IF($F$4="(blank)",'Final Calculation Sheet'!$A$37="",IF($F$4="(nonblank)",'Final Calculation Sheet'!$A$37&lt;&gt;"",ISNUMBER(SEARCH($F$4,'Final Calculation Sheet'!$A$37))))),IF($G$4="",TRUE(),IF($G$4="(blank)",'Final Calculation Sheet'!$E$37="",IF($G$4="(nonblank)",'Final Calculation Sheet'!$E$37&lt;&gt;"",ISNUMBER(SEARCH($G$4,'Final Calculation Sheet'!$E$37))))),IF($H$4="",TRUE(),IF($H$4="(blank)",'Final Calculation Sheet'!$C$37="",IF($H$4="(nonblank)",'Final Calculation Sheet'!$C$37&lt;&gt;"",ISNUMBER(SEARCH($H$4,'Final Calculation Sheet'!$C$37))))),IF($I$4="",TRUE(),IF($I$4="(blank)",'Final Calculation Sheet'!$H$37="",IF($I$4="(nonblank)",'Final Calculation Sheet'!$H$37&lt;&gt;"",ISNUMBER(SEARCH($I$4,'Final Calculation Sheet'!$H$37))))),IF($J$4="",TRUE(),IF($J$4="(blank)",'Final Calculation Sheet'!$I$37="",IF($J$4="(nonblank)",'Final Calculation Sheet'!$I$37&lt;&gt;"",ISNUMBER(SEARCH($J$4,'Final Calculation Sheet'!$I$37))))),IF($K$4="",TRUE(),IF($K$4="(blank)",'Final Calculation Sheet'!$J$37="",IF($K$4="(nonblank)",'Final Calculation Sheet'!$J$37&lt;&gt;"",ISNUMBER(SEARCH($K$4,'Final Calculation Sheet'!$J$37))))),IF($L$4="",TRUE(),IF($L$4="(blank)",'Final Calculation Sheet'!$K$37="",IF($L$4="(nonblank)",'Final Calculation Sheet'!$K$37&lt;&gt;"",ISNUMBER(SEARCH($L$4,'Final Calculation Sheet'!$K$37))))),IF($M$4="",TRUE(),IF($M$4="(blank)",'Final Calculation Sheet'!$L$37="",IF($M$4="(nonblank)",'Final Calculation Sheet'!$L$37&lt;&gt;"",ISNUMBER(SEARCH($M$4,'Final Calculation Sheet'!$L$37))))),IF($N$4="",TRUE(),IF($N$4="(blank)",'Final Calculation Sheet'!$M$37="",IF($N$4="(nonblank)",'Final Calculation Sheet'!$M$37&lt;&gt;"",ISNUMBER(SEARCH($N$4,'Final Calculation Sheet'!$M$37))))),IF($O$4="",TRUE(),IF($O$4="(blank)",'Final Calculation Sheet'!$N$37="",IF($O$4="(nonblank)",'Final Calculation Sheet'!$N$37&lt;&gt;"",ISNUMBER(SEARCH($O$4,'Final Calculation Sheet'!$N$37))))),IF($P$4="",TRUE(),IF($P$4="(blank)",'Final Calculation Sheet'!$O$37="",IF($P$4="(nonblank)",'Final Calculation Sheet'!$O$37&lt;&gt;"",ISNUMBER(SEARCH($P$4,'Final Calculation Sheet'!$O$37))))),IF($Q$4="",TRUE(),IF($Q$4="(blank)",'Final Calculation Sheet'!$P$37="",IF($Q$4="(nonblank)",'Final Calculation Sheet'!$P$37&lt;&gt;"",ISNUMBER(SEARCH($Q$4,'Final Calculation Sheet'!$P$37))))),IF($R$4="",TRUE(),IF($R$4="(blank)",'Final Calculation Sheet'!$Q$37="",IF($R$4="(nonblank)",'Final Calculation Sheet'!$Q$37&lt;&gt;"",ISNUMBER(SEARCH($R$4,'Final Calculation Sheet'!$Q$37))))),IF($S$4="",TRUE(),IF($S$4="(blank)",'Final Calculation Sheet'!$R$37="",IF($S$4="(nonblank)",'Final Calculation Sheet'!$R$37&lt;&gt;"",ISNUMBER(SEARCH($S$4,'Final Calculation Sheet'!$R$37))))),IF($T$4="",TRUE(),IF($T$4="(blank)",'Final Calculation Sheet'!$S$37="",IF($T$4="(nonblank)",'Final Calculation Sheet'!$S$37&lt;&gt;"",ISNUMBER(SEARCH($T$4,'Final Calculation Sheet'!$S$37))))),IF($U$4="",TRUE(),IF($U$4="(blank)",'Final Calculation Sheet'!$T$37="",IF($U$4="(nonblank)",'Final Calculation Sheet'!$T$37&lt;&gt;"",ISNUMBER(SEARCH($U$4,'Final Calculation Sheet'!$T$37))))),IF($V$4="",TRUE(),IF($V$4="(blank)",'Final Calculation Sheet'!$U$37="",IF($V$4="(nonblank)",'Final Calculation Sheet'!$U$37&lt;&gt;"",ISNUMBER(SEARCH($V$4,'Final Calculation Sheet'!$U$37))))),IF($W$4="",TRUE(),IF($W$4="(blank)",'Final Calculation Sheet'!$V$37="",IF($W$4="(nonblank)",'Final Calculation Sheet'!$V$37&lt;&gt;"",ISNUMBER(SEARCH($W$4,'Final Calculation Sheet'!$V$37))))),IF($X$4="",TRUE(),IF($X$4="(blank)",'Final Calculation Sheet'!$W$37="",IF($X$4="(nonblank)",'Final Calculation Sheet'!$W$37&lt;&gt;"",ISNUMBER(SEARCH($X$4,'Final Calculation Sheet'!$W$37))))),IF($Y$4="",TRUE(),IF($Y$4="(blank)",'Final Calculation Sheet'!$X$37="",IF($Y$4="(nonblank)",'Final Calculation Sheet'!$X$37&lt;&gt;"",ISNUMBER(SEARCH($Y$4,'Final Calculation Sheet'!$X$37))))),IF($Z$4="",TRUE(),IF($Z$4="(blank)",'Final Calculation Sheet'!$Y$37="",IF($Z$4="(nonblank)",'Final Calculation Sheet'!$Y$37&lt;&gt;"",ISNUMBER(SEARCH($Z$4,'Final Calculation Sheet'!$Y$37))))),IF($AA$4="",TRUE(),IF($AA$4="(blank)",'Final Calculation Sheet'!$Z$37="",IF($AA$4="(nonblank)",'Final Calculation Sheet'!$Z$37&lt;&gt;"",ISNUMBER(SEARCH($AA$4,'Final Calculation Sheet'!$Z$37))))),IF($AB$4="",TRUE(),IF($AB$4="(blank)",'Final Calculation Sheet'!$AA$37="",IF($AB$4="(nonblank)",'Final Calculation Sheet'!$AA$37&lt;&gt;"",ISNUMBER(SEARCH($AB$4,'Final Calculation Sheet'!$AA$37))))),IF($AC$4="",TRUE(),IF($AC$4="(blank)",'Final Calculation Sheet'!$AB$37="",IF($AC$4="(nonblank)",'Final Calculation Sheet'!$AB$37&lt;&gt;"",ISNUMBER(SEARCH($AC$4,'Final Calculation Sheet'!$AB$37))))),IF($AD$4="",TRUE(),IF($AD$4="(blank)",'Final Calculation Sheet'!$AC$37="",IF($AD$4="(nonblank)",'Final Calculation Sheet'!$AC$37&lt;&gt;"",ISNUMBER(SEARCH($AD$4,'Final Calculation Sheet'!$AC$37))))),IF($AE$4="",TRUE(),IF($AE$4="(blank)",'Final Calculation Sheet'!$AD$37="",IF($AE$4="(nonblank)",'Final Calculation Sheet'!$AD$37&lt;&gt;"",ISNUMBER(SEARCH($AE$4,'Final Calculation Sheet'!$AD$37))))),IF($AG$4="",TRUE(),IF($AG$4="(blank)",'Final Calculation Sheet'!$AF$37="",IF($AG$4="(nonblank)",'Final Calculation Sheet'!$AF$37&lt;&gt;"",ISNUMBER(SEARCH($AG$4,'Final Calculation Sheet'!$AF$37))))),IF($AH$4="",TRUE(),IF($AH$4="(blank)",'Final Calculation Sheet'!$AG$37="",IF($AH$4="(nonblank)",'Final Calculation Sheet'!$AG$37&lt;&gt;"",ISNUMBER(SEARCH($AH$4,'Final Calculation Sheet'!$AG$37))))),IF($AI$4="",TRUE(),IF($AI$4="(blank)",'Final Calculation Sheet'!$AH$37="",IF($AI$4="(nonblank)",'Final Calculation Sheet'!$AH$37&lt;&gt;"",ISNUMBER(SEARCH($AI$4,'Final Calculation Sheet'!$AH$37))))),IF($AF$4="",TRUE(),IF($AF$4="(blank)",IF('Final Calculation Sheet'!$AD$37&lt;=5,"SETTLED","OUTSTANDING")="",IF($AF$4="(nonblank)",IF('Final Calculation Sheet'!$AD$37&lt;=5,"SETTLED","OUTSTANDING")&lt;&gt;"",ISNUMBER(SEARCH($AF$4,IF('Final Calculation Sheet'!$AD$37&lt;=5,"SETTLED","OUTSTANDING"))))))),1,0)</f>
      </c>
      <c r="AK30">
        <f>IF(AJ30=1,COUNTIF(AJ$7:AJ30,1),"")</f>
        <v/>
      </c>
    </row>
    <row r="31" ht="15" customHeight="1" s="137">
      <c r="A31" s="81" t="inlineStr">
        <is>
          <t>∑</t>
        </is>
      </c>
      <c r="B31" s="83" t="n"/>
      <c r="C31" s="83">
        <f>ROWS($C$18:$C$30)&amp;" lot(s)"</f>
        <v/>
      </c>
      <c r="D31" s="83" t="inlineStr">
        <is>
          <t>SUBTOTAL — NATIONAL ENTERPRISES</t>
        </is>
      </c>
      <c r="E31" s="83" t="inlineStr">
        <is>
          <t>–</t>
        </is>
      </c>
      <c r="F31" s="83">
        <f>SUM(F18:F30)</f>
        <v/>
      </c>
      <c r="G31" s="83" t="inlineStr">
        <is>
          <t>–</t>
        </is>
      </c>
      <c r="H31" s="84" t="inlineStr">
        <is>
          <t>–</t>
        </is>
      </c>
      <c r="I31" s="84">
        <f>SUM(I18:I30)</f>
        <v/>
      </c>
      <c r="J31" s="84">
        <f>SUM(J18:J30)</f>
        <v/>
      </c>
      <c r="K31" s="84">
        <f>SUM(K18:K30)</f>
        <v/>
      </c>
      <c r="L31" s="84">
        <f>SUM(L18:L30)</f>
        <v/>
      </c>
      <c r="M31" s="84">
        <f>SUM(M18:M30)</f>
        <v/>
      </c>
      <c r="N31" s="84">
        <f>SUM(N18:N30)</f>
        <v/>
      </c>
      <c r="O31" s="85">
        <f>SUM(O18:O30)</f>
        <v/>
      </c>
      <c r="P31" s="84">
        <f>SUM(P18:P30)</f>
        <v/>
      </c>
      <c r="Q31" s="84">
        <f>SUM(Q18:Q30)</f>
        <v/>
      </c>
      <c r="R31" s="86" t="inlineStr">
        <is>
          <t>–</t>
        </is>
      </c>
      <c r="S31" s="84">
        <f>SUM(S18:S30)</f>
        <v/>
      </c>
      <c r="T31" s="84">
        <f>SUM(T18:T30)</f>
        <v/>
      </c>
      <c r="U31" s="84">
        <f>SUM(U18:U30)</f>
        <v/>
      </c>
      <c r="V31" s="87">
        <f>SUM(V18:V30)</f>
        <v/>
      </c>
      <c r="W31" s="84" t="inlineStr">
        <is>
          <t>–</t>
        </is>
      </c>
      <c r="X31" s="84">
        <f>SUM(X18:X30)</f>
        <v/>
      </c>
      <c r="Y31" s="84">
        <f>SUM(Y18:Y30)</f>
        <v/>
      </c>
      <c r="Z31" s="84" t="inlineStr">
        <is>
          <t>–</t>
        </is>
      </c>
      <c r="AA31" s="84">
        <f>SUM(AA18:AA30)</f>
        <v/>
      </c>
      <c r="AB31" s="84">
        <f>SUM(AB18:AB30)</f>
        <v/>
      </c>
      <c r="AC31" s="84" t="inlineStr">
        <is>
          <t>–</t>
        </is>
      </c>
      <c r="AD31" s="84">
        <f>SUM(AD18:AD30)</f>
        <v/>
      </c>
      <c r="AE31" s="84">
        <f>SUM(AE18:AE30)</f>
        <v/>
      </c>
      <c r="AF31" s="89">
        <f>IF(AE31&lt;=5,"SETTLED","OUTSTANDING")</f>
        <v/>
      </c>
      <c r="AG31" s="84" t="inlineStr">
        <is>
          <t>–</t>
        </is>
      </c>
      <c r="AH31" s="88" t="inlineStr">
        <is>
          <t>–</t>
        </is>
      </c>
      <c r="AI31" s="84" t="inlineStr">
        <is>
          <t>–</t>
        </is>
      </c>
    </row>
    <row r="32" outlineLevel="1" ht="15" customHeight="1" s="137">
      <c r="A32" s="67" t="n">
        <v>1</v>
      </c>
      <c r="B32" s="76">
        <f>IF('Final Calculation Sheet'!$F$21="","",'Final Calculation Sheet'!$F$21)</f>
        <v/>
      </c>
      <c r="C32" s="76">
        <f>IF('Final Calculation Sheet'!$G$21="","",'Final Calculation Sheet'!$G$21)</f>
        <v/>
      </c>
      <c r="D32" s="80">
        <f>IF('Final Calculation Sheet'!$B$21="","",'Final Calculation Sheet'!$B$21)</f>
        <v/>
      </c>
      <c r="E32" s="80">
        <f>IF('Final Calculation Sheet'!$D$21="","",'Final Calculation Sheet'!$D$21)</f>
        <v/>
      </c>
      <c r="F32" s="80">
        <f>IF('Final Calculation Sheet'!$A$21="","",'Final Calculation Sheet'!$A$21)</f>
        <v/>
      </c>
      <c r="G32" s="80">
        <f>IF('Final Calculation Sheet'!$E$21="","",'Final Calculation Sheet'!$E$21)</f>
        <v/>
      </c>
      <c r="H32" s="70">
        <f>IF('Final Calculation Sheet'!$C$21="","",'Final Calculation Sheet'!$C$21)</f>
        <v/>
      </c>
      <c r="I32" s="70">
        <f>IF('Final Calculation Sheet'!$H$21="","",'Final Calculation Sheet'!$H$21)</f>
        <v/>
      </c>
      <c r="J32" s="70">
        <f>IF('Final Calculation Sheet'!$I$21="","",'Final Calculation Sheet'!$I$21)</f>
        <v/>
      </c>
      <c r="K32" s="70">
        <f>IF('Final Calculation Sheet'!$J$21="","",'Final Calculation Sheet'!$J$21)</f>
        <v/>
      </c>
      <c r="L32" s="70">
        <f>IF('Final Calculation Sheet'!$K$21="","",'Final Calculation Sheet'!$K$21)</f>
        <v/>
      </c>
      <c r="M32" s="70">
        <f>IF('Final Calculation Sheet'!$L$21="","",'Final Calculation Sheet'!$L$21)</f>
        <v/>
      </c>
      <c r="N32" s="70">
        <f>IF('Final Calculation Sheet'!$M$21="","",'Final Calculation Sheet'!$M$21)</f>
        <v/>
      </c>
      <c r="O32" s="71">
        <f>IF('Final Calculation Sheet'!$N$21="","",'Final Calculation Sheet'!$N$21)</f>
        <v/>
      </c>
      <c r="P32" s="70">
        <f>IF('Final Calculation Sheet'!$O$21="","",'Final Calculation Sheet'!$O$21)</f>
        <v/>
      </c>
      <c r="Q32" s="70">
        <f>IF('Final Calculation Sheet'!$P$21="","",'Final Calculation Sheet'!$P$21)</f>
        <v/>
      </c>
      <c r="R32" s="72">
        <f>IF('Final Calculation Sheet'!$Q$21="","",'Final Calculation Sheet'!$Q$21)</f>
        <v/>
      </c>
      <c r="S32" s="70">
        <f>IF('Final Calculation Sheet'!$R$21="","",'Final Calculation Sheet'!$R$21)</f>
        <v/>
      </c>
      <c r="T32" s="70">
        <f>IF('Final Calculation Sheet'!$S$21="","",'Final Calculation Sheet'!$S$21)</f>
        <v/>
      </c>
      <c r="U32" s="70">
        <f>IF('Final Calculation Sheet'!$T$21="","",'Final Calculation Sheet'!$T$21)</f>
        <v/>
      </c>
      <c r="V32" s="73">
        <f>IF('Final Calculation Sheet'!$U$21="","",'Final Calculation Sheet'!$U$21)</f>
        <v/>
      </c>
      <c r="W32" s="70">
        <f>IF('Final Calculation Sheet'!$V$21="","",'Final Calculation Sheet'!$V$21)</f>
        <v/>
      </c>
      <c r="X32" s="70">
        <f>IF('Final Calculation Sheet'!$W$21="","",'Final Calculation Sheet'!$W$21)</f>
        <v/>
      </c>
      <c r="Y32" s="70">
        <f>IF('Final Calculation Sheet'!$X$21="","",'Final Calculation Sheet'!$X$21)</f>
        <v/>
      </c>
      <c r="Z32" s="70">
        <f>IF('Final Calculation Sheet'!$Y$21="","",'Final Calculation Sheet'!$Y$21)</f>
        <v/>
      </c>
      <c r="AA32" s="70">
        <f>IF('Final Calculation Sheet'!$Z$21="","",'Final Calculation Sheet'!$Z$21)</f>
        <v/>
      </c>
      <c r="AB32" s="70">
        <f>IF('Final Calculation Sheet'!$AA$21="","",'Final Calculation Sheet'!$AA$21)</f>
        <v/>
      </c>
      <c r="AC32" s="70">
        <f>IF('Final Calculation Sheet'!$AB$21="","",'Final Calculation Sheet'!$AB$21)</f>
        <v/>
      </c>
      <c r="AD32" s="70">
        <f>IF('Final Calculation Sheet'!$AC$21="","",'Final Calculation Sheet'!$AC$21)</f>
        <v/>
      </c>
      <c r="AE32" s="70">
        <f>IF('Final Calculation Sheet'!$AD$21="","",'Final Calculation Sheet'!$AD$21)</f>
        <v/>
      </c>
      <c r="AF32" s="75">
        <f>IF('Final Calculation Sheet'!$AD$21="","",IF('Final Calculation Sheet'!$AD$21&lt;=5,"SETTLED","OUTSTANDING"))</f>
        <v/>
      </c>
      <c r="AG32" s="70">
        <f>IF('Final Calculation Sheet'!$AF$21="","",'Final Calculation Sheet'!$AF$21)</f>
        <v/>
      </c>
      <c r="AH32" s="74">
        <f>IF('Final Calculation Sheet'!$AG$21="","",'Final Calculation Sheet'!$AG$21)</f>
        <v/>
      </c>
      <c r="AI32" s="70">
        <f>IF('Final Calculation Sheet'!$AH$21="","",'Final Calculation Sheet'!$AH$21)</f>
        <v/>
      </c>
      <c r="AJ32">
        <f>IF(AND(IF($B$4="",TRUE(),IF($B$4="(blank)",'Final Calculation Sheet'!$F$21="",IF($B$4="(nonblank)",'Final Calculation Sheet'!$F$21&lt;&gt;"",ISNUMBER(SEARCH($B$4,'Final Calculation Sheet'!$F$21))))),IF($C$4="",TRUE(),IF($C$4="(blank)",'Final Calculation Sheet'!$G$21="",IF($C$4="(nonblank)",'Final Calculation Sheet'!$G$21&lt;&gt;"",ISNUMBER(SEARCH($C$4,'Final Calculation Sheet'!$G$21))))),IF($D$4="",TRUE(),IF($D$4="(blank)",'Final Calculation Sheet'!$B$21="",IF($D$4="(nonblank)",'Final Calculation Sheet'!$B$21&lt;&gt;"",ISNUMBER(SEARCH($D$4,'Final Calculation Sheet'!$B$21))))),IF($E$4="",TRUE(),IF($E$4="(blank)",'Final Calculation Sheet'!$D$21="",IF($E$4="(nonblank)",'Final Calculation Sheet'!$D$21&lt;&gt;"",ISNUMBER(SEARCH($E$4,'Final Calculation Sheet'!$D$21))))),IF($F$4="",TRUE(),IF($F$4="(blank)",'Final Calculation Sheet'!$A$21="",IF($F$4="(nonblank)",'Final Calculation Sheet'!$A$21&lt;&gt;"",ISNUMBER(SEARCH($F$4,'Final Calculation Sheet'!$A$21))))),IF($G$4="",TRUE(),IF($G$4="(blank)",'Final Calculation Sheet'!$E$21="",IF($G$4="(nonblank)",'Final Calculation Sheet'!$E$21&lt;&gt;"",ISNUMBER(SEARCH($G$4,'Final Calculation Sheet'!$E$21))))),IF($H$4="",TRUE(),IF($H$4="(blank)",'Final Calculation Sheet'!$C$21="",IF($H$4="(nonblank)",'Final Calculation Sheet'!$C$21&lt;&gt;"",ISNUMBER(SEARCH($H$4,'Final Calculation Sheet'!$C$21))))),IF($I$4="",TRUE(),IF($I$4="(blank)",'Final Calculation Sheet'!$H$21="",IF($I$4="(nonblank)",'Final Calculation Sheet'!$H$21&lt;&gt;"",ISNUMBER(SEARCH($I$4,'Final Calculation Sheet'!$H$21))))),IF($J$4="",TRUE(),IF($J$4="(blank)",'Final Calculation Sheet'!$I$21="",IF($J$4="(nonblank)",'Final Calculation Sheet'!$I$21&lt;&gt;"",ISNUMBER(SEARCH($J$4,'Final Calculation Sheet'!$I$21))))),IF($K$4="",TRUE(),IF($K$4="(blank)",'Final Calculation Sheet'!$J$21="",IF($K$4="(nonblank)",'Final Calculation Sheet'!$J$21&lt;&gt;"",ISNUMBER(SEARCH($K$4,'Final Calculation Sheet'!$J$21))))),IF($L$4="",TRUE(),IF($L$4="(blank)",'Final Calculation Sheet'!$K$21="",IF($L$4="(nonblank)",'Final Calculation Sheet'!$K$21&lt;&gt;"",ISNUMBER(SEARCH($L$4,'Final Calculation Sheet'!$K$21))))),IF($M$4="",TRUE(),IF($M$4="(blank)",'Final Calculation Sheet'!$L$21="",IF($M$4="(nonblank)",'Final Calculation Sheet'!$L$21&lt;&gt;"",ISNUMBER(SEARCH($M$4,'Final Calculation Sheet'!$L$21))))),IF($N$4="",TRUE(),IF($N$4="(blank)",'Final Calculation Sheet'!$M$21="",IF($N$4="(nonblank)",'Final Calculation Sheet'!$M$21&lt;&gt;"",ISNUMBER(SEARCH($N$4,'Final Calculation Sheet'!$M$21))))),IF($O$4="",TRUE(),IF($O$4="(blank)",'Final Calculation Sheet'!$N$21="",IF($O$4="(nonblank)",'Final Calculation Sheet'!$N$21&lt;&gt;"",ISNUMBER(SEARCH($O$4,'Final Calculation Sheet'!$N$21))))),IF($P$4="",TRUE(),IF($P$4="(blank)",'Final Calculation Sheet'!$O$21="",IF($P$4="(nonblank)",'Final Calculation Sheet'!$O$21&lt;&gt;"",ISNUMBER(SEARCH($P$4,'Final Calculation Sheet'!$O$21))))),IF($Q$4="",TRUE(),IF($Q$4="(blank)",'Final Calculation Sheet'!$P$21="",IF($Q$4="(nonblank)",'Final Calculation Sheet'!$P$21&lt;&gt;"",ISNUMBER(SEARCH($Q$4,'Final Calculation Sheet'!$P$21))))),IF($R$4="",TRUE(),IF($R$4="(blank)",'Final Calculation Sheet'!$Q$21="",IF($R$4="(nonblank)",'Final Calculation Sheet'!$Q$21&lt;&gt;"",ISNUMBER(SEARCH($R$4,'Final Calculation Sheet'!$Q$21))))),IF($S$4="",TRUE(),IF($S$4="(blank)",'Final Calculation Sheet'!$R$21="",IF($S$4="(nonblank)",'Final Calculation Sheet'!$R$21&lt;&gt;"",ISNUMBER(SEARCH($S$4,'Final Calculation Sheet'!$R$21))))),IF($T$4="",TRUE(),IF($T$4="(blank)",'Final Calculation Sheet'!$S$21="",IF($T$4="(nonblank)",'Final Calculation Sheet'!$S$21&lt;&gt;"",ISNUMBER(SEARCH($T$4,'Final Calculation Sheet'!$S$21))))),IF($U$4="",TRUE(),IF($U$4="(blank)",'Final Calculation Sheet'!$T$21="",IF($U$4="(nonblank)",'Final Calculation Sheet'!$T$21&lt;&gt;"",ISNUMBER(SEARCH($U$4,'Final Calculation Sheet'!$T$21))))),IF($V$4="",TRUE(),IF($V$4="(blank)",'Final Calculation Sheet'!$U$21="",IF($V$4="(nonblank)",'Final Calculation Sheet'!$U$21&lt;&gt;"",ISNUMBER(SEARCH($V$4,'Final Calculation Sheet'!$U$21))))),IF($W$4="",TRUE(),IF($W$4="(blank)",'Final Calculation Sheet'!$V$21="",IF($W$4="(nonblank)",'Final Calculation Sheet'!$V$21&lt;&gt;"",ISNUMBER(SEARCH($W$4,'Final Calculation Sheet'!$V$21))))),IF($X$4="",TRUE(),IF($X$4="(blank)",'Final Calculation Sheet'!$W$21="",IF($X$4="(nonblank)",'Final Calculation Sheet'!$W$21&lt;&gt;"",ISNUMBER(SEARCH($X$4,'Final Calculation Sheet'!$W$21))))),IF($Y$4="",TRUE(),IF($Y$4="(blank)",'Final Calculation Sheet'!$X$21="",IF($Y$4="(nonblank)",'Final Calculation Sheet'!$X$21&lt;&gt;"",ISNUMBER(SEARCH($Y$4,'Final Calculation Sheet'!$X$21))))),IF($Z$4="",TRUE(),IF($Z$4="(blank)",'Final Calculation Sheet'!$Y$21="",IF($Z$4="(nonblank)",'Final Calculation Sheet'!$Y$21&lt;&gt;"",ISNUMBER(SEARCH($Z$4,'Final Calculation Sheet'!$Y$21))))),IF($AA$4="",TRUE(),IF($AA$4="(blank)",'Final Calculation Sheet'!$Z$21="",IF($AA$4="(nonblank)",'Final Calculation Sheet'!$Z$21&lt;&gt;"",ISNUMBER(SEARCH($AA$4,'Final Calculation Sheet'!$Z$21))))),IF($AB$4="",TRUE(),IF($AB$4="(blank)",'Final Calculation Sheet'!$AA$21="",IF($AB$4="(nonblank)",'Final Calculation Sheet'!$AA$21&lt;&gt;"",ISNUMBER(SEARCH($AB$4,'Final Calculation Sheet'!$AA$21))))),IF($AC$4="",TRUE(),IF($AC$4="(blank)",'Final Calculation Sheet'!$AB$21="",IF($AC$4="(nonblank)",'Final Calculation Sheet'!$AB$21&lt;&gt;"",ISNUMBER(SEARCH($AC$4,'Final Calculation Sheet'!$AB$21))))),IF($AD$4="",TRUE(),IF($AD$4="(blank)",'Final Calculation Sheet'!$AC$21="",IF($AD$4="(nonblank)",'Final Calculation Sheet'!$AC$21&lt;&gt;"",ISNUMBER(SEARCH($AD$4,'Final Calculation Sheet'!$AC$21))))),IF($AE$4="",TRUE(),IF($AE$4="(blank)",'Final Calculation Sheet'!$AD$21="",IF($AE$4="(nonblank)",'Final Calculation Sheet'!$AD$21&lt;&gt;"",ISNUMBER(SEARCH($AE$4,'Final Calculation Sheet'!$AD$21))))),IF($AG$4="",TRUE(),IF($AG$4="(blank)",'Final Calculation Sheet'!$AF$21="",IF($AG$4="(nonblank)",'Final Calculation Sheet'!$AF$21&lt;&gt;"",ISNUMBER(SEARCH($AG$4,'Final Calculation Sheet'!$AF$21))))),IF($AH$4="",TRUE(),IF($AH$4="(blank)",'Final Calculation Sheet'!$AG$21="",IF($AH$4="(nonblank)",'Final Calculation Sheet'!$AG$21&lt;&gt;"",ISNUMBER(SEARCH($AH$4,'Final Calculation Sheet'!$AG$21))))),IF($AI$4="",TRUE(),IF($AI$4="(blank)",'Final Calculation Sheet'!$AH$21="",IF($AI$4="(nonblank)",'Final Calculation Sheet'!$AH$21&lt;&gt;"",ISNUMBER(SEARCH($AI$4,'Final Calculation Sheet'!$AH$21))))),IF($AF$4="",TRUE(),IF($AF$4="(blank)",IF('Final Calculation Sheet'!$AD$21&lt;=5,"SETTLED","OUTSTANDING")="",IF($AF$4="(nonblank)",IF('Final Calculation Sheet'!$AD$21&lt;=5,"SETTLED","OUTSTANDING")&lt;&gt;"",ISNUMBER(SEARCH($AF$4,IF('Final Calculation Sheet'!$AD$21&lt;=5,"SETTLED","OUTSTANDING"))))))),1,0)</f>
      </c>
      <c r="AK32">
        <f>IF(AJ32=1,COUNTIF(AJ$7:AJ32,1),"")</f>
        <v/>
      </c>
    </row>
    <row r="33" ht="15" customHeight="1" s="137">
      <c r="A33" s="81" t="inlineStr">
        <is>
          <t>∑</t>
        </is>
      </c>
      <c r="B33" s="83" t="n"/>
      <c r="C33" s="83">
        <f>ROWS($C$32:$C$32)&amp;" lot(s)"</f>
        <v/>
      </c>
      <c r="D33" s="83" t="inlineStr">
        <is>
          <t>SUBTOTAL — NATIONAL SCRAP AND BUILDING MATERIAL SUPPLIER</t>
        </is>
      </c>
      <c r="E33" s="83" t="inlineStr">
        <is>
          <t>–</t>
        </is>
      </c>
      <c r="F33" s="83">
        <f>SUM(F32:F32)</f>
        <v/>
      </c>
      <c r="G33" s="83" t="inlineStr">
        <is>
          <t>–</t>
        </is>
      </c>
      <c r="H33" s="84" t="inlineStr">
        <is>
          <t>–</t>
        </is>
      </c>
      <c r="I33" s="84">
        <f>SUM(I32:I32)</f>
        <v/>
      </c>
      <c r="J33" s="84">
        <f>SUM(J32:J32)</f>
        <v/>
      </c>
      <c r="K33" s="84">
        <f>SUM(K32:K32)</f>
        <v/>
      </c>
      <c r="L33" s="84">
        <f>SUM(L32:L32)</f>
        <v/>
      </c>
      <c r="M33" s="84">
        <f>SUM(M32:M32)</f>
        <v/>
      </c>
      <c r="N33" s="84">
        <f>SUM(N32:N32)</f>
        <v/>
      </c>
      <c r="O33" s="85">
        <f>SUM(O32:O32)</f>
        <v/>
      </c>
      <c r="P33" s="84">
        <f>SUM(P32:P32)</f>
        <v/>
      </c>
      <c r="Q33" s="84">
        <f>SUM(Q32:Q32)</f>
        <v/>
      </c>
      <c r="R33" s="86" t="inlineStr">
        <is>
          <t>–</t>
        </is>
      </c>
      <c r="S33" s="84">
        <f>SUM(S32:S32)</f>
        <v/>
      </c>
      <c r="T33" s="84">
        <f>SUM(T32:T32)</f>
        <v/>
      </c>
      <c r="U33" s="84">
        <f>SUM(U32:U32)</f>
        <v/>
      </c>
      <c r="V33" s="87">
        <f>SUM(V32:V32)</f>
        <v/>
      </c>
      <c r="W33" s="84" t="inlineStr">
        <is>
          <t>–</t>
        </is>
      </c>
      <c r="X33" s="84">
        <f>SUM(X32:X32)</f>
        <v/>
      </c>
      <c r="Y33" s="84">
        <f>SUM(Y32:Y32)</f>
        <v/>
      </c>
      <c r="Z33" s="84" t="inlineStr">
        <is>
          <t>–</t>
        </is>
      </c>
      <c r="AA33" s="84">
        <f>SUM(AA32:AA32)</f>
        <v/>
      </c>
      <c r="AB33" s="84">
        <f>SUM(AB32:AB32)</f>
        <v/>
      </c>
      <c r="AC33" s="84" t="inlineStr">
        <is>
          <t>–</t>
        </is>
      </c>
      <c r="AD33" s="84">
        <f>SUM(AD32:AD32)</f>
        <v/>
      </c>
      <c r="AE33" s="84">
        <f>SUM(AE32:AE32)</f>
        <v/>
      </c>
      <c r="AF33" s="89">
        <f>IF(AE33&lt;=5,"SETTLED","OUTSTANDING")</f>
        <v/>
      </c>
      <c r="AG33" s="84" t="inlineStr">
        <is>
          <t>–</t>
        </is>
      </c>
      <c r="AH33" s="88" t="inlineStr">
        <is>
          <t>–</t>
        </is>
      </c>
      <c r="AI33" s="84" t="inlineStr">
        <is>
          <t>–</t>
        </is>
      </c>
    </row>
    <row r="34" outlineLevel="1" ht="15" customHeight="1" s="137">
      <c r="A34" s="67" t="n">
        <v>1</v>
      </c>
      <c r="B34" s="76">
        <f>IF('Final Calculation Sheet'!$F$8="","",'Final Calculation Sheet'!$F$8)</f>
        <v/>
      </c>
      <c r="C34" s="76">
        <f>IF('Final Calculation Sheet'!$G$8="","",'Final Calculation Sheet'!$G$8)</f>
        <v/>
      </c>
      <c r="D34" s="80">
        <f>IF('Final Calculation Sheet'!$B$8="","",'Final Calculation Sheet'!$B$8)</f>
        <v/>
      </c>
      <c r="E34" s="80">
        <f>IF('Final Calculation Sheet'!$D$8="","",'Final Calculation Sheet'!$D$8)</f>
        <v/>
      </c>
      <c r="F34" s="80">
        <f>IF('Final Calculation Sheet'!$A$8="","",'Final Calculation Sheet'!$A$8)</f>
        <v/>
      </c>
      <c r="G34" s="80">
        <f>IF('Final Calculation Sheet'!$E$8="","",'Final Calculation Sheet'!$E$8)</f>
        <v/>
      </c>
      <c r="H34" s="70">
        <f>IF('Final Calculation Sheet'!$C$8="","",'Final Calculation Sheet'!$C$8)</f>
        <v/>
      </c>
      <c r="I34" s="70">
        <f>IF('Final Calculation Sheet'!$H$8="","",'Final Calculation Sheet'!$H$8)</f>
        <v/>
      </c>
      <c r="J34" s="70">
        <f>IF('Final Calculation Sheet'!$I$8="","",'Final Calculation Sheet'!$I$8)</f>
        <v/>
      </c>
      <c r="K34" s="70">
        <f>IF('Final Calculation Sheet'!$J$8="","",'Final Calculation Sheet'!$J$8)</f>
        <v/>
      </c>
      <c r="L34" s="70">
        <f>IF('Final Calculation Sheet'!$K$8="","",'Final Calculation Sheet'!$K$8)</f>
        <v/>
      </c>
      <c r="M34" s="70">
        <f>IF('Final Calculation Sheet'!$L$8="","",'Final Calculation Sheet'!$L$8)</f>
        <v/>
      </c>
      <c r="N34" s="70">
        <f>IF('Final Calculation Sheet'!$M$8="","",'Final Calculation Sheet'!$M$8)</f>
        <v/>
      </c>
      <c r="O34" s="71">
        <f>IF('Final Calculation Sheet'!$N$8="","",'Final Calculation Sheet'!$N$8)</f>
        <v/>
      </c>
      <c r="P34" s="70">
        <f>IF('Final Calculation Sheet'!$O$8="","",'Final Calculation Sheet'!$O$8)</f>
        <v/>
      </c>
      <c r="Q34" s="70">
        <f>IF('Final Calculation Sheet'!$P$8="","",'Final Calculation Sheet'!$P$8)</f>
        <v/>
      </c>
      <c r="R34" s="72">
        <f>IF('Final Calculation Sheet'!$Q$8="","",'Final Calculation Sheet'!$Q$8)</f>
        <v/>
      </c>
      <c r="S34" s="70">
        <f>IF('Final Calculation Sheet'!$R$8="","",'Final Calculation Sheet'!$R$8)</f>
        <v/>
      </c>
      <c r="T34" s="70">
        <f>IF('Final Calculation Sheet'!$S$8="","",'Final Calculation Sheet'!$S$8)</f>
        <v/>
      </c>
      <c r="U34" s="70">
        <f>IF('Final Calculation Sheet'!$T$8="","",'Final Calculation Sheet'!$T$8)</f>
        <v/>
      </c>
      <c r="V34" s="73">
        <f>IF('Final Calculation Sheet'!$U$8="","",'Final Calculation Sheet'!$U$8)</f>
        <v/>
      </c>
      <c r="W34" s="70">
        <f>IF('Final Calculation Sheet'!$V$8="","",'Final Calculation Sheet'!$V$8)</f>
        <v/>
      </c>
      <c r="X34" s="70">
        <f>IF('Final Calculation Sheet'!$W$8="","",'Final Calculation Sheet'!$W$8)</f>
        <v/>
      </c>
      <c r="Y34" s="70">
        <f>IF('Final Calculation Sheet'!$X$8="","",'Final Calculation Sheet'!$X$8)</f>
        <v/>
      </c>
      <c r="Z34" s="70">
        <f>IF('Final Calculation Sheet'!$Y$8="","",'Final Calculation Sheet'!$Y$8)</f>
        <v/>
      </c>
      <c r="AA34" s="70">
        <f>IF('Final Calculation Sheet'!$Z$8="","",'Final Calculation Sheet'!$Z$8)</f>
        <v/>
      </c>
      <c r="AB34" s="70">
        <f>IF('Final Calculation Sheet'!$AA$8="","",'Final Calculation Sheet'!$AA$8)</f>
        <v/>
      </c>
      <c r="AC34" s="70">
        <f>IF('Final Calculation Sheet'!$AB$8="","",'Final Calculation Sheet'!$AB$8)</f>
        <v/>
      </c>
      <c r="AD34" s="70">
        <f>IF('Final Calculation Sheet'!$AC$8="","",'Final Calculation Sheet'!$AC$8)</f>
        <v/>
      </c>
      <c r="AE34" s="70">
        <f>IF('Final Calculation Sheet'!$AD$8="","",'Final Calculation Sheet'!$AD$8)</f>
        <v/>
      </c>
      <c r="AF34" s="75">
        <f>IF('Final Calculation Sheet'!$AD$8="","",IF('Final Calculation Sheet'!$AD$8&lt;=5,"SETTLED","OUTSTANDING"))</f>
        <v/>
      </c>
      <c r="AG34" s="70">
        <f>IF('Final Calculation Sheet'!$AF$8="","",'Final Calculation Sheet'!$AF$8)</f>
        <v/>
      </c>
      <c r="AH34" s="74">
        <f>IF('Final Calculation Sheet'!$AG$8="","",'Final Calculation Sheet'!$AG$8)</f>
        <v/>
      </c>
      <c r="AI34" s="70">
        <f>IF('Final Calculation Sheet'!$AH$8="","",'Final Calculation Sheet'!$AH$8)</f>
        <v/>
      </c>
      <c r="AJ34">
        <f>IF(AND(IF($B$4="",TRUE(),IF($B$4="(blank)",'Final Calculation Sheet'!$F$8="",IF($B$4="(nonblank)",'Final Calculation Sheet'!$F$8&lt;&gt;"",ISNUMBER(SEARCH($B$4,'Final Calculation Sheet'!$F$8))))),IF($C$4="",TRUE(),IF($C$4="(blank)",'Final Calculation Sheet'!$G$8="",IF($C$4="(nonblank)",'Final Calculation Sheet'!$G$8&lt;&gt;"",ISNUMBER(SEARCH($C$4,'Final Calculation Sheet'!$G$8))))),IF($D$4="",TRUE(),IF($D$4="(blank)",'Final Calculation Sheet'!$B$8="",IF($D$4="(nonblank)",'Final Calculation Sheet'!$B$8&lt;&gt;"",ISNUMBER(SEARCH($D$4,'Final Calculation Sheet'!$B$8))))),IF($E$4="",TRUE(),IF($E$4="(blank)",'Final Calculation Sheet'!$D$8="",IF($E$4="(nonblank)",'Final Calculation Sheet'!$D$8&lt;&gt;"",ISNUMBER(SEARCH($E$4,'Final Calculation Sheet'!$D$8))))),IF($F$4="",TRUE(),IF($F$4="(blank)",'Final Calculation Sheet'!$A$8="",IF($F$4="(nonblank)",'Final Calculation Sheet'!$A$8&lt;&gt;"",ISNUMBER(SEARCH($F$4,'Final Calculation Sheet'!$A$8))))),IF($G$4="",TRUE(),IF($G$4="(blank)",'Final Calculation Sheet'!$E$8="",IF($G$4="(nonblank)",'Final Calculation Sheet'!$E$8&lt;&gt;"",ISNUMBER(SEARCH($G$4,'Final Calculation Sheet'!$E$8))))),IF($H$4="",TRUE(),IF($H$4="(blank)",'Final Calculation Sheet'!$C$8="",IF($H$4="(nonblank)",'Final Calculation Sheet'!$C$8&lt;&gt;"",ISNUMBER(SEARCH($H$4,'Final Calculation Sheet'!$C$8))))),IF($I$4="",TRUE(),IF($I$4="(blank)",'Final Calculation Sheet'!$H$8="",IF($I$4="(nonblank)",'Final Calculation Sheet'!$H$8&lt;&gt;"",ISNUMBER(SEARCH($I$4,'Final Calculation Sheet'!$H$8))))),IF($J$4="",TRUE(),IF($J$4="(blank)",'Final Calculation Sheet'!$I$8="",IF($J$4="(nonblank)",'Final Calculation Sheet'!$I$8&lt;&gt;"",ISNUMBER(SEARCH($J$4,'Final Calculation Sheet'!$I$8))))),IF($K$4="",TRUE(),IF($K$4="(blank)",'Final Calculation Sheet'!$J$8="",IF($K$4="(nonblank)",'Final Calculation Sheet'!$J$8&lt;&gt;"",ISNUMBER(SEARCH($K$4,'Final Calculation Sheet'!$J$8))))),IF($L$4="",TRUE(),IF($L$4="(blank)",'Final Calculation Sheet'!$K$8="",IF($L$4="(nonblank)",'Final Calculation Sheet'!$K$8&lt;&gt;"",ISNUMBER(SEARCH($L$4,'Final Calculation Sheet'!$K$8))))),IF($M$4="",TRUE(),IF($M$4="(blank)",'Final Calculation Sheet'!$L$8="",IF($M$4="(nonblank)",'Final Calculation Sheet'!$L$8&lt;&gt;"",ISNUMBER(SEARCH($M$4,'Final Calculation Sheet'!$L$8))))),IF($N$4="",TRUE(),IF($N$4="(blank)",'Final Calculation Sheet'!$M$8="",IF($N$4="(nonblank)",'Final Calculation Sheet'!$M$8&lt;&gt;"",ISNUMBER(SEARCH($N$4,'Final Calculation Sheet'!$M$8))))),IF($O$4="",TRUE(),IF($O$4="(blank)",'Final Calculation Sheet'!$N$8="",IF($O$4="(nonblank)",'Final Calculation Sheet'!$N$8&lt;&gt;"",ISNUMBER(SEARCH($O$4,'Final Calculation Sheet'!$N$8))))),IF($P$4="",TRUE(),IF($P$4="(blank)",'Final Calculation Sheet'!$O$8="",IF($P$4="(nonblank)",'Final Calculation Sheet'!$O$8&lt;&gt;"",ISNUMBER(SEARCH($P$4,'Final Calculation Sheet'!$O$8))))),IF($Q$4="",TRUE(),IF($Q$4="(blank)",'Final Calculation Sheet'!$P$8="",IF($Q$4="(nonblank)",'Final Calculation Sheet'!$P$8&lt;&gt;"",ISNUMBER(SEARCH($Q$4,'Final Calculation Sheet'!$P$8))))),IF($R$4="",TRUE(),IF($R$4="(blank)",'Final Calculation Sheet'!$Q$8="",IF($R$4="(nonblank)",'Final Calculation Sheet'!$Q$8&lt;&gt;"",ISNUMBER(SEARCH($R$4,'Final Calculation Sheet'!$Q$8))))),IF($S$4="",TRUE(),IF($S$4="(blank)",'Final Calculation Sheet'!$R$8="",IF($S$4="(nonblank)",'Final Calculation Sheet'!$R$8&lt;&gt;"",ISNUMBER(SEARCH($S$4,'Final Calculation Sheet'!$R$8))))),IF($T$4="",TRUE(),IF($T$4="(blank)",'Final Calculation Sheet'!$S$8="",IF($T$4="(nonblank)",'Final Calculation Sheet'!$S$8&lt;&gt;"",ISNUMBER(SEARCH($T$4,'Final Calculation Sheet'!$S$8))))),IF($U$4="",TRUE(),IF($U$4="(blank)",'Final Calculation Sheet'!$T$8="",IF($U$4="(nonblank)",'Final Calculation Sheet'!$T$8&lt;&gt;"",ISNUMBER(SEARCH($U$4,'Final Calculation Sheet'!$T$8))))),IF($V$4="",TRUE(),IF($V$4="(blank)",'Final Calculation Sheet'!$U$8="",IF($V$4="(nonblank)",'Final Calculation Sheet'!$U$8&lt;&gt;"",ISNUMBER(SEARCH($V$4,'Final Calculation Sheet'!$U$8))))),IF($W$4="",TRUE(),IF($W$4="(blank)",'Final Calculation Sheet'!$V$8="",IF($W$4="(nonblank)",'Final Calculation Sheet'!$V$8&lt;&gt;"",ISNUMBER(SEARCH($W$4,'Final Calculation Sheet'!$V$8))))),IF($X$4="",TRUE(),IF($X$4="(blank)",'Final Calculation Sheet'!$W$8="",IF($X$4="(nonblank)",'Final Calculation Sheet'!$W$8&lt;&gt;"",ISNUMBER(SEARCH($X$4,'Final Calculation Sheet'!$W$8))))),IF($Y$4="",TRUE(),IF($Y$4="(blank)",'Final Calculation Sheet'!$X$8="",IF($Y$4="(nonblank)",'Final Calculation Sheet'!$X$8&lt;&gt;"",ISNUMBER(SEARCH($Y$4,'Final Calculation Sheet'!$X$8))))),IF($Z$4="",TRUE(),IF($Z$4="(blank)",'Final Calculation Sheet'!$Y$8="",IF($Z$4="(nonblank)",'Final Calculation Sheet'!$Y$8&lt;&gt;"",ISNUMBER(SEARCH($Z$4,'Final Calculation Sheet'!$Y$8))))),IF($AA$4="",TRUE(),IF($AA$4="(blank)",'Final Calculation Sheet'!$Z$8="",IF($AA$4="(nonblank)",'Final Calculation Sheet'!$Z$8&lt;&gt;"",ISNUMBER(SEARCH($AA$4,'Final Calculation Sheet'!$Z$8))))),IF($AB$4="",TRUE(),IF($AB$4="(blank)",'Final Calculation Sheet'!$AA$8="",IF($AB$4="(nonblank)",'Final Calculation Sheet'!$AA$8&lt;&gt;"",ISNUMBER(SEARCH($AB$4,'Final Calculation Sheet'!$AA$8))))),IF($AC$4="",TRUE(),IF($AC$4="(blank)",'Final Calculation Sheet'!$AB$8="",IF($AC$4="(nonblank)",'Final Calculation Sheet'!$AB$8&lt;&gt;"",ISNUMBER(SEARCH($AC$4,'Final Calculation Sheet'!$AB$8))))),IF($AD$4="",TRUE(),IF($AD$4="(blank)",'Final Calculation Sheet'!$AC$8="",IF($AD$4="(nonblank)",'Final Calculation Sheet'!$AC$8&lt;&gt;"",ISNUMBER(SEARCH($AD$4,'Final Calculation Sheet'!$AC$8))))),IF($AE$4="",TRUE(),IF($AE$4="(blank)",'Final Calculation Sheet'!$AD$8="",IF($AE$4="(nonblank)",'Final Calculation Sheet'!$AD$8&lt;&gt;"",ISNUMBER(SEARCH($AE$4,'Final Calculation Sheet'!$AD$8))))),IF($AG$4="",TRUE(),IF($AG$4="(blank)",'Final Calculation Sheet'!$AF$8="",IF($AG$4="(nonblank)",'Final Calculation Sheet'!$AF$8&lt;&gt;"",ISNUMBER(SEARCH($AG$4,'Final Calculation Sheet'!$AF$8))))),IF($AH$4="",TRUE(),IF($AH$4="(blank)",'Final Calculation Sheet'!$AG$8="",IF($AH$4="(nonblank)",'Final Calculation Sheet'!$AG$8&lt;&gt;"",ISNUMBER(SEARCH($AH$4,'Final Calculation Sheet'!$AG$8))))),IF($AI$4="",TRUE(),IF($AI$4="(blank)",'Final Calculation Sheet'!$AH$8="",IF($AI$4="(nonblank)",'Final Calculation Sheet'!$AH$8&lt;&gt;"",ISNUMBER(SEARCH($AI$4,'Final Calculation Sheet'!$AH$8))))),IF($AF$4="",TRUE(),IF($AF$4="(blank)",IF('Final Calculation Sheet'!$AD$8&lt;=5,"SETTLED","OUTSTANDING")="",IF($AF$4="(nonblank)",IF('Final Calculation Sheet'!$AD$8&lt;=5,"SETTLED","OUTSTANDING")&lt;&gt;"",ISNUMBER(SEARCH($AF$4,IF('Final Calculation Sheet'!$AD$8&lt;=5,"SETTLED","OUTSTANDING"))))))),1,0)</f>
      </c>
      <c r="AK34">
        <f>IF(AJ34=1,COUNTIF(AJ$7:AJ34,1),"")</f>
        <v/>
      </c>
    </row>
    <row r="35" outlineLevel="1" ht="15" customHeight="1" s="137">
      <c r="A35" s="90" t="n">
        <v>2</v>
      </c>
      <c r="B35" s="92">
        <f>IF('Final Calculation Sheet'!$F$20="","",'Final Calculation Sheet'!$F$20)</f>
        <v/>
      </c>
      <c r="C35" s="92">
        <f>IF('Final Calculation Sheet'!$G$20="","",'Final Calculation Sheet'!$G$20)</f>
        <v/>
      </c>
      <c r="D35" s="94">
        <f>IF('Final Calculation Sheet'!$B$20="","",'Final Calculation Sheet'!$B$20)</f>
        <v/>
      </c>
      <c r="E35" s="94">
        <f>IF('Final Calculation Sheet'!$D$20="","",'Final Calculation Sheet'!$D$20)</f>
        <v/>
      </c>
      <c r="F35" s="94">
        <f>IF('Final Calculation Sheet'!$A$20="","",'Final Calculation Sheet'!$A$20)</f>
        <v/>
      </c>
      <c r="G35" s="94">
        <f>IF('Final Calculation Sheet'!$E$20="","",'Final Calculation Sheet'!$E$20)</f>
        <v/>
      </c>
      <c r="H35" s="95">
        <f>IF('Final Calculation Sheet'!$C$20="","",'Final Calculation Sheet'!$C$20)</f>
        <v/>
      </c>
      <c r="I35" s="95">
        <f>IF('Final Calculation Sheet'!$H$20="","",'Final Calculation Sheet'!$H$20)</f>
        <v/>
      </c>
      <c r="J35" s="95">
        <f>IF('Final Calculation Sheet'!$I$20="","",'Final Calculation Sheet'!$I$20)</f>
        <v/>
      </c>
      <c r="K35" s="95">
        <f>IF('Final Calculation Sheet'!$J$20="","",'Final Calculation Sheet'!$J$20)</f>
        <v/>
      </c>
      <c r="L35" s="95">
        <f>IF('Final Calculation Sheet'!$K$20="","",'Final Calculation Sheet'!$K$20)</f>
        <v/>
      </c>
      <c r="M35" s="95">
        <f>IF('Final Calculation Sheet'!$L$20="","",'Final Calculation Sheet'!$L$20)</f>
        <v/>
      </c>
      <c r="N35" s="95">
        <f>IF('Final Calculation Sheet'!$M$20="","",'Final Calculation Sheet'!$M$20)</f>
        <v/>
      </c>
      <c r="O35" s="96">
        <f>IF('Final Calculation Sheet'!$N$20="","",'Final Calculation Sheet'!$N$20)</f>
        <v/>
      </c>
      <c r="P35" s="95">
        <f>IF('Final Calculation Sheet'!$O$20="","",'Final Calculation Sheet'!$O$20)</f>
        <v/>
      </c>
      <c r="Q35" s="95">
        <f>IF('Final Calculation Sheet'!$P$20="","",'Final Calculation Sheet'!$P$20)</f>
        <v/>
      </c>
      <c r="R35" s="97">
        <f>IF('Final Calculation Sheet'!$Q$20="","",'Final Calculation Sheet'!$Q$20)</f>
        <v/>
      </c>
      <c r="S35" s="95">
        <f>IF('Final Calculation Sheet'!$R$20="","",'Final Calculation Sheet'!$R$20)</f>
        <v/>
      </c>
      <c r="T35" s="95">
        <f>IF('Final Calculation Sheet'!$S$20="","",'Final Calculation Sheet'!$S$20)</f>
        <v/>
      </c>
      <c r="U35" s="95">
        <f>IF('Final Calculation Sheet'!$T$20="","",'Final Calculation Sheet'!$T$20)</f>
        <v/>
      </c>
      <c r="V35" s="98">
        <f>IF('Final Calculation Sheet'!$U$20="","",'Final Calculation Sheet'!$U$20)</f>
        <v/>
      </c>
      <c r="W35" s="95">
        <f>IF('Final Calculation Sheet'!$V$20="","",'Final Calculation Sheet'!$V$20)</f>
        <v/>
      </c>
      <c r="X35" s="95">
        <f>IF('Final Calculation Sheet'!$W$20="","",'Final Calculation Sheet'!$W$20)</f>
        <v/>
      </c>
      <c r="Y35" s="95">
        <f>IF('Final Calculation Sheet'!$X$20="","",'Final Calculation Sheet'!$X$20)</f>
        <v/>
      </c>
      <c r="Z35" s="95">
        <f>IF('Final Calculation Sheet'!$Y$20="","",'Final Calculation Sheet'!$Y$20)</f>
        <v/>
      </c>
      <c r="AA35" s="95">
        <f>IF('Final Calculation Sheet'!$Z$20="","",'Final Calculation Sheet'!$Z$20)</f>
        <v/>
      </c>
      <c r="AB35" s="95">
        <f>IF('Final Calculation Sheet'!$AA$20="","",'Final Calculation Sheet'!$AA$20)</f>
        <v/>
      </c>
      <c r="AC35" s="95">
        <f>IF('Final Calculation Sheet'!$AB$20="","",'Final Calculation Sheet'!$AB$20)</f>
        <v/>
      </c>
      <c r="AD35" s="95">
        <f>IF('Final Calculation Sheet'!$AC$20="","",'Final Calculation Sheet'!$AC$20)</f>
        <v/>
      </c>
      <c r="AE35" s="95">
        <f>IF('Final Calculation Sheet'!$AD$20="","",'Final Calculation Sheet'!$AD$20)</f>
        <v/>
      </c>
      <c r="AF35" s="100">
        <f>IF('Final Calculation Sheet'!$AD$20="","",IF('Final Calculation Sheet'!$AD$20&lt;=5,"SETTLED","OUTSTANDING"))</f>
        <v/>
      </c>
      <c r="AG35" s="95">
        <f>IF('Final Calculation Sheet'!$AF$20="","",'Final Calculation Sheet'!$AF$20)</f>
        <v/>
      </c>
      <c r="AH35" s="99">
        <f>IF('Final Calculation Sheet'!$AG$20="","",'Final Calculation Sheet'!$AG$20)</f>
        <v/>
      </c>
      <c r="AI35" s="95">
        <f>IF('Final Calculation Sheet'!$AH$20="","",'Final Calculation Sheet'!$AH$20)</f>
        <v/>
      </c>
      <c r="AJ35">
        <f>IF(AND(IF($B$4="",TRUE(),IF($B$4="(blank)",'Final Calculation Sheet'!$F$20="",IF($B$4="(nonblank)",'Final Calculation Sheet'!$F$20&lt;&gt;"",ISNUMBER(SEARCH($B$4,'Final Calculation Sheet'!$F$20))))),IF($C$4="",TRUE(),IF($C$4="(blank)",'Final Calculation Sheet'!$G$20="",IF($C$4="(nonblank)",'Final Calculation Sheet'!$G$20&lt;&gt;"",ISNUMBER(SEARCH($C$4,'Final Calculation Sheet'!$G$20))))),IF($D$4="",TRUE(),IF($D$4="(blank)",'Final Calculation Sheet'!$B$20="",IF($D$4="(nonblank)",'Final Calculation Sheet'!$B$20&lt;&gt;"",ISNUMBER(SEARCH($D$4,'Final Calculation Sheet'!$B$20))))),IF($E$4="",TRUE(),IF($E$4="(blank)",'Final Calculation Sheet'!$D$20="",IF($E$4="(nonblank)",'Final Calculation Sheet'!$D$20&lt;&gt;"",ISNUMBER(SEARCH($E$4,'Final Calculation Sheet'!$D$20))))),IF($F$4="",TRUE(),IF($F$4="(blank)",'Final Calculation Sheet'!$A$20="",IF($F$4="(nonblank)",'Final Calculation Sheet'!$A$20&lt;&gt;"",ISNUMBER(SEARCH($F$4,'Final Calculation Sheet'!$A$20))))),IF($G$4="",TRUE(),IF($G$4="(blank)",'Final Calculation Sheet'!$E$20="",IF($G$4="(nonblank)",'Final Calculation Sheet'!$E$20&lt;&gt;"",ISNUMBER(SEARCH($G$4,'Final Calculation Sheet'!$E$20))))),IF($H$4="",TRUE(),IF($H$4="(blank)",'Final Calculation Sheet'!$C$20="",IF($H$4="(nonblank)",'Final Calculation Sheet'!$C$20&lt;&gt;"",ISNUMBER(SEARCH($H$4,'Final Calculation Sheet'!$C$20))))),IF($I$4="",TRUE(),IF($I$4="(blank)",'Final Calculation Sheet'!$H$20="",IF($I$4="(nonblank)",'Final Calculation Sheet'!$H$20&lt;&gt;"",ISNUMBER(SEARCH($I$4,'Final Calculation Sheet'!$H$20))))),IF($J$4="",TRUE(),IF($J$4="(blank)",'Final Calculation Sheet'!$I$20="",IF($J$4="(nonblank)",'Final Calculation Sheet'!$I$20&lt;&gt;"",ISNUMBER(SEARCH($J$4,'Final Calculation Sheet'!$I$20))))),IF($K$4="",TRUE(),IF($K$4="(blank)",'Final Calculation Sheet'!$J$20="",IF($K$4="(nonblank)",'Final Calculation Sheet'!$J$20&lt;&gt;"",ISNUMBER(SEARCH($K$4,'Final Calculation Sheet'!$J$20))))),IF($L$4="",TRUE(),IF($L$4="(blank)",'Final Calculation Sheet'!$K$20="",IF($L$4="(nonblank)",'Final Calculation Sheet'!$K$20&lt;&gt;"",ISNUMBER(SEARCH($L$4,'Final Calculation Sheet'!$K$20))))),IF($M$4="",TRUE(),IF($M$4="(blank)",'Final Calculation Sheet'!$L$20="",IF($M$4="(nonblank)",'Final Calculation Sheet'!$L$20&lt;&gt;"",ISNUMBER(SEARCH($M$4,'Final Calculation Sheet'!$L$20))))),IF($N$4="",TRUE(),IF($N$4="(blank)",'Final Calculation Sheet'!$M$20="",IF($N$4="(nonblank)",'Final Calculation Sheet'!$M$20&lt;&gt;"",ISNUMBER(SEARCH($N$4,'Final Calculation Sheet'!$M$20))))),IF($O$4="",TRUE(),IF($O$4="(blank)",'Final Calculation Sheet'!$N$20="",IF($O$4="(nonblank)",'Final Calculation Sheet'!$N$20&lt;&gt;"",ISNUMBER(SEARCH($O$4,'Final Calculation Sheet'!$N$20))))),IF($P$4="",TRUE(),IF($P$4="(blank)",'Final Calculation Sheet'!$O$20="",IF($P$4="(nonblank)",'Final Calculation Sheet'!$O$20&lt;&gt;"",ISNUMBER(SEARCH($P$4,'Final Calculation Sheet'!$O$20))))),IF($Q$4="",TRUE(),IF($Q$4="(blank)",'Final Calculation Sheet'!$P$20="",IF($Q$4="(nonblank)",'Final Calculation Sheet'!$P$20&lt;&gt;"",ISNUMBER(SEARCH($Q$4,'Final Calculation Sheet'!$P$20))))),IF($R$4="",TRUE(),IF($R$4="(blank)",'Final Calculation Sheet'!$Q$20="",IF($R$4="(nonblank)",'Final Calculation Sheet'!$Q$20&lt;&gt;"",ISNUMBER(SEARCH($R$4,'Final Calculation Sheet'!$Q$20))))),IF($S$4="",TRUE(),IF($S$4="(blank)",'Final Calculation Sheet'!$R$20="",IF($S$4="(nonblank)",'Final Calculation Sheet'!$R$20&lt;&gt;"",ISNUMBER(SEARCH($S$4,'Final Calculation Sheet'!$R$20))))),IF($T$4="",TRUE(),IF($T$4="(blank)",'Final Calculation Sheet'!$S$20="",IF($T$4="(nonblank)",'Final Calculation Sheet'!$S$20&lt;&gt;"",ISNUMBER(SEARCH($T$4,'Final Calculation Sheet'!$S$20))))),IF($U$4="",TRUE(),IF($U$4="(blank)",'Final Calculation Sheet'!$T$20="",IF($U$4="(nonblank)",'Final Calculation Sheet'!$T$20&lt;&gt;"",ISNUMBER(SEARCH($U$4,'Final Calculation Sheet'!$T$20))))),IF($V$4="",TRUE(),IF($V$4="(blank)",'Final Calculation Sheet'!$U$20="",IF($V$4="(nonblank)",'Final Calculation Sheet'!$U$20&lt;&gt;"",ISNUMBER(SEARCH($V$4,'Final Calculation Sheet'!$U$20))))),IF($W$4="",TRUE(),IF($W$4="(blank)",'Final Calculation Sheet'!$V$20="",IF($W$4="(nonblank)",'Final Calculation Sheet'!$V$20&lt;&gt;"",ISNUMBER(SEARCH($W$4,'Final Calculation Sheet'!$V$20))))),IF($X$4="",TRUE(),IF($X$4="(blank)",'Final Calculation Sheet'!$W$20="",IF($X$4="(nonblank)",'Final Calculation Sheet'!$W$20&lt;&gt;"",ISNUMBER(SEARCH($X$4,'Final Calculation Sheet'!$W$20))))),IF($Y$4="",TRUE(),IF($Y$4="(blank)",'Final Calculation Sheet'!$X$20="",IF($Y$4="(nonblank)",'Final Calculation Sheet'!$X$20&lt;&gt;"",ISNUMBER(SEARCH($Y$4,'Final Calculation Sheet'!$X$20))))),IF($Z$4="",TRUE(),IF($Z$4="(blank)",'Final Calculation Sheet'!$Y$20="",IF($Z$4="(nonblank)",'Final Calculation Sheet'!$Y$20&lt;&gt;"",ISNUMBER(SEARCH($Z$4,'Final Calculation Sheet'!$Y$20))))),IF($AA$4="",TRUE(),IF($AA$4="(blank)",'Final Calculation Sheet'!$Z$20="",IF($AA$4="(nonblank)",'Final Calculation Sheet'!$Z$20&lt;&gt;"",ISNUMBER(SEARCH($AA$4,'Final Calculation Sheet'!$Z$20))))),IF($AB$4="",TRUE(),IF($AB$4="(blank)",'Final Calculation Sheet'!$AA$20="",IF($AB$4="(nonblank)",'Final Calculation Sheet'!$AA$20&lt;&gt;"",ISNUMBER(SEARCH($AB$4,'Final Calculation Sheet'!$AA$20))))),IF($AC$4="",TRUE(),IF($AC$4="(blank)",'Final Calculation Sheet'!$AB$20="",IF($AC$4="(nonblank)",'Final Calculation Sheet'!$AB$20&lt;&gt;"",ISNUMBER(SEARCH($AC$4,'Final Calculation Sheet'!$AB$20))))),IF($AD$4="",TRUE(),IF($AD$4="(blank)",'Final Calculation Sheet'!$AC$20="",IF($AD$4="(nonblank)",'Final Calculation Sheet'!$AC$20&lt;&gt;"",ISNUMBER(SEARCH($AD$4,'Final Calculation Sheet'!$AC$20))))),IF($AE$4="",TRUE(),IF($AE$4="(blank)",'Final Calculation Sheet'!$AD$20="",IF($AE$4="(nonblank)",'Final Calculation Sheet'!$AD$20&lt;&gt;"",ISNUMBER(SEARCH($AE$4,'Final Calculation Sheet'!$AD$20))))),IF($AG$4="",TRUE(),IF($AG$4="(blank)",'Final Calculation Sheet'!$AF$20="",IF($AG$4="(nonblank)",'Final Calculation Sheet'!$AF$20&lt;&gt;"",ISNUMBER(SEARCH($AG$4,'Final Calculation Sheet'!$AF$20))))),IF($AH$4="",TRUE(),IF($AH$4="(blank)",'Final Calculation Sheet'!$AG$20="",IF($AH$4="(nonblank)",'Final Calculation Sheet'!$AG$20&lt;&gt;"",ISNUMBER(SEARCH($AH$4,'Final Calculation Sheet'!$AG$20))))),IF($AI$4="",TRUE(),IF($AI$4="(blank)",'Final Calculation Sheet'!$AH$20="",IF($AI$4="(nonblank)",'Final Calculation Sheet'!$AH$20&lt;&gt;"",ISNUMBER(SEARCH($AI$4,'Final Calculation Sheet'!$AH$20))))),IF($AF$4="",TRUE(),IF($AF$4="(blank)",IF('Final Calculation Sheet'!$AD$20&lt;=5,"SETTLED","OUTSTANDING")="",IF($AF$4="(nonblank)",IF('Final Calculation Sheet'!$AD$20&lt;=5,"SETTLED","OUTSTANDING")&lt;&gt;"",ISNUMBER(SEARCH($AF$4,IF('Final Calculation Sheet'!$AD$20&lt;=5,"SETTLED","OUTSTANDING"))))))),1,0)</f>
      </c>
      <c r="AK35">
        <f>IF(AJ35=1,COUNTIF(AJ$7:AJ35,1),"")</f>
        <v/>
      </c>
    </row>
    <row r="36" ht="15" customHeight="1" s="137">
      <c r="A36" s="81" t="inlineStr">
        <is>
          <t>∑</t>
        </is>
      </c>
      <c r="B36" s="83" t="n"/>
      <c r="C36" s="83">
        <f>ROWS($C$34:$C$35)&amp;" lot(s)"</f>
        <v/>
      </c>
      <c r="D36" s="83" t="inlineStr">
        <is>
          <t>SUBTOTAL — OMKAR STEELS</t>
        </is>
      </c>
      <c r="E36" s="83" t="inlineStr">
        <is>
          <t>–</t>
        </is>
      </c>
      <c r="F36" s="83">
        <f>SUM(F34:F35)</f>
        <v/>
      </c>
      <c r="G36" s="83" t="inlineStr">
        <is>
          <t>–</t>
        </is>
      </c>
      <c r="H36" s="84" t="inlineStr">
        <is>
          <t>–</t>
        </is>
      </c>
      <c r="I36" s="84">
        <f>SUM(I34:I35)</f>
        <v/>
      </c>
      <c r="J36" s="84">
        <f>SUM(J34:J35)</f>
        <v/>
      </c>
      <c r="K36" s="84">
        <f>SUM(K34:K35)</f>
        <v/>
      </c>
      <c r="L36" s="84">
        <f>SUM(L34:L35)</f>
        <v/>
      </c>
      <c r="M36" s="84">
        <f>SUM(M34:M35)</f>
        <v/>
      </c>
      <c r="N36" s="84">
        <f>SUM(N34:N35)</f>
        <v/>
      </c>
      <c r="O36" s="85">
        <f>SUM(O34:O35)</f>
        <v/>
      </c>
      <c r="P36" s="84">
        <f>SUM(P34:P35)</f>
        <v/>
      </c>
      <c r="Q36" s="84">
        <f>SUM(Q34:Q35)</f>
        <v/>
      </c>
      <c r="R36" s="86" t="inlineStr">
        <is>
          <t>–</t>
        </is>
      </c>
      <c r="S36" s="84">
        <f>SUM(S34:S35)</f>
        <v/>
      </c>
      <c r="T36" s="84">
        <f>SUM(T34:T35)</f>
        <v/>
      </c>
      <c r="U36" s="84">
        <f>SUM(U34:U35)</f>
        <v/>
      </c>
      <c r="V36" s="87">
        <f>SUM(V34:V35)</f>
        <v/>
      </c>
      <c r="W36" s="84" t="inlineStr">
        <is>
          <t>–</t>
        </is>
      </c>
      <c r="X36" s="84">
        <f>SUM(X34:X35)</f>
        <v/>
      </c>
      <c r="Y36" s="84">
        <f>SUM(Y34:Y35)</f>
        <v/>
      </c>
      <c r="Z36" s="84" t="inlineStr">
        <is>
          <t>–</t>
        </is>
      </c>
      <c r="AA36" s="84">
        <f>SUM(AA34:AA35)</f>
        <v/>
      </c>
      <c r="AB36" s="84">
        <f>SUM(AB34:AB35)</f>
        <v/>
      </c>
      <c r="AC36" s="84" t="inlineStr">
        <is>
          <t>–</t>
        </is>
      </c>
      <c r="AD36" s="84">
        <f>SUM(AD34:AD35)</f>
        <v/>
      </c>
      <c r="AE36" s="84">
        <f>SUM(AE34:AE35)</f>
        <v/>
      </c>
      <c r="AF36" s="89">
        <f>IF(AE36&lt;=5,"SETTLED","OUTSTANDING")</f>
        <v/>
      </c>
      <c r="AG36" s="84" t="inlineStr">
        <is>
          <t>–</t>
        </is>
      </c>
      <c r="AH36" s="88" t="inlineStr">
        <is>
          <t>–</t>
        </is>
      </c>
      <c r="AI36" s="84" t="inlineStr">
        <is>
          <t>–</t>
        </is>
      </c>
    </row>
    <row r="37" outlineLevel="1" ht="15" customHeight="1" s="137">
      <c r="A37" s="67" t="n">
        <v>1</v>
      </c>
      <c r="B37" s="76">
        <f>IF('Final Calculation Sheet'!$F$39="","",'Final Calculation Sheet'!$F$39)</f>
        <v/>
      </c>
      <c r="C37" s="76">
        <f>IF('Final Calculation Sheet'!$G$39="","",'Final Calculation Sheet'!$G$39)</f>
        <v/>
      </c>
      <c r="D37" s="80">
        <f>IF('Final Calculation Sheet'!$B$39="","",'Final Calculation Sheet'!$B$39)</f>
        <v/>
      </c>
      <c r="E37" s="80">
        <f>IF('Final Calculation Sheet'!$D$39="","",'Final Calculation Sheet'!$D$39)</f>
        <v/>
      </c>
      <c r="F37" s="80">
        <f>IF('Final Calculation Sheet'!$A$39="","",'Final Calculation Sheet'!$A$39)</f>
        <v/>
      </c>
      <c r="G37" s="80">
        <f>IF('Final Calculation Sheet'!$E$39="","",'Final Calculation Sheet'!$E$39)</f>
        <v/>
      </c>
      <c r="H37" s="70">
        <f>IF('Final Calculation Sheet'!$C$39="","",'Final Calculation Sheet'!$C$39)</f>
        <v/>
      </c>
      <c r="I37" s="70">
        <f>IF('Final Calculation Sheet'!$H$39="","",'Final Calculation Sheet'!$H$39)</f>
        <v/>
      </c>
      <c r="J37" s="70">
        <f>IF('Final Calculation Sheet'!$I$39="","",'Final Calculation Sheet'!$I$39)</f>
        <v/>
      </c>
      <c r="K37" s="70">
        <f>IF('Final Calculation Sheet'!$J$39="","",'Final Calculation Sheet'!$J$39)</f>
        <v/>
      </c>
      <c r="L37" s="70">
        <f>IF('Final Calculation Sheet'!$K$39="","",'Final Calculation Sheet'!$K$39)</f>
        <v/>
      </c>
      <c r="M37" s="70">
        <f>IF('Final Calculation Sheet'!$L$39="","",'Final Calculation Sheet'!$L$39)</f>
        <v/>
      </c>
      <c r="N37" s="70">
        <f>IF('Final Calculation Sheet'!$M$39="","",'Final Calculation Sheet'!$M$39)</f>
        <v/>
      </c>
      <c r="O37" s="71">
        <f>IF('Final Calculation Sheet'!$N$39="","",'Final Calculation Sheet'!$N$39)</f>
        <v/>
      </c>
      <c r="P37" s="70">
        <f>IF('Final Calculation Sheet'!$O$39="","",'Final Calculation Sheet'!$O$39)</f>
        <v/>
      </c>
      <c r="Q37" s="70">
        <f>IF('Final Calculation Sheet'!$P$39="","",'Final Calculation Sheet'!$P$39)</f>
        <v/>
      </c>
      <c r="R37" s="72">
        <f>IF('Final Calculation Sheet'!$Q$39="","",'Final Calculation Sheet'!$Q$39)</f>
        <v/>
      </c>
      <c r="S37" s="70">
        <f>IF('Final Calculation Sheet'!$R$39="","",'Final Calculation Sheet'!$R$39)</f>
        <v/>
      </c>
      <c r="T37" s="70">
        <f>IF('Final Calculation Sheet'!$S$39="","",'Final Calculation Sheet'!$S$39)</f>
        <v/>
      </c>
      <c r="U37" s="70">
        <f>IF('Final Calculation Sheet'!$T$39="","",'Final Calculation Sheet'!$T$39)</f>
        <v/>
      </c>
      <c r="V37" s="73">
        <f>IF('Final Calculation Sheet'!$U$39="","",'Final Calculation Sheet'!$U$39)</f>
        <v/>
      </c>
      <c r="W37" s="70">
        <f>IF('Final Calculation Sheet'!$V$39="","",'Final Calculation Sheet'!$V$39)</f>
        <v/>
      </c>
      <c r="X37" s="70">
        <f>IF('Final Calculation Sheet'!$W$39="","",'Final Calculation Sheet'!$W$39)</f>
        <v/>
      </c>
      <c r="Y37" s="70">
        <f>IF('Final Calculation Sheet'!$X$39="","",'Final Calculation Sheet'!$X$39)</f>
        <v/>
      </c>
      <c r="Z37" s="70">
        <f>IF('Final Calculation Sheet'!$Y$39="","",'Final Calculation Sheet'!$Y$39)</f>
        <v/>
      </c>
      <c r="AA37" s="70">
        <f>IF('Final Calculation Sheet'!$Z$39="","",'Final Calculation Sheet'!$Z$39)</f>
        <v/>
      </c>
      <c r="AB37" s="70">
        <f>IF('Final Calculation Sheet'!$AA$39="","",'Final Calculation Sheet'!$AA$39)</f>
        <v/>
      </c>
      <c r="AC37" s="70">
        <f>IF('Final Calculation Sheet'!$AB$39="","",'Final Calculation Sheet'!$AB$39)</f>
        <v/>
      </c>
      <c r="AD37" s="70">
        <f>IF('Final Calculation Sheet'!$AC$39="","",'Final Calculation Sheet'!$AC$39)</f>
        <v/>
      </c>
      <c r="AE37" s="70">
        <f>IF('Final Calculation Sheet'!$AD$39="","",'Final Calculation Sheet'!$AD$39)</f>
        <v/>
      </c>
      <c r="AF37" s="75">
        <f>IF('Final Calculation Sheet'!$AD$39="","",IF('Final Calculation Sheet'!$AD$39&lt;=5,"SETTLED","OUTSTANDING"))</f>
        <v/>
      </c>
      <c r="AG37" s="70">
        <f>IF('Final Calculation Sheet'!$AF$39="","",'Final Calculation Sheet'!$AF$39)</f>
        <v/>
      </c>
      <c r="AH37" s="74">
        <f>IF('Final Calculation Sheet'!$AG$39="","",'Final Calculation Sheet'!$AG$39)</f>
        <v/>
      </c>
      <c r="AI37" s="70">
        <f>IF('Final Calculation Sheet'!$AH$39="","",'Final Calculation Sheet'!$AH$39)</f>
        <v/>
      </c>
      <c r="AJ37">
        <f>IF(AND(IF($B$4="",TRUE(),IF($B$4="(blank)",'Final Calculation Sheet'!$F$39="",IF($B$4="(nonblank)",'Final Calculation Sheet'!$F$39&lt;&gt;"",ISNUMBER(SEARCH($B$4,'Final Calculation Sheet'!$F$39))))),IF($C$4="",TRUE(),IF($C$4="(blank)",'Final Calculation Sheet'!$G$39="",IF($C$4="(nonblank)",'Final Calculation Sheet'!$G$39&lt;&gt;"",ISNUMBER(SEARCH($C$4,'Final Calculation Sheet'!$G$39))))),IF($D$4="",TRUE(),IF($D$4="(blank)",'Final Calculation Sheet'!$B$39="",IF($D$4="(nonblank)",'Final Calculation Sheet'!$B$39&lt;&gt;"",ISNUMBER(SEARCH($D$4,'Final Calculation Sheet'!$B$39))))),IF($E$4="",TRUE(),IF($E$4="(blank)",'Final Calculation Sheet'!$D$39="",IF($E$4="(nonblank)",'Final Calculation Sheet'!$D$39&lt;&gt;"",ISNUMBER(SEARCH($E$4,'Final Calculation Sheet'!$D$39))))),IF($F$4="",TRUE(),IF($F$4="(blank)",'Final Calculation Sheet'!$A$39="",IF($F$4="(nonblank)",'Final Calculation Sheet'!$A$39&lt;&gt;"",ISNUMBER(SEARCH($F$4,'Final Calculation Sheet'!$A$39))))),IF($G$4="",TRUE(),IF($G$4="(blank)",'Final Calculation Sheet'!$E$39="",IF($G$4="(nonblank)",'Final Calculation Sheet'!$E$39&lt;&gt;"",ISNUMBER(SEARCH($G$4,'Final Calculation Sheet'!$E$39))))),IF($H$4="",TRUE(),IF($H$4="(blank)",'Final Calculation Sheet'!$C$39="",IF($H$4="(nonblank)",'Final Calculation Sheet'!$C$39&lt;&gt;"",ISNUMBER(SEARCH($H$4,'Final Calculation Sheet'!$C$39))))),IF($I$4="",TRUE(),IF($I$4="(blank)",'Final Calculation Sheet'!$H$39="",IF($I$4="(nonblank)",'Final Calculation Sheet'!$H$39&lt;&gt;"",ISNUMBER(SEARCH($I$4,'Final Calculation Sheet'!$H$39))))),IF($J$4="",TRUE(),IF($J$4="(blank)",'Final Calculation Sheet'!$I$39="",IF($J$4="(nonblank)",'Final Calculation Sheet'!$I$39&lt;&gt;"",ISNUMBER(SEARCH($J$4,'Final Calculation Sheet'!$I$39))))),IF($K$4="",TRUE(),IF($K$4="(blank)",'Final Calculation Sheet'!$J$39="",IF($K$4="(nonblank)",'Final Calculation Sheet'!$J$39&lt;&gt;"",ISNUMBER(SEARCH($K$4,'Final Calculation Sheet'!$J$39))))),IF($L$4="",TRUE(),IF($L$4="(blank)",'Final Calculation Sheet'!$K$39="",IF($L$4="(nonblank)",'Final Calculation Sheet'!$K$39&lt;&gt;"",ISNUMBER(SEARCH($L$4,'Final Calculation Sheet'!$K$39))))),IF($M$4="",TRUE(),IF($M$4="(blank)",'Final Calculation Sheet'!$L$39="",IF($M$4="(nonblank)",'Final Calculation Sheet'!$L$39&lt;&gt;"",ISNUMBER(SEARCH($M$4,'Final Calculation Sheet'!$L$39))))),IF($N$4="",TRUE(),IF($N$4="(blank)",'Final Calculation Sheet'!$M$39="",IF($N$4="(nonblank)",'Final Calculation Sheet'!$M$39&lt;&gt;"",ISNUMBER(SEARCH($N$4,'Final Calculation Sheet'!$M$39))))),IF($O$4="",TRUE(),IF($O$4="(blank)",'Final Calculation Sheet'!$N$39="",IF($O$4="(nonblank)",'Final Calculation Sheet'!$N$39&lt;&gt;"",ISNUMBER(SEARCH($O$4,'Final Calculation Sheet'!$N$39))))),IF($P$4="",TRUE(),IF($P$4="(blank)",'Final Calculation Sheet'!$O$39="",IF($P$4="(nonblank)",'Final Calculation Sheet'!$O$39&lt;&gt;"",ISNUMBER(SEARCH($P$4,'Final Calculation Sheet'!$O$39))))),IF($Q$4="",TRUE(),IF($Q$4="(blank)",'Final Calculation Sheet'!$P$39="",IF($Q$4="(nonblank)",'Final Calculation Sheet'!$P$39&lt;&gt;"",ISNUMBER(SEARCH($Q$4,'Final Calculation Sheet'!$P$39))))),IF($R$4="",TRUE(),IF($R$4="(blank)",'Final Calculation Sheet'!$Q$39="",IF($R$4="(nonblank)",'Final Calculation Sheet'!$Q$39&lt;&gt;"",ISNUMBER(SEARCH($R$4,'Final Calculation Sheet'!$Q$39))))),IF($S$4="",TRUE(),IF($S$4="(blank)",'Final Calculation Sheet'!$R$39="",IF($S$4="(nonblank)",'Final Calculation Sheet'!$R$39&lt;&gt;"",ISNUMBER(SEARCH($S$4,'Final Calculation Sheet'!$R$39))))),IF($T$4="",TRUE(),IF($T$4="(blank)",'Final Calculation Sheet'!$S$39="",IF($T$4="(nonblank)",'Final Calculation Sheet'!$S$39&lt;&gt;"",ISNUMBER(SEARCH($T$4,'Final Calculation Sheet'!$S$39))))),IF($U$4="",TRUE(),IF($U$4="(blank)",'Final Calculation Sheet'!$T$39="",IF($U$4="(nonblank)",'Final Calculation Sheet'!$T$39&lt;&gt;"",ISNUMBER(SEARCH($U$4,'Final Calculation Sheet'!$T$39))))),IF($V$4="",TRUE(),IF($V$4="(blank)",'Final Calculation Sheet'!$U$39="",IF($V$4="(nonblank)",'Final Calculation Sheet'!$U$39&lt;&gt;"",ISNUMBER(SEARCH($V$4,'Final Calculation Sheet'!$U$39))))),IF($W$4="",TRUE(),IF($W$4="(blank)",'Final Calculation Sheet'!$V$39="",IF($W$4="(nonblank)",'Final Calculation Sheet'!$V$39&lt;&gt;"",ISNUMBER(SEARCH($W$4,'Final Calculation Sheet'!$V$39))))),IF($X$4="",TRUE(),IF($X$4="(blank)",'Final Calculation Sheet'!$W$39="",IF($X$4="(nonblank)",'Final Calculation Sheet'!$W$39&lt;&gt;"",ISNUMBER(SEARCH($X$4,'Final Calculation Sheet'!$W$39))))),IF($Y$4="",TRUE(),IF($Y$4="(blank)",'Final Calculation Sheet'!$X$39="",IF($Y$4="(nonblank)",'Final Calculation Sheet'!$X$39&lt;&gt;"",ISNUMBER(SEARCH($Y$4,'Final Calculation Sheet'!$X$39))))),IF($Z$4="",TRUE(),IF($Z$4="(blank)",'Final Calculation Sheet'!$Y$39="",IF($Z$4="(nonblank)",'Final Calculation Sheet'!$Y$39&lt;&gt;"",ISNUMBER(SEARCH($Z$4,'Final Calculation Sheet'!$Y$39))))),IF($AA$4="",TRUE(),IF($AA$4="(blank)",'Final Calculation Sheet'!$Z$39="",IF($AA$4="(nonblank)",'Final Calculation Sheet'!$Z$39&lt;&gt;"",ISNUMBER(SEARCH($AA$4,'Final Calculation Sheet'!$Z$39))))),IF($AB$4="",TRUE(),IF($AB$4="(blank)",'Final Calculation Sheet'!$AA$39="",IF($AB$4="(nonblank)",'Final Calculation Sheet'!$AA$39&lt;&gt;"",ISNUMBER(SEARCH($AB$4,'Final Calculation Sheet'!$AA$39))))),IF($AC$4="",TRUE(),IF($AC$4="(blank)",'Final Calculation Sheet'!$AB$39="",IF($AC$4="(nonblank)",'Final Calculation Sheet'!$AB$39&lt;&gt;"",ISNUMBER(SEARCH($AC$4,'Final Calculation Sheet'!$AB$39))))),IF($AD$4="",TRUE(),IF($AD$4="(blank)",'Final Calculation Sheet'!$AC$39="",IF($AD$4="(nonblank)",'Final Calculation Sheet'!$AC$39&lt;&gt;"",ISNUMBER(SEARCH($AD$4,'Final Calculation Sheet'!$AC$39))))),IF($AE$4="",TRUE(),IF($AE$4="(blank)",'Final Calculation Sheet'!$AD$39="",IF($AE$4="(nonblank)",'Final Calculation Sheet'!$AD$39&lt;&gt;"",ISNUMBER(SEARCH($AE$4,'Final Calculation Sheet'!$AD$39))))),IF($AG$4="",TRUE(),IF($AG$4="(blank)",'Final Calculation Sheet'!$AF$39="",IF($AG$4="(nonblank)",'Final Calculation Sheet'!$AF$39&lt;&gt;"",ISNUMBER(SEARCH($AG$4,'Final Calculation Sheet'!$AF$39))))),IF($AH$4="",TRUE(),IF($AH$4="(blank)",'Final Calculation Sheet'!$AG$39="",IF($AH$4="(nonblank)",'Final Calculation Sheet'!$AG$39&lt;&gt;"",ISNUMBER(SEARCH($AH$4,'Final Calculation Sheet'!$AG$39))))),IF($AI$4="",TRUE(),IF($AI$4="(blank)",'Final Calculation Sheet'!$AH$39="",IF($AI$4="(nonblank)",'Final Calculation Sheet'!$AH$39&lt;&gt;"",ISNUMBER(SEARCH($AI$4,'Final Calculation Sheet'!$AH$39))))),IF($AF$4="",TRUE(),IF($AF$4="(blank)",IF('Final Calculation Sheet'!$AD$39&lt;=5,"SETTLED","OUTSTANDING")="",IF($AF$4="(nonblank)",IF('Final Calculation Sheet'!$AD$39&lt;=5,"SETTLED","OUTSTANDING")&lt;&gt;"",ISNUMBER(SEARCH($AF$4,IF('Final Calculation Sheet'!$AD$39&lt;=5,"SETTLED","OUTSTANDING"))))))),1,0)</f>
      </c>
      <c r="AK37">
        <f>IF(AJ37=1,COUNTIF(AJ$7:AJ37,1),"")</f>
        <v/>
      </c>
    </row>
    <row r="38" outlineLevel="1" ht="15" customHeight="1" s="137">
      <c r="A38" s="90" t="n">
        <v>2</v>
      </c>
      <c r="B38" s="92">
        <f>IF('Final Calculation Sheet'!$F$40="","",'Final Calculation Sheet'!$F$40)</f>
        <v/>
      </c>
      <c r="C38" s="92">
        <f>IF('Final Calculation Sheet'!$G$40="","",'Final Calculation Sheet'!$G$40)</f>
        <v/>
      </c>
      <c r="D38" s="94">
        <f>IF('Final Calculation Sheet'!$B$40="","",'Final Calculation Sheet'!$B$40)</f>
        <v/>
      </c>
      <c r="E38" s="94">
        <f>IF('Final Calculation Sheet'!$D$40="","",'Final Calculation Sheet'!$D$40)</f>
        <v/>
      </c>
      <c r="F38" s="94">
        <f>IF('Final Calculation Sheet'!$A$40="","",'Final Calculation Sheet'!$A$40)</f>
        <v/>
      </c>
      <c r="G38" s="94">
        <f>IF('Final Calculation Sheet'!$E$40="","",'Final Calculation Sheet'!$E$40)</f>
        <v/>
      </c>
      <c r="H38" s="95">
        <f>IF('Final Calculation Sheet'!$C$40="","",'Final Calculation Sheet'!$C$40)</f>
        <v/>
      </c>
      <c r="I38" s="95">
        <f>IF('Final Calculation Sheet'!$H$40="","",'Final Calculation Sheet'!$H$40)</f>
        <v/>
      </c>
      <c r="J38" s="95">
        <f>IF('Final Calculation Sheet'!$I$40="","",'Final Calculation Sheet'!$I$40)</f>
        <v/>
      </c>
      <c r="K38" s="95">
        <f>IF('Final Calculation Sheet'!$J$40="","",'Final Calculation Sheet'!$J$40)</f>
        <v/>
      </c>
      <c r="L38" s="95">
        <f>IF('Final Calculation Sheet'!$K$40="","",'Final Calculation Sheet'!$K$40)</f>
        <v/>
      </c>
      <c r="M38" s="95">
        <f>IF('Final Calculation Sheet'!$L$40="","",'Final Calculation Sheet'!$L$40)</f>
        <v/>
      </c>
      <c r="N38" s="95">
        <f>IF('Final Calculation Sheet'!$M$40="","",'Final Calculation Sheet'!$M$40)</f>
        <v/>
      </c>
      <c r="O38" s="96">
        <f>IF('Final Calculation Sheet'!$N$40="","",'Final Calculation Sheet'!$N$40)</f>
        <v/>
      </c>
      <c r="P38" s="95">
        <f>IF('Final Calculation Sheet'!$O$40="","",'Final Calculation Sheet'!$O$40)</f>
        <v/>
      </c>
      <c r="Q38" s="95">
        <f>IF('Final Calculation Sheet'!$P$40="","",'Final Calculation Sheet'!$P$40)</f>
        <v/>
      </c>
      <c r="R38" s="97">
        <f>IF('Final Calculation Sheet'!$Q$40="","",'Final Calculation Sheet'!$Q$40)</f>
        <v/>
      </c>
      <c r="S38" s="95">
        <f>IF('Final Calculation Sheet'!$R$40="","",'Final Calculation Sheet'!$R$40)</f>
        <v/>
      </c>
      <c r="T38" s="95">
        <f>IF('Final Calculation Sheet'!$S$40="","",'Final Calculation Sheet'!$S$40)</f>
        <v/>
      </c>
      <c r="U38" s="95">
        <f>IF('Final Calculation Sheet'!$T$40="","",'Final Calculation Sheet'!$T$40)</f>
        <v/>
      </c>
      <c r="V38" s="98">
        <f>IF('Final Calculation Sheet'!$U$40="","",'Final Calculation Sheet'!$U$40)</f>
        <v/>
      </c>
      <c r="W38" s="95">
        <f>IF('Final Calculation Sheet'!$V$40="","",'Final Calculation Sheet'!$V$40)</f>
        <v/>
      </c>
      <c r="X38" s="95">
        <f>IF('Final Calculation Sheet'!$W$40="","",'Final Calculation Sheet'!$W$40)</f>
        <v/>
      </c>
      <c r="Y38" s="95">
        <f>IF('Final Calculation Sheet'!$X$40="","",'Final Calculation Sheet'!$X$40)</f>
        <v/>
      </c>
      <c r="Z38" s="95">
        <f>IF('Final Calculation Sheet'!$Y$40="","",'Final Calculation Sheet'!$Y$40)</f>
        <v/>
      </c>
      <c r="AA38" s="95">
        <f>IF('Final Calculation Sheet'!$Z$40="","",'Final Calculation Sheet'!$Z$40)</f>
        <v/>
      </c>
      <c r="AB38" s="95">
        <f>IF('Final Calculation Sheet'!$AA$40="","",'Final Calculation Sheet'!$AA$40)</f>
        <v/>
      </c>
      <c r="AC38" s="95">
        <f>IF('Final Calculation Sheet'!$AB$40="","",'Final Calculation Sheet'!$AB$40)</f>
        <v/>
      </c>
      <c r="AD38" s="95">
        <f>IF('Final Calculation Sheet'!$AC$40="","",'Final Calculation Sheet'!$AC$40)</f>
        <v/>
      </c>
      <c r="AE38" s="95">
        <f>IF('Final Calculation Sheet'!$AD$40="","",'Final Calculation Sheet'!$AD$40)</f>
        <v/>
      </c>
      <c r="AF38" s="100">
        <f>IF('Final Calculation Sheet'!$AD$40="","",IF('Final Calculation Sheet'!$AD$40&lt;=5,"SETTLED","OUTSTANDING"))</f>
        <v/>
      </c>
      <c r="AG38" s="95">
        <f>IF('Final Calculation Sheet'!$AF$40="","",'Final Calculation Sheet'!$AF$40)</f>
        <v/>
      </c>
      <c r="AH38" s="99">
        <f>IF('Final Calculation Sheet'!$AG$40="","",'Final Calculation Sheet'!$AG$40)</f>
        <v/>
      </c>
      <c r="AI38" s="95">
        <f>IF('Final Calculation Sheet'!$AH$40="","",'Final Calculation Sheet'!$AH$40)</f>
        <v/>
      </c>
      <c r="AJ38">
        <f>IF(AND(IF($B$4="",TRUE(),IF($B$4="(blank)",'Final Calculation Sheet'!$F$40="",IF($B$4="(nonblank)",'Final Calculation Sheet'!$F$40&lt;&gt;"",ISNUMBER(SEARCH($B$4,'Final Calculation Sheet'!$F$40))))),IF($C$4="",TRUE(),IF($C$4="(blank)",'Final Calculation Sheet'!$G$40="",IF($C$4="(nonblank)",'Final Calculation Sheet'!$G$40&lt;&gt;"",ISNUMBER(SEARCH($C$4,'Final Calculation Sheet'!$G$40))))),IF($D$4="",TRUE(),IF($D$4="(blank)",'Final Calculation Sheet'!$B$40="",IF($D$4="(nonblank)",'Final Calculation Sheet'!$B$40&lt;&gt;"",ISNUMBER(SEARCH($D$4,'Final Calculation Sheet'!$B$40))))),IF($E$4="",TRUE(),IF($E$4="(blank)",'Final Calculation Sheet'!$D$40="",IF($E$4="(nonblank)",'Final Calculation Sheet'!$D$40&lt;&gt;"",ISNUMBER(SEARCH($E$4,'Final Calculation Sheet'!$D$40))))),IF($F$4="",TRUE(),IF($F$4="(blank)",'Final Calculation Sheet'!$A$40="",IF($F$4="(nonblank)",'Final Calculation Sheet'!$A$40&lt;&gt;"",ISNUMBER(SEARCH($F$4,'Final Calculation Sheet'!$A$40))))),IF($G$4="",TRUE(),IF($G$4="(blank)",'Final Calculation Sheet'!$E$40="",IF($G$4="(nonblank)",'Final Calculation Sheet'!$E$40&lt;&gt;"",ISNUMBER(SEARCH($G$4,'Final Calculation Sheet'!$E$40))))),IF($H$4="",TRUE(),IF($H$4="(blank)",'Final Calculation Sheet'!$C$40="",IF($H$4="(nonblank)",'Final Calculation Sheet'!$C$40&lt;&gt;"",ISNUMBER(SEARCH($H$4,'Final Calculation Sheet'!$C$40))))),IF($I$4="",TRUE(),IF($I$4="(blank)",'Final Calculation Sheet'!$H$40="",IF($I$4="(nonblank)",'Final Calculation Sheet'!$H$40&lt;&gt;"",ISNUMBER(SEARCH($I$4,'Final Calculation Sheet'!$H$40))))),IF($J$4="",TRUE(),IF($J$4="(blank)",'Final Calculation Sheet'!$I$40="",IF($J$4="(nonblank)",'Final Calculation Sheet'!$I$40&lt;&gt;"",ISNUMBER(SEARCH($J$4,'Final Calculation Sheet'!$I$40))))),IF($K$4="",TRUE(),IF($K$4="(blank)",'Final Calculation Sheet'!$J$40="",IF($K$4="(nonblank)",'Final Calculation Sheet'!$J$40&lt;&gt;"",ISNUMBER(SEARCH($K$4,'Final Calculation Sheet'!$J$40))))),IF($L$4="",TRUE(),IF($L$4="(blank)",'Final Calculation Sheet'!$K$40="",IF($L$4="(nonblank)",'Final Calculation Sheet'!$K$40&lt;&gt;"",ISNUMBER(SEARCH($L$4,'Final Calculation Sheet'!$K$40))))),IF($M$4="",TRUE(),IF($M$4="(blank)",'Final Calculation Sheet'!$L$40="",IF($M$4="(nonblank)",'Final Calculation Sheet'!$L$40&lt;&gt;"",ISNUMBER(SEARCH($M$4,'Final Calculation Sheet'!$L$40))))),IF($N$4="",TRUE(),IF($N$4="(blank)",'Final Calculation Sheet'!$M$40="",IF($N$4="(nonblank)",'Final Calculation Sheet'!$M$40&lt;&gt;"",ISNUMBER(SEARCH($N$4,'Final Calculation Sheet'!$M$40))))),IF($O$4="",TRUE(),IF($O$4="(blank)",'Final Calculation Sheet'!$N$40="",IF($O$4="(nonblank)",'Final Calculation Sheet'!$N$40&lt;&gt;"",ISNUMBER(SEARCH($O$4,'Final Calculation Sheet'!$N$40))))),IF($P$4="",TRUE(),IF($P$4="(blank)",'Final Calculation Sheet'!$O$40="",IF($P$4="(nonblank)",'Final Calculation Sheet'!$O$40&lt;&gt;"",ISNUMBER(SEARCH($P$4,'Final Calculation Sheet'!$O$40))))),IF($Q$4="",TRUE(),IF($Q$4="(blank)",'Final Calculation Sheet'!$P$40="",IF($Q$4="(nonblank)",'Final Calculation Sheet'!$P$40&lt;&gt;"",ISNUMBER(SEARCH($Q$4,'Final Calculation Sheet'!$P$40))))),IF($R$4="",TRUE(),IF($R$4="(blank)",'Final Calculation Sheet'!$Q$40="",IF($R$4="(nonblank)",'Final Calculation Sheet'!$Q$40&lt;&gt;"",ISNUMBER(SEARCH($R$4,'Final Calculation Sheet'!$Q$40))))),IF($S$4="",TRUE(),IF($S$4="(blank)",'Final Calculation Sheet'!$R$40="",IF($S$4="(nonblank)",'Final Calculation Sheet'!$R$40&lt;&gt;"",ISNUMBER(SEARCH($S$4,'Final Calculation Sheet'!$R$40))))),IF($T$4="",TRUE(),IF($T$4="(blank)",'Final Calculation Sheet'!$S$40="",IF($T$4="(nonblank)",'Final Calculation Sheet'!$S$40&lt;&gt;"",ISNUMBER(SEARCH($T$4,'Final Calculation Sheet'!$S$40))))),IF($U$4="",TRUE(),IF($U$4="(blank)",'Final Calculation Sheet'!$T$40="",IF($U$4="(nonblank)",'Final Calculation Sheet'!$T$40&lt;&gt;"",ISNUMBER(SEARCH($U$4,'Final Calculation Sheet'!$T$40))))),IF($V$4="",TRUE(),IF($V$4="(blank)",'Final Calculation Sheet'!$U$40="",IF($V$4="(nonblank)",'Final Calculation Sheet'!$U$40&lt;&gt;"",ISNUMBER(SEARCH($V$4,'Final Calculation Sheet'!$U$40))))),IF($W$4="",TRUE(),IF($W$4="(blank)",'Final Calculation Sheet'!$V$40="",IF($W$4="(nonblank)",'Final Calculation Sheet'!$V$40&lt;&gt;"",ISNUMBER(SEARCH($W$4,'Final Calculation Sheet'!$V$40))))),IF($X$4="",TRUE(),IF($X$4="(blank)",'Final Calculation Sheet'!$W$40="",IF($X$4="(nonblank)",'Final Calculation Sheet'!$W$40&lt;&gt;"",ISNUMBER(SEARCH($X$4,'Final Calculation Sheet'!$W$40))))),IF($Y$4="",TRUE(),IF($Y$4="(blank)",'Final Calculation Sheet'!$X$40="",IF($Y$4="(nonblank)",'Final Calculation Sheet'!$X$40&lt;&gt;"",ISNUMBER(SEARCH($Y$4,'Final Calculation Sheet'!$X$40))))),IF($Z$4="",TRUE(),IF($Z$4="(blank)",'Final Calculation Sheet'!$Y$40="",IF($Z$4="(nonblank)",'Final Calculation Sheet'!$Y$40&lt;&gt;"",ISNUMBER(SEARCH($Z$4,'Final Calculation Sheet'!$Y$40))))),IF($AA$4="",TRUE(),IF($AA$4="(blank)",'Final Calculation Sheet'!$Z$40="",IF($AA$4="(nonblank)",'Final Calculation Sheet'!$Z$40&lt;&gt;"",ISNUMBER(SEARCH($AA$4,'Final Calculation Sheet'!$Z$40))))),IF($AB$4="",TRUE(),IF($AB$4="(blank)",'Final Calculation Sheet'!$AA$40="",IF($AB$4="(nonblank)",'Final Calculation Sheet'!$AA$40&lt;&gt;"",ISNUMBER(SEARCH($AB$4,'Final Calculation Sheet'!$AA$40))))),IF($AC$4="",TRUE(),IF($AC$4="(blank)",'Final Calculation Sheet'!$AB$40="",IF($AC$4="(nonblank)",'Final Calculation Sheet'!$AB$40&lt;&gt;"",ISNUMBER(SEARCH($AC$4,'Final Calculation Sheet'!$AB$40))))),IF($AD$4="",TRUE(),IF($AD$4="(blank)",'Final Calculation Sheet'!$AC$40="",IF($AD$4="(nonblank)",'Final Calculation Sheet'!$AC$40&lt;&gt;"",ISNUMBER(SEARCH($AD$4,'Final Calculation Sheet'!$AC$40))))),IF($AE$4="",TRUE(),IF($AE$4="(blank)",'Final Calculation Sheet'!$AD$40="",IF($AE$4="(nonblank)",'Final Calculation Sheet'!$AD$40&lt;&gt;"",ISNUMBER(SEARCH($AE$4,'Final Calculation Sheet'!$AD$40))))),IF($AG$4="",TRUE(),IF($AG$4="(blank)",'Final Calculation Sheet'!$AF$40="",IF($AG$4="(nonblank)",'Final Calculation Sheet'!$AF$40&lt;&gt;"",ISNUMBER(SEARCH($AG$4,'Final Calculation Sheet'!$AF$40))))),IF($AH$4="",TRUE(),IF($AH$4="(blank)",'Final Calculation Sheet'!$AG$40="",IF($AH$4="(nonblank)",'Final Calculation Sheet'!$AG$40&lt;&gt;"",ISNUMBER(SEARCH($AH$4,'Final Calculation Sheet'!$AG$40))))),IF($AI$4="",TRUE(),IF($AI$4="(blank)",'Final Calculation Sheet'!$AH$40="",IF($AI$4="(nonblank)",'Final Calculation Sheet'!$AH$40&lt;&gt;"",ISNUMBER(SEARCH($AI$4,'Final Calculation Sheet'!$AH$40))))),IF($AF$4="",TRUE(),IF($AF$4="(blank)",IF('Final Calculation Sheet'!$AD$40&lt;=5,"SETTLED","OUTSTANDING")="",IF($AF$4="(nonblank)",IF('Final Calculation Sheet'!$AD$40&lt;=5,"SETTLED","OUTSTANDING")&lt;&gt;"",ISNUMBER(SEARCH($AF$4,IF('Final Calculation Sheet'!$AD$40&lt;=5,"SETTLED","OUTSTANDING"))))))),1,0)</f>
      </c>
      <c r="AK38">
        <f>IF(AJ38=1,COUNTIF(AJ$7:AJ38,1),"")</f>
        <v/>
      </c>
    </row>
    <row r="39" ht="15" customHeight="1" s="137">
      <c r="A39" s="81" t="inlineStr">
        <is>
          <t>∑</t>
        </is>
      </c>
      <c r="B39" s="83" t="n"/>
      <c r="C39" s="83">
        <f>ROWS($C$37:$C$38)&amp;" lot(s)"</f>
        <v/>
      </c>
      <c r="D39" s="83" t="inlineStr">
        <is>
          <t>SUBTOTAL — S M ENTERPRISES</t>
        </is>
      </c>
      <c r="E39" s="83" t="inlineStr">
        <is>
          <t>–</t>
        </is>
      </c>
      <c r="F39" s="83">
        <f>SUM(F37:F38)</f>
        <v/>
      </c>
      <c r="G39" s="83" t="inlineStr">
        <is>
          <t>–</t>
        </is>
      </c>
      <c r="H39" s="84" t="inlineStr">
        <is>
          <t>–</t>
        </is>
      </c>
      <c r="I39" s="84">
        <f>SUM(I37:I38)</f>
        <v/>
      </c>
      <c r="J39" s="84">
        <f>SUM(J37:J38)</f>
        <v/>
      </c>
      <c r="K39" s="84">
        <f>SUM(K37:K38)</f>
        <v/>
      </c>
      <c r="L39" s="84">
        <f>SUM(L37:L38)</f>
        <v/>
      </c>
      <c r="M39" s="84">
        <f>SUM(M37:M38)</f>
        <v/>
      </c>
      <c r="N39" s="84">
        <f>SUM(N37:N38)</f>
        <v/>
      </c>
      <c r="O39" s="85">
        <f>SUM(O37:O38)</f>
        <v/>
      </c>
      <c r="P39" s="84">
        <f>SUM(P37:P38)</f>
        <v/>
      </c>
      <c r="Q39" s="84">
        <f>SUM(Q37:Q38)</f>
        <v/>
      </c>
      <c r="R39" s="86" t="inlineStr">
        <is>
          <t>–</t>
        </is>
      </c>
      <c r="S39" s="84">
        <f>SUM(S37:S38)</f>
        <v/>
      </c>
      <c r="T39" s="84">
        <f>SUM(T37:T38)</f>
        <v/>
      </c>
      <c r="U39" s="84">
        <f>SUM(U37:U38)</f>
        <v/>
      </c>
      <c r="V39" s="87">
        <f>SUM(V37:V38)</f>
        <v/>
      </c>
      <c r="W39" s="84" t="inlineStr">
        <is>
          <t>–</t>
        </is>
      </c>
      <c r="X39" s="84">
        <f>SUM(X37:X38)</f>
        <v/>
      </c>
      <c r="Y39" s="84">
        <f>SUM(Y37:Y38)</f>
        <v/>
      </c>
      <c r="Z39" s="84" t="inlineStr">
        <is>
          <t>–</t>
        </is>
      </c>
      <c r="AA39" s="84">
        <f>SUM(AA37:AA38)</f>
        <v/>
      </c>
      <c r="AB39" s="84">
        <f>SUM(AB37:AB38)</f>
        <v/>
      </c>
      <c r="AC39" s="84" t="inlineStr">
        <is>
          <t>–</t>
        </is>
      </c>
      <c r="AD39" s="84">
        <f>SUM(AD37:AD38)</f>
        <v/>
      </c>
      <c r="AE39" s="84">
        <f>SUM(AE37:AE38)</f>
        <v/>
      </c>
      <c r="AF39" s="89">
        <f>IF(AE39&lt;=5,"SETTLED","OUTSTANDING")</f>
        <v/>
      </c>
      <c r="AG39" s="84" t="inlineStr">
        <is>
          <t>–</t>
        </is>
      </c>
      <c r="AH39" s="88" t="inlineStr">
        <is>
          <t>–</t>
        </is>
      </c>
      <c r="AI39" s="84" t="inlineStr">
        <is>
          <t>–</t>
        </is>
      </c>
    </row>
    <row r="40" outlineLevel="1" ht="15" customHeight="1" s="137">
      <c r="A40" s="67" t="n">
        <v>1</v>
      </c>
      <c r="B40" s="76">
        <f>IF('Final Calculation Sheet'!$F$31="","",'Final Calculation Sheet'!$F$31)</f>
        <v/>
      </c>
      <c r="C40" s="76">
        <f>IF('Final Calculation Sheet'!$G$31="","",'Final Calculation Sheet'!$G$31)</f>
        <v/>
      </c>
      <c r="D40" s="80">
        <f>IF('Final Calculation Sheet'!$B$31="","",'Final Calculation Sheet'!$B$31)</f>
        <v/>
      </c>
      <c r="E40" s="80">
        <f>IF('Final Calculation Sheet'!$D$31="","",'Final Calculation Sheet'!$D$31)</f>
        <v/>
      </c>
      <c r="F40" s="80">
        <f>IF('Final Calculation Sheet'!$A$31="","",'Final Calculation Sheet'!$A$31)</f>
        <v/>
      </c>
      <c r="G40" s="80">
        <f>IF('Final Calculation Sheet'!$E$31="","",'Final Calculation Sheet'!$E$31)</f>
        <v/>
      </c>
      <c r="H40" s="70">
        <f>IF('Final Calculation Sheet'!$C$31="","",'Final Calculation Sheet'!$C$31)</f>
        <v/>
      </c>
      <c r="I40" s="70">
        <f>IF('Final Calculation Sheet'!$H$31="","",'Final Calculation Sheet'!$H$31)</f>
        <v/>
      </c>
      <c r="J40" s="70">
        <f>IF('Final Calculation Sheet'!$I$31="","",'Final Calculation Sheet'!$I$31)</f>
        <v/>
      </c>
      <c r="K40" s="70">
        <f>IF('Final Calculation Sheet'!$J$31="","",'Final Calculation Sheet'!$J$31)</f>
        <v/>
      </c>
      <c r="L40" s="70">
        <f>IF('Final Calculation Sheet'!$K$31="","",'Final Calculation Sheet'!$K$31)</f>
        <v/>
      </c>
      <c r="M40" s="70">
        <f>IF('Final Calculation Sheet'!$L$31="","",'Final Calculation Sheet'!$L$31)</f>
        <v/>
      </c>
      <c r="N40" s="70">
        <f>IF('Final Calculation Sheet'!$M$31="","",'Final Calculation Sheet'!$M$31)</f>
        <v/>
      </c>
      <c r="O40" s="71">
        <f>IF('Final Calculation Sheet'!$N$31="","",'Final Calculation Sheet'!$N$31)</f>
        <v/>
      </c>
      <c r="P40" s="70">
        <f>IF('Final Calculation Sheet'!$O$31="","",'Final Calculation Sheet'!$O$31)</f>
        <v/>
      </c>
      <c r="Q40" s="70">
        <f>IF('Final Calculation Sheet'!$P$31="","",'Final Calculation Sheet'!$P$31)</f>
        <v/>
      </c>
      <c r="R40" s="72">
        <f>IF('Final Calculation Sheet'!$Q$31="","",'Final Calculation Sheet'!$Q$31)</f>
        <v/>
      </c>
      <c r="S40" s="70">
        <f>IF('Final Calculation Sheet'!$R$31="","",'Final Calculation Sheet'!$R$31)</f>
        <v/>
      </c>
      <c r="T40" s="70">
        <f>IF('Final Calculation Sheet'!$S$31="","",'Final Calculation Sheet'!$S$31)</f>
        <v/>
      </c>
      <c r="U40" s="70">
        <f>IF('Final Calculation Sheet'!$T$31="","",'Final Calculation Sheet'!$T$31)</f>
        <v/>
      </c>
      <c r="V40" s="73">
        <f>IF('Final Calculation Sheet'!$U$31="","",'Final Calculation Sheet'!$U$31)</f>
        <v/>
      </c>
      <c r="W40" s="70">
        <f>IF('Final Calculation Sheet'!$V$31="","",'Final Calculation Sheet'!$V$31)</f>
        <v/>
      </c>
      <c r="X40" s="70">
        <f>IF('Final Calculation Sheet'!$W$31="","",'Final Calculation Sheet'!$W$31)</f>
        <v/>
      </c>
      <c r="Y40" s="70">
        <f>IF('Final Calculation Sheet'!$X$31="","",'Final Calculation Sheet'!$X$31)</f>
        <v/>
      </c>
      <c r="Z40" s="70">
        <f>IF('Final Calculation Sheet'!$Y$31="","",'Final Calculation Sheet'!$Y$31)</f>
        <v/>
      </c>
      <c r="AA40" s="70">
        <f>IF('Final Calculation Sheet'!$Z$31="","",'Final Calculation Sheet'!$Z$31)</f>
        <v/>
      </c>
      <c r="AB40" s="70">
        <f>IF('Final Calculation Sheet'!$AA$31="","",'Final Calculation Sheet'!$AA$31)</f>
        <v/>
      </c>
      <c r="AC40" s="70">
        <f>IF('Final Calculation Sheet'!$AB$31="","",'Final Calculation Sheet'!$AB$31)</f>
        <v/>
      </c>
      <c r="AD40" s="70">
        <f>IF('Final Calculation Sheet'!$AC$31="","",'Final Calculation Sheet'!$AC$31)</f>
        <v/>
      </c>
      <c r="AE40" s="70">
        <f>IF('Final Calculation Sheet'!$AD$31="","",'Final Calculation Sheet'!$AD$31)</f>
        <v/>
      </c>
      <c r="AF40" s="75">
        <f>IF('Final Calculation Sheet'!$AD$31="","",IF('Final Calculation Sheet'!$AD$31&lt;=5,"SETTLED","OUTSTANDING"))</f>
        <v/>
      </c>
      <c r="AG40" s="70">
        <f>IF('Final Calculation Sheet'!$AF$31="","",'Final Calculation Sheet'!$AF$31)</f>
        <v/>
      </c>
      <c r="AH40" s="74">
        <f>IF('Final Calculation Sheet'!$AG$31="","",'Final Calculation Sheet'!$AG$31)</f>
        <v/>
      </c>
      <c r="AI40" s="70">
        <f>IF('Final Calculation Sheet'!$AH$31="","",'Final Calculation Sheet'!$AH$31)</f>
        <v/>
      </c>
      <c r="AJ40">
        <f>IF(AND(IF($B$4="",TRUE(),IF($B$4="(blank)",'Final Calculation Sheet'!$F$31="",IF($B$4="(nonblank)",'Final Calculation Sheet'!$F$31&lt;&gt;"",ISNUMBER(SEARCH($B$4,'Final Calculation Sheet'!$F$31))))),IF($C$4="",TRUE(),IF($C$4="(blank)",'Final Calculation Sheet'!$G$31="",IF($C$4="(nonblank)",'Final Calculation Sheet'!$G$31&lt;&gt;"",ISNUMBER(SEARCH($C$4,'Final Calculation Sheet'!$G$31))))),IF($D$4="",TRUE(),IF($D$4="(blank)",'Final Calculation Sheet'!$B$31="",IF($D$4="(nonblank)",'Final Calculation Sheet'!$B$31&lt;&gt;"",ISNUMBER(SEARCH($D$4,'Final Calculation Sheet'!$B$31))))),IF($E$4="",TRUE(),IF($E$4="(blank)",'Final Calculation Sheet'!$D$31="",IF($E$4="(nonblank)",'Final Calculation Sheet'!$D$31&lt;&gt;"",ISNUMBER(SEARCH($E$4,'Final Calculation Sheet'!$D$31))))),IF($F$4="",TRUE(),IF($F$4="(blank)",'Final Calculation Sheet'!$A$31="",IF($F$4="(nonblank)",'Final Calculation Sheet'!$A$31&lt;&gt;"",ISNUMBER(SEARCH($F$4,'Final Calculation Sheet'!$A$31))))),IF($G$4="",TRUE(),IF($G$4="(blank)",'Final Calculation Sheet'!$E$31="",IF($G$4="(nonblank)",'Final Calculation Sheet'!$E$31&lt;&gt;"",ISNUMBER(SEARCH($G$4,'Final Calculation Sheet'!$E$31))))),IF($H$4="",TRUE(),IF($H$4="(blank)",'Final Calculation Sheet'!$C$31="",IF($H$4="(nonblank)",'Final Calculation Sheet'!$C$31&lt;&gt;"",ISNUMBER(SEARCH($H$4,'Final Calculation Sheet'!$C$31))))),IF($I$4="",TRUE(),IF($I$4="(blank)",'Final Calculation Sheet'!$H$31="",IF($I$4="(nonblank)",'Final Calculation Sheet'!$H$31&lt;&gt;"",ISNUMBER(SEARCH($I$4,'Final Calculation Sheet'!$H$31))))),IF($J$4="",TRUE(),IF($J$4="(blank)",'Final Calculation Sheet'!$I$31="",IF($J$4="(nonblank)",'Final Calculation Sheet'!$I$31&lt;&gt;"",ISNUMBER(SEARCH($J$4,'Final Calculation Sheet'!$I$31))))),IF($K$4="",TRUE(),IF($K$4="(blank)",'Final Calculation Sheet'!$J$31="",IF($K$4="(nonblank)",'Final Calculation Sheet'!$J$31&lt;&gt;"",ISNUMBER(SEARCH($K$4,'Final Calculation Sheet'!$J$31))))),IF($L$4="",TRUE(),IF($L$4="(blank)",'Final Calculation Sheet'!$K$31="",IF($L$4="(nonblank)",'Final Calculation Sheet'!$K$31&lt;&gt;"",ISNUMBER(SEARCH($L$4,'Final Calculation Sheet'!$K$31))))),IF($M$4="",TRUE(),IF($M$4="(blank)",'Final Calculation Sheet'!$L$31="",IF($M$4="(nonblank)",'Final Calculation Sheet'!$L$31&lt;&gt;"",ISNUMBER(SEARCH($M$4,'Final Calculation Sheet'!$L$31))))),IF($N$4="",TRUE(),IF($N$4="(blank)",'Final Calculation Sheet'!$M$31="",IF($N$4="(nonblank)",'Final Calculation Sheet'!$M$31&lt;&gt;"",ISNUMBER(SEARCH($N$4,'Final Calculation Sheet'!$M$31))))),IF($O$4="",TRUE(),IF($O$4="(blank)",'Final Calculation Sheet'!$N$31="",IF($O$4="(nonblank)",'Final Calculation Sheet'!$N$31&lt;&gt;"",ISNUMBER(SEARCH($O$4,'Final Calculation Sheet'!$N$31))))),IF($P$4="",TRUE(),IF($P$4="(blank)",'Final Calculation Sheet'!$O$31="",IF($P$4="(nonblank)",'Final Calculation Sheet'!$O$31&lt;&gt;"",ISNUMBER(SEARCH($P$4,'Final Calculation Sheet'!$O$31))))),IF($Q$4="",TRUE(),IF($Q$4="(blank)",'Final Calculation Sheet'!$P$31="",IF($Q$4="(nonblank)",'Final Calculation Sheet'!$P$31&lt;&gt;"",ISNUMBER(SEARCH($Q$4,'Final Calculation Sheet'!$P$31))))),IF($R$4="",TRUE(),IF($R$4="(blank)",'Final Calculation Sheet'!$Q$31="",IF($R$4="(nonblank)",'Final Calculation Sheet'!$Q$31&lt;&gt;"",ISNUMBER(SEARCH($R$4,'Final Calculation Sheet'!$Q$31))))),IF($S$4="",TRUE(),IF($S$4="(blank)",'Final Calculation Sheet'!$R$31="",IF($S$4="(nonblank)",'Final Calculation Sheet'!$R$31&lt;&gt;"",ISNUMBER(SEARCH($S$4,'Final Calculation Sheet'!$R$31))))),IF($T$4="",TRUE(),IF($T$4="(blank)",'Final Calculation Sheet'!$S$31="",IF($T$4="(nonblank)",'Final Calculation Sheet'!$S$31&lt;&gt;"",ISNUMBER(SEARCH($T$4,'Final Calculation Sheet'!$S$31))))),IF($U$4="",TRUE(),IF($U$4="(blank)",'Final Calculation Sheet'!$T$31="",IF($U$4="(nonblank)",'Final Calculation Sheet'!$T$31&lt;&gt;"",ISNUMBER(SEARCH($U$4,'Final Calculation Sheet'!$T$31))))),IF($V$4="",TRUE(),IF($V$4="(blank)",'Final Calculation Sheet'!$U$31="",IF($V$4="(nonblank)",'Final Calculation Sheet'!$U$31&lt;&gt;"",ISNUMBER(SEARCH($V$4,'Final Calculation Sheet'!$U$31))))),IF($W$4="",TRUE(),IF($W$4="(blank)",'Final Calculation Sheet'!$V$31="",IF($W$4="(nonblank)",'Final Calculation Sheet'!$V$31&lt;&gt;"",ISNUMBER(SEARCH($W$4,'Final Calculation Sheet'!$V$31))))),IF($X$4="",TRUE(),IF($X$4="(blank)",'Final Calculation Sheet'!$W$31="",IF($X$4="(nonblank)",'Final Calculation Sheet'!$W$31&lt;&gt;"",ISNUMBER(SEARCH($X$4,'Final Calculation Sheet'!$W$31))))),IF($Y$4="",TRUE(),IF($Y$4="(blank)",'Final Calculation Sheet'!$X$31="",IF($Y$4="(nonblank)",'Final Calculation Sheet'!$X$31&lt;&gt;"",ISNUMBER(SEARCH($Y$4,'Final Calculation Sheet'!$X$31))))),IF($Z$4="",TRUE(),IF($Z$4="(blank)",'Final Calculation Sheet'!$Y$31="",IF($Z$4="(nonblank)",'Final Calculation Sheet'!$Y$31&lt;&gt;"",ISNUMBER(SEARCH($Z$4,'Final Calculation Sheet'!$Y$31))))),IF($AA$4="",TRUE(),IF($AA$4="(blank)",'Final Calculation Sheet'!$Z$31="",IF($AA$4="(nonblank)",'Final Calculation Sheet'!$Z$31&lt;&gt;"",ISNUMBER(SEARCH($AA$4,'Final Calculation Sheet'!$Z$31))))),IF($AB$4="",TRUE(),IF($AB$4="(blank)",'Final Calculation Sheet'!$AA$31="",IF($AB$4="(nonblank)",'Final Calculation Sheet'!$AA$31&lt;&gt;"",ISNUMBER(SEARCH($AB$4,'Final Calculation Sheet'!$AA$31))))),IF($AC$4="",TRUE(),IF($AC$4="(blank)",'Final Calculation Sheet'!$AB$31="",IF($AC$4="(nonblank)",'Final Calculation Sheet'!$AB$31&lt;&gt;"",ISNUMBER(SEARCH($AC$4,'Final Calculation Sheet'!$AB$31))))),IF($AD$4="",TRUE(),IF($AD$4="(blank)",'Final Calculation Sheet'!$AC$31="",IF($AD$4="(nonblank)",'Final Calculation Sheet'!$AC$31&lt;&gt;"",ISNUMBER(SEARCH($AD$4,'Final Calculation Sheet'!$AC$31))))),IF($AE$4="",TRUE(),IF($AE$4="(blank)",'Final Calculation Sheet'!$AD$31="",IF($AE$4="(nonblank)",'Final Calculation Sheet'!$AD$31&lt;&gt;"",ISNUMBER(SEARCH($AE$4,'Final Calculation Sheet'!$AD$31))))),IF($AG$4="",TRUE(),IF($AG$4="(blank)",'Final Calculation Sheet'!$AF$31="",IF($AG$4="(nonblank)",'Final Calculation Sheet'!$AF$31&lt;&gt;"",ISNUMBER(SEARCH($AG$4,'Final Calculation Sheet'!$AF$31))))),IF($AH$4="",TRUE(),IF($AH$4="(blank)",'Final Calculation Sheet'!$AG$31="",IF($AH$4="(nonblank)",'Final Calculation Sheet'!$AG$31&lt;&gt;"",ISNUMBER(SEARCH($AH$4,'Final Calculation Sheet'!$AG$31))))),IF($AI$4="",TRUE(),IF($AI$4="(blank)",'Final Calculation Sheet'!$AH$31="",IF($AI$4="(nonblank)",'Final Calculation Sheet'!$AH$31&lt;&gt;"",ISNUMBER(SEARCH($AI$4,'Final Calculation Sheet'!$AH$31))))),IF($AF$4="",TRUE(),IF($AF$4="(blank)",IF('Final Calculation Sheet'!$AD$31&lt;=5,"SETTLED","OUTSTANDING")="",IF($AF$4="(nonblank)",IF('Final Calculation Sheet'!$AD$31&lt;=5,"SETTLED","OUTSTANDING")&lt;&gt;"",ISNUMBER(SEARCH($AF$4,IF('Final Calculation Sheet'!$AD$31&lt;=5,"SETTLED","OUTSTANDING"))))))),1,0)</f>
      </c>
      <c r="AK40">
        <f>IF(AJ40=1,COUNTIF(AJ$7:AJ40,1),"")</f>
        <v/>
      </c>
    </row>
    <row r="41" ht="15" customHeight="1" s="137">
      <c r="A41" s="81" t="inlineStr">
        <is>
          <t>∑</t>
        </is>
      </c>
      <c r="B41" s="83" t="n"/>
      <c r="C41" s="83">
        <f>ROWS($C$40:$C$40)&amp;" lot(s)"</f>
        <v/>
      </c>
      <c r="D41" s="83" t="inlineStr">
        <is>
          <t>SUBTOTAL — SAHARA ENTERPRISES</t>
        </is>
      </c>
      <c r="E41" s="83" t="inlineStr">
        <is>
          <t>–</t>
        </is>
      </c>
      <c r="F41" s="83">
        <f>SUM(F40:F40)</f>
        <v/>
      </c>
      <c r="G41" s="83" t="inlineStr">
        <is>
          <t>–</t>
        </is>
      </c>
      <c r="H41" s="84" t="inlineStr">
        <is>
          <t>–</t>
        </is>
      </c>
      <c r="I41" s="84">
        <f>SUM(I40:I40)</f>
        <v/>
      </c>
      <c r="J41" s="84">
        <f>SUM(J40:J40)</f>
        <v/>
      </c>
      <c r="K41" s="84">
        <f>SUM(K40:K40)</f>
        <v/>
      </c>
      <c r="L41" s="84">
        <f>SUM(L40:L40)</f>
        <v/>
      </c>
      <c r="M41" s="84">
        <f>SUM(M40:M40)</f>
        <v/>
      </c>
      <c r="N41" s="84">
        <f>SUM(N40:N40)</f>
        <v/>
      </c>
      <c r="O41" s="85">
        <f>SUM(O40:O40)</f>
        <v/>
      </c>
      <c r="P41" s="84">
        <f>SUM(P40:P40)</f>
        <v/>
      </c>
      <c r="Q41" s="84">
        <f>SUM(Q40:Q40)</f>
        <v/>
      </c>
      <c r="R41" s="86" t="inlineStr">
        <is>
          <t>–</t>
        </is>
      </c>
      <c r="S41" s="84">
        <f>SUM(S40:S40)</f>
        <v/>
      </c>
      <c r="T41" s="84">
        <f>SUM(T40:T40)</f>
        <v/>
      </c>
      <c r="U41" s="84">
        <f>SUM(U40:U40)</f>
        <v/>
      </c>
      <c r="V41" s="87">
        <f>SUM(V40:V40)</f>
        <v/>
      </c>
      <c r="W41" s="84" t="inlineStr">
        <is>
          <t>–</t>
        </is>
      </c>
      <c r="X41" s="84">
        <f>SUM(X40:X40)</f>
        <v/>
      </c>
      <c r="Y41" s="84">
        <f>SUM(Y40:Y40)</f>
        <v/>
      </c>
      <c r="Z41" s="84" t="inlineStr">
        <is>
          <t>–</t>
        </is>
      </c>
      <c r="AA41" s="84">
        <f>SUM(AA40:AA40)</f>
        <v/>
      </c>
      <c r="AB41" s="84">
        <f>SUM(AB40:AB40)</f>
        <v/>
      </c>
      <c r="AC41" s="84" t="inlineStr">
        <is>
          <t>–</t>
        </is>
      </c>
      <c r="AD41" s="84">
        <f>SUM(AD40:AD40)</f>
        <v/>
      </c>
      <c r="AE41" s="84">
        <f>SUM(AE40:AE40)</f>
        <v/>
      </c>
      <c r="AF41" s="89">
        <f>IF(AE41&lt;=5,"SETTLED","OUTSTANDING")</f>
        <v/>
      </c>
      <c r="AG41" s="84" t="inlineStr">
        <is>
          <t>–</t>
        </is>
      </c>
      <c r="AH41" s="88" t="inlineStr">
        <is>
          <t>–</t>
        </is>
      </c>
      <c r="AI41" s="84" t="inlineStr">
        <is>
          <t>–</t>
        </is>
      </c>
    </row>
    <row r="42" outlineLevel="1" ht="15" customHeight="1" s="137">
      <c r="A42" s="67" t="n">
        <v>1</v>
      </c>
      <c r="B42" s="76">
        <f>IF('Final Calculation Sheet'!$F$9="","",'Final Calculation Sheet'!$F$9)</f>
        <v/>
      </c>
      <c r="C42" s="76">
        <f>IF('Final Calculation Sheet'!$G$9="","",'Final Calculation Sheet'!$G$9)</f>
        <v/>
      </c>
      <c r="D42" s="80">
        <f>IF('Final Calculation Sheet'!$B$9="","",'Final Calculation Sheet'!$B$9)</f>
        <v/>
      </c>
      <c r="E42" s="80">
        <f>IF('Final Calculation Sheet'!$D$9="","",'Final Calculation Sheet'!$D$9)</f>
        <v/>
      </c>
      <c r="F42" s="80">
        <f>IF('Final Calculation Sheet'!$A$9="","",'Final Calculation Sheet'!$A$9)</f>
        <v/>
      </c>
      <c r="G42" s="80">
        <f>IF('Final Calculation Sheet'!$E$9="","",'Final Calculation Sheet'!$E$9)</f>
        <v/>
      </c>
      <c r="H42" s="70">
        <f>IF('Final Calculation Sheet'!$C$9="","",'Final Calculation Sheet'!$C$9)</f>
        <v/>
      </c>
      <c r="I42" s="70">
        <f>IF('Final Calculation Sheet'!$H$9="","",'Final Calculation Sheet'!$H$9)</f>
        <v/>
      </c>
      <c r="J42" s="70">
        <f>IF('Final Calculation Sheet'!$I$9="","",'Final Calculation Sheet'!$I$9)</f>
        <v/>
      </c>
      <c r="K42" s="70">
        <f>IF('Final Calculation Sheet'!$J$9="","",'Final Calculation Sheet'!$J$9)</f>
        <v/>
      </c>
      <c r="L42" s="70">
        <f>IF('Final Calculation Sheet'!$K$9="","",'Final Calculation Sheet'!$K$9)</f>
        <v/>
      </c>
      <c r="M42" s="70">
        <f>IF('Final Calculation Sheet'!$L$9="","",'Final Calculation Sheet'!$L$9)</f>
        <v/>
      </c>
      <c r="N42" s="70">
        <f>IF('Final Calculation Sheet'!$M$9="","",'Final Calculation Sheet'!$M$9)</f>
        <v/>
      </c>
      <c r="O42" s="71">
        <f>IF('Final Calculation Sheet'!$N$9="","",'Final Calculation Sheet'!$N$9)</f>
        <v/>
      </c>
      <c r="P42" s="70">
        <f>IF('Final Calculation Sheet'!$O$9="","",'Final Calculation Sheet'!$O$9)</f>
        <v/>
      </c>
      <c r="Q42" s="70">
        <f>IF('Final Calculation Sheet'!$P$9="","",'Final Calculation Sheet'!$P$9)</f>
        <v/>
      </c>
      <c r="R42" s="72">
        <f>IF('Final Calculation Sheet'!$Q$9="","",'Final Calculation Sheet'!$Q$9)</f>
        <v/>
      </c>
      <c r="S42" s="70">
        <f>IF('Final Calculation Sheet'!$R$9="","",'Final Calculation Sheet'!$R$9)</f>
        <v/>
      </c>
      <c r="T42" s="70">
        <f>IF('Final Calculation Sheet'!$S$9="","",'Final Calculation Sheet'!$S$9)</f>
        <v/>
      </c>
      <c r="U42" s="70">
        <f>IF('Final Calculation Sheet'!$T$9="","",'Final Calculation Sheet'!$T$9)</f>
        <v/>
      </c>
      <c r="V42" s="73">
        <f>IF('Final Calculation Sheet'!$U$9="","",'Final Calculation Sheet'!$U$9)</f>
        <v/>
      </c>
      <c r="W42" s="70">
        <f>IF('Final Calculation Sheet'!$V$9="","",'Final Calculation Sheet'!$V$9)</f>
        <v/>
      </c>
      <c r="X42" s="70">
        <f>IF('Final Calculation Sheet'!$W$9="","",'Final Calculation Sheet'!$W$9)</f>
        <v/>
      </c>
      <c r="Y42" s="70">
        <f>IF('Final Calculation Sheet'!$X$9="","",'Final Calculation Sheet'!$X$9)</f>
        <v/>
      </c>
      <c r="Z42" s="70">
        <f>IF('Final Calculation Sheet'!$Y$9="","",'Final Calculation Sheet'!$Y$9)</f>
        <v/>
      </c>
      <c r="AA42" s="70">
        <f>IF('Final Calculation Sheet'!$Z$9="","",'Final Calculation Sheet'!$Z$9)</f>
        <v/>
      </c>
      <c r="AB42" s="70">
        <f>IF('Final Calculation Sheet'!$AA$9="","",'Final Calculation Sheet'!$AA$9)</f>
        <v/>
      </c>
      <c r="AC42" s="70">
        <f>IF('Final Calculation Sheet'!$AB$9="","",'Final Calculation Sheet'!$AB$9)</f>
        <v/>
      </c>
      <c r="AD42" s="70">
        <f>IF('Final Calculation Sheet'!$AC$9="","",'Final Calculation Sheet'!$AC$9)</f>
        <v/>
      </c>
      <c r="AE42" s="70">
        <f>IF('Final Calculation Sheet'!$AD$9="","",'Final Calculation Sheet'!$AD$9)</f>
        <v/>
      </c>
      <c r="AF42" s="75">
        <f>IF('Final Calculation Sheet'!$AD$9="","",IF('Final Calculation Sheet'!$AD$9&lt;=5,"SETTLED","OUTSTANDING"))</f>
        <v/>
      </c>
      <c r="AG42" s="70">
        <f>IF('Final Calculation Sheet'!$AF$9="","",'Final Calculation Sheet'!$AF$9)</f>
        <v/>
      </c>
      <c r="AH42" s="74">
        <f>IF('Final Calculation Sheet'!$AG$9="","",'Final Calculation Sheet'!$AG$9)</f>
        <v/>
      </c>
      <c r="AI42" s="70">
        <f>IF('Final Calculation Sheet'!$AH$9="","",'Final Calculation Sheet'!$AH$9)</f>
        <v/>
      </c>
      <c r="AJ42">
        <f>IF(AND(IF($B$4="",TRUE(),IF($B$4="(blank)",'Final Calculation Sheet'!$F$9="",IF($B$4="(nonblank)",'Final Calculation Sheet'!$F$9&lt;&gt;"",ISNUMBER(SEARCH($B$4,'Final Calculation Sheet'!$F$9))))),IF($C$4="",TRUE(),IF($C$4="(blank)",'Final Calculation Sheet'!$G$9="",IF($C$4="(nonblank)",'Final Calculation Sheet'!$G$9&lt;&gt;"",ISNUMBER(SEARCH($C$4,'Final Calculation Sheet'!$G$9))))),IF($D$4="",TRUE(),IF($D$4="(blank)",'Final Calculation Sheet'!$B$9="",IF($D$4="(nonblank)",'Final Calculation Sheet'!$B$9&lt;&gt;"",ISNUMBER(SEARCH($D$4,'Final Calculation Sheet'!$B$9))))),IF($E$4="",TRUE(),IF($E$4="(blank)",'Final Calculation Sheet'!$D$9="",IF($E$4="(nonblank)",'Final Calculation Sheet'!$D$9&lt;&gt;"",ISNUMBER(SEARCH($E$4,'Final Calculation Sheet'!$D$9))))),IF($F$4="",TRUE(),IF($F$4="(blank)",'Final Calculation Sheet'!$A$9="",IF($F$4="(nonblank)",'Final Calculation Sheet'!$A$9&lt;&gt;"",ISNUMBER(SEARCH($F$4,'Final Calculation Sheet'!$A$9))))),IF($G$4="",TRUE(),IF($G$4="(blank)",'Final Calculation Sheet'!$E$9="",IF($G$4="(nonblank)",'Final Calculation Sheet'!$E$9&lt;&gt;"",ISNUMBER(SEARCH($G$4,'Final Calculation Sheet'!$E$9))))),IF($H$4="",TRUE(),IF($H$4="(blank)",'Final Calculation Sheet'!$C$9="",IF($H$4="(nonblank)",'Final Calculation Sheet'!$C$9&lt;&gt;"",ISNUMBER(SEARCH($H$4,'Final Calculation Sheet'!$C$9))))),IF($I$4="",TRUE(),IF($I$4="(blank)",'Final Calculation Sheet'!$H$9="",IF($I$4="(nonblank)",'Final Calculation Sheet'!$H$9&lt;&gt;"",ISNUMBER(SEARCH($I$4,'Final Calculation Sheet'!$H$9))))),IF($J$4="",TRUE(),IF($J$4="(blank)",'Final Calculation Sheet'!$I$9="",IF($J$4="(nonblank)",'Final Calculation Sheet'!$I$9&lt;&gt;"",ISNUMBER(SEARCH($J$4,'Final Calculation Sheet'!$I$9))))),IF($K$4="",TRUE(),IF($K$4="(blank)",'Final Calculation Sheet'!$J$9="",IF($K$4="(nonblank)",'Final Calculation Sheet'!$J$9&lt;&gt;"",ISNUMBER(SEARCH($K$4,'Final Calculation Sheet'!$J$9))))),IF($L$4="",TRUE(),IF($L$4="(blank)",'Final Calculation Sheet'!$K$9="",IF($L$4="(nonblank)",'Final Calculation Sheet'!$K$9&lt;&gt;"",ISNUMBER(SEARCH($L$4,'Final Calculation Sheet'!$K$9))))),IF($M$4="",TRUE(),IF($M$4="(blank)",'Final Calculation Sheet'!$L$9="",IF($M$4="(nonblank)",'Final Calculation Sheet'!$L$9&lt;&gt;"",ISNUMBER(SEARCH($M$4,'Final Calculation Sheet'!$L$9))))),IF($N$4="",TRUE(),IF($N$4="(blank)",'Final Calculation Sheet'!$M$9="",IF($N$4="(nonblank)",'Final Calculation Sheet'!$M$9&lt;&gt;"",ISNUMBER(SEARCH($N$4,'Final Calculation Sheet'!$M$9))))),IF($O$4="",TRUE(),IF($O$4="(blank)",'Final Calculation Sheet'!$N$9="",IF($O$4="(nonblank)",'Final Calculation Sheet'!$N$9&lt;&gt;"",ISNUMBER(SEARCH($O$4,'Final Calculation Sheet'!$N$9))))),IF($P$4="",TRUE(),IF($P$4="(blank)",'Final Calculation Sheet'!$O$9="",IF($P$4="(nonblank)",'Final Calculation Sheet'!$O$9&lt;&gt;"",ISNUMBER(SEARCH($P$4,'Final Calculation Sheet'!$O$9))))),IF($Q$4="",TRUE(),IF($Q$4="(blank)",'Final Calculation Sheet'!$P$9="",IF($Q$4="(nonblank)",'Final Calculation Sheet'!$P$9&lt;&gt;"",ISNUMBER(SEARCH($Q$4,'Final Calculation Sheet'!$P$9))))),IF($R$4="",TRUE(),IF($R$4="(blank)",'Final Calculation Sheet'!$Q$9="",IF($R$4="(nonblank)",'Final Calculation Sheet'!$Q$9&lt;&gt;"",ISNUMBER(SEARCH($R$4,'Final Calculation Sheet'!$Q$9))))),IF($S$4="",TRUE(),IF($S$4="(blank)",'Final Calculation Sheet'!$R$9="",IF($S$4="(nonblank)",'Final Calculation Sheet'!$R$9&lt;&gt;"",ISNUMBER(SEARCH($S$4,'Final Calculation Sheet'!$R$9))))),IF($T$4="",TRUE(),IF($T$4="(blank)",'Final Calculation Sheet'!$S$9="",IF($T$4="(nonblank)",'Final Calculation Sheet'!$S$9&lt;&gt;"",ISNUMBER(SEARCH($T$4,'Final Calculation Sheet'!$S$9))))),IF($U$4="",TRUE(),IF($U$4="(blank)",'Final Calculation Sheet'!$T$9="",IF($U$4="(nonblank)",'Final Calculation Sheet'!$T$9&lt;&gt;"",ISNUMBER(SEARCH($U$4,'Final Calculation Sheet'!$T$9))))),IF($V$4="",TRUE(),IF($V$4="(blank)",'Final Calculation Sheet'!$U$9="",IF($V$4="(nonblank)",'Final Calculation Sheet'!$U$9&lt;&gt;"",ISNUMBER(SEARCH($V$4,'Final Calculation Sheet'!$U$9))))),IF($W$4="",TRUE(),IF($W$4="(blank)",'Final Calculation Sheet'!$V$9="",IF($W$4="(nonblank)",'Final Calculation Sheet'!$V$9&lt;&gt;"",ISNUMBER(SEARCH($W$4,'Final Calculation Sheet'!$V$9))))),IF($X$4="",TRUE(),IF($X$4="(blank)",'Final Calculation Sheet'!$W$9="",IF($X$4="(nonblank)",'Final Calculation Sheet'!$W$9&lt;&gt;"",ISNUMBER(SEARCH($X$4,'Final Calculation Sheet'!$W$9))))),IF($Y$4="",TRUE(),IF($Y$4="(blank)",'Final Calculation Sheet'!$X$9="",IF($Y$4="(nonblank)",'Final Calculation Sheet'!$X$9&lt;&gt;"",ISNUMBER(SEARCH($Y$4,'Final Calculation Sheet'!$X$9))))),IF($Z$4="",TRUE(),IF($Z$4="(blank)",'Final Calculation Sheet'!$Y$9="",IF($Z$4="(nonblank)",'Final Calculation Sheet'!$Y$9&lt;&gt;"",ISNUMBER(SEARCH($Z$4,'Final Calculation Sheet'!$Y$9))))),IF($AA$4="",TRUE(),IF($AA$4="(blank)",'Final Calculation Sheet'!$Z$9="",IF($AA$4="(nonblank)",'Final Calculation Sheet'!$Z$9&lt;&gt;"",ISNUMBER(SEARCH($AA$4,'Final Calculation Sheet'!$Z$9))))),IF($AB$4="",TRUE(),IF($AB$4="(blank)",'Final Calculation Sheet'!$AA$9="",IF($AB$4="(nonblank)",'Final Calculation Sheet'!$AA$9&lt;&gt;"",ISNUMBER(SEARCH($AB$4,'Final Calculation Sheet'!$AA$9))))),IF($AC$4="",TRUE(),IF($AC$4="(blank)",'Final Calculation Sheet'!$AB$9="",IF($AC$4="(nonblank)",'Final Calculation Sheet'!$AB$9&lt;&gt;"",ISNUMBER(SEARCH($AC$4,'Final Calculation Sheet'!$AB$9))))),IF($AD$4="",TRUE(),IF($AD$4="(blank)",'Final Calculation Sheet'!$AC$9="",IF($AD$4="(nonblank)",'Final Calculation Sheet'!$AC$9&lt;&gt;"",ISNUMBER(SEARCH($AD$4,'Final Calculation Sheet'!$AC$9))))),IF($AE$4="",TRUE(),IF($AE$4="(blank)",'Final Calculation Sheet'!$AD$9="",IF($AE$4="(nonblank)",'Final Calculation Sheet'!$AD$9&lt;&gt;"",ISNUMBER(SEARCH($AE$4,'Final Calculation Sheet'!$AD$9))))),IF($AG$4="",TRUE(),IF($AG$4="(blank)",'Final Calculation Sheet'!$AF$9="",IF($AG$4="(nonblank)",'Final Calculation Sheet'!$AF$9&lt;&gt;"",ISNUMBER(SEARCH($AG$4,'Final Calculation Sheet'!$AF$9))))),IF($AH$4="",TRUE(),IF($AH$4="(blank)",'Final Calculation Sheet'!$AG$9="",IF($AH$4="(nonblank)",'Final Calculation Sheet'!$AG$9&lt;&gt;"",ISNUMBER(SEARCH($AH$4,'Final Calculation Sheet'!$AG$9))))),IF($AI$4="",TRUE(),IF($AI$4="(blank)",'Final Calculation Sheet'!$AH$9="",IF($AI$4="(nonblank)",'Final Calculation Sheet'!$AH$9&lt;&gt;"",ISNUMBER(SEARCH($AI$4,'Final Calculation Sheet'!$AH$9))))),IF($AF$4="",TRUE(),IF($AF$4="(blank)",IF('Final Calculation Sheet'!$AD$9&lt;=5,"SETTLED","OUTSTANDING")="",IF($AF$4="(nonblank)",IF('Final Calculation Sheet'!$AD$9&lt;=5,"SETTLED","OUTSTANDING")&lt;&gt;"",ISNUMBER(SEARCH($AF$4,IF('Final Calculation Sheet'!$AD$9&lt;=5,"SETTLED","OUTSTANDING"))))))),1,0)</f>
      </c>
      <c r="AK42">
        <f>IF(AJ42=1,COUNTIF(AJ$7:AJ42,1),"")</f>
        <v/>
      </c>
    </row>
    <row r="43" outlineLevel="1" ht="15" customHeight="1" s="137">
      <c r="A43" s="90" t="n">
        <v>2</v>
      </c>
      <c r="B43" s="92">
        <f>IF('Final Calculation Sheet'!$F$14="","",'Final Calculation Sheet'!$F$14)</f>
        <v/>
      </c>
      <c r="C43" s="92">
        <f>IF('Final Calculation Sheet'!$G$14="","",'Final Calculation Sheet'!$G$14)</f>
        <v/>
      </c>
      <c r="D43" s="94">
        <f>IF('Final Calculation Sheet'!$B$14="","",'Final Calculation Sheet'!$B$14)</f>
        <v/>
      </c>
      <c r="E43" s="94">
        <f>IF('Final Calculation Sheet'!$D$14="","",'Final Calculation Sheet'!$D$14)</f>
        <v/>
      </c>
      <c r="F43" s="94">
        <f>IF('Final Calculation Sheet'!$A$14="","",'Final Calculation Sheet'!$A$14)</f>
        <v/>
      </c>
      <c r="G43" s="94">
        <f>IF('Final Calculation Sheet'!$E$14="","",'Final Calculation Sheet'!$E$14)</f>
        <v/>
      </c>
      <c r="H43" s="95">
        <f>IF('Final Calculation Sheet'!$C$14="","",'Final Calculation Sheet'!$C$14)</f>
        <v/>
      </c>
      <c r="I43" s="95">
        <f>IF('Final Calculation Sheet'!$H$14="","",'Final Calculation Sheet'!$H$14)</f>
        <v/>
      </c>
      <c r="J43" s="95">
        <f>IF('Final Calculation Sheet'!$I$14="","",'Final Calculation Sheet'!$I$14)</f>
        <v/>
      </c>
      <c r="K43" s="95">
        <f>IF('Final Calculation Sheet'!$J$14="","",'Final Calculation Sheet'!$J$14)</f>
        <v/>
      </c>
      <c r="L43" s="95">
        <f>IF('Final Calculation Sheet'!$K$14="","",'Final Calculation Sheet'!$K$14)</f>
        <v/>
      </c>
      <c r="M43" s="95">
        <f>IF('Final Calculation Sheet'!$L$14="","",'Final Calculation Sheet'!$L$14)</f>
        <v/>
      </c>
      <c r="N43" s="95">
        <f>IF('Final Calculation Sheet'!$M$14="","",'Final Calculation Sheet'!$M$14)</f>
        <v/>
      </c>
      <c r="O43" s="96">
        <f>IF('Final Calculation Sheet'!$N$14="","",'Final Calculation Sheet'!$N$14)</f>
        <v/>
      </c>
      <c r="P43" s="95">
        <f>IF('Final Calculation Sheet'!$O$14="","",'Final Calculation Sheet'!$O$14)</f>
        <v/>
      </c>
      <c r="Q43" s="95">
        <f>IF('Final Calculation Sheet'!$P$14="","",'Final Calculation Sheet'!$P$14)</f>
        <v/>
      </c>
      <c r="R43" s="97">
        <f>IF('Final Calculation Sheet'!$Q$14="","",'Final Calculation Sheet'!$Q$14)</f>
        <v/>
      </c>
      <c r="S43" s="95">
        <f>IF('Final Calculation Sheet'!$R$14="","",'Final Calculation Sheet'!$R$14)</f>
        <v/>
      </c>
      <c r="T43" s="95">
        <f>IF('Final Calculation Sheet'!$S$14="","",'Final Calculation Sheet'!$S$14)</f>
        <v/>
      </c>
      <c r="U43" s="95">
        <f>IF('Final Calculation Sheet'!$T$14="","",'Final Calculation Sheet'!$T$14)</f>
        <v/>
      </c>
      <c r="V43" s="98">
        <f>IF('Final Calculation Sheet'!$U$14="","",'Final Calculation Sheet'!$U$14)</f>
        <v/>
      </c>
      <c r="W43" s="95">
        <f>IF('Final Calculation Sheet'!$V$14="","",'Final Calculation Sheet'!$V$14)</f>
        <v/>
      </c>
      <c r="X43" s="95">
        <f>IF('Final Calculation Sheet'!$W$14="","",'Final Calculation Sheet'!$W$14)</f>
        <v/>
      </c>
      <c r="Y43" s="95">
        <f>IF('Final Calculation Sheet'!$X$14="","",'Final Calculation Sheet'!$X$14)</f>
        <v/>
      </c>
      <c r="Z43" s="95">
        <f>IF('Final Calculation Sheet'!$Y$14="","",'Final Calculation Sheet'!$Y$14)</f>
        <v/>
      </c>
      <c r="AA43" s="95">
        <f>IF('Final Calculation Sheet'!$Z$14="","",'Final Calculation Sheet'!$Z$14)</f>
        <v/>
      </c>
      <c r="AB43" s="95">
        <f>IF('Final Calculation Sheet'!$AA$14="","",'Final Calculation Sheet'!$AA$14)</f>
        <v/>
      </c>
      <c r="AC43" s="95">
        <f>IF('Final Calculation Sheet'!$AB$14="","",'Final Calculation Sheet'!$AB$14)</f>
        <v/>
      </c>
      <c r="AD43" s="95">
        <f>IF('Final Calculation Sheet'!$AC$14="","",'Final Calculation Sheet'!$AC$14)</f>
        <v/>
      </c>
      <c r="AE43" s="95">
        <f>IF('Final Calculation Sheet'!$AD$14="","",'Final Calculation Sheet'!$AD$14)</f>
        <v/>
      </c>
      <c r="AF43" s="100">
        <f>IF('Final Calculation Sheet'!$AD$14="","",IF('Final Calculation Sheet'!$AD$14&lt;=5,"SETTLED","OUTSTANDING"))</f>
        <v/>
      </c>
      <c r="AG43" s="95">
        <f>IF('Final Calculation Sheet'!$AF$14="","",'Final Calculation Sheet'!$AF$14)</f>
        <v/>
      </c>
      <c r="AH43" s="99">
        <f>IF('Final Calculation Sheet'!$AG$14="","",'Final Calculation Sheet'!$AG$14)</f>
        <v/>
      </c>
      <c r="AI43" s="95">
        <f>IF('Final Calculation Sheet'!$AH$14="","",'Final Calculation Sheet'!$AH$14)</f>
        <v/>
      </c>
      <c r="AJ43">
        <f>IF(AND(IF($B$4="",TRUE(),IF($B$4="(blank)",'Final Calculation Sheet'!$F$14="",IF($B$4="(nonblank)",'Final Calculation Sheet'!$F$14&lt;&gt;"",ISNUMBER(SEARCH($B$4,'Final Calculation Sheet'!$F$14))))),IF($C$4="",TRUE(),IF($C$4="(blank)",'Final Calculation Sheet'!$G$14="",IF($C$4="(nonblank)",'Final Calculation Sheet'!$G$14&lt;&gt;"",ISNUMBER(SEARCH($C$4,'Final Calculation Sheet'!$G$14))))),IF($D$4="",TRUE(),IF($D$4="(blank)",'Final Calculation Sheet'!$B$14="",IF($D$4="(nonblank)",'Final Calculation Sheet'!$B$14&lt;&gt;"",ISNUMBER(SEARCH($D$4,'Final Calculation Sheet'!$B$14))))),IF($E$4="",TRUE(),IF($E$4="(blank)",'Final Calculation Sheet'!$D$14="",IF($E$4="(nonblank)",'Final Calculation Sheet'!$D$14&lt;&gt;"",ISNUMBER(SEARCH($E$4,'Final Calculation Sheet'!$D$14))))),IF($F$4="",TRUE(),IF($F$4="(blank)",'Final Calculation Sheet'!$A$14="",IF($F$4="(nonblank)",'Final Calculation Sheet'!$A$14&lt;&gt;"",ISNUMBER(SEARCH($F$4,'Final Calculation Sheet'!$A$14))))),IF($G$4="",TRUE(),IF($G$4="(blank)",'Final Calculation Sheet'!$E$14="",IF($G$4="(nonblank)",'Final Calculation Sheet'!$E$14&lt;&gt;"",ISNUMBER(SEARCH($G$4,'Final Calculation Sheet'!$E$14))))),IF($H$4="",TRUE(),IF($H$4="(blank)",'Final Calculation Sheet'!$C$14="",IF($H$4="(nonblank)",'Final Calculation Sheet'!$C$14&lt;&gt;"",ISNUMBER(SEARCH($H$4,'Final Calculation Sheet'!$C$14))))),IF($I$4="",TRUE(),IF($I$4="(blank)",'Final Calculation Sheet'!$H$14="",IF($I$4="(nonblank)",'Final Calculation Sheet'!$H$14&lt;&gt;"",ISNUMBER(SEARCH($I$4,'Final Calculation Sheet'!$H$14))))),IF($J$4="",TRUE(),IF($J$4="(blank)",'Final Calculation Sheet'!$I$14="",IF($J$4="(nonblank)",'Final Calculation Sheet'!$I$14&lt;&gt;"",ISNUMBER(SEARCH($J$4,'Final Calculation Sheet'!$I$14))))),IF($K$4="",TRUE(),IF($K$4="(blank)",'Final Calculation Sheet'!$J$14="",IF($K$4="(nonblank)",'Final Calculation Sheet'!$J$14&lt;&gt;"",ISNUMBER(SEARCH($K$4,'Final Calculation Sheet'!$J$14))))),IF($L$4="",TRUE(),IF($L$4="(blank)",'Final Calculation Sheet'!$K$14="",IF($L$4="(nonblank)",'Final Calculation Sheet'!$K$14&lt;&gt;"",ISNUMBER(SEARCH($L$4,'Final Calculation Sheet'!$K$14))))),IF($M$4="",TRUE(),IF($M$4="(blank)",'Final Calculation Sheet'!$L$14="",IF($M$4="(nonblank)",'Final Calculation Sheet'!$L$14&lt;&gt;"",ISNUMBER(SEARCH($M$4,'Final Calculation Sheet'!$L$14))))),IF($N$4="",TRUE(),IF($N$4="(blank)",'Final Calculation Sheet'!$M$14="",IF($N$4="(nonblank)",'Final Calculation Sheet'!$M$14&lt;&gt;"",ISNUMBER(SEARCH($N$4,'Final Calculation Sheet'!$M$14))))),IF($O$4="",TRUE(),IF($O$4="(blank)",'Final Calculation Sheet'!$N$14="",IF($O$4="(nonblank)",'Final Calculation Sheet'!$N$14&lt;&gt;"",ISNUMBER(SEARCH($O$4,'Final Calculation Sheet'!$N$14))))),IF($P$4="",TRUE(),IF($P$4="(blank)",'Final Calculation Sheet'!$O$14="",IF($P$4="(nonblank)",'Final Calculation Sheet'!$O$14&lt;&gt;"",ISNUMBER(SEARCH($P$4,'Final Calculation Sheet'!$O$14))))),IF($Q$4="",TRUE(),IF($Q$4="(blank)",'Final Calculation Sheet'!$P$14="",IF($Q$4="(nonblank)",'Final Calculation Sheet'!$P$14&lt;&gt;"",ISNUMBER(SEARCH($Q$4,'Final Calculation Sheet'!$P$14))))),IF($R$4="",TRUE(),IF($R$4="(blank)",'Final Calculation Sheet'!$Q$14="",IF($R$4="(nonblank)",'Final Calculation Sheet'!$Q$14&lt;&gt;"",ISNUMBER(SEARCH($R$4,'Final Calculation Sheet'!$Q$14))))),IF($S$4="",TRUE(),IF($S$4="(blank)",'Final Calculation Sheet'!$R$14="",IF($S$4="(nonblank)",'Final Calculation Sheet'!$R$14&lt;&gt;"",ISNUMBER(SEARCH($S$4,'Final Calculation Sheet'!$R$14))))),IF($T$4="",TRUE(),IF($T$4="(blank)",'Final Calculation Sheet'!$S$14="",IF($T$4="(nonblank)",'Final Calculation Sheet'!$S$14&lt;&gt;"",ISNUMBER(SEARCH($T$4,'Final Calculation Sheet'!$S$14))))),IF($U$4="",TRUE(),IF($U$4="(blank)",'Final Calculation Sheet'!$T$14="",IF($U$4="(nonblank)",'Final Calculation Sheet'!$T$14&lt;&gt;"",ISNUMBER(SEARCH($U$4,'Final Calculation Sheet'!$T$14))))),IF($V$4="",TRUE(),IF($V$4="(blank)",'Final Calculation Sheet'!$U$14="",IF($V$4="(nonblank)",'Final Calculation Sheet'!$U$14&lt;&gt;"",ISNUMBER(SEARCH($V$4,'Final Calculation Sheet'!$U$14))))),IF($W$4="",TRUE(),IF($W$4="(blank)",'Final Calculation Sheet'!$V$14="",IF($W$4="(nonblank)",'Final Calculation Sheet'!$V$14&lt;&gt;"",ISNUMBER(SEARCH($W$4,'Final Calculation Sheet'!$V$14))))),IF($X$4="",TRUE(),IF($X$4="(blank)",'Final Calculation Sheet'!$W$14="",IF($X$4="(nonblank)",'Final Calculation Sheet'!$W$14&lt;&gt;"",ISNUMBER(SEARCH($X$4,'Final Calculation Sheet'!$W$14))))),IF($Y$4="",TRUE(),IF($Y$4="(blank)",'Final Calculation Sheet'!$X$14="",IF($Y$4="(nonblank)",'Final Calculation Sheet'!$X$14&lt;&gt;"",ISNUMBER(SEARCH($Y$4,'Final Calculation Sheet'!$X$14))))),IF($Z$4="",TRUE(),IF($Z$4="(blank)",'Final Calculation Sheet'!$Y$14="",IF($Z$4="(nonblank)",'Final Calculation Sheet'!$Y$14&lt;&gt;"",ISNUMBER(SEARCH($Z$4,'Final Calculation Sheet'!$Y$14))))),IF($AA$4="",TRUE(),IF($AA$4="(blank)",'Final Calculation Sheet'!$Z$14="",IF($AA$4="(nonblank)",'Final Calculation Sheet'!$Z$14&lt;&gt;"",ISNUMBER(SEARCH($AA$4,'Final Calculation Sheet'!$Z$14))))),IF($AB$4="",TRUE(),IF($AB$4="(blank)",'Final Calculation Sheet'!$AA$14="",IF($AB$4="(nonblank)",'Final Calculation Sheet'!$AA$14&lt;&gt;"",ISNUMBER(SEARCH($AB$4,'Final Calculation Sheet'!$AA$14))))),IF($AC$4="",TRUE(),IF($AC$4="(blank)",'Final Calculation Sheet'!$AB$14="",IF($AC$4="(nonblank)",'Final Calculation Sheet'!$AB$14&lt;&gt;"",ISNUMBER(SEARCH($AC$4,'Final Calculation Sheet'!$AB$14))))),IF($AD$4="",TRUE(),IF($AD$4="(blank)",'Final Calculation Sheet'!$AC$14="",IF($AD$4="(nonblank)",'Final Calculation Sheet'!$AC$14&lt;&gt;"",ISNUMBER(SEARCH($AD$4,'Final Calculation Sheet'!$AC$14))))),IF($AE$4="",TRUE(),IF($AE$4="(blank)",'Final Calculation Sheet'!$AD$14="",IF($AE$4="(nonblank)",'Final Calculation Sheet'!$AD$14&lt;&gt;"",ISNUMBER(SEARCH($AE$4,'Final Calculation Sheet'!$AD$14))))),IF($AG$4="",TRUE(),IF($AG$4="(blank)",'Final Calculation Sheet'!$AF$14="",IF($AG$4="(nonblank)",'Final Calculation Sheet'!$AF$14&lt;&gt;"",ISNUMBER(SEARCH($AG$4,'Final Calculation Sheet'!$AF$14))))),IF($AH$4="",TRUE(),IF($AH$4="(blank)",'Final Calculation Sheet'!$AG$14="",IF($AH$4="(nonblank)",'Final Calculation Sheet'!$AG$14&lt;&gt;"",ISNUMBER(SEARCH($AH$4,'Final Calculation Sheet'!$AG$14))))),IF($AI$4="",TRUE(),IF($AI$4="(blank)",'Final Calculation Sheet'!$AH$14="",IF($AI$4="(nonblank)",'Final Calculation Sheet'!$AH$14&lt;&gt;"",ISNUMBER(SEARCH($AI$4,'Final Calculation Sheet'!$AH$14))))),IF($AF$4="",TRUE(),IF($AF$4="(blank)",IF('Final Calculation Sheet'!$AD$14&lt;=5,"SETTLED","OUTSTANDING")="",IF($AF$4="(nonblank)",IF('Final Calculation Sheet'!$AD$14&lt;=5,"SETTLED","OUTSTANDING")&lt;&gt;"",ISNUMBER(SEARCH($AF$4,IF('Final Calculation Sheet'!$AD$14&lt;=5,"SETTLED","OUTSTANDING"))))))),1,0)</f>
      </c>
      <c r="AK43">
        <f>IF(AJ43=1,COUNTIF(AJ$7:AJ43,1),"")</f>
        <v/>
      </c>
    </row>
    <row r="44" ht="15" customHeight="1" s="137">
      <c r="A44" s="81" t="inlineStr">
        <is>
          <t>∑</t>
        </is>
      </c>
      <c r="B44" s="83" t="n"/>
      <c r="C44" s="83">
        <f>ROWS($C$42:$C$43)&amp;" lot(s)"</f>
        <v/>
      </c>
      <c r="D44" s="83" t="inlineStr">
        <is>
          <t>SUBTOTAL — SHAR JAHAN TRADERS</t>
        </is>
      </c>
      <c r="E44" s="83" t="inlineStr">
        <is>
          <t>–</t>
        </is>
      </c>
      <c r="F44" s="83">
        <f>SUM(F42:F43)</f>
        <v/>
      </c>
      <c r="G44" s="83" t="inlineStr">
        <is>
          <t>–</t>
        </is>
      </c>
      <c r="H44" s="84" t="inlineStr">
        <is>
          <t>–</t>
        </is>
      </c>
      <c r="I44" s="84">
        <f>SUM(I42:I43)</f>
        <v/>
      </c>
      <c r="J44" s="84">
        <f>SUM(J42:J43)</f>
        <v/>
      </c>
      <c r="K44" s="84">
        <f>SUM(K42:K43)</f>
        <v/>
      </c>
      <c r="L44" s="84">
        <f>SUM(L42:L43)</f>
        <v/>
      </c>
      <c r="M44" s="84">
        <f>SUM(M42:M43)</f>
        <v/>
      </c>
      <c r="N44" s="84">
        <f>SUM(N42:N43)</f>
        <v/>
      </c>
      <c r="O44" s="85">
        <f>SUM(O42:O43)</f>
        <v/>
      </c>
      <c r="P44" s="84">
        <f>SUM(P42:P43)</f>
        <v/>
      </c>
      <c r="Q44" s="84">
        <f>SUM(Q42:Q43)</f>
        <v/>
      </c>
      <c r="R44" s="86" t="inlineStr">
        <is>
          <t>–</t>
        </is>
      </c>
      <c r="S44" s="84">
        <f>SUM(S42:S43)</f>
        <v/>
      </c>
      <c r="T44" s="84">
        <f>SUM(T42:T43)</f>
        <v/>
      </c>
      <c r="U44" s="84">
        <f>SUM(U42:U43)</f>
        <v/>
      </c>
      <c r="V44" s="87">
        <f>SUM(V42:V43)</f>
        <v/>
      </c>
      <c r="W44" s="84" t="inlineStr">
        <is>
          <t>–</t>
        </is>
      </c>
      <c r="X44" s="84">
        <f>SUM(X42:X43)</f>
        <v/>
      </c>
      <c r="Y44" s="84">
        <f>SUM(Y42:Y43)</f>
        <v/>
      </c>
      <c r="Z44" s="84" t="inlineStr">
        <is>
          <t>–</t>
        </is>
      </c>
      <c r="AA44" s="84">
        <f>SUM(AA42:AA43)</f>
        <v/>
      </c>
      <c r="AB44" s="84">
        <f>SUM(AB42:AB43)</f>
        <v/>
      </c>
      <c r="AC44" s="84" t="inlineStr">
        <is>
          <t>–</t>
        </is>
      </c>
      <c r="AD44" s="84">
        <f>SUM(AD42:AD43)</f>
        <v/>
      </c>
      <c r="AE44" s="84">
        <f>SUM(AE42:AE43)</f>
        <v/>
      </c>
      <c r="AF44" s="89">
        <f>IF(AE44&lt;=5,"SETTLED","OUTSTANDING")</f>
        <v/>
      </c>
      <c r="AG44" s="84" t="inlineStr">
        <is>
          <t>–</t>
        </is>
      </c>
      <c r="AH44" s="88" t="inlineStr">
        <is>
          <t>–</t>
        </is>
      </c>
      <c r="AI44" s="84" t="inlineStr">
        <is>
          <t>–</t>
        </is>
      </c>
    </row>
    <row r="45" outlineLevel="1" ht="15" customHeight="1" s="137">
      <c r="A45" s="67" t="n">
        <v>1</v>
      </c>
      <c r="B45" s="76">
        <f>IF('Final Calculation Sheet'!$F$13="","",'Final Calculation Sheet'!$F$13)</f>
        <v/>
      </c>
      <c r="C45" s="76">
        <f>IF('Final Calculation Sheet'!$G$13="","",'Final Calculation Sheet'!$G$13)</f>
        <v/>
      </c>
      <c r="D45" s="80">
        <f>IF('Final Calculation Sheet'!$B$13="","",'Final Calculation Sheet'!$B$13)</f>
        <v/>
      </c>
      <c r="E45" s="80">
        <f>IF('Final Calculation Sheet'!$D$13="","",'Final Calculation Sheet'!$D$13)</f>
        <v/>
      </c>
      <c r="F45" s="80">
        <f>IF('Final Calculation Sheet'!$A$13="","",'Final Calculation Sheet'!$A$13)</f>
        <v/>
      </c>
      <c r="G45" s="80">
        <f>IF('Final Calculation Sheet'!$E$13="","",'Final Calculation Sheet'!$E$13)</f>
        <v/>
      </c>
      <c r="H45" s="70">
        <f>IF('Final Calculation Sheet'!$C$13="","",'Final Calculation Sheet'!$C$13)</f>
        <v/>
      </c>
      <c r="I45" s="70">
        <f>IF('Final Calculation Sheet'!$H$13="","",'Final Calculation Sheet'!$H$13)</f>
        <v/>
      </c>
      <c r="J45" s="70">
        <f>IF('Final Calculation Sheet'!$I$13="","",'Final Calculation Sheet'!$I$13)</f>
        <v/>
      </c>
      <c r="K45" s="70">
        <f>IF('Final Calculation Sheet'!$J$13="","",'Final Calculation Sheet'!$J$13)</f>
        <v/>
      </c>
      <c r="L45" s="70">
        <f>IF('Final Calculation Sheet'!$K$13="","",'Final Calculation Sheet'!$K$13)</f>
        <v/>
      </c>
      <c r="M45" s="70">
        <f>IF('Final Calculation Sheet'!$L$13="","",'Final Calculation Sheet'!$L$13)</f>
        <v/>
      </c>
      <c r="N45" s="70">
        <f>IF('Final Calculation Sheet'!$M$13="","",'Final Calculation Sheet'!$M$13)</f>
        <v/>
      </c>
      <c r="O45" s="71">
        <f>IF('Final Calculation Sheet'!$N$13="","",'Final Calculation Sheet'!$N$13)</f>
        <v/>
      </c>
      <c r="P45" s="70">
        <f>IF('Final Calculation Sheet'!$O$13="","",'Final Calculation Sheet'!$O$13)</f>
        <v/>
      </c>
      <c r="Q45" s="70">
        <f>IF('Final Calculation Sheet'!$P$13="","",'Final Calculation Sheet'!$P$13)</f>
        <v/>
      </c>
      <c r="R45" s="72">
        <f>IF('Final Calculation Sheet'!$Q$13="","",'Final Calculation Sheet'!$Q$13)</f>
        <v/>
      </c>
      <c r="S45" s="70">
        <f>IF('Final Calculation Sheet'!$R$13="","",'Final Calculation Sheet'!$R$13)</f>
        <v/>
      </c>
      <c r="T45" s="70">
        <f>IF('Final Calculation Sheet'!$S$13="","",'Final Calculation Sheet'!$S$13)</f>
        <v/>
      </c>
      <c r="U45" s="70">
        <f>IF('Final Calculation Sheet'!$T$13="","",'Final Calculation Sheet'!$T$13)</f>
        <v/>
      </c>
      <c r="V45" s="73">
        <f>IF('Final Calculation Sheet'!$U$13="","",'Final Calculation Sheet'!$U$13)</f>
        <v/>
      </c>
      <c r="W45" s="70">
        <f>IF('Final Calculation Sheet'!$V$13="","",'Final Calculation Sheet'!$V$13)</f>
        <v/>
      </c>
      <c r="X45" s="70">
        <f>IF('Final Calculation Sheet'!$W$13="","",'Final Calculation Sheet'!$W$13)</f>
        <v/>
      </c>
      <c r="Y45" s="70">
        <f>IF('Final Calculation Sheet'!$X$13="","",'Final Calculation Sheet'!$X$13)</f>
        <v/>
      </c>
      <c r="Z45" s="70">
        <f>IF('Final Calculation Sheet'!$Y$13="","",'Final Calculation Sheet'!$Y$13)</f>
        <v/>
      </c>
      <c r="AA45" s="70">
        <f>IF('Final Calculation Sheet'!$Z$13="","",'Final Calculation Sheet'!$Z$13)</f>
        <v/>
      </c>
      <c r="AB45" s="70">
        <f>IF('Final Calculation Sheet'!$AA$13="","",'Final Calculation Sheet'!$AA$13)</f>
        <v/>
      </c>
      <c r="AC45" s="70">
        <f>IF('Final Calculation Sheet'!$AB$13="","",'Final Calculation Sheet'!$AB$13)</f>
        <v/>
      </c>
      <c r="AD45" s="70">
        <f>IF('Final Calculation Sheet'!$AC$13="","",'Final Calculation Sheet'!$AC$13)</f>
        <v/>
      </c>
      <c r="AE45" s="70">
        <f>IF('Final Calculation Sheet'!$AD$13="","",'Final Calculation Sheet'!$AD$13)</f>
        <v/>
      </c>
      <c r="AF45" s="75">
        <f>IF('Final Calculation Sheet'!$AD$13="","",IF('Final Calculation Sheet'!$AD$13&lt;=5,"SETTLED","OUTSTANDING"))</f>
        <v/>
      </c>
      <c r="AG45" s="70">
        <f>IF('Final Calculation Sheet'!$AF$13="","",'Final Calculation Sheet'!$AF$13)</f>
        <v/>
      </c>
      <c r="AH45" s="74">
        <f>IF('Final Calculation Sheet'!$AG$13="","",'Final Calculation Sheet'!$AG$13)</f>
        <v/>
      </c>
      <c r="AI45" s="70">
        <f>IF('Final Calculation Sheet'!$AH$13="","",'Final Calculation Sheet'!$AH$13)</f>
        <v/>
      </c>
      <c r="AJ45">
        <f>IF(AND(IF($B$4="",TRUE(),IF($B$4="(blank)",'Final Calculation Sheet'!$F$13="",IF($B$4="(nonblank)",'Final Calculation Sheet'!$F$13&lt;&gt;"",ISNUMBER(SEARCH($B$4,'Final Calculation Sheet'!$F$13))))),IF($C$4="",TRUE(),IF($C$4="(blank)",'Final Calculation Sheet'!$G$13="",IF($C$4="(nonblank)",'Final Calculation Sheet'!$G$13&lt;&gt;"",ISNUMBER(SEARCH($C$4,'Final Calculation Sheet'!$G$13))))),IF($D$4="",TRUE(),IF($D$4="(blank)",'Final Calculation Sheet'!$B$13="",IF($D$4="(nonblank)",'Final Calculation Sheet'!$B$13&lt;&gt;"",ISNUMBER(SEARCH($D$4,'Final Calculation Sheet'!$B$13))))),IF($E$4="",TRUE(),IF($E$4="(blank)",'Final Calculation Sheet'!$D$13="",IF($E$4="(nonblank)",'Final Calculation Sheet'!$D$13&lt;&gt;"",ISNUMBER(SEARCH($E$4,'Final Calculation Sheet'!$D$13))))),IF($F$4="",TRUE(),IF($F$4="(blank)",'Final Calculation Sheet'!$A$13="",IF($F$4="(nonblank)",'Final Calculation Sheet'!$A$13&lt;&gt;"",ISNUMBER(SEARCH($F$4,'Final Calculation Sheet'!$A$13))))),IF($G$4="",TRUE(),IF($G$4="(blank)",'Final Calculation Sheet'!$E$13="",IF($G$4="(nonblank)",'Final Calculation Sheet'!$E$13&lt;&gt;"",ISNUMBER(SEARCH($G$4,'Final Calculation Sheet'!$E$13))))),IF($H$4="",TRUE(),IF($H$4="(blank)",'Final Calculation Sheet'!$C$13="",IF($H$4="(nonblank)",'Final Calculation Sheet'!$C$13&lt;&gt;"",ISNUMBER(SEARCH($H$4,'Final Calculation Sheet'!$C$13))))),IF($I$4="",TRUE(),IF($I$4="(blank)",'Final Calculation Sheet'!$H$13="",IF($I$4="(nonblank)",'Final Calculation Sheet'!$H$13&lt;&gt;"",ISNUMBER(SEARCH($I$4,'Final Calculation Sheet'!$H$13))))),IF($J$4="",TRUE(),IF($J$4="(blank)",'Final Calculation Sheet'!$I$13="",IF($J$4="(nonblank)",'Final Calculation Sheet'!$I$13&lt;&gt;"",ISNUMBER(SEARCH($J$4,'Final Calculation Sheet'!$I$13))))),IF($K$4="",TRUE(),IF($K$4="(blank)",'Final Calculation Sheet'!$J$13="",IF($K$4="(nonblank)",'Final Calculation Sheet'!$J$13&lt;&gt;"",ISNUMBER(SEARCH($K$4,'Final Calculation Sheet'!$J$13))))),IF($L$4="",TRUE(),IF($L$4="(blank)",'Final Calculation Sheet'!$K$13="",IF($L$4="(nonblank)",'Final Calculation Sheet'!$K$13&lt;&gt;"",ISNUMBER(SEARCH($L$4,'Final Calculation Sheet'!$K$13))))),IF($M$4="",TRUE(),IF($M$4="(blank)",'Final Calculation Sheet'!$L$13="",IF($M$4="(nonblank)",'Final Calculation Sheet'!$L$13&lt;&gt;"",ISNUMBER(SEARCH($M$4,'Final Calculation Sheet'!$L$13))))),IF($N$4="",TRUE(),IF($N$4="(blank)",'Final Calculation Sheet'!$M$13="",IF($N$4="(nonblank)",'Final Calculation Sheet'!$M$13&lt;&gt;"",ISNUMBER(SEARCH($N$4,'Final Calculation Sheet'!$M$13))))),IF($O$4="",TRUE(),IF($O$4="(blank)",'Final Calculation Sheet'!$N$13="",IF($O$4="(nonblank)",'Final Calculation Sheet'!$N$13&lt;&gt;"",ISNUMBER(SEARCH($O$4,'Final Calculation Sheet'!$N$13))))),IF($P$4="",TRUE(),IF($P$4="(blank)",'Final Calculation Sheet'!$O$13="",IF($P$4="(nonblank)",'Final Calculation Sheet'!$O$13&lt;&gt;"",ISNUMBER(SEARCH($P$4,'Final Calculation Sheet'!$O$13))))),IF($Q$4="",TRUE(),IF($Q$4="(blank)",'Final Calculation Sheet'!$P$13="",IF($Q$4="(nonblank)",'Final Calculation Sheet'!$P$13&lt;&gt;"",ISNUMBER(SEARCH($Q$4,'Final Calculation Sheet'!$P$13))))),IF($R$4="",TRUE(),IF($R$4="(blank)",'Final Calculation Sheet'!$Q$13="",IF($R$4="(nonblank)",'Final Calculation Sheet'!$Q$13&lt;&gt;"",ISNUMBER(SEARCH($R$4,'Final Calculation Sheet'!$Q$13))))),IF($S$4="",TRUE(),IF($S$4="(blank)",'Final Calculation Sheet'!$R$13="",IF($S$4="(nonblank)",'Final Calculation Sheet'!$R$13&lt;&gt;"",ISNUMBER(SEARCH($S$4,'Final Calculation Sheet'!$R$13))))),IF($T$4="",TRUE(),IF($T$4="(blank)",'Final Calculation Sheet'!$S$13="",IF($T$4="(nonblank)",'Final Calculation Sheet'!$S$13&lt;&gt;"",ISNUMBER(SEARCH($T$4,'Final Calculation Sheet'!$S$13))))),IF($U$4="",TRUE(),IF($U$4="(blank)",'Final Calculation Sheet'!$T$13="",IF($U$4="(nonblank)",'Final Calculation Sheet'!$T$13&lt;&gt;"",ISNUMBER(SEARCH($U$4,'Final Calculation Sheet'!$T$13))))),IF($V$4="",TRUE(),IF($V$4="(blank)",'Final Calculation Sheet'!$U$13="",IF($V$4="(nonblank)",'Final Calculation Sheet'!$U$13&lt;&gt;"",ISNUMBER(SEARCH($V$4,'Final Calculation Sheet'!$U$13))))),IF($W$4="",TRUE(),IF($W$4="(blank)",'Final Calculation Sheet'!$V$13="",IF($W$4="(nonblank)",'Final Calculation Sheet'!$V$13&lt;&gt;"",ISNUMBER(SEARCH($W$4,'Final Calculation Sheet'!$V$13))))),IF($X$4="",TRUE(),IF($X$4="(blank)",'Final Calculation Sheet'!$W$13="",IF($X$4="(nonblank)",'Final Calculation Sheet'!$W$13&lt;&gt;"",ISNUMBER(SEARCH($X$4,'Final Calculation Sheet'!$W$13))))),IF($Y$4="",TRUE(),IF($Y$4="(blank)",'Final Calculation Sheet'!$X$13="",IF($Y$4="(nonblank)",'Final Calculation Sheet'!$X$13&lt;&gt;"",ISNUMBER(SEARCH($Y$4,'Final Calculation Sheet'!$X$13))))),IF($Z$4="",TRUE(),IF($Z$4="(blank)",'Final Calculation Sheet'!$Y$13="",IF($Z$4="(nonblank)",'Final Calculation Sheet'!$Y$13&lt;&gt;"",ISNUMBER(SEARCH($Z$4,'Final Calculation Sheet'!$Y$13))))),IF($AA$4="",TRUE(),IF($AA$4="(blank)",'Final Calculation Sheet'!$Z$13="",IF($AA$4="(nonblank)",'Final Calculation Sheet'!$Z$13&lt;&gt;"",ISNUMBER(SEARCH($AA$4,'Final Calculation Sheet'!$Z$13))))),IF($AB$4="",TRUE(),IF($AB$4="(blank)",'Final Calculation Sheet'!$AA$13="",IF($AB$4="(nonblank)",'Final Calculation Sheet'!$AA$13&lt;&gt;"",ISNUMBER(SEARCH($AB$4,'Final Calculation Sheet'!$AA$13))))),IF($AC$4="",TRUE(),IF($AC$4="(blank)",'Final Calculation Sheet'!$AB$13="",IF($AC$4="(nonblank)",'Final Calculation Sheet'!$AB$13&lt;&gt;"",ISNUMBER(SEARCH($AC$4,'Final Calculation Sheet'!$AB$13))))),IF($AD$4="",TRUE(),IF($AD$4="(blank)",'Final Calculation Sheet'!$AC$13="",IF($AD$4="(nonblank)",'Final Calculation Sheet'!$AC$13&lt;&gt;"",ISNUMBER(SEARCH($AD$4,'Final Calculation Sheet'!$AC$13))))),IF($AE$4="",TRUE(),IF($AE$4="(blank)",'Final Calculation Sheet'!$AD$13="",IF($AE$4="(nonblank)",'Final Calculation Sheet'!$AD$13&lt;&gt;"",ISNUMBER(SEARCH($AE$4,'Final Calculation Sheet'!$AD$13))))),IF($AG$4="",TRUE(),IF($AG$4="(blank)",'Final Calculation Sheet'!$AF$13="",IF($AG$4="(nonblank)",'Final Calculation Sheet'!$AF$13&lt;&gt;"",ISNUMBER(SEARCH($AG$4,'Final Calculation Sheet'!$AF$13))))),IF($AH$4="",TRUE(),IF($AH$4="(blank)",'Final Calculation Sheet'!$AG$13="",IF($AH$4="(nonblank)",'Final Calculation Sheet'!$AG$13&lt;&gt;"",ISNUMBER(SEARCH($AH$4,'Final Calculation Sheet'!$AG$13))))),IF($AI$4="",TRUE(),IF($AI$4="(blank)",'Final Calculation Sheet'!$AH$13="",IF($AI$4="(nonblank)",'Final Calculation Sheet'!$AH$13&lt;&gt;"",ISNUMBER(SEARCH($AI$4,'Final Calculation Sheet'!$AH$13))))),IF($AF$4="",TRUE(),IF($AF$4="(blank)",IF('Final Calculation Sheet'!$AD$13&lt;=5,"SETTLED","OUTSTANDING")="",IF($AF$4="(nonblank)",IF('Final Calculation Sheet'!$AD$13&lt;=5,"SETTLED","OUTSTANDING")&lt;&gt;"",ISNUMBER(SEARCH($AF$4,IF('Final Calculation Sheet'!$AD$13&lt;=5,"SETTLED","OUTSTANDING"))))))),1,0)</f>
      </c>
      <c r="AK45">
        <f>IF(AJ45=1,COUNTIF(AJ$7:AJ45,1),"")</f>
        <v/>
      </c>
    </row>
    <row r="46" outlineLevel="1" ht="15" customHeight="1" s="137">
      <c r="A46" s="90" t="n">
        <v>2</v>
      </c>
      <c r="B46" s="92">
        <f>IF('Final Calculation Sheet'!$F$16="","",'Final Calculation Sheet'!$F$16)</f>
        <v/>
      </c>
      <c r="C46" s="92">
        <f>IF('Final Calculation Sheet'!$G$16="","",'Final Calculation Sheet'!$G$16)</f>
        <v/>
      </c>
      <c r="D46" s="94">
        <f>IF('Final Calculation Sheet'!$B$16="","",'Final Calculation Sheet'!$B$16)</f>
        <v/>
      </c>
      <c r="E46" s="94">
        <f>IF('Final Calculation Sheet'!$D$16="","",'Final Calculation Sheet'!$D$16)</f>
        <v/>
      </c>
      <c r="F46" s="94">
        <f>IF('Final Calculation Sheet'!$A$16="","",'Final Calculation Sheet'!$A$16)</f>
        <v/>
      </c>
      <c r="G46" s="94">
        <f>IF('Final Calculation Sheet'!$E$16="","",'Final Calculation Sheet'!$E$16)</f>
        <v/>
      </c>
      <c r="H46" s="95">
        <f>IF('Final Calculation Sheet'!$C$16="","",'Final Calculation Sheet'!$C$16)</f>
        <v/>
      </c>
      <c r="I46" s="95">
        <f>IF('Final Calculation Sheet'!$H$16="","",'Final Calculation Sheet'!$H$16)</f>
        <v/>
      </c>
      <c r="J46" s="95">
        <f>IF('Final Calculation Sheet'!$I$16="","",'Final Calculation Sheet'!$I$16)</f>
        <v/>
      </c>
      <c r="K46" s="95">
        <f>IF('Final Calculation Sheet'!$J$16="","",'Final Calculation Sheet'!$J$16)</f>
        <v/>
      </c>
      <c r="L46" s="95">
        <f>IF('Final Calculation Sheet'!$K$16="","",'Final Calculation Sheet'!$K$16)</f>
        <v/>
      </c>
      <c r="M46" s="95">
        <f>IF('Final Calculation Sheet'!$L$16="","",'Final Calculation Sheet'!$L$16)</f>
        <v/>
      </c>
      <c r="N46" s="95">
        <f>IF('Final Calculation Sheet'!$M$16="","",'Final Calculation Sheet'!$M$16)</f>
        <v/>
      </c>
      <c r="O46" s="96">
        <f>IF('Final Calculation Sheet'!$N$16="","",'Final Calculation Sheet'!$N$16)</f>
        <v/>
      </c>
      <c r="P46" s="95">
        <f>IF('Final Calculation Sheet'!$O$16="","",'Final Calculation Sheet'!$O$16)</f>
        <v/>
      </c>
      <c r="Q46" s="95">
        <f>IF('Final Calculation Sheet'!$P$16="","",'Final Calculation Sheet'!$P$16)</f>
        <v/>
      </c>
      <c r="R46" s="97">
        <f>IF('Final Calculation Sheet'!$Q$16="","",'Final Calculation Sheet'!$Q$16)</f>
        <v/>
      </c>
      <c r="S46" s="95">
        <f>IF('Final Calculation Sheet'!$R$16="","",'Final Calculation Sheet'!$R$16)</f>
        <v/>
      </c>
      <c r="T46" s="95">
        <f>IF('Final Calculation Sheet'!$S$16="","",'Final Calculation Sheet'!$S$16)</f>
        <v/>
      </c>
      <c r="U46" s="95">
        <f>IF('Final Calculation Sheet'!$T$16="","",'Final Calculation Sheet'!$T$16)</f>
        <v/>
      </c>
      <c r="V46" s="98">
        <f>IF('Final Calculation Sheet'!$U$16="","",'Final Calculation Sheet'!$U$16)</f>
        <v/>
      </c>
      <c r="W46" s="95">
        <f>IF('Final Calculation Sheet'!$V$16="","",'Final Calculation Sheet'!$V$16)</f>
        <v/>
      </c>
      <c r="X46" s="95">
        <f>IF('Final Calculation Sheet'!$W$16="","",'Final Calculation Sheet'!$W$16)</f>
        <v/>
      </c>
      <c r="Y46" s="95">
        <f>IF('Final Calculation Sheet'!$X$16="","",'Final Calculation Sheet'!$X$16)</f>
        <v/>
      </c>
      <c r="Z46" s="95">
        <f>IF('Final Calculation Sheet'!$Y$16="","",'Final Calculation Sheet'!$Y$16)</f>
        <v/>
      </c>
      <c r="AA46" s="95">
        <f>IF('Final Calculation Sheet'!$Z$16="","",'Final Calculation Sheet'!$Z$16)</f>
        <v/>
      </c>
      <c r="AB46" s="95">
        <f>IF('Final Calculation Sheet'!$AA$16="","",'Final Calculation Sheet'!$AA$16)</f>
        <v/>
      </c>
      <c r="AC46" s="95">
        <f>IF('Final Calculation Sheet'!$AB$16="","",'Final Calculation Sheet'!$AB$16)</f>
        <v/>
      </c>
      <c r="AD46" s="95">
        <f>IF('Final Calculation Sheet'!$AC$16="","",'Final Calculation Sheet'!$AC$16)</f>
        <v/>
      </c>
      <c r="AE46" s="95">
        <f>IF('Final Calculation Sheet'!$AD$16="","",'Final Calculation Sheet'!$AD$16)</f>
        <v/>
      </c>
      <c r="AF46" s="100">
        <f>IF('Final Calculation Sheet'!$AD$16="","",IF('Final Calculation Sheet'!$AD$16&lt;=5,"SETTLED","OUTSTANDING"))</f>
        <v/>
      </c>
      <c r="AG46" s="95">
        <f>IF('Final Calculation Sheet'!$AF$16="","",'Final Calculation Sheet'!$AF$16)</f>
        <v/>
      </c>
      <c r="AH46" s="99">
        <f>IF('Final Calculation Sheet'!$AG$16="","",'Final Calculation Sheet'!$AG$16)</f>
        <v/>
      </c>
      <c r="AI46" s="95">
        <f>IF('Final Calculation Sheet'!$AH$16="","",'Final Calculation Sheet'!$AH$16)</f>
        <v/>
      </c>
      <c r="AJ46">
        <f>IF(AND(IF($B$4="",TRUE(),IF($B$4="(blank)",'Final Calculation Sheet'!$F$16="",IF($B$4="(nonblank)",'Final Calculation Sheet'!$F$16&lt;&gt;"",ISNUMBER(SEARCH($B$4,'Final Calculation Sheet'!$F$16))))),IF($C$4="",TRUE(),IF($C$4="(blank)",'Final Calculation Sheet'!$G$16="",IF($C$4="(nonblank)",'Final Calculation Sheet'!$G$16&lt;&gt;"",ISNUMBER(SEARCH($C$4,'Final Calculation Sheet'!$G$16))))),IF($D$4="",TRUE(),IF($D$4="(blank)",'Final Calculation Sheet'!$B$16="",IF($D$4="(nonblank)",'Final Calculation Sheet'!$B$16&lt;&gt;"",ISNUMBER(SEARCH($D$4,'Final Calculation Sheet'!$B$16))))),IF($E$4="",TRUE(),IF($E$4="(blank)",'Final Calculation Sheet'!$D$16="",IF($E$4="(nonblank)",'Final Calculation Sheet'!$D$16&lt;&gt;"",ISNUMBER(SEARCH($E$4,'Final Calculation Sheet'!$D$16))))),IF($F$4="",TRUE(),IF($F$4="(blank)",'Final Calculation Sheet'!$A$16="",IF($F$4="(nonblank)",'Final Calculation Sheet'!$A$16&lt;&gt;"",ISNUMBER(SEARCH($F$4,'Final Calculation Sheet'!$A$16))))),IF($G$4="",TRUE(),IF($G$4="(blank)",'Final Calculation Sheet'!$E$16="",IF($G$4="(nonblank)",'Final Calculation Sheet'!$E$16&lt;&gt;"",ISNUMBER(SEARCH($G$4,'Final Calculation Sheet'!$E$16))))),IF($H$4="",TRUE(),IF($H$4="(blank)",'Final Calculation Sheet'!$C$16="",IF($H$4="(nonblank)",'Final Calculation Sheet'!$C$16&lt;&gt;"",ISNUMBER(SEARCH($H$4,'Final Calculation Sheet'!$C$16))))),IF($I$4="",TRUE(),IF($I$4="(blank)",'Final Calculation Sheet'!$H$16="",IF($I$4="(nonblank)",'Final Calculation Sheet'!$H$16&lt;&gt;"",ISNUMBER(SEARCH($I$4,'Final Calculation Sheet'!$H$16))))),IF($J$4="",TRUE(),IF($J$4="(blank)",'Final Calculation Sheet'!$I$16="",IF($J$4="(nonblank)",'Final Calculation Sheet'!$I$16&lt;&gt;"",ISNUMBER(SEARCH($J$4,'Final Calculation Sheet'!$I$16))))),IF($K$4="",TRUE(),IF($K$4="(blank)",'Final Calculation Sheet'!$J$16="",IF($K$4="(nonblank)",'Final Calculation Sheet'!$J$16&lt;&gt;"",ISNUMBER(SEARCH($K$4,'Final Calculation Sheet'!$J$16))))),IF($L$4="",TRUE(),IF($L$4="(blank)",'Final Calculation Sheet'!$K$16="",IF($L$4="(nonblank)",'Final Calculation Sheet'!$K$16&lt;&gt;"",ISNUMBER(SEARCH($L$4,'Final Calculation Sheet'!$K$16))))),IF($M$4="",TRUE(),IF($M$4="(blank)",'Final Calculation Sheet'!$L$16="",IF($M$4="(nonblank)",'Final Calculation Sheet'!$L$16&lt;&gt;"",ISNUMBER(SEARCH($M$4,'Final Calculation Sheet'!$L$16))))),IF($N$4="",TRUE(),IF($N$4="(blank)",'Final Calculation Sheet'!$M$16="",IF($N$4="(nonblank)",'Final Calculation Sheet'!$M$16&lt;&gt;"",ISNUMBER(SEARCH($N$4,'Final Calculation Sheet'!$M$16))))),IF($O$4="",TRUE(),IF($O$4="(blank)",'Final Calculation Sheet'!$N$16="",IF($O$4="(nonblank)",'Final Calculation Sheet'!$N$16&lt;&gt;"",ISNUMBER(SEARCH($O$4,'Final Calculation Sheet'!$N$16))))),IF($P$4="",TRUE(),IF($P$4="(blank)",'Final Calculation Sheet'!$O$16="",IF($P$4="(nonblank)",'Final Calculation Sheet'!$O$16&lt;&gt;"",ISNUMBER(SEARCH($P$4,'Final Calculation Sheet'!$O$16))))),IF($Q$4="",TRUE(),IF($Q$4="(blank)",'Final Calculation Sheet'!$P$16="",IF($Q$4="(nonblank)",'Final Calculation Sheet'!$P$16&lt;&gt;"",ISNUMBER(SEARCH($Q$4,'Final Calculation Sheet'!$P$16))))),IF($R$4="",TRUE(),IF($R$4="(blank)",'Final Calculation Sheet'!$Q$16="",IF($R$4="(nonblank)",'Final Calculation Sheet'!$Q$16&lt;&gt;"",ISNUMBER(SEARCH($R$4,'Final Calculation Sheet'!$Q$16))))),IF($S$4="",TRUE(),IF($S$4="(blank)",'Final Calculation Sheet'!$R$16="",IF($S$4="(nonblank)",'Final Calculation Sheet'!$R$16&lt;&gt;"",ISNUMBER(SEARCH($S$4,'Final Calculation Sheet'!$R$16))))),IF($T$4="",TRUE(),IF($T$4="(blank)",'Final Calculation Sheet'!$S$16="",IF($T$4="(nonblank)",'Final Calculation Sheet'!$S$16&lt;&gt;"",ISNUMBER(SEARCH($T$4,'Final Calculation Sheet'!$S$16))))),IF($U$4="",TRUE(),IF($U$4="(blank)",'Final Calculation Sheet'!$T$16="",IF($U$4="(nonblank)",'Final Calculation Sheet'!$T$16&lt;&gt;"",ISNUMBER(SEARCH($U$4,'Final Calculation Sheet'!$T$16))))),IF($V$4="",TRUE(),IF($V$4="(blank)",'Final Calculation Sheet'!$U$16="",IF($V$4="(nonblank)",'Final Calculation Sheet'!$U$16&lt;&gt;"",ISNUMBER(SEARCH($V$4,'Final Calculation Sheet'!$U$16))))),IF($W$4="",TRUE(),IF($W$4="(blank)",'Final Calculation Sheet'!$V$16="",IF($W$4="(nonblank)",'Final Calculation Sheet'!$V$16&lt;&gt;"",ISNUMBER(SEARCH($W$4,'Final Calculation Sheet'!$V$16))))),IF($X$4="",TRUE(),IF($X$4="(blank)",'Final Calculation Sheet'!$W$16="",IF($X$4="(nonblank)",'Final Calculation Sheet'!$W$16&lt;&gt;"",ISNUMBER(SEARCH($X$4,'Final Calculation Sheet'!$W$16))))),IF($Y$4="",TRUE(),IF($Y$4="(blank)",'Final Calculation Sheet'!$X$16="",IF($Y$4="(nonblank)",'Final Calculation Sheet'!$X$16&lt;&gt;"",ISNUMBER(SEARCH($Y$4,'Final Calculation Sheet'!$X$16))))),IF($Z$4="",TRUE(),IF($Z$4="(blank)",'Final Calculation Sheet'!$Y$16="",IF($Z$4="(nonblank)",'Final Calculation Sheet'!$Y$16&lt;&gt;"",ISNUMBER(SEARCH($Z$4,'Final Calculation Sheet'!$Y$16))))),IF($AA$4="",TRUE(),IF($AA$4="(blank)",'Final Calculation Sheet'!$Z$16="",IF($AA$4="(nonblank)",'Final Calculation Sheet'!$Z$16&lt;&gt;"",ISNUMBER(SEARCH($AA$4,'Final Calculation Sheet'!$Z$16))))),IF($AB$4="",TRUE(),IF($AB$4="(blank)",'Final Calculation Sheet'!$AA$16="",IF($AB$4="(nonblank)",'Final Calculation Sheet'!$AA$16&lt;&gt;"",ISNUMBER(SEARCH($AB$4,'Final Calculation Sheet'!$AA$16))))),IF($AC$4="",TRUE(),IF($AC$4="(blank)",'Final Calculation Sheet'!$AB$16="",IF($AC$4="(nonblank)",'Final Calculation Sheet'!$AB$16&lt;&gt;"",ISNUMBER(SEARCH($AC$4,'Final Calculation Sheet'!$AB$16))))),IF($AD$4="",TRUE(),IF($AD$4="(blank)",'Final Calculation Sheet'!$AC$16="",IF($AD$4="(nonblank)",'Final Calculation Sheet'!$AC$16&lt;&gt;"",ISNUMBER(SEARCH($AD$4,'Final Calculation Sheet'!$AC$16))))),IF($AE$4="",TRUE(),IF($AE$4="(blank)",'Final Calculation Sheet'!$AD$16="",IF($AE$4="(nonblank)",'Final Calculation Sheet'!$AD$16&lt;&gt;"",ISNUMBER(SEARCH($AE$4,'Final Calculation Sheet'!$AD$16))))),IF($AG$4="",TRUE(),IF($AG$4="(blank)",'Final Calculation Sheet'!$AF$16="",IF($AG$4="(nonblank)",'Final Calculation Sheet'!$AF$16&lt;&gt;"",ISNUMBER(SEARCH($AG$4,'Final Calculation Sheet'!$AF$16))))),IF($AH$4="",TRUE(),IF($AH$4="(blank)",'Final Calculation Sheet'!$AG$16="",IF($AH$4="(nonblank)",'Final Calculation Sheet'!$AG$16&lt;&gt;"",ISNUMBER(SEARCH($AH$4,'Final Calculation Sheet'!$AG$16))))),IF($AI$4="",TRUE(),IF($AI$4="(blank)",'Final Calculation Sheet'!$AH$16="",IF($AI$4="(nonblank)",'Final Calculation Sheet'!$AH$16&lt;&gt;"",ISNUMBER(SEARCH($AI$4,'Final Calculation Sheet'!$AH$16))))),IF($AF$4="",TRUE(),IF($AF$4="(blank)",IF('Final Calculation Sheet'!$AD$16&lt;=5,"SETTLED","OUTSTANDING")="",IF($AF$4="(nonblank)",IF('Final Calculation Sheet'!$AD$16&lt;=5,"SETTLED","OUTSTANDING")&lt;&gt;"",ISNUMBER(SEARCH($AF$4,IF('Final Calculation Sheet'!$AD$16&lt;=5,"SETTLED","OUTSTANDING"))))))),1,0)</f>
      </c>
      <c r="AK46">
        <f>IF(AJ46=1,COUNTIF(AJ$7:AJ46,1),"")</f>
        <v/>
      </c>
    </row>
    <row r="47" outlineLevel="1" ht="15" customHeight="1" s="137">
      <c r="A47" s="67" t="n">
        <v>3</v>
      </c>
      <c r="B47" s="76">
        <f>IF('Final Calculation Sheet'!$F$17="","",'Final Calculation Sheet'!$F$17)</f>
        <v/>
      </c>
      <c r="C47" s="76">
        <f>IF('Final Calculation Sheet'!$G$17="","",'Final Calculation Sheet'!$G$17)</f>
        <v/>
      </c>
      <c r="D47" s="80">
        <f>IF('Final Calculation Sheet'!$B$17="","",'Final Calculation Sheet'!$B$17)</f>
        <v/>
      </c>
      <c r="E47" s="80">
        <f>IF('Final Calculation Sheet'!$D$17="","",'Final Calculation Sheet'!$D$17)</f>
        <v/>
      </c>
      <c r="F47" s="80">
        <f>IF('Final Calculation Sheet'!$A$17="","",'Final Calculation Sheet'!$A$17)</f>
        <v/>
      </c>
      <c r="G47" s="80">
        <f>IF('Final Calculation Sheet'!$E$17="","",'Final Calculation Sheet'!$E$17)</f>
        <v/>
      </c>
      <c r="H47" s="70">
        <f>IF('Final Calculation Sheet'!$C$17="","",'Final Calculation Sheet'!$C$17)</f>
        <v/>
      </c>
      <c r="I47" s="70">
        <f>IF('Final Calculation Sheet'!$H$17="","",'Final Calculation Sheet'!$H$17)</f>
        <v/>
      </c>
      <c r="J47" s="70">
        <f>IF('Final Calculation Sheet'!$I$17="","",'Final Calculation Sheet'!$I$17)</f>
        <v/>
      </c>
      <c r="K47" s="70">
        <f>IF('Final Calculation Sheet'!$J$17="","",'Final Calculation Sheet'!$J$17)</f>
        <v/>
      </c>
      <c r="L47" s="70">
        <f>IF('Final Calculation Sheet'!$K$17="","",'Final Calculation Sheet'!$K$17)</f>
        <v/>
      </c>
      <c r="M47" s="70">
        <f>IF('Final Calculation Sheet'!$L$17="","",'Final Calculation Sheet'!$L$17)</f>
        <v/>
      </c>
      <c r="N47" s="70">
        <f>IF('Final Calculation Sheet'!$M$17="","",'Final Calculation Sheet'!$M$17)</f>
        <v/>
      </c>
      <c r="O47" s="71">
        <f>IF('Final Calculation Sheet'!$N$17="","",'Final Calculation Sheet'!$N$17)</f>
        <v/>
      </c>
      <c r="P47" s="70">
        <f>IF('Final Calculation Sheet'!$O$17="","",'Final Calculation Sheet'!$O$17)</f>
        <v/>
      </c>
      <c r="Q47" s="70">
        <f>IF('Final Calculation Sheet'!$P$17="","",'Final Calculation Sheet'!$P$17)</f>
        <v/>
      </c>
      <c r="R47" s="72">
        <f>IF('Final Calculation Sheet'!$Q$17="","",'Final Calculation Sheet'!$Q$17)</f>
        <v/>
      </c>
      <c r="S47" s="70">
        <f>IF('Final Calculation Sheet'!$R$17="","",'Final Calculation Sheet'!$R$17)</f>
        <v/>
      </c>
      <c r="T47" s="70">
        <f>IF('Final Calculation Sheet'!$S$17="","",'Final Calculation Sheet'!$S$17)</f>
        <v/>
      </c>
      <c r="U47" s="70">
        <f>IF('Final Calculation Sheet'!$T$17="","",'Final Calculation Sheet'!$T$17)</f>
        <v/>
      </c>
      <c r="V47" s="73">
        <f>IF('Final Calculation Sheet'!$U$17="","",'Final Calculation Sheet'!$U$17)</f>
        <v/>
      </c>
      <c r="W47" s="70">
        <f>IF('Final Calculation Sheet'!$V$17="","",'Final Calculation Sheet'!$V$17)</f>
        <v/>
      </c>
      <c r="X47" s="70">
        <f>IF('Final Calculation Sheet'!$W$17="","",'Final Calculation Sheet'!$W$17)</f>
        <v/>
      </c>
      <c r="Y47" s="70">
        <f>IF('Final Calculation Sheet'!$X$17="","",'Final Calculation Sheet'!$X$17)</f>
        <v/>
      </c>
      <c r="Z47" s="70">
        <f>IF('Final Calculation Sheet'!$Y$17="","",'Final Calculation Sheet'!$Y$17)</f>
        <v/>
      </c>
      <c r="AA47" s="70">
        <f>IF('Final Calculation Sheet'!$Z$17="","",'Final Calculation Sheet'!$Z$17)</f>
        <v/>
      </c>
      <c r="AB47" s="70">
        <f>IF('Final Calculation Sheet'!$AA$17="","",'Final Calculation Sheet'!$AA$17)</f>
        <v/>
      </c>
      <c r="AC47" s="70">
        <f>IF('Final Calculation Sheet'!$AB$17="","",'Final Calculation Sheet'!$AB$17)</f>
        <v/>
      </c>
      <c r="AD47" s="70">
        <f>IF('Final Calculation Sheet'!$AC$17="","",'Final Calculation Sheet'!$AC$17)</f>
        <v/>
      </c>
      <c r="AE47" s="70">
        <f>IF('Final Calculation Sheet'!$AD$17="","",'Final Calculation Sheet'!$AD$17)</f>
        <v/>
      </c>
      <c r="AF47" s="75">
        <f>IF('Final Calculation Sheet'!$AD$17="","",IF('Final Calculation Sheet'!$AD$17&lt;=5,"SETTLED","OUTSTANDING"))</f>
        <v/>
      </c>
      <c r="AG47" s="70">
        <f>IF('Final Calculation Sheet'!$AF$17="","",'Final Calculation Sheet'!$AF$17)</f>
        <v/>
      </c>
      <c r="AH47" s="74">
        <f>IF('Final Calculation Sheet'!$AG$17="","",'Final Calculation Sheet'!$AG$17)</f>
        <v/>
      </c>
      <c r="AI47" s="70">
        <f>IF('Final Calculation Sheet'!$AH$17="","",'Final Calculation Sheet'!$AH$17)</f>
        <v/>
      </c>
      <c r="AJ47">
        <f>IF(AND(IF($B$4="",TRUE(),IF($B$4="(blank)",'Final Calculation Sheet'!$F$17="",IF($B$4="(nonblank)",'Final Calculation Sheet'!$F$17&lt;&gt;"",ISNUMBER(SEARCH($B$4,'Final Calculation Sheet'!$F$17))))),IF($C$4="",TRUE(),IF($C$4="(blank)",'Final Calculation Sheet'!$G$17="",IF($C$4="(nonblank)",'Final Calculation Sheet'!$G$17&lt;&gt;"",ISNUMBER(SEARCH($C$4,'Final Calculation Sheet'!$G$17))))),IF($D$4="",TRUE(),IF($D$4="(blank)",'Final Calculation Sheet'!$B$17="",IF($D$4="(nonblank)",'Final Calculation Sheet'!$B$17&lt;&gt;"",ISNUMBER(SEARCH($D$4,'Final Calculation Sheet'!$B$17))))),IF($E$4="",TRUE(),IF($E$4="(blank)",'Final Calculation Sheet'!$D$17="",IF($E$4="(nonblank)",'Final Calculation Sheet'!$D$17&lt;&gt;"",ISNUMBER(SEARCH($E$4,'Final Calculation Sheet'!$D$17))))),IF($F$4="",TRUE(),IF($F$4="(blank)",'Final Calculation Sheet'!$A$17="",IF($F$4="(nonblank)",'Final Calculation Sheet'!$A$17&lt;&gt;"",ISNUMBER(SEARCH($F$4,'Final Calculation Sheet'!$A$17))))),IF($G$4="",TRUE(),IF($G$4="(blank)",'Final Calculation Sheet'!$E$17="",IF($G$4="(nonblank)",'Final Calculation Sheet'!$E$17&lt;&gt;"",ISNUMBER(SEARCH($G$4,'Final Calculation Sheet'!$E$17))))),IF($H$4="",TRUE(),IF($H$4="(blank)",'Final Calculation Sheet'!$C$17="",IF($H$4="(nonblank)",'Final Calculation Sheet'!$C$17&lt;&gt;"",ISNUMBER(SEARCH($H$4,'Final Calculation Sheet'!$C$17))))),IF($I$4="",TRUE(),IF($I$4="(blank)",'Final Calculation Sheet'!$H$17="",IF($I$4="(nonblank)",'Final Calculation Sheet'!$H$17&lt;&gt;"",ISNUMBER(SEARCH($I$4,'Final Calculation Sheet'!$H$17))))),IF($J$4="",TRUE(),IF($J$4="(blank)",'Final Calculation Sheet'!$I$17="",IF($J$4="(nonblank)",'Final Calculation Sheet'!$I$17&lt;&gt;"",ISNUMBER(SEARCH($J$4,'Final Calculation Sheet'!$I$17))))),IF($K$4="",TRUE(),IF($K$4="(blank)",'Final Calculation Sheet'!$J$17="",IF($K$4="(nonblank)",'Final Calculation Sheet'!$J$17&lt;&gt;"",ISNUMBER(SEARCH($K$4,'Final Calculation Sheet'!$J$17))))),IF($L$4="",TRUE(),IF($L$4="(blank)",'Final Calculation Sheet'!$K$17="",IF($L$4="(nonblank)",'Final Calculation Sheet'!$K$17&lt;&gt;"",ISNUMBER(SEARCH($L$4,'Final Calculation Sheet'!$K$17))))),IF($M$4="",TRUE(),IF($M$4="(blank)",'Final Calculation Sheet'!$L$17="",IF($M$4="(nonblank)",'Final Calculation Sheet'!$L$17&lt;&gt;"",ISNUMBER(SEARCH($M$4,'Final Calculation Sheet'!$L$17))))),IF($N$4="",TRUE(),IF($N$4="(blank)",'Final Calculation Sheet'!$M$17="",IF($N$4="(nonblank)",'Final Calculation Sheet'!$M$17&lt;&gt;"",ISNUMBER(SEARCH($N$4,'Final Calculation Sheet'!$M$17))))),IF($O$4="",TRUE(),IF($O$4="(blank)",'Final Calculation Sheet'!$N$17="",IF($O$4="(nonblank)",'Final Calculation Sheet'!$N$17&lt;&gt;"",ISNUMBER(SEARCH($O$4,'Final Calculation Sheet'!$N$17))))),IF($P$4="",TRUE(),IF($P$4="(blank)",'Final Calculation Sheet'!$O$17="",IF($P$4="(nonblank)",'Final Calculation Sheet'!$O$17&lt;&gt;"",ISNUMBER(SEARCH($P$4,'Final Calculation Sheet'!$O$17))))),IF($Q$4="",TRUE(),IF($Q$4="(blank)",'Final Calculation Sheet'!$P$17="",IF($Q$4="(nonblank)",'Final Calculation Sheet'!$P$17&lt;&gt;"",ISNUMBER(SEARCH($Q$4,'Final Calculation Sheet'!$P$17))))),IF($R$4="",TRUE(),IF($R$4="(blank)",'Final Calculation Sheet'!$Q$17="",IF($R$4="(nonblank)",'Final Calculation Sheet'!$Q$17&lt;&gt;"",ISNUMBER(SEARCH($R$4,'Final Calculation Sheet'!$Q$17))))),IF($S$4="",TRUE(),IF($S$4="(blank)",'Final Calculation Sheet'!$R$17="",IF($S$4="(nonblank)",'Final Calculation Sheet'!$R$17&lt;&gt;"",ISNUMBER(SEARCH($S$4,'Final Calculation Sheet'!$R$17))))),IF($T$4="",TRUE(),IF($T$4="(blank)",'Final Calculation Sheet'!$S$17="",IF($T$4="(nonblank)",'Final Calculation Sheet'!$S$17&lt;&gt;"",ISNUMBER(SEARCH($T$4,'Final Calculation Sheet'!$S$17))))),IF($U$4="",TRUE(),IF($U$4="(blank)",'Final Calculation Sheet'!$T$17="",IF($U$4="(nonblank)",'Final Calculation Sheet'!$T$17&lt;&gt;"",ISNUMBER(SEARCH($U$4,'Final Calculation Sheet'!$T$17))))),IF($V$4="",TRUE(),IF($V$4="(blank)",'Final Calculation Sheet'!$U$17="",IF($V$4="(nonblank)",'Final Calculation Sheet'!$U$17&lt;&gt;"",ISNUMBER(SEARCH($V$4,'Final Calculation Sheet'!$U$17))))),IF($W$4="",TRUE(),IF($W$4="(blank)",'Final Calculation Sheet'!$V$17="",IF($W$4="(nonblank)",'Final Calculation Sheet'!$V$17&lt;&gt;"",ISNUMBER(SEARCH($W$4,'Final Calculation Sheet'!$V$17))))),IF($X$4="",TRUE(),IF($X$4="(blank)",'Final Calculation Sheet'!$W$17="",IF($X$4="(nonblank)",'Final Calculation Sheet'!$W$17&lt;&gt;"",ISNUMBER(SEARCH($X$4,'Final Calculation Sheet'!$W$17))))),IF($Y$4="",TRUE(),IF($Y$4="(blank)",'Final Calculation Sheet'!$X$17="",IF($Y$4="(nonblank)",'Final Calculation Sheet'!$X$17&lt;&gt;"",ISNUMBER(SEARCH($Y$4,'Final Calculation Sheet'!$X$17))))),IF($Z$4="",TRUE(),IF($Z$4="(blank)",'Final Calculation Sheet'!$Y$17="",IF($Z$4="(nonblank)",'Final Calculation Sheet'!$Y$17&lt;&gt;"",ISNUMBER(SEARCH($Z$4,'Final Calculation Sheet'!$Y$17))))),IF($AA$4="",TRUE(),IF($AA$4="(blank)",'Final Calculation Sheet'!$Z$17="",IF($AA$4="(nonblank)",'Final Calculation Sheet'!$Z$17&lt;&gt;"",ISNUMBER(SEARCH($AA$4,'Final Calculation Sheet'!$Z$17))))),IF($AB$4="",TRUE(),IF($AB$4="(blank)",'Final Calculation Sheet'!$AA$17="",IF($AB$4="(nonblank)",'Final Calculation Sheet'!$AA$17&lt;&gt;"",ISNUMBER(SEARCH($AB$4,'Final Calculation Sheet'!$AA$17))))),IF($AC$4="",TRUE(),IF($AC$4="(blank)",'Final Calculation Sheet'!$AB$17="",IF($AC$4="(nonblank)",'Final Calculation Sheet'!$AB$17&lt;&gt;"",ISNUMBER(SEARCH($AC$4,'Final Calculation Sheet'!$AB$17))))),IF($AD$4="",TRUE(),IF($AD$4="(blank)",'Final Calculation Sheet'!$AC$17="",IF($AD$4="(nonblank)",'Final Calculation Sheet'!$AC$17&lt;&gt;"",ISNUMBER(SEARCH($AD$4,'Final Calculation Sheet'!$AC$17))))),IF($AE$4="",TRUE(),IF($AE$4="(blank)",'Final Calculation Sheet'!$AD$17="",IF($AE$4="(nonblank)",'Final Calculation Sheet'!$AD$17&lt;&gt;"",ISNUMBER(SEARCH($AE$4,'Final Calculation Sheet'!$AD$17))))),IF($AG$4="",TRUE(),IF($AG$4="(blank)",'Final Calculation Sheet'!$AF$17="",IF($AG$4="(nonblank)",'Final Calculation Sheet'!$AF$17&lt;&gt;"",ISNUMBER(SEARCH($AG$4,'Final Calculation Sheet'!$AF$17))))),IF($AH$4="",TRUE(),IF($AH$4="(blank)",'Final Calculation Sheet'!$AG$17="",IF($AH$4="(nonblank)",'Final Calculation Sheet'!$AG$17&lt;&gt;"",ISNUMBER(SEARCH($AH$4,'Final Calculation Sheet'!$AG$17))))),IF($AI$4="",TRUE(),IF($AI$4="(blank)",'Final Calculation Sheet'!$AH$17="",IF($AI$4="(nonblank)",'Final Calculation Sheet'!$AH$17&lt;&gt;"",ISNUMBER(SEARCH($AI$4,'Final Calculation Sheet'!$AH$17))))),IF($AF$4="",TRUE(),IF($AF$4="(blank)",IF('Final Calculation Sheet'!$AD$17&lt;=5,"SETTLED","OUTSTANDING")="",IF($AF$4="(nonblank)",IF('Final Calculation Sheet'!$AD$17&lt;=5,"SETTLED","OUTSTANDING")&lt;&gt;"",ISNUMBER(SEARCH($AF$4,IF('Final Calculation Sheet'!$AD$17&lt;=5,"SETTLED","OUTSTANDING"))))))),1,0)</f>
      </c>
      <c r="AK47">
        <f>IF(AJ47=1,COUNTIF(AJ$7:AJ47,1),"")</f>
        <v/>
      </c>
    </row>
    <row r="48" outlineLevel="1" ht="15" customHeight="1" s="137">
      <c r="A48" s="90" t="n">
        <v>4</v>
      </c>
      <c r="B48" s="92">
        <f>IF('Final Calculation Sheet'!$F$23="","",'Final Calculation Sheet'!$F$23)</f>
        <v/>
      </c>
      <c r="C48" s="92">
        <f>IF('Final Calculation Sheet'!$G$23="","",'Final Calculation Sheet'!$G$23)</f>
        <v/>
      </c>
      <c r="D48" s="94">
        <f>IF('Final Calculation Sheet'!$B$23="","",'Final Calculation Sheet'!$B$23)</f>
        <v/>
      </c>
      <c r="E48" s="94">
        <f>IF('Final Calculation Sheet'!$D$23="","",'Final Calculation Sheet'!$D$23)</f>
        <v/>
      </c>
      <c r="F48" s="94">
        <f>IF('Final Calculation Sheet'!$A$23="","",'Final Calculation Sheet'!$A$23)</f>
        <v/>
      </c>
      <c r="G48" s="94">
        <f>IF('Final Calculation Sheet'!$E$23="","",'Final Calculation Sheet'!$E$23)</f>
        <v/>
      </c>
      <c r="H48" s="95">
        <f>IF('Final Calculation Sheet'!$C$23="","",'Final Calculation Sheet'!$C$23)</f>
        <v/>
      </c>
      <c r="I48" s="95">
        <f>IF('Final Calculation Sheet'!$H$23="","",'Final Calculation Sheet'!$H$23)</f>
        <v/>
      </c>
      <c r="J48" s="95">
        <f>IF('Final Calculation Sheet'!$I$23="","",'Final Calculation Sheet'!$I$23)</f>
        <v/>
      </c>
      <c r="K48" s="95">
        <f>IF('Final Calculation Sheet'!$J$23="","",'Final Calculation Sheet'!$J$23)</f>
        <v/>
      </c>
      <c r="L48" s="95">
        <f>IF('Final Calculation Sheet'!$K$23="","",'Final Calculation Sheet'!$K$23)</f>
        <v/>
      </c>
      <c r="M48" s="95">
        <f>IF('Final Calculation Sheet'!$L$23="","",'Final Calculation Sheet'!$L$23)</f>
        <v/>
      </c>
      <c r="N48" s="95">
        <f>IF('Final Calculation Sheet'!$M$23="","",'Final Calculation Sheet'!$M$23)</f>
        <v/>
      </c>
      <c r="O48" s="96">
        <f>IF('Final Calculation Sheet'!$N$23="","",'Final Calculation Sheet'!$N$23)</f>
        <v/>
      </c>
      <c r="P48" s="95">
        <f>IF('Final Calculation Sheet'!$O$23="","",'Final Calculation Sheet'!$O$23)</f>
        <v/>
      </c>
      <c r="Q48" s="95">
        <f>IF('Final Calculation Sheet'!$P$23="","",'Final Calculation Sheet'!$P$23)</f>
        <v/>
      </c>
      <c r="R48" s="97">
        <f>IF('Final Calculation Sheet'!$Q$23="","",'Final Calculation Sheet'!$Q$23)</f>
        <v/>
      </c>
      <c r="S48" s="95">
        <f>IF('Final Calculation Sheet'!$R$23="","",'Final Calculation Sheet'!$R$23)</f>
        <v/>
      </c>
      <c r="T48" s="95">
        <f>IF('Final Calculation Sheet'!$S$23="","",'Final Calculation Sheet'!$S$23)</f>
        <v/>
      </c>
      <c r="U48" s="95">
        <f>IF('Final Calculation Sheet'!$T$23="","",'Final Calculation Sheet'!$T$23)</f>
        <v/>
      </c>
      <c r="V48" s="98">
        <f>IF('Final Calculation Sheet'!$U$23="","",'Final Calculation Sheet'!$U$23)</f>
        <v/>
      </c>
      <c r="W48" s="95">
        <f>IF('Final Calculation Sheet'!$V$23="","",'Final Calculation Sheet'!$V$23)</f>
        <v/>
      </c>
      <c r="X48" s="95">
        <f>IF('Final Calculation Sheet'!$W$23="","",'Final Calculation Sheet'!$W$23)</f>
        <v/>
      </c>
      <c r="Y48" s="95">
        <f>IF('Final Calculation Sheet'!$X$23="","",'Final Calculation Sheet'!$X$23)</f>
        <v/>
      </c>
      <c r="Z48" s="95">
        <f>IF('Final Calculation Sheet'!$Y$23="","",'Final Calculation Sheet'!$Y$23)</f>
        <v/>
      </c>
      <c r="AA48" s="95">
        <f>IF('Final Calculation Sheet'!$Z$23="","",'Final Calculation Sheet'!$Z$23)</f>
        <v/>
      </c>
      <c r="AB48" s="95">
        <f>IF('Final Calculation Sheet'!$AA$23="","",'Final Calculation Sheet'!$AA$23)</f>
        <v/>
      </c>
      <c r="AC48" s="95">
        <f>IF('Final Calculation Sheet'!$AB$23="","",'Final Calculation Sheet'!$AB$23)</f>
        <v/>
      </c>
      <c r="AD48" s="95">
        <f>IF('Final Calculation Sheet'!$AC$23="","",'Final Calculation Sheet'!$AC$23)</f>
        <v/>
      </c>
      <c r="AE48" s="95">
        <f>IF('Final Calculation Sheet'!$AD$23="","",'Final Calculation Sheet'!$AD$23)</f>
        <v/>
      </c>
      <c r="AF48" s="100">
        <f>IF('Final Calculation Sheet'!$AD$23="","",IF('Final Calculation Sheet'!$AD$23&lt;=5,"SETTLED","OUTSTANDING"))</f>
        <v/>
      </c>
      <c r="AG48" s="95">
        <f>IF('Final Calculation Sheet'!$AF$23="","",'Final Calculation Sheet'!$AF$23)</f>
        <v/>
      </c>
      <c r="AH48" s="99">
        <f>IF('Final Calculation Sheet'!$AG$23="","",'Final Calculation Sheet'!$AG$23)</f>
        <v/>
      </c>
      <c r="AI48" s="95">
        <f>IF('Final Calculation Sheet'!$AH$23="","",'Final Calculation Sheet'!$AH$23)</f>
        <v/>
      </c>
      <c r="AJ48">
        <f>IF(AND(IF($B$4="",TRUE(),IF($B$4="(blank)",'Final Calculation Sheet'!$F$23="",IF($B$4="(nonblank)",'Final Calculation Sheet'!$F$23&lt;&gt;"",ISNUMBER(SEARCH($B$4,'Final Calculation Sheet'!$F$23))))),IF($C$4="",TRUE(),IF($C$4="(blank)",'Final Calculation Sheet'!$G$23="",IF($C$4="(nonblank)",'Final Calculation Sheet'!$G$23&lt;&gt;"",ISNUMBER(SEARCH($C$4,'Final Calculation Sheet'!$G$23))))),IF($D$4="",TRUE(),IF($D$4="(blank)",'Final Calculation Sheet'!$B$23="",IF($D$4="(nonblank)",'Final Calculation Sheet'!$B$23&lt;&gt;"",ISNUMBER(SEARCH($D$4,'Final Calculation Sheet'!$B$23))))),IF($E$4="",TRUE(),IF($E$4="(blank)",'Final Calculation Sheet'!$D$23="",IF($E$4="(nonblank)",'Final Calculation Sheet'!$D$23&lt;&gt;"",ISNUMBER(SEARCH($E$4,'Final Calculation Sheet'!$D$23))))),IF($F$4="",TRUE(),IF($F$4="(blank)",'Final Calculation Sheet'!$A$23="",IF($F$4="(nonblank)",'Final Calculation Sheet'!$A$23&lt;&gt;"",ISNUMBER(SEARCH($F$4,'Final Calculation Sheet'!$A$23))))),IF($G$4="",TRUE(),IF($G$4="(blank)",'Final Calculation Sheet'!$E$23="",IF($G$4="(nonblank)",'Final Calculation Sheet'!$E$23&lt;&gt;"",ISNUMBER(SEARCH($G$4,'Final Calculation Sheet'!$E$23))))),IF($H$4="",TRUE(),IF($H$4="(blank)",'Final Calculation Sheet'!$C$23="",IF($H$4="(nonblank)",'Final Calculation Sheet'!$C$23&lt;&gt;"",ISNUMBER(SEARCH($H$4,'Final Calculation Sheet'!$C$23))))),IF($I$4="",TRUE(),IF($I$4="(blank)",'Final Calculation Sheet'!$H$23="",IF($I$4="(nonblank)",'Final Calculation Sheet'!$H$23&lt;&gt;"",ISNUMBER(SEARCH($I$4,'Final Calculation Sheet'!$H$23))))),IF($J$4="",TRUE(),IF($J$4="(blank)",'Final Calculation Sheet'!$I$23="",IF($J$4="(nonblank)",'Final Calculation Sheet'!$I$23&lt;&gt;"",ISNUMBER(SEARCH($J$4,'Final Calculation Sheet'!$I$23))))),IF($K$4="",TRUE(),IF($K$4="(blank)",'Final Calculation Sheet'!$J$23="",IF($K$4="(nonblank)",'Final Calculation Sheet'!$J$23&lt;&gt;"",ISNUMBER(SEARCH($K$4,'Final Calculation Sheet'!$J$23))))),IF($L$4="",TRUE(),IF($L$4="(blank)",'Final Calculation Sheet'!$K$23="",IF($L$4="(nonblank)",'Final Calculation Sheet'!$K$23&lt;&gt;"",ISNUMBER(SEARCH($L$4,'Final Calculation Sheet'!$K$23))))),IF($M$4="",TRUE(),IF($M$4="(blank)",'Final Calculation Sheet'!$L$23="",IF($M$4="(nonblank)",'Final Calculation Sheet'!$L$23&lt;&gt;"",ISNUMBER(SEARCH($M$4,'Final Calculation Sheet'!$L$23))))),IF($N$4="",TRUE(),IF($N$4="(blank)",'Final Calculation Sheet'!$M$23="",IF($N$4="(nonblank)",'Final Calculation Sheet'!$M$23&lt;&gt;"",ISNUMBER(SEARCH($N$4,'Final Calculation Sheet'!$M$23))))),IF($O$4="",TRUE(),IF($O$4="(blank)",'Final Calculation Sheet'!$N$23="",IF($O$4="(nonblank)",'Final Calculation Sheet'!$N$23&lt;&gt;"",ISNUMBER(SEARCH($O$4,'Final Calculation Sheet'!$N$23))))),IF($P$4="",TRUE(),IF($P$4="(blank)",'Final Calculation Sheet'!$O$23="",IF($P$4="(nonblank)",'Final Calculation Sheet'!$O$23&lt;&gt;"",ISNUMBER(SEARCH($P$4,'Final Calculation Sheet'!$O$23))))),IF($Q$4="",TRUE(),IF($Q$4="(blank)",'Final Calculation Sheet'!$P$23="",IF($Q$4="(nonblank)",'Final Calculation Sheet'!$P$23&lt;&gt;"",ISNUMBER(SEARCH($Q$4,'Final Calculation Sheet'!$P$23))))),IF($R$4="",TRUE(),IF($R$4="(blank)",'Final Calculation Sheet'!$Q$23="",IF($R$4="(nonblank)",'Final Calculation Sheet'!$Q$23&lt;&gt;"",ISNUMBER(SEARCH($R$4,'Final Calculation Sheet'!$Q$23))))),IF($S$4="",TRUE(),IF($S$4="(blank)",'Final Calculation Sheet'!$R$23="",IF($S$4="(nonblank)",'Final Calculation Sheet'!$R$23&lt;&gt;"",ISNUMBER(SEARCH($S$4,'Final Calculation Sheet'!$R$23))))),IF($T$4="",TRUE(),IF($T$4="(blank)",'Final Calculation Sheet'!$S$23="",IF($T$4="(nonblank)",'Final Calculation Sheet'!$S$23&lt;&gt;"",ISNUMBER(SEARCH($T$4,'Final Calculation Sheet'!$S$23))))),IF($U$4="",TRUE(),IF($U$4="(blank)",'Final Calculation Sheet'!$T$23="",IF($U$4="(nonblank)",'Final Calculation Sheet'!$T$23&lt;&gt;"",ISNUMBER(SEARCH($U$4,'Final Calculation Sheet'!$T$23))))),IF($V$4="",TRUE(),IF($V$4="(blank)",'Final Calculation Sheet'!$U$23="",IF($V$4="(nonblank)",'Final Calculation Sheet'!$U$23&lt;&gt;"",ISNUMBER(SEARCH($V$4,'Final Calculation Sheet'!$U$23))))),IF($W$4="",TRUE(),IF($W$4="(blank)",'Final Calculation Sheet'!$V$23="",IF($W$4="(nonblank)",'Final Calculation Sheet'!$V$23&lt;&gt;"",ISNUMBER(SEARCH($W$4,'Final Calculation Sheet'!$V$23))))),IF($X$4="",TRUE(),IF($X$4="(blank)",'Final Calculation Sheet'!$W$23="",IF($X$4="(nonblank)",'Final Calculation Sheet'!$W$23&lt;&gt;"",ISNUMBER(SEARCH($X$4,'Final Calculation Sheet'!$W$23))))),IF($Y$4="",TRUE(),IF($Y$4="(blank)",'Final Calculation Sheet'!$X$23="",IF($Y$4="(nonblank)",'Final Calculation Sheet'!$X$23&lt;&gt;"",ISNUMBER(SEARCH($Y$4,'Final Calculation Sheet'!$X$23))))),IF($Z$4="",TRUE(),IF($Z$4="(blank)",'Final Calculation Sheet'!$Y$23="",IF($Z$4="(nonblank)",'Final Calculation Sheet'!$Y$23&lt;&gt;"",ISNUMBER(SEARCH($Z$4,'Final Calculation Sheet'!$Y$23))))),IF($AA$4="",TRUE(),IF($AA$4="(blank)",'Final Calculation Sheet'!$Z$23="",IF($AA$4="(nonblank)",'Final Calculation Sheet'!$Z$23&lt;&gt;"",ISNUMBER(SEARCH($AA$4,'Final Calculation Sheet'!$Z$23))))),IF($AB$4="",TRUE(),IF($AB$4="(blank)",'Final Calculation Sheet'!$AA$23="",IF($AB$4="(nonblank)",'Final Calculation Sheet'!$AA$23&lt;&gt;"",ISNUMBER(SEARCH($AB$4,'Final Calculation Sheet'!$AA$23))))),IF($AC$4="",TRUE(),IF($AC$4="(blank)",'Final Calculation Sheet'!$AB$23="",IF($AC$4="(nonblank)",'Final Calculation Sheet'!$AB$23&lt;&gt;"",ISNUMBER(SEARCH($AC$4,'Final Calculation Sheet'!$AB$23))))),IF($AD$4="",TRUE(),IF($AD$4="(blank)",'Final Calculation Sheet'!$AC$23="",IF($AD$4="(nonblank)",'Final Calculation Sheet'!$AC$23&lt;&gt;"",ISNUMBER(SEARCH($AD$4,'Final Calculation Sheet'!$AC$23))))),IF($AE$4="",TRUE(),IF($AE$4="(blank)",'Final Calculation Sheet'!$AD$23="",IF($AE$4="(nonblank)",'Final Calculation Sheet'!$AD$23&lt;&gt;"",ISNUMBER(SEARCH($AE$4,'Final Calculation Sheet'!$AD$23))))),IF($AG$4="",TRUE(),IF($AG$4="(blank)",'Final Calculation Sheet'!$AF$23="",IF($AG$4="(nonblank)",'Final Calculation Sheet'!$AF$23&lt;&gt;"",ISNUMBER(SEARCH($AG$4,'Final Calculation Sheet'!$AF$23))))),IF($AH$4="",TRUE(),IF($AH$4="(blank)",'Final Calculation Sheet'!$AG$23="",IF($AH$4="(nonblank)",'Final Calculation Sheet'!$AG$23&lt;&gt;"",ISNUMBER(SEARCH($AH$4,'Final Calculation Sheet'!$AG$23))))),IF($AI$4="",TRUE(),IF($AI$4="(blank)",'Final Calculation Sheet'!$AH$23="",IF($AI$4="(nonblank)",'Final Calculation Sheet'!$AH$23&lt;&gt;"",ISNUMBER(SEARCH($AI$4,'Final Calculation Sheet'!$AH$23))))),IF($AF$4="",TRUE(),IF($AF$4="(blank)",IF('Final Calculation Sheet'!$AD$23&lt;=5,"SETTLED","OUTSTANDING")="",IF($AF$4="(nonblank)",IF('Final Calculation Sheet'!$AD$23&lt;=5,"SETTLED","OUTSTANDING")&lt;&gt;"",ISNUMBER(SEARCH($AF$4,IF('Final Calculation Sheet'!$AD$23&lt;=5,"SETTLED","OUTSTANDING"))))))),1,0)</f>
      </c>
      <c r="AK48">
        <f>IF(AJ48=1,COUNTIF(AJ$7:AJ48,1),"")</f>
        <v/>
      </c>
    </row>
    <row r="49" outlineLevel="1" ht="15" customHeight="1" s="137">
      <c r="A49" s="67" t="n">
        <v>5</v>
      </c>
      <c r="B49" s="76">
        <f>IF('Final Calculation Sheet'!$F$29="","",'Final Calculation Sheet'!$F$29)</f>
        <v/>
      </c>
      <c r="C49" s="76">
        <f>IF('Final Calculation Sheet'!$G$29="","",'Final Calculation Sheet'!$G$29)</f>
        <v/>
      </c>
      <c r="D49" s="80">
        <f>IF('Final Calculation Sheet'!$B$29="","",'Final Calculation Sheet'!$B$29)</f>
        <v/>
      </c>
      <c r="E49" s="80">
        <f>IF('Final Calculation Sheet'!$D$29="","",'Final Calculation Sheet'!$D$29)</f>
        <v/>
      </c>
      <c r="F49" s="80">
        <f>IF('Final Calculation Sheet'!$A$29="","",'Final Calculation Sheet'!$A$29)</f>
        <v/>
      </c>
      <c r="G49" s="80">
        <f>IF('Final Calculation Sheet'!$E$29="","",'Final Calculation Sheet'!$E$29)</f>
        <v/>
      </c>
      <c r="H49" s="70">
        <f>IF('Final Calculation Sheet'!$C$29="","",'Final Calculation Sheet'!$C$29)</f>
        <v/>
      </c>
      <c r="I49" s="70">
        <f>IF('Final Calculation Sheet'!$H$29="","",'Final Calculation Sheet'!$H$29)</f>
        <v/>
      </c>
      <c r="J49" s="70">
        <f>IF('Final Calculation Sheet'!$I$29="","",'Final Calculation Sheet'!$I$29)</f>
        <v/>
      </c>
      <c r="K49" s="70">
        <f>IF('Final Calculation Sheet'!$J$29="","",'Final Calculation Sheet'!$J$29)</f>
        <v/>
      </c>
      <c r="L49" s="70">
        <f>IF('Final Calculation Sheet'!$K$29="","",'Final Calculation Sheet'!$K$29)</f>
        <v/>
      </c>
      <c r="M49" s="70">
        <f>IF('Final Calculation Sheet'!$L$29="","",'Final Calculation Sheet'!$L$29)</f>
        <v/>
      </c>
      <c r="N49" s="70">
        <f>IF('Final Calculation Sheet'!$M$29="","",'Final Calculation Sheet'!$M$29)</f>
        <v/>
      </c>
      <c r="O49" s="71">
        <f>IF('Final Calculation Sheet'!$N$29="","",'Final Calculation Sheet'!$N$29)</f>
        <v/>
      </c>
      <c r="P49" s="70">
        <f>IF('Final Calculation Sheet'!$O$29="","",'Final Calculation Sheet'!$O$29)</f>
        <v/>
      </c>
      <c r="Q49" s="70">
        <f>IF('Final Calculation Sheet'!$P$29="","",'Final Calculation Sheet'!$P$29)</f>
        <v/>
      </c>
      <c r="R49" s="72">
        <f>IF('Final Calculation Sheet'!$Q$29="","",'Final Calculation Sheet'!$Q$29)</f>
        <v/>
      </c>
      <c r="S49" s="70">
        <f>IF('Final Calculation Sheet'!$R$29="","",'Final Calculation Sheet'!$R$29)</f>
        <v/>
      </c>
      <c r="T49" s="70">
        <f>IF('Final Calculation Sheet'!$S$29="","",'Final Calculation Sheet'!$S$29)</f>
        <v/>
      </c>
      <c r="U49" s="70">
        <f>IF('Final Calculation Sheet'!$T$29="","",'Final Calculation Sheet'!$T$29)</f>
        <v/>
      </c>
      <c r="V49" s="73">
        <f>IF('Final Calculation Sheet'!$U$29="","",'Final Calculation Sheet'!$U$29)</f>
        <v/>
      </c>
      <c r="W49" s="70">
        <f>IF('Final Calculation Sheet'!$V$29="","",'Final Calculation Sheet'!$V$29)</f>
        <v/>
      </c>
      <c r="X49" s="70">
        <f>IF('Final Calculation Sheet'!$W$29="","",'Final Calculation Sheet'!$W$29)</f>
        <v/>
      </c>
      <c r="Y49" s="70">
        <f>IF('Final Calculation Sheet'!$X$29="","",'Final Calculation Sheet'!$X$29)</f>
        <v/>
      </c>
      <c r="Z49" s="70">
        <f>IF('Final Calculation Sheet'!$Y$29="","",'Final Calculation Sheet'!$Y$29)</f>
        <v/>
      </c>
      <c r="AA49" s="70">
        <f>IF('Final Calculation Sheet'!$Z$29="","",'Final Calculation Sheet'!$Z$29)</f>
        <v/>
      </c>
      <c r="AB49" s="70">
        <f>IF('Final Calculation Sheet'!$AA$29="","",'Final Calculation Sheet'!$AA$29)</f>
        <v/>
      </c>
      <c r="AC49" s="70">
        <f>IF('Final Calculation Sheet'!$AB$29="","",'Final Calculation Sheet'!$AB$29)</f>
        <v/>
      </c>
      <c r="AD49" s="70">
        <f>IF('Final Calculation Sheet'!$AC$29="","",'Final Calculation Sheet'!$AC$29)</f>
        <v/>
      </c>
      <c r="AE49" s="70">
        <f>IF('Final Calculation Sheet'!$AD$29="","",'Final Calculation Sheet'!$AD$29)</f>
        <v/>
      </c>
      <c r="AF49" s="75">
        <f>IF('Final Calculation Sheet'!$AD$29="","",IF('Final Calculation Sheet'!$AD$29&lt;=5,"SETTLED","OUTSTANDING"))</f>
        <v/>
      </c>
      <c r="AG49" s="70">
        <f>IF('Final Calculation Sheet'!$AF$29="","",'Final Calculation Sheet'!$AF$29)</f>
        <v/>
      </c>
      <c r="AH49" s="74">
        <f>IF('Final Calculation Sheet'!$AG$29="","",'Final Calculation Sheet'!$AG$29)</f>
        <v/>
      </c>
      <c r="AI49" s="70">
        <f>IF('Final Calculation Sheet'!$AH$29="","",'Final Calculation Sheet'!$AH$29)</f>
        <v/>
      </c>
      <c r="AJ49">
        <f>IF(AND(IF($B$4="",TRUE(),IF($B$4="(blank)",'Final Calculation Sheet'!$F$29="",IF($B$4="(nonblank)",'Final Calculation Sheet'!$F$29&lt;&gt;"",ISNUMBER(SEARCH($B$4,'Final Calculation Sheet'!$F$29))))),IF($C$4="",TRUE(),IF($C$4="(blank)",'Final Calculation Sheet'!$G$29="",IF($C$4="(nonblank)",'Final Calculation Sheet'!$G$29&lt;&gt;"",ISNUMBER(SEARCH($C$4,'Final Calculation Sheet'!$G$29))))),IF($D$4="",TRUE(),IF($D$4="(blank)",'Final Calculation Sheet'!$B$29="",IF($D$4="(nonblank)",'Final Calculation Sheet'!$B$29&lt;&gt;"",ISNUMBER(SEARCH($D$4,'Final Calculation Sheet'!$B$29))))),IF($E$4="",TRUE(),IF($E$4="(blank)",'Final Calculation Sheet'!$D$29="",IF($E$4="(nonblank)",'Final Calculation Sheet'!$D$29&lt;&gt;"",ISNUMBER(SEARCH($E$4,'Final Calculation Sheet'!$D$29))))),IF($F$4="",TRUE(),IF($F$4="(blank)",'Final Calculation Sheet'!$A$29="",IF($F$4="(nonblank)",'Final Calculation Sheet'!$A$29&lt;&gt;"",ISNUMBER(SEARCH($F$4,'Final Calculation Sheet'!$A$29))))),IF($G$4="",TRUE(),IF($G$4="(blank)",'Final Calculation Sheet'!$E$29="",IF($G$4="(nonblank)",'Final Calculation Sheet'!$E$29&lt;&gt;"",ISNUMBER(SEARCH($G$4,'Final Calculation Sheet'!$E$29))))),IF($H$4="",TRUE(),IF($H$4="(blank)",'Final Calculation Sheet'!$C$29="",IF($H$4="(nonblank)",'Final Calculation Sheet'!$C$29&lt;&gt;"",ISNUMBER(SEARCH($H$4,'Final Calculation Sheet'!$C$29))))),IF($I$4="",TRUE(),IF($I$4="(blank)",'Final Calculation Sheet'!$H$29="",IF($I$4="(nonblank)",'Final Calculation Sheet'!$H$29&lt;&gt;"",ISNUMBER(SEARCH($I$4,'Final Calculation Sheet'!$H$29))))),IF($J$4="",TRUE(),IF($J$4="(blank)",'Final Calculation Sheet'!$I$29="",IF($J$4="(nonblank)",'Final Calculation Sheet'!$I$29&lt;&gt;"",ISNUMBER(SEARCH($J$4,'Final Calculation Sheet'!$I$29))))),IF($K$4="",TRUE(),IF($K$4="(blank)",'Final Calculation Sheet'!$J$29="",IF($K$4="(nonblank)",'Final Calculation Sheet'!$J$29&lt;&gt;"",ISNUMBER(SEARCH($K$4,'Final Calculation Sheet'!$J$29))))),IF($L$4="",TRUE(),IF($L$4="(blank)",'Final Calculation Sheet'!$K$29="",IF($L$4="(nonblank)",'Final Calculation Sheet'!$K$29&lt;&gt;"",ISNUMBER(SEARCH($L$4,'Final Calculation Sheet'!$K$29))))),IF($M$4="",TRUE(),IF($M$4="(blank)",'Final Calculation Sheet'!$L$29="",IF($M$4="(nonblank)",'Final Calculation Sheet'!$L$29&lt;&gt;"",ISNUMBER(SEARCH($M$4,'Final Calculation Sheet'!$L$29))))),IF($N$4="",TRUE(),IF($N$4="(blank)",'Final Calculation Sheet'!$M$29="",IF($N$4="(nonblank)",'Final Calculation Sheet'!$M$29&lt;&gt;"",ISNUMBER(SEARCH($N$4,'Final Calculation Sheet'!$M$29))))),IF($O$4="",TRUE(),IF($O$4="(blank)",'Final Calculation Sheet'!$N$29="",IF($O$4="(nonblank)",'Final Calculation Sheet'!$N$29&lt;&gt;"",ISNUMBER(SEARCH($O$4,'Final Calculation Sheet'!$N$29))))),IF($P$4="",TRUE(),IF($P$4="(blank)",'Final Calculation Sheet'!$O$29="",IF($P$4="(nonblank)",'Final Calculation Sheet'!$O$29&lt;&gt;"",ISNUMBER(SEARCH($P$4,'Final Calculation Sheet'!$O$29))))),IF($Q$4="",TRUE(),IF($Q$4="(blank)",'Final Calculation Sheet'!$P$29="",IF($Q$4="(nonblank)",'Final Calculation Sheet'!$P$29&lt;&gt;"",ISNUMBER(SEARCH($Q$4,'Final Calculation Sheet'!$P$29))))),IF($R$4="",TRUE(),IF($R$4="(blank)",'Final Calculation Sheet'!$Q$29="",IF($R$4="(nonblank)",'Final Calculation Sheet'!$Q$29&lt;&gt;"",ISNUMBER(SEARCH($R$4,'Final Calculation Sheet'!$Q$29))))),IF($S$4="",TRUE(),IF($S$4="(blank)",'Final Calculation Sheet'!$R$29="",IF($S$4="(nonblank)",'Final Calculation Sheet'!$R$29&lt;&gt;"",ISNUMBER(SEARCH($S$4,'Final Calculation Sheet'!$R$29))))),IF($T$4="",TRUE(),IF($T$4="(blank)",'Final Calculation Sheet'!$S$29="",IF($T$4="(nonblank)",'Final Calculation Sheet'!$S$29&lt;&gt;"",ISNUMBER(SEARCH($T$4,'Final Calculation Sheet'!$S$29))))),IF($U$4="",TRUE(),IF($U$4="(blank)",'Final Calculation Sheet'!$T$29="",IF($U$4="(nonblank)",'Final Calculation Sheet'!$T$29&lt;&gt;"",ISNUMBER(SEARCH($U$4,'Final Calculation Sheet'!$T$29))))),IF($V$4="",TRUE(),IF($V$4="(blank)",'Final Calculation Sheet'!$U$29="",IF($V$4="(nonblank)",'Final Calculation Sheet'!$U$29&lt;&gt;"",ISNUMBER(SEARCH($V$4,'Final Calculation Sheet'!$U$29))))),IF($W$4="",TRUE(),IF($W$4="(blank)",'Final Calculation Sheet'!$V$29="",IF($W$4="(nonblank)",'Final Calculation Sheet'!$V$29&lt;&gt;"",ISNUMBER(SEARCH($W$4,'Final Calculation Sheet'!$V$29))))),IF($X$4="",TRUE(),IF($X$4="(blank)",'Final Calculation Sheet'!$W$29="",IF($X$4="(nonblank)",'Final Calculation Sheet'!$W$29&lt;&gt;"",ISNUMBER(SEARCH($X$4,'Final Calculation Sheet'!$W$29))))),IF($Y$4="",TRUE(),IF($Y$4="(blank)",'Final Calculation Sheet'!$X$29="",IF($Y$4="(nonblank)",'Final Calculation Sheet'!$X$29&lt;&gt;"",ISNUMBER(SEARCH($Y$4,'Final Calculation Sheet'!$X$29))))),IF($Z$4="",TRUE(),IF($Z$4="(blank)",'Final Calculation Sheet'!$Y$29="",IF($Z$4="(nonblank)",'Final Calculation Sheet'!$Y$29&lt;&gt;"",ISNUMBER(SEARCH($Z$4,'Final Calculation Sheet'!$Y$29))))),IF($AA$4="",TRUE(),IF($AA$4="(blank)",'Final Calculation Sheet'!$Z$29="",IF($AA$4="(nonblank)",'Final Calculation Sheet'!$Z$29&lt;&gt;"",ISNUMBER(SEARCH($AA$4,'Final Calculation Sheet'!$Z$29))))),IF($AB$4="",TRUE(),IF($AB$4="(blank)",'Final Calculation Sheet'!$AA$29="",IF($AB$4="(nonblank)",'Final Calculation Sheet'!$AA$29&lt;&gt;"",ISNUMBER(SEARCH($AB$4,'Final Calculation Sheet'!$AA$29))))),IF($AC$4="",TRUE(),IF($AC$4="(blank)",'Final Calculation Sheet'!$AB$29="",IF($AC$4="(nonblank)",'Final Calculation Sheet'!$AB$29&lt;&gt;"",ISNUMBER(SEARCH($AC$4,'Final Calculation Sheet'!$AB$29))))),IF($AD$4="",TRUE(),IF($AD$4="(blank)",'Final Calculation Sheet'!$AC$29="",IF($AD$4="(nonblank)",'Final Calculation Sheet'!$AC$29&lt;&gt;"",ISNUMBER(SEARCH($AD$4,'Final Calculation Sheet'!$AC$29))))),IF($AE$4="",TRUE(),IF($AE$4="(blank)",'Final Calculation Sheet'!$AD$29="",IF($AE$4="(nonblank)",'Final Calculation Sheet'!$AD$29&lt;&gt;"",ISNUMBER(SEARCH($AE$4,'Final Calculation Sheet'!$AD$29))))),IF($AG$4="",TRUE(),IF($AG$4="(blank)",'Final Calculation Sheet'!$AF$29="",IF($AG$4="(nonblank)",'Final Calculation Sheet'!$AF$29&lt;&gt;"",ISNUMBER(SEARCH($AG$4,'Final Calculation Sheet'!$AF$29))))),IF($AH$4="",TRUE(),IF($AH$4="(blank)",'Final Calculation Sheet'!$AG$29="",IF($AH$4="(nonblank)",'Final Calculation Sheet'!$AG$29&lt;&gt;"",ISNUMBER(SEARCH($AH$4,'Final Calculation Sheet'!$AG$29))))),IF($AI$4="",TRUE(),IF($AI$4="(blank)",'Final Calculation Sheet'!$AH$29="",IF($AI$4="(nonblank)",'Final Calculation Sheet'!$AH$29&lt;&gt;"",ISNUMBER(SEARCH($AI$4,'Final Calculation Sheet'!$AH$29))))),IF($AF$4="",TRUE(),IF($AF$4="(blank)",IF('Final Calculation Sheet'!$AD$29&lt;=5,"SETTLED","OUTSTANDING")="",IF($AF$4="(nonblank)",IF('Final Calculation Sheet'!$AD$29&lt;=5,"SETTLED","OUTSTANDING")&lt;&gt;"",ISNUMBER(SEARCH($AF$4,IF('Final Calculation Sheet'!$AD$29&lt;=5,"SETTLED","OUTSTANDING"))))))),1,0)</f>
      </c>
      <c r="AK49">
        <f>IF(AJ49=1,COUNTIF(AJ$7:AJ49,1),"")</f>
        <v/>
      </c>
    </row>
    <row r="50" outlineLevel="1" ht="15" customHeight="1" s="137">
      <c r="A50" s="90" t="n">
        <v>6</v>
      </c>
      <c r="B50" s="92">
        <f>IF('Final Calculation Sheet'!$F$34="","",'Final Calculation Sheet'!$F$34)</f>
        <v/>
      </c>
      <c r="C50" s="92">
        <f>IF('Final Calculation Sheet'!$G$34="","",'Final Calculation Sheet'!$G$34)</f>
        <v/>
      </c>
      <c r="D50" s="94">
        <f>IF('Final Calculation Sheet'!$B$34="","",'Final Calculation Sheet'!$B$34)</f>
        <v/>
      </c>
      <c r="E50" s="94">
        <f>IF('Final Calculation Sheet'!$D$34="","",'Final Calculation Sheet'!$D$34)</f>
        <v/>
      </c>
      <c r="F50" s="94">
        <f>IF('Final Calculation Sheet'!$A$34="","",'Final Calculation Sheet'!$A$34)</f>
        <v/>
      </c>
      <c r="G50" s="94">
        <f>IF('Final Calculation Sheet'!$E$34="","",'Final Calculation Sheet'!$E$34)</f>
        <v/>
      </c>
      <c r="H50" s="95">
        <f>IF('Final Calculation Sheet'!$C$34="","",'Final Calculation Sheet'!$C$34)</f>
        <v/>
      </c>
      <c r="I50" s="95">
        <f>IF('Final Calculation Sheet'!$H$34="","",'Final Calculation Sheet'!$H$34)</f>
        <v/>
      </c>
      <c r="J50" s="95">
        <f>IF('Final Calculation Sheet'!$I$34="","",'Final Calculation Sheet'!$I$34)</f>
        <v/>
      </c>
      <c r="K50" s="95">
        <f>IF('Final Calculation Sheet'!$J$34="","",'Final Calculation Sheet'!$J$34)</f>
        <v/>
      </c>
      <c r="L50" s="95">
        <f>IF('Final Calculation Sheet'!$K$34="","",'Final Calculation Sheet'!$K$34)</f>
        <v/>
      </c>
      <c r="M50" s="95">
        <f>IF('Final Calculation Sheet'!$L$34="","",'Final Calculation Sheet'!$L$34)</f>
        <v/>
      </c>
      <c r="N50" s="95">
        <f>IF('Final Calculation Sheet'!$M$34="","",'Final Calculation Sheet'!$M$34)</f>
        <v/>
      </c>
      <c r="O50" s="96">
        <f>IF('Final Calculation Sheet'!$N$34="","",'Final Calculation Sheet'!$N$34)</f>
        <v/>
      </c>
      <c r="P50" s="95">
        <f>IF('Final Calculation Sheet'!$O$34="","",'Final Calculation Sheet'!$O$34)</f>
        <v/>
      </c>
      <c r="Q50" s="95">
        <f>IF('Final Calculation Sheet'!$P$34="","",'Final Calculation Sheet'!$P$34)</f>
        <v/>
      </c>
      <c r="R50" s="97">
        <f>IF('Final Calculation Sheet'!$Q$34="","",'Final Calculation Sheet'!$Q$34)</f>
        <v/>
      </c>
      <c r="S50" s="95">
        <f>IF('Final Calculation Sheet'!$R$34="","",'Final Calculation Sheet'!$R$34)</f>
        <v/>
      </c>
      <c r="T50" s="95">
        <f>IF('Final Calculation Sheet'!$S$34="","",'Final Calculation Sheet'!$S$34)</f>
        <v/>
      </c>
      <c r="U50" s="95">
        <f>IF('Final Calculation Sheet'!$T$34="","",'Final Calculation Sheet'!$T$34)</f>
        <v/>
      </c>
      <c r="V50" s="98">
        <f>IF('Final Calculation Sheet'!$U$34="","",'Final Calculation Sheet'!$U$34)</f>
        <v/>
      </c>
      <c r="W50" s="95">
        <f>IF('Final Calculation Sheet'!$V$34="","",'Final Calculation Sheet'!$V$34)</f>
        <v/>
      </c>
      <c r="X50" s="95">
        <f>IF('Final Calculation Sheet'!$W$34="","",'Final Calculation Sheet'!$W$34)</f>
        <v/>
      </c>
      <c r="Y50" s="95">
        <f>IF('Final Calculation Sheet'!$X$34="","",'Final Calculation Sheet'!$X$34)</f>
        <v/>
      </c>
      <c r="Z50" s="95">
        <f>IF('Final Calculation Sheet'!$Y$34="","",'Final Calculation Sheet'!$Y$34)</f>
        <v/>
      </c>
      <c r="AA50" s="95">
        <f>IF('Final Calculation Sheet'!$Z$34="","",'Final Calculation Sheet'!$Z$34)</f>
        <v/>
      </c>
      <c r="AB50" s="95">
        <f>IF('Final Calculation Sheet'!$AA$34="","",'Final Calculation Sheet'!$AA$34)</f>
        <v/>
      </c>
      <c r="AC50" s="95">
        <f>IF('Final Calculation Sheet'!$AB$34="","",'Final Calculation Sheet'!$AB$34)</f>
        <v/>
      </c>
      <c r="AD50" s="95">
        <f>IF('Final Calculation Sheet'!$AC$34="","",'Final Calculation Sheet'!$AC$34)</f>
        <v/>
      </c>
      <c r="AE50" s="95">
        <f>IF('Final Calculation Sheet'!$AD$34="","",'Final Calculation Sheet'!$AD$34)</f>
        <v/>
      </c>
      <c r="AF50" s="100">
        <f>IF('Final Calculation Sheet'!$AD$34="","",IF('Final Calculation Sheet'!$AD$34&lt;=5,"SETTLED","OUTSTANDING"))</f>
        <v/>
      </c>
      <c r="AG50" s="95">
        <f>IF('Final Calculation Sheet'!$AF$34="","",'Final Calculation Sheet'!$AF$34)</f>
        <v/>
      </c>
      <c r="AH50" s="99">
        <f>IF('Final Calculation Sheet'!$AG$34="","",'Final Calculation Sheet'!$AG$34)</f>
        <v/>
      </c>
      <c r="AI50" s="95">
        <f>IF('Final Calculation Sheet'!$AH$34="","",'Final Calculation Sheet'!$AH$34)</f>
        <v/>
      </c>
      <c r="AJ50">
        <f>IF(AND(IF($B$4="",TRUE(),IF($B$4="(blank)",'Final Calculation Sheet'!$F$34="",IF($B$4="(nonblank)",'Final Calculation Sheet'!$F$34&lt;&gt;"",ISNUMBER(SEARCH($B$4,'Final Calculation Sheet'!$F$34))))),IF($C$4="",TRUE(),IF($C$4="(blank)",'Final Calculation Sheet'!$G$34="",IF($C$4="(nonblank)",'Final Calculation Sheet'!$G$34&lt;&gt;"",ISNUMBER(SEARCH($C$4,'Final Calculation Sheet'!$G$34))))),IF($D$4="",TRUE(),IF($D$4="(blank)",'Final Calculation Sheet'!$B$34="",IF($D$4="(nonblank)",'Final Calculation Sheet'!$B$34&lt;&gt;"",ISNUMBER(SEARCH($D$4,'Final Calculation Sheet'!$B$34))))),IF($E$4="",TRUE(),IF($E$4="(blank)",'Final Calculation Sheet'!$D$34="",IF($E$4="(nonblank)",'Final Calculation Sheet'!$D$34&lt;&gt;"",ISNUMBER(SEARCH($E$4,'Final Calculation Sheet'!$D$34))))),IF($F$4="",TRUE(),IF($F$4="(blank)",'Final Calculation Sheet'!$A$34="",IF($F$4="(nonblank)",'Final Calculation Sheet'!$A$34&lt;&gt;"",ISNUMBER(SEARCH($F$4,'Final Calculation Sheet'!$A$34))))),IF($G$4="",TRUE(),IF($G$4="(blank)",'Final Calculation Sheet'!$E$34="",IF($G$4="(nonblank)",'Final Calculation Sheet'!$E$34&lt;&gt;"",ISNUMBER(SEARCH($G$4,'Final Calculation Sheet'!$E$34))))),IF($H$4="",TRUE(),IF($H$4="(blank)",'Final Calculation Sheet'!$C$34="",IF($H$4="(nonblank)",'Final Calculation Sheet'!$C$34&lt;&gt;"",ISNUMBER(SEARCH($H$4,'Final Calculation Sheet'!$C$34))))),IF($I$4="",TRUE(),IF($I$4="(blank)",'Final Calculation Sheet'!$H$34="",IF($I$4="(nonblank)",'Final Calculation Sheet'!$H$34&lt;&gt;"",ISNUMBER(SEARCH($I$4,'Final Calculation Sheet'!$H$34))))),IF($J$4="",TRUE(),IF($J$4="(blank)",'Final Calculation Sheet'!$I$34="",IF($J$4="(nonblank)",'Final Calculation Sheet'!$I$34&lt;&gt;"",ISNUMBER(SEARCH($J$4,'Final Calculation Sheet'!$I$34))))),IF($K$4="",TRUE(),IF($K$4="(blank)",'Final Calculation Sheet'!$J$34="",IF($K$4="(nonblank)",'Final Calculation Sheet'!$J$34&lt;&gt;"",ISNUMBER(SEARCH($K$4,'Final Calculation Sheet'!$J$34))))),IF($L$4="",TRUE(),IF($L$4="(blank)",'Final Calculation Sheet'!$K$34="",IF($L$4="(nonblank)",'Final Calculation Sheet'!$K$34&lt;&gt;"",ISNUMBER(SEARCH($L$4,'Final Calculation Sheet'!$K$34))))),IF($M$4="",TRUE(),IF($M$4="(blank)",'Final Calculation Sheet'!$L$34="",IF($M$4="(nonblank)",'Final Calculation Sheet'!$L$34&lt;&gt;"",ISNUMBER(SEARCH($M$4,'Final Calculation Sheet'!$L$34))))),IF($N$4="",TRUE(),IF($N$4="(blank)",'Final Calculation Sheet'!$M$34="",IF($N$4="(nonblank)",'Final Calculation Sheet'!$M$34&lt;&gt;"",ISNUMBER(SEARCH($N$4,'Final Calculation Sheet'!$M$34))))),IF($O$4="",TRUE(),IF($O$4="(blank)",'Final Calculation Sheet'!$N$34="",IF($O$4="(nonblank)",'Final Calculation Sheet'!$N$34&lt;&gt;"",ISNUMBER(SEARCH($O$4,'Final Calculation Sheet'!$N$34))))),IF($P$4="",TRUE(),IF($P$4="(blank)",'Final Calculation Sheet'!$O$34="",IF($P$4="(nonblank)",'Final Calculation Sheet'!$O$34&lt;&gt;"",ISNUMBER(SEARCH($P$4,'Final Calculation Sheet'!$O$34))))),IF($Q$4="",TRUE(),IF($Q$4="(blank)",'Final Calculation Sheet'!$P$34="",IF($Q$4="(nonblank)",'Final Calculation Sheet'!$P$34&lt;&gt;"",ISNUMBER(SEARCH($Q$4,'Final Calculation Sheet'!$P$34))))),IF($R$4="",TRUE(),IF($R$4="(blank)",'Final Calculation Sheet'!$Q$34="",IF($R$4="(nonblank)",'Final Calculation Sheet'!$Q$34&lt;&gt;"",ISNUMBER(SEARCH($R$4,'Final Calculation Sheet'!$Q$34))))),IF($S$4="",TRUE(),IF($S$4="(blank)",'Final Calculation Sheet'!$R$34="",IF($S$4="(nonblank)",'Final Calculation Sheet'!$R$34&lt;&gt;"",ISNUMBER(SEARCH($S$4,'Final Calculation Sheet'!$R$34))))),IF($T$4="",TRUE(),IF($T$4="(blank)",'Final Calculation Sheet'!$S$34="",IF($T$4="(nonblank)",'Final Calculation Sheet'!$S$34&lt;&gt;"",ISNUMBER(SEARCH($T$4,'Final Calculation Sheet'!$S$34))))),IF($U$4="",TRUE(),IF($U$4="(blank)",'Final Calculation Sheet'!$T$34="",IF($U$4="(nonblank)",'Final Calculation Sheet'!$T$34&lt;&gt;"",ISNUMBER(SEARCH($U$4,'Final Calculation Sheet'!$T$34))))),IF($V$4="",TRUE(),IF($V$4="(blank)",'Final Calculation Sheet'!$U$34="",IF($V$4="(nonblank)",'Final Calculation Sheet'!$U$34&lt;&gt;"",ISNUMBER(SEARCH($V$4,'Final Calculation Sheet'!$U$34))))),IF($W$4="",TRUE(),IF($W$4="(blank)",'Final Calculation Sheet'!$V$34="",IF($W$4="(nonblank)",'Final Calculation Sheet'!$V$34&lt;&gt;"",ISNUMBER(SEARCH($W$4,'Final Calculation Sheet'!$V$34))))),IF($X$4="",TRUE(),IF($X$4="(blank)",'Final Calculation Sheet'!$W$34="",IF($X$4="(nonblank)",'Final Calculation Sheet'!$W$34&lt;&gt;"",ISNUMBER(SEARCH($X$4,'Final Calculation Sheet'!$W$34))))),IF($Y$4="",TRUE(),IF($Y$4="(blank)",'Final Calculation Sheet'!$X$34="",IF($Y$4="(nonblank)",'Final Calculation Sheet'!$X$34&lt;&gt;"",ISNUMBER(SEARCH($Y$4,'Final Calculation Sheet'!$X$34))))),IF($Z$4="",TRUE(),IF($Z$4="(blank)",'Final Calculation Sheet'!$Y$34="",IF($Z$4="(nonblank)",'Final Calculation Sheet'!$Y$34&lt;&gt;"",ISNUMBER(SEARCH($Z$4,'Final Calculation Sheet'!$Y$34))))),IF($AA$4="",TRUE(),IF($AA$4="(blank)",'Final Calculation Sheet'!$Z$34="",IF($AA$4="(nonblank)",'Final Calculation Sheet'!$Z$34&lt;&gt;"",ISNUMBER(SEARCH($AA$4,'Final Calculation Sheet'!$Z$34))))),IF($AB$4="",TRUE(),IF($AB$4="(blank)",'Final Calculation Sheet'!$AA$34="",IF($AB$4="(nonblank)",'Final Calculation Sheet'!$AA$34&lt;&gt;"",ISNUMBER(SEARCH($AB$4,'Final Calculation Sheet'!$AA$34))))),IF($AC$4="",TRUE(),IF($AC$4="(blank)",'Final Calculation Sheet'!$AB$34="",IF($AC$4="(nonblank)",'Final Calculation Sheet'!$AB$34&lt;&gt;"",ISNUMBER(SEARCH($AC$4,'Final Calculation Sheet'!$AB$34))))),IF($AD$4="",TRUE(),IF($AD$4="(blank)",'Final Calculation Sheet'!$AC$34="",IF($AD$4="(nonblank)",'Final Calculation Sheet'!$AC$34&lt;&gt;"",ISNUMBER(SEARCH($AD$4,'Final Calculation Sheet'!$AC$34))))),IF($AE$4="",TRUE(),IF($AE$4="(blank)",'Final Calculation Sheet'!$AD$34="",IF($AE$4="(nonblank)",'Final Calculation Sheet'!$AD$34&lt;&gt;"",ISNUMBER(SEARCH($AE$4,'Final Calculation Sheet'!$AD$34))))),IF($AG$4="",TRUE(),IF($AG$4="(blank)",'Final Calculation Sheet'!$AF$34="",IF($AG$4="(nonblank)",'Final Calculation Sheet'!$AF$34&lt;&gt;"",ISNUMBER(SEARCH($AG$4,'Final Calculation Sheet'!$AF$34))))),IF($AH$4="",TRUE(),IF($AH$4="(blank)",'Final Calculation Sheet'!$AG$34="",IF($AH$4="(nonblank)",'Final Calculation Sheet'!$AG$34&lt;&gt;"",ISNUMBER(SEARCH($AH$4,'Final Calculation Sheet'!$AG$34))))),IF($AI$4="",TRUE(),IF($AI$4="(blank)",'Final Calculation Sheet'!$AH$34="",IF($AI$4="(nonblank)",'Final Calculation Sheet'!$AH$34&lt;&gt;"",ISNUMBER(SEARCH($AI$4,'Final Calculation Sheet'!$AH$34))))),IF($AF$4="",TRUE(),IF($AF$4="(blank)",IF('Final Calculation Sheet'!$AD$34&lt;=5,"SETTLED","OUTSTANDING")="",IF($AF$4="(nonblank)",IF('Final Calculation Sheet'!$AD$34&lt;=5,"SETTLED","OUTSTANDING")&lt;&gt;"",ISNUMBER(SEARCH($AF$4,IF('Final Calculation Sheet'!$AD$34&lt;=5,"SETTLED","OUTSTANDING"))))))),1,0)</f>
      </c>
      <c r="AK50">
        <f>IF(AJ50=1,COUNTIF(AJ$7:AJ50,1),"")</f>
        <v/>
      </c>
    </row>
    <row r="51" outlineLevel="1" ht="15" customHeight="1" s="137">
      <c r="A51" s="67" t="n">
        <v>7</v>
      </c>
      <c r="B51" s="76">
        <f>IF('Final Calculation Sheet'!$F$36="","",'Final Calculation Sheet'!$F$36)</f>
        <v/>
      </c>
      <c r="C51" s="76">
        <f>IF('Final Calculation Sheet'!$G$36="","",'Final Calculation Sheet'!$G$36)</f>
        <v/>
      </c>
      <c r="D51" s="80">
        <f>IF('Final Calculation Sheet'!$B$36="","",'Final Calculation Sheet'!$B$36)</f>
        <v/>
      </c>
      <c r="E51" s="80">
        <f>IF('Final Calculation Sheet'!$D$36="","",'Final Calculation Sheet'!$D$36)</f>
        <v/>
      </c>
      <c r="F51" s="80">
        <f>IF('Final Calculation Sheet'!$A$36="","",'Final Calculation Sheet'!$A$36)</f>
        <v/>
      </c>
      <c r="G51" s="80">
        <f>IF('Final Calculation Sheet'!$E$36="","",'Final Calculation Sheet'!$E$36)</f>
        <v/>
      </c>
      <c r="H51" s="70">
        <f>IF('Final Calculation Sheet'!$C$36="","",'Final Calculation Sheet'!$C$36)</f>
        <v/>
      </c>
      <c r="I51" s="70">
        <f>IF('Final Calculation Sheet'!$H$36="","",'Final Calculation Sheet'!$H$36)</f>
        <v/>
      </c>
      <c r="J51" s="70">
        <f>IF('Final Calculation Sheet'!$I$36="","",'Final Calculation Sheet'!$I$36)</f>
        <v/>
      </c>
      <c r="K51" s="70">
        <f>IF('Final Calculation Sheet'!$J$36="","",'Final Calculation Sheet'!$J$36)</f>
        <v/>
      </c>
      <c r="L51" s="70">
        <f>IF('Final Calculation Sheet'!$K$36="","",'Final Calculation Sheet'!$K$36)</f>
        <v/>
      </c>
      <c r="M51" s="70">
        <f>IF('Final Calculation Sheet'!$L$36="","",'Final Calculation Sheet'!$L$36)</f>
        <v/>
      </c>
      <c r="N51" s="70">
        <f>IF('Final Calculation Sheet'!$M$36="","",'Final Calculation Sheet'!$M$36)</f>
        <v/>
      </c>
      <c r="O51" s="71">
        <f>IF('Final Calculation Sheet'!$N$36="","",'Final Calculation Sheet'!$N$36)</f>
        <v/>
      </c>
      <c r="P51" s="70">
        <f>IF('Final Calculation Sheet'!$O$36="","",'Final Calculation Sheet'!$O$36)</f>
        <v/>
      </c>
      <c r="Q51" s="70">
        <f>IF('Final Calculation Sheet'!$P$36="","",'Final Calculation Sheet'!$P$36)</f>
        <v/>
      </c>
      <c r="R51" s="72">
        <f>IF('Final Calculation Sheet'!$Q$36="","",'Final Calculation Sheet'!$Q$36)</f>
        <v/>
      </c>
      <c r="S51" s="70">
        <f>IF('Final Calculation Sheet'!$R$36="","",'Final Calculation Sheet'!$R$36)</f>
        <v/>
      </c>
      <c r="T51" s="70">
        <f>IF('Final Calculation Sheet'!$S$36="","",'Final Calculation Sheet'!$S$36)</f>
        <v/>
      </c>
      <c r="U51" s="70">
        <f>IF('Final Calculation Sheet'!$T$36="","",'Final Calculation Sheet'!$T$36)</f>
        <v/>
      </c>
      <c r="V51" s="73">
        <f>IF('Final Calculation Sheet'!$U$36="","",'Final Calculation Sheet'!$U$36)</f>
        <v/>
      </c>
      <c r="W51" s="70">
        <f>IF('Final Calculation Sheet'!$V$36="","",'Final Calculation Sheet'!$V$36)</f>
        <v/>
      </c>
      <c r="X51" s="70">
        <f>IF('Final Calculation Sheet'!$W$36="","",'Final Calculation Sheet'!$W$36)</f>
        <v/>
      </c>
      <c r="Y51" s="70">
        <f>IF('Final Calculation Sheet'!$X$36="","",'Final Calculation Sheet'!$X$36)</f>
        <v/>
      </c>
      <c r="Z51" s="70">
        <f>IF('Final Calculation Sheet'!$Y$36="","",'Final Calculation Sheet'!$Y$36)</f>
        <v/>
      </c>
      <c r="AA51" s="70">
        <f>IF('Final Calculation Sheet'!$Z$36="","",'Final Calculation Sheet'!$Z$36)</f>
        <v/>
      </c>
      <c r="AB51" s="70">
        <f>IF('Final Calculation Sheet'!$AA$36="","",'Final Calculation Sheet'!$AA$36)</f>
        <v/>
      </c>
      <c r="AC51" s="70">
        <f>IF('Final Calculation Sheet'!$AB$36="","",'Final Calculation Sheet'!$AB$36)</f>
        <v/>
      </c>
      <c r="AD51" s="70">
        <f>IF('Final Calculation Sheet'!$AC$36="","",'Final Calculation Sheet'!$AC$36)</f>
        <v/>
      </c>
      <c r="AE51" s="70">
        <f>IF('Final Calculation Sheet'!$AD$36="","",'Final Calculation Sheet'!$AD$36)</f>
        <v/>
      </c>
      <c r="AF51" s="75">
        <f>IF('Final Calculation Sheet'!$AD$36="","",IF('Final Calculation Sheet'!$AD$36&lt;=5,"SETTLED","OUTSTANDING"))</f>
        <v/>
      </c>
      <c r="AG51" s="70">
        <f>IF('Final Calculation Sheet'!$AF$36="","",'Final Calculation Sheet'!$AF$36)</f>
        <v/>
      </c>
      <c r="AH51" s="74">
        <f>IF('Final Calculation Sheet'!$AG$36="","",'Final Calculation Sheet'!$AG$36)</f>
        <v/>
      </c>
      <c r="AI51" s="70">
        <f>IF('Final Calculation Sheet'!$AH$36="","",'Final Calculation Sheet'!$AH$36)</f>
        <v/>
      </c>
      <c r="AJ51">
        <f>IF(AND(IF($B$4="",TRUE(),IF($B$4="(blank)",'Final Calculation Sheet'!$F$36="",IF($B$4="(nonblank)",'Final Calculation Sheet'!$F$36&lt;&gt;"",ISNUMBER(SEARCH($B$4,'Final Calculation Sheet'!$F$36))))),IF($C$4="",TRUE(),IF($C$4="(blank)",'Final Calculation Sheet'!$G$36="",IF($C$4="(nonblank)",'Final Calculation Sheet'!$G$36&lt;&gt;"",ISNUMBER(SEARCH($C$4,'Final Calculation Sheet'!$G$36))))),IF($D$4="",TRUE(),IF($D$4="(blank)",'Final Calculation Sheet'!$B$36="",IF($D$4="(nonblank)",'Final Calculation Sheet'!$B$36&lt;&gt;"",ISNUMBER(SEARCH($D$4,'Final Calculation Sheet'!$B$36))))),IF($E$4="",TRUE(),IF($E$4="(blank)",'Final Calculation Sheet'!$D$36="",IF($E$4="(nonblank)",'Final Calculation Sheet'!$D$36&lt;&gt;"",ISNUMBER(SEARCH($E$4,'Final Calculation Sheet'!$D$36))))),IF($F$4="",TRUE(),IF($F$4="(blank)",'Final Calculation Sheet'!$A$36="",IF($F$4="(nonblank)",'Final Calculation Sheet'!$A$36&lt;&gt;"",ISNUMBER(SEARCH($F$4,'Final Calculation Sheet'!$A$36))))),IF($G$4="",TRUE(),IF($G$4="(blank)",'Final Calculation Sheet'!$E$36="",IF($G$4="(nonblank)",'Final Calculation Sheet'!$E$36&lt;&gt;"",ISNUMBER(SEARCH($G$4,'Final Calculation Sheet'!$E$36))))),IF($H$4="",TRUE(),IF($H$4="(blank)",'Final Calculation Sheet'!$C$36="",IF($H$4="(nonblank)",'Final Calculation Sheet'!$C$36&lt;&gt;"",ISNUMBER(SEARCH($H$4,'Final Calculation Sheet'!$C$36))))),IF($I$4="",TRUE(),IF($I$4="(blank)",'Final Calculation Sheet'!$H$36="",IF($I$4="(nonblank)",'Final Calculation Sheet'!$H$36&lt;&gt;"",ISNUMBER(SEARCH($I$4,'Final Calculation Sheet'!$H$36))))),IF($J$4="",TRUE(),IF($J$4="(blank)",'Final Calculation Sheet'!$I$36="",IF($J$4="(nonblank)",'Final Calculation Sheet'!$I$36&lt;&gt;"",ISNUMBER(SEARCH($J$4,'Final Calculation Sheet'!$I$36))))),IF($K$4="",TRUE(),IF($K$4="(blank)",'Final Calculation Sheet'!$J$36="",IF($K$4="(nonblank)",'Final Calculation Sheet'!$J$36&lt;&gt;"",ISNUMBER(SEARCH($K$4,'Final Calculation Sheet'!$J$36))))),IF($L$4="",TRUE(),IF($L$4="(blank)",'Final Calculation Sheet'!$K$36="",IF($L$4="(nonblank)",'Final Calculation Sheet'!$K$36&lt;&gt;"",ISNUMBER(SEARCH($L$4,'Final Calculation Sheet'!$K$36))))),IF($M$4="",TRUE(),IF($M$4="(blank)",'Final Calculation Sheet'!$L$36="",IF($M$4="(nonblank)",'Final Calculation Sheet'!$L$36&lt;&gt;"",ISNUMBER(SEARCH($M$4,'Final Calculation Sheet'!$L$36))))),IF($N$4="",TRUE(),IF($N$4="(blank)",'Final Calculation Sheet'!$M$36="",IF($N$4="(nonblank)",'Final Calculation Sheet'!$M$36&lt;&gt;"",ISNUMBER(SEARCH($N$4,'Final Calculation Sheet'!$M$36))))),IF($O$4="",TRUE(),IF($O$4="(blank)",'Final Calculation Sheet'!$N$36="",IF($O$4="(nonblank)",'Final Calculation Sheet'!$N$36&lt;&gt;"",ISNUMBER(SEARCH($O$4,'Final Calculation Sheet'!$N$36))))),IF($P$4="",TRUE(),IF($P$4="(blank)",'Final Calculation Sheet'!$O$36="",IF($P$4="(nonblank)",'Final Calculation Sheet'!$O$36&lt;&gt;"",ISNUMBER(SEARCH($P$4,'Final Calculation Sheet'!$O$36))))),IF($Q$4="",TRUE(),IF($Q$4="(blank)",'Final Calculation Sheet'!$P$36="",IF($Q$4="(nonblank)",'Final Calculation Sheet'!$P$36&lt;&gt;"",ISNUMBER(SEARCH($Q$4,'Final Calculation Sheet'!$P$36))))),IF($R$4="",TRUE(),IF($R$4="(blank)",'Final Calculation Sheet'!$Q$36="",IF($R$4="(nonblank)",'Final Calculation Sheet'!$Q$36&lt;&gt;"",ISNUMBER(SEARCH($R$4,'Final Calculation Sheet'!$Q$36))))),IF($S$4="",TRUE(),IF($S$4="(blank)",'Final Calculation Sheet'!$R$36="",IF($S$4="(nonblank)",'Final Calculation Sheet'!$R$36&lt;&gt;"",ISNUMBER(SEARCH($S$4,'Final Calculation Sheet'!$R$36))))),IF($T$4="",TRUE(),IF($T$4="(blank)",'Final Calculation Sheet'!$S$36="",IF($T$4="(nonblank)",'Final Calculation Sheet'!$S$36&lt;&gt;"",ISNUMBER(SEARCH($T$4,'Final Calculation Sheet'!$S$36))))),IF($U$4="",TRUE(),IF($U$4="(blank)",'Final Calculation Sheet'!$T$36="",IF($U$4="(nonblank)",'Final Calculation Sheet'!$T$36&lt;&gt;"",ISNUMBER(SEARCH($U$4,'Final Calculation Sheet'!$T$36))))),IF($V$4="",TRUE(),IF($V$4="(blank)",'Final Calculation Sheet'!$U$36="",IF($V$4="(nonblank)",'Final Calculation Sheet'!$U$36&lt;&gt;"",ISNUMBER(SEARCH($V$4,'Final Calculation Sheet'!$U$36))))),IF($W$4="",TRUE(),IF($W$4="(blank)",'Final Calculation Sheet'!$V$36="",IF($W$4="(nonblank)",'Final Calculation Sheet'!$V$36&lt;&gt;"",ISNUMBER(SEARCH($W$4,'Final Calculation Sheet'!$V$36))))),IF($X$4="",TRUE(),IF($X$4="(blank)",'Final Calculation Sheet'!$W$36="",IF($X$4="(nonblank)",'Final Calculation Sheet'!$W$36&lt;&gt;"",ISNUMBER(SEARCH($X$4,'Final Calculation Sheet'!$W$36))))),IF($Y$4="",TRUE(),IF($Y$4="(blank)",'Final Calculation Sheet'!$X$36="",IF($Y$4="(nonblank)",'Final Calculation Sheet'!$X$36&lt;&gt;"",ISNUMBER(SEARCH($Y$4,'Final Calculation Sheet'!$X$36))))),IF($Z$4="",TRUE(),IF($Z$4="(blank)",'Final Calculation Sheet'!$Y$36="",IF($Z$4="(nonblank)",'Final Calculation Sheet'!$Y$36&lt;&gt;"",ISNUMBER(SEARCH($Z$4,'Final Calculation Sheet'!$Y$36))))),IF($AA$4="",TRUE(),IF($AA$4="(blank)",'Final Calculation Sheet'!$Z$36="",IF($AA$4="(nonblank)",'Final Calculation Sheet'!$Z$36&lt;&gt;"",ISNUMBER(SEARCH($AA$4,'Final Calculation Sheet'!$Z$36))))),IF($AB$4="",TRUE(),IF($AB$4="(blank)",'Final Calculation Sheet'!$AA$36="",IF($AB$4="(nonblank)",'Final Calculation Sheet'!$AA$36&lt;&gt;"",ISNUMBER(SEARCH($AB$4,'Final Calculation Sheet'!$AA$36))))),IF($AC$4="",TRUE(),IF($AC$4="(blank)",'Final Calculation Sheet'!$AB$36="",IF($AC$4="(nonblank)",'Final Calculation Sheet'!$AB$36&lt;&gt;"",ISNUMBER(SEARCH($AC$4,'Final Calculation Sheet'!$AB$36))))),IF($AD$4="",TRUE(),IF($AD$4="(blank)",'Final Calculation Sheet'!$AC$36="",IF($AD$4="(nonblank)",'Final Calculation Sheet'!$AC$36&lt;&gt;"",ISNUMBER(SEARCH($AD$4,'Final Calculation Sheet'!$AC$36))))),IF($AE$4="",TRUE(),IF($AE$4="(blank)",'Final Calculation Sheet'!$AD$36="",IF($AE$4="(nonblank)",'Final Calculation Sheet'!$AD$36&lt;&gt;"",ISNUMBER(SEARCH($AE$4,'Final Calculation Sheet'!$AD$36))))),IF($AG$4="",TRUE(),IF($AG$4="(blank)",'Final Calculation Sheet'!$AF$36="",IF($AG$4="(nonblank)",'Final Calculation Sheet'!$AF$36&lt;&gt;"",ISNUMBER(SEARCH($AG$4,'Final Calculation Sheet'!$AF$36))))),IF($AH$4="",TRUE(),IF($AH$4="(blank)",'Final Calculation Sheet'!$AG$36="",IF($AH$4="(nonblank)",'Final Calculation Sheet'!$AG$36&lt;&gt;"",ISNUMBER(SEARCH($AH$4,'Final Calculation Sheet'!$AG$36))))),IF($AI$4="",TRUE(),IF($AI$4="(blank)",'Final Calculation Sheet'!$AH$36="",IF($AI$4="(nonblank)",'Final Calculation Sheet'!$AH$36&lt;&gt;"",ISNUMBER(SEARCH($AI$4,'Final Calculation Sheet'!$AH$36))))),IF($AF$4="",TRUE(),IF($AF$4="(blank)",IF('Final Calculation Sheet'!$AD$36&lt;=5,"SETTLED","OUTSTANDING")="",IF($AF$4="(nonblank)",IF('Final Calculation Sheet'!$AD$36&lt;=5,"SETTLED","OUTSTANDING")&lt;&gt;"",ISNUMBER(SEARCH($AF$4,IF('Final Calculation Sheet'!$AD$36&lt;=5,"SETTLED","OUTSTANDING"))))))),1,0)</f>
      </c>
      <c r="AK51">
        <f>IF(AJ51=1,COUNTIF(AJ$7:AJ51,1),"")</f>
        <v/>
      </c>
    </row>
    <row r="52" ht="15" customHeight="1" s="137">
      <c r="A52" s="81" t="inlineStr">
        <is>
          <t>∑</t>
        </is>
      </c>
      <c r="B52" s="83" t="n"/>
      <c r="C52" s="83">
        <f>ROWS($C$45:$C$51)&amp;" lot(s)"</f>
        <v/>
      </c>
      <c r="D52" s="83" t="inlineStr">
        <is>
          <t>SUBTOTAL — STERLING ENTERPRISES</t>
        </is>
      </c>
      <c r="E52" s="83" t="inlineStr">
        <is>
          <t>–</t>
        </is>
      </c>
      <c r="F52" s="83">
        <f>SUM(F45:F51)</f>
        <v/>
      </c>
      <c r="G52" s="83" t="inlineStr">
        <is>
          <t>–</t>
        </is>
      </c>
      <c r="H52" s="84" t="inlineStr">
        <is>
          <t>–</t>
        </is>
      </c>
      <c r="I52" s="84">
        <f>SUM(I45:I51)</f>
        <v/>
      </c>
      <c r="J52" s="84">
        <f>SUM(J45:J51)</f>
        <v/>
      </c>
      <c r="K52" s="84">
        <f>SUM(K45:K51)</f>
        <v/>
      </c>
      <c r="L52" s="84">
        <f>SUM(L45:L51)</f>
        <v/>
      </c>
      <c r="M52" s="84">
        <f>SUM(M45:M51)</f>
        <v/>
      </c>
      <c r="N52" s="84">
        <f>SUM(N45:N51)</f>
        <v/>
      </c>
      <c r="O52" s="85">
        <f>SUM(O45:O51)</f>
        <v/>
      </c>
      <c r="P52" s="84">
        <f>SUM(P45:P51)</f>
        <v/>
      </c>
      <c r="Q52" s="84">
        <f>SUM(Q45:Q51)</f>
        <v/>
      </c>
      <c r="R52" s="86" t="inlineStr">
        <is>
          <t>–</t>
        </is>
      </c>
      <c r="S52" s="84">
        <f>SUM(S45:S51)</f>
        <v/>
      </c>
      <c r="T52" s="84">
        <f>SUM(T45:T51)</f>
        <v/>
      </c>
      <c r="U52" s="84">
        <f>SUM(U45:U51)</f>
        <v/>
      </c>
      <c r="V52" s="87">
        <f>SUM(V45:V51)</f>
        <v/>
      </c>
      <c r="W52" s="84" t="inlineStr">
        <is>
          <t>–</t>
        </is>
      </c>
      <c r="X52" s="84">
        <f>SUM(X45:X51)</f>
        <v/>
      </c>
      <c r="Y52" s="84">
        <f>SUM(Y45:Y51)</f>
        <v/>
      </c>
      <c r="Z52" s="84" t="inlineStr">
        <is>
          <t>–</t>
        </is>
      </c>
      <c r="AA52" s="84">
        <f>SUM(AA45:AA51)</f>
        <v/>
      </c>
      <c r="AB52" s="84">
        <f>SUM(AB45:AB51)</f>
        <v/>
      </c>
      <c r="AC52" s="84" t="inlineStr">
        <is>
          <t>–</t>
        </is>
      </c>
      <c r="AD52" s="84">
        <f>SUM(AD45:AD51)</f>
        <v/>
      </c>
      <c r="AE52" s="84">
        <f>SUM(AE45:AE51)</f>
        <v/>
      </c>
      <c r="AF52" s="89">
        <f>IF(AE52&lt;=5,"SETTLED","OUTSTANDING")</f>
        <v/>
      </c>
      <c r="AG52" s="84" t="inlineStr">
        <is>
          <t>–</t>
        </is>
      </c>
      <c r="AH52" s="88" t="inlineStr">
        <is>
          <t>–</t>
        </is>
      </c>
      <c r="AI52" s="84" t="inlineStr">
        <is>
          <t>–</t>
        </is>
      </c>
    </row>
    <row r="53" outlineLevel="1" ht="15" customHeight="1" s="137">
      <c r="A53" s="67" t="n">
        <v>1</v>
      </c>
      <c r="B53" s="76">
        <f>IF('Final Calculation Sheet'!$F$25="","",'Final Calculation Sheet'!$F$25)</f>
        <v/>
      </c>
      <c r="C53" s="76">
        <f>IF('Final Calculation Sheet'!$G$25="","",'Final Calculation Sheet'!$G$25)</f>
        <v/>
      </c>
      <c r="D53" s="80">
        <f>IF('Final Calculation Sheet'!$B$25="","",'Final Calculation Sheet'!$B$25)</f>
        <v/>
      </c>
      <c r="E53" s="80">
        <f>IF('Final Calculation Sheet'!$D$25="","",'Final Calculation Sheet'!$D$25)</f>
        <v/>
      </c>
      <c r="F53" s="80">
        <f>IF('Final Calculation Sheet'!$A$25="","",'Final Calculation Sheet'!$A$25)</f>
        <v/>
      </c>
      <c r="G53" s="80">
        <f>IF('Final Calculation Sheet'!$E$25="","",'Final Calculation Sheet'!$E$25)</f>
        <v/>
      </c>
      <c r="H53" s="70">
        <f>IF('Final Calculation Sheet'!$C$25="","",'Final Calculation Sheet'!$C$25)</f>
        <v/>
      </c>
      <c r="I53" s="70">
        <f>IF('Final Calculation Sheet'!$H$25="","",'Final Calculation Sheet'!$H$25)</f>
        <v/>
      </c>
      <c r="J53" s="70">
        <f>IF('Final Calculation Sheet'!$I$25="","",'Final Calculation Sheet'!$I$25)</f>
        <v/>
      </c>
      <c r="K53" s="70">
        <f>IF('Final Calculation Sheet'!$J$25="","",'Final Calculation Sheet'!$J$25)</f>
        <v/>
      </c>
      <c r="L53" s="70">
        <f>IF('Final Calculation Sheet'!$K$25="","",'Final Calculation Sheet'!$K$25)</f>
        <v/>
      </c>
      <c r="M53" s="70">
        <f>IF('Final Calculation Sheet'!$L$25="","",'Final Calculation Sheet'!$L$25)</f>
        <v/>
      </c>
      <c r="N53" s="70">
        <f>IF('Final Calculation Sheet'!$M$25="","",'Final Calculation Sheet'!$M$25)</f>
        <v/>
      </c>
      <c r="O53" s="71">
        <f>IF('Final Calculation Sheet'!$N$25="","",'Final Calculation Sheet'!$N$25)</f>
        <v/>
      </c>
      <c r="P53" s="70">
        <f>IF('Final Calculation Sheet'!$O$25="","",'Final Calculation Sheet'!$O$25)</f>
        <v/>
      </c>
      <c r="Q53" s="70">
        <f>IF('Final Calculation Sheet'!$P$25="","",'Final Calculation Sheet'!$P$25)</f>
        <v/>
      </c>
      <c r="R53" s="72">
        <f>IF('Final Calculation Sheet'!$Q$25="","",'Final Calculation Sheet'!$Q$25)</f>
        <v/>
      </c>
      <c r="S53" s="70">
        <f>IF('Final Calculation Sheet'!$R$25="","",'Final Calculation Sheet'!$R$25)</f>
        <v/>
      </c>
      <c r="T53" s="70">
        <f>IF('Final Calculation Sheet'!$S$25="","",'Final Calculation Sheet'!$S$25)</f>
        <v/>
      </c>
      <c r="U53" s="70">
        <f>IF('Final Calculation Sheet'!$T$25="","",'Final Calculation Sheet'!$T$25)</f>
        <v/>
      </c>
      <c r="V53" s="73">
        <f>IF('Final Calculation Sheet'!$U$25="","",'Final Calculation Sheet'!$U$25)</f>
        <v/>
      </c>
      <c r="W53" s="70">
        <f>IF('Final Calculation Sheet'!$V$25="","",'Final Calculation Sheet'!$V$25)</f>
        <v/>
      </c>
      <c r="X53" s="70">
        <f>IF('Final Calculation Sheet'!$W$25="","",'Final Calculation Sheet'!$W$25)</f>
        <v/>
      </c>
      <c r="Y53" s="70">
        <f>IF('Final Calculation Sheet'!$X$25="","",'Final Calculation Sheet'!$X$25)</f>
        <v/>
      </c>
      <c r="Z53" s="70">
        <f>IF('Final Calculation Sheet'!$Y$25="","",'Final Calculation Sheet'!$Y$25)</f>
        <v/>
      </c>
      <c r="AA53" s="70">
        <f>IF('Final Calculation Sheet'!$Z$25="","",'Final Calculation Sheet'!$Z$25)</f>
        <v/>
      </c>
      <c r="AB53" s="70">
        <f>IF('Final Calculation Sheet'!$AA$25="","",'Final Calculation Sheet'!$AA$25)</f>
        <v/>
      </c>
      <c r="AC53" s="70">
        <f>IF('Final Calculation Sheet'!$AB$25="","",'Final Calculation Sheet'!$AB$25)</f>
        <v/>
      </c>
      <c r="AD53" s="70">
        <f>IF('Final Calculation Sheet'!$AC$25="","",'Final Calculation Sheet'!$AC$25)</f>
        <v/>
      </c>
      <c r="AE53" s="70">
        <f>IF('Final Calculation Sheet'!$AD$25="","",'Final Calculation Sheet'!$AD$25)</f>
        <v/>
      </c>
      <c r="AF53" s="75">
        <f>IF('Final Calculation Sheet'!$AD$25="","",IF('Final Calculation Sheet'!$AD$25&lt;=5,"SETTLED","OUTSTANDING"))</f>
        <v/>
      </c>
      <c r="AG53" s="70">
        <f>IF('Final Calculation Sheet'!$AF$25="","",'Final Calculation Sheet'!$AF$25)</f>
        <v/>
      </c>
      <c r="AH53" s="74">
        <f>IF('Final Calculation Sheet'!$AG$25="","",'Final Calculation Sheet'!$AG$25)</f>
        <v/>
      </c>
      <c r="AI53" s="70">
        <f>IF('Final Calculation Sheet'!$AH$25="","",'Final Calculation Sheet'!$AH$25)</f>
        <v/>
      </c>
      <c r="AJ53">
        <f>IF(AND(IF($B$4="",TRUE(),IF($B$4="(blank)",'Final Calculation Sheet'!$F$25="",IF($B$4="(nonblank)",'Final Calculation Sheet'!$F$25&lt;&gt;"",ISNUMBER(SEARCH($B$4,'Final Calculation Sheet'!$F$25))))),IF($C$4="",TRUE(),IF($C$4="(blank)",'Final Calculation Sheet'!$G$25="",IF($C$4="(nonblank)",'Final Calculation Sheet'!$G$25&lt;&gt;"",ISNUMBER(SEARCH($C$4,'Final Calculation Sheet'!$G$25))))),IF($D$4="",TRUE(),IF($D$4="(blank)",'Final Calculation Sheet'!$B$25="",IF($D$4="(nonblank)",'Final Calculation Sheet'!$B$25&lt;&gt;"",ISNUMBER(SEARCH($D$4,'Final Calculation Sheet'!$B$25))))),IF($E$4="",TRUE(),IF($E$4="(blank)",'Final Calculation Sheet'!$D$25="",IF($E$4="(nonblank)",'Final Calculation Sheet'!$D$25&lt;&gt;"",ISNUMBER(SEARCH($E$4,'Final Calculation Sheet'!$D$25))))),IF($F$4="",TRUE(),IF($F$4="(blank)",'Final Calculation Sheet'!$A$25="",IF($F$4="(nonblank)",'Final Calculation Sheet'!$A$25&lt;&gt;"",ISNUMBER(SEARCH($F$4,'Final Calculation Sheet'!$A$25))))),IF($G$4="",TRUE(),IF($G$4="(blank)",'Final Calculation Sheet'!$E$25="",IF($G$4="(nonblank)",'Final Calculation Sheet'!$E$25&lt;&gt;"",ISNUMBER(SEARCH($G$4,'Final Calculation Sheet'!$E$25))))),IF($H$4="",TRUE(),IF($H$4="(blank)",'Final Calculation Sheet'!$C$25="",IF($H$4="(nonblank)",'Final Calculation Sheet'!$C$25&lt;&gt;"",ISNUMBER(SEARCH($H$4,'Final Calculation Sheet'!$C$25))))),IF($I$4="",TRUE(),IF($I$4="(blank)",'Final Calculation Sheet'!$H$25="",IF($I$4="(nonblank)",'Final Calculation Sheet'!$H$25&lt;&gt;"",ISNUMBER(SEARCH($I$4,'Final Calculation Sheet'!$H$25))))),IF($J$4="",TRUE(),IF($J$4="(blank)",'Final Calculation Sheet'!$I$25="",IF($J$4="(nonblank)",'Final Calculation Sheet'!$I$25&lt;&gt;"",ISNUMBER(SEARCH($J$4,'Final Calculation Sheet'!$I$25))))),IF($K$4="",TRUE(),IF($K$4="(blank)",'Final Calculation Sheet'!$J$25="",IF($K$4="(nonblank)",'Final Calculation Sheet'!$J$25&lt;&gt;"",ISNUMBER(SEARCH($K$4,'Final Calculation Sheet'!$J$25))))),IF($L$4="",TRUE(),IF($L$4="(blank)",'Final Calculation Sheet'!$K$25="",IF($L$4="(nonblank)",'Final Calculation Sheet'!$K$25&lt;&gt;"",ISNUMBER(SEARCH($L$4,'Final Calculation Sheet'!$K$25))))),IF($M$4="",TRUE(),IF($M$4="(blank)",'Final Calculation Sheet'!$L$25="",IF($M$4="(nonblank)",'Final Calculation Sheet'!$L$25&lt;&gt;"",ISNUMBER(SEARCH($M$4,'Final Calculation Sheet'!$L$25))))),IF($N$4="",TRUE(),IF($N$4="(blank)",'Final Calculation Sheet'!$M$25="",IF($N$4="(nonblank)",'Final Calculation Sheet'!$M$25&lt;&gt;"",ISNUMBER(SEARCH($N$4,'Final Calculation Sheet'!$M$25))))),IF($O$4="",TRUE(),IF($O$4="(blank)",'Final Calculation Sheet'!$N$25="",IF($O$4="(nonblank)",'Final Calculation Sheet'!$N$25&lt;&gt;"",ISNUMBER(SEARCH($O$4,'Final Calculation Sheet'!$N$25))))),IF($P$4="",TRUE(),IF($P$4="(blank)",'Final Calculation Sheet'!$O$25="",IF($P$4="(nonblank)",'Final Calculation Sheet'!$O$25&lt;&gt;"",ISNUMBER(SEARCH($P$4,'Final Calculation Sheet'!$O$25))))),IF($Q$4="",TRUE(),IF($Q$4="(blank)",'Final Calculation Sheet'!$P$25="",IF($Q$4="(nonblank)",'Final Calculation Sheet'!$P$25&lt;&gt;"",ISNUMBER(SEARCH($Q$4,'Final Calculation Sheet'!$P$25))))),IF($R$4="",TRUE(),IF($R$4="(blank)",'Final Calculation Sheet'!$Q$25="",IF($R$4="(nonblank)",'Final Calculation Sheet'!$Q$25&lt;&gt;"",ISNUMBER(SEARCH($R$4,'Final Calculation Sheet'!$Q$25))))),IF($S$4="",TRUE(),IF($S$4="(blank)",'Final Calculation Sheet'!$R$25="",IF($S$4="(nonblank)",'Final Calculation Sheet'!$R$25&lt;&gt;"",ISNUMBER(SEARCH($S$4,'Final Calculation Sheet'!$R$25))))),IF($T$4="",TRUE(),IF($T$4="(blank)",'Final Calculation Sheet'!$S$25="",IF($T$4="(nonblank)",'Final Calculation Sheet'!$S$25&lt;&gt;"",ISNUMBER(SEARCH($T$4,'Final Calculation Sheet'!$S$25))))),IF($U$4="",TRUE(),IF($U$4="(blank)",'Final Calculation Sheet'!$T$25="",IF($U$4="(nonblank)",'Final Calculation Sheet'!$T$25&lt;&gt;"",ISNUMBER(SEARCH($U$4,'Final Calculation Sheet'!$T$25))))),IF($V$4="",TRUE(),IF($V$4="(blank)",'Final Calculation Sheet'!$U$25="",IF($V$4="(nonblank)",'Final Calculation Sheet'!$U$25&lt;&gt;"",ISNUMBER(SEARCH($V$4,'Final Calculation Sheet'!$U$25))))),IF($W$4="",TRUE(),IF($W$4="(blank)",'Final Calculation Sheet'!$V$25="",IF($W$4="(nonblank)",'Final Calculation Sheet'!$V$25&lt;&gt;"",ISNUMBER(SEARCH($W$4,'Final Calculation Sheet'!$V$25))))),IF($X$4="",TRUE(),IF($X$4="(blank)",'Final Calculation Sheet'!$W$25="",IF($X$4="(nonblank)",'Final Calculation Sheet'!$W$25&lt;&gt;"",ISNUMBER(SEARCH($X$4,'Final Calculation Sheet'!$W$25))))),IF($Y$4="",TRUE(),IF($Y$4="(blank)",'Final Calculation Sheet'!$X$25="",IF($Y$4="(nonblank)",'Final Calculation Sheet'!$X$25&lt;&gt;"",ISNUMBER(SEARCH($Y$4,'Final Calculation Sheet'!$X$25))))),IF($Z$4="",TRUE(),IF($Z$4="(blank)",'Final Calculation Sheet'!$Y$25="",IF($Z$4="(nonblank)",'Final Calculation Sheet'!$Y$25&lt;&gt;"",ISNUMBER(SEARCH($Z$4,'Final Calculation Sheet'!$Y$25))))),IF($AA$4="",TRUE(),IF($AA$4="(blank)",'Final Calculation Sheet'!$Z$25="",IF($AA$4="(nonblank)",'Final Calculation Sheet'!$Z$25&lt;&gt;"",ISNUMBER(SEARCH($AA$4,'Final Calculation Sheet'!$Z$25))))),IF($AB$4="",TRUE(),IF($AB$4="(blank)",'Final Calculation Sheet'!$AA$25="",IF($AB$4="(nonblank)",'Final Calculation Sheet'!$AA$25&lt;&gt;"",ISNUMBER(SEARCH($AB$4,'Final Calculation Sheet'!$AA$25))))),IF($AC$4="",TRUE(),IF($AC$4="(blank)",'Final Calculation Sheet'!$AB$25="",IF($AC$4="(nonblank)",'Final Calculation Sheet'!$AB$25&lt;&gt;"",ISNUMBER(SEARCH($AC$4,'Final Calculation Sheet'!$AB$25))))),IF($AD$4="",TRUE(),IF($AD$4="(blank)",'Final Calculation Sheet'!$AC$25="",IF($AD$4="(nonblank)",'Final Calculation Sheet'!$AC$25&lt;&gt;"",ISNUMBER(SEARCH($AD$4,'Final Calculation Sheet'!$AC$25))))),IF($AE$4="",TRUE(),IF($AE$4="(blank)",'Final Calculation Sheet'!$AD$25="",IF($AE$4="(nonblank)",'Final Calculation Sheet'!$AD$25&lt;&gt;"",ISNUMBER(SEARCH($AE$4,'Final Calculation Sheet'!$AD$25))))),IF($AG$4="",TRUE(),IF($AG$4="(blank)",'Final Calculation Sheet'!$AF$25="",IF($AG$4="(nonblank)",'Final Calculation Sheet'!$AF$25&lt;&gt;"",ISNUMBER(SEARCH($AG$4,'Final Calculation Sheet'!$AF$25))))),IF($AH$4="",TRUE(),IF($AH$4="(blank)",'Final Calculation Sheet'!$AG$25="",IF($AH$4="(nonblank)",'Final Calculation Sheet'!$AG$25&lt;&gt;"",ISNUMBER(SEARCH($AH$4,'Final Calculation Sheet'!$AG$25))))),IF($AI$4="",TRUE(),IF($AI$4="(blank)",'Final Calculation Sheet'!$AH$25="",IF($AI$4="(nonblank)",'Final Calculation Sheet'!$AH$25&lt;&gt;"",ISNUMBER(SEARCH($AI$4,'Final Calculation Sheet'!$AH$25))))),IF($AF$4="",TRUE(),IF($AF$4="(blank)",IF('Final Calculation Sheet'!$AD$25&lt;=5,"SETTLED","OUTSTANDING")="",IF($AF$4="(nonblank)",IF('Final Calculation Sheet'!$AD$25&lt;=5,"SETTLED","OUTSTANDING")&lt;&gt;"",ISNUMBER(SEARCH($AF$4,IF('Final Calculation Sheet'!$AD$25&lt;=5,"SETTLED","OUTSTANDING"))))))),1,0)</f>
      </c>
      <c r="AK53">
        <f>IF(AJ53=1,COUNTIF(AJ$7:AJ53,1),"")</f>
        <v/>
      </c>
    </row>
    <row r="54" outlineLevel="1" ht="15" customHeight="1" s="137">
      <c r="A54" s="90" t="n">
        <v>2</v>
      </c>
      <c r="B54" s="92">
        <f>IF('Final Calculation Sheet'!$F$28="","",'Final Calculation Sheet'!$F$28)</f>
        <v/>
      </c>
      <c r="C54" s="92">
        <f>IF('Final Calculation Sheet'!$G$28="","",'Final Calculation Sheet'!$G$28)</f>
        <v/>
      </c>
      <c r="D54" s="94">
        <f>IF('Final Calculation Sheet'!$B$28="","",'Final Calculation Sheet'!$B$28)</f>
        <v/>
      </c>
      <c r="E54" s="94">
        <f>IF('Final Calculation Sheet'!$D$28="","",'Final Calculation Sheet'!$D$28)</f>
        <v/>
      </c>
      <c r="F54" s="94">
        <f>IF('Final Calculation Sheet'!$A$28="","",'Final Calculation Sheet'!$A$28)</f>
        <v/>
      </c>
      <c r="G54" s="94">
        <f>IF('Final Calculation Sheet'!$E$28="","",'Final Calculation Sheet'!$E$28)</f>
        <v/>
      </c>
      <c r="H54" s="95">
        <f>IF('Final Calculation Sheet'!$C$28="","",'Final Calculation Sheet'!$C$28)</f>
        <v/>
      </c>
      <c r="I54" s="95">
        <f>IF('Final Calculation Sheet'!$H$28="","",'Final Calculation Sheet'!$H$28)</f>
        <v/>
      </c>
      <c r="J54" s="95">
        <f>IF('Final Calculation Sheet'!$I$28="","",'Final Calculation Sheet'!$I$28)</f>
        <v/>
      </c>
      <c r="K54" s="95">
        <f>IF('Final Calculation Sheet'!$J$28="","",'Final Calculation Sheet'!$J$28)</f>
        <v/>
      </c>
      <c r="L54" s="95">
        <f>IF('Final Calculation Sheet'!$K$28="","",'Final Calculation Sheet'!$K$28)</f>
        <v/>
      </c>
      <c r="M54" s="95">
        <f>IF('Final Calculation Sheet'!$L$28="","",'Final Calculation Sheet'!$L$28)</f>
        <v/>
      </c>
      <c r="N54" s="95">
        <f>IF('Final Calculation Sheet'!$M$28="","",'Final Calculation Sheet'!$M$28)</f>
        <v/>
      </c>
      <c r="O54" s="96">
        <f>IF('Final Calculation Sheet'!$N$28="","",'Final Calculation Sheet'!$N$28)</f>
        <v/>
      </c>
      <c r="P54" s="95">
        <f>IF('Final Calculation Sheet'!$O$28="","",'Final Calculation Sheet'!$O$28)</f>
        <v/>
      </c>
      <c r="Q54" s="95">
        <f>IF('Final Calculation Sheet'!$P$28="","",'Final Calculation Sheet'!$P$28)</f>
        <v/>
      </c>
      <c r="R54" s="97">
        <f>IF('Final Calculation Sheet'!$Q$28="","",'Final Calculation Sheet'!$Q$28)</f>
        <v/>
      </c>
      <c r="S54" s="95">
        <f>IF('Final Calculation Sheet'!$R$28="","",'Final Calculation Sheet'!$R$28)</f>
        <v/>
      </c>
      <c r="T54" s="95">
        <f>IF('Final Calculation Sheet'!$S$28="","",'Final Calculation Sheet'!$S$28)</f>
        <v/>
      </c>
      <c r="U54" s="95">
        <f>IF('Final Calculation Sheet'!$T$28="","",'Final Calculation Sheet'!$T$28)</f>
        <v/>
      </c>
      <c r="V54" s="98">
        <f>IF('Final Calculation Sheet'!$U$28="","",'Final Calculation Sheet'!$U$28)</f>
        <v/>
      </c>
      <c r="W54" s="95">
        <f>IF('Final Calculation Sheet'!$V$28="","",'Final Calculation Sheet'!$V$28)</f>
        <v/>
      </c>
      <c r="X54" s="95">
        <f>IF('Final Calculation Sheet'!$W$28="","",'Final Calculation Sheet'!$W$28)</f>
        <v/>
      </c>
      <c r="Y54" s="95">
        <f>IF('Final Calculation Sheet'!$X$28="","",'Final Calculation Sheet'!$X$28)</f>
        <v/>
      </c>
      <c r="Z54" s="95">
        <f>IF('Final Calculation Sheet'!$Y$28="","",'Final Calculation Sheet'!$Y$28)</f>
        <v/>
      </c>
      <c r="AA54" s="95">
        <f>IF('Final Calculation Sheet'!$Z$28="","",'Final Calculation Sheet'!$Z$28)</f>
        <v/>
      </c>
      <c r="AB54" s="95">
        <f>IF('Final Calculation Sheet'!$AA$28="","",'Final Calculation Sheet'!$AA$28)</f>
        <v/>
      </c>
      <c r="AC54" s="95">
        <f>IF('Final Calculation Sheet'!$AB$28="","",'Final Calculation Sheet'!$AB$28)</f>
        <v/>
      </c>
      <c r="AD54" s="95">
        <f>IF('Final Calculation Sheet'!$AC$28="","",'Final Calculation Sheet'!$AC$28)</f>
        <v/>
      </c>
      <c r="AE54" s="95">
        <f>IF('Final Calculation Sheet'!$AD$28="","",'Final Calculation Sheet'!$AD$28)</f>
        <v/>
      </c>
      <c r="AF54" s="100">
        <f>IF('Final Calculation Sheet'!$AD$28="","",IF('Final Calculation Sheet'!$AD$28&lt;=5,"SETTLED","OUTSTANDING"))</f>
        <v/>
      </c>
      <c r="AG54" s="95">
        <f>IF('Final Calculation Sheet'!$AF$28="","",'Final Calculation Sheet'!$AF$28)</f>
        <v/>
      </c>
      <c r="AH54" s="99">
        <f>IF('Final Calculation Sheet'!$AG$28="","",'Final Calculation Sheet'!$AG$28)</f>
        <v/>
      </c>
      <c r="AI54" s="95">
        <f>IF('Final Calculation Sheet'!$AH$28="","",'Final Calculation Sheet'!$AH$28)</f>
        <v/>
      </c>
      <c r="AJ54">
        <f>IF(AND(IF($B$4="",TRUE(),IF($B$4="(blank)",'Final Calculation Sheet'!$F$28="",IF($B$4="(nonblank)",'Final Calculation Sheet'!$F$28&lt;&gt;"",ISNUMBER(SEARCH($B$4,'Final Calculation Sheet'!$F$28))))),IF($C$4="",TRUE(),IF($C$4="(blank)",'Final Calculation Sheet'!$G$28="",IF($C$4="(nonblank)",'Final Calculation Sheet'!$G$28&lt;&gt;"",ISNUMBER(SEARCH($C$4,'Final Calculation Sheet'!$G$28))))),IF($D$4="",TRUE(),IF($D$4="(blank)",'Final Calculation Sheet'!$B$28="",IF($D$4="(nonblank)",'Final Calculation Sheet'!$B$28&lt;&gt;"",ISNUMBER(SEARCH($D$4,'Final Calculation Sheet'!$B$28))))),IF($E$4="",TRUE(),IF($E$4="(blank)",'Final Calculation Sheet'!$D$28="",IF($E$4="(nonblank)",'Final Calculation Sheet'!$D$28&lt;&gt;"",ISNUMBER(SEARCH($E$4,'Final Calculation Sheet'!$D$28))))),IF($F$4="",TRUE(),IF($F$4="(blank)",'Final Calculation Sheet'!$A$28="",IF($F$4="(nonblank)",'Final Calculation Sheet'!$A$28&lt;&gt;"",ISNUMBER(SEARCH($F$4,'Final Calculation Sheet'!$A$28))))),IF($G$4="",TRUE(),IF($G$4="(blank)",'Final Calculation Sheet'!$E$28="",IF($G$4="(nonblank)",'Final Calculation Sheet'!$E$28&lt;&gt;"",ISNUMBER(SEARCH($G$4,'Final Calculation Sheet'!$E$28))))),IF($H$4="",TRUE(),IF($H$4="(blank)",'Final Calculation Sheet'!$C$28="",IF($H$4="(nonblank)",'Final Calculation Sheet'!$C$28&lt;&gt;"",ISNUMBER(SEARCH($H$4,'Final Calculation Sheet'!$C$28))))),IF($I$4="",TRUE(),IF($I$4="(blank)",'Final Calculation Sheet'!$H$28="",IF($I$4="(nonblank)",'Final Calculation Sheet'!$H$28&lt;&gt;"",ISNUMBER(SEARCH($I$4,'Final Calculation Sheet'!$H$28))))),IF($J$4="",TRUE(),IF($J$4="(blank)",'Final Calculation Sheet'!$I$28="",IF($J$4="(nonblank)",'Final Calculation Sheet'!$I$28&lt;&gt;"",ISNUMBER(SEARCH($J$4,'Final Calculation Sheet'!$I$28))))),IF($K$4="",TRUE(),IF($K$4="(blank)",'Final Calculation Sheet'!$J$28="",IF($K$4="(nonblank)",'Final Calculation Sheet'!$J$28&lt;&gt;"",ISNUMBER(SEARCH($K$4,'Final Calculation Sheet'!$J$28))))),IF($L$4="",TRUE(),IF($L$4="(blank)",'Final Calculation Sheet'!$K$28="",IF($L$4="(nonblank)",'Final Calculation Sheet'!$K$28&lt;&gt;"",ISNUMBER(SEARCH($L$4,'Final Calculation Sheet'!$K$28))))),IF($M$4="",TRUE(),IF($M$4="(blank)",'Final Calculation Sheet'!$L$28="",IF($M$4="(nonblank)",'Final Calculation Sheet'!$L$28&lt;&gt;"",ISNUMBER(SEARCH($M$4,'Final Calculation Sheet'!$L$28))))),IF($N$4="",TRUE(),IF($N$4="(blank)",'Final Calculation Sheet'!$M$28="",IF($N$4="(nonblank)",'Final Calculation Sheet'!$M$28&lt;&gt;"",ISNUMBER(SEARCH($N$4,'Final Calculation Sheet'!$M$28))))),IF($O$4="",TRUE(),IF($O$4="(blank)",'Final Calculation Sheet'!$N$28="",IF($O$4="(nonblank)",'Final Calculation Sheet'!$N$28&lt;&gt;"",ISNUMBER(SEARCH($O$4,'Final Calculation Sheet'!$N$28))))),IF($P$4="",TRUE(),IF($P$4="(blank)",'Final Calculation Sheet'!$O$28="",IF($P$4="(nonblank)",'Final Calculation Sheet'!$O$28&lt;&gt;"",ISNUMBER(SEARCH($P$4,'Final Calculation Sheet'!$O$28))))),IF($Q$4="",TRUE(),IF($Q$4="(blank)",'Final Calculation Sheet'!$P$28="",IF($Q$4="(nonblank)",'Final Calculation Sheet'!$P$28&lt;&gt;"",ISNUMBER(SEARCH($Q$4,'Final Calculation Sheet'!$P$28))))),IF($R$4="",TRUE(),IF($R$4="(blank)",'Final Calculation Sheet'!$Q$28="",IF($R$4="(nonblank)",'Final Calculation Sheet'!$Q$28&lt;&gt;"",ISNUMBER(SEARCH($R$4,'Final Calculation Sheet'!$Q$28))))),IF($S$4="",TRUE(),IF($S$4="(blank)",'Final Calculation Sheet'!$R$28="",IF($S$4="(nonblank)",'Final Calculation Sheet'!$R$28&lt;&gt;"",ISNUMBER(SEARCH($S$4,'Final Calculation Sheet'!$R$28))))),IF($T$4="",TRUE(),IF($T$4="(blank)",'Final Calculation Sheet'!$S$28="",IF($T$4="(nonblank)",'Final Calculation Sheet'!$S$28&lt;&gt;"",ISNUMBER(SEARCH($T$4,'Final Calculation Sheet'!$S$28))))),IF($U$4="",TRUE(),IF($U$4="(blank)",'Final Calculation Sheet'!$T$28="",IF($U$4="(nonblank)",'Final Calculation Sheet'!$T$28&lt;&gt;"",ISNUMBER(SEARCH($U$4,'Final Calculation Sheet'!$T$28))))),IF($V$4="",TRUE(),IF($V$4="(blank)",'Final Calculation Sheet'!$U$28="",IF($V$4="(nonblank)",'Final Calculation Sheet'!$U$28&lt;&gt;"",ISNUMBER(SEARCH($V$4,'Final Calculation Sheet'!$U$28))))),IF($W$4="",TRUE(),IF($W$4="(blank)",'Final Calculation Sheet'!$V$28="",IF($W$4="(nonblank)",'Final Calculation Sheet'!$V$28&lt;&gt;"",ISNUMBER(SEARCH($W$4,'Final Calculation Sheet'!$V$28))))),IF($X$4="",TRUE(),IF($X$4="(blank)",'Final Calculation Sheet'!$W$28="",IF($X$4="(nonblank)",'Final Calculation Sheet'!$W$28&lt;&gt;"",ISNUMBER(SEARCH($X$4,'Final Calculation Sheet'!$W$28))))),IF($Y$4="",TRUE(),IF($Y$4="(blank)",'Final Calculation Sheet'!$X$28="",IF($Y$4="(nonblank)",'Final Calculation Sheet'!$X$28&lt;&gt;"",ISNUMBER(SEARCH($Y$4,'Final Calculation Sheet'!$X$28))))),IF($Z$4="",TRUE(),IF($Z$4="(blank)",'Final Calculation Sheet'!$Y$28="",IF($Z$4="(nonblank)",'Final Calculation Sheet'!$Y$28&lt;&gt;"",ISNUMBER(SEARCH($Z$4,'Final Calculation Sheet'!$Y$28))))),IF($AA$4="",TRUE(),IF($AA$4="(blank)",'Final Calculation Sheet'!$Z$28="",IF($AA$4="(nonblank)",'Final Calculation Sheet'!$Z$28&lt;&gt;"",ISNUMBER(SEARCH($AA$4,'Final Calculation Sheet'!$Z$28))))),IF($AB$4="",TRUE(),IF($AB$4="(blank)",'Final Calculation Sheet'!$AA$28="",IF($AB$4="(nonblank)",'Final Calculation Sheet'!$AA$28&lt;&gt;"",ISNUMBER(SEARCH($AB$4,'Final Calculation Sheet'!$AA$28))))),IF($AC$4="",TRUE(),IF($AC$4="(blank)",'Final Calculation Sheet'!$AB$28="",IF($AC$4="(nonblank)",'Final Calculation Sheet'!$AB$28&lt;&gt;"",ISNUMBER(SEARCH($AC$4,'Final Calculation Sheet'!$AB$28))))),IF($AD$4="",TRUE(),IF($AD$4="(blank)",'Final Calculation Sheet'!$AC$28="",IF($AD$4="(nonblank)",'Final Calculation Sheet'!$AC$28&lt;&gt;"",ISNUMBER(SEARCH($AD$4,'Final Calculation Sheet'!$AC$28))))),IF($AE$4="",TRUE(),IF($AE$4="(blank)",'Final Calculation Sheet'!$AD$28="",IF($AE$4="(nonblank)",'Final Calculation Sheet'!$AD$28&lt;&gt;"",ISNUMBER(SEARCH($AE$4,'Final Calculation Sheet'!$AD$28))))),IF($AG$4="",TRUE(),IF($AG$4="(blank)",'Final Calculation Sheet'!$AF$28="",IF($AG$4="(nonblank)",'Final Calculation Sheet'!$AF$28&lt;&gt;"",ISNUMBER(SEARCH($AG$4,'Final Calculation Sheet'!$AF$28))))),IF($AH$4="",TRUE(),IF($AH$4="(blank)",'Final Calculation Sheet'!$AG$28="",IF($AH$4="(nonblank)",'Final Calculation Sheet'!$AG$28&lt;&gt;"",ISNUMBER(SEARCH($AH$4,'Final Calculation Sheet'!$AG$28))))),IF($AI$4="",TRUE(),IF($AI$4="(blank)",'Final Calculation Sheet'!$AH$28="",IF($AI$4="(nonblank)",'Final Calculation Sheet'!$AH$28&lt;&gt;"",ISNUMBER(SEARCH($AI$4,'Final Calculation Sheet'!$AH$28))))),IF($AF$4="",TRUE(),IF($AF$4="(blank)",IF('Final Calculation Sheet'!$AD$28&lt;=5,"SETTLED","OUTSTANDING")="",IF($AF$4="(nonblank)",IF('Final Calculation Sheet'!$AD$28&lt;=5,"SETTLED","OUTSTANDING")&lt;&gt;"",ISNUMBER(SEARCH($AF$4,IF('Final Calculation Sheet'!$AD$28&lt;=5,"SETTLED","OUTSTANDING"))))))),1,0)</f>
      </c>
      <c r="AK54">
        <f>IF(AJ54=1,COUNTIF(AJ$7:AJ54,1),"")</f>
        <v/>
      </c>
    </row>
    <row r="55" outlineLevel="1" ht="15" customHeight="1" s="137">
      <c r="A55" s="67" t="n">
        <v>3</v>
      </c>
      <c r="B55" s="76">
        <f>IF('Final Calculation Sheet'!$F$35="","",'Final Calculation Sheet'!$F$35)</f>
        <v/>
      </c>
      <c r="C55" s="76">
        <f>IF('Final Calculation Sheet'!$G$35="","",'Final Calculation Sheet'!$G$35)</f>
        <v/>
      </c>
      <c r="D55" s="80">
        <f>IF('Final Calculation Sheet'!$B$35="","",'Final Calculation Sheet'!$B$35)</f>
        <v/>
      </c>
      <c r="E55" s="80">
        <f>IF('Final Calculation Sheet'!$D$35="","",'Final Calculation Sheet'!$D$35)</f>
        <v/>
      </c>
      <c r="F55" s="80">
        <f>IF('Final Calculation Sheet'!$A$35="","",'Final Calculation Sheet'!$A$35)</f>
        <v/>
      </c>
      <c r="G55" s="80">
        <f>IF('Final Calculation Sheet'!$E$35="","",'Final Calculation Sheet'!$E$35)</f>
        <v/>
      </c>
      <c r="H55" s="70">
        <f>IF('Final Calculation Sheet'!$C$35="","",'Final Calculation Sheet'!$C$35)</f>
        <v/>
      </c>
      <c r="I55" s="70">
        <f>IF('Final Calculation Sheet'!$H$35="","",'Final Calculation Sheet'!$H$35)</f>
        <v/>
      </c>
      <c r="J55" s="70">
        <f>IF('Final Calculation Sheet'!$I$35="","",'Final Calculation Sheet'!$I$35)</f>
        <v/>
      </c>
      <c r="K55" s="70">
        <f>IF('Final Calculation Sheet'!$J$35="","",'Final Calculation Sheet'!$J$35)</f>
        <v/>
      </c>
      <c r="L55" s="70">
        <f>IF('Final Calculation Sheet'!$K$35="","",'Final Calculation Sheet'!$K$35)</f>
        <v/>
      </c>
      <c r="M55" s="70">
        <f>IF('Final Calculation Sheet'!$L$35="","",'Final Calculation Sheet'!$L$35)</f>
        <v/>
      </c>
      <c r="N55" s="70">
        <f>IF('Final Calculation Sheet'!$M$35="","",'Final Calculation Sheet'!$M$35)</f>
        <v/>
      </c>
      <c r="O55" s="71">
        <f>IF('Final Calculation Sheet'!$N$35="","",'Final Calculation Sheet'!$N$35)</f>
        <v/>
      </c>
      <c r="P55" s="70">
        <f>IF('Final Calculation Sheet'!$O$35="","",'Final Calculation Sheet'!$O$35)</f>
        <v/>
      </c>
      <c r="Q55" s="70">
        <f>IF('Final Calculation Sheet'!$P$35="","",'Final Calculation Sheet'!$P$35)</f>
        <v/>
      </c>
      <c r="R55" s="72">
        <f>IF('Final Calculation Sheet'!$Q$35="","",'Final Calculation Sheet'!$Q$35)</f>
        <v/>
      </c>
      <c r="S55" s="70">
        <f>IF('Final Calculation Sheet'!$R$35="","",'Final Calculation Sheet'!$R$35)</f>
        <v/>
      </c>
      <c r="T55" s="70">
        <f>IF('Final Calculation Sheet'!$S$35="","",'Final Calculation Sheet'!$S$35)</f>
        <v/>
      </c>
      <c r="U55" s="70">
        <f>IF('Final Calculation Sheet'!$T$35="","",'Final Calculation Sheet'!$T$35)</f>
        <v/>
      </c>
      <c r="V55" s="73">
        <f>IF('Final Calculation Sheet'!$U$35="","",'Final Calculation Sheet'!$U$35)</f>
        <v/>
      </c>
      <c r="W55" s="70">
        <f>IF('Final Calculation Sheet'!$V$35="","",'Final Calculation Sheet'!$V$35)</f>
        <v/>
      </c>
      <c r="X55" s="70">
        <f>IF('Final Calculation Sheet'!$W$35="","",'Final Calculation Sheet'!$W$35)</f>
        <v/>
      </c>
      <c r="Y55" s="70">
        <f>IF('Final Calculation Sheet'!$X$35="","",'Final Calculation Sheet'!$X$35)</f>
        <v/>
      </c>
      <c r="Z55" s="70">
        <f>IF('Final Calculation Sheet'!$Y$35="","",'Final Calculation Sheet'!$Y$35)</f>
        <v/>
      </c>
      <c r="AA55" s="70">
        <f>IF('Final Calculation Sheet'!$Z$35="","",'Final Calculation Sheet'!$Z$35)</f>
        <v/>
      </c>
      <c r="AB55" s="70">
        <f>IF('Final Calculation Sheet'!$AA$35="","",'Final Calculation Sheet'!$AA$35)</f>
        <v/>
      </c>
      <c r="AC55" s="70">
        <f>IF('Final Calculation Sheet'!$AB$35="","",'Final Calculation Sheet'!$AB$35)</f>
        <v/>
      </c>
      <c r="AD55" s="70">
        <f>IF('Final Calculation Sheet'!$AC$35="","",'Final Calculation Sheet'!$AC$35)</f>
        <v/>
      </c>
      <c r="AE55" s="70">
        <f>IF('Final Calculation Sheet'!$AD$35="","",'Final Calculation Sheet'!$AD$35)</f>
        <v/>
      </c>
      <c r="AF55" s="75">
        <f>IF('Final Calculation Sheet'!$AD$35="","",IF('Final Calculation Sheet'!$AD$35&lt;=5,"SETTLED","OUTSTANDING"))</f>
        <v/>
      </c>
      <c r="AG55" s="70">
        <f>IF('Final Calculation Sheet'!$AF$35="","",'Final Calculation Sheet'!$AF$35)</f>
        <v/>
      </c>
      <c r="AH55" s="74">
        <f>IF('Final Calculation Sheet'!$AG$35="","",'Final Calculation Sheet'!$AG$35)</f>
        <v/>
      </c>
      <c r="AI55" s="70">
        <f>IF('Final Calculation Sheet'!$AH$35="","",'Final Calculation Sheet'!$AH$35)</f>
        <v/>
      </c>
      <c r="AJ55">
        <f>IF(AND(IF($B$4="",TRUE(),IF($B$4="(blank)",'Final Calculation Sheet'!$F$35="",IF($B$4="(nonblank)",'Final Calculation Sheet'!$F$35&lt;&gt;"",ISNUMBER(SEARCH($B$4,'Final Calculation Sheet'!$F$35))))),IF($C$4="",TRUE(),IF($C$4="(blank)",'Final Calculation Sheet'!$G$35="",IF($C$4="(nonblank)",'Final Calculation Sheet'!$G$35&lt;&gt;"",ISNUMBER(SEARCH($C$4,'Final Calculation Sheet'!$G$35))))),IF($D$4="",TRUE(),IF($D$4="(blank)",'Final Calculation Sheet'!$B$35="",IF($D$4="(nonblank)",'Final Calculation Sheet'!$B$35&lt;&gt;"",ISNUMBER(SEARCH($D$4,'Final Calculation Sheet'!$B$35))))),IF($E$4="",TRUE(),IF($E$4="(blank)",'Final Calculation Sheet'!$D$35="",IF($E$4="(nonblank)",'Final Calculation Sheet'!$D$35&lt;&gt;"",ISNUMBER(SEARCH($E$4,'Final Calculation Sheet'!$D$35))))),IF($F$4="",TRUE(),IF($F$4="(blank)",'Final Calculation Sheet'!$A$35="",IF($F$4="(nonblank)",'Final Calculation Sheet'!$A$35&lt;&gt;"",ISNUMBER(SEARCH($F$4,'Final Calculation Sheet'!$A$35))))),IF($G$4="",TRUE(),IF($G$4="(blank)",'Final Calculation Sheet'!$E$35="",IF($G$4="(nonblank)",'Final Calculation Sheet'!$E$35&lt;&gt;"",ISNUMBER(SEARCH($G$4,'Final Calculation Sheet'!$E$35))))),IF($H$4="",TRUE(),IF($H$4="(blank)",'Final Calculation Sheet'!$C$35="",IF($H$4="(nonblank)",'Final Calculation Sheet'!$C$35&lt;&gt;"",ISNUMBER(SEARCH($H$4,'Final Calculation Sheet'!$C$35))))),IF($I$4="",TRUE(),IF($I$4="(blank)",'Final Calculation Sheet'!$H$35="",IF($I$4="(nonblank)",'Final Calculation Sheet'!$H$35&lt;&gt;"",ISNUMBER(SEARCH($I$4,'Final Calculation Sheet'!$H$35))))),IF($J$4="",TRUE(),IF($J$4="(blank)",'Final Calculation Sheet'!$I$35="",IF($J$4="(nonblank)",'Final Calculation Sheet'!$I$35&lt;&gt;"",ISNUMBER(SEARCH($J$4,'Final Calculation Sheet'!$I$35))))),IF($K$4="",TRUE(),IF($K$4="(blank)",'Final Calculation Sheet'!$J$35="",IF($K$4="(nonblank)",'Final Calculation Sheet'!$J$35&lt;&gt;"",ISNUMBER(SEARCH($K$4,'Final Calculation Sheet'!$J$35))))),IF($L$4="",TRUE(),IF($L$4="(blank)",'Final Calculation Sheet'!$K$35="",IF($L$4="(nonblank)",'Final Calculation Sheet'!$K$35&lt;&gt;"",ISNUMBER(SEARCH($L$4,'Final Calculation Sheet'!$K$35))))),IF($M$4="",TRUE(),IF($M$4="(blank)",'Final Calculation Sheet'!$L$35="",IF($M$4="(nonblank)",'Final Calculation Sheet'!$L$35&lt;&gt;"",ISNUMBER(SEARCH($M$4,'Final Calculation Sheet'!$L$35))))),IF($N$4="",TRUE(),IF($N$4="(blank)",'Final Calculation Sheet'!$M$35="",IF($N$4="(nonblank)",'Final Calculation Sheet'!$M$35&lt;&gt;"",ISNUMBER(SEARCH($N$4,'Final Calculation Sheet'!$M$35))))),IF($O$4="",TRUE(),IF($O$4="(blank)",'Final Calculation Sheet'!$N$35="",IF($O$4="(nonblank)",'Final Calculation Sheet'!$N$35&lt;&gt;"",ISNUMBER(SEARCH($O$4,'Final Calculation Sheet'!$N$35))))),IF($P$4="",TRUE(),IF($P$4="(blank)",'Final Calculation Sheet'!$O$35="",IF($P$4="(nonblank)",'Final Calculation Sheet'!$O$35&lt;&gt;"",ISNUMBER(SEARCH($P$4,'Final Calculation Sheet'!$O$35))))),IF($Q$4="",TRUE(),IF($Q$4="(blank)",'Final Calculation Sheet'!$P$35="",IF($Q$4="(nonblank)",'Final Calculation Sheet'!$P$35&lt;&gt;"",ISNUMBER(SEARCH($Q$4,'Final Calculation Sheet'!$P$35))))),IF($R$4="",TRUE(),IF($R$4="(blank)",'Final Calculation Sheet'!$Q$35="",IF($R$4="(nonblank)",'Final Calculation Sheet'!$Q$35&lt;&gt;"",ISNUMBER(SEARCH($R$4,'Final Calculation Sheet'!$Q$35))))),IF($S$4="",TRUE(),IF($S$4="(blank)",'Final Calculation Sheet'!$R$35="",IF($S$4="(nonblank)",'Final Calculation Sheet'!$R$35&lt;&gt;"",ISNUMBER(SEARCH($S$4,'Final Calculation Sheet'!$R$35))))),IF($T$4="",TRUE(),IF($T$4="(blank)",'Final Calculation Sheet'!$S$35="",IF($T$4="(nonblank)",'Final Calculation Sheet'!$S$35&lt;&gt;"",ISNUMBER(SEARCH($T$4,'Final Calculation Sheet'!$S$35))))),IF($U$4="",TRUE(),IF($U$4="(blank)",'Final Calculation Sheet'!$T$35="",IF($U$4="(nonblank)",'Final Calculation Sheet'!$T$35&lt;&gt;"",ISNUMBER(SEARCH($U$4,'Final Calculation Sheet'!$T$35))))),IF($V$4="",TRUE(),IF($V$4="(blank)",'Final Calculation Sheet'!$U$35="",IF($V$4="(nonblank)",'Final Calculation Sheet'!$U$35&lt;&gt;"",ISNUMBER(SEARCH($V$4,'Final Calculation Sheet'!$U$35))))),IF($W$4="",TRUE(),IF($W$4="(blank)",'Final Calculation Sheet'!$V$35="",IF($W$4="(nonblank)",'Final Calculation Sheet'!$V$35&lt;&gt;"",ISNUMBER(SEARCH($W$4,'Final Calculation Sheet'!$V$35))))),IF($X$4="",TRUE(),IF($X$4="(blank)",'Final Calculation Sheet'!$W$35="",IF($X$4="(nonblank)",'Final Calculation Sheet'!$W$35&lt;&gt;"",ISNUMBER(SEARCH($X$4,'Final Calculation Sheet'!$W$35))))),IF($Y$4="",TRUE(),IF($Y$4="(blank)",'Final Calculation Sheet'!$X$35="",IF($Y$4="(nonblank)",'Final Calculation Sheet'!$X$35&lt;&gt;"",ISNUMBER(SEARCH($Y$4,'Final Calculation Sheet'!$X$35))))),IF($Z$4="",TRUE(),IF($Z$4="(blank)",'Final Calculation Sheet'!$Y$35="",IF($Z$4="(nonblank)",'Final Calculation Sheet'!$Y$35&lt;&gt;"",ISNUMBER(SEARCH($Z$4,'Final Calculation Sheet'!$Y$35))))),IF($AA$4="",TRUE(),IF($AA$4="(blank)",'Final Calculation Sheet'!$Z$35="",IF($AA$4="(nonblank)",'Final Calculation Sheet'!$Z$35&lt;&gt;"",ISNUMBER(SEARCH($AA$4,'Final Calculation Sheet'!$Z$35))))),IF($AB$4="",TRUE(),IF($AB$4="(blank)",'Final Calculation Sheet'!$AA$35="",IF($AB$4="(nonblank)",'Final Calculation Sheet'!$AA$35&lt;&gt;"",ISNUMBER(SEARCH($AB$4,'Final Calculation Sheet'!$AA$35))))),IF($AC$4="",TRUE(),IF($AC$4="(blank)",'Final Calculation Sheet'!$AB$35="",IF($AC$4="(nonblank)",'Final Calculation Sheet'!$AB$35&lt;&gt;"",ISNUMBER(SEARCH($AC$4,'Final Calculation Sheet'!$AB$35))))),IF($AD$4="",TRUE(),IF($AD$4="(blank)",'Final Calculation Sheet'!$AC$35="",IF($AD$4="(nonblank)",'Final Calculation Sheet'!$AC$35&lt;&gt;"",ISNUMBER(SEARCH($AD$4,'Final Calculation Sheet'!$AC$35))))),IF($AE$4="",TRUE(),IF($AE$4="(blank)",'Final Calculation Sheet'!$AD$35="",IF($AE$4="(nonblank)",'Final Calculation Sheet'!$AD$35&lt;&gt;"",ISNUMBER(SEARCH($AE$4,'Final Calculation Sheet'!$AD$35))))),IF($AG$4="",TRUE(),IF($AG$4="(blank)",'Final Calculation Sheet'!$AF$35="",IF($AG$4="(nonblank)",'Final Calculation Sheet'!$AF$35&lt;&gt;"",ISNUMBER(SEARCH($AG$4,'Final Calculation Sheet'!$AF$35))))),IF($AH$4="",TRUE(),IF($AH$4="(blank)",'Final Calculation Sheet'!$AG$35="",IF($AH$4="(nonblank)",'Final Calculation Sheet'!$AG$35&lt;&gt;"",ISNUMBER(SEARCH($AH$4,'Final Calculation Sheet'!$AG$35))))),IF($AI$4="",TRUE(),IF($AI$4="(blank)",'Final Calculation Sheet'!$AH$35="",IF($AI$4="(nonblank)",'Final Calculation Sheet'!$AH$35&lt;&gt;"",ISNUMBER(SEARCH($AI$4,'Final Calculation Sheet'!$AH$35))))),IF($AF$4="",TRUE(),IF($AF$4="(blank)",IF('Final Calculation Sheet'!$AD$35&lt;=5,"SETTLED","OUTSTANDING")="",IF($AF$4="(nonblank)",IF('Final Calculation Sheet'!$AD$35&lt;=5,"SETTLED","OUTSTANDING")&lt;&gt;"",ISNUMBER(SEARCH($AF$4,IF('Final Calculation Sheet'!$AD$35&lt;=5,"SETTLED","OUTSTANDING"))))))),1,0)</f>
      </c>
      <c r="AK55">
        <f>IF(AJ55=1,COUNTIF(AJ$7:AJ55,1),"")</f>
        <v/>
      </c>
    </row>
    <row r="56" ht="15" customHeight="1" s="137">
      <c r="A56" s="81" t="inlineStr">
        <is>
          <t>∑</t>
        </is>
      </c>
      <c r="B56" s="83" t="n"/>
      <c r="C56" s="83">
        <f>ROWS($C$53:$C$55)&amp;" lot(s)"</f>
        <v/>
      </c>
      <c r="D56" s="83" t="inlineStr">
        <is>
          <t>SUBTOTAL — WATAN SCRAP TRADERS</t>
        </is>
      </c>
      <c r="E56" s="83" t="inlineStr">
        <is>
          <t>–</t>
        </is>
      </c>
      <c r="F56" s="83">
        <f>SUM(F53:F55)</f>
        <v/>
      </c>
      <c r="G56" s="83" t="inlineStr">
        <is>
          <t>–</t>
        </is>
      </c>
      <c r="H56" s="84" t="inlineStr">
        <is>
          <t>–</t>
        </is>
      </c>
      <c r="I56" s="84">
        <f>SUM(I53:I55)</f>
        <v/>
      </c>
      <c r="J56" s="84">
        <f>SUM(J53:J55)</f>
        <v/>
      </c>
      <c r="K56" s="84">
        <f>SUM(K53:K55)</f>
        <v/>
      </c>
      <c r="L56" s="84">
        <f>SUM(L53:L55)</f>
        <v/>
      </c>
      <c r="M56" s="84">
        <f>SUM(M53:M55)</f>
        <v/>
      </c>
      <c r="N56" s="84">
        <f>SUM(N53:N55)</f>
        <v/>
      </c>
      <c r="O56" s="85">
        <f>SUM(O53:O55)</f>
        <v/>
      </c>
      <c r="P56" s="84">
        <f>SUM(P53:P55)</f>
        <v/>
      </c>
      <c r="Q56" s="84">
        <f>SUM(Q53:Q55)</f>
        <v/>
      </c>
      <c r="R56" s="86" t="inlineStr">
        <is>
          <t>–</t>
        </is>
      </c>
      <c r="S56" s="84">
        <f>SUM(S53:S55)</f>
        <v/>
      </c>
      <c r="T56" s="84">
        <f>SUM(T53:T55)</f>
        <v/>
      </c>
      <c r="U56" s="84">
        <f>SUM(U53:U55)</f>
        <v/>
      </c>
      <c r="V56" s="87">
        <f>SUM(V53:V55)</f>
        <v/>
      </c>
      <c r="W56" s="84" t="inlineStr">
        <is>
          <t>–</t>
        </is>
      </c>
      <c r="X56" s="84">
        <f>SUM(X53:X55)</f>
        <v/>
      </c>
      <c r="Y56" s="84">
        <f>SUM(Y53:Y55)</f>
        <v/>
      </c>
      <c r="Z56" s="84" t="inlineStr">
        <is>
          <t>–</t>
        </is>
      </c>
      <c r="AA56" s="84">
        <f>SUM(AA53:AA55)</f>
        <v/>
      </c>
      <c r="AB56" s="84">
        <f>SUM(AB53:AB55)</f>
        <v/>
      </c>
      <c r="AC56" s="84" t="inlineStr">
        <is>
          <t>–</t>
        </is>
      </c>
      <c r="AD56" s="84">
        <f>SUM(AD53:AD55)</f>
        <v/>
      </c>
      <c r="AE56" s="84">
        <f>SUM(AE53:AE55)</f>
        <v/>
      </c>
      <c r="AF56" s="89">
        <f>IF(AE56&lt;=5,"SETTLED","OUTSTANDING")</f>
        <v/>
      </c>
      <c r="AG56" s="84" t="inlineStr">
        <is>
          <t>–</t>
        </is>
      </c>
      <c r="AH56" s="88" t="inlineStr">
        <is>
          <t>–</t>
        </is>
      </c>
      <c r="AI56" s="84" t="inlineStr">
        <is>
          <t>–</t>
        </is>
      </c>
    </row>
    <row r="57" ht="15" customHeight="1" s="137">
      <c r="A57" s="101" t="inlineStr">
        <is>
          <t>∑</t>
        </is>
      </c>
      <c r="B57" s="102" t="n"/>
      <c r="C57" s="102">
        <f>COUNTA('Final Calculation Sheet'!$G$4:$G$40)&amp;" lot(s)"</f>
        <v/>
      </c>
      <c r="D57" s="102" t="inlineStr">
        <is>
          <t>TOTAL — every buyer together</t>
        </is>
      </c>
      <c r="E57" s="102" t="inlineStr">
        <is>
          <t>–</t>
        </is>
      </c>
      <c r="F57" s="102">
        <f>SUM(F8,F11,F13,F15,F17,F31,F33,F36,F39,F41,F44,F52,F56)</f>
        <v/>
      </c>
      <c r="G57" s="102" t="inlineStr">
        <is>
          <t>–</t>
        </is>
      </c>
      <c r="H57" s="103" t="inlineStr">
        <is>
          <t>–</t>
        </is>
      </c>
      <c r="I57" s="103">
        <f>SUM(I8,I11,I13,I15,I17,I31,I33,I36,I39,I41,I44,I52,I56)</f>
        <v/>
      </c>
      <c r="J57" s="103">
        <f>SUM(J8,J11,J13,J15,J17,J31,J33,J36,J39,J41,J44,J52,J56)</f>
        <v/>
      </c>
      <c r="K57" s="103">
        <f>SUM(K8,K11,K13,K15,K17,K31,K33,K36,K39,K41,K44,K52,K56)</f>
        <v/>
      </c>
      <c r="L57" s="103">
        <f>SUM(L8,L11,L13,L15,L17,L31,L33,L36,L39,L41,L44,L52,L56)</f>
        <v/>
      </c>
      <c r="M57" s="103">
        <f>SUM(M8,M11,M13,M15,M17,M31,M33,M36,M39,M41,M44,M52,M56)</f>
        <v/>
      </c>
      <c r="N57" s="103">
        <f>SUM(N8,N11,N13,N15,N17,N31,N33,N36,N39,N41,N44,N52,N56)</f>
        <v/>
      </c>
      <c r="O57" s="104">
        <f>SUM(O8,O11,O13,O15,O17,O31,O33,O36,O39,O41,O44,O52,O56)</f>
        <v/>
      </c>
      <c r="P57" s="103">
        <f>SUM(P8,P11,P13,P15,P17,P31,P33,P36,P39,P41,P44,P52,P56)</f>
        <v/>
      </c>
      <c r="Q57" s="103">
        <f>SUM(Q8,Q11,Q13,Q15,Q17,Q31,Q33,Q36,Q39,Q41,Q44,Q52,Q56)</f>
        <v/>
      </c>
      <c r="R57" s="105" t="inlineStr">
        <is>
          <t>–</t>
        </is>
      </c>
      <c r="S57" s="103">
        <f>SUM(S8,S11,S13,S15,S17,S31,S33,S36,S39,S41,S44,S52,S56)</f>
        <v/>
      </c>
      <c r="T57" s="103">
        <f>SUM(T8,T11,T13,T15,T17,T31,T33,T36,T39,T41,T44,T52,T56)</f>
        <v/>
      </c>
      <c r="U57" s="103">
        <f>SUM(U8,U11,U13,U15,U17,U31,U33,U36,U39,U41,U44,U52,U56)</f>
        <v/>
      </c>
      <c r="V57" s="106">
        <f>SUM(V8,V11,V13,V15,V17,V31,V33,V36,V39,V41,V44,V52,V56)</f>
        <v/>
      </c>
      <c r="W57" s="103" t="inlineStr">
        <is>
          <t>–</t>
        </is>
      </c>
      <c r="X57" s="103">
        <f>SUM(X8,X11,X13,X15,X17,X31,X33,X36,X39,X41,X44,X52,X56)</f>
        <v/>
      </c>
      <c r="Y57" s="103">
        <f>SUM(Y8,Y11,Y13,Y15,Y17,Y31,Y33,Y36,Y39,Y41,Y44,Y52,Y56)</f>
        <v/>
      </c>
      <c r="Z57" s="103" t="inlineStr">
        <is>
          <t>–</t>
        </is>
      </c>
      <c r="AA57" s="103">
        <f>SUM(AA8,AA11,AA13,AA15,AA17,AA31,AA33,AA36,AA39,AA41,AA44,AA52,AA56)</f>
        <v/>
      </c>
      <c r="AB57" s="103">
        <f>SUM(AB8,AB11,AB13,AB15,AB17,AB31,AB33,AB36,AB39,AB41,AB44,AB52,AB56)</f>
        <v/>
      </c>
      <c r="AC57" s="103" t="inlineStr">
        <is>
          <t>–</t>
        </is>
      </c>
      <c r="AD57" s="103">
        <f>SUM(AD8,AD11,AD13,AD15,AD17,AD31,AD33,AD36,AD39,AD41,AD44,AD52,AD56)</f>
        <v/>
      </c>
      <c r="AE57" s="103">
        <f>SUM(AE8,AE11,AE13,AE15,AE17,AE31,AE33,AE36,AE39,AE41,AE44,AE52,AE56)</f>
        <v/>
      </c>
      <c r="AF57" s="108">
        <f>IF(AE57&lt;=5,"SETTLED","OUTSTANDING")</f>
        <v/>
      </c>
      <c r="AG57" s="103" t="inlineStr">
        <is>
          <t>–</t>
        </is>
      </c>
      <c r="AH57" s="107" t="inlineStr">
        <is>
          <t>–</t>
        </is>
      </c>
      <c r="AI57" s="103" t="inlineStr">
        <is>
          <t>–</t>
        </is>
      </c>
      <c r="AM57">
        <f>IF(AND(Lists!$O$4&lt;&gt;"",ISNUMBER(SEARCH($B$4,Lists!$O$4))),1,0)</f>
        <v/>
      </c>
      <c r="AN57">
        <f>IF(ROW()-56&gt;MAX($AM$57:$AM$95),"",INDEX(Lists!$O$4:$O$42,MATCH(ROW()-56,$AM$57:$AM$95,0)))</f>
        <v/>
      </c>
      <c r="AO57">
        <f>IF(AND(Lists!$T$4&lt;&gt;"",ISNUMBER(SEARCH($C$4,Lists!$T$4))),1,0)</f>
        <v/>
      </c>
      <c r="AP57">
        <f>IF(ROW()-56&gt;MAX($AO$57:$AO$95),"",INDEX(Lists!$T$4:$T$42,MATCH(ROW()-56,$AO$57:$AO$95,0)))</f>
        <v/>
      </c>
      <c r="AQ57">
        <f>IF(AND(Lists!$Y$4&lt;&gt;"",ISNUMBER(SEARCH($D$4,Lists!$Y$4))),1,0)</f>
        <v/>
      </c>
      <c r="AR57">
        <f>IF(ROW()-56&gt;MAX($AQ$57:$AQ$95),"",INDEX(Lists!$Y$4:$Y$42,MATCH(ROW()-56,$AQ$57:$AQ$95,0)))</f>
        <v/>
      </c>
      <c r="AS57">
        <f>IF(AND(Lists!$AD$4&lt;&gt;"",ISNUMBER(SEARCH($E$4,Lists!$AD$4))),1,0)</f>
        <v/>
      </c>
      <c r="AT57">
        <f>IF(ROW()-56&gt;MAX($AS$57:$AS$95),"",INDEX(Lists!$AD$4:$AD$42,MATCH(ROW()-56,$AS$57:$AS$95,0)))</f>
        <v/>
      </c>
      <c r="AU57">
        <f>IF(AND(Lists!$AI$4&lt;&gt;"",ISNUMBER(SEARCH($F$4,Lists!$AI$4))),1,0)</f>
        <v/>
      </c>
      <c r="AV57">
        <f>IF(ROW()-56&gt;MAX($AU$57:$AU$95),"",INDEX(Lists!$AI$4:$AI$42,MATCH(ROW()-56,$AU$57:$AU$95,0)))</f>
        <v/>
      </c>
      <c r="AW57">
        <f>IF(AND(Lists!$AN$4&lt;&gt;"",ISNUMBER(SEARCH($G$4,Lists!$AN$4))),1,0)</f>
        <v/>
      </c>
      <c r="AX57">
        <f>IF(ROW()-56&gt;MAX($AW$57:$AW$95),"",INDEX(Lists!$AN$4:$AN$42,MATCH(ROW()-56,$AW$57:$AW$95,0)))</f>
        <v/>
      </c>
      <c r="AY57">
        <f>IF(AND(Lists!$AS$4&lt;&gt;"",ISNUMBER(SEARCH($H$4,Lists!$AS$4))),1,0)</f>
        <v/>
      </c>
      <c r="AZ57">
        <f>IF(ROW()-56&gt;MAX($AY$57:$AY$95),"",INDEX(Lists!$AS$4:$AS$42,MATCH(ROW()-56,$AY$57:$AY$95,0)))</f>
        <v/>
      </c>
      <c r="BA57">
        <f>IF(AND(Lists!$AX$4&lt;&gt;"",ISNUMBER(SEARCH($I$4,Lists!$AX$4))),1,0)</f>
        <v/>
      </c>
      <c r="BB57">
        <f>IF(ROW()-56&gt;MAX($BA$57:$BA$95),"",INDEX(Lists!$AX$4:$AX$42,MATCH(ROW()-56,$BA$57:$BA$95,0)))</f>
        <v/>
      </c>
      <c r="BC57">
        <f>IF(AND(Lists!$BC$4&lt;&gt;"",ISNUMBER(SEARCH($J$4,Lists!$BC$4))),1,0)</f>
        <v/>
      </c>
      <c r="BD57">
        <f>IF(ROW()-56&gt;MAX($BC$57:$BC$95),"",INDEX(Lists!$BC$4:$BC$42,MATCH(ROW()-56,$BC$57:$BC$95,0)))</f>
        <v/>
      </c>
      <c r="BE57">
        <f>IF(AND(Lists!$BH$4&lt;&gt;"",ISNUMBER(SEARCH($K$4,Lists!$BH$4))),1,0)</f>
        <v/>
      </c>
      <c r="BF57">
        <f>IF(ROW()-56&gt;MAX($BE$57:$BE$95),"",INDEX(Lists!$BH$4:$BH$42,MATCH(ROW()-56,$BE$57:$BE$95,0)))</f>
        <v/>
      </c>
      <c r="BG57">
        <f>IF(AND(Lists!$BM$4&lt;&gt;"",ISNUMBER(SEARCH($L$4,Lists!$BM$4))),1,0)</f>
        <v/>
      </c>
      <c r="BH57">
        <f>IF(ROW()-56&gt;MAX($BG$57:$BG$95),"",INDEX(Lists!$BM$4:$BM$42,MATCH(ROW()-56,$BG$57:$BG$95,0)))</f>
        <v/>
      </c>
      <c r="BI57">
        <f>IF(AND(Lists!$BR$4&lt;&gt;"",ISNUMBER(SEARCH($M$4,Lists!$BR$4))),1,0)</f>
        <v/>
      </c>
      <c r="BJ57">
        <f>IF(ROW()-56&gt;MAX($BI$57:$BI$95),"",INDEX(Lists!$BR$4:$BR$42,MATCH(ROW()-56,$BI$57:$BI$95,0)))</f>
        <v/>
      </c>
      <c r="BK57">
        <f>IF(AND(Lists!$BW$4&lt;&gt;"",ISNUMBER(SEARCH($N$4,Lists!$BW$4))),1,0)</f>
        <v/>
      </c>
      <c r="BL57">
        <f>IF(ROW()-56&gt;MAX($BK$57:$BK$95),"",INDEX(Lists!$BW$4:$BW$42,MATCH(ROW()-56,$BK$57:$BK$95,0)))</f>
        <v/>
      </c>
      <c r="BM57">
        <f>IF(AND(Lists!$CB$4&lt;&gt;"",ISNUMBER(SEARCH($O$4,Lists!$CB$4))),1,0)</f>
        <v/>
      </c>
      <c r="BN57">
        <f>IF(ROW()-56&gt;MAX($BM$57:$BM$95),"",INDEX(Lists!$CB$4:$CB$42,MATCH(ROW()-56,$BM$57:$BM$95,0)))</f>
        <v/>
      </c>
      <c r="BO57">
        <f>IF(AND(Lists!$CG$4&lt;&gt;"",ISNUMBER(SEARCH($P$4,Lists!$CG$4))),1,0)</f>
        <v/>
      </c>
      <c r="BP57">
        <f>IF(ROW()-56&gt;MAX($BO$57:$BO$95),"",INDEX(Lists!$CG$4:$CG$42,MATCH(ROW()-56,$BO$57:$BO$95,0)))</f>
        <v/>
      </c>
      <c r="BQ57">
        <f>IF(AND(Lists!$CL$4&lt;&gt;"",ISNUMBER(SEARCH($Q$4,Lists!$CL$4))),1,0)</f>
        <v/>
      </c>
      <c r="BR57">
        <f>IF(ROW()-56&gt;MAX($BQ$57:$BQ$95),"",INDEX(Lists!$CL$4:$CL$42,MATCH(ROW()-56,$BQ$57:$BQ$95,0)))</f>
        <v/>
      </c>
      <c r="BS57">
        <f>IF(AND(Lists!$CQ$4&lt;&gt;"",ISNUMBER(SEARCH($R$4,Lists!$CQ$4))),1,0)</f>
        <v/>
      </c>
      <c r="BT57">
        <f>IF(ROW()-56&gt;MAX($BS$57:$BS$95),"",INDEX(Lists!$CQ$4:$CQ$42,MATCH(ROW()-56,$BS$57:$BS$95,0)))</f>
        <v/>
      </c>
      <c r="BU57">
        <f>IF(AND(Lists!$CV$4&lt;&gt;"",ISNUMBER(SEARCH($S$4,Lists!$CV$4))),1,0)</f>
        <v/>
      </c>
      <c r="BV57">
        <f>IF(ROW()-56&gt;MAX($BU$57:$BU$95),"",INDEX(Lists!$CV$4:$CV$42,MATCH(ROW()-56,$BU$57:$BU$95,0)))</f>
        <v/>
      </c>
      <c r="BW57">
        <f>IF(AND(Lists!$DA$4&lt;&gt;"",ISNUMBER(SEARCH($T$4,Lists!$DA$4))),1,0)</f>
        <v/>
      </c>
      <c r="BX57">
        <f>IF(ROW()-56&gt;MAX($BW$57:$BW$95),"",INDEX(Lists!$DA$4:$DA$42,MATCH(ROW()-56,$BW$57:$BW$95,0)))</f>
        <v/>
      </c>
      <c r="BY57">
        <f>IF(AND(Lists!$DF$4&lt;&gt;"",ISNUMBER(SEARCH($U$4,Lists!$DF$4))),1,0)</f>
        <v/>
      </c>
      <c r="BZ57">
        <f>IF(ROW()-56&gt;MAX($BY$57:$BY$95),"",INDEX(Lists!$DF$4:$DF$42,MATCH(ROW()-56,$BY$57:$BY$95,0)))</f>
        <v/>
      </c>
      <c r="CA57">
        <f>IF(AND(Lists!$DK$4&lt;&gt;"",ISNUMBER(SEARCH($V$4,Lists!$DK$4))),1,0)</f>
        <v/>
      </c>
      <c r="CB57">
        <f>IF(ROW()-56&gt;MAX($CA$57:$CA$95),"",INDEX(Lists!$DK$4:$DK$42,MATCH(ROW()-56,$CA$57:$CA$95,0)))</f>
        <v/>
      </c>
      <c r="CC57">
        <f>IF(AND(Lists!$DP$4&lt;&gt;"",ISNUMBER(SEARCH($W$4,Lists!$DP$4))),1,0)</f>
        <v/>
      </c>
      <c r="CD57">
        <f>IF(ROW()-56&gt;MAX($CC$57:$CC$95),"",INDEX(Lists!$DP$4:$DP$42,MATCH(ROW()-56,$CC$57:$CC$95,0)))</f>
        <v/>
      </c>
      <c r="CE57">
        <f>IF(AND(Lists!$DU$4&lt;&gt;"",ISNUMBER(SEARCH($X$4,Lists!$DU$4))),1,0)</f>
        <v/>
      </c>
      <c r="CF57">
        <f>IF(ROW()-56&gt;MAX($CE$57:$CE$95),"",INDEX(Lists!$DU$4:$DU$42,MATCH(ROW()-56,$CE$57:$CE$95,0)))</f>
        <v/>
      </c>
      <c r="CG57">
        <f>IF(AND(Lists!$DZ$4&lt;&gt;"",ISNUMBER(SEARCH($Y$4,Lists!$DZ$4))),1,0)</f>
        <v/>
      </c>
      <c r="CH57">
        <f>IF(ROW()-56&gt;MAX($CG$57:$CG$95),"",INDEX(Lists!$DZ$4:$DZ$42,MATCH(ROW()-56,$CG$57:$CG$95,0)))</f>
        <v/>
      </c>
      <c r="CI57">
        <f>IF(AND(Lists!$EE$4&lt;&gt;"",ISNUMBER(SEARCH($Z$4,Lists!$EE$4))),1,0)</f>
        <v/>
      </c>
      <c r="CJ57">
        <f>IF(ROW()-56&gt;MAX($CI$57:$CI$95),"",INDEX(Lists!$EE$4:$EE$42,MATCH(ROW()-56,$CI$57:$CI$95,0)))</f>
        <v/>
      </c>
      <c r="CK57">
        <f>IF(AND(Lists!$EJ$4&lt;&gt;"",ISNUMBER(SEARCH($AA$4,Lists!$EJ$4))),1,0)</f>
        <v/>
      </c>
      <c r="CL57">
        <f>IF(ROW()-56&gt;MAX($CK$57:$CK$95),"",INDEX(Lists!$EJ$4:$EJ$42,MATCH(ROW()-56,$CK$57:$CK$95,0)))</f>
        <v/>
      </c>
      <c r="CM57">
        <f>IF(AND(Lists!$EO$4&lt;&gt;"",ISNUMBER(SEARCH($AB$4,Lists!$EO$4))),1,0)</f>
        <v/>
      </c>
      <c r="CN57">
        <f>IF(ROW()-56&gt;MAX($CM$57:$CM$95),"",INDEX(Lists!$EO$4:$EO$42,MATCH(ROW()-56,$CM$57:$CM$95,0)))</f>
        <v/>
      </c>
      <c r="CO57">
        <f>IF(AND(Lists!$ET$4&lt;&gt;"",ISNUMBER(SEARCH($AC$4,Lists!$ET$4))),1,0)</f>
        <v/>
      </c>
      <c r="CP57">
        <f>IF(ROW()-56&gt;MAX($CO$57:$CO$95),"",INDEX(Lists!$ET$4:$ET$42,MATCH(ROW()-56,$CO$57:$CO$95,0)))</f>
        <v/>
      </c>
      <c r="CQ57">
        <f>IF(AND(Lists!$EY$4&lt;&gt;"",ISNUMBER(SEARCH($AD$4,Lists!$EY$4))),1,0)</f>
        <v/>
      </c>
      <c r="CR57">
        <f>IF(ROW()-56&gt;MAX($CQ$57:$CQ$95),"",INDEX(Lists!$EY$4:$EY$42,MATCH(ROW()-56,$CQ$57:$CQ$95,0)))</f>
        <v/>
      </c>
      <c r="CS57">
        <f>IF(AND(Lists!$FD$4&lt;&gt;"",ISNUMBER(SEARCH($AE$4,Lists!$FD$4))),1,0)</f>
        <v/>
      </c>
      <c r="CT57">
        <f>IF(ROW()-56&gt;MAX($CS$57:$CS$95),"",INDEX(Lists!$FD$4:$FD$42,MATCH(ROW()-56,$CS$57:$CS$95,0)))</f>
        <v/>
      </c>
      <c r="CU57">
        <f>IF(AND(Lists!$FI$4&lt;&gt;"",ISNUMBER(SEARCH($AG$4,Lists!$FI$4))),1,0)</f>
        <v/>
      </c>
      <c r="CV57">
        <f>IF(ROW()-56&gt;MAX($CU$57:$CU$95),"",INDEX(Lists!$FI$4:$FI$42,MATCH(ROW()-56,$CU$57:$CU$95,0)))</f>
        <v/>
      </c>
      <c r="CW57">
        <f>IF(AND(Lists!$FN$4&lt;&gt;"",ISNUMBER(SEARCH($AH$4,Lists!$FN$4))),1,0)</f>
        <v/>
      </c>
      <c r="CX57">
        <f>IF(ROW()-56&gt;MAX($CW$57:$CW$95),"",INDEX(Lists!$FN$4:$FN$42,MATCH(ROW()-56,$CW$57:$CW$95,0)))</f>
        <v/>
      </c>
      <c r="CY57">
        <f>IF(AND(Lists!$FS$4&lt;&gt;"",ISNUMBER(SEARCH($AI$4,Lists!$FS$4))),1,0)</f>
        <v/>
      </c>
      <c r="CZ57">
        <f>IF(ROW()-56&gt;MAX($CY$57:$CY$95),"",INDEX(Lists!$FS$4:$FS$42,MATCH(ROW()-56,$CY$57:$CY$95,0)))</f>
        <v/>
      </c>
      <c r="DA57">
        <f>IF(AND(Lists!$FX$4&lt;&gt;"",ISNUMBER(SEARCH($AF$4,Lists!$FX$4))),1,0)</f>
        <v/>
      </c>
      <c r="DB57">
        <f>IF(ROW()-56&gt;MAX($DA$57:$DA$95),"",INDEX(Lists!$FX$4:$FX$42,MATCH(ROW()-56,$DA$57:$DA$95,0)))</f>
        <v/>
      </c>
    </row>
    <row r="58" ht="15" customHeight="1" s="137">
      <c r="A58" s="109" t="inlineStr">
        <is>
          <t>∑</t>
        </is>
      </c>
      <c r="B58" s="110" t="n"/>
      <c r="C58" s="110">
        <f>COUNTA('Final Calculation Sheet'!$G$4:$G$40)&amp;" lot(s)"</f>
        <v/>
      </c>
      <c r="D58" s="110" t="inlineStr">
        <is>
          <t>GRAND TOTAL — cross-checked to source</t>
        </is>
      </c>
      <c r="E58" s="110" t="inlineStr">
        <is>
          <t>–</t>
        </is>
      </c>
      <c r="F58" s="110">
        <f>SUM('Final Calculation Sheet'!$A$4:$A$40)</f>
        <v/>
      </c>
      <c r="G58" s="110" t="inlineStr">
        <is>
          <t>–</t>
        </is>
      </c>
      <c r="H58" s="111" t="inlineStr">
        <is>
          <t>–</t>
        </is>
      </c>
      <c r="I58" s="111">
        <f>SUM('Final Calculation Sheet'!$H$4:$H$40)</f>
        <v/>
      </c>
      <c r="J58" s="111">
        <f>SUM('Final Calculation Sheet'!$I$4:$I$40)</f>
        <v/>
      </c>
      <c r="K58" s="111">
        <f>SUM('Final Calculation Sheet'!$J$4:$J$40)</f>
        <v/>
      </c>
      <c r="L58" s="111">
        <f>SUM('Final Calculation Sheet'!$K$4:$K$40)</f>
        <v/>
      </c>
      <c r="M58" s="111">
        <f>SUM('Final Calculation Sheet'!$L$4:$L$40)</f>
        <v/>
      </c>
      <c r="N58" s="111">
        <f>SUM('Final Calculation Sheet'!$M$4:$M$40)</f>
        <v/>
      </c>
      <c r="O58" s="112">
        <f>SUM('Final Calculation Sheet'!$N$4:$N$40)</f>
        <v/>
      </c>
      <c r="P58" s="111">
        <f>SUM('Final Calculation Sheet'!$O$4:$O$40)</f>
        <v/>
      </c>
      <c r="Q58" s="111">
        <f>SUM('Final Calculation Sheet'!$P$4:$P$40)</f>
        <v/>
      </c>
      <c r="R58" s="113" t="inlineStr">
        <is>
          <t>–</t>
        </is>
      </c>
      <c r="S58" s="111">
        <f>SUM('Final Calculation Sheet'!$R$4:$R$40)</f>
        <v/>
      </c>
      <c r="T58" s="111">
        <f>SUM('Final Calculation Sheet'!$S$4:$S$40)</f>
        <v/>
      </c>
      <c r="U58" s="111">
        <f>SUM('Final Calculation Sheet'!$T$4:$T$40)</f>
        <v/>
      </c>
      <c r="V58" s="114">
        <f>SUM('Final Calculation Sheet'!$U$4:$U$40)</f>
        <v/>
      </c>
      <c r="W58" s="111" t="inlineStr">
        <is>
          <t>–</t>
        </is>
      </c>
      <c r="X58" s="111">
        <f>SUM('Final Calculation Sheet'!$W$4:$W$40)</f>
        <v/>
      </c>
      <c r="Y58" s="111">
        <f>SUM('Final Calculation Sheet'!$X$4:$X$40)</f>
        <v/>
      </c>
      <c r="Z58" s="111" t="inlineStr">
        <is>
          <t>–</t>
        </is>
      </c>
      <c r="AA58" s="111">
        <f>SUM('Final Calculation Sheet'!$Z$4:$Z$40)</f>
        <v/>
      </c>
      <c r="AB58" s="111">
        <f>SUM('Final Calculation Sheet'!$AA$4:$AA$40)</f>
        <v/>
      </c>
      <c r="AC58" s="111" t="inlineStr">
        <is>
          <t>–</t>
        </is>
      </c>
      <c r="AD58" s="111">
        <f>SUM('Final Calculation Sheet'!$AC$4:$AC$40)</f>
        <v/>
      </c>
      <c r="AE58" s="111">
        <f>SUM('Final Calculation Sheet'!$AD$4:$AD$40)</f>
        <v/>
      </c>
      <c r="AF58" s="116">
        <f>IF(AE58&lt;=5,"SETTLED","OUTSTANDING")</f>
        <v/>
      </c>
      <c r="AG58" s="111" t="inlineStr">
        <is>
          <t>–</t>
        </is>
      </c>
      <c r="AH58" s="115" t="inlineStr">
        <is>
          <t>–</t>
        </is>
      </c>
      <c r="AI58" s="111" t="inlineStr">
        <is>
          <t>–</t>
        </is>
      </c>
      <c r="AM58">
        <f>AM57+IF(AND(Lists!$O$5&lt;&gt;"",ISNUMBER(SEARCH($B$4,Lists!$O$5))),1,0)</f>
        <v/>
      </c>
      <c r="AN58">
        <f>IF(ROW()-56&gt;MAX($AM$57:$AM$95),"",INDEX(Lists!$O$4:$O$42,MATCH(ROW()-56,$AM$57:$AM$95,0)))</f>
        <v/>
      </c>
      <c r="AO58">
        <f>AO57+IF(AND(Lists!$T$5&lt;&gt;"",ISNUMBER(SEARCH($C$4,Lists!$T$5))),1,0)</f>
        <v/>
      </c>
      <c r="AP58">
        <f>IF(ROW()-56&gt;MAX($AO$57:$AO$95),"",INDEX(Lists!$T$4:$T$42,MATCH(ROW()-56,$AO$57:$AO$95,0)))</f>
        <v/>
      </c>
      <c r="AQ58">
        <f>AQ57+IF(AND(Lists!$Y$5&lt;&gt;"",ISNUMBER(SEARCH($D$4,Lists!$Y$5))),1,0)</f>
        <v/>
      </c>
      <c r="AR58">
        <f>IF(ROW()-56&gt;MAX($AQ$57:$AQ$95),"",INDEX(Lists!$Y$4:$Y$42,MATCH(ROW()-56,$AQ$57:$AQ$95,0)))</f>
        <v/>
      </c>
      <c r="AS58">
        <f>AS57+IF(AND(Lists!$AD$5&lt;&gt;"",ISNUMBER(SEARCH($E$4,Lists!$AD$5))),1,0)</f>
        <v/>
      </c>
      <c r="AT58">
        <f>IF(ROW()-56&gt;MAX($AS$57:$AS$95),"",INDEX(Lists!$AD$4:$AD$42,MATCH(ROW()-56,$AS$57:$AS$95,0)))</f>
        <v/>
      </c>
      <c r="AU58">
        <f>AU57+IF(AND(Lists!$AI$5&lt;&gt;"",ISNUMBER(SEARCH($F$4,Lists!$AI$5))),1,0)</f>
        <v/>
      </c>
      <c r="AV58">
        <f>IF(ROW()-56&gt;MAX($AU$57:$AU$95),"",INDEX(Lists!$AI$4:$AI$42,MATCH(ROW()-56,$AU$57:$AU$95,0)))</f>
        <v/>
      </c>
      <c r="AW58">
        <f>AW57+IF(AND(Lists!$AN$5&lt;&gt;"",ISNUMBER(SEARCH($G$4,Lists!$AN$5))),1,0)</f>
        <v/>
      </c>
      <c r="AX58">
        <f>IF(ROW()-56&gt;MAX($AW$57:$AW$95),"",INDEX(Lists!$AN$4:$AN$42,MATCH(ROW()-56,$AW$57:$AW$95,0)))</f>
        <v/>
      </c>
      <c r="AY58">
        <f>AY57+IF(AND(Lists!$AS$5&lt;&gt;"",ISNUMBER(SEARCH($H$4,Lists!$AS$5))),1,0)</f>
        <v/>
      </c>
      <c r="AZ58">
        <f>IF(ROW()-56&gt;MAX($AY$57:$AY$95),"",INDEX(Lists!$AS$4:$AS$42,MATCH(ROW()-56,$AY$57:$AY$95,0)))</f>
        <v/>
      </c>
      <c r="BA58">
        <f>BA57+IF(AND(Lists!$AX$5&lt;&gt;"",ISNUMBER(SEARCH($I$4,Lists!$AX$5))),1,0)</f>
        <v/>
      </c>
      <c r="BB58">
        <f>IF(ROW()-56&gt;MAX($BA$57:$BA$95),"",INDEX(Lists!$AX$4:$AX$42,MATCH(ROW()-56,$BA$57:$BA$95,0)))</f>
        <v/>
      </c>
      <c r="BC58">
        <f>BC57+IF(AND(Lists!$BC$5&lt;&gt;"",ISNUMBER(SEARCH($J$4,Lists!$BC$5))),1,0)</f>
        <v/>
      </c>
      <c r="BD58">
        <f>IF(ROW()-56&gt;MAX($BC$57:$BC$95),"",INDEX(Lists!$BC$4:$BC$42,MATCH(ROW()-56,$BC$57:$BC$95,0)))</f>
        <v/>
      </c>
      <c r="BE58">
        <f>BE57+IF(AND(Lists!$BH$5&lt;&gt;"",ISNUMBER(SEARCH($K$4,Lists!$BH$5))),1,0)</f>
        <v/>
      </c>
      <c r="BF58">
        <f>IF(ROW()-56&gt;MAX($BE$57:$BE$95),"",INDEX(Lists!$BH$4:$BH$42,MATCH(ROW()-56,$BE$57:$BE$95,0)))</f>
        <v/>
      </c>
      <c r="BG58">
        <f>BG57+IF(AND(Lists!$BM$5&lt;&gt;"",ISNUMBER(SEARCH($L$4,Lists!$BM$5))),1,0)</f>
        <v/>
      </c>
      <c r="BH58">
        <f>IF(ROW()-56&gt;MAX($BG$57:$BG$95),"",INDEX(Lists!$BM$4:$BM$42,MATCH(ROW()-56,$BG$57:$BG$95,0)))</f>
        <v/>
      </c>
      <c r="BI58">
        <f>BI57+IF(AND(Lists!$BR$5&lt;&gt;"",ISNUMBER(SEARCH($M$4,Lists!$BR$5))),1,0)</f>
        <v/>
      </c>
      <c r="BJ58">
        <f>IF(ROW()-56&gt;MAX($BI$57:$BI$95),"",INDEX(Lists!$BR$4:$BR$42,MATCH(ROW()-56,$BI$57:$BI$95,0)))</f>
        <v/>
      </c>
      <c r="BK58">
        <f>BK57+IF(AND(Lists!$BW$5&lt;&gt;"",ISNUMBER(SEARCH($N$4,Lists!$BW$5))),1,0)</f>
        <v/>
      </c>
      <c r="BL58">
        <f>IF(ROW()-56&gt;MAX($BK$57:$BK$95),"",INDEX(Lists!$BW$4:$BW$42,MATCH(ROW()-56,$BK$57:$BK$95,0)))</f>
        <v/>
      </c>
      <c r="BM58">
        <f>BM57+IF(AND(Lists!$CB$5&lt;&gt;"",ISNUMBER(SEARCH($O$4,Lists!$CB$5))),1,0)</f>
        <v/>
      </c>
      <c r="BN58">
        <f>IF(ROW()-56&gt;MAX($BM$57:$BM$95),"",INDEX(Lists!$CB$4:$CB$42,MATCH(ROW()-56,$BM$57:$BM$95,0)))</f>
        <v/>
      </c>
      <c r="BO58">
        <f>BO57+IF(AND(Lists!$CG$5&lt;&gt;"",ISNUMBER(SEARCH($P$4,Lists!$CG$5))),1,0)</f>
        <v/>
      </c>
      <c r="BP58">
        <f>IF(ROW()-56&gt;MAX($BO$57:$BO$95),"",INDEX(Lists!$CG$4:$CG$42,MATCH(ROW()-56,$BO$57:$BO$95,0)))</f>
        <v/>
      </c>
      <c r="BQ58">
        <f>BQ57+IF(AND(Lists!$CL$5&lt;&gt;"",ISNUMBER(SEARCH($Q$4,Lists!$CL$5))),1,0)</f>
        <v/>
      </c>
      <c r="BR58">
        <f>IF(ROW()-56&gt;MAX($BQ$57:$BQ$95),"",INDEX(Lists!$CL$4:$CL$42,MATCH(ROW()-56,$BQ$57:$BQ$95,0)))</f>
        <v/>
      </c>
      <c r="BS58">
        <f>BS57+IF(AND(Lists!$CQ$5&lt;&gt;"",ISNUMBER(SEARCH($R$4,Lists!$CQ$5))),1,0)</f>
        <v/>
      </c>
      <c r="BT58">
        <f>IF(ROW()-56&gt;MAX($BS$57:$BS$95),"",INDEX(Lists!$CQ$4:$CQ$42,MATCH(ROW()-56,$BS$57:$BS$95,0)))</f>
        <v/>
      </c>
      <c r="BU58">
        <f>BU57+IF(AND(Lists!$CV$5&lt;&gt;"",ISNUMBER(SEARCH($S$4,Lists!$CV$5))),1,0)</f>
        <v/>
      </c>
      <c r="BV58">
        <f>IF(ROW()-56&gt;MAX($BU$57:$BU$95),"",INDEX(Lists!$CV$4:$CV$42,MATCH(ROW()-56,$BU$57:$BU$95,0)))</f>
        <v/>
      </c>
      <c r="BW58">
        <f>BW57+IF(AND(Lists!$DA$5&lt;&gt;"",ISNUMBER(SEARCH($T$4,Lists!$DA$5))),1,0)</f>
        <v/>
      </c>
      <c r="BX58">
        <f>IF(ROW()-56&gt;MAX($BW$57:$BW$95),"",INDEX(Lists!$DA$4:$DA$42,MATCH(ROW()-56,$BW$57:$BW$95,0)))</f>
        <v/>
      </c>
      <c r="BY58">
        <f>BY57+IF(AND(Lists!$DF$5&lt;&gt;"",ISNUMBER(SEARCH($U$4,Lists!$DF$5))),1,0)</f>
        <v/>
      </c>
      <c r="BZ58">
        <f>IF(ROW()-56&gt;MAX($BY$57:$BY$95),"",INDEX(Lists!$DF$4:$DF$42,MATCH(ROW()-56,$BY$57:$BY$95,0)))</f>
        <v/>
      </c>
      <c r="CA58">
        <f>CA57+IF(AND(Lists!$DK$5&lt;&gt;"",ISNUMBER(SEARCH($V$4,Lists!$DK$5))),1,0)</f>
        <v/>
      </c>
      <c r="CB58">
        <f>IF(ROW()-56&gt;MAX($CA$57:$CA$95),"",INDEX(Lists!$DK$4:$DK$42,MATCH(ROW()-56,$CA$57:$CA$95,0)))</f>
        <v/>
      </c>
      <c r="CC58">
        <f>CC57+IF(AND(Lists!$DP$5&lt;&gt;"",ISNUMBER(SEARCH($W$4,Lists!$DP$5))),1,0)</f>
        <v/>
      </c>
      <c r="CD58">
        <f>IF(ROW()-56&gt;MAX($CC$57:$CC$95),"",INDEX(Lists!$DP$4:$DP$42,MATCH(ROW()-56,$CC$57:$CC$95,0)))</f>
        <v/>
      </c>
      <c r="CE58">
        <f>CE57+IF(AND(Lists!$DU$5&lt;&gt;"",ISNUMBER(SEARCH($X$4,Lists!$DU$5))),1,0)</f>
        <v/>
      </c>
      <c r="CF58">
        <f>IF(ROW()-56&gt;MAX($CE$57:$CE$95),"",INDEX(Lists!$DU$4:$DU$42,MATCH(ROW()-56,$CE$57:$CE$95,0)))</f>
        <v/>
      </c>
      <c r="CG58">
        <f>CG57+IF(AND(Lists!$DZ$5&lt;&gt;"",ISNUMBER(SEARCH($Y$4,Lists!$DZ$5))),1,0)</f>
        <v/>
      </c>
      <c r="CH58">
        <f>IF(ROW()-56&gt;MAX($CG$57:$CG$95),"",INDEX(Lists!$DZ$4:$DZ$42,MATCH(ROW()-56,$CG$57:$CG$95,0)))</f>
        <v/>
      </c>
      <c r="CI58">
        <f>CI57+IF(AND(Lists!$EE$5&lt;&gt;"",ISNUMBER(SEARCH($Z$4,Lists!$EE$5))),1,0)</f>
        <v/>
      </c>
      <c r="CJ58">
        <f>IF(ROW()-56&gt;MAX($CI$57:$CI$95),"",INDEX(Lists!$EE$4:$EE$42,MATCH(ROW()-56,$CI$57:$CI$95,0)))</f>
        <v/>
      </c>
      <c r="CK58">
        <f>CK57+IF(AND(Lists!$EJ$5&lt;&gt;"",ISNUMBER(SEARCH($AA$4,Lists!$EJ$5))),1,0)</f>
        <v/>
      </c>
      <c r="CL58">
        <f>IF(ROW()-56&gt;MAX($CK$57:$CK$95),"",INDEX(Lists!$EJ$4:$EJ$42,MATCH(ROW()-56,$CK$57:$CK$95,0)))</f>
        <v/>
      </c>
      <c r="CM58">
        <f>CM57+IF(AND(Lists!$EO$5&lt;&gt;"",ISNUMBER(SEARCH($AB$4,Lists!$EO$5))),1,0)</f>
        <v/>
      </c>
      <c r="CN58">
        <f>IF(ROW()-56&gt;MAX($CM$57:$CM$95),"",INDEX(Lists!$EO$4:$EO$42,MATCH(ROW()-56,$CM$57:$CM$95,0)))</f>
        <v/>
      </c>
      <c r="CO58">
        <f>CO57+IF(AND(Lists!$ET$5&lt;&gt;"",ISNUMBER(SEARCH($AC$4,Lists!$ET$5))),1,0)</f>
        <v/>
      </c>
      <c r="CP58">
        <f>IF(ROW()-56&gt;MAX($CO$57:$CO$95),"",INDEX(Lists!$ET$4:$ET$42,MATCH(ROW()-56,$CO$57:$CO$95,0)))</f>
        <v/>
      </c>
      <c r="CQ58">
        <f>CQ57+IF(AND(Lists!$EY$5&lt;&gt;"",ISNUMBER(SEARCH($AD$4,Lists!$EY$5))),1,0)</f>
        <v/>
      </c>
      <c r="CR58">
        <f>IF(ROW()-56&gt;MAX($CQ$57:$CQ$95),"",INDEX(Lists!$EY$4:$EY$42,MATCH(ROW()-56,$CQ$57:$CQ$95,0)))</f>
        <v/>
      </c>
      <c r="CS58">
        <f>CS57+IF(AND(Lists!$FD$5&lt;&gt;"",ISNUMBER(SEARCH($AE$4,Lists!$FD$5))),1,0)</f>
        <v/>
      </c>
      <c r="CT58">
        <f>IF(ROW()-56&gt;MAX($CS$57:$CS$95),"",INDEX(Lists!$FD$4:$FD$42,MATCH(ROW()-56,$CS$57:$CS$95,0)))</f>
        <v/>
      </c>
      <c r="CU58">
        <f>CU57+IF(AND(Lists!$FI$5&lt;&gt;"",ISNUMBER(SEARCH($AG$4,Lists!$FI$5))),1,0)</f>
        <v/>
      </c>
      <c r="CV58">
        <f>IF(ROW()-56&gt;MAX($CU$57:$CU$95),"",INDEX(Lists!$FI$4:$FI$42,MATCH(ROW()-56,$CU$57:$CU$95,0)))</f>
        <v/>
      </c>
      <c r="CW58">
        <f>CW57+IF(AND(Lists!$FN$5&lt;&gt;"",ISNUMBER(SEARCH($AH$4,Lists!$FN$5))),1,0)</f>
        <v/>
      </c>
      <c r="CX58">
        <f>IF(ROW()-56&gt;MAX($CW$57:$CW$95),"",INDEX(Lists!$FN$4:$FN$42,MATCH(ROW()-56,$CW$57:$CW$95,0)))</f>
        <v/>
      </c>
      <c r="CY58">
        <f>CY57+IF(AND(Lists!$FS$5&lt;&gt;"",ISNUMBER(SEARCH($AI$4,Lists!$FS$5))),1,0)</f>
        <v/>
      </c>
      <c r="CZ58">
        <f>IF(ROW()-56&gt;MAX($CY$57:$CY$95),"",INDEX(Lists!$FS$4:$FS$42,MATCH(ROW()-56,$CY$57:$CY$95,0)))</f>
        <v/>
      </c>
      <c r="DA58">
        <f>DA57+IF(AND(Lists!$FX$5&lt;&gt;"",ISNUMBER(SEARCH($AF$4,Lists!$FX$5))),1,0)</f>
        <v/>
      </c>
      <c r="DB58">
        <f>IF(ROW()-56&gt;MAX($DA$57:$DA$95),"",INDEX(Lists!$FX$4:$FX$42,MATCH(ROW()-56,$DA$57:$DA$95,0)))</f>
        <v/>
      </c>
    </row>
    <row r="59">
      <c r="AM59">
        <f>AM58+IF(AND(Lists!$O$6&lt;&gt;"",ISNUMBER(SEARCH($B$4,Lists!$O$6))),1,0)</f>
        <v/>
      </c>
      <c r="AN59">
        <f>IF(ROW()-56&gt;MAX($AM$57:$AM$95),"",INDEX(Lists!$O$4:$O$42,MATCH(ROW()-56,$AM$57:$AM$95,0)))</f>
        <v/>
      </c>
      <c r="AO59">
        <f>AO58+IF(AND(Lists!$T$6&lt;&gt;"",ISNUMBER(SEARCH($C$4,Lists!$T$6))),1,0)</f>
        <v/>
      </c>
      <c r="AP59">
        <f>IF(ROW()-56&gt;MAX($AO$57:$AO$95),"",INDEX(Lists!$T$4:$T$42,MATCH(ROW()-56,$AO$57:$AO$95,0)))</f>
        <v/>
      </c>
      <c r="AQ59">
        <f>AQ58+IF(AND(Lists!$Y$6&lt;&gt;"",ISNUMBER(SEARCH($D$4,Lists!$Y$6))),1,0)</f>
        <v/>
      </c>
      <c r="AR59">
        <f>IF(ROW()-56&gt;MAX($AQ$57:$AQ$95),"",INDEX(Lists!$Y$4:$Y$42,MATCH(ROW()-56,$AQ$57:$AQ$95,0)))</f>
        <v/>
      </c>
      <c r="AS59">
        <f>AS58+IF(AND(Lists!$AD$6&lt;&gt;"",ISNUMBER(SEARCH($E$4,Lists!$AD$6))),1,0)</f>
        <v/>
      </c>
      <c r="AT59">
        <f>IF(ROW()-56&gt;MAX($AS$57:$AS$95),"",INDEX(Lists!$AD$4:$AD$42,MATCH(ROW()-56,$AS$57:$AS$95,0)))</f>
        <v/>
      </c>
      <c r="AU59">
        <f>AU58+IF(AND(Lists!$AI$6&lt;&gt;"",ISNUMBER(SEARCH($F$4,Lists!$AI$6))),1,0)</f>
        <v/>
      </c>
      <c r="AV59">
        <f>IF(ROW()-56&gt;MAX($AU$57:$AU$95),"",INDEX(Lists!$AI$4:$AI$42,MATCH(ROW()-56,$AU$57:$AU$95,0)))</f>
        <v/>
      </c>
      <c r="AW59">
        <f>AW58+IF(AND(Lists!$AN$6&lt;&gt;"",ISNUMBER(SEARCH($G$4,Lists!$AN$6))),1,0)</f>
        <v/>
      </c>
      <c r="AX59">
        <f>IF(ROW()-56&gt;MAX($AW$57:$AW$95),"",INDEX(Lists!$AN$4:$AN$42,MATCH(ROW()-56,$AW$57:$AW$95,0)))</f>
        <v/>
      </c>
      <c r="AY59">
        <f>AY58+IF(AND(Lists!$AS$6&lt;&gt;"",ISNUMBER(SEARCH($H$4,Lists!$AS$6))),1,0)</f>
        <v/>
      </c>
      <c r="AZ59">
        <f>IF(ROW()-56&gt;MAX($AY$57:$AY$95),"",INDEX(Lists!$AS$4:$AS$42,MATCH(ROW()-56,$AY$57:$AY$95,0)))</f>
        <v/>
      </c>
      <c r="BA59">
        <f>BA58+IF(AND(Lists!$AX$6&lt;&gt;"",ISNUMBER(SEARCH($I$4,Lists!$AX$6))),1,0)</f>
        <v/>
      </c>
      <c r="BB59">
        <f>IF(ROW()-56&gt;MAX($BA$57:$BA$95),"",INDEX(Lists!$AX$4:$AX$42,MATCH(ROW()-56,$BA$57:$BA$95,0)))</f>
        <v/>
      </c>
      <c r="BC59">
        <f>BC58+IF(AND(Lists!$BC$6&lt;&gt;"",ISNUMBER(SEARCH($J$4,Lists!$BC$6))),1,0)</f>
        <v/>
      </c>
      <c r="BD59">
        <f>IF(ROW()-56&gt;MAX($BC$57:$BC$95),"",INDEX(Lists!$BC$4:$BC$42,MATCH(ROW()-56,$BC$57:$BC$95,0)))</f>
        <v/>
      </c>
      <c r="BE59">
        <f>BE58+IF(AND(Lists!$BH$6&lt;&gt;"",ISNUMBER(SEARCH($K$4,Lists!$BH$6))),1,0)</f>
        <v/>
      </c>
      <c r="BF59">
        <f>IF(ROW()-56&gt;MAX($BE$57:$BE$95),"",INDEX(Lists!$BH$4:$BH$42,MATCH(ROW()-56,$BE$57:$BE$95,0)))</f>
        <v/>
      </c>
      <c r="BG59">
        <f>BG58+IF(AND(Lists!$BM$6&lt;&gt;"",ISNUMBER(SEARCH($L$4,Lists!$BM$6))),1,0)</f>
        <v/>
      </c>
      <c r="BH59">
        <f>IF(ROW()-56&gt;MAX($BG$57:$BG$95),"",INDEX(Lists!$BM$4:$BM$42,MATCH(ROW()-56,$BG$57:$BG$95,0)))</f>
        <v/>
      </c>
      <c r="BI59">
        <f>BI58+IF(AND(Lists!$BR$6&lt;&gt;"",ISNUMBER(SEARCH($M$4,Lists!$BR$6))),1,0)</f>
        <v/>
      </c>
      <c r="BJ59">
        <f>IF(ROW()-56&gt;MAX($BI$57:$BI$95),"",INDEX(Lists!$BR$4:$BR$42,MATCH(ROW()-56,$BI$57:$BI$95,0)))</f>
        <v/>
      </c>
      <c r="BK59">
        <f>BK58+IF(AND(Lists!$BW$6&lt;&gt;"",ISNUMBER(SEARCH($N$4,Lists!$BW$6))),1,0)</f>
        <v/>
      </c>
      <c r="BL59">
        <f>IF(ROW()-56&gt;MAX($BK$57:$BK$95),"",INDEX(Lists!$BW$4:$BW$42,MATCH(ROW()-56,$BK$57:$BK$95,0)))</f>
        <v/>
      </c>
      <c r="BM59">
        <f>BM58+IF(AND(Lists!$CB$6&lt;&gt;"",ISNUMBER(SEARCH($O$4,Lists!$CB$6))),1,0)</f>
        <v/>
      </c>
      <c r="BN59">
        <f>IF(ROW()-56&gt;MAX($BM$57:$BM$95),"",INDEX(Lists!$CB$4:$CB$42,MATCH(ROW()-56,$BM$57:$BM$95,0)))</f>
        <v/>
      </c>
      <c r="BO59">
        <f>BO58+IF(AND(Lists!$CG$6&lt;&gt;"",ISNUMBER(SEARCH($P$4,Lists!$CG$6))),1,0)</f>
        <v/>
      </c>
      <c r="BP59">
        <f>IF(ROW()-56&gt;MAX($BO$57:$BO$95),"",INDEX(Lists!$CG$4:$CG$42,MATCH(ROW()-56,$BO$57:$BO$95,0)))</f>
        <v/>
      </c>
      <c r="BQ59">
        <f>BQ58+IF(AND(Lists!$CL$6&lt;&gt;"",ISNUMBER(SEARCH($Q$4,Lists!$CL$6))),1,0)</f>
        <v/>
      </c>
      <c r="BR59">
        <f>IF(ROW()-56&gt;MAX($BQ$57:$BQ$95),"",INDEX(Lists!$CL$4:$CL$42,MATCH(ROW()-56,$BQ$57:$BQ$95,0)))</f>
        <v/>
      </c>
      <c r="BS59">
        <f>BS58+IF(AND(Lists!$CQ$6&lt;&gt;"",ISNUMBER(SEARCH($R$4,Lists!$CQ$6))),1,0)</f>
        <v/>
      </c>
      <c r="BT59">
        <f>IF(ROW()-56&gt;MAX($BS$57:$BS$95),"",INDEX(Lists!$CQ$4:$CQ$42,MATCH(ROW()-56,$BS$57:$BS$95,0)))</f>
        <v/>
      </c>
      <c r="BU59">
        <f>BU58+IF(AND(Lists!$CV$6&lt;&gt;"",ISNUMBER(SEARCH($S$4,Lists!$CV$6))),1,0)</f>
        <v/>
      </c>
      <c r="BV59">
        <f>IF(ROW()-56&gt;MAX($BU$57:$BU$95),"",INDEX(Lists!$CV$4:$CV$42,MATCH(ROW()-56,$BU$57:$BU$95,0)))</f>
        <v/>
      </c>
      <c r="BW59">
        <f>BW58+IF(AND(Lists!$DA$6&lt;&gt;"",ISNUMBER(SEARCH($T$4,Lists!$DA$6))),1,0)</f>
        <v/>
      </c>
      <c r="BX59">
        <f>IF(ROW()-56&gt;MAX($BW$57:$BW$95),"",INDEX(Lists!$DA$4:$DA$42,MATCH(ROW()-56,$BW$57:$BW$95,0)))</f>
        <v/>
      </c>
      <c r="BY59">
        <f>BY58+IF(AND(Lists!$DF$6&lt;&gt;"",ISNUMBER(SEARCH($U$4,Lists!$DF$6))),1,0)</f>
        <v/>
      </c>
      <c r="BZ59">
        <f>IF(ROW()-56&gt;MAX($BY$57:$BY$95),"",INDEX(Lists!$DF$4:$DF$42,MATCH(ROW()-56,$BY$57:$BY$95,0)))</f>
        <v/>
      </c>
      <c r="CA59">
        <f>CA58+IF(AND(Lists!$DK$6&lt;&gt;"",ISNUMBER(SEARCH($V$4,Lists!$DK$6))),1,0)</f>
        <v/>
      </c>
      <c r="CB59">
        <f>IF(ROW()-56&gt;MAX($CA$57:$CA$95),"",INDEX(Lists!$DK$4:$DK$42,MATCH(ROW()-56,$CA$57:$CA$95,0)))</f>
        <v/>
      </c>
      <c r="CC59">
        <f>CC58+IF(AND(Lists!$DP$6&lt;&gt;"",ISNUMBER(SEARCH($W$4,Lists!$DP$6))),1,0)</f>
        <v/>
      </c>
      <c r="CD59">
        <f>IF(ROW()-56&gt;MAX($CC$57:$CC$95),"",INDEX(Lists!$DP$4:$DP$42,MATCH(ROW()-56,$CC$57:$CC$95,0)))</f>
        <v/>
      </c>
      <c r="CE59">
        <f>CE58+IF(AND(Lists!$DU$6&lt;&gt;"",ISNUMBER(SEARCH($X$4,Lists!$DU$6))),1,0)</f>
        <v/>
      </c>
      <c r="CF59">
        <f>IF(ROW()-56&gt;MAX($CE$57:$CE$95),"",INDEX(Lists!$DU$4:$DU$42,MATCH(ROW()-56,$CE$57:$CE$95,0)))</f>
        <v/>
      </c>
      <c r="CG59">
        <f>CG58+IF(AND(Lists!$DZ$6&lt;&gt;"",ISNUMBER(SEARCH($Y$4,Lists!$DZ$6))),1,0)</f>
        <v/>
      </c>
      <c r="CH59">
        <f>IF(ROW()-56&gt;MAX($CG$57:$CG$95),"",INDEX(Lists!$DZ$4:$DZ$42,MATCH(ROW()-56,$CG$57:$CG$95,0)))</f>
        <v/>
      </c>
      <c r="CI59">
        <f>CI58+IF(AND(Lists!$EE$6&lt;&gt;"",ISNUMBER(SEARCH($Z$4,Lists!$EE$6))),1,0)</f>
        <v/>
      </c>
      <c r="CJ59">
        <f>IF(ROW()-56&gt;MAX($CI$57:$CI$95),"",INDEX(Lists!$EE$4:$EE$42,MATCH(ROW()-56,$CI$57:$CI$95,0)))</f>
        <v/>
      </c>
      <c r="CK59">
        <f>CK58+IF(AND(Lists!$EJ$6&lt;&gt;"",ISNUMBER(SEARCH($AA$4,Lists!$EJ$6))),1,0)</f>
        <v/>
      </c>
      <c r="CL59">
        <f>IF(ROW()-56&gt;MAX($CK$57:$CK$95),"",INDEX(Lists!$EJ$4:$EJ$42,MATCH(ROW()-56,$CK$57:$CK$95,0)))</f>
        <v/>
      </c>
      <c r="CM59">
        <f>CM58+IF(AND(Lists!$EO$6&lt;&gt;"",ISNUMBER(SEARCH($AB$4,Lists!$EO$6))),1,0)</f>
        <v/>
      </c>
      <c r="CN59">
        <f>IF(ROW()-56&gt;MAX($CM$57:$CM$95),"",INDEX(Lists!$EO$4:$EO$42,MATCH(ROW()-56,$CM$57:$CM$95,0)))</f>
        <v/>
      </c>
      <c r="CO59">
        <f>CO58+IF(AND(Lists!$ET$6&lt;&gt;"",ISNUMBER(SEARCH($AC$4,Lists!$ET$6))),1,0)</f>
        <v/>
      </c>
      <c r="CP59">
        <f>IF(ROW()-56&gt;MAX($CO$57:$CO$95),"",INDEX(Lists!$ET$4:$ET$42,MATCH(ROW()-56,$CO$57:$CO$95,0)))</f>
        <v/>
      </c>
      <c r="CQ59">
        <f>CQ58+IF(AND(Lists!$EY$6&lt;&gt;"",ISNUMBER(SEARCH($AD$4,Lists!$EY$6))),1,0)</f>
        <v/>
      </c>
      <c r="CR59">
        <f>IF(ROW()-56&gt;MAX($CQ$57:$CQ$95),"",INDEX(Lists!$EY$4:$EY$42,MATCH(ROW()-56,$CQ$57:$CQ$95,0)))</f>
        <v/>
      </c>
      <c r="CS59">
        <f>CS58+IF(AND(Lists!$FD$6&lt;&gt;"",ISNUMBER(SEARCH($AE$4,Lists!$FD$6))),1,0)</f>
        <v/>
      </c>
      <c r="CT59">
        <f>IF(ROW()-56&gt;MAX($CS$57:$CS$95),"",INDEX(Lists!$FD$4:$FD$42,MATCH(ROW()-56,$CS$57:$CS$95,0)))</f>
        <v/>
      </c>
      <c r="CU59">
        <f>CU58+IF(AND(Lists!$FI$6&lt;&gt;"",ISNUMBER(SEARCH($AG$4,Lists!$FI$6))),1,0)</f>
        <v/>
      </c>
      <c r="CV59">
        <f>IF(ROW()-56&gt;MAX($CU$57:$CU$95),"",INDEX(Lists!$FI$4:$FI$42,MATCH(ROW()-56,$CU$57:$CU$95,0)))</f>
        <v/>
      </c>
      <c r="CW59">
        <f>CW58+IF(AND(Lists!$FN$6&lt;&gt;"",ISNUMBER(SEARCH($AH$4,Lists!$FN$6))),1,0)</f>
        <v/>
      </c>
      <c r="CX59">
        <f>IF(ROW()-56&gt;MAX($CW$57:$CW$95),"",INDEX(Lists!$FN$4:$FN$42,MATCH(ROW()-56,$CW$57:$CW$95,0)))</f>
        <v/>
      </c>
      <c r="CY59">
        <f>CY58+IF(AND(Lists!$FS$6&lt;&gt;"",ISNUMBER(SEARCH($AI$4,Lists!$FS$6))),1,0)</f>
        <v/>
      </c>
      <c r="CZ59">
        <f>IF(ROW()-56&gt;MAX($CY$57:$CY$95),"",INDEX(Lists!$FS$4:$FS$42,MATCH(ROW()-56,$CY$57:$CY$95,0)))</f>
        <v/>
      </c>
      <c r="DA59">
        <f>DA58+IF(AND(Lists!$FX$6&lt;&gt;"",ISNUMBER(SEARCH($AF$4,Lists!$FX$6))),1,0)</f>
        <v/>
      </c>
      <c r="DB59">
        <f>IF(ROW()-56&gt;MAX($DA$57:$DA$95),"",INDEX(Lists!$FX$4:$FX$42,MATCH(ROW()-56,$DA$57:$DA$95,0)))</f>
        <v/>
      </c>
      <c r="DG59">
        <f>IF($B$4="",1,IF($B$4="(blank)",--('Final Calculation Sheet'!$F$4=""),IF($B$4="(nonblank)",--('Final Calculation Sheet'!$F$4&lt;&gt;""),--ISNUMBER(SEARCH($B$4,'Final Calculation Sheet'!$F$4)))))</f>
        <v/>
      </c>
      <c r="DH59">
        <f>IF($C$4="",1,IF($C$4="(blank)",--('Final Calculation Sheet'!$G$4=""),IF($C$4="(nonblank)",--('Final Calculation Sheet'!$G$4&lt;&gt;""),--ISNUMBER(SEARCH($C$4,'Final Calculation Sheet'!$G$4)))))</f>
        <v/>
      </c>
      <c r="DI59">
        <f>IF($D$4="",1,IF($D$4="(blank)",--('Final Calculation Sheet'!$B$4=""),IF($D$4="(nonblank)",--('Final Calculation Sheet'!$B$4&lt;&gt;""),--ISNUMBER(SEARCH($D$4,'Final Calculation Sheet'!$B$4)))))</f>
        <v/>
      </c>
      <c r="DJ59">
        <f>IF($E$4="",1,IF($E$4="(blank)",--('Final Calculation Sheet'!$D$4=""),IF($E$4="(nonblank)",--('Final Calculation Sheet'!$D$4&lt;&gt;""),--ISNUMBER(SEARCH($E$4,'Final Calculation Sheet'!$D$4)))))</f>
        <v/>
      </c>
      <c r="DK59">
        <f>IF($F$4="",1,IF($F$4="(blank)",--('Final Calculation Sheet'!$A$4=""),IF($F$4="(nonblank)",--('Final Calculation Sheet'!$A$4&lt;&gt;""),--ISNUMBER(SEARCH($F$4,'Final Calculation Sheet'!$A$4)))))</f>
        <v/>
      </c>
      <c r="DL59">
        <f>IF($G$4="",1,IF($G$4="(blank)",--('Final Calculation Sheet'!$E$4=""),IF($G$4="(nonblank)",--('Final Calculation Sheet'!$E$4&lt;&gt;""),--ISNUMBER(SEARCH($G$4,'Final Calculation Sheet'!$E$4)))))</f>
        <v/>
      </c>
      <c r="DM59">
        <f>IF($H$4="",1,IF($H$4="(blank)",--('Final Calculation Sheet'!$C$4=""),IF($H$4="(nonblank)",--('Final Calculation Sheet'!$C$4&lt;&gt;""),--ISNUMBER(SEARCH($H$4,'Final Calculation Sheet'!$C$4)))))</f>
        <v/>
      </c>
      <c r="DN59">
        <f>IF($I$4="",1,IF($I$4="(blank)",--('Final Calculation Sheet'!$H$4=""),IF($I$4="(nonblank)",--('Final Calculation Sheet'!$H$4&lt;&gt;""),--ISNUMBER(SEARCH($I$4,'Final Calculation Sheet'!$H$4)))))</f>
        <v/>
      </c>
      <c r="DO59">
        <f>IF($J$4="",1,IF($J$4="(blank)",--('Final Calculation Sheet'!$I$4=""),IF($J$4="(nonblank)",--('Final Calculation Sheet'!$I$4&lt;&gt;""),--ISNUMBER(SEARCH($J$4,'Final Calculation Sheet'!$I$4)))))</f>
        <v/>
      </c>
      <c r="DP59">
        <f>IF($K$4="",1,IF($K$4="(blank)",--('Final Calculation Sheet'!$J$4=""),IF($K$4="(nonblank)",--('Final Calculation Sheet'!$J$4&lt;&gt;""),--ISNUMBER(SEARCH($K$4,'Final Calculation Sheet'!$J$4)))))</f>
        <v/>
      </c>
      <c r="DQ59">
        <f>IF($L$4="",1,IF($L$4="(blank)",--('Final Calculation Sheet'!$K$4=""),IF($L$4="(nonblank)",--('Final Calculation Sheet'!$K$4&lt;&gt;""),--ISNUMBER(SEARCH($L$4,'Final Calculation Sheet'!$K$4)))))</f>
        <v/>
      </c>
      <c r="DR59">
        <f>IF($M$4="",1,IF($M$4="(blank)",--('Final Calculation Sheet'!$L$4=""),IF($M$4="(nonblank)",--('Final Calculation Sheet'!$L$4&lt;&gt;""),--ISNUMBER(SEARCH($M$4,'Final Calculation Sheet'!$L$4)))))</f>
        <v/>
      </c>
      <c r="DS59">
        <f>IF($N$4="",1,IF($N$4="(blank)",--('Final Calculation Sheet'!$M$4=""),IF($N$4="(nonblank)",--('Final Calculation Sheet'!$M$4&lt;&gt;""),--ISNUMBER(SEARCH($N$4,'Final Calculation Sheet'!$M$4)))))</f>
        <v/>
      </c>
      <c r="DT59">
        <f>IF($O$4="",1,IF($O$4="(blank)",--('Final Calculation Sheet'!$N$4=""),IF($O$4="(nonblank)",--('Final Calculation Sheet'!$N$4&lt;&gt;""),--ISNUMBER(SEARCH($O$4,'Final Calculation Sheet'!$N$4)))))</f>
        <v/>
      </c>
      <c r="DU59">
        <f>IF($P$4="",1,IF($P$4="(blank)",--('Final Calculation Sheet'!$O$4=""),IF($P$4="(nonblank)",--('Final Calculation Sheet'!$O$4&lt;&gt;""),--ISNUMBER(SEARCH($P$4,'Final Calculation Sheet'!$O$4)))))</f>
        <v/>
      </c>
      <c r="DV59">
        <f>IF($Q$4="",1,IF($Q$4="(blank)",--('Final Calculation Sheet'!$P$4=""),IF($Q$4="(nonblank)",--('Final Calculation Sheet'!$P$4&lt;&gt;""),--ISNUMBER(SEARCH($Q$4,'Final Calculation Sheet'!$P$4)))))</f>
        <v/>
      </c>
      <c r="DW59">
        <f>IF($R$4="",1,IF($R$4="(blank)",--('Final Calculation Sheet'!$Q$4=""),IF($R$4="(nonblank)",--('Final Calculation Sheet'!$Q$4&lt;&gt;""),--ISNUMBER(SEARCH($R$4,'Final Calculation Sheet'!$Q$4)))))</f>
        <v/>
      </c>
      <c r="DX59">
        <f>IF($S$4="",1,IF($S$4="(blank)",--('Final Calculation Sheet'!$R$4=""),IF($S$4="(nonblank)",--('Final Calculation Sheet'!$R$4&lt;&gt;""),--ISNUMBER(SEARCH($S$4,'Final Calculation Sheet'!$R$4)))))</f>
        <v/>
      </c>
      <c r="DY59">
        <f>IF($T$4="",1,IF($T$4="(blank)",--('Final Calculation Sheet'!$S$4=""),IF($T$4="(nonblank)",--('Final Calculation Sheet'!$S$4&lt;&gt;""),--ISNUMBER(SEARCH($T$4,'Final Calculation Sheet'!$S$4)))))</f>
        <v/>
      </c>
      <c r="DZ59">
        <f>IF($U$4="",1,IF($U$4="(blank)",--('Final Calculation Sheet'!$T$4=""),IF($U$4="(nonblank)",--('Final Calculation Sheet'!$T$4&lt;&gt;""),--ISNUMBER(SEARCH($U$4,'Final Calculation Sheet'!$T$4)))))</f>
        <v/>
      </c>
      <c r="EA59">
        <f>IF($V$4="",1,IF($V$4="(blank)",--('Final Calculation Sheet'!$U$4=""),IF($V$4="(nonblank)",--('Final Calculation Sheet'!$U$4&lt;&gt;""),--ISNUMBER(SEARCH($V$4,'Final Calculation Sheet'!$U$4)))))</f>
        <v/>
      </c>
      <c r="EB59">
        <f>IF($W$4="",1,IF($W$4="(blank)",--('Final Calculation Sheet'!$V$4=""),IF($W$4="(nonblank)",--('Final Calculation Sheet'!$V$4&lt;&gt;""),--ISNUMBER(SEARCH($W$4,'Final Calculation Sheet'!$V$4)))))</f>
        <v/>
      </c>
      <c r="EC59">
        <f>IF($X$4="",1,IF($X$4="(blank)",--('Final Calculation Sheet'!$W$4=""),IF($X$4="(nonblank)",--('Final Calculation Sheet'!$W$4&lt;&gt;""),--ISNUMBER(SEARCH($X$4,'Final Calculation Sheet'!$W$4)))))</f>
        <v/>
      </c>
      <c r="ED59">
        <f>IF($Y$4="",1,IF($Y$4="(blank)",--('Final Calculation Sheet'!$X$4=""),IF($Y$4="(nonblank)",--('Final Calculation Sheet'!$X$4&lt;&gt;""),--ISNUMBER(SEARCH($Y$4,'Final Calculation Sheet'!$X$4)))))</f>
        <v/>
      </c>
      <c r="EE59">
        <f>IF($Z$4="",1,IF($Z$4="(blank)",--('Final Calculation Sheet'!$Y$4=""),IF($Z$4="(nonblank)",--('Final Calculation Sheet'!$Y$4&lt;&gt;""),--ISNUMBER(SEARCH($Z$4,'Final Calculation Sheet'!$Y$4)))))</f>
        <v/>
      </c>
      <c r="EF59">
        <f>IF($AA$4="",1,IF($AA$4="(blank)",--('Final Calculation Sheet'!$Z$4=""),IF($AA$4="(nonblank)",--('Final Calculation Sheet'!$Z$4&lt;&gt;""),--ISNUMBER(SEARCH($AA$4,'Final Calculation Sheet'!$Z$4)))))</f>
        <v/>
      </c>
      <c r="EG59">
        <f>IF($AB$4="",1,IF($AB$4="(blank)",--('Final Calculation Sheet'!$AA$4=""),IF($AB$4="(nonblank)",--('Final Calculation Sheet'!$AA$4&lt;&gt;""),--ISNUMBER(SEARCH($AB$4,'Final Calculation Sheet'!$AA$4)))))</f>
        <v/>
      </c>
      <c r="EH59">
        <f>IF($AC$4="",1,IF($AC$4="(blank)",--('Final Calculation Sheet'!$AB$4=""),IF($AC$4="(nonblank)",--('Final Calculation Sheet'!$AB$4&lt;&gt;""),--ISNUMBER(SEARCH($AC$4,'Final Calculation Sheet'!$AB$4)))))</f>
        <v/>
      </c>
      <c r="EI59">
        <f>IF($AD$4="",1,IF($AD$4="(blank)",--('Final Calculation Sheet'!$AC$4=""),IF($AD$4="(nonblank)",--('Final Calculation Sheet'!$AC$4&lt;&gt;""),--ISNUMBER(SEARCH($AD$4,'Final Calculation Sheet'!$AC$4)))))</f>
        <v/>
      </c>
      <c r="EJ59">
        <f>IF($AE$4="",1,IF($AE$4="(blank)",--('Final Calculation Sheet'!$AD$4=""),IF($AE$4="(nonblank)",--('Final Calculation Sheet'!$AD$4&lt;&gt;""),--ISNUMBER(SEARCH($AE$4,'Final Calculation Sheet'!$AD$4)))))</f>
        <v/>
      </c>
      <c r="EK59">
        <f>IF($AF$4="",1,IF($AF$4="(blank)",--(IF('Final Calculation Sheet'!$AD$4&lt;=5,"SETTLED","OUTSTANDING")=""),IF($AF$4="(nonblank)",--(IF('Final Calculation Sheet'!$AD$4&lt;=5,"SETTLED","OUTSTANDING")&lt;&gt;""),--ISNUMBER(SEARCH($AF$4,IF('Final Calculation Sheet'!$AD$4&lt;=5,"SETTLED","OUTSTANDING"))))))</f>
        <v/>
      </c>
      <c r="EL59">
        <f>IF($AG$4="",1,IF($AG$4="(blank)",--('Final Calculation Sheet'!$AF$4=""),IF($AG$4="(nonblank)",--('Final Calculation Sheet'!$AF$4&lt;&gt;""),--ISNUMBER(SEARCH($AG$4,'Final Calculation Sheet'!$AF$4)))))</f>
        <v/>
      </c>
      <c r="EM59">
        <f>IF($AH$4="",1,IF($AH$4="(blank)",--('Final Calculation Sheet'!$AG$4=""),IF($AH$4="(nonblank)",--('Final Calculation Sheet'!$AG$4&lt;&gt;""),--ISNUMBER(SEARCH($AH$4,'Final Calculation Sheet'!$AG$4)))))</f>
        <v/>
      </c>
      <c r="EN59">
        <f>IF($AI$4="",1,IF($AI$4="(blank)",--('Final Calculation Sheet'!$AH$4=""),IF($AI$4="(nonblank)",--('Final Calculation Sheet'!$AH$4&lt;&gt;""),--ISNUMBER(SEARCH($AI$4,'Final Calculation Sheet'!$AH$4)))))</f>
        <v/>
      </c>
    </row>
    <row r="60">
      <c r="AM60">
        <f>AM59+IF(AND(Lists!$O$7&lt;&gt;"",ISNUMBER(SEARCH($B$4,Lists!$O$7))),1,0)</f>
        <v/>
      </c>
      <c r="AN60">
        <f>IF(ROW()-56&gt;MAX($AM$57:$AM$95),"",INDEX(Lists!$O$4:$O$42,MATCH(ROW()-56,$AM$57:$AM$95,0)))</f>
        <v/>
      </c>
      <c r="AO60">
        <f>AO59+IF(AND(Lists!$T$7&lt;&gt;"",ISNUMBER(SEARCH($C$4,Lists!$T$7))),1,0)</f>
        <v/>
      </c>
      <c r="AP60">
        <f>IF(ROW()-56&gt;MAX($AO$57:$AO$95),"",INDEX(Lists!$T$4:$T$42,MATCH(ROW()-56,$AO$57:$AO$95,0)))</f>
        <v/>
      </c>
      <c r="AQ60">
        <f>AQ59+IF(AND(Lists!$Y$7&lt;&gt;"",ISNUMBER(SEARCH($D$4,Lists!$Y$7))),1,0)</f>
        <v/>
      </c>
      <c r="AR60">
        <f>IF(ROW()-56&gt;MAX($AQ$57:$AQ$95),"",INDEX(Lists!$Y$4:$Y$42,MATCH(ROW()-56,$AQ$57:$AQ$95,0)))</f>
        <v/>
      </c>
      <c r="AS60">
        <f>AS59+IF(AND(Lists!$AD$7&lt;&gt;"",ISNUMBER(SEARCH($E$4,Lists!$AD$7))),1,0)</f>
        <v/>
      </c>
      <c r="AT60">
        <f>IF(ROW()-56&gt;MAX($AS$57:$AS$95),"",INDEX(Lists!$AD$4:$AD$42,MATCH(ROW()-56,$AS$57:$AS$95,0)))</f>
        <v/>
      </c>
      <c r="AU60">
        <f>AU59+IF(AND(Lists!$AI$7&lt;&gt;"",ISNUMBER(SEARCH($F$4,Lists!$AI$7))),1,0)</f>
        <v/>
      </c>
      <c r="AV60">
        <f>IF(ROW()-56&gt;MAX($AU$57:$AU$95),"",INDEX(Lists!$AI$4:$AI$42,MATCH(ROW()-56,$AU$57:$AU$95,0)))</f>
        <v/>
      </c>
      <c r="AW60">
        <f>AW59+IF(AND(Lists!$AN$7&lt;&gt;"",ISNUMBER(SEARCH($G$4,Lists!$AN$7))),1,0)</f>
        <v/>
      </c>
      <c r="AX60">
        <f>IF(ROW()-56&gt;MAX($AW$57:$AW$95),"",INDEX(Lists!$AN$4:$AN$42,MATCH(ROW()-56,$AW$57:$AW$95,0)))</f>
        <v/>
      </c>
      <c r="AY60">
        <f>AY59+IF(AND(Lists!$AS$7&lt;&gt;"",ISNUMBER(SEARCH($H$4,Lists!$AS$7))),1,0)</f>
        <v/>
      </c>
      <c r="AZ60">
        <f>IF(ROW()-56&gt;MAX($AY$57:$AY$95),"",INDEX(Lists!$AS$4:$AS$42,MATCH(ROW()-56,$AY$57:$AY$95,0)))</f>
        <v/>
      </c>
      <c r="BA60">
        <f>BA59+IF(AND(Lists!$AX$7&lt;&gt;"",ISNUMBER(SEARCH($I$4,Lists!$AX$7))),1,0)</f>
        <v/>
      </c>
      <c r="BB60">
        <f>IF(ROW()-56&gt;MAX($BA$57:$BA$95),"",INDEX(Lists!$AX$4:$AX$42,MATCH(ROW()-56,$BA$57:$BA$95,0)))</f>
        <v/>
      </c>
      <c r="BC60">
        <f>BC59+IF(AND(Lists!$BC$7&lt;&gt;"",ISNUMBER(SEARCH($J$4,Lists!$BC$7))),1,0)</f>
        <v/>
      </c>
      <c r="BD60">
        <f>IF(ROW()-56&gt;MAX($BC$57:$BC$95),"",INDEX(Lists!$BC$4:$BC$42,MATCH(ROW()-56,$BC$57:$BC$95,0)))</f>
        <v/>
      </c>
      <c r="BE60">
        <f>BE59+IF(AND(Lists!$BH$7&lt;&gt;"",ISNUMBER(SEARCH($K$4,Lists!$BH$7))),1,0)</f>
        <v/>
      </c>
      <c r="BF60">
        <f>IF(ROW()-56&gt;MAX($BE$57:$BE$95),"",INDEX(Lists!$BH$4:$BH$42,MATCH(ROW()-56,$BE$57:$BE$95,0)))</f>
        <v/>
      </c>
      <c r="BG60">
        <f>BG59+IF(AND(Lists!$BM$7&lt;&gt;"",ISNUMBER(SEARCH($L$4,Lists!$BM$7))),1,0)</f>
        <v/>
      </c>
      <c r="BH60">
        <f>IF(ROW()-56&gt;MAX($BG$57:$BG$95),"",INDEX(Lists!$BM$4:$BM$42,MATCH(ROW()-56,$BG$57:$BG$95,0)))</f>
        <v/>
      </c>
      <c r="BI60">
        <f>BI59+IF(AND(Lists!$BR$7&lt;&gt;"",ISNUMBER(SEARCH($M$4,Lists!$BR$7))),1,0)</f>
        <v/>
      </c>
      <c r="BJ60">
        <f>IF(ROW()-56&gt;MAX($BI$57:$BI$95),"",INDEX(Lists!$BR$4:$BR$42,MATCH(ROW()-56,$BI$57:$BI$95,0)))</f>
        <v/>
      </c>
      <c r="BK60">
        <f>BK59+IF(AND(Lists!$BW$7&lt;&gt;"",ISNUMBER(SEARCH($N$4,Lists!$BW$7))),1,0)</f>
        <v/>
      </c>
      <c r="BL60">
        <f>IF(ROW()-56&gt;MAX($BK$57:$BK$95),"",INDEX(Lists!$BW$4:$BW$42,MATCH(ROW()-56,$BK$57:$BK$95,0)))</f>
        <v/>
      </c>
      <c r="BM60">
        <f>BM59+IF(AND(Lists!$CB$7&lt;&gt;"",ISNUMBER(SEARCH($O$4,Lists!$CB$7))),1,0)</f>
        <v/>
      </c>
      <c r="BN60">
        <f>IF(ROW()-56&gt;MAX($BM$57:$BM$95),"",INDEX(Lists!$CB$4:$CB$42,MATCH(ROW()-56,$BM$57:$BM$95,0)))</f>
        <v/>
      </c>
      <c r="BO60">
        <f>BO59+IF(AND(Lists!$CG$7&lt;&gt;"",ISNUMBER(SEARCH($P$4,Lists!$CG$7))),1,0)</f>
        <v/>
      </c>
      <c r="BP60">
        <f>IF(ROW()-56&gt;MAX($BO$57:$BO$95),"",INDEX(Lists!$CG$4:$CG$42,MATCH(ROW()-56,$BO$57:$BO$95,0)))</f>
        <v/>
      </c>
      <c r="BQ60">
        <f>BQ59+IF(AND(Lists!$CL$7&lt;&gt;"",ISNUMBER(SEARCH($Q$4,Lists!$CL$7))),1,0)</f>
        <v/>
      </c>
      <c r="BR60">
        <f>IF(ROW()-56&gt;MAX($BQ$57:$BQ$95),"",INDEX(Lists!$CL$4:$CL$42,MATCH(ROW()-56,$BQ$57:$BQ$95,0)))</f>
        <v/>
      </c>
      <c r="BS60">
        <f>BS59+IF(AND(Lists!$CQ$7&lt;&gt;"",ISNUMBER(SEARCH($R$4,Lists!$CQ$7))),1,0)</f>
        <v/>
      </c>
      <c r="BT60">
        <f>IF(ROW()-56&gt;MAX($BS$57:$BS$95),"",INDEX(Lists!$CQ$4:$CQ$42,MATCH(ROW()-56,$BS$57:$BS$95,0)))</f>
        <v/>
      </c>
      <c r="BU60">
        <f>BU59+IF(AND(Lists!$CV$7&lt;&gt;"",ISNUMBER(SEARCH($S$4,Lists!$CV$7))),1,0)</f>
        <v/>
      </c>
      <c r="BV60">
        <f>IF(ROW()-56&gt;MAX($BU$57:$BU$95),"",INDEX(Lists!$CV$4:$CV$42,MATCH(ROW()-56,$BU$57:$BU$95,0)))</f>
        <v/>
      </c>
      <c r="BW60">
        <f>BW59+IF(AND(Lists!$DA$7&lt;&gt;"",ISNUMBER(SEARCH($T$4,Lists!$DA$7))),1,0)</f>
        <v/>
      </c>
      <c r="BX60">
        <f>IF(ROW()-56&gt;MAX($BW$57:$BW$95),"",INDEX(Lists!$DA$4:$DA$42,MATCH(ROW()-56,$BW$57:$BW$95,0)))</f>
        <v/>
      </c>
      <c r="BY60">
        <f>BY59+IF(AND(Lists!$DF$7&lt;&gt;"",ISNUMBER(SEARCH($U$4,Lists!$DF$7))),1,0)</f>
        <v/>
      </c>
      <c r="BZ60">
        <f>IF(ROW()-56&gt;MAX($BY$57:$BY$95),"",INDEX(Lists!$DF$4:$DF$42,MATCH(ROW()-56,$BY$57:$BY$95,0)))</f>
        <v/>
      </c>
      <c r="CA60">
        <f>CA59+IF(AND(Lists!$DK$7&lt;&gt;"",ISNUMBER(SEARCH($V$4,Lists!$DK$7))),1,0)</f>
        <v/>
      </c>
      <c r="CB60">
        <f>IF(ROW()-56&gt;MAX($CA$57:$CA$95),"",INDEX(Lists!$DK$4:$DK$42,MATCH(ROW()-56,$CA$57:$CA$95,0)))</f>
        <v/>
      </c>
      <c r="CC60">
        <f>CC59+IF(AND(Lists!$DP$7&lt;&gt;"",ISNUMBER(SEARCH($W$4,Lists!$DP$7))),1,0)</f>
        <v/>
      </c>
      <c r="CD60">
        <f>IF(ROW()-56&gt;MAX($CC$57:$CC$95),"",INDEX(Lists!$DP$4:$DP$42,MATCH(ROW()-56,$CC$57:$CC$95,0)))</f>
        <v/>
      </c>
      <c r="CE60">
        <f>CE59+IF(AND(Lists!$DU$7&lt;&gt;"",ISNUMBER(SEARCH($X$4,Lists!$DU$7))),1,0)</f>
        <v/>
      </c>
      <c r="CF60">
        <f>IF(ROW()-56&gt;MAX($CE$57:$CE$95),"",INDEX(Lists!$DU$4:$DU$42,MATCH(ROW()-56,$CE$57:$CE$95,0)))</f>
        <v/>
      </c>
      <c r="CG60">
        <f>CG59+IF(AND(Lists!$DZ$7&lt;&gt;"",ISNUMBER(SEARCH($Y$4,Lists!$DZ$7))),1,0)</f>
        <v/>
      </c>
      <c r="CH60">
        <f>IF(ROW()-56&gt;MAX($CG$57:$CG$95),"",INDEX(Lists!$DZ$4:$DZ$42,MATCH(ROW()-56,$CG$57:$CG$95,0)))</f>
        <v/>
      </c>
      <c r="CI60">
        <f>CI59+IF(AND(Lists!$EE$7&lt;&gt;"",ISNUMBER(SEARCH($Z$4,Lists!$EE$7))),1,0)</f>
        <v/>
      </c>
      <c r="CJ60">
        <f>IF(ROW()-56&gt;MAX($CI$57:$CI$95),"",INDEX(Lists!$EE$4:$EE$42,MATCH(ROW()-56,$CI$57:$CI$95,0)))</f>
        <v/>
      </c>
      <c r="CK60">
        <f>CK59+IF(AND(Lists!$EJ$7&lt;&gt;"",ISNUMBER(SEARCH($AA$4,Lists!$EJ$7))),1,0)</f>
        <v/>
      </c>
      <c r="CL60">
        <f>IF(ROW()-56&gt;MAX($CK$57:$CK$95),"",INDEX(Lists!$EJ$4:$EJ$42,MATCH(ROW()-56,$CK$57:$CK$95,0)))</f>
        <v/>
      </c>
      <c r="CM60">
        <f>CM59+IF(AND(Lists!$EO$7&lt;&gt;"",ISNUMBER(SEARCH($AB$4,Lists!$EO$7))),1,0)</f>
        <v/>
      </c>
      <c r="CN60">
        <f>IF(ROW()-56&gt;MAX($CM$57:$CM$95),"",INDEX(Lists!$EO$4:$EO$42,MATCH(ROW()-56,$CM$57:$CM$95,0)))</f>
        <v/>
      </c>
      <c r="CO60">
        <f>CO59+IF(AND(Lists!$ET$7&lt;&gt;"",ISNUMBER(SEARCH($AC$4,Lists!$ET$7))),1,0)</f>
        <v/>
      </c>
      <c r="CP60">
        <f>IF(ROW()-56&gt;MAX($CO$57:$CO$95),"",INDEX(Lists!$ET$4:$ET$42,MATCH(ROW()-56,$CO$57:$CO$95,0)))</f>
        <v/>
      </c>
      <c r="CQ60">
        <f>CQ59+IF(AND(Lists!$EY$7&lt;&gt;"",ISNUMBER(SEARCH($AD$4,Lists!$EY$7))),1,0)</f>
        <v/>
      </c>
      <c r="CR60">
        <f>IF(ROW()-56&gt;MAX($CQ$57:$CQ$95),"",INDEX(Lists!$EY$4:$EY$42,MATCH(ROW()-56,$CQ$57:$CQ$95,0)))</f>
        <v/>
      </c>
      <c r="CS60">
        <f>CS59+IF(AND(Lists!$FD$7&lt;&gt;"",ISNUMBER(SEARCH($AE$4,Lists!$FD$7))),1,0)</f>
        <v/>
      </c>
      <c r="CT60">
        <f>IF(ROW()-56&gt;MAX($CS$57:$CS$95),"",INDEX(Lists!$FD$4:$FD$42,MATCH(ROW()-56,$CS$57:$CS$95,0)))</f>
        <v/>
      </c>
      <c r="CU60">
        <f>CU59+IF(AND(Lists!$FI$7&lt;&gt;"",ISNUMBER(SEARCH($AG$4,Lists!$FI$7))),1,0)</f>
        <v/>
      </c>
      <c r="CV60">
        <f>IF(ROW()-56&gt;MAX($CU$57:$CU$95),"",INDEX(Lists!$FI$4:$FI$42,MATCH(ROW()-56,$CU$57:$CU$95,0)))</f>
        <v/>
      </c>
      <c r="CW60">
        <f>CW59+IF(AND(Lists!$FN$7&lt;&gt;"",ISNUMBER(SEARCH($AH$4,Lists!$FN$7))),1,0)</f>
        <v/>
      </c>
      <c r="CX60">
        <f>IF(ROW()-56&gt;MAX($CW$57:$CW$95),"",INDEX(Lists!$FN$4:$FN$42,MATCH(ROW()-56,$CW$57:$CW$95,0)))</f>
        <v/>
      </c>
      <c r="CY60">
        <f>CY59+IF(AND(Lists!$FS$7&lt;&gt;"",ISNUMBER(SEARCH($AI$4,Lists!$FS$7))),1,0)</f>
        <v/>
      </c>
      <c r="CZ60">
        <f>IF(ROW()-56&gt;MAX($CY$57:$CY$95),"",INDEX(Lists!$FS$4:$FS$42,MATCH(ROW()-56,$CY$57:$CY$95,0)))</f>
        <v/>
      </c>
      <c r="DA60">
        <f>DA59+IF(AND(Lists!$FX$7&lt;&gt;"",ISNUMBER(SEARCH($AF$4,Lists!$FX$7))),1,0)</f>
        <v/>
      </c>
      <c r="DB60">
        <f>IF(ROW()-56&gt;MAX($DA$57:$DA$95),"",INDEX(Lists!$FX$4:$FX$42,MATCH(ROW()-56,$DA$57:$DA$95,0)))</f>
        <v/>
      </c>
      <c r="DG60">
        <f>IF($B$4="",1,IF($B$4="(blank)",--('Final Calculation Sheet'!$F$5=""),IF($B$4="(nonblank)",--('Final Calculation Sheet'!$F$5&lt;&gt;""),--ISNUMBER(SEARCH($B$4,'Final Calculation Sheet'!$F$5)))))</f>
        <v/>
      </c>
      <c r="DH60">
        <f>IF($C$4="",1,IF($C$4="(blank)",--('Final Calculation Sheet'!$G$5=""),IF($C$4="(nonblank)",--('Final Calculation Sheet'!$G$5&lt;&gt;""),--ISNUMBER(SEARCH($C$4,'Final Calculation Sheet'!$G$5)))))</f>
        <v/>
      </c>
      <c r="DI60">
        <f>IF($D$4="",1,IF($D$4="(blank)",--('Final Calculation Sheet'!$B$5=""),IF($D$4="(nonblank)",--('Final Calculation Sheet'!$B$5&lt;&gt;""),--ISNUMBER(SEARCH($D$4,'Final Calculation Sheet'!$B$5)))))</f>
        <v/>
      </c>
      <c r="DJ60">
        <f>IF($E$4="",1,IF($E$4="(blank)",--('Final Calculation Sheet'!$D$5=""),IF($E$4="(nonblank)",--('Final Calculation Sheet'!$D$5&lt;&gt;""),--ISNUMBER(SEARCH($E$4,'Final Calculation Sheet'!$D$5)))))</f>
        <v/>
      </c>
      <c r="DK60">
        <f>IF($F$4="",1,IF($F$4="(blank)",--('Final Calculation Sheet'!$A$5=""),IF($F$4="(nonblank)",--('Final Calculation Sheet'!$A$5&lt;&gt;""),--ISNUMBER(SEARCH($F$4,'Final Calculation Sheet'!$A$5)))))</f>
        <v/>
      </c>
      <c r="DL60">
        <f>IF($G$4="",1,IF($G$4="(blank)",--('Final Calculation Sheet'!$E$5=""),IF($G$4="(nonblank)",--('Final Calculation Sheet'!$E$5&lt;&gt;""),--ISNUMBER(SEARCH($G$4,'Final Calculation Sheet'!$E$5)))))</f>
        <v/>
      </c>
      <c r="DM60">
        <f>IF($H$4="",1,IF($H$4="(blank)",--('Final Calculation Sheet'!$C$5=""),IF($H$4="(nonblank)",--('Final Calculation Sheet'!$C$5&lt;&gt;""),--ISNUMBER(SEARCH($H$4,'Final Calculation Sheet'!$C$5)))))</f>
        <v/>
      </c>
      <c r="DN60">
        <f>IF($I$4="",1,IF($I$4="(blank)",--('Final Calculation Sheet'!$H$5=""),IF($I$4="(nonblank)",--('Final Calculation Sheet'!$H$5&lt;&gt;""),--ISNUMBER(SEARCH($I$4,'Final Calculation Sheet'!$H$5)))))</f>
        <v/>
      </c>
      <c r="DO60">
        <f>IF($J$4="",1,IF($J$4="(blank)",--('Final Calculation Sheet'!$I$5=""),IF($J$4="(nonblank)",--('Final Calculation Sheet'!$I$5&lt;&gt;""),--ISNUMBER(SEARCH($J$4,'Final Calculation Sheet'!$I$5)))))</f>
        <v/>
      </c>
      <c r="DP60">
        <f>IF($K$4="",1,IF($K$4="(blank)",--('Final Calculation Sheet'!$J$5=""),IF($K$4="(nonblank)",--('Final Calculation Sheet'!$J$5&lt;&gt;""),--ISNUMBER(SEARCH($K$4,'Final Calculation Sheet'!$J$5)))))</f>
        <v/>
      </c>
      <c r="DQ60">
        <f>IF($L$4="",1,IF($L$4="(blank)",--('Final Calculation Sheet'!$K$5=""),IF($L$4="(nonblank)",--('Final Calculation Sheet'!$K$5&lt;&gt;""),--ISNUMBER(SEARCH($L$4,'Final Calculation Sheet'!$K$5)))))</f>
        <v/>
      </c>
      <c r="DR60">
        <f>IF($M$4="",1,IF($M$4="(blank)",--('Final Calculation Sheet'!$L$5=""),IF($M$4="(nonblank)",--('Final Calculation Sheet'!$L$5&lt;&gt;""),--ISNUMBER(SEARCH($M$4,'Final Calculation Sheet'!$L$5)))))</f>
        <v/>
      </c>
      <c r="DS60">
        <f>IF($N$4="",1,IF($N$4="(blank)",--('Final Calculation Sheet'!$M$5=""),IF($N$4="(nonblank)",--('Final Calculation Sheet'!$M$5&lt;&gt;""),--ISNUMBER(SEARCH($N$4,'Final Calculation Sheet'!$M$5)))))</f>
        <v/>
      </c>
      <c r="DT60">
        <f>IF($O$4="",1,IF($O$4="(blank)",--('Final Calculation Sheet'!$N$5=""),IF($O$4="(nonblank)",--('Final Calculation Sheet'!$N$5&lt;&gt;""),--ISNUMBER(SEARCH($O$4,'Final Calculation Sheet'!$N$5)))))</f>
        <v/>
      </c>
      <c r="DU60">
        <f>IF($P$4="",1,IF($P$4="(blank)",--('Final Calculation Sheet'!$O$5=""),IF($P$4="(nonblank)",--('Final Calculation Sheet'!$O$5&lt;&gt;""),--ISNUMBER(SEARCH($P$4,'Final Calculation Sheet'!$O$5)))))</f>
        <v/>
      </c>
      <c r="DV60">
        <f>IF($Q$4="",1,IF($Q$4="(blank)",--('Final Calculation Sheet'!$P$5=""),IF($Q$4="(nonblank)",--('Final Calculation Sheet'!$P$5&lt;&gt;""),--ISNUMBER(SEARCH($Q$4,'Final Calculation Sheet'!$P$5)))))</f>
        <v/>
      </c>
      <c r="DW60">
        <f>IF($R$4="",1,IF($R$4="(blank)",--('Final Calculation Sheet'!$Q$5=""),IF($R$4="(nonblank)",--('Final Calculation Sheet'!$Q$5&lt;&gt;""),--ISNUMBER(SEARCH($R$4,'Final Calculation Sheet'!$Q$5)))))</f>
        <v/>
      </c>
      <c r="DX60">
        <f>IF($S$4="",1,IF($S$4="(blank)",--('Final Calculation Sheet'!$R$5=""),IF($S$4="(nonblank)",--('Final Calculation Sheet'!$R$5&lt;&gt;""),--ISNUMBER(SEARCH($S$4,'Final Calculation Sheet'!$R$5)))))</f>
        <v/>
      </c>
      <c r="DY60">
        <f>IF($T$4="",1,IF($T$4="(blank)",--('Final Calculation Sheet'!$S$5=""),IF($T$4="(nonblank)",--('Final Calculation Sheet'!$S$5&lt;&gt;""),--ISNUMBER(SEARCH($T$4,'Final Calculation Sheet'!$S$5)))))</f>
        <v/>
      </c>
      <c r="DZ60">
        <f>IF($U$4="",1,IF($U$4="(blank)",--('Final Calculation Sheet'!$T$5=""),IF($U$4="(nonblank)",--('Final Calculation Sheet'!$T$5&lt;&gt;""),--ISNUMBER(SEARCH($U$4,'Final Calculation Sheet'!$T$5)))))</f>
        <v/>
      </c>
      <c r="EA60">
        <f>IF($V$4="",1,IF($V$4="(blank)",--('Final Calculation Sheet'!$U$5=""),IF($V$4="(nonblank)",--('Final Calculation Sheet'!$U$5&lt;&gt;""),--ISNUMBER(SEARCH($V$4,'Final Calculation Sheet'!$U$5)))))</f>
        <v/>
      </c>
      <c r="EB60">
        <f>IF($W$4="",1,IF($W$4="(blank)",--('Final Calculation Sheet'!$V$5=""),IF($W$4="(nonblank)",--('Final Calculation Sheet'!$V$5&lt;&gt;""),--ISNUMBER(SEARCH($W$4,'Final Calculation Sheet'!$V$5)))))</f>
        <v/>
      </c>
      <c r="EC60">
        <f>IF($X$4="",1,IF($X$4="(blank)",--('Final Calculation Sheet'!$W$5=""),IF($X$4="(nonblank)",--('Final Calculation Sheet'!$W$5&lt;&gt;""),--ISNUMBER(SEARCH($X$4,'Final Calculation Sheet'!$W$5)))))</f>
        <v/>
      </c>
      <c r="ED60">
        <f>IF($Y$4="",1,IF($Y$4="(blank)",--('Final Calculation Sheet'!$X$5=""),IF($Y$4="(nonblank)",--('Final Calculation Sheet'!$X$5&lt;&gt;""),--ISNUMBER(SEARCH($Y$4,'Final Calculation Sheet'!$X$5)))))</f>
        <v/>
      </c>
      <c r="EE60">
        <f>IF($Z$4="",1,IF($Z$4="(blank)",--('Final Calculation Sheet'!$Y$5=""),IF($Z$4="(nonblank)",--('Final Calculation Sheet'!$Y$5&lt;&gt;""),--ISNUMBER(SEARCH($Z$4,'Final Calculation Sheet'!$Y$5)))))</f>
        <v/>
      </c>
      <c r="EF60">
        <f>IF($AA$4="",1,IF($AA$4="(blank)",--('Final Calculation Sheet'!$Z$5=""),IF($AA$4="(nonblank)",--('Final Calculation Sheet'!$Z$5&lt;&gt;""),--ISNUMBER(SEARCH($AA$4,'Final Calculation Sheet'!$Z$5)))))</f>
        <v/>
      </c>
      <c r="EG60">
        <f>IF($AB$4="",1,IF($AB$4="(blank)",--('Final Calculation Sheet'!$AA$5=""),IF($AB$4="(nonblank)",--('Final Calculation Sheet'!$AA$5&lt;&gt;""),--ISNUMBER(SEARCH($AB$4,'Final Calculation Sheet'!$AA$5)))))</f>
        <v/>
      </c>
      <c r="EH60">
        <f>IF($AC$4="",1,IF($AC$4="(blank)",--('Final Calculation Sheet'!$AB$5=""),IF($AC$4="(nonblank)",--('Final Calculation Sheet'!$AB$5&lt;&gt;""),--ISNUMBER(SEARCH($AC$4,'Final Calculation Sheet'!$AB$5)))))</f>
        <v/>
      </c>
      <c r="EI60">
        <f>IF($AD$4="",1,IF($AD$4="(blank)",--('Final Calculation Sheet'!$AC$5=""),IF($AD$4="(nonblank)",--('Final Calculation Sheet'!$AC$5&lt;&gt;""),--ISNUMBER(SEARCH($AD$4,'Final Calculation Sheet'!$AC$5)))))</f>
        <v/>
      </c>
      <c r="EJ60">
        <f>IF($AE$4="",1,IF($AE$4="(blank)",--('Final Calculation Sheet'!$AD$5=""),IF($AE$4="(nonblank)",--('Final Calculation Sheet'!$AD$5&lt;&gt;""),--ISNUMBER(SEARCH($AE$4,'Final Calculation Sheet'!$AD$5)))))</f>
        <v/>
      </c>
      <c r="EK60">
        <f>IF($AF$4="",1,IF($AF$4="(blank)",--(IF('Final Calculation Sheet'!$AD$5&lt;=5,"SETTLED","OUTSTANDING")=""),IF($AF$4="(nonblank)",--(IF('Final Calculation Sheet'!$AD$5&lt;=5,"SETTLED","OUTSTANDING")&lt;&gt;""),--ISNUMBER(SEARCH($AF$4,IF('Final Calculation Sheet'!$AD$5&lt;=5,"SETTLED","OUTSTANDING"))))))</f>
        <v/>
      </c>
      <c r="EL60">
        <f>IF($AG$4="",1,IF($AG$4="(blank)",--('Final Calculation Sheet'!$AF$5=""),IF($AG$4="(nonblank)",--('Final Calculation Sheet'!$AF$5&lt;&gt;""),--ISNUMBER(SEARCH($AG$4,'Final Calculation Sheet'!$AF$5)))))</f>
        <v/>
      </c>
      <c r="EM60">
        <f>IF($AH$4="",1,IF($AH$4="(blank)",--('Final Calculation Sheet'!$AG$5=""),IF($AH$4="(nonblank)",--('Final Calculation Sheet'!$AG$5&lt;&gt;""),--ISNUMBER(SEARCH($AH$4,'Final Calculation Sheet'!$AG$5)))))</f>
        <v/>
      </c>
      <c r="EN60">
        <f>IF($AI$4="",1,IF($AI$4="(blank)",--('Final Calculation Sheet'!$AH$5=""),IF($AI$4="(nonblank)",--('Final Calculation Sheet'!$AH$5&lt;&gt;""),--ISNUMBER(SEARCH($AI$4,'Final Calculation Sheet'!$AH$5)))))</f>
        <v/>
      </c>
    </row>
    <row r="61">
      <c r="AM61">
        <f>AM60+IF(AND(Lists!$O$8&lt;&gt;"",ISNUMBER(SEARCH($B$4,Lists!$O$8))),1,0)</f>
        <v/>
      </c>
      <c r="AN61">
        <f>IF(ROW()-56&gt;MAX($AM$57:$AM$95),"",INDEX(Lists!$O$4:$O$42,MATCH(ROW()-56,$AM$57:$AM$95,0)))</f>
        <v/>
      </c>
      <c r="AO61">
        <f>AO60+IF(AND(Lists!$T$8&lt;&gt;"",ISNUMBER(SEARCH($C$4,Lists!$T$8))),1,0)</f>
        <v/>
      </c>
      <c r="AP61">
        <f>IF(ROW()-56&gt;MAX($AO$57:$AO$95),"",INDEX(Lists!$T$4:$T$42,MATCH(ROW()-56,$AO$57:$AO$95,0)))</f>
        <v/>
      </c>
      <c r="AQ61">
        <f>AQ60+IF(AND(Lists!$Y$8&lt;&gt;"",ISNUMBER(SEARCH($D$4,Lists!$Y$8))),1,0)</f>
        <v/>
      </c>
      <c r="AR61">
        <f>IF(ROW()-56&gt;MAX($AQ$57:$AQ$95),"",INDEX(Lists!$Y$4:$Y$42,MATCH(ROW()-56,$AQ$57:$AQ$95,0)))</f>
        <v/>
      </c>
      <c r="AS61">
        <f>AS60+IF(AND(Lists!$AD$8&lt;&gt;"",ISNUMBER(SEARCH($E$4,Lists!$AD$8))),1,0)</f>
        <v/>
      </c>
      <c r="AT61">
        <f>IF(ROW()-56&gt;MAX($AS$57:$AS$95),"",INDEX(Lists!$AD$4:$AD$42,MATCH(ROW()-56,$AS$57:$AS$95,0)))</f>
        <v/>
      </c>
      <c r="AU61">
        <f>AU60+IF(AND(Lists!$AI$8&lt;&gt;"",ISNUMBER(SEARCH($F$4,Lists!$AI$8))),1,0)</f>
        <v/>
      </c>
      <c r="AV61">
        <f>IF(ROW()-56&gt;MAX($AU$57:$AU$95),"",INDEX(Lists!$AI$4:$AI$42,MATCH(ROW()-56,$AU$57:$AU$95,0)))</f>
        <v/>
      </c>
      <c r="AW61">
        <f>AW60+IF(AND(Lists!$AN$8&lt;&gt;"",ISNUMBER(SEARCH($G$4,Lists!$AN$8))),1,0)</f>
        <v/>
      </c>
      <c r="AX61">
        <f>IF(ROW()-56&gt;MAX($AW$57:$AW$95),"",INDEX(Lists!$AN$4:$AN$42,MATCH(ROW()-56,$AW$57:$AW$95,0)))</f>
        <v/>
      </c>
      <c r="AY61">
        <f>AY60+IF(AND(Lists!$AS$8&lt;&gt;"",ISNUMBER(SEARCH($H$4,Lists!$AS$8))),1,0)</f>
        <v/>
      </c>
      <c r="AZ61">
        <f>IF(ROW()-56&gt;MAX($AY$57:$AY$95),"",INDEX(Lists!$AS$4:$AS$42,MATCH(ROW()-56,$AY$57:$AY$95,0)))</f>
        <v/>
      </c>
      <c r="BA61">
        <f>BA60+IF(AND(Lists!$AX$8&lt;&gt;"",ISNUMBER(SEARCH($I$4,Lists!$AX$8))),1,0)</f>
        <v/>
      </c>
      <c r="BB61">
        <f>IF(ROW()-56&gt;MAX($BA$57:$BA$95),"",INDEX(Lists!$AX$4:$AX$42,MATCH(ROW()-56,$BA$57:$BA$95,0)))</f>
        <v/>
      </c>
      <c r="BC61">
        <f>BC60+IF(AND(Lists!$BC$8&lt;&gt;"",ISNUMBER(SEARCH($J$4,Lists!$BC$8))),1,0)</f>
        <v/>
      </c>
      <c r="BD61">
        <f>IF(ROW()-56&gt;MAX($BC$57:$BC$95),"",INDEX(Lists!$BC$4:$BC$42,MATCH(ROW()-56,$BC$57:$BC$95,0)))</f>
        <v/>
      </c>
      <c r="BE61">
        <f>BE60+IF(AND(Lists!$BH$8&lt;&gt;"",ISNUMBER(SEARCH($K$4,Lists!$BH$8))),1,0)</f>
        <v/>
      </c>
      <c r="BF61">
        <f>IF(ROW()-56&gt;MAX($BE$57:$BE$95),"",INDEX(Lists!$BH$4:$BH$42,MATCH(ROW()-56,$BE$57:$BE$95,0)))</f>
        <v/>
      </c>
      <c r="BG61">
        <f>BG60+IF(AND(Lists!$BM$8&lt;&gt;"",ISNUMBER(SEARCH($L$4,Lists!$BM$8))),1,0)</f>
        <v/>
      </c>
      <c r="BH61">
        <f>IF(ROW()-56&gt;MAX($BG$57:$BG$95),"",INDEX(Lists!$BM$4:$BM$42,MATCH(ROW()-56,$BG$57:$BG$95,0)))</f>
        <v/>
      </c>
      <c r="BI61">
        <f>BI60+IF(AND(Lists!$BR$8&lt;&gt;"",ISNUMBER(SEARCH($M$4,Lists!$BR$8))),1,0)</f>
        <v/>
      </c>
      <c r="BJ61">
        <f>IF(ROW()-56&gt;MAX($BI$57:$BI$95),"",INDEX(Lists!$BR$4:$BR$42,MATCH(ROW()-56,$BI$57:$BI$95,0)))</f>
        <v/>
      </c>
      <c r="BK61">
        <f>BK60+IF(AND(Lists!$BW$8&lt;&gt;"",ISNUMBER(SEARCH($N$4,Lists!$BW$8))),1,0)</f>
        <v/>
      </c>
      <c r="BL61">
        <f>IF(ROW()-56&gt;MAX($BK$57:$BK$95),"",INDEX(Lists!$BW$4:$BW$42,MATCH(ROW()-56,$BK$57:$BK$95,0)))</f>
        <v/>
      </c>
      <c r="BM61">
        <f>BM60+IF(AND(Lists!$CB$8&lt;&gt;"",ISNUMBER(SEARCH($O$4,Lists!$CB$8))),1,0)</f>
        <v/>
      </c>
      <c r="BN61">
        <f>IF(ROW()-56&gt;MAX($BM$57:$BM$95),"",INDEX(Lists!$CB$4:$CB$42,MATCH(ROW()-56,$BM$57:$BM$95,0)))</f>
        <v/>
      </c>
      <c r="BO61">
        <f>BO60+IF(AND(Lists!$CG$8&lt;&gt;"",ISNUMBER(SEARCH($P$4,Lists!$CG$8))),1,0)</f>
        <v/>
      </c>
      <c r="BP61">
        <f>IF(ROW()-56&gt;MAX($BO$57:$BO$95),"",INDEX(Lists!$CG$4:$CG$42,MATCH(ROW()-56,$BO$57:$BO$95,0)))</f>
        <v/>
      </c>
      <c r="BQ61">
        <f>BQ60+IF(AND(Lists!$CL$8&lt;&gt;"",ISNUMBER(SEARCH($Q$4,Lists!$CL$8))),1,0)</f>
        <v/>
      </c>
      <c r="BR61">
        <f>IF(ROW()-56&gt;MAX($BQ$57:$BQ$95),"",INDEX(Lists!$CL$4:$CL$42,MATCH(ROW()-56,$BQ$57:$BQ$95,0)))</f>
        <v/>
      </c>
      <c r="BS61">
        <f>BS60+IF(AND(Lists!$CQ$8&lt;&gt;"",ISNUMBER(SEARCH($R$4,Lists!$CQ$8))),1,0)</f>
        <v/>
      </c>
      <c r="BT61">
        <f>IF(ROW()-56&gt;MAX($BS$57:$BS$95),"",INDEX(Lists!$CQ$4:$CQ$42,MATCH(ROW()-56,$BS$57:$BS$95,0)))</f>
        <v/>
      </c>
      <c r="BU61">
        <f>BU60+IF(AND(Lists!$CV$8&lt;&gt;"",ISNUMBER(SEARCH($S$4,Lists!$CV$8))),1,0)</f>
        <v/>
      </c>
      <c r="BV61">
        <f>IF(ROW()-56&gt;MAX($BU$57:$BU$95),"",INDEX(Lists!$CV$4:$CV$42,MATCH(ROW()-56,$BU$57:$BU$95,0)))</f>
        <v/>
      </c>
      <c r="BW61">
        <f>BW60+IF(AND(Lists!$DA$8&lt;&gt;"",ISNUMBER(SEARCH($T$4,Lists!$DA$8))),1,0)</f>
        <v/>
      </c>
      <c r="BX61">
        <f>IF(ROW()-56&gt;MAX($BW$57:$BW$95),"",INDEX(Lists!$DA$4:$DA$42,MATCH(ROW()-56,$BW$57:$BW$95,0)))</f>
        <v/>
      </c>
      <c r="BY61">
        <f>BY60+IF(AND(Lists!$DF$8&lt;&gt;"",ISNUMBER(SEARCH($U$4,Lists!$DF$8))),1,0)</f>
        <v/>
      </c>
      <c r="BZ61">
        <f>IF(ROW()-56&gt;MAX($BY$57:$BY$95),"",INDEX(Lists!$DF$4:$DF$42,MATCH(ROW()-56,$BY$57:$BY$95,0)))</f>
        <v/>
      </c>
      <c r="CA61">
        <f>CA60+IF(AND(Lists!$DK$8&lt;&gt;"",ISNUMBER(SEARCH($V$4,Lists!$DK$8))),1,0)</f>
        <v/>
      </c>
      <c r="CB61">
        <f>IF(ROW()-56&gt;MAX($CA$57:$CA$95),"",INDEX(Lists!$DK$4:$DK$42,MATCH(ROW()-56,$CA$57:$CA$95,0)))</f>
        <v/>
      </c>
      <c r="CC61">
        <f>CC60+IF(AND(Lists!$DP$8&lt;&gt;"",ISNUMBER(SEARCH($W$4,Lists!$DP$8))),1,0)</f>
        <v/>
      </c>
      <c r="CD61">
        <f>IF(ROW()-56&gt;MAX($CC$57:$CC$95),"",INDEX(Lists!$DP$4:$DP$42,MATCH(ROW()-56,$CC$57:$CC$95,0)))</f>
        <v/>
      </c>
      <c r="CE61">
        <f>CE60+IF(AND(Lists!$DU$8&lt;&gt;"",ISNUMBER(SEARCH($X$4,Lists!$DU$8))),1,0)</f>
        <v/>
      </c>
      <c r="CF61">
        <f>IF(ROW()-56&gt;MAX($CE$57:$CE$95),"",INDEX(Lists!$DU$4:$DU$42,MATCH(ROW()-56,$CE$57:$CE$95,0)))</f>
        <v/>
      </c>
      <c r="CG61">
        <f>CG60+IF(AND(Lists!$DZ$8&lt;&gt;"",ISNUMBER(SEARCH($Y$4,Lists!$DZ$8))),1,0)</f>
        <v/>
      </c>
      <c r="CH61">
        <f>IF(ROW()-56&gt;MAX($CG$57:$CG$95),"",INDEX(Lists!$DZ$4:$DZ$42,MATCH(ROW()-56,$CG$57:$CG$95,0)))</f>
        <v/>
      </c>
      <c r="CI61">
        <f>CI60+IF(AND(Lists!$EE$8&lt;&gt;"",ISNUMBER(SEARCH($Z$4,Lists!$EE$8))),1,0)</f>
        <v/>
      </c>
      <c r="CJ61">
        <f>IF(ROW()-56&gt;MAX($CI$57:$CI$95),"",INDEX(Lists!$EE$4:$EE$42,MATCH(ROW()-56,$CI$57:$CI$95,0)))</f>
        <v/>
      </c>
      <c r="CK61">
        <f>CK60+IF(AND(Lists!$EJ$8&lt;&gt;"",ISNUMBER(SEARCH($AA$4,Lists!$EJ$8))),1,0)</f>
        <v/>
      </c>
      <c r="CL61">
        <f>IF(ROW()-56&gt;MAX($CK$57:$CK$95),"",INDEX(Lists!$EJ$4:$EJ$42,MATCH(ROW()-56,$CK$57:$CK$95,0)))</f>
        <v/>
      </c>
      <c r="CM61">
        <f>CM60+IF(AND(Lists!$EO$8&lt;&gt;"",ISNUMBER(SEARCH($AB$4,Lists!$EO$8))),1,0)</f>
        <v/>
      </c>
      <c r="CN61">
        <f>IF(ROW()-56&gt;MAX($CM$57:$CM$95),"",INDEX(Lists!$EO$4:$EO$42,MATCH(ROW()-56,$CM$57:$CM$95,0)))</f>
        <v/>
      </c>
      <c r="CO61">
        <f>CO60+IF(AND(Lists!$ET$8&lt;&gt;"",ISNUMBER(SEARCH($AC$4,Lists!$ET$8))),1,0)</f>
        <v/>
      </c>
      <c r="CP61">
        <f>IF(ROW()-56&gt;MAX($CO$57:$CO$95),"",INDEX(Lists!$ET$4:$ET$42,MATCH(ROW()-56,$CO$57:$CO$95,0)))</f>
        <v/>
      </c>
      <c r="CQ61">
        <f>CQ60+IF(AND(Lists!$EY$8&lt;&gt;"",ISNUMBER(SEARCH($AD$4,Lists!$EY$8))),1,0)</f>
        <v/>
      </c>
      <c r="CR61">
        <f>IF(ROW()-56&gt;MAX($CQ$57:$CQ$95),"",INDEX(Lists!$EY$4:$EY$42,MATCH(ROW()-56,$CQ$57:$CQ$95,0)))</f>
        <v/>
      </c>
      <c r="CS61">
        <f>CS60+IF(AND(Lists!$FD$8&lt;&gt;"",ISNUMBER(SEARCH($AE$4,Lists!$FD$8))),1,0)</f>
        <v/>
      </c>
      <c r="CT61">
        <f>IF(ROW()-56&gt;MAX($CS$57:$CS$95),"",INDEX(Lists!$FD$4:$FD$42,MATCH(ROW()-56,$CS$57:$CS$95,0)))</f>
        <v/>
      </c>
      <c r="CU61">
        <f>CU60+IF(AND(Lists!$FI$8&lt;&gt;"",ISNUMBER(SEARCH($AG$4,Lists!$FI$8))),1,0)</f>
        <v/>
      </c>
      <c r="CV61">
        <f>IF(ROW()-56&gt;MAX($CU$57:$CU$95),"",INDEX(Lists!$FI$4:$FI$42,MATCH(ROW()-56,$CU$57:$CU$95,0)))</f>
        <v/>
      </c>
      <c r="CW61">
        <f>CW60+IF(AND(Lists!$FN$8&lt;&gt;"",ISNUMBER(SEARCH($AH$4,Lists!$FN$8))),1,0)</f>
        <v/>
      </c>
      <c r="CX61">
        <f>IF(ROW()-56&gt;MAX($CW$57:$CW$95),"",INDEX(Lists!$FN$4:$FN$42,MATCH(ROW()-56,$CW$57:$CW$95,0)))</f>
        <v/>
      </c>
      <c r="CY61">
        <f>CY60+IF(AND(Lists!$FS$8&lt;&gt;"",ISNUMBER(SEARCH($AI$4,Lists!$FS$8))),1,0)</f>
        <v/>
      </c>
      <c r="CZ61">
        <f>IF(ROW()-56&gt;MAX($CY$57:$CY$95),"",INDEX(Lists!$FS$4:$FS$42,MATCH(ROW()-56,$CY$57:$CY$95,0)))</f>
        <v/>
      </c>
      <c r="DA61">
        <f>DA60+IF(AND(Lists!$FX$8&lt;&gt;"",ISNUMBER(SEARCH($AF$4,Lists!$FX$8))),1,0)</f>
        <v/>
      </c>
      <c r="DB61">
        <f>IF(ROW()-56&gt;MAX($DA$57:$DA$95),"",INDEX(Lists!$FX$4:$FX$42,MATCH(ROW()-56,$DA$57:$DA$95,0)))</f>
        <v/>
      </c>
      <c r="DG61">
        <f>IF($B$4="",1,IF($B$4="(blank)",--('Final Calculation Sheet'!$F$6=""),IF($B$4="(nonblank)",--('Final Calculation Sheet'!$F$6&lt;&gt;""),--ISNUMBER(SEARCH($B$4,'Final Calculation Sheet'!$F$6)))))</f>
        <v/>
      </c>
      <c r="DH61">
        <f>IF($C$4="",1,IF($C$4="(blank)",--('Final Calculation Sheet'!$G$6=""),IF($C$4="(nonblank)",--('Final Calculation Sheet'!$G$6&lt;&gt;""),--ISNUMBER(SEARCH($C$4,'Final Calculation Sheet'!$G$6)))))</f>
        <v/>
      </c>
      <c r="DI61">
        <f>IF($D$4="",1,IF($D$4="(blank)",--('Final Calculation Sheet'!$B$6=""),IF($D$4="(nonblank)",--('Final Calculation Sheet'!$B$6&lt;&gt;""),--ISNUMBER(SEARCH($D$4,'Final Calculation Sheet'!$B$6)))))</f>
        <v/>
      </c>
      <c r="DJ61">
        <f>IF($E$4="",1,IF($E$4="(blank)",--('Final Calculation Sheet'!$D$6=""),IF($E$4="(nonblank)",--('Final Calculation Sheet'!$D$6&lt;&gt;""),--ISNUMBER(SEARCH($E$4,'Final Calculation Sheet'!$D$6)))))</f>
        <v/>
      </c>
      <c r="DK61">
        <f>IF($F$4="",1,IF($F$4="(blank)",--('Final Calculation Sheet'!$A$6=""),IF($F$4="(nonblank)",--('Final Calculation Sheet'!$A$6&lt;&gt;""),--ISNUMBER(SEARCH($F$4,'Final Calculation Sheet'!$A$6)))))</f>
        <v/>
      </c>
      <c r="DL61">
        <f>IF($G$4="",1,IF($G$4="(blank)",--('Final Calculation Sheet'!$E$6=""),IF($G$4="(nonblank)",--('Final Calculation Sheet'!$E$6&lt;&gt;""),--ISNUMBER(SEARCH($G$4,'Final Calculation Sheet'!$E$6)))))</f>
        <v/>
      </c>
      <c r="DM61">
        <f>IF($H$4="",1,IF($H$4="(blank)",--('Final Calculation Sheet'!$C$6=""),IF($H$4="(nonblank)",--('Final Calculation Sheet'!$C$6&lt;&gt;""),--ISNUMBER(SEARCH($H$4,'Final Calculation Sheet'!$C$6)))))</f>
        <v/>
      </c>
      <c r="DN61">
        <f>IF($I$4="",1,IF($I$4="(blank)",--('Final Calculation Sheet'!$H$6=""),IF($I$4="(nonblank)",--('Final Calculation Sheet'!$H$6&lt;&gt;""),--ISNUMBER(SEARCH($I$4,'Final Calculation Sheet'!$H$6)))))</f>
        <v/>
      </c>
      <c r="DO61">
        <f>IF($J$4="",1,IF($J$4="(blank)",--('Final Calculation Sheet'!$I$6=""),IF($J$4="(nonblank)",--('Final Calculation Sheet'!$I$6&lt;&gt;""),--ISNUMBER(SEARCH($J$4,'Final Calculation Sheet'!$I$6)))))</f>
        <v/>
      </c>
      <c r="DP61">
        <f>IF($K$4="",1,IF($K$4="(blank)",--('Final Calculation Sheet'!$J$6=""),IF($K$4="(nonblank)",--('Final Calculation Sheet'!$J$6&lt;&gt;""),--ISNUMBER(SEARCH($K$4,'Final Calculation Sheet'!$J$6)))))</f>
        <v/>
      </c>
      <c r="DQ61">
        <f>IF($L$4="",1,IF($L$4="(blank)",--('Final Calculation Sheet'!$K$6=""),IF($L$4="(nonblank)",--('Final Calculation Sheet'!$K$6&lt;&gt;""),--ISNUMBER(SEARCH($L$4,'Final Calculation Sheet'!$K$6)))))</f>
        <v/>
      </c>
      <c r="DR61">
        <f>IF($M$4="",1,IF($M$4="(blank)",--('Final Calculation Sheet'!$L$6=""),IF($M$4="(nonblank)",--('Final Calculation Sheet'!$L$6&lt;&gt;""),--ISNUMBER(SEARCH($M$4,'Final Calculation Sheet'!$L$6)))))</f>
        <v/>
      </c>
      <c r="DS61">
        <f>IF($N$4="",1,IF($N$4="(blank)",--('Final Calculation Sheet'!$M$6=""),IF($N$4="(nonblank)",--('Final Calculation Sheet'!$M$6&lt;&gt;""),--ISNUMBER(SEARCH($N$4,'Final Calculation Sheet'!$M$6)))))</f>
        <v/>
      </c>
      <c r="DT61">
        <f>IF($O$4="",1,IF($O$4="(blank)",--('Final Calculation Sheet'!$N$6=""),IF($O$4="(nonblank)",--('Final Calculation Sheet'!$N$6&lt;&gt;""),--ISNUMBER(SEARCH($O$4,'Final Calculation Sheet'!$N$6)))))</f>
        <v/>
      </c>
      <c r="DU61">
        <f>IF($P$4="",1,IF($P$4="(blank)",--('Final Calculation Sheet'!$O$6=""),IF($P$4="(nonblank)",--('Final Calculation Sheet'!$O$6&lt;&gt;""),--ISNUMBER(SEARCH($P$4,'Final Calculation Sheet'!$O$6)))))</f>
        <v/>
      </c>
      <c r="DV61">
        <f>IF($Q$4="",1,IF($Q$4="(blank)",--('Final Calculation Sheet'!$P$6=""),IF($Q$4="(nonblank)",--('Final Calculation Sheet'!$P$6&lt;&gt;""),--ISNUMBER(SEARCH($Q$4,'Final Calculation Sheet'!$P$6)))))</f>
        <v/>
      </c>
      <c r="DW61">
        <f>IF($R$4="",1,IF($R$4="(blank)",--('Final Calculation Sheet'!$Q$6=""),IF($R$4="(nonblank)",--('Final Calculation Sheet'!$Q$6&lt;&gt;""),--ISNUMBER(SEARCH($R$4,'Final Calculation Sheet'!$Q$6)))))</f>
        <v/>
      </c>
      <c r="DX61">
        <f>IF($S$4="",1,IF($S$4="(blank)",--('Final Calculation Sheet'!$R$6=""),IF($S$4="(nonblank)",--('Final Calculation Sheet'!$R$6&lt;&gt;""),--ISNUMBER(SEARCH($S$4,'Final Calculation Sheet'!$R$6)))))</f>
        <v/>
      </c>
      <c r="DY61">
        <f>IF($T$4="",1,IF($T$4="(blank)",--('Final Calculation Sheet'!$S$6=""),IF($T$4="(nonblank)",--('Final Calculation Sheet'!$S$6&lt;&gt;""),--ISNUMBER(SEARCH($T$4,'Final Calculation Sheet'!$S$6)))))</f>
        <v/>
      </c>
      <c r="DZ61">
        <f>IF($U$4="",1,IF($U$4="(blank)",--('Final Calculation Sheet'!$T$6=""),IF($U$4="(nonblank)",--('Final Calculation Sheet'!$T$6&lt;&gt;""),--ISNUMBER(SEARCH($U$4,'Final Calculation Sheet'!$T$6)))))</f>
        <v/>
      </c>
      <c r="EA61">
        <f>IF($V$4="",1,IF($V$4="(blank)",--('Final Calculation Sheet'!$U$6=""),IF($V$4="(nonblank)",--('Final Calculation Sheet'!$U$6&lt;&gt;""),--ISNUMBER(SEARCH($V$4,'Final Calculation Sheet'!$U$6)))))</f>
        <v/>
      </c>
      <c r="EB61">
        <f>IF($W$4="",1,IF($W$4="(blank)",--('Final Calculation Sheet'!$V$6=""),IF($W$4="(nonblank)",--('Final Calculation Sheet'!$V$6&lt;&gt;""),--ISNUMBER(SEARCH($W$4,'Final Calculation Sheet'!$V$6)))))</f>
        <v/>
      </c>
      <c r="EC61">
        <f>IF($X$4="",1,IF($X$4="(blank)",--('Final Calculation Sheet'!$W$6=""),IF($X$4="(nonblank)",--('Final Calculation Sheet'!$W$6&lt;&gt;""),--ISNUMBER(SEARCH($X$4,'Final Calculation Sheet'!$W$6)))))</f>
        <v/>
      </c>
      <c r="ED61">
        <f>IF($Y$4="",1,IF($Y$4="(blank)",--('Final Calculation Sheet'!$X$6=""),IF($Y$4="(nonblank)",--('Final Calculation Sheet'!$X$6&lt;&gt;""),--ISNUMBER(SEARCH($Y$4,'Final Calculation Sheet'!$X$6)))))</f>
        <v/>
      </c>
      <c r="EE61">
        <f>IF($Z$4="",1,IF($Z$4="(blank)",--('Final Calculation Sheet'!$Y$6=""),IF($Z$4="(nonblank)",--('Final Calculation Sheet'!$Y$6&lt;&gt;""),--ISNUMBER(SEARCH($Z$4,'Final Calculation Sheet'!$Y$6)))))</f>
        <v/>
      </c>
      <c r="EF61">
        <f>IF($AA$4="",1,IF($AA$4="(blank)",--('Final Calculation Sheet'!$Z$6=""),IF($AA$4="(nonblank)",--('Final Calculation Sheet'!$Z$6&lt;&gt;""),--ISNUMBER(SEARCH($AA$4,'Final Calculation Sheet'!$Z$6)))))</f>
        <v/>
      </c>
      <c r="EG61">
        <f>IF($AB$4="",1,IF($AB$4="(blank)",--('Final Calculation Sheet'!$AA$6=""),IF($AB$4="(nonblank)",--('Final Calculation Sheet'!$AA$6&lt;&gt;""),--ISNUMBER(SEARCH($AB$4,'Final Calculation Sheet'!$AA$6)))))</f>
        <v/>
      </c>
      <c r="EH61">
        <f>IF($AC$4="",1,IF($AC$4="(blank)",--('Final Calculation Sheet'!$AB$6=""),IF($AC$4="(nonblank)",--('Final Calculation Sheet'!$AB$6&lt;&gt;""),--ISNUMBER(SEARCH($AC$4,'Final Calculation Sheet'!$AB$6)))))</f>
        <v/>
      </c>
      <c r="EI61">
        <f>IF($AD$4="",1,IF($AD$4="(blank)",--('Final Calculation Sheet'!$AC$6=""),IF($AD$4="(nonblank)",--('Final Calculation Sheet'!$AC$6&lt;&gt;""),--ISNUMBER(SEARCH($AD$4,'Final Calculation Sheet'!$AC$6)))))</f>
        <v/>
      </c>
      <c r="EJ61">
        <f>IF($AE$4="",1,IF($AE$4="(blank)",--('Final Calculation Sheet'!$AD$6=""),IF($AE$4="(nonblank)",--('Final Calculation Sheet'!$AD$6&lt;&gt;""),--ISNUMBER(SEARCH($AE$4,'Final Calculation Sheet'!$AD$6)))))</f>
        <v/>
      </c>
      <c r="EK61">
        <f>IF($AF$4="",1,IF($AF$4="(blank)",--(IF('Final Calculation Sheet'!$AD$6&lt;=5,"SETTLED","OUTSTANDING")=""),IF($AF$4="(nonblank)",--(IF('Final Calculation Sheet'!$AD$6&lt;=5,"SETTLED","OUTSTANDING")&lt;&gt;""),--ISNUMBER(SEARCH($AF$4,IF('Final Calculation Sheet'!$AD$6&lt;=5,"SETTLED","OUTSTANDING"))))))</f>
        <v/>
      </c>
      <c r="EL61">
        <f>IF($AG$4="",1,IF($AG$4="(blank)",--('Final Calculation Sheet'!$AF$6=""),IF($AG$4="(nonblank)",--('Final Calculation Sheet'!$AF$6&lt;&gt;""),--ISNUMBER(SEARCH($AG$4,'Final Calculation Sheet'!$AF$6)))))</f>
        <v/>
      </c>
      <c r="EM61">
        <f>IF($AH$4="",1,IF($AH$4="(blank)",--('Final Calculation Sheet'!$AG$6=""),IF($AH$4="(nonblank)",--('Final Calculation Sheet'!$AG$6&lt;&gt;""),--ISNUMBER(SEARCH($AH$4,'Final Calculation Sheet'!$AG$6)))))</f>
        <v/>
      </c>
      <c r="EN61">
        <f>IF($AI$4="",1,IF($AI$4="(blank)",--('Final Calculation Sheet'!$AH$6=""),IF($AI$4="(nonblank)",--('Final Calculation Sheet'!$AH$6&lt;&gt;""),--ISNUMBER(SEARCH($AI$4,'Final Calculation Sheet'!$AH$6)))))</f>
        <v/>
      </c>
    </row>
    <row r="62">
      <c r="AM62">
        <f>AM61+IF(AND(Lists!$O$9&lt;&gt;"",ISNUMBER(SEARCH($B$4,Lists!$O$9))),1,0)</f>
        <v/>
      </c>
      <c r="AN62">
        <f>IF(ROW()-56&gt;MAX($AM$57:$AM$95),"",INDEX(Lists!$O$4:$O$42,MATCH(ROW()-56,$AM$57:$AM$95,0)))</f>
        <v/>
      </c>
      <c r="AO62">
        <f>AO61+IF(AND(Lists!$T$9&lt;&gt;"",ISNUMBER(SEARCH($C$4,Lists!$T$9))),1,0)</f>
        <v/>
      </c>
      <c r="AP62">
        <f>IF(ROW()-56&gt;MAX($AO$57:$AO$95),"",INDEX(Lists!$T$4:$T$42,MATCH(ROW()-56,$AO$57:$AO$95,0)))</f>
        <v/>
      </c>
      <c r="AQ62">
        <f>AQ61+IF(AND(Lists!$Y$9&lt;&gt;"",ISNUMBER(SEARCH($D$4,Lists!$Y$9))),1,0)</f>
        <v/>
      </c>
      <c r="AR62">
        <f>IF(ROW()-56&gt;MAX($AQ$57:$AQ$95),"",INDEX(Lists!$Y$4:$Y$42,MATCH(ROW()-56,$AQ$57:$AQ$95,0)))</f>
        <v/>
      </c>
      <c r="AS62">
        <f>AS61+IF(AND(Lists!$AD$9&lt;&gt;"",ISNUMBER(SEARCH($E$4,Lists!$AD$9))),1,0)</f>
        <v/>
      </c>
      <c r="AT62">
        <f>IF(ROW()-56&gt;MAX($AS$57:$AS$95),"",INDEX(Lists!$AD$4:$AD$42,MATCH(ROW()-56,$AS$57:$AS$95,0)))</f>
        <v/>
      </c>
      <c r="AU62">
        <f>AU61+IF(AND(Lists!$AI$9&lt;&gt;"",ISNUMBER(SEARCH($F$4,Lists!$AI$9))),1,0)</f>
        <v/>
      </c>
      <c r="AV62">
        <f>IF(ROW()-56&gt;MAX($AU$57:$AU$95),"",INDEX(Lists!$AI$4:$AI$42,MATCH(ROW()-56,$AU$57:$AU$95,0)))</f>
        <v/>
      </c>
      <c r="AW62">
        <f>AW61+IF(AND(Lists!$AN$9&lt;&gt;"",ISNUMBER(SEARCH($G$4,Lists!$AN$9))),1,0)</f>
        <v/>
      </c>
      <c r="AX62">
        <f>IF(ROW()-56&gt;MAX($AW$57:$AW$95),"",INDEX(Lists!$AN$4:$AN$42,MATCH(ROW()-56,$AW$57:$AW$95,0)))</f>
        <v/>
      </c>
      <c r="AY62">
        <f>AY61+IF(AND(Lists!$AS$9&lt;&gt;"",ISNUMBER(SEARCH($H$4,Lists!$AS$9))),1,0)</f>
        <v/>
      </c>
      <c r="AZ62">
        <f>IF(ROW()-56&gt;MAX($AY$57:$AY$95),"",INDEX(Lists!$AS$4:$AS$42,MATCH(ROW()-56,$AY$57:$AY$95,0)))</f>
        <v/>
      </c>
      <c r="BA62">
        <f>BA61+IF(AND(Lists!$AX$9&lt;&gt;"",ISNUMBER(SEARCH($I$4,Lists!$AX$9))),1,0)</f>
        <v/>
      </c>
      <c r="BB62">
        <f>IF(ROW()-56&gt;MAX($BA$57:$BA$95),"",INDEX(Lists!$AX$4:$AX$42,MATCH(ROW()-56,$BA$57:$BA$95,0)))</f>
        <v/>
      </c>
      <c r="BC62">
        <f>BC61+IF(AND(Lists!$BC$9&lt;&gt;"",ISNUMBER(SEARCH($J$4,Lists!$BC$9))),1,0)</f>
        <v/>
      </c>
      <c r="BD62">
        <f>IF(ROW()-56&gt;MAX($BC$57:$BC$95),"",INDEX(Lists!$BC$4:$BC$42,MATCH(ROW()-56,$BC$57:$BC$95,0)))</f>
        <v/>
      </c>
      <c r="BE62">
        <f>BE61+IF(AND(Lists!$BH$9&lt;&gt;"",ISNUMBER(SEARCH($K$4,Lists!$BH$9))),1,0)</f>
        <v/>
      </c>
      <c r="BF62">
        <f>IF(ROW()-56&gt;MAX($BE$57:$BE$95),"",INDEX(Lists!$BH$4:$BH$42,MATCH(ROW()-56,$BE$57:$BE$95,0)))</f>
        <v/>
      </c>
      <c r="BG62">
        <f>BG61+IF(AND(Lists!$BM$9&lt;&gt;"",ISNUMBER(SEARCH($L$4,Lists!$BM$9))),1,0)</f>
        <v/>
      </c>
      <c r="BH62">
        <f>IF(ROW()-56&gt;MAX($BG$57:$BG$95),"",INDEX(Lists!$BM$4:$BM$42,MATCH(ROW()-56,$BG$57:$BG$95,0)))</f>
        <v/>
      </c>
      <c r="BI62">
        <f>BI61+IF(AND(Lists!$BR$9&lt;&gt;"",ISNUMBER(SEARCH($M$4,Lists!$BR$9))),1,0)</f>
        <v/>
      </c>
      <c r="BJ62">
        <f>IF(ROW()-56&gt;MAX($BI$57:$BI$95),"",INDEX(Lists!$BR$4:$BR$42,MATCH(ROW()-56,$BI$57:$BI$95,0)))</f>
        <v/>
      </c>
      <c r="BK62">
        <f>BK61+IF(AND(Lists!$BW$9&lt;&gt;"",ISNUMBER(SEARCH($N$4,Lists!$BW$9))),1,0)</f>
        <v/>
      </c>
      <c r="BL62">
        <f>IF(ROW()-56&gt;MAX($BK$57:$BK$95),"",INDEX(Lists!$BW$4:$BW$42,MATCH(ROW()-56,$BK$57:$BK$95,0)))</f>
        <v/>
      </c>
      <c r="BM62">
        <f>BM61+IF(AND(Lists!$CB$9&lt;&gt;"",ISNUMBER(SEARCH($O$4,Lists!$CB$9))),1,0)</f>
        <v/>
      </c>
      <c r="BN62">
        <f>IF(ROW()-56&gt;MAX($BM$57:$BM$95),"",INDEX(Lists!$CB$4:$CB$42,MATCH(ROW()-56,$BM$57:$BM$95,0)))</f>
        <v/>
      </c>
      <c r="BO62">
        <f>BO61+IF(AND(Lists!$CG$9&lt;&gt;"",ISNUMBER(SEARCH($P$4,Lists!$CG$9))),1,0)</f>
        <v/>
      </c>
      <c r="BP62">
        <f>IF(ROW()-56&gt;MAX($BO$57:$BO$95),"",INDEX(Lists!$CG$4:$CG$42,MATCH(ROW()-56,$BO$57:$BO$95,0)))</f>
        <v/>
      </c>
      <c r="BQ62">
        <f>BQ61+IF(AND(Lists!$CL$9&lt;&gt;"",ISNUMBER(SEARCH($Q$4,Lists!$CL$9))),1,0)</f>
        <v/>
      </c>
      <c r="BR62">
        <f>IF(ROW()-56&gt;MAX($BQ$57:$BQ$95),"",INDEX(Lists!$CL$4:$CL$42,MATCH(ROW()-56,$BQ$57:$BQ$95,0)))</f>
        <v/>
      </c>
      <c r="BS62">
        <f>BS61+IF(AND(Lists!$CQ$9&lt;&gt;"",ISNUMBER(SEARCH($R$4,Lists!$CQ$9))),1,0)</f>
        <v/>
      </c>
      <c r="BT62">
        <f>IF(ROW()-56&gt;MAX($BS$57:$BS$95),"",INDEX(Lists!$CQ$4:$CQ$42,MATCH(ROW()-56,$BS$57:$BS$95,0)))</f>
        <v/>
      </c>
      <c r="BU62">
        <f>BU61+IF(AND(Lists!$CV$9&lt;&gt;"",ISNUMBER(SEARCH($S$4,Lists!$CV$9))),1,0)</f>
        <v/>
      </c>
      <c r="BV62">
        <f>IF(ROW()-56&gt;MAX($BU$57:$BU$95),"",INDEX(Lists!$CV$4:$CV$42,MATCH(ROW()-56,$BU$57:$BU$95,0)))</f>
        <v/>
      </c>
      <c r="BW62">
        <f>BW61+IF(AND(Lists!$DA$9&lt;&gt;"",ISNUMBER(SEARCH($T$4,Lists!$DA$9))),1,0)</f>
        <v/>
      </c>
      <c r="BX62">
        <f>IF(ROW()-56&gt;MAX($BW$57:$BW$95),"",INDEX(Lists!$DA$4:$DA$42,MATCH(ROW()-56,$BW$57:$BW$95,0)))</f>
        <v/>
      </c>
      <c r="BY62">
        <f>BY61+IF(AND(Lists!$DF$9&lt;&gt;"",ISNUMBER(SEARCH($U$4,Lists!$DF$9))),1,0)</f>
        <v/>
      </c>
      <c r="BZ62">
        <f>IF(ROW()-56&gt;MAX($BY$57:$BY$95),"",INDEX(Lists!$DF$4:$DF$42,MATCH(ROW()-56,$BY$57:$BY$95,0)))</f>
        <v/>
      </c>
      <c r="CA62">
        <f>CA61+IF(AND(Lists!$DK$9&lt;&gt;"",ISNUMBER(SEARCH($V$4,Lists!$DK$9))),1,0)</f>
        <v/>
      </c>
      <c r="CB62">
        <f>IF(ROW()-56&gt;MAX($CA$57:$CA$95),"",INDEX(Lists!$DK$4:$DK$42,MATCH(ROW()-56,$CA$57:$CA$95,0)))</f>
        <v/>
      </c>
      <c r="CC62">
        <f>CC61+IF(AND(Lists!$DP$9&lt;&gt;"",ISNUMBER(SEARCH($W$4,Lists!$DP$9))),1,0)</f>
        <v/>
      </c>
      <c r="CD62">
        <f>IF(ROW()-56&gt;MAX($CC$57:$CC$95),"",INDEX(Lists!$DP$4:$DP$42,MATCH(ROW()-56,$CC$57:$CC$95,0)))</f>
        <v/>
      </c>
      <c r="CE62">
        <f>CE61+IF(AND(Lists!$DU$9&lt;&gt;"",ISNUMBER(SEARCH($X$4,Lists!$DU$9))),1,0)</f>
        <v/>
      </c>
      <c r="CF62">
        <f>IF(ROW()-56&gt;MAX($CE$57:$CE$95),"",INDEX(Lists!$DU$4:$DU$42,MATCH(ROW()-56,$CE$57:$CE$95,0)))</f>
        <v/>
      </c>
      <c r="CG62">
        <f>CG61+IF(AND(Lists!$DZ$9&lt;&gt;"",ISNUMBER(SEARCH($Y$4,Lists!$DZ$9))),1,0)</f>
        <v/>
      </c>
      <c r="CH62">
        <f>IF(ROW()-56&gt;MAX($CG$57:$CG$95),"",INDEX(Lists!$DZ$4:$DZ$42,MATCH(ROW()-56,$CG$57:$CG$95,0)))</f>
        <v/>
      </c>
      <c r="CI62">
        <f>CI61+IF(AND(Lists!$EE$9&lt;&gt;"",ISNUMBER(SEARCH($Z$4,Lists!$EE$9))),1,0)</f>
        <v/>
      </c>
      <c r="CJ62">
        <f>IF(ROW()-56&gt;MAX($CI$57:$CI$95),"",INDEX(Lists!$EE$4:$EE$42,MATCH(ROW()-56,$CI$57:$CI$95,0)))</f>
        <v/>
      </c>
      <c r="CK62">
        <f>CK61+IF(AND(Lists!$EJ$9&lt;&gt;"",ISNUMBER(SEARCH($AA$4,Lists!$EJ$9))),1,0)</f>
        <v/>
      </c>
      <c r="CL62">
        <f>IF(ROW()-56&gt;MAX($CK$57:$CK$95),"",INDEX(Lists!$EJ$4:$EJ$42,MATCH(ROW()-56,$CK$57:$CK$95,0)))</f>
        <v/>
      </c>
      <c r="CM62">
        <f>CM61+IF(AND(Lists!$EO$9&lt;&gt;"",ISNUMBER(SEARCH($AB$4,Lists!$EO$9))),1,0)</f>
        <v/>
      </c>
      <c r="CN62">
        <f>IF(ROW()-56&gt;MAX($CM$57:$CM$95),"",INDEX(Lists!$EO$4:$EO$42,MATCH(ROW()-56,$CM$57:$CM$95,0)))</f>
        <v/>
      </c>
      <c r="CO62">
        <f>CO61+IF(AND(Lists!$ET$9&lt;&gt;"",ISNUMBER(SEARCH($AC$4,Lists!$ET$9))),1,0)</f>
        <v/>
      </c>
      <c r="CP62">
        <f>IF(ROW()-56&gt;MAX($CO$57:$CO$95),"",INDEX(Lists!$ET$4:$ET$42,MATCH(ROW()-56,$CO$57:$CO$95,0)))</f>
        <v/>
      </c>
      <c r="CQ62">
        <f>CQ61+IF(AND(Lists!$EY$9&lt;&gt;"",ISNUMBER(SEARCH($AD$4,Lists!$EY$9))),1,0)</f>
        <v/>
      </c>
      <c r="CR62">
        <f>IF(ROW()-56&gt;MAX($CQ$57:$CQ$95),"",INDEX(Lists!$EY$4:$EY$42,MATCH(ROW()-56,$CQ$57:$CQ$95,0)))</f>
        <v/>
      </c>
      <c r="CS62">
        <f>CS61+IF(AND(Lists!$FD$9&lt;&gt;"",ISNUMBER(SEARCH($AE$4,Lists!$FD$9))),1,0)</f>
        <v/>
      </c>
      <c r="CT62">
        <f>IF(ROW()-56&gt;MAX($CS$57:$CS$95),"",INDEX(Lists!$FD$4:$FD$42,MATCH(ROW()-56,$CS$57:$CS$95,0)))</f>
        <v/>
      </c>
      <c r="CU62">
        <f>CU61+IF(AND(Lists!$FI$9&lt;&gt;"",ISNUMBER(SEARCH($AG$4,Lists!$FI$9))),1,0)</f>
        <v/>
      </c>
      <c r="CV62">
        <f>IF(ROW()-56&gt;MAX($CU$57:$CU$95),"",INDEX(Lists!$FI$4:$FI$42,MATCH(ROW()-56,$CU$57:$CU$95,0)))</f>
        <v/>
      </c>
      <c r="CW62">
        <f>CW61+IF(AND(Lists!$FN$9&lt;&gt;"",ISNUMBER(SEARCH($AH$4,Lists!$FN$9))),1,0)</f>
        <v/>
      </c>
      <c r="CX62">
        <f>IF(ROW()-56&gt;MAX($CW$57:$CW$95),"",INDEX(Lists!$FN$4:$FN$42,MATCH(ROW()-56,$CW$57:$CW$95,0)))</f>
        <v/>
      </c>
      <c r="CY62">
        <f>CY61+IF(AND(Lists!$FS$9&lt;&gt;"",ISNUMBER(SEARCH($AI$4,Lists!$FS$9))),1,0)</f>
        <v/>
      </c>
      <c r="CZ62">
        <f>IF(ROW()-56&gt;MAX($CY$57:$CY$95),"",INDEX(Lists!$FS$4:$FS$42,MATCH(ROW()-56,$CY$57:$CY$95,0)))</f>
        <v/>
      </c>
      <c r="DA62">
        <f>DA61+IF(AND(Lists!$FX$9&lt;&gt;"",ISNUMBER(SEARCH($AF$4,Lists!$FX$9))),1,0)</f>
        <v/>
      </c>
      <c r="DB62">
        <f>IF(ROW()-56&gt;MAX($DA$57:$DA$95),"",INDEX(Lists!$FX$4:$FX$42,MATCH(ROW()-56,$DA$57:$DA$95,0)))</f>
        <v/>
      </c>
      <c r="DG62">
        <f>IF($B$4="",1,IF($B$4="(blank)",--('Final Calculation Sheet'!$F$7=""),IF($B$4="(nonblank)",--('Final Calculation Sheet'!$F$7&lt;&gt;""),--ISNUMBER(SEARCH($B$4,'Final Calculation Sheet'!$F$7)))))</f>
        <v/>
      </c>
      <c r="DH62">
        <f>IF($C$4="",1,IF($C$4="(blank)",--('Final Calculation Sheet'!$G$7=""),IF($C$4="(nonblank)",--('Final Calculation Sheet'!$G$7&lt;&gt;""),--ISNUMBER(SEARCH($C$4,'Final Calculation Sheet'!$G$7)))))</f>
        <v/>
      </c>
      <c r="DI62">
        <f>IF($D$4="",1,IF($D$4="(blank)",--('Final Calculation Sheet'!$B$7=""),IF($D$4="(nonblank)",--('Final Calculation Sheet'!$B$7&lt;&gt;""),--ISNUMBER(SEARCH($D$4,'Final Calculation Sheet'!$B$7)))))</f>
        <v/>
      </c>
      <c r="DJ62">
        <f>IF($E$4="",1,IF($E$4="(blank)",--('Final Calculation Sheet'!$D$7=""),IF($E$4="(nonblank)",--('Final Calculation Sheet'!$D$7&lt;&gt;""),--ISNUMBER(SEARCH($E$4,'Final Calculation Sheet'!$D$7)))))</f>
        <v/>
      </c>
      <c r="DK62">
        <f>IF($F$4="",1,IF($F$4="(blank)",--('Final Calculation Sheet'!$A$7=""),IF($F$4="(nonblank)",--('Final Calculation Sheet'!$A$7&lt;&gt;""),--ISNUMBER(SEARCH($F$4,'Final Calculation Sheet'!$A$7)))))</f>
        <v/>
      </c>
      <c r="DL62">
        <f>IF($G$4="",1,IF($G$4="(blank)",--('Final Calculation Sheet'!$E$7=""),IF($G$4="(nonblank)",--('Final Calculation Sheet'!$E$7&lt;&gt;""),--ISNUMBER(SEARCH($G$4,'Final Calculation Sheet'!$E$7)))))</f>
        <v/>
      </c>
      <c r="DM62">
        <f>IF($H$4="",1,IF($H$4="(blank)",--('Final Calculation Sheet'!$C$7=""),IF($H$4="(nonblank)",--('Final Calculation Sheet'!$C$7&lt;&gt;""),--ISNUMBER(SEARCH($H$4,'Final Calculation Sheet'!$C$7)))))</f>
        <v/>
      </c>
      <c r="DN62">
        <f>IF($I$4="",1,IF($I$4="(blank)",--('Final Calculation Sheet'!$H$7=""),IF($I$4="(nonblank)",--('Final Calculation Sheet'!$H$7&lt;&gt;""),--ISNUMBER(SEARCH($I$4,'Final Calculation Sheet'!$H$7)))))</f>
        <v/>
      </c>
      <c r="DO62">
        <f>IF($J$4="",1,IF($J$4="(blank)",--('Final Calculation Sheet'!$I$7=""),IF($J$4="(nonblank)",--('Final Calculation Sheet'!$I$7&lt;&gt;""),--ISNUMBER(SEARCH($J$4,'Final Calculation Sheet'!$I$7)))))</f>
        <v/>
      </c>
      <c r="DP62">
        <f>IF($K$4="",1,IF($K$4="(blank)",--('Final Calculation Sheet'!$J$7=""),IF($K$4="(nonblank)",--('Final Calculation Sheet'!$J$7&lt;&gt;""),--ISNUMBER(SEARCH($K$4,'Final Calculation Sheet'!$J$7)))))</f>
        <v/>
      </c>
      <c r="DQ62">
        <f>IF($L$4="",1,IF($L$4="(blank)",--('Final Calculation Sheet'!$K$7=""),IF($L$4="(nonblank)",--('Final Calculation Sheet'!$K$7&lt;&gt;""),--ISNUMBER(SEARCH($L$4,'Final Calculation Sheet'!$K$7)))))</f>
        <v/>
      </c>
      <c r="DR62">
        <f>IF($M$4="",1,IF($M$4="(blank)",--('Final Calculation Sheet'!$L$7=""),IF($M$4="(nonblank)",--('Final Calculation Sheet'!$L$7&lt;&gt;""),--ISNUMBER(SEARCH($M$4,'Final Calculation Sheet'!$L$7)))))</f>
        <v/>
      </c>
      <c r="DS62">
        <f>IF($N$4="",1,IF($N$4="(blank)",--('Final Calculation Sheet'!$M$7=""),IF($N$4="(nonblank)",--('Final Calculation Sheet'!$M$7&lt;&gt;""),--ISNUMBER(SEARCH($N$4,'Final Calculation Sheet'!$M$7)))))</f>
        <v/>
      </c>
      <c r="DT62">
        <f>IF($O$4="",1,IF($O$4="(blank)",--('Final Calculation Sheet'!$N$7=""),IF($O$4="(nonblank)",--('Final Calculation Sheet'!$N$7&lt;&gt;""),--ISNUMBER(SEARCH($O$4,'Final Calculation Sheet'!$N$7)))))</f>
        <v/>
      </c>
      <c r="DU62">
        <f>IF($P$4="",1,IF($P$4="(blank)",--('Final Calculation Sheet'!$O$7=""),IF($P$4="(nonblank)",--('Final Calculation Sheet'!$O$7&lt;&gt;""),--ISNUMBER(SEARCH($P$4,'Final Calculation Sheet'!$O$7)))))</f>
        <v/>
      </c>
      <c r="DV62">
        <f>IF($Q$4="",1,IF($Q$4="(blank)",--('Final Calculation Sheet'!$P$7=""),IF($Q$4="(nonblank)",--('Final Calculation Sheet'!$P$7&lt;&gt;""),--ISNUMBER(SEARCH($Q$4,'Final Calculation Sheet'!$P$7)))))</f>
        <v/>
      </c>
      <c r="DW62">
        <f>IF($R$4="",1,IF($R$4="(blank)",--('Final Calculation Sheet'!$Q$7=""),IF($R$4="(nonblank)",--('Final Calculation Sheet'!$Q$7&lt;&gt;""),--ISNUMBER(SEARCH($R$4,'Final Calculation Sheet'!$Q$7)))))</f>
        <v/>
      </c>
      <c r="DX62">
        <f>IF($S$4="",1,IF($S$4="(blank)",--('Final Calculation Sheet'!$R$7=""),IF($S$4="(nonblank)",--('Final Calculation Sheet'!$R$7&lt;&gt;""),--ISNUMBER(SEARCH($S$4,'Final Calculation Sheet'!$R$7)))))</f>
        <v/>
      </c>
      <c r="DY62">
        <f>IF($T$4="",1,IF($T$4="(blank)",--('Final Calculation Sheet'!$S$7=""),IF($T$4="(nonblank)",--('Final Calculation Sheet'!$S$7&lt;&gt;""),--ISNUMBER(SEARCH($T$4,'Final Calculation Sheet'!$S$7)))))</f>
        <v/>
      </c>
      <c r="DZ62">
        <f>IF($U$4="",1,IF($U$4="(blank)",--('Final Calculation Sheet'!$T$7=""),IF($U$4="(nonblank)",--('Final Calculation Sheet'!$T$7&lt;&gt;""),--ISNUMBER(SEARCH($U$4,'Final Calculation Sheet'!$T$7)))))</f>
        <v/>
      </c>
      <c r="EA62">
        <f>IF($V$4="",1,IF($V$4="(blank)",--('Final Calculation Sheet'!$U$7=""),IF($V$4="(nonblank)",--('Final Calculation Sheet'!$U$7&lt;&gt;""),--ISNUMBER(SEARCH($V$4,'Final Calculation Sheet'!$U$7)))))</f>
        <v/>
      </c>
      <c r="EB62">
        <f>IF($W$4="",1,IF($W$4="(blank)",--('Final Calculation Sheet'!$V$7=""),IF($W$4="(nonblank)",--('Final Calculation Sheet'!$V$7&lt;&gt;""),--ISNUMBER(SEARCH($W$4,'Final Calculation Sheet'!$V$7)))))</f>
        <v/>
      </c>
      <c r="EC62">
        <f>IF($X$4="",1,IF($X$4="(blank)",--('Final Calculation Sheet'!$W$7=""),IF($X$4="(nonblank)",--('Final Calculation Sheet'!$W$7&lt;&gt;""),--ISNUMBER(SEARCH($X$4,'Final Calculation Sheet'!$W$7)))))</f>
        <v/>
      </c>
      <c r="ED62">
        <f>IF($Y$4="",1,IF($Y$4="(blank)",--('Final Calculation Sheet'!$X$7=""),IF($Y$4="(nonblank)",--('Final Calculation Sheet'!$X$7&lt;&gt;""),--ISNUMBER(SEARCH($Y$4,'Final Calculation Sheet'!$X$7)))))</f>
        <v/>
      </c>
      <c r="EE62">
        <f>IF($Z$4="",1,IF($Z$4="(blank)",--('Final Calculation Sheet'!$Y$7=""),IF($Z$4="(nonblank)",--('Final Calculation Sheet'!$Y$7&lt;&gt;""),--ISNUMBER(SEARCH($Z$4,'Final Calculation Sheet'!$Y$7)))))</f>
        <v/>
      </c>
      <c r="EF62">
        <f>IF($AA$4="",1,IF($AA$4="(blank)",--('Final Calculation Sheet'!$Z$7=""),IF($AA$4="(nonblank)",--('Final Calculation Sheet'!$Z$7&lt;&gt;""),--ISNUMBER(SEARCH($AA$4,'Final Calculation Sheet'!$Z$7)))))</f>
        <v/>
      </c>
      <c r="EG62">
        <f>IF($AB$4="",1,IF($AB$4="(blank)",--('Final Calculation Sheet'!$AA$7=""),IF($AB$4="(nonblank)",--('Final Calculation Sheet'!$AA$7&lt;&gt;""),--ISNUMBER(SEARCH($AB$4,'Final Calculation Sheet'!$AA$7)))))</f>
        <v/>
      </c>
      <c r="EH62">
        <f>IF($AC$4="",1,IF($AC$4="(blank)",--('Final Calculation Sheet'!$AB$7=""),IF($AC$4="(nonblank)",--('Final Calculation Sheet'!$AB$7&lt;&gt;""),--ISNUMBER(SEARCH($AC$4,'Final Calculation Sheet'!$AB$7)))))</f>
        <v/>
      </c>
      <c r="EI62">
        <f>IF($AD$4="",1,IF($AD$4="(blank)",--('Final Calculation Sheet'!$AC$7=""),IF($AD$4="(nonblank)",--('Final Calculation Sheet'!$AC$7&lt;&gt;""),--ISNUMBER(SEARCH($AD$4,'Final Calculation Sheet'!$AC$7)))))</f>
        <v/>
      </c>
      <c r="EJ62">
        <f>IF($AE$4="",1,IF($AE$4="(blank)",--('Final Calculation Sheet'!$AD$7=""),IF($AE$4="(nonblank)",--('Final Calculation Sheet'!$AD$7&lt;&gt;""),--ISNUMBER(SEARCH($AE$4,'Final Calculation Sheet'!$AD$7)))))</f>
        <v/>
      </c>
      <c r="EK62">
        <f>IF($AF$4="",1,IF($AF$4="(blank)",--(IF('Final Calculation Sheet'!$AD$7&lt;=5,"SETTLED","OUTSTANDING")=""),IF($AF$4="(nonblank)",--(IF('Final Calculation Sheet'!$AD$7&lt;=5,"SETTLED","OUTSTANDING")&lt;&gt;""),--ISNUMBER(SEARCH($AF$4,IF('Final Calculation Sheet'!$AD$7&lt;=5,"SETTLED","OUTSTANDING"))))))</f>
        <v/>
      </c>
      <c r="EL62">
        <f>IF($AG$4="",1,IF($AG$4="(blank)",--('Final Calculation Sheet'!$AF$7=""),IF($AG$4="(nonblank)",--('Final Calculation Sheet'!$AF$7&lt;&gt;""),--ISNUMBER(SEARCH($AG$4,'Final Calculation Sheet'!$AF$7)))))</f>
        <v/>
      </c>
      <c r="EM62">
        <f>IF($AH$4="",1,IF($AH$4="(blank)",--('Final Calculation Sheet'!$AG$7=""),IF($AH$4="(nonblank)",--('Final Calculation Sheet'!$AG$7&lt;&gt;""),--ISNUMBER(SEARCH($AH$4,'Final Calculation Sheet'!$AG$7)))))</f>
        <v/>
      </c>
      <c r="EN62">
        <f>IF($AI$4="",1,IF($AI$4="(blank)",--('Final Calculation Sheet'!$AH$7=""),IF($AI$4="(nonblank)",--('Final Calculation Sheet'!$AH$7&lt;&gt;""),--ISNUMBER(SEARCH($AI$4,'Final Calculation Sheet'!$AH$7)))))</f>
        <v/>
      </c>
    </row>
    <row r="63">
      <c r="AM63">
        <f>AM62+IF(AND(Lists!$O$10&lt;&gt;"",ISNUMBER(SEARCH($B$4,Lists!$O$10))),1,0)</f>
        <v/>
      </c>
      <c r="AN63">
        <f>IF(ROW()-56&gt;MAX($AM$57:$AM$95),"",INDEX(Lists!$O$4:$O$42,MATCH(ROW()-56,$AM$57:$AM$95,0)))</f>
        <v/>
      </c>
      <c r="AO63">
        <f>AO62+IF(AND(Lists!$T$10&lt;&gt;"",ISNUMBER(SEARCH($C$4,Lists!$T$10))),1,0)</f>
        <v/>
      </c>
      <c r="AP63">
        <f>IF(ROW()-56&gt;MAX($AO$57:$AO$95),"",INDEX(Lists!$T$4:$T$42,MATCH(ROW()-56,$AO$57:$AO$95,0)))</f>
        <v/>
      </c>
      <c r="AQ63">
        <f>AQ62+IF(AND(Lists!$Y$10&lt;&gt;"",ISNUMBER(SEARCH($D$4,Lists!$Y$10))),1,0)</f>
        <v/>
      </c>
      <c r="AR63">
        <f>IF(ROW()-56&gt;MAX($AQ$57:$AQ$95),"",INDEX(Lists!$Y$4:$Y$42,MATCH(ROW()-56,$AQ$57:$AQ$95,0)))</f>
        <v/>
      </c>
      <c r="AS63">
        <f>AS62+IF(AND(Lists!$AD$10&lt;&gt;"",ISNUMBER(SEARCH($E$4,Lists!$AD$10))),1,0)</f>
        <v/>
      </c>
      <c r="AT63">
        <f>IF(ROW()-56&gt;MAX($AS$57:$AS$95),"",INDEX(Lists!$AD$4:$AD$42,MATCH(ROW()-56,$AS$57:$AS$95,0)))</f>
        <v/>
      </c>
      <c r="AU63">
        <f>AU62+IF(AND(Lists!$AI$10&lt;&gt;"",ISNUMBER(SEARCH($F$4,Lists!$AI$10))),1,0)</f>
        <v/>
      </c>
      <c r="AV63">
        <f>IF(ROW()-56&gt;MAX($AU$57:$AU$95),"",INDEX(Lists!$AI$4:$AI$42,MATCH(ROW()-56,$AU$57:$AU$95,0)))</f>
        <v/>
      </c>
      <c r="AW63">
        <f>AW62+IF(AND(Lists!$AN$10&lt;&gt;"",ISNUMBER(SEARCH($G$4,Lists!$AN$10))),1,0)</f>
        <v/>
      </c>
      <c r="AX63">
        <f>IF(ROW()-56&gt;MAX($AW$57:$AW$95),"",INDEX(Lists!$AN$4:$AN$42,MATCH(ROW()-56,$AW$57:$AW$95,0)))</f>
        <v/>
      </c>
      <c r="AY63">
        <f>AY62+IF(AND(Lists!$AS$10&lt;&gt;"",ISNUMBER(SEARCH($H$4,Lists!$AS$10))),1,0)</f>
        <v/>
      </c>
      <c r="AZ63">
        <f>IF(ROW()-56&gt;MAX($AY$57:$AY$95),"",INDEX(Lists!$AS$4:$AS$42,MATCH(ROW()-56,$AY$57:$AY$95,0)))</f>
        <v/>
      </c>
      <c r="BA63">
        <f>BA62+IF(AND(Lists!$AX$10&lt;&gt;"",ISNUMBER(SEARCH($I$4,Lists!$AX$10))),1,0)</f>
        <v/>
      </c>
      <c r="BB63">
        <f>IF(ROW()-56&gt;MAX($BA$57:$BA$95),"",INDEX(Lists!$AX$4:$AX$42,MATCH(ROW()-56,$BA$57:$BA$95,0)))</f>
        <v/>
      </c>
      <c r="BC63">
        <f>BC62+IF(AND(Lists!$BC$10&lt;&gt;"",ISNUMBER(SEARCH($J$4,Lists!$BC$10))),1,0)</f>
        <v/>
      </c>
      <c r="BD63">
        <f>IF(ROW()-56&gt;MAX($BC$57:$BC$95),"",INDEX(Lists!$BC$4:$BC$42,MATCH(ROW()-56,$BC$57:$BC$95,0)))</f>
        <v/>
      </c>
      <c r="BE63">
        <f>BE62+IF(AND(Lists!$BH$10&lt;&gt;"",ISNUMBER(SEARCH($K$4,Lists!$BH$10))),1,0)</f>
        <v/>
      </c>
      <c r="BF63">
        <f>IF(ROW()-56&gt;MAX($BE$57:$BE$95),"",INDEX(Lists!$BH$4:$BH$42,MATCH(ROW()-56,$BE$57:$BE$95,0)))</f>
        <v/>
      </c>
      <c r="BG63">
        <f>BG62+IF(AND(Lists!$BM$10&lt;&gt;"",ISNUMBER(SEARCH($L$4,Lists!$BM$10))),1,0)</f>
        <v/>
      </c>
      <c r="BH63">
        <f>IF(ROW()-56&gt;MAX($BG$57:$BG$95),"",INDEX(Lists!$BM$4:$BM$42,MATCH(ROW()-56,$BG$57:$BG$95,0)))</f>
        <v/>
      </c>
      <c r="BI63">
        <f>BI62+IF(AND(Lists!$BR$10&lt;&gt;"",ISNUMBER(SEARCH($M$4,Lists!$BR$10))),1,0)</f>
        <v/>
      </c>
      <c r="BJ63">
        <f>IF(ROW()-56&gt;MAX($BI$57:$BI$95),"",INDEX(Lists!$BR$4:$BR$42,MATCH(ROW()-56,$BI$57:$BI$95,0)))</f>
        <v/>
      </c>
      <c r="BK63">
        <f>BK62+IF(AND(Lists!$BW$10&lt;&gt;"",ISNUMBER(SEARCH($N$4,Lists!$BW$10))),1,0)</f>
        <v/>
      </c>
      <c r="BL63">
        <f>IF(ROW()-56&gt;MAX($BK$57:$BK$95),"",INDEX(Lists!$BW$4:$BW$42,MATCH(ROW()-56,$BK$57:$BK$95,0)))</f>
        <v/>
      </c>
      <c r="BM63">
        <f>BM62+IF(AND(Lists!$CB$10&lt;&gt;"",ISNUMBER(SEARCH($O$4,Lists!$CB$10))),1,0)</f>
        <v/>
      </c>
      <c r="BN63">
        <f>IF(ROW()-56&gt;MAX($BM$57:$BM$95),"",INDEX(Lists!$CB$4:$CB$42,MATCH(ROW()-56,$BM$57:$BM$95,0)))</f>
        <v/>
      </c>
      <c r="BO63">
        <f>BO62+IF(AND(Lists!$CG$10&lt;&gt;"",ISNUMBER(SEARCH($P$4,Lists!$CG$10))),1,0)</f>
        <v/>
      </c>
      <c r="BP63">
        <f>IF(ROW()-56&gt;MAX($BO$57:$BO$95),"",INDEX(Lists!$CG$4:$CG$42,MATCH(ROW()-56,$BO$57:$BO$95,0)))</f>
        <v/>
      </c>
      <c r="BQ63">
        <f>BQ62+IF(AND(Lists!$CL$10&lt;&gt;"",ISNUMBER(SEARCH($Q$4,Lists!$CL$10))),1,0)</f>
        <v/>
      </c>
      <c r="BR63">
        <f>IF(ROW()-56&gt;MAX($BQ$57:$BQ$95),"",INDEX(Lists!$CL$4:$CL$42,MATCH(ROW()-56,$BQ$57:$BQ$95,0)))</f>
        <v/>
      </c>
      <c r="BS63">
        <f>BS62+IF(AND(Lists!$CQ$10&lt;&gt;"",ISNUMBER(SEARCH($R$4,Lists!$CQ$10))),1,0)</f>
        <v/>
      </c>
      <c r="BT63">
        <f>IF(ROW()-56&gt;MAX($BS$57:$BS$95),"",INDEX(Lists!$CQ$4:$CQ$42,MATCH(ROW()-56,$BS$57:$BS$95,0)))</f>
        <v/>
      </c>
      <c r="BU63">
        <f>BU62+IF(AND(Lists!$CV$10&lt;&gt;"",ISNUMBER(SEARCH($S$4,Lists!$CV$10))),1,0)</f>
        <v/>
      </c>
      <c r="BV63">
        <f>IF(ROW()-56&gt;MAX($BU$57:$BU$95),"",INDEX(Lists!$CV$4:$CV$42,MATCH(ROW()-56,$BU$57:$BU$95,0)))</f>
        <v/>
      </c>
      <c r="BW63">
        <f>BW62+IF(AND(Lists!$DA$10&lt;&gt;"",ISNUMBER(SEARCH($T$4,Lists!$DA$10))),1,0)</f>
        <v/>
      </c>
      <c r="BX63">
        <f>IF(ROW()-56&gt;MAX($BW$57:$BW$95),"",INDEX(Lists!$DA$4:$DA$42,MATCH(ROW()-56,$BW$57:$BW$95,0)))</f>
        <v/>
      </c>
      <c r="BY63">
        <f>BY62+IF(AND(Lists!$DF$10&lt;&gt;"",ISNUMBER(SEARCH($U$4,Lists!$DF$10))),1,0)</f>
        <v/>
      </c>
      <c r="BZ63">
        <f>IF(ROW()-56&gt;MAX($BY$57:$BY$95),"",INDEX(Lists!$DF$4:$DF$42,MATCH(ROW()-56,$BY$57:$BY$95,0)))</f>
        <v/>
      </c>
      <c r="CA63">
        <f>CA62+IF(AND(Lists!$DK$10&lt;&gt;"",ISNUMBER(SEARCH($V$4,Lists!$DK$10))),1,0)</f>
        <v/>
      </c>
      <c r="CB63">
        <f>IF(ROW()-56&gt;MAX($CA$57:$CA$95),"",INDEX(Lists!$DK$4:$DK$42,MATCH(ROW()-56,$CA$57:$CA$95,0)))</f>
        <v/>
      </c>
      <c r="CC63">
        <f>CC62+IF(AND(Lists!$DP$10&lt;&gt;"",ISNUMBER(SEARCH($W$4,Lists!$DP$10))),1,0)</f>
        <v/>
      </c>
      <c r="CD63">
        <f>IF(ROW()-56&gt;MAX($CC$57:$CC$95),"",INDEX(Lists!$DP$4:$DP$42,MATCH(ROW()-56,$CC$57:$CC$95,0)))</f>
        <v/>
      </c>
      <c r="CE63">
        <f>CE62+IF(AND(Lists!$DU$10&lt;&gt;"",ISNUMBER(SEARCH($X$4,Lists!$DU$10))),1,0)</f>
        <v/>
      </c>
      <c r="CF63">
        <f>IF(ROW()-56&gt;MAX($CE$57:$CE$95),"",INDEX(Lists!$DU$4:$DU$42,MATCH(ROW()-56,$CE$57:$CE$95,0)))</f>
        <v/>
      </c>
      <c r="CG63">
        <f>CG62+IF(AND(Lists!$DZ$10&lt;&gt;"",ISNUMBER(SEARCH($Y$4,Lists!$DZ$10))),1,0)</f>
        <v/>
      </c>
      <c r="CH63">
        <f>IF(ROW()-56&gt;MAX($CG$57:$CG$95),"",INDEX(Lists!$DZ$4:$DZ$42,MATCH(ROW()-56,$CG$57:$CG$95,0)))</f>
        <v/>
      </c>
      <c r="CI63">
        <f>CI62+IF(AND(Lists!$EE$10&lt;&gt;"",ISNUMBER(SEARCH($Z$4,Lists!$EE$10))),1,0)</f>
        <v/>
      </c>
      <c r="CJ63">
        <f>IF(ROW()-56&gt;MAX($CI$57:$CI$95),"",INDEX(Lists!$EE$4:$EE$42,MATCH(ROW()-56,$CI$57:$CI$95,0)))</f>
        <v/>
      </c>
      <c r="CK63">
        <f>CK62+IF(AND(Lists!$EJ$10&lt;&gt;"",ISNUMBER(SEARCH($AA$4,Lists!$EJ$10))),1,0)</f>
        <v/>
      </c>
      <c r="CL63">
        <f>IF(ROW()-56&gt;MAX($CK$57:$CK$95),"",INDEX(Lists!$EJ$4:$EJ$42,MATCH(ROW()-56,$CK$57:$CK$95,0)))</f>
        <v/>
      </c>
      <c r="CM63">
        <f>CM62+IF(AND(Lists!$EO$10&lt;&gt;"",ISNUMBER(SEARCH($AB$4,Lists!$EO$10))),1,0)</f>
        <v/>
      </c>
      <c r="CN63">
        <f>IF(ROW()-56&gt;MAX($CM$57:$CM$95),"",INDEX(Lists!$EO$4:$EO$42,MATCH(ROW()-56,$CM$57:$CM$95,0)))</f>
        <v/>
      </c>
      <c r="CO63">
        <f>CO62+IF(AND(Lists!$ET$10&lt;&gt;"",ISNUMBER(SEARCH($AC$4,Lists!$ET$10))),1,0)</f>
        <v/>
      </c>
      <c r="CP63">
        <f>IF(ROW()-56&gt;MAX($CO$57:$CO$95),"",INDEX(Lists!$ET$4:$ET$42,MATCH(ROW()-56,$CO$57:$CO$95,0)))</f>
        <v/>
      </c>
      <c r="CQ63">
        <f>CQ62+IF(AND(Lists!$EY$10&lt;&gt;"",ISNUMBER(SEARCH($AD$4,Lists!$EY$10))),1,0)</f>
        <v/>
      </c>
      <c r="CR63">
        <f>IF(ROW()-56&gt;MAX($CQ$57:$CQ$95),"",INDEX(Lists!$EY$4:$EY$42,MATCH(ROW()-56,$CQ$57:$CQ$95,0)))</f>
        <v/>
      </c>
      <c r="CS63">
        <f>CS62+IF(AND(Lists!$FD$10&lt;&gt;"",ISNUMBER(SEARCH($AE$4,Lists!$FD$10))),1,0)</f>
        <v/>
      </c>
      <c r="CT63">
        <f>IF(ROW()-56&gt;MAX($CS$57:$CS$95),"",INDEX(Lists!$FD$4:$FD$42,MATCH(ROW()-56,$CS$57:$CS$95,0)))</f>
        <v/>
      </c>
      <c r="CU63">
        <f>CU62+IF(AND(Lists!$FI$10&lt;&gt;"",ISNUMBER(SEARCH($AG$4,Lists!$FI$10))),1,0)</f>
        <v/>
      </c>
      <c r="CV63">
        <f>IF(ROW()-56&gt;MAX($CU$57:$CU$95),"",INDEX(Lists!$FI$4:$FI$42,MATCH(ROW()-56,$CU$57:$CU$95,0)))</f>
        <v/>
      </c>
      <c r="CW63">
        <f>CW62+IF(AND(Lists!$FN$10&lt;&gt;"",ISNUMBER(SEARCH($AH$4,Lists!$FN$10))),1,0)</f>
        <v/>
      </c>
      <c r="CX63">
        <f>IF(ROW()-56&gt;MAX($CW$57:$CW$95),"",INDEX(Lists!$FN$4:$FN$42,MATCH(ROW()-56,$CW$57:$CW$95,0)))</f>
        <v/>
      </c>
      <c r="CY63">
        <f>CY62+IF(AND(Lists!$FS$10&lt;&gt;"",ISNUMBER(SEARCH($AI$4,Lists!$FS$10))),1,0)</f>
        <v/>
      </c>
      <c r="CZ63">
        <f>IF(ROW()-56&gt;MAX($CY$57:$CY$95),"",INDEX(Lists!$FS$4:$FS$42,MATCH(ROW()-56,$CY$57:$CY$95,0)))</f>
        <v/>
      </c>
      <c r="DA63">
        <f>DA62+IF(AND(Lists!$FX$10&lt;&gt;"",ISNUMBER(SEARCH($AF$4,Lists!$FX$10))),1,0)</f>
        <v/>
      </c>
      <c r="DB63">
        <f>IF(ROW()-56&gt;MAX($DA$57:$DA$95),"",INDEX(Lists!$FX$4:$FX$42,MATCH(ROW()-56,$DA$57:$DA$95,0)))</f>
        <v/>
      </c>
      <c r="DG63">
        <f>IF($B$4="",1,IF($B$4="(blank)",--('Final Calculation Sheet'!$F$8=""),IF($B$4="(nonblank)",--('Final Calculation Sheet'!$F$8&lt;&gt;""),--ISNUMBER(SEARCH($B$4,'Final Calculation Sheet'!$F$8)))))</f>
        <v/>
      </c>
      <c r="DH63">
        <f>IF($C$4="",1,IF($C$4="(blank)",--('Final Calculation Sheet'!$G$8=""),IF($C$4="(nonblank)",--('Final Calculation Sheet'!$G$8&lt;&gt;""),--ISNUMBER(SEARCH($C$4,'Final Calculation Sheet'!$G$8)))))</f>
        <v/>
      </c>
      <c r="DI63">
        <f>IF($D$4="",1,IF($D$4="(blank)",--('Final Calculation Sheet'!$B$8=""),IF($D$4="(nonblank)",--('Final Calculation Sheet'!$B$8&lt;&gt;""),--ISNUMBER(SEARCH($D$4,'Final Calculation Sheet'!$B$8)))))</f>
        <v/>
      </c>
      <c r="DJ63">
        <f>IF($E$4="",1,IF($E$4="(blank)",--('Final Calculation Sheet'!$D$8=""),IF($E$4="(nonblank)",--('Final Calculation Sheet'!$D$8&lt;&gt;""),--ISNUMBER(SEARCH($E$4,'Final Calculation Sheet'!$D$8)))))</f>
        <v/>
      </c>
      <c r="DK63">
        <f>IF($F$4="",1,IF($F$4="(blank)",--('Final Calculation Sheet'!$A$8=""),IF($F$4="(nonblank)",--('Final Calculation Sheet'!$A$8&lt;&gt;""),--ISNUMBER(SEARCH($F$4,'Final Calculation Sheet'!$A$8)))))</f>
        <v/>
      </c>
      <c r="DL63">
        <f>IF($G$4="",1,IF($G$4="(blank)",--('Final Calculation Sheet'!$E$8=""),IF($G$4="(nonblank)",--('Final Calculation Sheet'!$E$8&lt;&gt;""),--ISNUMBER(SEARCH($G$4,'Final Calculation Sheet'!$E$8)))))</f>
        <v/>
      </c>
      <c r="DM63">
        <f>IF($H$4="",1,IF($H$4="(blank)",--('Final Calculation Sheet'!$C$8=""),IF($H$4="(nonblank)",--('Final Calculation Sheet'!$C$8&lt;&gt;""),--ISNUMBER(SEARCH($H$4,'Final Calculation Sheet'!$C$8)))))</f>
        <v/>
      </c>
      <c r="DN63">
        <f>IF($I$4="",1,IF($I$4="(blank)",--('Final Calculation Sheet'!$H$8=""),IF($I$4="(nonblank)",--('Final Calculation Sheet'!$H$8&lt;&gt;""),--ISNUMBER(SEARCH($I$4,'Final Calculation Sheet'!$H$8)))))</f>
        <v/>
      </c>
      <c r="DO63">
        <f>IF($J$4="",1,IF($J$4="(blank)",--('Final Calculation Sheet'!$I$8=""),IF($J$4="(nonblank)",--('Final Calculation Sheet'!$I$8&lt;&gt;""),--ISNUMBER(SEARCH($J$4,'Final Calculation Sheet'!$I$8)))))</f>
        <v/>
      </c>
      <c r="DP63">
        <f>IF($K$4="",1,IF($K$4="(blank)",--('Final Calculation Sheet'!$J$8=""),IF($K$4="(nonblank)",--('Final Calculation Sheet'!$J$8&lt;&gt;""),--ISNUMBER(SEARCH($K$4,'Final Calculation Sheet'!$J$8)))))</f>
        <v/>
      </c>
      <c r="DQ63">
        <f>IF($L$4="",1,IF($L$4="(blank)",--('Final Calculation Sheet'!$K$8=""),IF($L$4="(nonblank)",--('Final Calculation Sheet'!$K$8&lt;&gt;""),--ISNUMBER(SEARCH($L$4,'Final Calculation Sheet'!$K$8)))))</f>
        <v/>
      </c>
      <c r="DR63">
        <f>IF($M$4="",1,IF($M$4="(blank)",--('Final Calculation Sheet'!$L$8=""),IF($M$4="(nonblank)",--('Final Calculation Sheet'!$L$8&lt;&gt;""),--ISNUMBER(SEARCH($M$4,'Final Calculation Sheet'!$L$8)))))</f>
        <v/>
      </c>
      <c r="DS63">
        <f>IF($N$4="",1,IF($N$4="(blank)",--('Final Calculation Sheet'!$M$8=""),IF($N$4="(nonblank)",--('Final Calculation Sheet'!$M$8&lt;&gt;""),--ISNUMBER(SEARCH($N$4,'Final Calculation Sheet'!$M$8)))))</f>
        <v/>
      </c>
      <c r="DT63">
        <f>IF($O$4="",1,IF($O$4="(blank)",--('Final Calculation Sheet'!$N$8=""),IF($O$4="(nonblank)",--('Final Calculation Sheet'!$N$8&lt;&gt;""),--ISNUMBER(SEARCH($O$4,'Final Calculation Sheet'!$N$8)))))</f>
        <v/>
      </c>
      <c r="DU63">
        <f>IF($P$4="",1,IF($P$4="(blank)",--('Final Calculation Sheet'!$O$8=""),IF($P$4="(nonblank)",--('Final Calculation Sheet'!$O$8&lt;&gt;""),--ISNUMBER(SEARCH($P$4,'Final Calculation Sheet'!$O$8)))))</f>
        <v/>
      </c>
      <c r="DV63">
        <f>IF($Q$4="",1,IF($Q$4="(blank)",--('Final Calculation Sheet'!$P$8=""),IF($Q$4="(nonblank)",--('Final Calculation Sheet'!$P$8&lt;&gt;""),--ISNUMBER(SEARCH($Q$4,'Final Calculation Sheet'!$P$8)))))</f>
        <v/>
      </c>
      <c r="DW63">
        <f>IF($R$4="",1,IF($R$4="(blank)",--('Final Calculation Sheet'!$Q$8=""),IF($R$4="(nonblank)",--('Final Calculation Sheet'!$Q$8&lt;&gt;""),--ISNUMBER(SEARCH($R$4,'Final Calculation Sheet'!$Q$8)))))</f>
        <v/>
      </c>
      <c r="DX63">
        <f>IF($S$4="",1,IF($S$4="(blank)",--('Final Calculation Sheet'!$R$8=""),IF($S$4="(nonblank)",--('Final Calculation Sheet'!$R$8&lt;&gt;""),--ISNUMBER(SEARCH($S$4,'Final Calculation Sheet'!$R$8)))))</f>
        <v/>
      </c>
      <c r="DY63">
        <f>IF($T$4="",1,IF($T$4="(blank)",--('Final Calculation Sheet'!$S$8=""),IF($T$4="(nonblank)",--('Final Calculation Sheet'!$S$8&lt;&gt;""),--ISNUMBER(SEARCH($T$4,'Final Calculation Sheet'!$S$8)))))</f>
        <v/>
      </c>
      <c r="DZ63">
        <f>IF($U$4="",1,IF($U$4="(blank)",--('Final Calculation Sheet'!$T$8=""),IF($U$4="(nonblank)",--('Final Calculation Sheet'!$T$8&lt;&gt;""),--ISNUMBER(SEARCH($U$4,'Final Calculation Sheet'!$T$8)))))</f>
        <v/>
      </c>
      <c r="EA63">
        <f>IF($V$4="",1,IF($V$4="(blank)",--('Final Calculation Sheet'!$U$8=""),IF($V$4="(nonblank)",--('Final Calculation Sheet'!$U$8&lt;&gt;""),--ISNUMBER(SEARCH($V$4,'Final Calculation Sheet'!$U$8)))))</f>
        <v/>
      </c>
      <c r="EB63">
        <f>IF($W$4="",1,IF($W$4="(blank)",--('Final Calculation Sheet'!$V$8=""),IF($W$4="(nonblank)",--('Final Calculation Sheet'!$V$8&lt;&gt;""),--ISNUMBER(SEARCH($W$4,'Final Calculation Sheet'!$V$8)))))</f>
        <v/>
      </c>
      <c r="EC63">
        <f>IF($X$4="",1,IF($X$4="(blank)",--('Final Calculation Sheet'!$W$8=""),IF($X$4="(nonblank)",--('Final Calculation Sheet'!$W$8&lt;&gt;""),--ISNUMBER(SEARCH($X$4,'Final Calculation Sheet'!$W$8)))))</f>
        <v/>
      </c>
      <c r="ED63">
        <f>IF($Y$4="",1,IF($Y$4="(blank)",--('Final Calculation Sheet'!$X$8=""),IF($Y$4="(nonblank)",--('Final Calculation Sheet'!$X$8&lt;&gt;""),--ISNUMBER(SEARCH($Y$4,'Final Calculation Sheet'!$X$8)))))</f>
        <v/>
      </c>
      <c r="EE63">
        <f>IF($Z$4="",1,IF($Z$4="(blank)",--('Final Calculation Sheet'!$Y$8=""),IF($Z$4="(nonblank)",--('Final Calculation Sheet'!$Y$8&lt;&gt;""),--ISNUMBER(SEARCH($Z$4,'Final Calculation Sheet'!$Y$8)))))</f>
        <v/>
      </c>
      <c r="EF63">
        <f>IF($AA$4="",1,IF($AA$4="(blank)",--('Final Calculation Sheet'!$Z$8=""),IF($AA$4="(nonblank)",--('Final Calculation Sheet'!$Z$8&lt;&gt;""),--ISNUMBER(SEARCH($AA$4,'Final Calculation Sheet'!$Z$8)))))</f>
        <v/>
      </c>
      <c r="EG63">
        <f>IF($AB$4="",1,IF($AB$4="(blank)",--('Final Calculation Sheet'!$AA$8=""),IF($AB$4="(nonblank)",--('Final Calculation Sheet'!$AA$8&lt;&gt;""),--ISNUMBER(SEARCH($AB$4,'Final Calculation Sheet'!$AA$8)))))</f>
        <v/>
      </c>
      <c r="EH63">
        <f>IF($AC$4="",1,IF($AC$4="(blank)",--('Final Calculation Sheet'!$AB$8=""),IF($AC$4="(nonblank)",--('Final Calculation Sheet'!$AB$8&lt;&gt;""),--ISNUMBER(SEARCH($AC$4,'Final Calculation Sheet'!$AB$8)))))</f>
        <v/>
      </c>
      <c r="EI63">
        <f>IF($AD$4="",1,IF($AD$4="(blank)",--('Final Calculation Sheet'!$AC$8=""),IF($AD$4="(nonblank)",--('Final Calculation Sheet'!$AC$8&lt;&gt;""),--ISNUMBER(SEARCH($AD$4,'Final Calculation Sheet'!$AC$8)))))</f>
        <v/>
      </c>
      <c r="EJ63">
        <f>IF($AE$4="",1,IF($AE$4="(blank)",--('Final Calculation Sheet'!$AD$8=""),IF($AE$4="(nonblank)",--('Final Calculation Sheet'!$AD$8&lt;&gt;""),--ISNUMBER(SEARCH($AE$4,'Final Calculation Sheet'!$AD$8)))))</f>
        <v/>
      </c>
      <c r="EK63">
        <f>IF($AF$4="",1,IF($AF$4="(blank)",--(IF('Final Calculation Sheet'!$AD$8&lt;=5,"SETTLED","OUTSTANDING")=""),IF($AF$4="(nonblank)",--(IF('Final Calculation Sheet'!$AD$8&lt;=5,"SETTLED","OUTSTANDING")&lt;&gt;""),--ISNUMBER(SEARCH($AF$4,IF('Final Calculation Sheet'!$AD$8&lt;=5,"SETTLED","OUTSTANDING"))))))</f>
        <v/>
      </c>
      <c r="EL63">
        <f>IF($AG$4="",1,IF($AG$4="(blank)",--('Final Calculation Sheet'!$AF$8=""),IF($AG$4="(nonblank)",--('Final Calculation Sheet'!$AF$8&lt;&gt;""),--ISNUMBER(SEARCH($AG$4,'Final Calculation Sheet'!$AF$8)))))</f>
        <v/>
      </c>
      <c r="EM63">
        <f>IF($AH$4="",1,IF($AH$4="(blank)",--('Final Calculation Sheet'!$AG$8=""),IF($AH$4="(nonblank)",--('Final Calculation Sheet'!$AG$8&lt;&gt;""),--ISNUMBER(SEARCH($AH$4,'Final Calculation Sheet'!$AG$8)))))</f>
        <v/>
      </c>
      <c r="EN63">
        <f>IF($AI$4="",1,IF($AI$4="(blank)",--('Final Calculation Sheet'!$AH$8=""),IF($AI$4="(nonblank)",--('Final Calculation Sheet'!$AH$8&lt;&gt;""),--ISNUMBER(SEARCH($AI$4,'Final Calculation Sheet'!$AH$8)))))</f>
        <v/>
      </c>
    </row>
    <row r="64">
      <c r="AM64">
        <f>AM63+IF(AND(Lists!$O$11&lt;&gt;"",ISNUMBER(SEARCH($B$4,Lists!$O$11))),1,0)</f>
        <v/>
      </c>
      <c r="AN64">
        <f>IF(ROW()-56&gt;MAX($AM$57:$AM$95),"",INDEX(Lists!$O$4:$O$42,MATCH(ROW()-56,$AM$57:$AM$95,0)))</f>
        <v/>
      </c>
      <c r="AO64">
        <f>AO63+IF(AND(Lists!$T$11&lt;&gt;"",ISNUMBER(SEARCH($C$4,Lists!$T$11))),1,0)</f>
        <v/>
      </c>
      <c r="AP64">
        <f>IF(ROW()-56&gt;MAX($AO$57:$AO$95),"",INDEX(Lists!$T$4:$T$42,MATCH(ROW()-56,$AO$57:$AO$95,0)))</f>
        <v/>
      </c>
      <c r="AQ64">
        <f>AQ63+IF(AND(Lists!$Y$11&lt;&gt;"",ISNUMBER(SEARCH($D$4,Lists!$Y$11))),1,0)</f>
        <v/>
      </c>
      <c r="AR64">
        <f>IF(ROW()-56&gt;MAX($AQ$57:$AQ$95),"",INDEX(Lists!$Y$4:$Y$42,MATCH(ROW()-56,$AQ$57:$AQ$95,0)))</f>
        <v/>
      </c>
      <c r="AS64">
        <f>AS63+IF(AND(Lists!$AD$11&lt;&gt;"",ISNUMBER(SEARCH($E$4,Lists!$AD$11))),1,0)</f>
        <v/>
      </c>
      <c r="AT64">
        <f>IF(ROW()-56&gt;MAX($AS$57:$AS$95),"",INDEX(Lists!$AD$4:$AD$42,MATCH(ROW()-56,$AS$57:$AS$95,0)))</f>
        <v/>
      </c>
      <c r="AU64">
        <f>AU63+IF(AND(Lists!$AI$11&lt;&gt;"",ISNUMBER(SEARCH($F$4,Lists!$AI$11))),1,0)</f>
        <v/>
      </c>
      <c r="AV64">
        <f>IF(ROW()-56&gt;MAX($AU$57:$AU$95),"",INDEX(Lists!$AI$4:$AI$42,MATCH(ROW()-56,$AU$57:$AU$95,0)))</f>
        <v/>
      </c>
      <c r="AW64">
        <f>AW63+IF(AND(Lists!$AN$11&lt;&gt;"",ISNUMBER(SEARCH($G$4,Lists!$AN$11))),1,0)</f>
        <v/>
      </c>
      <c r="AX64">
        <f>IF(ROW()-56&gt;MAX($AW$57:$AW$95),"",INDEX(Lists!$AN$4:$AN$42,MATCH(ROW()-56,$AW$57:$AW$95,0)))</f>
        <v/>
      </c>
      <c r="AY64">
        <f>AY63+IF(AND(Lists!$AS$11&lt;&gt;"",ISNUMBER(SEARCH($H$4,Lists!$AS$11))),1,0)</f>
        <v/>
      </c>
      <c r="AZ64">
        <f>IF(ROW()-56&gt;MAX($AY$57:$AY$95),"",INDEX(Lists!$AS$4:$AS$42,MATCH(ROW()-56,$AY$57:$AY$95,0)))</f>
        <v/>
      </c>
      <c r="BA64">
        <f>BA63+IF(AND(Lists!$AX$11&lt;&gt;"",ISNUMBER(SEARCH($I$4,Lists!$AX$11))),1,0)</f>
        <v/>
      </c>
      <c r="BB64">
        <f>IF(ROW()-56&gt;MAX($BA$57:$BA$95),"",INDEX(Lists!$AX$4:$AX$42,MATCH(ROW()-56,$BA$57:$BA$95,0)))</f>
        <v/>
      </c>
      <c r="BC64">
        <f>BC63+IF(AND(Lists!$BC$11&lt;&gt;"",ISNUMBER(SEARCH($J$4,Lists!$BC$11))),1,0)</f>
        <v/>
      </c>
      <c r="BD64">
        <f>IF(ROW()-56&gt;MAX($BC$57:$BC$95),"",INDEX(Lists!$BC$4:$BC$42,MATCH(ROW()-56,$BC$57:$BC$95,0)))</f>
        <v/>
      </c>
      <c r="BE64">
        <f>BE63+IF(AND(Lists!$BH$11&lt;&gt;"",ISNUMBER(SEARCH($K$4,Lists!$BH$11))),1,0)</f>
        <v/>
      </c>
      <c r="BF64">
        <f>IF(ROW()-56&gt;MAX($BE$57:$BE$95),"",INDEX(Lists!$BH$4:$BH$42,MATCH(ROW()-56,$BE$57:$BE$95,0)))</f>
        <v/>
      </c>
      <c r="BG64">
        <f>BG63+IF(AND(Lists!$BM$11&lt;&gt;"",ISNUMBER(SEARCH($L$4,Lists!$BM$11))),1,0)</f>
        <v/>
      </c>
      <c r="BH64">
        <f>IF(ROW()-56&gt;MAX($BG$57:$BG$95),"",INDEX(Lists!$BM$4:$BM$42,MATCH(ROW()-56,$BG$57:$BG$95,0)))</f>
        <v/>
      </c>
      <c r="BI64">
        <f>BI63+IF(AND(Lists!$BR$11&lt;&gt;"",ISNUMBER(SEARCH($M$4,Lists!$BR$11))),1,0)</f>
        <v/>
      </c>
      <c r="BJ64">
        <f>IF(ROW()-56&gt;MAX($BI$57:$BI$95),"",INDEX(Lists!$BR$4:$BR$42,MATCH(ROW()-56,$BI$57:$BI$95,0)))</f>
        <v/>
      </c>
      <c r="BK64">
        <f>BK63+IF(AND(Lists!$BW$11&lt;&gt;"",ISNUMBER(SEARCH($N$4,Lists!$BW$11))),1,0)</f>
        <v/>
      </c>
      <c r="BL64">
        <f>IF(ROW()-56&gt;MAX($BK$57:$BK$95),"",INDEX(Lists!$BW$4:$BW$42,MATCH(ROW()-56,$BK$57:$BK$95,0)))</f>
        <v/>
      </c>
      <c r="BM64">
        <f>BM63+IF(AND(Lists!$CB$11&lt;&gt;"",ISNUMBER(SEARCH($O$4,Lists!$CB$11))),1,0)</f>
        <v/>
      </c>
      <c r="BN64">
        <f>IF(ROW()-56&gt;MAX($BM$57:$BM$95),"",INDEX(Lists!$CB$4:$CB$42,MATCH(ROW()-56,$BM$57:$BM$95,0)))</f>
        <v/>
      </c>
      <c r="BO64">
        <f>BO63+IF(AND(Lists!$CG$11&lt;&gt;"",ISNUMBER(SEARCH($P$4,Lists!$CG$11))),1,0)</f>
        <v/>
      </c>
      <c r="BP64">
        <f>IF(ROW()-56&gt;MAX($BO$57:$BO$95),"",INDEX(Lists!$CG$4:$CG$42,MATCH(ROW()-56,$BO$57:$BO$95,0)))</f>
        <v/>
      </c>
      <c r="BQ64">
        <f>BQ63+IF(AND(Lists!$CL$11&lt;&gt;"",ISNUMBER(SEARCH($Q$4,Lists!$CL$11))),1,0)</f>
        <v/>
      </c>
      <c r="BR64">
        <f>IF(ROW()-56&gt;MAX($BQ$57:$BQ$95),"",INDEX(Lists!$CL$4:$CL$42,MATCH(ROW()-56,$BQ$57:$BQ$95,0)))</f>
        <v/>
      </c>
      <c r="BS64">
        <f>BS63+IF(AND(Lists!$CQ$11&lt;&gt;"",ISNUMBER(SEARCH($R$4,Lists!$CQ$11))),1,0)</f>
        <v/>
      </c>
      <c r="BT64">
        <f>IF(ROW()-56&gt;MAX($BS$57:$BS$95),"",INDEX(Lists!$CQ$4:$CQ$42,MATCH(ROW()-56,$BS$57:$BS$95,0)))</f>
        <v/>
      </c>
      <c r="BU64">
        <f>BU63+IF(AND(Lists!$CV$11&lt;&gt;"",ISNUMBER(SEARCH($S$4,Lists!$CV$11))),1,0)</f>
        <v/>
      </c>
      <c r="BV64">
        <f>IF(ROW()-56&gt;MAX($BU$57:$BU$95),"",INDEX(Lists!$CV$4:$CV$42,MATCH(ROW()-56,$BU$57:$BU$95,0)))</f>
        <v/>
      </c>
      <c r="BW64">
        <f>BW63+IF(AND(Lists!$DA$11&lt;&gt;"",ISNUMBER(SEARCH($T$4,Lists!$DA$11))),1,0)</f>
        <v/>
      </c>
      <c r="BX64">
        <f>IF(ROW()-56&gt;MAX($BW$57:$BW$95),"",INDEX(Lists!$DA$4:$DA$42,MATCH(ROW()-56,$BW$57:$BW$95,0)))</f>
        <v/>
      </c>
      <c r="BY64">
        <f>BY63+IF(AND(Lists!$DF$11&lt;&gt;"",ISNUMBER(SEARCH($U$4,Lists!$DF$11))),1,0)</f>
        <v/>
      </c>
      <c r="BZ64">
        <f>IF(ROW()-56&gt;MAX($BY$57:$BY$95),"",INDEX(Lists!$DF$4:$DF$42,MATCH(ROW()-56,$BY$57:$BY$95,0)))</f>
        <v/>
      </c>
      <c r="CA64">
        <f>CA63+IF(AND(Lists!$DK$11&lt;&gt;"",ISNUMBER(SEARCH($V$4,Lists!$DK$11))),1,0)</f>
        <v/>
      </c>
      <c r="CB64">
        <f>IF(ROW()-56&gt;MAX($CA$57:$CA$95),"",INDEX(Lists!$DK$4:$DK$42,MATCH(ROW()-56,$CA$57:$CA$95,0)))</f>
        <v/>
      </c>
      <c r="CC64">
        <f>CC63+IF(AND(Lists!$DP$11&lt;&gt;"",ISNUMBER(SEARCH($W$4,Lists!$DP$11))),1,0)</f>
        <v/>
      </c>
      <c r="CD64">
        <f>IF(ROW()-56&gt;MAX($CC$57:$CC$95),"",INDEX(Lists!$DP$4:$DP$42,MATCH(ROW()-56,$CC$57:$CC$95,0)))</f>
        <v/>
      </c>
      <c r="CE64">
        <f>CE63+IF(AND(Lists!$DU$11&lt;&gt;"",ISNUMBER(SEARCH($X$4,Lists!$DU$11))),1,0)</f>
        <v/>
      </c>
      <c r="CF64">
        <f>IF(ROW()-56&gt;MAX($CE$57:$CE$95),"",INDEX(Lists!$DU$4:$DU$42,MATCH(ROW()-56,$CE$57:$CE$95,0)))</f>
        <v/>
      </c>
      <c r="CG64">
        <f>CG63+IF(AND(Lists!$DZ$11&lt;&gt;"",ISNUMBER(SEARCH($Y$4,Lists!$DZ$11))),1,0)</f>
        <v/>
      </c>
      <c r="CH64">
        <f>IF(ROW()-56&gt;MAX($CG$57:$CG$95),"",INDEX(Lists!$DZ$4:$DZ$42,MATCH(ROW()-56,$CG$57:$CG$95,0)))</f>
        <v/>
      </c>
      <c r="CI64">
        <f>CI63+IF(AND(Lists!$EE$11&lt;&gt;"",ISNUMBER(SEARCH($Z$4,Lists!$EE$11))),1,0)</f>
        <v/>
      </c>
      <c r="CJ64">
        <f>IF(ROW()-56&gt;MAX($CI$57:$CI$95),"",INDEX(Lists!$EE$4:$EE$42,MATCH(ROW()-56,$CI$57:$CI$95,0)))</f>
        <v/>
      </c>
      <c r="CK64">
        <f>CK63+IF(AND(Lists!$EJ$11&lt;&gt;"",ISNUMBER(SEARCH($AA$4,Lists!$EJ$11))),1,0)</f>
        <v/>
      </c>
      <c r="CL64">
        <f>IF(ROW()-56&gt;MAX($CK$57:$CK$95),"",INDEX(Lists!$EJ$4:$EJ$42,MATCH(ROW()-56,$CK$57:$CK$95,0)))</f>
        <v/>
      </c>
      <c r="CM64">
        <f>CM63+IF(AND(Lists!$EO$11&lt;&gt;"",ISNUMBER(SEARCH($AB$4,Lists!$EO$11))),1,0)</f>
        <v/>
      </c>
      <c r="CN64">
        <f>IF(ROW()-56&gt;MAX($CM$57:$CM$95),"",INDEX(Lists!$EO$4:$EO$42,MATCH(ROW()-56,$CM$57:$CM$95,0)))</f>
        <v/>
      </c>
      <c r="CO64">
        <f>CO63+IF(AND(Lists!$ET$11&lt;&gt;"",ISNUMBER(SEARCH($AC$4,Lists!$ET$11))),1,0)</f>
        <v/>
      </c>
      <c r="CP64">
        <f>IF(ROW()-56&gt;MAX($CO$57:$CO$95),"",INDEX(Lists!$ET$4:$ET$42,MATCH(ROW()-56,$CO$57:$CO$95,0)))</f>
        <v/>
      </c>
      <c r="CQ64">
        <f>CQ63+IF(AND(Lists!$EY$11&lt;&gt;"",ISNUMBER(SEARCH($AD$4,Lists!$EY$11))),1,0)</f>
        <v/>
      </c>
      <c r="CR64">
        <f>IF(ROW()-56&gt;MAX($CQ$57:$CQ$95),"",INDEX(Lists!$EY$4:$EY$42,MATCH(ROW()-56,$CQ$57:$CQ$95,0)))</f>
        <v/>
      </c>
      <c r="CS64">
        <f>CS63+IF(AND(Lists!$FD$11&lt;&gt;"",ISNUMBER(SEARCH($AE$4,Lists!$FD$11))),1,0)</f>
        <v/>
      </c>
      <c r="CT64">
        <f>IF(ROW()-56&gt;MAX($CS$57:$CS$95),"",INDEX(Lists!$FD$4:$FD$42,MATCH(ROW()-56,$CS$57:$CS$95,0)))</f>
        <v/>
      </c>
      <c r="CU64">
        <f>CU63+IF(AND(Lists!$FI$11&lt;&gt;"",ISNUMBER(SEARCH($AG$4,Lists!$FI$11))),1,0)</f>
        <v/>
      </c>
      <c r="CV64">
        <f>IF(ROW()-56&gt;MAX($CU$57:$CU$95),"",INDEX(Lists!$FI$4:$FI$42,MATCH(ROW()-56,$CU$57:$CU$95,0)))</f>
        <v/>
      </c>
      <c r="CW64">
        <f>CW63+IF(AND(Lists!$FN$11&lt;&gt;"",ISNUMBER(SEARCH($AH$4,Lists!$FN$11))),1,0)</f>
        <v/>
      </c>
      <c r="CX64">
        <f>IF(ROW()-56&gt;MAX($CW$57:$CW$95),"",INDEX(Lists!$FN$4:$FN$42,MATCH(ROW()-56,$CW$57:$CW$95,0)))</f>
        <v/>
      </c>
      <c r="CY64">
        <f>CY63+IF(AND(Lists!$FS$11&lt;&gt;"",ISNUMBER(SEARCH($AI$4,Lists!$FS$11))),1,0)</f>
        <v/>
      </c>
      <c r="CZ64">
        <f>IF(ROW()-56&gt;MAX($CY$57:$CY$95),"",INDEX(Lists!$FS$4:$FS$42,MATCH(ROW()-56,$CY$57:$CY$95,0)))</f>
        <v/>
      </c>
      <c r="DA64">
        <f>DA63+IF(AND(Lists!$FX$11&lt;&gt;"",ISNUMBER(SEARCH($AF$4,Lists!$FX$11))),1,0)</f>
        <v/>
      </c>
      <c r="DB64">
        <f>IF(ROW()-56&gt;MAX($DA$57:$DA$95),"",INDEX(Lists!$FX$4:$FX$42,MATCH(ROW()-56,$DA$57:$DA$95,0)))</f>
        <v/>
      </c>
      <c r="DG64">
        <f>IF($B$4="",1,IF($B$4="(blank)",--('Final Calculation Sheet'!$F$9=""),IF($B$4="(nonblank)",--('Final Calculation Sheet'!$F$9&lt;&gt;""),--ISNUMBER(SEARCH($B$4,'Final Calculation Sheet'!$F$9)))))</f>
        <v/>
      </c>
      <c r="DH64">
        <f>IF($C$4="",1,IF($C$4="(blank)",--('Final Calculation Sheet'!$G$9=""),IF($C$4="(nonblank)",--('Final Calculation Sheet'!$G$9&lt;&gt;""),--ISNUMBER(SEARCH($C$4,'Final Calculation Sheet'!$G$9)))))</f>
        <v/>
      </c>
      <c r="DI64">
        <f>IF($D$4="",1,IF($D$4="(blank)",--('Final Calculation Sheet'!$B$9=""),IF($D$4="(nonblank)",--('Final Calculation Sheet'!$B$9&lt;&gt;""),--ISNUMBER(SEARCH($D$4,'Final Calculation Sheet'!$B$9)))))</f>
        <v/>
      </c>
      <c r="DJ64">
        <f>IF($E$4="",1,IF($E$4="(blank)",--('Final Calculation Sheet'!$D$9=""),IF($E$4="(nonblank)",--('Final Calculation Sheet'!$D$9&lt;&gt;""),--ISNUMBER(SEARCH($E$4,'Final Calculation Sheet'!$D$9)))))</f>
        <v/>
      </c>
      <c r="DK64">
        <f>IF($F$4="",1,IF($F$4="(blank)",--('Final Calculation Sheet'!$A$9=""),IF($F$4="(nonblank)",--('Final Calculation Sheet'!$A$9&lt;&gt;""),--ISNUMBER(SEARCH($F$4,'Final Calculation Sheet'!$A$9)))))</f>
        <v/>
      </c>
      <c r="DL64">
        <f>IF($G$4="",1,IF($G$4="(blank)",--('Final Calculation Sheet'!$E$9=""),IF($G$4="(nonblank)",--('Final Calculation Sheet'!$E$9&lt;&gt;""),--ISNUMBER(SEARCH($G$4,'Final Calculation Sheet'!$E$9)))))</f>
        <v/>
      </c>
      <c r="DM64">
        <f>IF($H$4="",1,IF($H$4="(blank)",--('Final Calculation Sheet'!$C$9=""),IF($H$4="(nonblank)",--('Final Calculation Sheet'!$C$9&lt;&gt;""),--ISNUMBER(SEARCH($H$4,'Final Calculation Sheet'!$C$9)))))</f>
        <v/>
      </c>
      <c r="DN64">
        <f>IF($I$4="",1,IF($I$4="(blank)",--('Final Calculation Sheet'!$H$9=""),IF($I$4="(nonblank)",--('Final Calculation Sheet'!$H$9&lt;&gt;""),--ISNUMBER(SEARCH($I$4,'Final Calculation Sheet'!$H$9)))))</f>
        <v/>
      </c>
      <c r="DO64">
        <f>IF($J$4="",1,IF($J$4="(blank)",--('Final Calculation Sheet'!$I$9=""),IF($J$4="(nonblank)",--('Final Calculation Sheet'!$I$9&lt;&gt;""),--ISNUMBER(SEARCH($J$4,'Final Calculation Sheet'!$I$9)))))</f>
        <v/>
      </c>
      <c r="DP64">
        <f>IF($K$4="",1,IF($K$4="(blank)",--('Final Calculation Sheet'!$J$9=""),IF($K$4="(nonblank)",--('Final Calculation Sheet'!$J$9&lt;&gt;""),--ISNUMBER(SEARCH($K$4,'Final Calculation Sheet'!$J$9)))))</f>
        <v/>
      </c>
      <c r="DQ64">
        <f>IF($L$4="",1,IF($L$4="(blank)",--('Final Calculation Sheet'!$K$9=""),IF($L$4="(nonblank)",--('Final Calculation Sheet'!$K$9&lt;&gt;""),--ISNUMBER(SEARCH($L$4,'Final Calculation Sheet'!$K$9)))))</f>
        <v/>
      </c>
      <c r="DR64">
        <f>IF($M$4="",1,IF($M$4="(blank)",--('Final Calculation Sheet'!$L$9=""),IF($M$4="(nonblank)",--('Final Calculation Sheet'!$L$9&lt;&gt;""),--ISNUMBER(SEARCH($M$4,'Final Calculation Sheet'!$L$9)))))</f>
        <v/>
      </c>
      <c r="DS64">
        <f>IF($N$4="",1,IF($N$4="(blank)",--('Final Calculation Sheet'!$M$9=""),IF($N$4="(nonblank)",--('Final Calculation Sheet'!$M$9&lt;&gt;""),--ISNUMBER(SEARCH($N$4,'Final Calculation Sheet'!$M$9)))))</f>
        <v/>
      </c>
      <c r="DT64">
        <f>IF($O$4="",1,IF($O$4="(blank)",--('Final Calculation Sheet'!$N$9=""),IF($O$4="(nonblank)",--('Final Calculation Sheet'!$N$9&lt;&gt;""),--ISNUMBER(SEARCH($O$4,'Final Calculation Sheet'!$N$9)))))</f>
        <v/>
      </c>
      <c r="DU64">
        <f>IF($P$4="",1,IF($P$4="(blank)",--('Final Calculation Sheet'!$O$9=""),IF($P$4="(nonblank)",--('Final Calculation Sheet'!$O$9&lt;&gt;""),--ISNUMBER(SEARCH($P$4,'Final Calculation Sheet'!$O$9)))))</f>
        <v/>
      </c>
      <c r="DV64">
        <f>IF($Q$4="",1,IF($Q$4="(blank)",--('Final Calculation Sheet'!$P$9=""),IF($Q$4="(nonblank)",--('Final Calculation Sheet'!$P$9&lt;&gt;""),--ISNUMBER(SEARCH($Q$4,'Final Calculation Sheet'!$P$9)))))</f>
        <v/>
      </c>
      <c r="DW64">
        <f>IF($R$4="",1,IF($R$4="(blank)",--('Final Calculation Sheet'!$Q$9=""),IF($R$4="(nonblank)",--('Final Calculation Sheet'!$Q$9&lt;&gt;""),--ISNUMBER(SEARCH($R$4,'Final Calculation Sheet'!$Q$9)))))</f>
        <v/>
      </c>
      <c r="DX64">
        <f>IF($S$4="",1,IF($S$4="(blank)",--('Final Calculation Sheet'!$R$9=""),IF($S$4="(nonblank)",--('Final Calculation Sheet'!$R$9&lt;&gt;""),--ISNUMBER(SEARCH($S$4,'Final Calculation Sheet'!$R$9)))))</f>
        <v/>
      </c>
      <c r="DY64">
        <f>IF($T$4="",1,IF($T$4="(blank)",--('Final Calculation Sheet'!$S$9=""),IF($T$4="(nonblank)",--('Final Calculation Sheet'!$S$9&lt;&gt;""),--ISNUMBER(SEARCH($T$4,'Final Calculation Sheet'!$S$9)))))</f>
        <v/>
      </c>
      <c r="DZ64">
        <f>IF($U$4="",1,IF($U$4="(blank)",--('Final Calculation Sheet'!$T$9=""),IF($U$4="(nonblank)",--('Final Calculation Sheet'!$T$9&lt;&gt;""),--ISNUMBER(SEARCH($U$4,'Final Calculation Sheet'!$T$9)))))</f>
        <v/>
      </c>
      <c r="EA64">
        <f>IF($V$4="",1,IF($V$4="(blank)",--('Final Calculation Sheet'!$U$9=""),IF($V$4="(nonblank)",--('Final Calculation Sheet'!$U$9&lt;&gt;""),--ISNUMBER(SEARCH($V$4,'Final Calculation Sheet'!$U$9)))))</f>
        <v/>
      </c>
      <c r="EB64">
        <f>IF($W$4="",1,IF($W$4="(blank)",--('Final Calculation Sheet'!$V$9=""),IF($W$4="(nonblank)",--('Final Calculation Sheet'!$V$9&lt;&gt;""),--ISNUMBER(SEARCH($W$4,'Final Calculation Sheet'!$V$9)))))</f>
        <v/>
      </c>
      <c r="EC64">
        <f>IF($X$4="",1,IF($X$4="(blank)",--('Final Calculation Sheet'!$W$9=""),IF($X$4="(nonblank)",--('Final Calculation Sheet'!$W$9&lt;&gt;""),--ISNUMBER(SEARCH($X$4,'Final Calculation Sheet'!$W$9)))))</f>
        <v/>
      </c>
      <c r="ED64">
        <f>IF($Y$4="",1,IF($Y$4="(blank)",--('Final Calculation Sheet'!$X$9=""),IF($Y$4="(nonblank)",--('Final Calculation Sheet'!$X$9&lt;&gt;""),--ISNUMBER(SEARCH($Y$4,'Final Calculation Sheet'!$X$9)))))</f>
        <v/>
      </c>
      <c r="EE64">
        <f>IF($Z$4="",1,IF($Z$4="(blank)",--('Final Calculation Sheet'!$Y$9=""),IF($Z$4="(nonblank)",--('Final Calculation Sheet'!$Y$9&lt;&gt;""),--ISNUMBER(SEARCH($Z$4,'Final Calculation Sheet'!$Y$9)))))</f>
        <v/>
      </c>
      <c r="EF64">
        <f>IF($AA$4="",1,IF($AA$4="(blank)",--('Final Calculation Sheet'!$Z$9=""),IF($AA$4="(nonblank)",--('Final Calculation Sheet'!$Z$9&lt;&gt;""),--ISNUMBER(SEARCH($AA$4,'Final Calculation Sheet'!$Z$9)))))</f>
        <v/>
      </c>
      <c r="EG64">
        <f>IF($AB$4="",1,IF($AB$4="(blank)",--('Final Calculation Sheet'!$AA$9=""),IF($AB$4="(nonblank)",--('Final Calculation Sheet'!$AA$9&lt;&gt;""),--ISNUMBER(SEARCH($AB$4,'Final Calculation Sheet'!$AA$9)))))</f>
        <v/>
      </c>
      <c r="EH64">
        <f>IF($AC$4="",1,IF($AC$4="(blank)",--('Final Calculation Sheet'!$AB$9=""),IF($AC$4="(nonblank)",--('Final Calculation Sheet'!$AB$9&lt;&gt;""),--ISNUMBER(SEARCH($AC$4,'Final Calculation Sheet'!$AB$9)))))</f>
        <v/>
      </c>
      <c r="EI64">
        <f>IF($AD$4="",1,IF($AD$4="(blank)",--('Final Calculation Sheet'!$AC$9=""),IF($AD$4="(nonblank)",--('Final Calculation Sheet'!$AC$9&lt;&gt;""),--ISNUMBER(SEARCH($AD$4,'Final Calculation Sheet'!$AC$9)))))</f>
        <v/>
      </c>
      <c r="EJ64">
        <f>IF($AE$4="",1,IF($AE$4="(blank)",--('Final Calculation Sheet'!$AD$9=""),IF($AE$4="(nonblank)",--('Final Calculation Sheet'!$AD$9&lt;&gt;""),--ISNUMBER(SEARCH($AE$4,'Final Calculation Sheet'!$AD$9)))))</f>
        <v/>
      </c>
      <c r="EK64">
        <f>IF($AF$4="",1,IF($AF$4="(blank)",--(IF('Final Calculation Sheet'!$AD$9&lt;=5,"SETTLED","OUTSTANDING")=""),IF($AF$4="(nonblank)",--(IF('Final Calculation Sheet'!$AD$9&lt;=5,"SETTLED","OUTSTANDING")&lt;&gt;""),--ISNUMBER(SEARCH($AF$4,IF('Final Calculation Sheet'!$AD$9&lt;=5,"SETTLED","OUTSTANDING"))))))</f>
        <v/>
      </c>
      <c r="EL64">
        <f>IF($AG$4="",1,IF($AG$4="(blank)",--('Final Calculation Sheet'!$AF$9=""),IF($AG$4="(nonblank)",--('Final Calculation Sheet'!$AF$9&lt;&gt;""),--ISNUMBER(SEARCH($AG$4,'Final Calculation Sheet'!$AF$9)))))</f>
        <v/>
      </c>
      <c r="EM64">
        <f>IF($AH$4="",1,IF($AH$4="(blank)",--('Final Calculation Sheet'!$AG$9=""),IF($AH$4="(nonblank)",--('Final Calculation Sheet'!$AG$9&lt;&gt;""),--ISNUMBER(SEARCH($AH$4,'Final Calculation Sheet'!$AG$9)))))</f>
        <v/>
      </c>
      <c r="EN64">
        <f>IF($AI$4="",1,IF($AI$4="(blank)",--('Final Calculation Sheet'!$AH$9=""),IF($AI$4="(nonblank)",--('Final Calculation Sheet'!$AH$9&lt;&gt;""),--ISNUMBER(SEARCH($AI$4,'Final Calculation Sheet'!$AH$9)))))</f>
        <v/>
      </c>
    </row>
    <row r="65">
      <c r="AM65">
        <f>AM64+IF(AND(Lists!$O$12&lt;&gt;"",ISNUMBER(SEARCH($B$4,Lists!$O$12))),1,0)</f>
        <v/>
      </c>
      <c r="AN65">
        <f>IF(ROW()-56&gt;MAX($AM$57:$AM$95),"",INDEX(Lists!$O$4:$O$42,MATCH(ROW()-56,$AM$57:$AM$95,0)))</f>
        <v/>
      </c>
      <c r="AO65">
        <f>AO64+IF(AND(Lists!$T$12&lt;&gt;"",ISNUMBER(SEARCH($C$4,Lists!$T$12))),1,0)</f>
        <v/>
      </c>
      <c r="AP65">
        <f>IF(ROW()-56&gt;MAX($AO$57:$AO$95),"",INDEX(Lists!$T$4:$T$42,MATCH(ROW()-56,$AO$57:$AO$95,0)))</f>
        <v/>
      </c>
      <c r="AQ65">
        <f>AQ64+IF(AND(Lists!$Y$12&lt;&gt;"",ISNUMBER(SEARCH($D$4,Lists!$Y$12))),1,0)</f>
        <v/>
      </c>
      <c r="AR65">
        <f>IF(ROW()-56&gt;MAX($AQ$57:$AQ$95),"",INDEX(Lists!$Y$4:$Y$42,MATCH(ROW()-56,$AQ$57:$AQ$95,0)))</f>
        <v/>
      </c>
      <c r="AS65">
        <f>AS64+IF(AND(Lists!$AD$12&lt;&gt;"",ISNUMBER(SEARCH($E$4,Lists!$AD$12))),1,0)</f>
        <v/>
      </c>
      <c r="AT65">
        <f>IF(ROW()-56&gt;MAX($AS$57:$AS$95),"",INDEX(Lists!$AD$4:$AD$42,MATCH(ROW()-56,$AS$57:$AS$95,0)))</f>
        <v/>
      </c>
      <c r="AU65">
        <f>AU64+IF(AND(Lists!$AI$12&lt;&gt;"",ISNUMBER(SEARCH($F$4,Lists!$AI$12))),1,0)</f>
        <v/>
      </c>
      <c r="AV65">
        <f>IF(ROW()-56&gt;MAX($AU$57:$AU$95),"",INDEX(Lists!$AI$4:$AI$42,MATCH(ROW()-56,$AU$57:$AU$95,0)))</f>
        <v/>
      </c>
      <c r="AW65">
        <f>AW64+IF(AND(Lists!$AN$12&lt;&gt;"",ISNUMBER(SEARCH($G$4,Lists!$AN$12))),1,0)</f>
        <v/>
      </c>
      <c r="AX65">
        <f>IF(ROW()-56&gt;MAX($AW$57:$AW$95),"",INDEX(Lists!$AN$4:$AN$42,MATCH(ROW()-56,$AW$57:$AW$95,0)))</f>
        <v/>
      </c>
      <c r="AY65">
        <f>AY64+IF(AND(Lists!$AS$12&lt;&gt;"",ISNUMBER(SEARCH($H$4,Lists!$AS$12))),1,0)</f>
        <v/>
      </c>
      <c r="AZ65">
        <f>IF(ROW()-56&gt;MAX($AY$57:$AY$95),"",INDEX(Lists!$AS$4:$AS$42,MATCH(ROW()-56,$AY$57:$AY$95,0)))</f>
        <v/>
      </c>
      <c r="BA65">
        <f>BA64+IF(AND(Lists!$AX$12&lt;&gt;"",ISNUMBER(SEARCH($I$4,Lists!$AX$12))),1,0)</f>
        <v/>
      </c>
      <c r="BB65">
        <f>IF(ROW()-56&gt;MAX($BA$57:$BA$95),"",INDEX(Lists!$AX$4:$AX$42,MATCH(ROW()-56,$BA$57:$BA$95,0)))</f>
        <v/>
      </c>
      <c r="BC65">
        <f>BC64+IF(AND(Lists!$BC$12&lt;&gt;"",ISNUMBER(SEARCH($J$4,Lists!$BC$12))),1,0)</f>
        <v/>
      </c>
      <c r="BD65">
        <f>IF(ROW()-56&gt;MAX($BC$57:$BC$95),"",INDEX(Lists!$BC$4:$BC$42,MATCH(ROW()-56,$BC$57:$BC$95,0)))</f>
        <v/>
      </c>
      <c r="BE65">
        <f>BE64+IF(AND(Lists!$BH$12&lt;&gt;"",ISNUMBER(SEARCH($K$4,Lists!$BH$12))),1,0)</f>
        <v/>
      </c>
      <c r="BF65">
        <f>IF(ROW()-56&gt;MAX($BE$57:$BE$95),"",INDEX(Lists!$BH$4:$BH$42,MATCH(ROW()-56,$BE$57:$BE$95,0)))</f>
        <v/>
      </c>
      <c r="BG65">
        <f>BG64+IF(AND(Lists!$BM$12&lt;&gt;"",ISNUMBER(SEARCH($L$4,Lists!$BM$12))),1,0)</f>
        <v/>
      </c>
      <c r="BH65">
        <f>IF(ROW()-56&gt;MAX($BG$57:$BG$95),"",INDEX(Lists!$BM$4:$BM$42,MATCH(ROW()-56,$BG$57:$BG$95,0)))</f>
        <v/>
      </c>
      <c r="BI65">
        <f>BI64+IF(AND(Lists!$BR$12&lt;&gt;"",ISNUMBER(SEARCH($M$4,Lists!$BR$12))),1,0)</f>
        <v/>
      </c>
      <c r="BJ65">
        <f>IF(ROW()-56&gt;MAX($BI$57:$BI$95),"",INDEX(Lists!$BR$4:$BR$42,MATCH(ROW()-56,$BI$57:$BI$95,0)))</f>
        <v/>
      </c>
      <c r="BK65">
        <f>BK64+IF(AND(Lists!$BW$12&lt;&gt;"",ISNUMBER(SEARCH($N$4,Lists!$BW$12))),1,0)</f>
        <v/>
      </c>
      <c r="BL65">
        <f>IF(ROW()-56&gt;MAX($BK$57:$BK$95),"",INDEX(Lists!$BW$4:$BW$42,MATCH(ROW()-56,$BK$57:$BK$95,0)))</f>
        <v/>
      </c>
      <c r="BM65">
        <f>BM64+IF(AND(Lists!$CB$12&lt;&gt;"",ISNUMBER(SEARCH($O$4,Lists!$CB$12))),1,0)</f>
        <v/>
      </c>
      <c r="BN65">
        <f>IF(ROW()-56&gt;MAX($BM$57:$BM$95),"",INDEX(Lists!$CB$4:$CB$42,MATCH(ROW()-56,$BM$57:$BM$95,0)))</f>
        <v/>
      </c>
      <c r="BO65">
        <f>BO64+IF(AND(Lists!$CG$12&lt;&gt;"",ISNUMBER(SEARCH($P$4,Lists!$CG$12))),1,0)</f>
        <v/>
      </c>
      <c r="BP65">
        <f>IF(ROW()-56&gt;MAX($BO$57:$BO$95),"",INDEX(Lists!$CG$4:$CG$42,MATCH(ROW()-56,$BO$57:$BO$95,0)))</f>
        <v/>
      </c>
      <c r="BQ65">
        <f>BQ64+IF(AND(Lists!$CL$12&lt;&gt;"",ISNUMBER(SEARCH($Q$4,Lists!$CL$12))),1,0)</f>
        <v/>
      </c>
      <c r="BR65">
        <f>IF(ROW()-56&gt;MAX($BQ$57:$BQ$95),"",INDEX(Lists!$CL$4:$CL$42,MATCH(ROW()-56,$BQ$57:$BQ$95,0)))</f>
        <v/>
      </c>
      <c r="BS65">
        <f>BS64+IF(AND(Lists!$CQ$12&lt;&gt;"",ISNUMBER(SEARCH($R$4,Lists!$CQ$12))),1,0)</f>
        <v/>
      </c>
      <c r="BT65">
        <f>IF(ROW()-56&gt;MAX($BS$57:$BS$95),"",INDEX(Lists!$CQ$4:$CQ$42,MATCH(ROW()-56,$BS$57:$BS$95,0)))</f>
        <v/>
      </c>
      <c r="BU65">
        <f>BU64+IF(AND(Lists!$CV$12&lt;&gt;"",ISNUMBER(SEARCH($S$4,Lists!$CV$12))),1,0)</f>
        <v/>
      </c>
      <c r="BV65">
        <f>IF(ROW()-56&gt;MAX($BU$57:$BU$95),"",INDEX(Lists!$CV$4:$CV$42,MATCH(ROW()-56,$BU$57:$BU$95,0)))</f>
        <v/>
      </c>
      <c r="BW65">
        <f>BW64+IF(AND(Lists!$DA$12&lt;&gt;"",ISNUMBER(SEARCH($T$4,Lists!$DA$12))),1,0)</f>
        <v/>
      </c>
      <c r="BX65">
        <f>IF(ROW()-56&gt;MAX($BW$57:$BW$95),"",INDEX(Lists!$DA$4:$DA$42,MATCH(ROW()-56,$BW$57:$BW$95,0)))</f>
        <v/>
      </c>
      <c r="BY65">
        <f>BY64+IF(AND(Lists!$DF$12&lt;&gt;"",ISNUMBER(SEARCH($U$4,Lists!$DF$12))),1,0)</f>
        <v/>
      </c>
      <c r="BZ65">
        <f>IF(ROW()-56&gt;MAX($BY$57:$BY$95),"",INDEX(Lists!$DF$4:$DF$42,MATCH(ROW()-56,$BY$57:$BY$95,0)))</f>
        <v/>
      </c>
      <c r="CA65">
        <f>CA64+IF(AND(Lists!$DK$12&lt;&gt;"",ISNUMBER(SEARCH($V$4,Lists!$DK$12))),1,0)</f>
        <v/>
      </c>
      <c r="CB65">
        <f>IF(ROW()-56&gt;MAX($CA$57:$CA$95),"",INDEX(Lists!$DK$4:$DK$42,MATCH(ROW()-56,$CA$57:$CA$95,0)))</f>
        <v/>
      </c>
      <c r="CC65">
        <f>CC64+IF(AND(Lists!$DP$12&lt;&gt;"",ISNUMBER(SEARCH($W$4,Lists!$DP$12))),1,0)</f>
        <v/>
      </c>
      <c r="CD65">
        <f>IF(ROW()-56&gt;MAX($CC$57:$CC$95),"",INDEX(Lists!$DP$4:$DP$42,MATCH(ROW()-56,$CC$57:$CC$95,0)))</f>
        <v/>
      </c>
      <c r="CE65">
        <f>CE64+IF(AND(Lists!$DU$12&lt;&gt;"",ISNUMBER(SEARCH($X$4,Lists!$DU$12))),1,0)</f>
        <v/>
      </c>
      <c r="CF65">
        <f>IF(ROW()-56&gt;MAX($CE$57:$CE$95),"",INDEX(Lists!$DU$4:$DU$42,MATCH(ROW()-56,$CE$57:$CE$95,0)))</f>
        <v/>
      </c>
      <c r="CG65">
        <f>CG64+IF(AND(Lists!$DZ$12&lt;&gt;"",ISNUMBER(SEARCH($Y$4,Lists!$DZ$12))),1,0)</f>
        <v/>
      </c>
      <c r="CH65">
        <f>IF(ROW()-56&gt;MAX($CG$57:$CG$95),"",INDEX(Lists!$DZ$4:$DZ$42,MATCH(ROW()-56,$CG$57:$CG$95,0)))</f>
        <v/>
      </c>
      <c r="CI65">
        <f>CI64+IF(AND(Lists!$EE$12&lt;&gt;"",ISNUMBER(SEARCH($Z$4,Lists!$EE$12))),1,0)</f>
        <v/>
      </c>
      <c r="CJ65">
        <f>IF(ROW()-56&gt;MAX($CI$57:$CI$95),"",INDEX(Lists!$EE$4:$EE$42,MATCH(ROW()-56,$CI$57:$CI$95,0)))</f>
        <v/>
      </c>
      <c r="CK65">
        <f>CK64+IF(AND(Lists!$EJ$12&lt;&gt;"",ISNUMBER(SEARCH($AA$4,Lists!$EJ$12))),1,0)</f>
        <v/>
      </c>
      <c r="CL65">
        <f>IF(ROW()-56&gt;MAX($CK$57:$CK$95),"",INDEX(Lists!$EJ$4:$EJ$42,MATCH(ROW()-56,$CK$57:$CK$95,0)))</f>
        <v/>
      </c>
      <c r="CM65">
        <f>CM64+IF(AND(Lists!$EO$12&lt;&gt;"",ISNUMBER(SEARCH($AB$4,Lists!$EO$12))),1,0)</f>
        <v/>
      </c>
      <c r="CN65">
        <f>IF(ROW()-56&gt;MAX($CM$57:$CM$95),"",INDEX(Lists!$EO$4:$EO$42,MATCH(ROW()-56,$CM$57:$CM$95,0)))</f>
        <v/>
      </c>
      <c r="CO65">
        <f>CO64+IF(AND(Lists!$ET$12&lt;&gt;"",ISNUMBER(SEARCH($AC$4,Lists!$ET$12))),1,0)</f>
        <v/>
      </c>
      <c r="CP65">
        <f>IF(ROW()-56&gt;MAX($CO$57:$CO$95),"",INDEX(Lists!$ET$4:$ET$42,MATCH(ROW()-56,$CO$57:$CO$95,0)))</f>
        <v/>
      </c>
      <c r="CQ65">
        <f>CQ64+IF(AND(Lists!$EY$12&lt;&gt;"",ISNUMBER(SEARCH($AD$4,Lists!$EY$12))),1,0)</f>
        <v/>
      </c>
      <c r="CR65">
        <f>IF(ROW()-56&gt;MAX($CQ$57:$CQ$95),"",INDEX(Lists!$EY$4:$EY$42,MATCH(ROW()-56,$CQ$57:$CQ$95,0)))</f>
        <v/>
      </c>
      <c r="CS65">
        <f>CS64+IF(AND(Lists!$FD$12&lt;&gt;"",ISNUMBER(SEARCH($AE$4,Lists!$FD$12))),1,0)</f>
        <v/>
      </c>
      <c r="CT65">
        <f>IF(ROW()-56&gt;MAX($CS$57:$CS$95),"",INDEX(Lists!$FD$4:$FD$42,MATCH(ROW()-56,$CS$57:$CS$95,0)))</f>
        <v/>
      </c>
      <c r="CU65">
        <f>CU64+IF(AND(Lists!$FI$12&lt;&gt;"",ISNUMBER(SEARCH($AG$4,Lists!$FI$12))),1,0)</f>
        <v/>
      </c>
      <c r="CV65">
        <f>IF(ROW()-56&gt;MAX($CU$57:$CU$95),"",INDEX(Lists!$FI$4:$FI$42,MATCH(ROW()-56,$CU$57:$CU$95,0)))</f>
        <v/>
      </c>
      <c r="CW65">
        <f>CW64+IF(AND(Lists!$FN$12&lt;&gt;"",ISNUMBER(SEARCH($AH$4,Lists!$FN$12))),1,0)</f>
        <v/>
      </c>
      <c r="CX65">
        <f>IF(ROW()-56&gt;MAX($CW$57:$CW$95),"",INDEX(Lists!$FN$4:$FN$42,MATCH(ROW()-56,$CW$57:$CW$95,0)))</f>
        <v/>
      </c>
      <c r="CY65">
        <f>CY64+IF(AND(Lists!$FS$12&lt;&gt;"",ISNUMBER(SEARCH($AI$4,Lists!$FS$12))),1,0)</f>
        <v/>
      </c>
      <c r="CZ65">
        <f>IF(ROW()-56&gt;MAX($CY$57:$CY$95),"",INDEX(Lists!$FS$4:$FS$42,MATCH(ROW()-56,$CY$57:$CY$95,0)))</f>
        <v/>
      </c>
      <c r="DA65">
        <f>DA64+IF(AND(Lists!$FX$12&lt;&gt;"",ISNUMBER(SEARCH($AF$4,Lists!$FX$12))),1,0)</f>
        <v/>
      </c>
      <c r="DB65">
        <f>IF(ROW()-56&gt;MAX($DA$57:$DA$95),"",INDEX(Lists!$FX$4:$FX$42,MATCH(ROW()-56,$DA$57:$DA$95,0)))</f>
        <v/>
      </c>
      <c r="DG65">
        <f>IF($B$4="",1,IF($B$4="(blank)",--('Final Calculation Sheet'!$F$10=""),IF($B$4="(nonblank)",--('Final Calculation Sheet'!$F$10&lt;&gt;""),--ISNUMBER(SEARCH($B$4,'Final Calculation Sheet'!$F$10)))))</f>
        <v/>
      </c>
      <c r="DH65">
        <f>IF($C$4="",1,IF($C$4="(blank)",--('Final Calculation Sheet'!$G$10=""),IF($C$4="(nonblank)",--('Final Calculation Sheet'!$G$10&lt;&gt;""),--ISNUMBER(SEARCH($C$4,'Final Calculation Sheet'!$G$10)))))</f>
        <v/>
      </c>
      <c r="DI65">
        <f>IF($D$4="",1,IF($D$4="(blank)",--('Final Calculation Sheet'!$B$10=""),IF($D$4="(nonblank)",--('Final Calculation Sheet'!$B$10&lt;&gt;""),--ISNUMBER(SEARCH($D$4,'Final Calculation Sheet'!$B$10)))))</f>
        <v/>
      </c>
      <c r="DJ65">
        <f>IF($E$4="",1,IF($E$4="(blank)",--('Final Calculation Sheet'!$D$10=""),IF($E$4="(nonblank)",--('Final Calculation Sheet'!$D$10&lt;&gt;""),--ISNUMBER(SEARCH($E$4,'Final Calculation Sheet'!$D$10)))))</f>
        <v/>
      </c>
      <c r="DK65">
        <f>IF($F$4="",1,IF($F$4="(blank)",--('Final Calculation Sheet'!$A$10=""),IF($F$4="(nonblank)",--('Final Calculation Sheet'!$A$10&lt;&gt;""),--ISNUMBER(SEARCH($F$4,'Final Calculation Sheet'!$A$10)))))</f>
        <v/>
      </c>
      <c r="DL65">
        <f>IF($G$4="",1,IF($G$4="(blank)",--('Final Calculation Sheet'!$E$10=""),IF($G$4="(nonblank)",--('Final Calculation Sheet'!$E$10&lt;&gt;""),--ISNUMBER(SEARCH($G$4,'Final Calculation Sheet'!$E$10)))))</f>
        <v/>
      </c>
      <c r="DM65">
        <f>IF($H$4="",1,IF($H$4="(blank)",--('Final Calculation Sheet'!$C$10=""),IF($H$4="(nonblank)",--('Final Calculation Sheet'!$C$10&lt;&gt;""),--ISNUMBER(SEARCH($H$4,'Final Calculation Sheet'!$C$10)))))</f>
        <v/>
      </c>
      <c r="DN65">
        <f>IF($I$4="",1,IF($I$4="(blank)",--('Final Calculation Sheet'!$H$10=""),IF($I$4="(nonblank)",--('Final Calculation Sheet'!$H$10&lt;&gt;""),--ISNUMBER(SEARCH($I$4,'Final Calculation Sheet'!$H$10)))))</f>
        <v/>
      </c>
      <c r="DO65">
        <f>IF($J$4="",1,IF($J$4="(blank)",--('Final Calculation Sheet'!$I$10=""),IF($J$4="(nonblank)",--('Final Calculation Sheet'!$I$10&lt;&gt;""),--ISNUMBER(SEARCH($J$4,'Final Calculation Sheet'!$I$10)))))</f>
        <v/>
      </c>
      <c r="DP65">
        <f>IF($K$4="",1,IF($K$4="(blank)",--('Final Calculation Sheet'!$J$10=""),IF($K$4="(nonblank)",--('Final Calculation Sheet'!$J$10&lt;&gt;""),--ISNUMBER(SEARCH($K$4,'Final Calculation Sheet'!$J$10)))))</f>
        <v/>
      </c>
      <c r="DQ65">
        <f>IF($L$4="",1,IF($L$4="(blank)",--('Final Calculation Sheet'!$K$10=""),IF($L$4="(nonblank)",--('Final Calculation Sheet'!$K$10&lt;&gt;""),--ISNUMBER(SEARCH($L$4,'Final Calculation Sheet'!$K$10)))))</f>
        <v/>
      </c>
      <c r="DR65">
        <f>IF($M$4="",1,IF($M$4="(blank)",--('Final Calculation Sheet'!$L$10=""),IF($M$4="(nonblank)",--('Final Calculation Sheet'!$L$10&lt;&gt;""),--ISNUMBER(SEARCH($M$4,'Final Calculation Sheet'!$L$10)))))</f>
        <v/>
      </c>
      <c r="DS65">
        <f>IF($N$4="",1,IF($N$4="(blank)",--('Final Calculation Sheet'!$M$10=""),IF($N$4="(nonblank)",--('Final Calculation Sheet'!$M$10&lt;&gt;""),--ISNUMBER(SEARCH($N$4,'Final Calculation Sheet'!$M$10)))))</f>
        <v/>
      </c>
      <c r="DT65">
        <f>IF($O$4="",1,IF($O$4="(blank)",--('Final Calculation Sheet'!$N$10=""),IF($O$4="(nonblank)",--('Final Calculation Sheet'!$N$10&lt;&gt;""),--ISNUMBER(SEARCH($O$4,'Final Calculation Sheet'!$N$10)))))</f>
        <v/>
      </c>
      <c r="DU65">
        <f>IF($P$4="",1,IF($P$4="(blank)",--('Final Calculation Sheet'!$O$10=""),IF($P$4="(nonblank)",--('Final Calculation Sheet'!$O$10&lt;&gt;""),--ISNUMBER(SEARCH($P$4,'Final Calculation Sheet'!$O$10)))))</f>
        <v/>
      </c>
      <c r="DV65">
        <f>IF($Q$4="",1,IF($Q$4="(blank)",--('Final Calculation Sheet'!$P$10=""),IF($Q$4="(nonblank)",--('Final Calculation Sheet'!$P$10&lt;&gt;""),--ISNUMBER(SEARCH($Q$4,'Final Calculation Sheet'!$P$10)))))</f>
        <v/>
      </c>
      <c r="DW65">
        <f>IF($R$4="",1,IF($R$4="(blank)",--('Final Calculation Sheet'!$Q$10=""),IF($R$4="(nonblank)",--('Final Calculation Sheet'!$Q$10&lt;&gt;""),--ISNUMBER(SEARCH($R$4,'Final Calculation Sheet'!$Q$10)))))</f>
        <v/>
      </c>
      <c r="DX65">
        <f>IF($S$4="",1,IF($S$4="(blank)",--('Final Calculation Sheet'!$R$10=""),IF($S$4="(nonblank)",--('Final Calculation Sheet'!$R$10&lt;&gt;""),--ISNUMBER(SEARCH($S$4,'Final Calculation Sheet'!$R$10)))))</f>
        <v/>
      </c>
      <c r="DY65">
        <f>IF($T$4="",1,IF($T$4="(blank)",--('Final Calculation Sheet'!$S$10=""),IF($T$4="(nonblank)",--('Final Calculation Sheet'!$S$10&lt;&gt;""),--ISNUMBER(SEARCH($T$4,'Final Calculation Sheet'!$S$10)))))</f>
        <v/>
      </c>
      <c r="DZ65">
        <f>IF($U$4="",1,IF($U$4="(blank)",--('Final Calculation Sheet'!$T$10=""),IF($U$4="(nonblank)",--('Final Calculation Sheet'!$T$10&lt;&gt;""),--ISNUMBER(SEARCH($U$4,'Final Calculation Sheet'!$T$10)))))</f>
        <v/>
      </c>
      <c r="EA65">
        <f>IF($V$4="",1,IF($V$4="(blank)",--('Final Calculation Sheet'!$U$10=""),IF($V$4="(nonblank)",--('Final Calculation Sheet'!$U$10&lt;&gt;""),--ISNUMBER(SEARCH($V$4,'Final Calculation Sheet'!$U$10)))))</f>
        <v/>
      </c>
      <c r="EB65">
        <f>IF($W$4="",1,IF($W$4="(blank)",--('Final Calculation Sheet'!$V$10=""),IF($W$4="(nonblank)",--('Final Calculation Sheet'!$V$10&lt;&gt;""),--ISNUMBER(SEARCH($W$4,'Final Calculation Sheet'!$V$10)))))</f>
        <v/>
      </c>
      <c r="EC65">
        <f>IF($X$4="",1,IF($X$4="(blank)",--('Final Calculation Sheet'!$W$10=""),IF($X$4="(nonblank)",--('Final Calculation Sheet'!$W$10&lt;&gt;""),--ISNUMBER(SEARCH($X$4,'Final Calculation Sheet'!$W$10)))))</f>
        <v/>
      </c>
      <c r="ED65">
        <f>IF($Y$4="",1,IF($Y$4="(blank)",--('Final Calculation Sheet'!$X$10=""),IF($Y$4="(nonblank)",--('Final Calculation Sheet'!$X$10&lt;&gt;""),--ISNUMBER(SEARCH($Y$4,'Final Calculation Sheet'!$X$10)))))</f>
        <v/>
      </c>
      <c r="EE65">
        <f>IF($Z$4="",1,IF($Z$4="(blank)",--('Final Calculation Sheet'!$Y$10=""),IF($Z$4="(nonblank)",--('Final Calculation Sheet'!$Y$10&lt;&gt;""),--ISNUMBER(SEARCH($Z$4,'Final Calculation Sheet'!$Y$10)))))</f>
        <v/>
      </c>
      <c r="EF65">
        <f>IF($AA$4="",1,IF($AA$4="(blank)",--('Final Calculation Sheet'!$Z$10=""),IF($AA$4="(nonblank)",--('Final Calculation Sheet'!$Z$10&lt;&gt;""),--ISNUMBER(SEARCH($AA$4,'Final Calculation Sheet'!$Z$10)))))</f>
        <v/>
      </c>
      <c r="EG65">
        <f>IF($AB$4="",1,IF($AB$4="(blank)",--('Final Calculation Sheet'!$AA$10=""),IF($AB$4="(nonblank)",--('Final Calculation Sheet'!$AA$10&lt;&gt;""),--ISNUMBER(SEARCH($AB$4,'Final Calculation Sheet'!$AA$10)))))</f>
        <v/>
      </c>
      <c r="EH65">
        <f>IF($AC$4="",1,IF($AC$4="(blank)",--('Final Calculation Sheet'!$AB$10=""),IF($AC$4="(nonblank)",--('Final Calculation Sheet'!$AB$10&lt;&gt;""),--ISNUMBER(SEARCH($AC$4,'Final Calculation Sheet'!$AB$10)))))</f>
        <v/>
      </c>
      <c r="EI65">
        <f>IF($AD$4="",1,IF($AD$4="(blank)",--('Final Calculation Sheet'!$AC$10=""),IF($AD$4="(nonblank)",--('Final Calculation Sheet'!$AC$10&lt;&gt;""),--ISNUMBER(SEARCH($AD$4,'Final Calculation Sheet'!$AC$10)))))</f>
        <v/>
      </c>
      <c r="EJ65">
        <f>IF($AE$4="",1,IF($AE$4="(blank)",--('Final Calculation Sheet'!$AD$10=""),IF($AE$4="(nonblank)",--('Final Calculation Sheet'!$AD$10&lt;&gt;""),--ISNUMBER(SEARCH($AE$4,'Final Calculation Sheet'!$AD$10)))))</f>
        <v/>
      </c>
      <c r="EK65">
        <f>IF($AF$4="",1,IF($AF$4="(blank)",--(IF('Final Calculation Sheet'!$AD$10&lt;=5,"SETTLED","OUTSTANDING")=""),IF($AF$4="(nonblank)",--(IF('Final Calculation Sheet'!$AD$10&lt;=5,"SETTLED","OUTSTANDING")&lt;&gt;""),--ISNUMBER(SEARCH($AF$4,IF('Final Calculation Sheet'!$AD$10&lt;=5,"SETTLED","OUTSTANDING"))))))</f>
        <v/>
      </c>
      <c r="EL65">
        <f>IF($AG$4="",1,IF($AG$4="(blank)",--('Final Calculation Sheet'!$AF$10=""),IF($AG$4="(nonblank)",--('Final Calculation Sheet'!$AF$10&lt;&gt;""),--ISNUMBER(SEARCH($AG$4,'Final Calculation Sheet'!$AF$10)))))</f>
        <v/>
      </c>
      <c r="EM65">
        <f>IF($AH$4="",1,IF($AH$4="(blank)",--('Final Calculation Sheet'!$AG$10=""),IF($AH$4="(nonblank)",--('Final Calculation Sheet'!$AG$10&lt;&gt;""),--ISNUMBER(SEARCH($AH$4,'Final Calculation Sheet'!$AG$10)))))</f>
        <v/>
      </c>
      <c r="EN65">
        <f>IF($AI$4="",1,IF($AI$4="(blank)",--('Final Calculation Sheet'!$AH$10=""),IF($AI$4="(nonblank)",--('Final Calculation Sheet'!$AH$10&lt;&gt;""),--ISNUMBER(SEARCH($AI$4,'Final Calculation Sheet'!$AH$10)))))</f>
        <v/>
      </c>
    </row>
    <row r="66">
      <c r="AM66">
        <f>AM65+IF(AND(Lists!$O$13&lt;&gt;"",ISNUMBER(SEARCH($B$4,Lists!$O$13))),1,0)</f>
        <v/>
      </c>
      <c r="AN66">
        <f>IF(ROW()-56&gt;MAX($AM$57:$AM$95),"",INDEX(Lists!$O$4:$O$42,MATCH(ROW()-56,$AM$57:$AM$95,0)))</f>
        <v/>
      </c>
      <c r="AO66">
        <f>AO65+IF(AND(Lists!$T$13&lt;&gt;"",ISNUMBER(SEARCH($C$4,Lists!$T$13))),1,0)</f>
        <v/>
      </c>
      <c r="AP66">
        <f>IF(ROW()-56&gt;MAX($AO$57:$AO$95),"",INDEX(Lists!$T$4:$T$42,MATCH(ROW()-56,$AO$57:$AO$95,0)))</f>
        <v/>
      </c>
      <c r="AQ66">
        <f>AQ65+IF(AND(Lists!$Y$13&lt;&gt;"",ISNUMBER(SEARCH($D$4,Lists!$Y$13))),1,0)</f>
        <v/>
      </c>
      <c r="AR66">
        <f>IF(ROW()-56&gt;MAX($AQ$57:$AQ$95),"",INDEX(Lists!$Y$4:$Y$42,MATCH(ROW()-56,$AQ$57:$AQ$95,0)))</f>
        <v/>
      </c>
      <c r="AS66">
        <f>AS65+IF(AND(Lists!$AD$13&lt;&gt;"",ISNUMBER(SEARCH($E$4,Lists!$AD$13))),1,0)</f>
        <v/>
      </c>
      <c r="AT66">
        <f>IF(ROW()-56&gt;MAX($AS$57:$AS$95),"",INDEX(Lists!$AD$4:$AD$42,MATCH(ROW()-56,$AS$57:$AS$95,0)))</f>
        <v/>
      </c>
      <c r="AU66">
        <f>AU65+IF(AND(Lists!$AI$13&lt;&gt;"",ISNUMBER(SEARCH($F$4,Lists!$AI$13))),1,0)</f>
        <v/>
      </c>
      <c r="AV66">
        <f>IF(ROW()-56&gt;MAX($AU$57:$AU$95),"",INDEX(Lists!$AI$4:$AI$42,MATCH(ROW()-56,$AU$57:$AU$95,0)))</f>
        <v/>
      </c>
      <c r="AW66">
        <f>AW65+IF(AND(Lists!$AN$13&lt;&gt;"",ISNUMBER(SEARCH($G$4,Lists!$AN$13))),1,0)</f>
        <v/>
      </c>
      <c r="AX66">
        <f>IF(ROW()-56&gt;MAX($AW$57:$AW$95),"",INDEX(Lists!$AN$4:$AN$42,MATCH(ROW()-56,$AW$57:$AW$95,0)))</f>
        <v/>
      </c>
      <c r="AY66">
        <f>AY65+IF(AND(Lists!$AS$13&lt;&gt;"",ISNUMBER(SEARCH($H$4,Lists!$AS$13))),1,0)</f>
        <v/>
      </c>
      <c r="AZ66">
        <f>IF(ROW()-56&gt;MAX($AY$57:$AY$95),"",INDEX(Lists!$AS$4:$AS$42,MATCH(ROW()-56,$AY$57:$AY$95,0)))</f>
        <v/>
      </c>
      <c r="BA66">
        <f>BA65+IF(AND(Lists!$AX$13&lt;&gt;"",ISNUMBER(SEARCH($I$4,Lists!$AX$13))),1,0)</f>
        <v/>
      </c>
      <c r="BB66">
        <f>IF(ROW()-56&gt;MAX($BA$57:$BA$95),"",INDEX(Lists!$AX$4:$AX$42,MATCH(ROW()-56,$BA$57:$BA$95,0)))</f>
        <v/>
      </c>
      <c r="BC66">
        <f>BC65+IF(AND(Lists!$BC$13&lt;&gt;"",ISNUMBER(SEARCH($J$4,Lists!$BC$13))),1,0)</f>
        <v/>
      </c>
      <c r="BD66">
        <f>IF(ROW()-56&gt;MAX($BC$57:$BC$95),"",INDEX(Lists!$BC$4:$BC$42,MATCH(ROW()-56,$BC$57:$BC$95,0)))</f>
        <v/>
      </c>
      <c r="BE66">
        <f>BE65+IF(AND(Lists!$BH$13&lt;&gt;"",ISNUMBER(SEARCH($K$4,Lists!$BH$13))),1,0)</f>
        <v/>
      </c>
      <c r="BF66">
        <f>IF(ROW()-56&gt;MAX($BE$57:$BE$95),"",INDEX(Lists!$BH$4:$BH$42,MATCH(ROW()-56,$BE$57:$BE$95,0)))</f>
        <v/>
      </c>
      <c r="BG66">
        <f>BG65+IF(AND(Lists!$BM$13&lt;&gt;"",ISNUMBER(SEARCH($L$4,Lists!$BM$13))),1,0)</f>
        <v/>
      </c>
      <c r="BH66">
        <f>IF(ROW()-56&gt;MAX($BG$57:$BG$95),"",INDEX(Lists!$BM$4:$BM$42,MATCH(ROW()-56,$BG$57:$BG$95,0)))</f>
        <v/>
      </c>
      <c r="BI66">
        <f>BI65+IF(AND(Lists!$BR$13&lt;&gt;"",ISNUMBER(SEARCH($M$4,Lists!$BR$13))),1,0)</f>
        <v/>
      </c>
      <c r="BJ66">
        <f>IF(ROW()-56&gt;MAX($BI$57:$BI$95),"",INDEX(Lists!$BR$4:$BR$42,MATCH(ROW()-56,$BI$57:$BI$95,0)))</f>
        <v/>
      </c>
      <c r="BK66">
        <f>BK65+IF(AND(Lists!$BW$13&lt;&gt;"",ISNUMBER(SEARCH($N$4,Lists!$BW$13))),1,0)</f>
        <v/>
      </c>
      <c r="BL66">
        <f>IF(ROW()-56&gt;MAX($BK$57:$BK$95),"",INDEX(Lists!$BW$4:$BW$42,MATCH(ROW()-56,$BK$57:$BK$95,0)))</f>
        <v/>
      </c>
      <c r="BM66">
        <f>BM65+IF(AND(Lists!$CB$13&lt;&gt;"",ISNUMBER(SEARCH($O$4,Lists!$CB$13))),1,0)</f>
        <v/>
      </c>
      <c r="BN66">
        <f>IF(ROW()-56&gt;MAX($BM$57:$BM$95),"",INDEX(Lists!$CB$4:$CB$42,MATCH(ROW()-56,$BM$57:$BM$95,0)))</f>
        <v/>
      </c>
      <c r="BO66">
        <f>BO65+IF(AND(Lists!$CG$13&lt;&gt;"",ISNUMBER(SEARCH($P$4,Lists!$CG$13))),1,0)</f>
        <v/>
      </c>
      <c r="BP66">
        <f>IF(ROW()-56&gt;MAX($BO$57:$BO$95),"",INDEX(Lists!$CG$4:$CG$42,MATCH(ROW()-56,$BO$57:$BO$95,0)))</f>
        <v/>
      </c>
      <c r="BQ66">
        <f>BQ65+IF(AND(Lists!$CL$13&lt;&gt;"",ISNUMBER(SEARCH($Q$4,Lists!$CL$13))),1,0)</f>
        <v/>
      </c>
      <c r="BR66">
        <f>IF(ROW()-56&gt;MAX($BQ$57:$BQ$95),"",INDEX(Lists!$CL$4:$CL$42,MATCH(ROW()-56,$BQ$57:$BQ$95,0)))</f>
        <v/>
      </c>
      <c r="BS66">
        <f>BS65+IF(AND(Lists!$CQ$13&lt;&gt;"",ISNUMBER(SEARCH($R$4,Lists!$CQ$13))),1,0)</f>
        <v/>
      </c>
      <c r="BT66">
        <f>IF(ROW()-56&gt;MAX($BS$57:$BS$95),"",INDEX(Lists!$CQ$4:$CQ$42,MATCH(ROW()-56,$BS$57:$BS$95,0)))</f>
        <v/>
      </c>
      <c r="BU66">
        <f>BU65+IF(AND(Lists!$CV$13&lt;&gt;"",ISNUMBER(SEARCH($S$4,Lists!$CV$13))),1,0)</f>
        <v/>
      </c>
      <c r="BV66">
        <f>IF(ROW()-56&gt;MAX($BU$57:$BU$95),"",INDEX(Lists!$CV$4:$CV$42,MATCH(ROW()-56,$BU$57:$BU$95,0)))</f>
        <v/>
      </c>
      <c r="BW66">
        <f>BW65+IF(AND(Lists!$DA$13&lt;&gt;"",ISNUMBER(SEARCH($T$4,Lists!$DA$13))),1,0)</f>
        <v/>
      </c>
      <c r="BX66">
        <f>IF(ROW()-56&gt;MAX($BW$57:$BW$95),"",INDEX(Lists!$DA$4:$DA$42,MATCH(ROW()-56,$BW$57:$BW$95,0)))</f>
        <v/>
      </c>
      <c r="BY66">
        <f>BY65+IF(AND(Lists!$DF$13&lt;&gt;"",ISNUMBER(SEARCH($U$4,Lists!$DF$13))),1,0)</f>
        <v/>
      </c>
      <c r="BZ66">
        <f>IF(ROW()-56&gt;MAX($BY$57:$BY$95),"",INDEX(Lists!$DF$4:$DF$42,MATCH(ROW()-56,$BY$57:$BY$95,0)))</f>
        <v/>
      </c>
      <c r="CA66">
        <f>CA65+IF(AND(Lists!$DK$13&lt;&gt;"",ISNUMBER(SEARCH($V$4,Lists!$DK$13))),1,0)</f>
        <v/>
      </c>
      <c r="CB66">
        <f>IF(ROW()-56&gt;MAX($CA$57:$CA$95),"",INDEX(Lists!$DK$4:$DK$42,MATCH(ROW()-56,$CA$57:$CA$95,0)))</f>
        <v/>
      </c>
      <c r="CC66">
        <f>CC65+IF(AND(Lists!$DP$13&lt;&gt;"",ISNUMBER(SEARCH($W$4,Lists!$DP$13))),1,0)</f>
        <v/>
      </c>
      <c r="CD66">
        <f>IF(ROW()-56&gt;MAX($CC$57:$CC$95),"",INDEX(Lists!$DP$4:$DP$42,MATCH(ROW()-56,$CC$57:$CC$95,0)))</f>
        <v/>
      </c>
      <c r="CE66">
        <f>CE65+IF(AND(Lists!$DU$13&lt;&gt;"",ISNUMBER(SEARCH($X$4,Lists!$DU$13))),1,0)</f>
        <v/>
      </c>
      <c r="CF66">
        <f>IF(ROW()-56&gt;MAX($CE$57:$CE$95),"",INDEX(Lists!$DU$4:$DU$42,MATCH(ROW()-56,$CE$57:$CE$95,0)))</f>
        <v/>
      </c>
      <c r="CG66">
        <f>CG65+IF(AND(Lists!$DZ$13&lt;&gt;"",ISNUMBER(SEARCH($Y$4,Lists!$DZ$13))),1,0)</f>
        <v/>
      </c>
      <c r="CH66">
        <f>IF(ROW()-56&gt;MAX($CG$57:$CG$95),"",INDEX(Lists!$DZ$4:$DZ$42,MATCH(ROW()-56,$CG$57:$CG$95,0)))</f>
        <v/>
      </c>
      <c r="CI66">
        <f>CI65+IF(AND(Lists!$EE$13&lt;&gt;"",ISNUMBER(SEARCH($Z$4,Lists!$EE$13))),1,0)</f>
        <v/>
      </c>
      <c r="CJ66">
        <f>IF(ROW()-56&gt;MAX($CI$57:$CI$95),"",INDEX(Lists!$EE$4:$EE$42,MATCH(ROW()-56,$CI$57:$CI$95,0)))</f>
        <v/>
      </c>
      <c r="CK66">
        <f>CK65+IF(AND(Lists!$EJ$13&lt;&gt;"",ISNUMBER(SEARCH($AA$4,Lists!$EJ$13))),1,0)</f>
        <v/>
      </c>
      <c r="CL66">
        <f>IF(ROW()-56&gt;MAX($CK$57:$CK$95),"",INDEX(Lists!$EJ$4:$EJ$42,MATCH(ROW()-56,$CK$57:$CK$95,0)))</f>
        <v/>
      </c>
      <c r="CM66">
        <f>CM65+IF(AND(Lists!$EO$13&lt;&gt;"",ISNUMBER(SEARCH($AB$4,Lists!$EO$13))),1,0)</f>
        <v/>
      </c>
      <c r="CN66">
        <f>IF(ROW()-56&gt;MAX($CM$57:$CM$95),"",INDEX(Lists!$EO$4:$EO$42,MATCH(ROW()-56,$CM$57:$CM$95,0)))</f>
        <v/>
      </c>
      <c r="CO66">
        <f>CO65+IF(AND(Lists!$ET$13&lt;&gt;"",ISNUMBER(SEARCH($AC$4,Lists!$ET$13))),1,0)</f>
        <v/>
      </c>
      <c r="CP66">
        <f>IF(ROW()-56&gt;MAX($CO$57:$CO$95),"",INDEX(Lists!$ET$4:$ET$42,MATCH(ROW()-56,$CO$57:$CO$95,0)))</f>
        <v/>
      </c>
      <c r="CQ66">
        <f>CQ65+IF(AND(Lists!$EY$13&lt;&gt;"",ISNUMBER(SEARCH($AD$4,Lists!$EY$13))),1,0)</f>
        <v/>
      </c>
      <c r="CR66">
        <f>IF(ROW()-56&gt;MAX($CQ$57:$CQ$95),"",INDEX(Lists!$EY$4:$EY$42,MATCH(ROW()-56,$CQ$57:$CQ$95,0)))</f>
        <v/>
      </c>
      <c r="CS66">
        <f>CS65+IF(AND(Lists!$FD$13&lt;&gt;"",ISNUMBER(SEARCH($AE$4,Lists!$FD$13))),1,0)</f>
        <v/>
      </c>
      <c r="CT66">
        <f>IF(ROW()-56&gt;MAX($CS$57:$CS$95),"",INDEX(Lists!$FD$4:$FD$42,MATCH(ROW()-56,$CS$57:$CS$95,0)))</f>
        <v/>
      </c>
      <c r="CU66">
        <f>CU65+IF(AND(Lists!$FI$13&lt;&gt;"",ISNUMBER(SEARCH($AG$4,Lists!$FI$13))),1,0)</f>
        <v/>
      </c>
      <c r="CV66">
        <f>IF(ROW()-56&gt;MAX($CU$57:$CU$95),"",INDEX(Lists!$FI$4:$FI$42,MATCH(ROW()-56,$CU$57:$CU$95,0)))</f>
        <v/>
      </c>
      <c r="CW66">
        <f>CW65+IF(AND(Lists!$FN$13&lt;&gt;"",ISNUMBER(SEARCH($AH$4,Lists!$FN$13))),1,0)</f>
        <v/>
      </c>
      <c r="CX66">
        <f>IF(ROW()-56&gt;MAX($CW$57:$CW$95),"",INDEX(Lists!$FN$4:$FN$42,MATCH(ROW()-56,$CW$57:$CW$95,0)))</f>
        <v/>
      </c>
      <c r="CY66">
        <f>CY65+IF(AND(Lists!$FS$13&lt;&gt;"",ISNUMBER(SEARCH($AI$4,Lists!$FS$13))),1,0)</f>
        <v/>
      </c>
      <c r="CZ66">
        <f>IF(ROW()-56&gt;MAX($CY$57:$CY$95),"",INDEX(Lists!$FS$4:$FS$42,MATCH(ROW()-56,$CY$57:$CY$95,0)))</f>
        <v/>
      </c>
      <c r="DA66">
        <f>DA65+IF(AND(Lists!$FX$13&lt;&gt;"",ISNUMBER(SEARCH($AF$4,Lists!$FX$13))),1,0)</f>
        <v/>
      </c>
      <c r="DB66">
        <f>IF(ROW()-56&gt;MAX($DA$57:$DA$95),"",INDEX(Lists!$FX$4:$FX$42,MATCH(ROW()-56,$DA$57:$DA$95,0)))</f>
        <v/>
      </c>
      <c r="DG66">
        <f>IF($B$4="",1,IF($B$4="(blank)",--('Final Calculation Sheet'!$F$11=""),IF($B$4="(nonblank)",--('Final Calculation Sheet'!$F$11&lt;&gt;""),--ISNUMBER(SEARCH($B$4,'Final Calculation Sheet'!$F$11)))))</f>
        <v/>
      </c>
      <c r="DH66">
        <f>IF($C$4="",1,IF($C$4="(blank)",--('Final Calculation Sheet'!$G$11=""),IF($C$4="(nonblank)",--('Final Calculation Sheet'!$G$11&lt;&gt;""),--ISNUMBER(SEARCH($C$4,'Final Calculation Sheet'!$G$11)))))</f>
        <v/>
      </c>
      <c r="DI66">
        <f>IF($D$4="",1,IF($D$4="(blank)",--('Final Calculation Sheet'!$B$11=""),IF($D$4="(nonblank)",--('Final Calculation Sheet'!$B$11&lt;&gt;""),--ISNUMBER(SEARCH($D$4,'Final Calculation Sheet'!$B$11)))))</f>
        <v/>
      </c>
      <c r="DJ66">
        <f>IF($E$4="",1,IF($E$4="(blank)",--('Final Calculation Sheet'!$D$11=""),IF($E$4="(nonblank)",--('Final Calculation Sheet'!$D$11&lt;&gt;""),--ISNUMBER(SEARCH($E$4,'Final Calculation Sheet'!$D$11)))))</f>
        <v/>
      </c>
      <c r="DK66">
        <f>IF($F$4="",1,IF($F$4="(blank)",--('Final Calculation Sheet'!$A$11=""),IF($F$4="(nonblank)",--('Final Calculation Sheet'!$A$11&lt;&gt;""),--ISNUMBER(SEARCH($F$4,'Final Calculation Sheet'!$A$11)))))</f>
        <v/>
      </c>
      <c r="DL66">
        <f>IF($G$4="",1,IF($G$4="(blank)",--('Final Calculation Sheet'!$E$11=""),IF($G$4="(nonblank)",--('Final Calculation Sheet'!$E$11&lt;&gt;""),--ISNUMBER(SEARCH($G$4,'Final Calculation Sheet'!$E$11)))))</f>
        <v/>
      </c>
      <c r="DM66">
        <f>IF($H$4="",1,IF($H$4="(blank)",--('Final Calculation Sheet'!$C$11=""),IF($H$4="(nonblank)",--('Final Calculation Sheet'!$C$11&lt;&gt;""),--ISNUMBER(SEARCH($H$4,'Final Calculation Sheet'!$C$11)))))</f>
        <v/>
      </c>
      <c r="DN66">
        <f>IF($I$4="",1,IF($I$4="(blank)",--('Final Calculation Sheet'!$H$11=""),IF($I$4="(nonblank)",--('Final Calculation Sheet'!$H$11&lt;&gt;""),--ISNUMBER(SEARCH($I$4,'Final Calculation Sheet'!$H$11)))))</f>
        <v/>
      </c>
      <c r="DO66">
        <f>IF($J$4="",1,IF($J$4="(blank)",--('Final Calculation Sheet'!$I$11=""),IF($J$4="(nonblank)",--('Final Calculation Sheet'!$I$11&lt;&gt;""),--ISNUMBER(SEARCH($J$4,'Final Calculation Sheet'!$I$11)))))</f>
        <v/>
      </c>
      <c r="DP66">
        <f>IF($K$4="",1,IF($K$4="(blank)",--('Final Calculation Sheet'!$J$11=""),IF($K$4="(nonblank)",--('Final Calculation Sheet'!$J$11&lt;&gt;""),--ISNUMBER(SEARCH($K$4,'Final Calculation Sheet'!$J$11)))))</f>
        <v/>
      </c>
      <c r="DQ66">
        <f>IF($L$4="",1,IF($L$4="(blank)",--('Final Calculation Sheet'!$K$11=""),IF($L$4="(nonblank)",--('Final Calculation Sheet'!$K$11&lt;&gt;""),--ISNUMBER(SEARCH($L$4,'Final Calculation Sheet'!$K$11)))))</f>
        <v/>
      </c>
      <c r="DR66">
        <f>IF($M$4="",1,IF($M$4="(blank)",--('Final Calculation Sheet'!$L$11=""),IF($M$4="(nonblank)",--('Final Calculation Sheet'!$L$11&lt;&gt;""),--ISNUMBER(SEARCH($M$4,'Final Calculation Sheet'!$L$11)))))</f>
        <v/>
      </c>
      <c r="DS66">
        <f>IF($N$4="",1,IF($N$4="(blank)",--('Final Calculation Sheet'!$M$11=""),IF($N$4="(nonblank)",--('Final Calculation Sheet'!$M$11&lt;&gt;""),--ISNUMBER(SEARCH($N$4,'Final Calculation Sheet'!$M$11)))))</f>
        <v/>
      </c>
      <c r="DT66">
        <f>IF($O$4="",1,IF($O$4="(blank)",--('Final Calculation Sheet'!$N$11=""),IF($O$4="(nonblank)",--('Final Calculation Sheet'!$N$11&lt;&gt;""),--ISNUMBER(SEARCH($O$4,'Final Calculation Sheet'!$N$11)))))</f>
        <v/>
      </c>
      <c r="DU66">
        <f>IF($P$4="",1,IF($P$4="(blank)",--('Final Calculation Sheet'!$O$11=""),IF($P$4="(nonblank)",--('Final Calculation Sheet'!$O$11&lt;&gt;""),--ISNUMBER(SEARCH($P$4,'Final Calculation Sheet'!$O$11)))))</f>
        <v/>
      </c>
      <c r="DV66">
        <f>IF($Q$4="",1,IF($Q$4="(blank)",--('Final Calculation Sheet'!$P$11=""),IF($Q$4="(nonblank)",--('Final Calculation Sheet'!$P$11&lt;&gt;""),--ISNUMBER(SEARCH($Q$4,'Final Calculation Sheet'!$P$11)))))</f>
        <v/>
      </c>
      <c r="DW66">
        <f>IF($R$4="",1,IF($R$4="(blank)",--('Final Calculation Sheet'!$Q$11=""),IF($R$4="(nonblank)",--('Final Calculation Sheet'!$Q$11&lt;&gt;""),--ISNUMBER(SEARCH($R$4,'Final Calculation Sheet'!$Q$11)))))</f>
        <v/>
      </c>
      <c r="DX66">
        <f>IF($S$4="",1,IF($S$4="(blank)",--('Final Calculation Sheet'!$R$11=""),IF($S$4="(nonblank)",--('Final Calculation Sheet'!$R$11&lt;&gt;""),--ISNUMBER(SEARCH($S$4,'Final Calculation Sheet'!$R$11)))))</f>
        <v/>
      </c>
      <c r="DY66">
        <f>IF($T$4="",1,IF($T$4="(blank)",--('Final Calculation Sheet'!$S$11=""),IF($T$4="(nonblank)",--('Final Calculation Sheet'!$S$11&lt;&gt;""),--ISNUMBER(SEARCH($T$4,'Final Calculation Sheet'!$S$11)))))</f>
        <v/>
      </c>
      <c r="DZ66">
        <f>IF($U$4="",1,IF($U$4="(blank)",--('Final Calculation Sheet'!$T$11=""),IF($U$4="(nonblank)",--('Final Calculation Sheet'!$T$11&lt;&gt;""),--ISNUMBER(SEARCH($U$4,'Final Calculation Sheet'!$T$11)))))</f>
        <v/>
      </c>
      <c r="EA66">
        <f>IF($V$4="",1,IF($V$4="(blank)",--('Final Calculation Sheet'!$U$11=""),IF($V$4="(nonblank)",--('Final Calculation Sheet'!$U$11&lt;&gt;""),--ISNUMBER(SEARCH($V$4,'Final Calculation Sheet'!$U$11)))))</f>
        <v/>
      </c>
      <c r="EB66">
        <f>IF($W$4="",1,IF($W$4="(blank)",--('Final Calculation Sheet'!$V$11=""),IF($W$4="(nonblank)",--('Final Calculation Sheet'!$V$11&lt;&gt;""),--ISNUMBER(SEARCH($W$4,'Final Calculation Sheet'!$V$11)))))</f>
        <v/>
      </c>
      <c r="EC66">
        <f>IF($X$4="",1,IF($X$4="(blank)",--('Final Calculation Sheet'!$W$11=""),IF($X$4="(nonblank)",--('Final Calculation Sheet'!$W$11&lt;&gt;""),--ISNUMBER(SEARCH($X$4,'Final Calculation Sheet'!$W$11)))))</f>
        <v/>
      </c>
      <c r="ED66">
        <f>IF($Y$4="",1,IF($Y$4="(blank)",--('Final Calculation Sheet'!$X$11=""),IF($Y$4="(nonblank)",--('Final Calculation Sheet'!$X$11&lt;&gt;""),--ISNUMBER(SEARCH($Y$4,'Final Calculation Sheet'!$X$11)))))</f>
        <v/>
      </c>
      <c r="EE66">
        <f>IF($Z$4="",1,IF($Z$4="(blank)",--('Final Calculation Sheet'!$Y$11=""),IF($Z$4="(nonblank)",--('Final Calculation Sheet'!$Y$11&lt;&gt;""),--ISNUMBER(SEARCH($Z$4,'Final Calculation Sheet'!$Y$11)))))</f>
        <v/>
      </c>
      <c r="EF66">
        <f>IF($AA$4="",1,IF($AA$4="(blank)",--('Final Calculation Sheet'!$Z$11=""),IF($AA$4="(nonblank)",--('Final Calculation Sheet'!$Z$11&lt;&gt;""),--ISNUMBER(SEARCH($AA$4,'Final Calculation Sheet'!$Z$11)))))</f>
        <v/>
      </c>
      <c r="EG66">
        <f>IF($AB$4="",1,IF($AB$4="(blank)",--('Final Calculation Sheet'!$AA$11=""),IF($AB$4="(nonblank)",--('Final Calculation Sheet'!$AA$11&lt;&gt;""),--ISNUMBER(SEARCH($AB$4,'Final Calculation Sheet'!$AA$11)))))</f>
        <v/>
      </c>
      <c r="EH66">
        <f>IF($AC$4="",1,IF($AC$4="(blank)",--('Final Calculation Sheet'!$AB$11=""),IF($AC$4="(nonblank)",--('Final Calculation Sheet'!$AB$11&lt;&gt;""),--ISNUMBER(SEARCH($AC$4,'Final Calculation Sheet'!$AB$11)))))</f>
        <v/>
      </c>
      <c r="EI66">
        <f>IF($AD$4="",1,IF($AD$4="(blank)",--('Final Calculation Sheet'!$AC$11=""),IF($AD$4="(nonblank)",--('Final Calculation Sheet'!$AC$11&lt;&gt;""),--ISNUMBER(SEARCH($AD$4,'Final Calculation Sheet'!$AC$11)))))</f>
        <v/>
      </c>
      <c r="EJ66">
        <f>IF($AE$4="",1,IF($AE$4="(blank)",--('Final Calculation Sheet'!$AD$11=""),IF($AE$4="(nonblank)",--('Final Calculation Sheet'!$AD$11&lt;&gt;""),--ISNUMBER(SEARCH($AE$4,'Final Calculation Sheet'!$AD$11)))))</f>
        <v/>
      </c>
      <c r="EK66">
        <f>IF($AF$4="",1,IF($AF$4="(blank)",--(IF('Final Calculation Sheet'!$AD$11&lt;=5,"SETTLED","OUTSTANDING")=""),IF($AF$4="(nonblank)",--(IF('Final Calculation Sheet'!$AD$11&lt;=5,"SETTLED","OUTSTANDING")&lt;&gt;""),--ISNUMBER(SEARCH($AF$4,IF('Final Calculation Sheet'!$AD$11&lt;=5,"SETTLED","OUTSTANDING"))))))</f>
        <v/>
      </c>
      <c r="EL66">
        <f>IF($AG$4="",1,IF($AG$4="(blank)",--('Final Calculation Sheet'!$AF$11=""),IF($AG$4="(nonblank)",--('Final Calculation Sheet'!$AF$11&lt;&gt;""),--ISNUMBER(SEARCH($AG$4,'Final Calculation Sheet'!$AF$11)))))</f>
        <v/>
      </c>
      <c r="EM66">
        <f>IF($AH$4="",1,IF($AH$4="(blank)",--('Final Calculation Sheet'!$AG$11=""),IF($AH$4="(nonblank)",--('Final Calculation Sheet'!$AG$11&lt;&gt;""),--ISNUMBER(SEARCH($AH$4,'Final Calculation Sheet'!$AG$11)))))</f>
        <v/>
      </c>
      <c r="EN66">
        <f>IF($AI$4="",1,IF($AI$4="(blank)",--('Final Calculation Sheet'!$AH$11=""),IF($AI$4="(nonblank)",--('Final Calculation Sheet'!$AH$11&lt;&gt;""),--ISNUMBER(SEARCH($AI$4,'Final Calculation Sheet'!$AH$11)))))</f>
        <v/>
      </c>
    </row>
    <row r="67">
      <c r="AM67">
        <f>AM66+IF(AND(Lists!$O$14&lt;&gt;"",ISNUMBER(SEARCH($B$4,Lists!$O$14))),1,0)</f>
        <v/>
      </c>
      <c r="AN67">
        <f>IF(ROW()-56&gt;MAX($AM$57:$AM$95),"",INDEX(Lists!$O$4:$O$42,MATCH(ROW()-56,$AM$57:$AM$95,0)))</f>
        <v/>
      </c>
      <c r="AO67">
        <f>AO66+IF(AND(Lists!$T$14&lt;&gt;"",ISNUMBER(SEARCH($C$4,Lists!$T$14))),1,0)</f>
        <v/>
      </c>
      <c r="AP67">
        <f>IF(ROW()-56&gt;MAX($AO$57:$AO$95),"",INDEX(Lists!$T$4:$T$42,MATCH(ROW()-56,$AO$57:$AO$95,0)))</f>
        <v/>
      </c>
      <c r="AQ67">
        <f>AQ66+IF(AND(Lists!$Y$14&lt;&gt;"",ISNUMBER(SEARCH($D$4,Lists!$Y$14))),1,0)</f>
        <v/>
      </c>
      <c r="AR67">
        <f>IF(ROW()-56&gt;MAX($AQ$57:$AQ$95),"",INDEX(Lists!$Y$4:$Y$42,MATCH(ROW()-56,$AQ$57:$AQ$95,0)))</f>
        <v/>
      </c>
      <c r="AS67">
        <f>AS66+IF(AND(Lists!$AD$14&lt;&gt;"",ISNUMBER(SEARCH($E$4,Lists!$AD$14))),1,0)</f>
        <v/>
      </c>
      <c r="AT67">
        <f>IF(ROW()-56&gt;MAX($AS$57:$AS$95),"",INDEX(Lists!$AD$4:$AD$42,MATCH(ROW()-56,$AS$57:$AS$95,0)))</f>
        <v/>
      </c>
      <c r="AU67">
        <f>AU66+IF(AND(Lists!$AI$14&lt;&gt;"",ISNUMBER(SEARCH($F$4,Lists!$AI$14))),1,0)</f>
        <v/>
      </c>
      <c r="AV67">
        <f>IF(ROW()-56&gt;MAX($AU$57:$AU$95),"",INDEX(Lists!$AI$4:$AI$42,MATCH(ROW()-56,$AU$57:$AU$95,0)))</f>
        <v/>
      </c>
      <c r="AW67">
        <f>AW66+IF(AND(Lists!$AN$14&lt;&gt;"",ISNUMBER(SEARCH($G$4,Lists!$AN$14))),1,0)</f>
        <v/>
      </c>
      <c r="AX67">
        <f>IF(ROW()-56&gt;MAX($AW$57:$AW$95),"",INDEX(Lists!$AN$4:$AN$42,MATCH(ROW()-56,$AW$57:$AW$95,0)))</f>
        <v/>
      </c>
      <c r="AY67">
        <f>AY66+IF(AND(Lists!$AS$14&lt;&gt;"",ISNUMBER(SEARCH($H$4,Lists!$AS$14))),1,0)</f>
        <v/>
      </c>
      <c r="AZ67">
        <f>IF(ROW()-56&gt;MAX($AY$57:$AY$95),"",INDEX(Lists!$AS$4:$AS$42,MATCH(ROW()-56,$AY$57:$AY$95,0)))</f>
        <v/>
      </c>
      <c r="BA67">
        <f>BA66+IF(AND(Lists!$AX$14&lt;&gt;"",ISNUMBER(SEARCH($I$4,Lists!$AX$14))),1,0)</f>
        <v/>
      </c>
      <c r="BB67">
        <f>IF(ROW()-56&gt;MAX($BA$57:$BA$95),"",INDEX(Lists!$AX$4:$AX$42,MATCH(ROW()-56,$BA$57:$BA$95,0)))</f>
        <v/>
      </c>
      <c r="BC67">
        <f>BC66+IF(AND(Lists!$BC$14&lt;&gt;"",ISNUMBER(SEARCH($J$4,Lists!$BC$14))),1,0)</f>
        <v/>
      </c>
      <c r="BD67">
        <f>IF(ROW()-56&gt;MAX($BC$57:$BC$95),"",INDEX(Lists!$BC$4:$BC$42,MATCH(ROW()-56,$BC$57:$BC$95,0)))</f>
        <v/>
      </c>
      <c r="BE67">
        <f>BE66+IF(AND(Lists!$BH$14&lt;&gt;"",ISNUMBER(SEARCH($K$4,Lists!$BH$14))),1,0)</f>
        <v/>
      </c>
      <c r="BF67">
        <f>IF(ROW()-56&gt;MAX($BE$57:$BE$95),"",INDEX(Lists!$BH$4:$BH$42,MATCH(ROW()-56,$BE$57:$BE$95,0)))</f>
        <v/>
      </c>
      <c r="BG67">
        <f>BG66+IF(AND(Lists!$BM$14&lt;&gt;"",ISNUMBER(SEARCH($L$4,Lists!$BM$14))),1,0)</f>
        <v/>
      </c>
      <c r="BH67">
        <f>IF(ROW()-56&gt;MAX($BG$57:$BG$95),"",INDEX(Lists!$BM$4:$BM$42,MATCH(ROW()-56,$BG$57:$BG$95,0)))</f>
        <v/>
      </c>
      <c r="BI67">
        <f>BI66+IF(AND(Lists!$BR$14&lt;&gt;"",ISNUMBER(SEARCH($M$4,Lists!$BR$14))),1,0)</f>
        <v/>
      </c>
      <c r="BJ67">
        <f>IF(ROW()-56&gt;MAX($BI$57:$BI$95),"",INDEX(Lists!$BR$4:$BR$42,MATCH(ROW()-56,$BI$57:$BI$95,0)))</f>
        <v/>
      </c>
      <c r="BK67">
        <f>BK66+IF(AND(Lists!$BW$14&lt;&gt;"",ISNUMBER(SEARCH($N$4,Lists!$BW$14))),1,0)</f>
        <v/>
      </c>
      <c r="BL67">
        <f>IF(ROW()-56&gt;MAX($BK$57:$BK$95),"",INDEX(Lists!$BW$4:$BW$42,MATCH(ROW()-56,$BK$57:$BK$95,0)))</f>
        <v/>
      </c>
      <c r="BM67">
        <f>BM66+IF(AND(Lists!$CB$14&lt;&gt;"",ISNUMBER(SEARCH($O$4,Lists!$CB$14))),1,0)</f>
        <v/>
      </c>
      <c r="BN67">
        <f>IF(ROW()-56&gt;MAX($BM$57:$BM$95),"",INDEX(Lists!$CB$4:$CB$42,MATCH(ROW()-56,$BM$57:$BM$95,0)))</f>
        <v/>
      </c>
      <c r="BO67">
        <f>BO66+IF(AND(Lists!$CG$14&lt;&gt;"",ISNUMBER(SEARCH($P$4,Lists!$CG$14))),1,0)</f>
        <v/>
      </c>
      <c r="BP67">
        <f>IF(ROW()-56&gt;MAX($BO$57:$BO$95),"",INDEX(Lists!$CG$4:$CG$42,MATCH(ROW()-56,$BO$57:$BO$95,0)))</f>
        <v/>
      </c>
      <c r="BQ67">
        <f>BQ66+IF(AND(Lists!$CL$14&lt;&gt;"",ISNUMBER(SEARCH($Q$4,Lists!$CL$14))),1,0)</f>
        <v/>
      </c>
      <c r="BR67">
        <f>IF(ROW()-56&gt;MAX($BQ$57:$BQ$95),"",INDEX(Lists!$CL$4:$CL$42,MATCH(ROW()-56,$BQ$57:$BQ$95,0)))</f>
        <v/>
      </c>
      <c r="BS67">
        <f>BS66+IF(AND(Lists!$CQ$14&lt;&gt;"",ISNUMBER(SEARCH($R$4,Lists!$CQ$14))),1,0)</f>
        <v/>
      </c>
      <c r="BT67">
        <f>IF(ROW()-56&gt;MAX($BS$57:$BS$95),"",INDEX(Lists!$CQ$4:$CQ$42,MATCH(ROW()-56,$BS$57:$BS$95,0)))</f>
        <v/>
      </c>
      <c r="BU67">
        <f>BU66+IF(AND(Lists!$CV$14&lt;&gt;"",ISNUMBER(SEARCH($S$4,Lists!$CV$14))),1,0)</f>
        <v/>
      </c>
      <c r="BV67">
        <f>IF(ROW()-56&gt;MAX($BU$57:$BU$95),"",INDEX(Lists!$CV$4:$CV$42,MATCH(ROW()-56,$BU$57:$BU$95,0)))</f>
        <v/>
      </c>
      <c r="BW67">
        <f>BW66+IF(AND(Lists!$DA$14&lt;&gt;"",ISNUMBER(SEARCH($T$4,Lists!$DA$14))),1,0)</f>
        <v/>
      </c>
      <c r="BX67">
        <f>IF(ROW()-56&gt;MAX($BW$57:$BW$95),"",INDEX(Lists!$DA$4:$DA$42,MATCH(ROW()-56,$BW$57:$BW$95,0)))</f>
        <v/>
      </c>
      <c r="BY67">
        <f>BY66+IF(AND(Lists!$DF$14&lt;&gt;"",ISNUMBER(SEARCH($U$4,Lists!$DF$14))),1,0)</f>
        <v/>
      </c>
      <c r="BZ67">
        <f>IF(ROW()-56&gt;MAX($BY$57:$BY$95),"",INDEX(Lists!$DF$4:$DF$42,MATCH(ROW()-56,$BY$57:$BY$95,0)))</f>
        <v/>
      </c>
      <c r="CA67">
        <f>CA66+IF(AND(Lists!$DK$14&lt;&gt;"",ISNUMBER(SEARCH($V$4,Lists!$DK$14))),1,0)</f>
        <v/>
      </c>
      <c r="CB67">
        <f>IF(ROW()-56&gt;MAX($CA$57:$CA$95),"",INDEX(Lists!$DK$4:$DK$42,MATCH(ROW()-56,$CA$57:$CA$95,0)))</f>
        <v/>
      </c>
      <c r="CC67">
        <f>CC66+IF(AND(Lists!$DP$14&lt;&gt;"",ISNUMBER(SEARCH($W$4,Lists!$DP$14))),1,0)</f>
        <v/>
      </c>
      <c r="CD67">
        <f>IF(ROW()-56&gt;MAX($CC$57:$CC$95),"",INDEX(Lists!$DP$4:$DP$42,MATCH(ROW()-56,$CC$57:$CC$95,0)))</f>
        <v/>
      </c>
      <c r="CE67">
        <f>CE66+IF(AND(Lists!$DU$14&lt;&gt;"",ISNUMBER(SEARCH($X$4,Lists!$DU$14))),1,0)</f>
        <v/>
      </c>
      <c r="CF67">
        <f>IF(ROW()-56&gt;MAX($CE$57:$CE$95),"",INDEX(Lists!$DU$4:$DU$42,MATCH(ROW()-56,$CE$57:$CE$95,0)))</f>
        <v/>
      </c>
      <c r="CG67">
        <f>CG66+IF(AND(Lists!$DZ$14&lt;&gt;"",ISNUMBER(SEARCH($Y$4,Lists!$DZ$14))),1,0)</f>
        <v/>
      </c>
      <c r="CH67">
        <f>IF(ROW()-56&gt;MAX($CG$57:$CG$95),"",INDEX(Lists!$DZ$4:$DZ$42,MATCH(ROW()-56,$CG$57:$CG$95,0)))</f>
        <v/>
      </c>
      <c r="CI67">
        <f>CI66+IF(AND(Lists!$EE$14&lt;&gt;"",ISNUMBER(SEARCH($Z$4,Lists!$EE$14))),1,0)</f>
        <v/>
      </c>
      <c r="CJ67">
        <f>IF(ROW()-56&gt;MAX($CI$57:$CI$95),"",INDEX(Lists!$EE$4:$EE$42,MATCH(ROW()-56,$CI$57:$CI$95,0)))</f>
        <v/>
      </c>
      <c r="CK67">
        <f>CK66+IF(AND(Lists!$EJ$14&lt;&gt;"",ISNUMBER(SEARCH($AA$4,Lists!$EJ$14))),1,0)</f>
        <v/>
      </c>
      <c r="CL67">
        <f>IF(ROW()-56&gt;MAX($CK$57:$CK$95),"",INDEX(Lists!$EJ$4:$EJ$42,MATCH(ROW()-56,$CK$57:$CK$95,0)))</f>
        <v/>
      </c>
      <c r="CM67">
        <f>CM66+IF(AND(Lists!$EO$14&lt;&gt;"",ISNUMBER(SEARCH($AB$4,Lists!$EO$14))),1,0)</f>
        <v/>
      </c>
      <c r="CN67">
        <f>IF(ROW()-56&gt;MAX($CM$57:$CM$95),"",INDEX(Lists!$EO$4:$EO$42,MATCH(ROW()-56,$CM$57:$CM$95,0)))</f>
        <v/>
      </c>
      <c r="CO67">
        <f>CO66+IF(AND(Lists!$ET$14&lt;&gt;"",ISNUMBER(SEARCH($AC$4,Lists!$ET$14))),1,0)</f>
        <v/>
      </c>
      <c r="CP67">
        <f>IF(ROW()-56&gt;MAX($CO$57:$CO$95),"",INDEX(Lists!$ET$4:$ET$42,MATCH(ROW()-56,$CO$57:$CO$95,0)))</f>
        <v/>
      </c>
      <c r="CQ67">
        <f>CQ66+IF(AND(Lists!$EY$14&lt;&gt;"",ISNUMBER(SEARCH($AD$4,Lists!$EY$14))),1,0)</f>
        <v/>
      </c>
      <c r="CR67">
        <f>IF(ROW()-56&gt;MAX($CQ$57:$CQ$95),"",INDEX(Lists!$EY$4:$EY$42,MATCH(ROW()-56,$CQ$57:$CQ$95,0)))</f>
        <v/>
      </c>
      <c r="CS67">
        <f>CS66+IF(AND(Lists!$FD$14&lt;&gt;"",ISNUMBER(SEARCH($AE$4,Lists!$FD$14))),1,0)</f>
        <v/>
      </c>
      <c r="CT67">
        <f>IF(ROW()-56&gt;MAX($CS$57:$CS$95),"",INDEX(Lists!$FD$4:$FD$42,MATCH(ROW()-56,$CS$57:$CS$95,0)))</f>
        <v/>
      </c>
      <c r="CU67">
        <f>CU66+IF(AND(Lists!$FI$14&lt;&gt;"",ISNUMBER(SEARCH($AG$4,Lists!$FI$14))),1,0)</f>
        <v/>
      </c>
      <c r="CV67">
        <f>IF(ROW()-56&gt;MAX($CU$57:$CU$95),"",INDEX(Lists!$FI$4:$FI$42,MATCH(ROW()-56,$CU$57:$CU$95,0)))</f>
        <v/>
      </c>
      <c r="CW67">
        <f>CW66+IF(AND(Lists!$FN$14&lt;&gt;"",ISNUMBER(SEARCH($AH$4,Lists!$FN$14))),1,0)</f>
        <v/>
      </c>
      <c r="CX67">
        <f>IF(ROW()-56&gt;MAX($CW$57:$CW$95),"",INDEX(Lists!$FN$4:$FN$42,MATCH(ROW()-56,$CW$57:$CW$95,0)))</f>
        <v/>
      </c>
      <c r="CY67">
        <f>CY66+IF(AND(Lists!$FS$14&lt;&gt;"",ISNUMBER(SEARCH($AI$4,Lists!$FS$14))),1,0)</f>
        <v/>
      </c>
      <c r="CZ67">
        <f>IF(ROW()-56&gt;MAX($CY$57:$CY$95),"",INDEX(Lists!$FS$4:$FS$42,MATCH(ROW()-56,$CY$57:$CY$95,0)))</f>
        <v/>
      </c>
      <c r="DA67">
        <f>DA66+IF(AND(Lists!$FX$14&lt;&gt;"",ISNUMBER(SEARCH($AF$4,Lists!$FX$14))),1,0)</f>
        <v/>
      </c>
      <c r="DB67">
        <f>IF(ROW()-56&gt;MAX($DA$57:$DA$95),"",INDEX(Lists!$FX$4:$FX$42,MATCH(ROW()-56,$DA$57:$DA$95,0)))</f>
        <v/>
      </c>
      <c r="DG67">
        <f>IF($B$4="",1,IF($B$4="(blank)",--('Final Calculation Sheet'!$F$12=""),IF($B$4="(nonblank)",--('Final Calculation Sheet'!$F$12&lt;&gt;""),--ISNUMBER(SEARCH($B$4,'Final Calculation Sheet'!$F$12)))))</f>
        <v/>
      </c>
      <c r="DH67">
        <f>IF($C$4="",1,IF($C$4="(blank)",--('Final Calculation Sheet'!$G$12=""),IF($C$4="(nonblank)",--('Final Calculation Sheet'!$G$12&lt;&gt;""),--ISNUMBER(SEARCH($C$4,'Final Calculation Sheet'!$G$12)))))</f>
        <v/>
      </c>
      <c r="DI67">
        <f>IF($D$4="",1,IF($D$4="(blank)",--('Final Calculation Sheet'!$B$12=""),IF($D$4="(nonblank)",--('Final Calculation Sheet'!$B$12&lt;&gt;""),--ISNUMBER(SEARCH($D$4,'Final Calculation Sheet'!$B$12)))))</f>
        <v/>
      </c>
      <c r="DJ67">
        <f>IF($E$4="",1,IF($E$4="(blank)",--('Final Calculation Sheet'!$D$12=""),IF($E$4="(nonblank)",--('Final Calculation Sheet'!$D$12&lt;&gt;""),--ISNUMBER(SEARCH($E$4,'Final Calculation Sheet'!$D$12)))))</f>
        <v/>
      </c>
      <c r="DK67">
        <f>IF($F$4="",1,IF($F$4="(blank)",--('Final Calculation Sheet'!$A$12=""),IF($F$4="(nonblank)",--('Final Calculation Sheet'!$A$12&lt;&gt;""),--ISNUMBER(SEARCH($F$4,'Final Calculation Sheet'!$A$12)))))</f>
        <v/>
      </c>
      <c r="DL67">
        <f>IF($G$4="",1,IF($G$4="(blank)",--('Final Calculation Sheet'!$E$12=""),IF($G$4="(nonblank)",--('Final Calculation Sheet'!$E$12&lt;&gt;""),--ISNUMBER(SEARCH($G$4,'Final Calculation Sheet'!$E$12)))))</f>
        <v/>
      </c>
      <c r="DM67">
        <f>IF($H$4="",1,IF($H$4="(blank)",--('Final Calculation Sheet'!$C$12=""),IF($H$4="(nonblank)",--('Final Calculation Sheet'!$C$12&lt;&gt;""),--ISNUMBER(SEARCH($H$4,'Final Calculation Sheet'!$C$12)))))</f>
        <v/>
      </c>
      <c r="DN67">
        <f>IF($I$4="",1,IF($I$4="(blank)",--('Final Calculation Sheet'!$H$12=""),IF($I$4="(nonblank)",--('Final Calculation Sheet'!$H$12&lt;&gt;""),--ISNUMBER(SEARCH($I$4,'Final Calculation Sheet'!$H$12)))))</f>
        <v/>
      </c>
      <c r="DO67">
        <f>IF($J$4="",1,IF($J$4="(blank)",--('Final Calculation Sheet'!$I$12=""),IF($J$4="(nonblank)",--('Final Calculation Sheet'!$I$12&lt;&gt;""),--ISNUMBER(SEARCH($J$4,'Final Calculation Sheet'!$I$12)))))</f>
        <v/>
      </c>
      <c r="DP67">
        <f>IF($K$4="",1,IF($K$4="(blank)",--('Final Calculation Sheet'!$J$12=""),IF($K$4="(nonblank)",--('Final Calculation Sheet'!$J$12&lt;&gt;""),--ISNUMBER(SEARCH($K$4,'Final Calculation Sheet'!$J$12)))))</f>
        <v/>
      </c>
      <c r="DQ67">
        <f>IF($L$4="",1,IF($L$4="(blank)",--('Final Calculation Sheet'!$K$12=""),IF($L$4="(nonblank)",--('Final Calculation Sheet'!$K$12&lt;&gt;""),--ISNUMBER(SEARCH($L$4,'Final Calculation Sheet'!$K$12)))))</f>
        <v/>
      </c>
      <c r="DR67">
        <f>IF($M$4="",1,IF($M$4="(blank)",--('Final Calculation Sheet'!$L$12=""),IF($M$4="(nonblank)",--('Final Calculation Sheet'!$L$12&lt;&gt;""),--ISNUMBER(SEARCH($M$4,'Final Calculation Sheet'!$L$12)))))</f>
        <v/>
      </c>
      <c r="DS67">
        <f>IF($N$4="",1,IF($N$4="(blank)",--('Final Calculation Sheet'!$M$12=""),IF($N$4="(nonblank)",--('Final Calculation Sheet'!$M$12&lt;&gt;""),--ISNUMBER(SEARCH($N$4,'Final Calculation Sheet'!$M$12)))))</f>
        <v/>
      </c>
      <c r="DT67">
        <f>IF($O$4="",1,IF($O$4="(blank)",--('Final Calculation Sheet'!$N$12=""),IF($O$4="(nonblank)",--('Final Calculation Sheet'!$N$12&lt;&gt;""),--ISNUMBER(SEARCH($O$4,'Final Calculation Sheet'!$N$12)))))</f>
        <v/>
      </c>
      <c r="DU67">
        <f>IF($P$4="",1,IF($P$4="(blank)",--('Final Calculation Sheet'!$O$12=""),IF($P$4="(nonblank)",--('Final Calculation Sheet'!$O$12&lt;&gt;""),--ISNUMBER(SEARCH($P$4,'Final Calculation Sheet'!$O$12)))))</f>
        <v/>
      </c>
      <c r="DV67">
        <f>IF($Q$4="",1,IF($Q$4="(blank)",--('Final Calculation Sheet'!$P$12=""),IF($Q$4="(nonblank)",--('Final Calculation Sheet'!$P$12&lt;&gt;""),--ISNUMBER(SEARCH($Q$4,'Final Calculation Sheet'!$P$12)))))</f>
        <v/>
      </c>
      <c r="DW67">
        <f>IF($R$4="",1,IF($R$4="(blank)",--('Final Calculation Sheet'!$Q$12=""),IF($R$4="(nonblank)",--('Final Calculation Sheet'!$Q$12&lt;&gt;""),--ISNUMBER(SEARCH($R$4,'Final Calculation Sheet'!$Q$12)))))</f>
        <v/>
      </c>
      <c r="DX67">
        <f>IF($S$4="",1,IF($S$4="(blank)",--('Final Calculation Sheet'!$R$12=""),IF($S$4="(nonblank)",--('Final Calculation Sheet'!$R$12&lt;&gt;""),--ISNUMBER(SEARCH($S$4,'Final Calculation Sheet'!$R$12)))))</f>
        <v/>
      </c>
      <c r="DY67">
        <f>IF($T$4="",1,IF($T$4="(blank)",--('Final Calculation Sheet'!$S$12=""),IF($T$4="(nonblank)",--('Final Calculation Sheet'!$S$12&lt;&gt;""),--ISNUMBER(SEARCH($T$4,'Final Calculation Sheet'!$S$12)))))</f>
        <v/>
      </c>
      <c r="DZ67">
        <f>IF($U$4="",1,IF($U$4="(blank)",--('Final Calculation Sheet'!$T$12=""),IF($U$4="(nonblank)",--('Final Calculation Sheet'!$T$12&lt;&gt;""),--ISNUMBER(SEARCH($U$4,'Final Calculation Sheet'!$T$12)))))</f>
        <v/>
      </c>
      <c r="EA67">
        <f>IF($V$4="",1,IF($V$4="(blank)",--('Final Calculation Sheet'!$U$12=""),IF($V$4="(nonblank)",--('Final Calculation Sheet'!$U$12&lt;&gt;""),--ISNUMBER(SEARCH($V$4,'Final Calculation Sheet'!$U$12)))))</f>
        <v/>
      </c>
      <c r="EB67">
        <f>IF($W$4="",1,IF($W$4="(blank)",--('Final Calculation Sheet'!$V$12=""),IF($W$4="(nonblank)",--('Final Calculation Sheet'!$V$12&lt;&gt;""),--ISNUMBER(SEARCH($W$4,'Final Calculation Sheet'!$V$12)))))</f>
        <v/>
      </c>
      <c r="EC67">
        <f>IF($X$4="",1,IF($X$4="(blank)",--('Final Calculation Sheet'!$W$12=""),IF($X$4="(nonblank)",--('Final Calculation Sheet'!$W$12&lt;&gt;""),--ISNUMBER(SEARCH($X$4,'Final Calculation Sheet'!$W$12)))))</f>
        <v/>
      </c>
      <c r="ED67">
        <f>IF($Y$4="",1,IF($Y$4="(blank)",--('Final Calculation Sheet'!$X$12=""),IF($Y$4="(nonblank)",--('Final Calculation Sheet'!$X$12&lt;&gt;""),--ISNUMBER(SEARCH($Y$4,'Final Calculation Sheet'!$X$12)))))</f>
        <v/>
      </c>
      <c r="EE67">
        <f>IF($Z$4="",1,IF($Z$4="(blank)",--('Final Calculation Sheet'!$Y$12=""),IF($Z$4="(nonblank)",--('Final Calculation Sheet'!$Y$12&lt;&gt;""),--ISNUMBER(SEARCH($Z$4,'Final Calculation Sheet'!$Y$12)))))</f>
        <v/>
      </c>
      <c r="EF67">
        <f>IF($AA$4="",1,IF($AA$4="(blank)",--('Final Calculation Sheet'!$Z$12=""),IF($AA$4="(nonblank)",--('Final Calculation Sheet'!$Z$12&lt;&gt;""),--ISNUMBER(SEARCH($AA$4,'Final Calculation Sheet'!$Z$12)))))</f>
        <v/>
      </c>
      <c r="EG67">
        <f>IF($AB$4="",1,IF($AB$4="(blank)",--('Final Calculation Sheet'!$AA$12=""),IF($AB$4="(nonblank)",--('Final Calculation Sheet'!$AA$12&lt;&gt;""),--ISNUMBER(SEARCH($AB$4,'Final Calculation Sheet'!$AA$12)))))</f>
        <v/>
      </c>
      <c r="EH67">
        <f>IF($AC$4="",1,IF($AC$4="(blank)",--('Final Calculation Sheet'!$AB$12=""),IF($AC$4="(nonblank)",--('Final Calculation Sheet'!$AB$12&lt;&gt;""),--ISNUMBER(SEARCH($AC$4,'Final Calculation Sheet'!$AB$12)))))</f>
        <v/>
      </c>
      <c r="EI67">
        <f>IF($AD$4="",1,IF($AD$4="(blank)",--('Final Calculation Sheet'!$AC$12=""),IF($AD$4="(nonblank)",--('Final Calculation Sheet'!$AC$12&lt;&gt;""),--ISNUMBER(SEARCH($AD$4,'Final Calculation Sheet'!$AC$12)))))</f>
        <v/>
      </c>
      <c r="EJ67">
        <f>IF($AE$4="",1,IF($AE$4="(blank)",--('Final Calculation Sheet'!$AD$12=""),IF($AE$4="(nonblank)",--('Final Calculation Sheet'!$AD$12&lt;&gt;""),--ISNUMBER(SEARCH($AE$4,'Final Calculation Sheet'!$AD$12)))))</f>
        <v/>
      </c>
      <c r="EK67">
        <f>IF($AF$4="",1,IF($AF$4="(blank)",--(IF('Final Calculation Sheet'!$AD$12&lt;=5,"SETTLED","OUTSTANDING")=""),IF($AF$4="(nonblank)",--(IF('Final Calculation Sheet'!$AD$12&lt;=5,"SETTLED","OUTSTANDING")&lt;&gt;""),--ISNUMBER(SEARCH($AF$4,IF('Final Calculation Sheet'!$AD$12&lt;=5,"SETTLED","OUTSTANDING"))))))</f>
        <v/>
      </c>
      <c r="EL67">
        <f>IF($AG$4="",1,IF($AG$4="(blank)",--('Final Calculation Sheet'!$AF$12=""),IF($AG$4="(nonblank)",--('Final Calculation Sheet'!$AF$12&lt;&gt;""),--ISNUMBER(SEARCH($AG$4,'Final Calculation Sheet'!$AF$12)))))</f>
        <v/>
      </c>
      <c r="EM67">
        <f>IF($AH$4="",1,IF($AH$4="(blank)",--('Final Calculation Sheet'!$AG$12=""),IF($AH$4="(nonblank)",--('Final Calculation Sheet'!$AG$12&lt;&gt;""),--ISNUMBER(SEARCH($AH$4,'Final Calculation Sheet'!$AG$12)))))</f>
        <v/>
      </c>
      <c r="EN67">
        <f>IF($AI$4="",1,IF($AI$4="(blank)",--('Final Calculation Sheet'!$AH$12=""),IF($AI$4="(nonblank)",--('Final Calculation Sheet'!$AH$12&lt;&gt;""),--ISNUMBER(SEARCH($AI$4,'Final Calculation Sheet'!$AH$12)))))</f>
        <v/>
      </c>
    </row>
    <row r="68">
      <c r="AM68">
        <f>AM67+IF(AND(Lists!$O$15&lt;&gt;"",ISNUMBER(SEARCH($B$4,Lists!$O$15))),1,0)</f>
        <v/>
      </c>
      <c r="AN68">
        <f>IF(ROW()-56&gt;MAX($AM$57:$AM$95),"",INDEX(Lists!$O$4:$O$42,MATCH(ROW()-56,$AM$57:$AM$95,0)))</f>
        <v/>
      </c>
      <c r="AO68">
        <f>AO67+IF(AND(Lists!$T$15&lt;&gt;"",ISNUMBER(SEARCH($C$4,Lists!$T$15))),1,0)</f>
        <v/>
      </c>
      <c r="AP68">
        <f>IF(ROW()-56&gt;MAX($AO$57:$AO$95),"",INDEX(Lists!$T$4:$T$42,MATCH(ROW()-56,$AO$57:$AO$95,0)))</f>
        <v/>
      </c>
      <c r="AQ68">
        <f>AQ67+IF(AND(Lists!$Y$15&lt;&gt;"",ISNUMBER(SEARCH($D$4,Lists!$Y$15))),1,0)</f>
        <v/>
      </c>
      <c r="AR68">
        <f>IF(ROW()-56&gt;MAX($AQ$57:$AQ$95),"",INDEX(Lists!$Y$4:$Y$42,MATCH(ROW()-56,$AQ$57:$AQ$95,0)))</f>
        <v/>
      </c>
      <c r="AS68">
        <f>AS67+IF(AND(Lists!$AD$15&lt;&gt;"",ISNUMBER(SEARCH($E$4,Lists!$AD$15))),1,0)</f>
        <v/>
      </c>
      <c r="AT68">
        <f>IF(ROW()-56&gt;MAX($AS$57:$AS$95),"",INDEX(Lists!$AD$4:$AD$42,MATCH(ROW()-56,$AS$57:$AS$95,0)))</f>
        <v/>
      </c>
      <c r="AU68">
        <f>AU67+IF(AND(Lists!$AI$15&lt;&gt;"",ISNUMBER(SEARCH($F$4,Lists!$AI$15))),1,0)</f>
        <v/>
      </c>
      <c r="AV68">
        <f>IF(ROW()-56&gt;MAX($AU$57:$AU$95),"",INDEX(Lists!$AI$4:$AI$42,MATCH(ROW()-56,$AU$57:$AU$95,0)))</f>
        <v/>
      </c>
      <c r="AW68">
        <f>AW67+IF(AND(Lists!$AN$15&lt;&gt;"",ISNUMBER(SEARCH($G$4,Lists!$AN$15))),1,0)</f>
        <v/>
      </c>
      <c r="AX68">
        <f>IF(ROW()-56&gt;MAX($AW$57:$AW$95),"",INDEX(Lists!$AN$4:$AN$42,MATCH(ROW()-56,$AW$57:$AW$95,0)))</f>
        <v/>
      </c>
      <c r="AY68">
        <f>AY67+IF(AND(Lists!$AS$15&lt;&gt;"",ISNUMBER(SEARCH($H$4,Lists!$AS$15))),1,0)</f>
        <v/>
      </c>
      <c r="AZ68">
        <f>IF(ROW()-56&gt;MAX($AY$57:$AY$95),"",INDEX(Lists!$AS$4:$AS$42,MATCH(ROW()-56,$AY$57:$AY$95,0)))</f>
        <v/>
      </c>
      <c r="BA68">
        <f>BA67+IF(AND(Lists!$AX$15&lt;&gt;"",ISNUMBER(SEARCH($I$4,Lists!$AX$15))),1,0)</f>
        <v/>
      </c>
      <c r="BB68">
        <f>IF(ROW()-56&gt;MAX($BA$57:$BA$95),"",INDEX(Lists!$AX$4:$AX$42,MATCH(ROW()-56,$BA$57:$BA$95,0)))</f>
        <v/>
      </c>
      <c r="BC68">
        <f>BC67+IF(AND(Lists!$BC$15&lt;&gt;"",ISNUMBER(SEARCH($J$4,Lists!$BC$15))),1,0)</f>
        <v/>
      </c>
      <c r="BD68">
        <f>IF(ROW()-56&gt;MAX($BC$57:$BC$95),"",INDEX(Lists!$BC$4:$BC$42,MATCH(ROW()-56,$BC$57:$BC$95,0)))</f>
        <v/>
      </c>
      <c r="BE68">
        <f>BE67+IF(AND(Lists!$BH$15&lt;&gt;"",ISNUMBER(SEARCH($K$4,Lists!$BH$15))),1,0)</f>
        <v/>
      </c>
      <c r="BF68">
        <f>IF(ROW()-56&gt;MAX($BE$57:$BE$95),"",INDEX(Lists!$BH$4:$BH$42,MATCH(ROW()-56,$BE$57:$BE$95,0)))</f>
        <v/>
      </c>
      <c r="BG68">
        <f>BG67+IF(AND(Lists!$BM$15&lt;&gt;"",ISNUMBER(SEARCH($L$4,Lists!$BM$15))),1,0)</f>
        <v/>
      </c>
      <c r="BH68">
        <f>IF(ROW()-56&gt;MAX($BG$57:$BG$95),"",INDEX(Lists!$BM$4:$BM$42,MATCH(ROW()-56,$BG$57:$BG$95,0)))</f>
        <v/>
      </c>
      <c r="BI68">
        <f>BI67+IF(AND(Lists!$BR$15&lt;&gt;"",ISNUMBER(SEARCH($M$4,Lists!$BR$15))),1,0)</f>
        <v/>
      </c>
      <c r="BJ68">
        <f>IF(ROW()-56&gt;MAX($BI$57:$BI$95),"",INDEX(Lists!$BR$4:$BR$42,MATCH(ROW()-56,$BI$57:$BI$95,0)))</f>
        <v/>
      </c>
      <c r="BK68">
        <f>BK67+IF(AND(Lists!$BW$15&lt;&gt;"",ISNUMBER(SEARCH($N$4,Lists!$BW$15))),1,0)</f>
        <v/>
      </c>
      <c r="BL68">
        <f>IF(ROW()-56&gt;MAX($BK$57:$BK$95),"",INDEX(Lists!$BW$4:$BW$42,MATCH(ROW()-56,$BK$57:$BK$95,0)))</f>
        <v/>
      </c>
      <c r="BM68">
        <f>BM67+IF(AND(Lists!$CB$15&lt;&gt;"",ISNUMBER(SEARCH($O$4,Lists!$CB$15))),1,0)</f>
        <v/>
      </c>
      <c r="BN68">
        <f>IF(ROW()-56&gt;MAX($BM$57:$BM$95),"",INDEX(Lists!$CB$4:$CB$42,MATCH(ROW()-56,$BM$57:$BM$95,0)))</f>
        <v/>
      </c>
      <c r="BO68">
        <f>BO67+IF(AND(Lists!$CG$15&lt;&gt;"",ISNUMBER(SEARCH($P$4,Lists!$CG$15))),1,0)</f>
        <v/>
      </c>
      <c r="BP68">
        <f>IF(ROW()-56&gt;MAX($BO$57:$BO$95),"",INDEX(Lists!$CG$4:$CG$42,MATCH(ROW()-56,$BO$57:$BO$95,0)))</f>
        <v/>
      </c>
      <c r="BQ68">
        <f>BQ67+IF(AND(Lists!$CL$15&lt;&gt;"",ISNUMBER(SEARCH($Q$4,Lists!$CL$15))),1,0)</f>
        <v/>
      </c>
      <c r="BR68">
        <f>IF(ROW()-56&gt;MAX($BQ$57:$BQ$95),"",INDEX(Lists!$CL$4:$CL$42,MATCH(ROW()-56,$BQ$57:$BQ$95,0)))</f>
        <v/>
      </c>
      <c r="BS68">
        <f>BS67+IF(AND(Lists!$CQ$15&lt;&gt;"",ISNUMBER(SEARCH($R$4,Lists!$CQ$15))),1,0)</f>
        <v/>
      </c>
      <c r="BT68">
        <f>IF(ROW()-56&gt;MAX($BS$57:$BS$95),"",INDEX(Lists!$CQ$4:$CQ$42,MATCH(ROW()-56,$BS$57:$BS$95,0)))</f>
        <v/>
      </c>
      <c r="BU68">
        <f>BU67+IF(AND(Lists!$CV$15&lt;&gt;"",ISNUMBER(SEARCH($S$4,Lists!$CV$15))),1,0)</f>
        <v/>
      </c>
      <c r="BV68">
        <f>IF(ROW()-56&gt;MAX($BU$57:$BU$95),"",INDEX(Lists!$CV$4:$CV$42,MATCH(ROW()-56,$BU$57:$BU$95,0)))</f>
        <v/>
      </c>
      <c r="BW68">
        <f>BW67+IF(AND(Lists!$DA$15&lt;&gt;"",ISNUMBER(SEARCH($T$4,Lists!$DA$15))),1,0)</f>
        <v/>
      </c>
      <c r="BX68">
        <f>IF(ROW()-56&gt;MAX($BW$57:$BW$95),"",INDEX(Lists!$DA$4:$DA$42,MATCH(ROW()-56,$BW$57:$BW$95,0)))</f>
        <v/>
      </c>
      <c r="BY68">
        <f>BY67+IF(AND(Lists!$DF$15&lt;&gt;"",ISNUMBER(SEARCH($U$4,Lists!$DF$15))),1,0)</f>
        <v/>
      </c>
      <c r="BZ68">
        <f>IF(ROW()-56&gt;MAX($BY$57:$BY$95),"",INDEX(Lists!$DF$4:$DF$42,MATCH(ROW()-56,$BY$57:$BY$95,0)))</f>
        <v/>
      </c>
      <c r="CA68">
        <f>CA67+IF(AND(Lists!$DK$15&lt;&gt;"",ISNUMBER(SEARCH($V$4,Lists!$DK$15))),1,0)</f>
        <v/>
      </c>
      <c r="CB68">
        <f>IF(ROW()-56&gt;MAX($CA$57:$CA$95),"",INDEX(Lists!$DK$4:$DK$42,MATCH(ROW()-56,$CA$57:$CA$95,0)))</f>
        <v/>
      </c>
      <c r="CC68">
        <f>CC67+IF(AND(Lists!$DP$15&lt;&gt;"",ISNUMBER(SEARCH($W$4,Lists!$DP$15))),1,0)</f>
        <v/>
      </c>
      <c r="CD68">
        <f>IF(ROW()-56&gt;MAX($CC$57:$CC$95),"",INDEX(Lists!$DP$4:$DP$42,MATCH(ROW()-56,$CC$57:$CC$95,0)))</f>
        <v/>
      </c>
      <c r="CE68">
        <f>CE67+IF(AND(Lists!$DU$15&lt;&gt;"",ISNUMBER(SEARCH($X$4,Lists!$DU$15))),1,0)</f>
        <v/>
      </c>
      <c r="CF68">
        <f>IF(ROW()-56&gt;MAX($CE$57:$CE$95),"",INDEX(Lists!$DU$4:$DU$42,MATCH(ROW()-56,$CE$57:$CE$95,0)))</f>
        <v/>
      </c>
      <c r="CG68">
        <f>CG67+IF(AND(Lists!$DZ$15&lt;&gt;"",ISNUMBER(SEARCH($Y$4,Lists!$DZ$15))),1,0)</f>
        <v/>
      </c>
      <c r="CH68">
        <f>IF(ROW()-56&gt;MAX($CG$57:$CG$95),"",INDEX(Lists!$DZ$4:$DZ$42,MATCH(ROW()-56,$CG$57:$CG$95,0)))</f>
        <v/>
      </c>
      <c r="CI68">
        <f>CI67+IF(AND(Lists!$EE$15&lt;&gt;"",ISNUMBER(SEARCH($Z$4,Lists!$EE$15))),1,0)</f>
        <v/>
      </c>
      <c r="CJ68">
        <f>IF(ROW()-56&gt;MAX($CI$57:$CI$95),"",INDEX(Lists!$EE$4:$EE$42,MATCH(ROW()-56,$CI$57:$CI$95,0)))</f>
        <v/>
      </c>
      <c r="CK68">
        <f>CK67+IF(AND(Lists!$EJ$15&lt;&gt;"",ISNUMBER(SEARCH($AA$4,Lists!$EJ$15))),1,0)</f>
        <v/>
      </c>
      <c r="CL68">
        <f>IF(ROW()-56&gt;MAX($CK$57:$CK$95),"",INDEX(Lists!$EJ$4:$EJ$42,MATCH(ROW()-56,$CK$57:$CK$95,0)))</f>
        <v/>
      </c>
      <c r="CM68">
        <f>CM67+IF(AND(Lists!$EO$15&lt;&gt;"",ISNUMBER(SEARCH($AB$4,Lists!$EO$15))),1,0)</f>
        <v/>
      </c>
      <c r="CN68">
        <f>IF(ROW()-56&gt;MAX($CM$57:$CM$95),"",INDEX(Lists!$EO$4:$EO$42,MATCH(ROW()-56,$CM$57:$CM$95,0)))</f>
        <v/>
      </c>
      <c r="CO68">
        <f>CO67+IF(AND(Lists!$ET$15&lt;&gt;"",ISNUMBER(SEARCH($AC$4,Lists!$ET$15))),1,0)</f>
        <v/>
      </c>
      <c r="CP68">
        <f>IF(ROW()-56&gt;MAX($CO$57:$CO$95),"",INDEX(Lists!$ET$4:$ET$42,MATCH(ROW()-56,$CO$57:$CO$95,0)))</f>
        <v/>
      </c>
      <c r="CQ68">
        <f>CQ67+IF(AND(Lists!$EY$15&lt;&gt;"",ISNUMBER(SEARCH($AD$4,Lists!$EY$15))),1,0)</f>
        <v/>
      </c>
      <c r="CR68">
        <f>IF(ROW()-56&gt;MAX($CQ$57:$CQ$95),"",INDEX(Lists!$EY$4:$EY$42,MATCH(ROW()-56,$CQ$57:$CQ$95,0)))</f>
        <v/>
      </c>
      <c r="CS68">
        <f>CS67+IF(AND(Lists!$FD$15&lt;&gt;"",ISNUMBER(SEARCH($AE$4,Lists!$FD$15))),1,0)</f>
        <v/>
      </c>
      <c r="CT68">
        <f>IF(ROW()-56&gt;MAX($CS$57:$CS$95),"",INDEX(Lists!$FD$4:$FD$42,MATCH(ROW()-56,$CS$57:$CS$95,0)))</f>
        <v/>
      </c>
      <c r="CU68">
        <f>CU67+IF(AND(Lists!$FI$15&lt;&gt;"",ISNUMBER(SEARCH($AG$4,Lists!$FI$15))),1,0)</f>
        <v/>
      </c>
      <c r="CV68">
        <f>IF(ROW()-56&gt;MAX($CU$57:$CU$95),"",INDEX(Lists!$FI$4:$FI$42,MATCH(ROW()-56,$CU$57:$CU$95,0)))</f>
        <v/>
      </c>
      <c r="CW68">
        <f>CW67+IF(AND(Lists!$FN$15&lt;&gt;"",ISNUMBER(SEARCH($AH$4,Lists!$FN$15))),1,0)</f>
        <v/>
      </c>
      <c r="CX68">
        <f>IF(ROW()-56&gt;MAX($CW$57:$CW$95),"",INDEX(Lists!$FN$4:$FN$42,MATCH(ROW()-56,$CW$57:$CW$95,0)))</f>
        <v/>
      </c>
      <c r="CY68">
        <f>CY67+IF(AND(Lists!$FS$15&lt;&gt;"",ISNUMBER(SEARCH($AI$4,Lists!$FS$15))),1,0)</f>
        <v/>
      </c>
      <c r="CZ68">
        <f>IF(ROW()-56&gt;MAX($CY$57:$CY$95),"",INDEX(Lists!$FS$4:$FS$42,MATCH(ROW()-56,$CY$57:$CY$95,0)))</f>
        <v/>
      </c>
      <c r="DA68">
        <f>DA67+IF(AND(Lists!$FX$15&lt;&gt;"",ISNUMBER(SEARCH($AF$4,Lists!$FX$15))),1,0)</f>
        <v/>
      </c>
      <c r="DB68">
        <f>IF(ROW()-56&gt;MAX($DA$57:$DA$95),"",INDEX(Lists!$FX$4:$FX$42,MATCH(ROW()-56,$DA$57:$DA$95,0)))</f>
        <v/>
      </c>
      <c r="DG68">
        <f>IF($B$4="",1,IF($B$4="(blank)",--('Final Calculation Sheet'!$F$13=""),IF($B$4="(nonblank)",--('Final Calculation Sheet'!$F$13&lt;&gt;""),--ISNUMBER(SEARCH($B$4,'Final Calculation Sheet'!$F$13)))))</f>
        <v/>
      </c>
      <c r="DH68">
        <f>IF($C$4="",1,IF($C$4="(blank)",--('Final Calculation Sheet'!$G$13=""),IF($C$4="(nonblank)",--('Final Calculation Sheet'!$G$13&lt;&gt;""),--ISNUMBER(SEARCH($C$4,'Final Calculation Sheet'!$G$13)))))</f>
        <v/>
      </c>
      <c r="DI68">
        <f>IF($D$4="",1,IF($D$4="(blank)",--('Final Calculation Sheet'!$B$13=""),IF($D$4="(nonblank)",--('Final Calculation Sheet'!$B$13&lt;&gt;""),--ISNUMBER(SEARCH($D$4,'Final Calculation Sheet'!$B$13)))))</f>
        <v/>
      </c>
      <c r="DJ68">
        <f>IF($E$4="",1,IF($E$4="(blank)",--('Final Calculation Sheet'!$D$13=""),IF($E$4="(nonblank)",--('Final Calculation Sheet'!$D$13&lt;&gt;""),--ISNUMBER(SEARCH($E$4,'Final Calculation Sheet'!$D$13)))))</f>
        <v/>
      </c>
      <c r="DK68">
        <f>IF($F$4="",1,IF($F$4="(blank)",--('Final Calculation Sheet'!$A$13=""),IF($F$4="(nonblank)",--('Final Calculation Sheet'!$A$13&lt;&gt;""),--ISNUMBER(SEARCH($F$4,'Final Calculation Sheet'!$A$13)))))</f>
        <v/>
      </c>
      <c r="DL68">
        <f>IF($G$4="",1,IF($G$4="(blank)",--('Final Calculation Sheet'!$E$13=""),IF($G$4="(nonblank)",--('Final Calculation Sheet'!$E$13&lt;&gt;""),--ISNUMBER(SEARCH($G$4,'Final Calculation Sheet'!$E$13)))))</f>
        <v/>
      </c>
      <c r="DM68">
        <f>IF($H$4="",1,IF($H$4="(blank)",--('Final Calculation Sheet'!$C$13=""),IF($H$4="(nonblank)",--('Final Calculation Sheet'!$C$13&lt;&gt;""),--ISNUMBER(SEARCH($H$4,'Final Calculation Sheet'!$C$13)))))</f>
        <v/>
      </c>
      <c r="DN68">
        <f>IF($I$4="",1,IF($I$4="(blank)",--('Final Calculation Sheet'!$H$13=""),IF($I$4="(nonblank)",--('Final Calculation Sheet'!$H$13&lt;&gt;""),--ISNUMBER(SEARCH($I$4,'Final Calculation Sheet'!$H$13)))))</f>
        <v/>
      </c>
      <c r="DO68">
        <f>IF($J$4="",1,IF($J$4="(blank)",--('Final Calculation Sheet'!$I$13=""),IF($J$4="(nonblank)",--('Final Calculation Sheet'!$I$13&lt;&gt;""),--ISNUMBER(SEARCH($J$4,'Final Calculation Sheet'!$I$13)))))</f>
        <v/>
      </c>
      <c r="DP68">
        <f>IF($K$4="",1,IF($K$4="(blank)",--('Final Calculation Sheet'!$J$13=""),IF($K$4="(nonblank)",--('Final Calculation Sheet'!$J$13&lt;&gt;""),--ISNUMBER(SEARCH($K$4,'Final Calculation Sheet'!$J$13)))))</f>
        <v/>
      </c>
      <c r="DQ68">
        <f>IF($L$4="",1,IF($L$4="(blank)",--('Final Calculation Sheet'!$K$13=""),IF($L$4="(nonblank)",--('Final Calculation Sheet'!$K$13&lt;&gt;""),--ISNUMBER(SEARCH($L$4,'Final Calculation Sheet'!$K$13)))))</f>
        <v/>
      </c>
      <c r="DR68">
        <f>IF($M$4="",1,IF($M$4="(blank)",--('Final Calculation Sheet'!$L$13=""),IF($M$4="(nonblank)",--('Final Calculation Sheet'!$L$13&lt;&gt;""),--ISNUMBER(SEARCH($M$4,'Final Calculation Sheet'!$L$13)))))</f>
        <v/>
      </c>
      <c r="DS68">
        <f>IF($N$4="",1,IF($N$4="(blank)",--('Final Calculation Sheet'!$M$13=""),IF($N$4="(nonblank)",--('Final Calculation Sheet'!$M$13&lt;&gt;""),--ISNUMBER(SEARCH($N$4,'Final Calculation Sheet'!$M$13)))))</f>
        <v/>
      </c>
      <c r="DT68">
        <f>IF($O$4="",1,IF($O$4="(blank)",--('Final Calculation Sheet'!$N$13=""),IF($O$4="(nonblank)",--('Final Calculation Sheet'!$N$13&lt;&gt;""),--ISNUMBER(SEARCH($O$4,'Final Calculation Sheet'!$N$13)))))</f>
        <v/>
      </c>
      <c r="DU68">
        <f>IF($P$4="",1,IF($P$4="(blank)",--('Final Calculation Sheet'!$O$13=""),IF($P$4="(nonblank)",--('Final Calculation Sheet'!$O$13&lt;&gt;""),--ISNUMBER(SEARCH($P$4,'Final Calculation Sheet'!$O$13)))))</f>
        <v/>
      </c>
      <c r="DV68">
        <f>IF($Q$4="",1,IF($Q$4="(blank)",--('Final Calculation Sheet'!$P$13=""),IF($Q$4="(nonblank)",--('Final Calculation Sheet'!$P$13&lt;&gt;""),--ISNUMBER(SEARCH($Q$4,'Final Calculation Sheet'!$P$13)))))</f>
        <v/>
      </c>
      <c r="DW68">
        <f>IF($R$4="",1,IF($R$4="(blank)",--('Final Calculation Sheet'!$Q$13=""),IF($R$4="(nonblank)",--('Final Calculation Sheet'!$Q$13&lt;&gt;""),--ISNUMBER(SEARCH($R$4,'Final Calculation Sheet'!$Q$13)))))</f>
        <v/>
      </c>
      <c r="DX68">
        <f>IF($S$4="",1,IF($S$4="(blank)",--('Final Calculation Sheet'!$R$13=""),IF($S$4="(nonblank)",--('Final Calculation Sheet'!$R$13&lt;&gt;""),--ISNUMBER(SEARCH($S$4,'Final Calculation Sheet'!$R$13)))))</f>
        <v/>
      </c>
      <c r="DY68">
        <f>IF($T$4="",1,IF($T$4="(blank)",--('Final Calculation Sheet'!$S$13=""),IF($T$4="(nonblank)",--('Final Calculation Sheet'!$S$13&lt;&gt;""),--ISNUMBER(SEARCH($T$4,'Final Calculation Sheet'!$S$13)))))</f>
        <v/>
      </c>
      <c r="DZ68">
        <f>IF($U$4="",1,IF($U$4="(blank)",--('Final Calculation Sheet'!$T$13=""),IF($U$4="(nonblank)",--('Final Calculation Sheet'!$T$13&lt;&gt;""),--ISNUMBER(SEARCH($U$4,'Final Calculation Sheet'!$T$13)))))</f>
        <v/>
      </c>
      <c r="EA68">
        <f>IF($V$4="",1,IF($V$4="(blank)",--('Final Calculation Sheet'!$U$13=""),IF($V$4="(nonblank)",--('Final Calculation Sheet'!$U$13&lt;&gt;""),--ISNUMBER(SEARCH($V$4,'Final Calculation Sheet'!$U$13)))))</f>
        <v/>
      </c>
      <c r="EB68">
        <f>IF($W$4="",1,IF($W$4="(blank)",--('Final Calculation Sheet'!$V$13=""),IF($W$4="(nonblank)",--('Final Calculation Sheet'!$V$13&lt;&gt;""),--ISNUMBER(SEARCH($W$4,'Final Calculation Sheet'!$V$13)))))</f>
        <v/>
      </c>
      <c r="EC68">
        <f>IF($X$4="",1,IF($X$4="(blank)",--('Final Calculation Sheet'!$W$13=""),IF($X$4="(nonblank)",--('Final Calculation Sheet'!$W$13&lt;&gt;""),--ISNUMBER(SEARCH($X$4,'Final Calculation Sheet'!$W$13)))))</f>
        <v/>
      </c>
      <c r="ED68">
        <f>IF($Y$4="",1,IF($Y$4="(blank)",--('Final Calculation Sheet'!$X$13=""),IF($Y$4="(nonblank)",--('Final Calculation Sheet'!$X$13&lt;&gt;""),--ISNUMBER(SEARCH($Y$4,'Final Calculation Sheet'!$X$13)))))</f>
        <v/>
      </c>
      <c r="EE68">
        <f>IF($Z$4="",1,IF($Z$4="(blank)",--('Final Calculation Sheet'!$Y$13=""),IF($Z$4="(nonblank)",--('Final Calculation Sheet'!$Y$13&lt;&gt;""),--ISNUMBER(SEARCH($Z$4,'Final Calculation Sheet'!$Y$13)))))</f>
        <v/>
      </c>
      <c r="EF68">
        <f>IF($AA$4="",1,IF($AA$4="(blank)",--('Final Calculation Sheet'!$Z$13=""),IF($AA$4="(nonblank)",--('Final Calculation Sheet'!$Z$13&lt;&gt;""),--ISNUMBER(SEARCH($AA$4,'Final Calculation Sheet'!$Z$13)))))</f>
        <v/>
      </c>
      <c r="EG68">
        <f>IF($AB$4="",1,IF($AB$4="(blank)",--('Final Calculation Sheet'!$AA$13=""),IF($AB$4="(nonblank)",--('Final Calculation Sheet'!$AA$13&lt;&gt;""),--ISNUMBER(SEARCH($AB$4,'Final Calculation Sheet'!$AA$13)))))</f>
        <v/>
      </c>
      <c r="EH68">
        <f>IF($AC$4="",1,IF($AC$4="(blank)",--('Final Calculation Sheet'!$AB$13=""),IF($AC$4="(nonblank)",--('Final Calculation Sheet'!$AB$13&lt;&gt;""),--ISNUMBER(SEARCH($AC$4,'Final Calculation Sheet'!$AB$13)))))</f>
        <v/>
      </c>
      <c r="EI68">
        <f>IF($AD$4="",1,IF($AD$4="(blank)",--('Final Calculation Sheet'!$AC$13=""),IF($AD$4="(nonblank)",--('Final Calculation Sheet'!$AC$13&lt;&gt;""),--ISNUMBER(SEARCH($AD$4,'Final Calculation Sheet'!$AC$13)))))</f>
        <v/>
      </c>
      <c r="EJ68">
        <f>IF($AE$4="",1,IF($AE$4="(blank)",--('Final Calculation Sheet'!$AD$13=""),IF($AE$4="(nonblank)",--('Final Calculation Sheet'!$AD$13&lt;&gt;""),--ISNUMBER(SEARCH($AE$4,'Final Calculation Sheet'!$AD$13)))))</f>
        <v/>
      </c>
      <c r="EK68">
        <f>IF($AF$4="",1,IF($AF$4="(blank)",--(IF('Final Calculation Sheet'!$AD$13&lt;=5,"SETTLED","OUTSTANDING")=""),IF($AF$4="(nonblank)",--(IF('Final Calculation Sheet'!$AD$13&lt;=5,"SETTLED","OUTSTANDING")&lt;&gt;""),--ISNUMBER(SEARCH($AF$4,IF('Final Calculation Sheet'!$AD$13&lt;=5,"SETTLED","OUTSTANDING"))))))</f>
        <v/>
      </c>
      <c r="EL68">
        <f>IF($AG$4="",1,IF($AG$4="(blank)",--('Final Calculation Sheet'!$AF$13=""),IF($AG$4="(nonblank)",--('Final Calculation Sheet'!$AF$13&lt;&gt;""),--ISNUMBER(SEARCH($AG$4,'Final Calculation Sheet'!$AF$13)))))</f>
        <v/>
      </c>
      <c r="EM68">
        <f>IF($AH$4="",1,IF($AH$4="(blank)",--('Final Calculation Sheet'!$AG$13=""),IF($AH$4="(nonblank)",--('Final Calculation Sheet'!$AG$13&lt;&gt;""),--ISNUMBER(SEARCH($AH$4,'Final Calculation Sheet'!$AG$13)))))</f>
        <v/>
      </c>
      <c r="EN68">
        <f>IF($AI$4="",1,IF($AI$4="(blank)",--('Final Calculation Sheet'!$AH$13=""),IF($AI$4="(nonblank)",--('Final Calculation Sheet'!$AH$13&lt;&gt;""),--ISNUMBER(SEARCH($AI$4,'Final Calculation Sheet'!$AH$13)))))</f>
        <v/>
      </c>
    </row>
    <row r="69">
      <c r="AM69">
        <f>AM68+IF(AND(Lists!$O$16&lt;&gt;"",ISNUMBER(SEARCH($B$4,Lists!$O$16))),1,0)</f>
        <v/>
      </c>
      <c r="AN69">
        <f>IF(ROW()-56&gt;MAX($AM$57:$AM$95),"",INDEX(Lists!$O$4:$O$42,MATCH(ROW()-56,$AM$57:$AM$95,0)))</f>
        <v/>
      </c>
      <c r="AO69">
        <f>AO68+IF(AND(Lists!$T$16&lt;&gt;"",ISNUMBER(SEARCH($C$4,Lists!$T$16))),1,0)</f>
        <v/>
      </c>
      <c r="AP69">
        <f>IF(ROW()-56&gt;MAX($AO$57:$AO$95),"",INDEX(Lists!$T$4:$T$42,MATCH(ROW()-56,$AO$57:$AO$95,0)))</f>
        <v/>
      </c>
      <c r="AQ69">
        <f>AQ68+IF(AND(Lists!$Y$16&lt;&gt;"",ISNUMBER(SEARCH($D$4,Lists!$Y$16))),1,0)</f>
        <v/>
      </c>
      <c r="AR69">
        <f>IF(ROW()-56&gt;MAX($AQ$57:$AQ$95),"",INDEX(Lists!$Y$4:$Y$42,MATCH(ROW()-56,$AQ$57:$AQ$95,0)))</f>
        <v/>
      </c>
      <c r="AS69">
        <f>AS68+IF(AND(Lists!$AD$16&lt;&gt;"",ISNUMBER(SEARCH($E$4,Lists!$AD$16))),1,0)</f>
        <v/>
      </c>
      <c r="AT69">
        <f>IF(ROW()-56&gt;MAX($AS$57:$AS$95),"",INDEX(Lists!$AD$4:$AD$42,MATCH(ROW()-56,$AS$57:$AS$95,0)))</f>
        <v/>
      </c>
      <c r="AU69">
        <f>AU68+IF(AND(Lists!$AI$16&lt;&gt;"",ISNUMBER(SEARCH($F$4,Lists!$AI$16))),1,0)</f>
        <v/>
      </c>
      <c r="AV69">
        <f>IF(ROW()-56&gt;MAX($AU$57:$AU$95),"",INDEX(Lists!$AI$4:$AI$42,MATCH(ROW()-56,$AU$57:$AU$95,0)))</f>
        <v/>
      </c>
      <c r="AW69">
        <f>AW68+IF(AND(Lists!$AN$16&lt;&gt;"",ISNUMBER(SEARCH($G$4,Lists!$AN$16))),1,0)</f>
        <v/>
      </c>
      <c r="AX69">
        <f>IF(ROW()-56&gt;MAX($AW$57:$AW$95),"",INDEX(Lists!$AN$4:$AN$42,MATCH(ROW()-56,$AW$57:$AW$95,0)))</f>
        <v/>
      </c>
      <c r="AY69">
        <f>AY68+IF(AND(Lists!$AS$16&lt;&gt;"",ISNUMBER(SEARCH($H$4,Lists!$AS$16))),1,0)</f>
        <v/>
      </c>
      <c r="AZ69">
        <f>IF(ROW()-56&gt;MAX($AY$57:$AY$95),"",INDEX(Lists!$AS$4:$AS$42,MATCH(ROW()-56,$AY$57:$AY$95,0)))</f>
        <v/>
      </c>
      <c r="BA69">
        <f>BA68+IF(AND(Lists!$AX$16&lt;&gt;"",ISNUMBER(SEARCH($I$4,Lists!$AX$16))),1,0)</f>
        <v/>
      </c>
      <c r="BB69">
        <f>IF(ROW()-56&gt;MAX($BA$57:$BA$95),"",INDEX(Lists!$AX$4:$AX$42,MATCH(ROW()-56,$BA$57:$BA$95,0)))</f>
        <v/>
      </c>
      <c r="BC69">
        <f>BC68+IF(AND(Lists!$BC$16&lt;&gt;"",ISNUMBER(SEARCH($J$4,Lists!$BC$16))),1,0)</f>
        <v/>
      </c>
      <c r="BD69">
        <f>IF(ROW()-56&gt;MAX($BC$57:$BC$95),"",INDEX(Lists!$BC$4:$BC$42,MATCH(ROW()-56,$BC$57:$BC$95,0)))</f>
        <v/>
      </c>
      <c r="BE69">
        <f>BE68+IF(AND(Lists!$BH$16&lt;&gt;"",ISNUMBER(SEARCH($K$4,Lists!$BH$16))),1,0)</f>
        <v/>
      </c>
      <c r="BF69">
        <f>IF(ROW()-56&gt;MAX($BE$57:$BE$95),"",INDEX(Lists!$BH$4:$BH$42,MATCH(ROW()-56,$BE$57:$BE$95,0)))</f>
        <v/>
      </c>
      <c r="BG69">
        <f>BG68+IF(AND(Lists!$BM$16&lt;&gt;"",ISNUMBER(SEARCH($L$4,Lists!$BM$16))),1,0)</f>
        <v/>
      </c>
      <c r="BH69">
        <f>IF(ROW()-56&gt;MAX($BG$57:$BG$95),"",INDEX(Lists!$BM$4:$BM$42,MATCH(ROW()-56,$BG$57:$BG$95,0)))</f>
        <v/>
      </c>
      <c r="BI69">
        <f>BI68+IF(AND(Lists!$BR$16&lt;&gt;"",ISNUMBER(SEARCH($M$4,Lists!$BR$16))),1,0)</f>
        <v/>
      </c>
      <c r="BJ69">
        <f>IF(ROW()-56&gt;MAX($BI$57:$BI$95),"",INDEX(Lists!$BR$4:$BR$42,MATCH(ROW()-56,$BI$57:$BI$95,0)))</f>
        <v/>
      </c>
      <c r="BK69">
        <f>BK68+IF(AND(Lists!$BW$16&lt;&gt;"",ISNUMBER(SEARCH($N$4,Lists!$BW$16))),1,0)</f>
        <v/>
      </c>
      <c r="BL69">
        <f>IF(ROW()-56&gt;MAX($BK$57:$BK$95),"",INDEX(Lists!$BW$4:$BW$42,MATCH(ROW()-56,$BK$57:$BK$95,0)))</f>
        <v/>
      </c>
      <c r="BM69">
        <f>BM68+IF(AND(Lists!$CB$16&lt;&gt;"",ISNUMBER(SEARCH($O$4,Lists!$CB$16))),1,0)</f>
        <v/>
      </c>
      <c r="BN69">
        <f>IF(ROW()-56&gt;MAX($BM$57:$BM$95),"",INDEX(Lists!$CB$4:$CB$42,MATCH(ROW()-56,$BM$57:$BM$95,0)))</f>
        <v/>
      </c>
      <c r="BO69">
        <f>BO68+IF(AND(Lists!$CG$16&lt;&gt;"",ISNUMBER(SEARCH($P$4,Lists!$CG$16))),1,0)</f>
        <v/>
      </c>
      <c r="BP69">
        <f>IF(ROW()-56&gt;MAX($BO$57:$BO$95),"",INDEX(Lists!$CG$4:$CG$42,MATCH(ROW()-56,$BO$57:$BO$95,0)))</f>
        <v/>
      </c>
      <c r="BQ69">
        <f>BQ68+IF(AND(Lists!$CL$16&lt;&gt;"",ISNUMBER(SEARCH($Q$4,Lists!$CL$16))),1,0)</f>
        <v/>
      </c>
      <c r="BR69">
        <f>IF(ROW()-56&gt;MAX($BQ$57:$BQ$95),"",INDEX(Lists!$CL$4:$CL$42,MATCH(ROW()-56,$BQ$57:$BQ$95,0)))</f>
        <v/>
      </c>
      <c r="BS69">
        <f>BS68+IF(AND(Lists!$CQ$16&lt;&gt;"",ISNUMBER(SEARCH($R$4,Lists!$CQ$16))),1,0)</f>
        <v/>
      </c>
      <c r="BT69">
        <f>IF(ROW()-56&gt;MAX($BS$57:$BS$95),"",INDEX(Lists!$CQ$4:$CQ$42,MATCH(ROW()-56,$BS$57:$BS$95,0)))</f>
        <v/>
      </c>
      <c r="BU69">
        <f>BU68+IF(AND(Lists!$CV$16&lt;&gt;"",ISNUMBER(SEARCH($S$4,Lists!$CV$16))),1,0)</f>
        <v/>
      </c>
      <c r="BV69">
        <f>IF(ROW()-56&gt;MAX($BU$57:$BU$95),"",INDEX(Lists!$CV$4:$CV$42,MATCH(ROW()-56,$BU$57:$BU$95,0)))</f>
        <v/>
      </c>
      <c r="BW69">
        <f>BW68+IF(AND(Lists!$DA$16&lt;&gt;"",ISNUMBER(SEARCH($T$4,Lists!$DA$16))),1,0)</f>
        <v/>
      </c>
      <c r="BX69">
        <f>IF(ROW()-56&gt;MAX($BW$57:$BW$95),"",INDEX(Lists!$DA$4:$DA$42,MATCH(ROW()-56,$BW$57:$BW$95,0)))</f>
        <v/>
      </c>
      <c r="BY69">
        <f>BY68+IF(AND(Lists!$DF$16&lt;&gt;"",ISNUMBER(SEARCH($U$4,Lists!$DF$16))),1,0)</f>
        <v/>
      </c>
      <c r="BZ69">
        <f>IF(ROW()-56&gt;MAX($BY$57:$BY$95),"",INDEX(Lists!$DF$4:$DF$42,MATCH(ROW()-56,$BY$57:$BY$95,0)))</f>
        <v/>
      </c>
      <c r="CA69">
        <f>CA68+IF(AND(Lists!$DK$16&lt;&gt;"",ISNUMBER(SEARCH($V$4,Lists!$DK$16))),1,0)</f>
        <v/>
      </c>
      <c r="CB69">
        <f>IF(ROW()-56&gt;MAX($CA$57:$CA$95),"",INDEX(Lists!$DK$4:$DK$42,MATCH(ROW()-56,$CA$57:$CA$95,0)))</f>
        <v/>
      </c>
      <c r="CC69">
        <f>CC68+IF(AND(Lists!$DP$16&lt;&gt;"",ISNUMBER(SEARCH($W$4,Lists!$DP$16))),1,0)</f>
        <v/>
      </c>
      <c r="CD69">
        <f>IF(ROW()-56&gt;MAX($CC$57:$CC$95),"",INDEX(Lists!$DP$4:$DP$42,MATCH(ROW()-56,$CC$57:$CC$95,0)))</f>
        <v/>
      </c>
      <c r="CE69">
        <f>CE68+IF(AND(Lists!$DU$16&lt;&gt;"",ISNUMBER(SEARCH($X$4,Lists!$DU$16))),1,0)</f>
        <v/>
      </c>
      <c r="CF69">
        <f>IF(ROW()-56&gt;MAX($CE$57:$CE$95),"",INDEX(Lists!$DU$4:$DU$42,MATCH(ROW()-56,$CE$57:$CE$95,0)))</f>
        <v/>
      </c>
      <c r="CG69">
        <f>CG68+IF(AND(Lists!$DZ$16&lt;&gt;"",ISNUMBER(SEARCH($Y$4,Lists!$DZ$16))),1,0)</f>
        <v/>
      </c>
      <c r="CH69">
        <f>IF(ROW()-56&gt;MAX($CG$57:$CG$95),"",INDEX(Lists!$DZ$4:$DZ$42,MATCH(ROW()-56,$CG$57:$CG$95,0)))</f>
        <v/>
      </c>
      <c r="CI69">
        <f>CI68+IF(AND(Lists!$EE$16&lt;&gt;"",ISNUMBER(SEARCH($Z$4,Lists!$EE$16))),1,0)</f>
        <v/>
      </c>
      <c r="CJ69">
        <f>IF(ROW()-56&gt;MAX($CI$57:$CI$95),"",INDEX(Lists!$EE$4:$EE$42,MATCH(ROW()-56,$CI$57:$CI$95,0)))</f>
        <v/>
      </c>
      <c r="CK69">
        <f>CK68+IF(AND(Lists!$EJ$16&lt;&gt;"",ISNUMBER(SEARCH($AA$4,Lists!$EJ$16))),1,0)</f>
        <v/>
      </c>
      <c r="CL69">
        <f>IF(ROW()-56&gt;MAX($CK$57:$CK$95),"",INDEX(Lists!$EJ$4:$EJ$42,MATCH(ROW()-56,$CK$57:$CK$95,0)))</f>
        <v/>
      </c>
      <c r="CM69">
        <f>CM68+IF(AND(Lists!$EO$16&lt;&gt;"",ISNUMBER(SEARCH($AB$4,Lists!$EO$16))),1,0)</f>
        <v/>
      </c>
      <c r="CN69">
        <f>IF(ROW()-56&gt;MAX($CM$57:$CM$95),"",INDEX(Lists!$EO$4:$EO$42,MATCH(ROW()-56,$CM$57:$CM$95,0)))</f>
        <v/>
      </c>
      <c r="CO69">
        <f>CO68+IF(AND(Lists!$ET$16&lt;&gt;"",ISNUMBER(SEARCH($AC$4,Lists!$ET$16))),1,0)</f>
        <v/>
      </c>
      <c r="CP69">
        <f>IF(ROW()-56&gt;MAX($CO$57:$CO$95),"",INDEX(Lists!$ET$4:$ET$42,MATCH(ROW()-56,$CO$57:$CO$95,0)))</f>
        <v/>
      </c>
      <c r="CQ69">
        <f>CQ68+IF(AND(Lists!$EY$16&lt;&gt;"",ISNUMBER(SEARCH($AD$4,Lists!$EY$16))),1,0)</f>
        <v/>
      </c>
      <c r="CR69">
        <f>IF(ROW()-56&gt;MAX($CQ$57:$CQ$95),"",INDEX(Lists!$EY$4:$EY$42,MATCH(ROW()-56,$CQ$57:$CQ$95,0)))</f>
        <v/>
      </c>
      <c r="CS69">
        <f>CS68+IF(AND(Lists!$FD$16&lt;&gt;"",ISNUMBER(SEARCH($AE$4,Lists!$FD$16))),1,0)</f>
        <v/>
      </c>
      <c r="CT69">
        <f>IF(ROW()-56&gt;MAX($CS$57:$CS$95),"",INDEX(Lists!$FD$4:$FD$42,MATCH(ROW()-56,$CS$57:$CS$95,0)))</f>
        <v/>
      </c>
      <c r="CU69">
        <f>CU68+IF(AND(Lists!$FI$16&lt;&gt;"",ISNUMBER(SEARCH($AG$4,Lists!$FI$16))),1,0)</f>
        <v/>
      </c>
      <c r="CV69">
        <f>IF(ROW()-56&gt;MAX($CU$57:$CU$95),"",INDEX(Lists!$FI$4:$FI$42,MATCH(ROW()-56,$CU$57:$CU$95,0)))</f>
        <v/>
      </c>
      <c r="CW69">
        <f>CW68+IF(AND(Lists!$FN$16&lt;&gt;"",ISNUMBER(SEARCH($AH$4,Lists!$FN$16))),1,0)</f>
        <v/>
      </c>
      <c r="CX69">
        <f>IF(ROW()-56&gt;MAX($CW$57:$CW$95),"",INDEX(Lists!$FN$4:$FN$42,MATCH(ROW()-56,$CW$57:$CW$95,0)))</f>
        <v/>
      </c>
      <c r="CY69">
        <f>CY68+IF(AND(Lists!$FS$16&lt;&gt;"",ISNUMBER(SEARCH($AI$4,Lists!$FS$16))),1,0)</f>
        <v/>
      </c>
      <c r="CZ69">
        <f>IF(ROW()-56&gt;MAX($CY$57:$CY$95),"",INDEX(Lists!$FS$4:$FS$42,MATCH(ROW()-56,$CY$57:$CY$95,0)))</f>
        <v/>
      </c>
      <c r="DA69">
        <f>DA68+IF(AND(Lists!$FX$16&lt;&gt;"",ISNUMBER(SEARCH($AF$4,Lists!$FX$16))),1,0)</f>
        <v/>
      </c>
      <c r="DB69">
        <f>IF(ROW()-56&gt;MAX($DA$57:$DA$95),"",INDEX(Lists!$FX$4:$FX$42,MATCH(ROW()-56,$DA$57:$DA$95,0)))</f>
        <v/>
      </c>
      <c r="DG69">
        <f>IF($B$4="",1,IF($B$4="(blank)",--('Final Calculation Sheet'!$F$14=""),IF($B$4="(nonblank)",--('Final Calculation Sheet'!$F$14&lt;&gt;""),--ISNUMBER(SEARCH($B$4,'Final Calculation Sheet'!$F$14)))))</f>
        <v/>
      </c>
      <c r="DH69">
        <f>IF($C$4="",1,IF($C$4="(blank)",--('Final Calculation Sheet'!$G$14=""),IF($C$4="(nonblank)",--('Final Calculation Sheet'!$G$14&lt;&gt;""),--ISNUMBER(SEARCH($C$4,'Final Calculation Sheet'!$G$14)))))</f>
        <v/>
      </c>
      <c r="DI69">
        <f>IF($D$4="",1,IF($D$4="(blank)",--('Final Calculation Sheet'!$B$14=""),IF($D$4="(nonblank)",--('Final Calculation Sheet'!$B$14&lt;&gt;""),--ISNUMBER(SEARCH($D$4,'Final Calculation Sheet'!$B$14)))))</f>
        <v/>
      </c>
      <c r="DJ69">
        <f>IF($E$4="",1,IF($E$4="(blank)",--('Final Calculation Sheet'!$D$14=""),IF($E$4="(nonblank)",--('Final Calculation Sheet'!$D$14&lt;&gt;""),--ISNUMBER(SEARCH($E$4,'Final Calculation Sheet'!$D$14)))))</f>
        <v/>
      </c>
      <c r="DK69">
        <f>IF($F$4="",1,IF($F$4="(blank)",--('Final Calculation Sheet'!$A$14=""),IF($F$4="(nonblank)",--('Final Calculation Sheet'!$A$14&lt;&gt;""),--ISNUMBER(SEARCH($F$4,'Final Calculation Sheet'!$A$14)))))</f>
        <v/>
      </c>
      <c r="DL69">
        <f>IF($G$4="",1,IF($G$4="(blank)",--('Final Calculation Sheet'!$E$14=""),IF($G$4="(nonblank)",--('Final Calculation Sheet'!$E$14&lt;&gt;""),--ISNUMBER(SEARCH($G$4,'Final Calculation Sheet'!$E$14)))))</f>
        <v/>
      </c>
      <c r="DM69">
        <f>IF($H$4="",1,IF($H$4="(blank)",--('Final Calculation Sheet'!$C$14=""),IF($H$4="(nonblank)",--('Final Calculation Sheet'!$C$14&lt;&gt;""),--ISNUMBER(SEARCH($H$4,'Final Calculation Sheet'!$C$14)))))</f>
        <v/>
      </c>
      <c r="DN69">
        <f>IF($I$4="",1,IF($I$4="(blank)",--('Final Calculation Sheet'!$H$14=""),IF($I$4="(nonblank)",--('Final Calculation Sheet'!$H$14&lt;&gt;""),--ISNUMBER(SEARCH($I$4,'Final Calculation Sheet'!$H$14)))))</f>
        <v/>
      </c>
      <c r="DO69">
        <f>IF($J$4="",1,IF($J$4="(blank)",--('Final Calculation Sheet'!$I$14=""),IF($J$4="(nonblank)",--('Final Calculation Sheet'!$I$14&lt;&gt;""),--ISNUMBER(SEARCH($J$4,'Final Calculation Sheet'!$I$14)))))</f>
        <v/>
      </c>
      <c r="DP69">
        <f>IF($K$4="",1,IF($K$4="(blank)",--('Final Calculation Sheet'!$J$14=""),IF($K$4="(nonblank)",--('Final Calculation Sheet'!$J$14&lt;&gt;""),--ISNUMBER(SEARCH($K$4,'Final Calculation Sheet'!$J$14)))))</f>
        <v/>
      </c>
      <c r="DQ69">
        <f>IF($L$4="",1,IF($L$4="(blank)",--('Final Calculation Sheet'!$K$14=""),IF($L$4="(nonblank)",--('Final Calculation Sheet'!$K$14&lt;&gt;""),--ISNUMBER(SEARCH($L$4,'Final Calculation Sheet'!$K$14)))))</f>
        <v/>
      </c>
      <c r="DR69">
        <f>IF($M$4="",1,IF($M$4="(blank)",--('Final Calculation Sheet'!$L$14=""),IF($M$4="(nonblank)",--('Final Calculation Sheet'!$L$14&lt;&gt;""),--ISNUMBER(SEARCH($M$4,'Final Calculation Sheet'!$L$14)))))</f>
        <v/>
      </c>
      <c r="DS69">
        <f>IF($N$4="",1,IF($N$4="(blank)",--('Final Calculation Sheet'!$M$14=""),IF($N$4="(nonblank)",--('Final Calculation Sheet'!$M$14&lt;&gt;""),--ISNUMBER(SEARCH($N$4,'Final Calculation Sheet'!$M$14)))))</f>
        <v/>
      </c>
      <c r="DT69">
        <f>IF($O$4="",1,IF($O$4="(blank)",--('Final Calculation Sheet'!$N$14=""),IF($O$4="(nonblank)",--('Final Calculation Sheet'!$N$14&lt;&gt;""),--ISNUMBER(SEARCH($O$4,'Final Calculation Sheet'!$N$14)))))</f>
        <v/>
      </c>
      <c r="DU69">
        <f>IF($P$4="",1,IF($P$4="(blank)",--('Final Calculation Sheet'!$O$14=""),IF($P$4="(nonblank)",--('Final Calculation Sheet'!$O$14&lt;&gt;""),--ISNUMBER(SEARCH($P$4,'Final Calculation Sheet'!$O$14)))))</f>
        <v/>
      </c>
      <c r="DV69">
        <f>IF($Q$4="",1,IF($Q$4="(blank)",--('Final Calculation Sheet'!$P$14=""),IF($Q$4="(nonblank)",--('Final Calculation Sheet'!$P$14&lt;&gt;""),--ISNUMBER(SEARCH($Q$4,'Final Calculation Sheet'!$P$14)))))</f>
        <v/>
      </c>
      <c r="DW69">
        <f>IF($R$4="",1,IF($R$4="(blank)",--('Final Calculation Sheet'!$Q$14=""),IF($R$4="(nonblank)",--('Final Calculation Sheet'!$Q$14&lt;&gt;""),--ISNUMBER(SEARCH($R$4,'Final Calculation Sheet'!$Q$14)))))</f>
        <v/>
      </c>
      <c r="DX69">
        <f>IF($S$4="",1,IF($S$4="(blank)",--('Final Calculation Sheet'!$R$14=""),IF($S$4="(nonblank)",--('Final Calculation Sheet'!$R$14&lt;&gt;""),--ISNUMBER(SEARCH($S$4,'Final Calculation Sheet'!$R$14)))))</f>
        <v/>
      </c>
      <c r="DY69">
        <f>IF($T$4="",1,IF($T$4="(blank)",--('Final Calculation Sheet'!$S$14=""),IF($T$4="(nonblank)",--('Final Calculation Sheet'!$S$14&lt;&gt;""),--ISNUMBER(SEARCH($T$4,'Final Calculation Sheet'!$S$14)))))</f>
        <v/>
      </c>
      <c r="DZ69">
        <f>IF($U$4="",1,IF($U$4="(blank)",--('Final Calculation Sheet'!$T$14=""),IF($U$4="(nonblank)",--('Final Calculation Sheet'!$T$14&lt;&gt;""),--ISNUMBER(SEARCH($U$4,'Final Calculation Sheet'!$T$14)))))</f>
        <v/>
      </c>
      <c r="EA69">
        <f>IF($V$4="",1,IF($V$4="(blank)",--('Final Calculation Sheet'!$U$14=""),IF($V$4="(nonblank)",--('Final Calculation Sheet'!$U$14&lt;&gt;""),--ISNUMBER(SEARCH($V$4,'Final Calculation Sheet'!$U$14)))))</f>
        <v/>
      </c>
      <c r="EB69">
        <f>IF($W$4="",1,IF($W$4="(blank)",--('Final Calculation Sheet'!$V$14=""),IF($W$4="(nonblank)",--('Final Calculation Sheet'!$V$14&lt;&gt;""),--ISNUMBER(SEARCH($W$4,'Final Calculation Sheet'!$V$14)))))</f>
        <v/>
      </c>
      <c r="EC69">
        <f>IF($X$4="",1,IF($X$4="(blank)",--('Final Calculation Sheet'!$W$14=""),IF($X$4="(nonblank)",--('Final Calculation Sheet'!$W$14&lt;&gt;""),--ISNUMBER(SEARCH($X$4,'Final Calculation Sheet'!$W$14)))))</f>
        <v/>
      </c>
      <c r="ED69">
        <f>IF($Y$4="",1,IF($Y$4="(blank)",--('Final Calculation Sheet'!$X$14=""),IF($Y$4="(nonblank)",--('Final Calculation Sheet'!$X$14&lt;&gt;""),--ISNUMBER(SEARCH($Y$4,'Final Calculation Sheet'!$X$14)))))</f>
        <v/>
      </c>
      <c r="EE69">
        <f>IF($Z$4="",1,IF($Z$4="(blank)",--('Final Calculation Sheet'!$Y$14=""),IF($Z$4="(nonblank)",--('Final Calculation Sheet'!$Y$14&lt;&gt;""),--ISNUMBER(SEARCH($Z$4,'Final Calculation Sheet'!$Y$14)))))</f>
        <v/>
      </c>
      <c r="EF69">
        <f>IF($AA$4="",1,IF($AA$4="(blank)",--('Final Calculation Sheet'!$Z$14=""),IF($AA$4="(nonblank)",--('Final Calculation Sheet'!$Z$14&lt;&gt;""),--ISNUMBER(SEARCH($AA$4,'Final Calculation Sheet'!$Z$14)))))</f>
        <v/>
      </c>
      <c r="EG69">
        <f>IF($AB$4="",1,IF($AB$4="(blank)",--('Final Calculation Sheet'!$AA$14=""),IF($AB$4="(nonblank)",--('Final Calculation Sheet'!$AA$14&lt;&gt;""),--ISNUMBER(SEARCH($AB$4,'Final Calculation Sheet'!$AA$14)))))</f>
        <v/>
      </c>
      <c r="EH69">
        <f>IF($AC$4="",1,IF($AC$4="(blank)",--('Final Calculation Sheet'!$AB$14=""),IF($AC$4="(nonblank)",--('Final Calculation Sheet'!$AB$14&lt;&gt;""),--ISNUMBER(SEARCH($AC$4,'Final Calculation Sheet'!$AB$14)))))</f>
        <v/>
      </c>
      <c r="EI69">
        <f>IF($AD$4="",1,IF($AD$4="(blank)",--('Final Calculation Sheet'!$AC$14=""),IF($AD$4="(nonblank)",--('Final Calculation Sheet'!$AC$14&lt;&gt;""),--ISNUMBER(SEARCH($AD$4,'Final Calculation Sheet'!$AC$14)))))</f>
        <v/>
      </c>
      <c r="EJ69">
        <f>IF($AE$4="",1,IF($AE$4="(blank)",--('Final Calculation Sheet'!$AD$14=""),IF($AE$4="(nonblank)",--('Final Calculation Sheet'!$AD$14&lt;&gt;""),--ISNUMBER(SEARCH($AE$4,'Final Calculation Sheet'!$AD$14)))))</f>
        <v/>
      </c>
      <c r="EK69">
        <f>IF($AF$4="",1,IF($AF$4="(blank)",--(IF('Final Calculation Sheet'!$AD$14&lt;=5,"SETTLED","OUTSTANDING")=""),IF($AF$4="(nonblank)",--(IF('Final Calculation Sheet'!$AD$14&lt;=5,"SETTLED","OUTSTANDING")&lt;&gt;""),--ISNUMBER(SEARCH($AF$4,IF('Final Calculation Sheet'!$AD$14&lt;=5,"SETTLED","OUTSTANDING"))))))</f>
        <v/>
      </c>
      <c r="EL69">
        <f>IF($AG$4="",1,IF($AG$4="(blank)",--('Final Calculation Sheet'!$AF$14=""),IF($AG$4="(nonblank)",--('Final Calculation Sheet'!$AF$14&lt;&gt;""),--ISNUMBER(SEARCH($AG$4,'Final Calculation Sheet'!$AF$14)))))</f>
        <v/>
      </c>
      <c r="EM69">
        <f>IF($AH$4="",1,IF($AH$4="(blank)",--('Final Calculation Sheet'!$AG$14=""),IF($AH$4="(nonblank)",--('Final Calculation Sheet'!$AG$14&lt;&gt;""),--ISNUMBER(SEARCH($AH$4,'Final Calculation Sheet'!$AG$14)))))</f>
        <v/>
      </c>
      <c r="EN69">
        <f>IF($AI$4="",1,IF($AI$4="(blank)",--('Final Calculation Sheet'!$AH$14=""),IF($AI$4="(nonblank)",--('Final Calculation Sheet'!$AH$14&lt;&gt;""),--ISNUMBER(SEARCH($AI$4,'Final Calculation Sheet'!$AH$14)))))</f>
        <v/>
      </c>
    </row>
    <row r="70">
      <c r="AM70">
        <f>AM69+IF(AND(Lists!$O$17&lt;&gt;"",ISNUMBER(SEARCH($B$4,Lists!$O$17))),1,0)</f>
        <v/>
      </c>
      <c r="AN70">
        <f>IF(ROW()-56&gt;MAX($AM$57:$AM$95),"",INDEX(Lists!$O$4:$O$42,MATCH(ROW()-56,$AM$57:$AM$95,0)))</f>
        <v/>
      </c>
      <c r="AO70">
        <f>AO69+IF(AND(Lists!$T$17&lt;&gt;"",ISNUMBER(SEARCH($C$4,Lists!$T$17))),1,0)</f>
        <v/>
      </c>
      <c r="AP70">
        <f>IF(ROW()-56&gt;MAX($AO$57:$AO$95),"",INDEX(Lists!$T$4:$T$42,MATCH(ROW()-56,$AO$57:$AO$95,0)))</f>
        <v/>
      </c>
      <c r="AQ70">
        <f>AQ69+IF(AND(Lists!$Y$17&lt;&gt;"",ISNUMBER(SEARCH($D$4,Lists!$Y$17))),1,0)</f>
        <v/>
      </c>
      <c r="AR70">
        <f>IF(ROW()-56&gt;MAX($AQ$57:$AQ$95),"",INDEX(Lists!$Y$4:$Y$42,MATCH(ROW()-56,$AQ$57:$AQ$95,0)))</f>
        <v/>
      </c>
      <c r="AS70">
        <f>AS69+IF(AND(Lists!$AD$17&lt;&gt;"",ISNUMBER(SEARCH($E$4,Lists!$AD$17))),1,0)</f>
        <v/>
      </c>
      <c r="AT70">
        <f>IF(ROW()-56&gt;MAX($AS$57:$AS$95),"",INDEX(Lists!$AD$4:$AD$42,MATCH(ROW()-56,$AS$57:$AS$95,0)))</f>
        <v/>
      </c>
      <c r="AU70">
        <f>AU69+IF(AND(Lists!$AI$17&lt;&gt;"",ISNUMBER(SEARCH($F$4,Lists!$AI$17))),1,0)</f>
        <v/>
      </c>
      <c r="AV70">
        <f>IF(ROW()-56&gt;MAX($AU$57:$AU$95),"",INDEX(Lists!$AI$4:$AI$42,MATCH(ROW()-56,$AU$57:$AU$95,0)))</f>
        <v/>
      </c>
      <c r="AW70">
        <f>AW69+IF(AND(Lists!$AN$17&lt;&gt;"",ISNUMBER(SEARCH($G$4,Lists!$AN$17))),1,0)</f>
        <v/>
      </c>
      <c r="AX70">
        <f>IF(ROW()-56&gt;MAX($AW$57:$AW$95),"",INDEX(Lists!$AN$4:$AN$42,MATCH(ROW()-56,$AW$57:$AW$95,0)))</f>
        <v/>
      </c>
      <c r="AY70">
        <f>AY69+IF(AND(Lists!$AS$17&lt;&gt;"",ISNUMBER(SEARCH($H$4,Lists!$AS$17))),1,0)</f>
        <v/>
      </c>
      <c r="AZ70">
        <f>IF(ROW()-56&gt;MAX($AY$57:$AY$95),"",INDEX(Lists!$AS$4:$AS$42,MATCH(ROW()-56,$AY$57:$AY$95,0)))</f>
        <v/>
      </c>
      <c r="BA70">
        <f>BA69+IF(AND(Lists!$AX$17&lt;&gt;"",ISNUMBER(SEARCH($I$4,Lists!$AX$17))),1,0)</f>
        <v/>
      </c>
      <c r="BB70">
        <f>IF(ROW()-56&gt;MAX($BA$57:$BA$95),"",INDEX(Lists!$AX$4:$AX$42,MATCH(ROW()-56,$BA$57:$BA$95,0)))</f>
        <v/>
      </c>
      <c r="BC70">
        <f>BC69+IF(AND(Lists!$BC$17&lt;&gt;"",ISNUMBER(SEARCH($J$4,Lists!$BC$17))),1,0)</f>
        <v/>
      </c>
      <c r="BD70">
        <f>IF(ROW()-56&gt;MAX($BC$57:$BC$95),"",INDEX(Lists!$BC$4:$BC$42,MATCH(ROW()-56,$BC$57:$BC$95,0)))</f>
        <v/>
      </c>
      <c r="BE70">
        <f>BE69+IF(AND(Lists!$BH$17&lt;&gt;"",ISNUMBER(SEARCH($K$4,Lists!$BH$17))),1,0)</f>
        <v/>
      </c>
      <c r="BF70">
        <f>IF(ROW()-56&gt;MAX($BE$57:$BE$95),"",INDEX(Lists!$BH$4:$BH$42,MATCH(ROW()-56,$BE$57:$BE$95,0)))</f>
        <v/>
      </c>
      <c r="BG70">
        <f>BG69+IF(AND(Lists!$BM$17&lt;&gt;"",ISNUMBER(SEARCH($L$4,Lists!$BM$17))),1,0)</f>
        <v/>
      </c>
      <c r="BH70">
        <f>IF(ROW()-56&gt;MAX($BG$57:$BG$95),"",INDEX(Lists!$BM$4:$BM$42,MATCH(ROW()-56,$BG$57:$BG$95,0)))</f>
        <v/>
      </c>
      <c r="BI70">
        <f>BI69+IF(AND(Lists!$BR$17&lt;&gt;"",ISNUMBER(SEARCH($M$4,Lists!$BR$17))),1,0)</f>
        <v/>
      </c>
      <c r="BJ70">
        <f>IF(ROW()-56&gt;MAX($BI$57:$BI$95),"",INDEX(Lists!$BR$4:$BR$42,MATCH(ROW()-56,$BI$57:$BI$95,0)))</f>
        <v/>
      </c>
      <c r="BK70">
        <f>BK69+IF(AND(Lists!$BW$17&lt;&gt;"",ISNUMBER(SEARCH($N$4,Lists!$BW$17))),1,0)</f>
        <v/>
      </c>
      <c r="BL70">
        <f>IF(ROW()-56&gt;MAX($BK$57:$BK$95),"",INDEX(Lists!$BW$4:$BW$42,MATCH(ROW()-56,$BK$57:$BK$95,0)))</f>
        <v/>
      </c>
      <c r="BM70">
        <f>BM69+IF(AND(Lists!$CB$17&lt;&gt;"",ISNUMBER(SEARCH($O$4,Lists!$CB$17))),1,0)</f>
        <v/>
      </c>
      <c r="BN70">
        <f>IF(ROW()-56&gt;MAX($BM$57:$BM$95),"",INDEX(Lists!$CB$4:$CB$42,MATCH(ROW()-56,$BM$57:$BM$95,0)))</f>
        <v/>
      </c>
      <c r="BO70">
        <f>BO69+IF(AND(Lists!$CG$17&lt;&gt;"",ISNUMBER(SEARCH($P$4,Lists!$CG$17))),1,0)</f>
        <v/>
      </c>
      <c r="BP70">
        <f>IF(ROW()-56&gt;MAX($BO$57:$BO$95),"",INDEX(Lists!$CG$4:$CG$42,MATCH(ROW()-56,$BO$57:$BO$95,0)))</f>
        <v/>
      </c>
      <c r="BQ70">
        <f>BQ69+IF(AND(Lists!$CL$17&lt;&gt;"",ISNUMBER(SEARCH($Q$4,Lists!$CL$17))),1,0)</f>
        <v/>
      </c>
      <c r="BR70">
        <f>IF(ROW()-56&gt;MAX($BQ$57:$BQ$95),"",INDEX(Lists!$CL$4:$CL$42,MATCH(ROW()-56,$BQ$57:$BQ$95,0)))</f>
        <v/>
      </c>
      <c r="BS70">
        <f>BS69+IF(AND(Lists!$CQ$17&lt;&gt;"",ISNUMBER(SEARCH($R$4,Lists!$CQ$17))),1,0)</f>
        <v/>
      </c>
      <c r="BT70">
        <f>IF(ROW()-56&gt;MAX($BS$57:$BS$95),"",INDEX(Lists!$CQ$4:$CQ$42,MATCH(ROW()-56,$BS$57:$BS$95,0)))</f>
        <v/>
      </c>
      <c r="BU70">
        <f>BU69+IF(AND(Lists!$CV$17&lt;&gt;"",ISNUMBER(SEARCH($S$4,Lists!$CV$17))),1,0)</f>
        <v/>
      </c>
      <c r="BV70">
        <f>IF(ROW()-56&gt;MAX($BU$57:$BU$95),"",INDEX(Lists!$CV$4:$CV$42,MATCH(ROW()-56,$BU$57:$BU$95,0)))</f>
        <v/>
      </c>
      <c r="BW70">
        <f>BW69+IF(AND(Lists!$DA$17&lt;&gt;"",ISNUMBER(SEARCH($T$4,Lists!$DA$17))),1,0)</f>
        <v/>
      </c>
      <c r="BX70">
        <f>IF(ROW()-56&gt;MAX($BW$57:$BW$95),"",INDEX(Lists!$DA$4:$DA$42,MATCH(ROW()-56,$BW$57:$BW$95,0)))</f>
        <v/>
      </c>
      <c r="BY70">
        <f>BY69+IF(AND(Lists!$DF$17&lt;&gt;"",ISNUMBER(SEARCH($U$4,Lists!$DF$17))),1,0)</f>
        <v/>
      </c>
      <c r="BZ70">
        <f>IF(ROW()-56&gt;MAX($BY$57:$BY$95),"",INDEX(Lists!$DF$4:$DF$42,MATCH(ROW()-56,$BY$57:$BY$95,0)))</f>
        <v/>
      </c>
      <c r="CA70">
        <f>CA69+IF(AND(Lists!$DK$17&lt;&gt;"",ISNUMBER(SEARCH($V$4,Lists!$DK$17))),1,0)</f>
        <v/>
      </c>
      <c r="CB70">
        <f>IF(ROW()-56&gt;MAX($CA$57:$CA$95),"",INDEX(Lists!$DK$4:$DK$42,MATCH(ROW()-56,$CA$57:$CA$95,0)))</f>
        <v/>
      </c>
      <c r="CC70">
        <f>CC69+IF(AND(Lists!$DP$17&lt;&gt;"",ISNUMBER(SEARCH($W$4,Lists!$DP$17))),1,0)</f>
        <v/>
      </c>
      <c r="CD70">
        <f>IF(ROW()-56&gt;MAX($CC$57:$CC$95),"",INDEX(Lists!$DP$4:$DP$42,MATCH(ROW()-56,$CC$57:$CC$95,0)))</f>
        <v/>
      </c>
      <c r="CE70">
        <f>CE69+IF(AND(Lists!$DU$17&lt;&gt;"",ISNUMBER(SEARCH($X$4,Lists!$DU$17))),1,0)</f>
        <v/>
      </c>
      <c r="CF70">
        <f>IF(ROW()-56&gt;MAX($CE$57:$CE$95),"",INDEX(Lists!$DU$4:$DU$42,MATCH(ROW()-56,$CE$57:$CE$95,0)))</f>
        <v/>
      </c>
      <c r="CG70">
        <f>CG69+IF(AND(Lists!$DZ$17&lt;&gt;"",ISNUMBER(SEARCH($Y$4,Lists!$DZ$17))),1,0)</f>
        <v/>
      </c>
      <c r="CH70">
        <f>IF(ROW()-56&gt;MAX($CG$57:$CG$95),"",INDEX(Lists!$DZ$4:$DZ$42,MATCH(ROW()-56,$CG$57:$CG$95,0)))</f>
        <v/>
      </c>
      <c r="CI70">
        <f>CI69+IF(AND(Lists!$EE$17&lt;&gt;"",ISNUMBER(SEARCH($Z$4,Lists!$EE$17))),1,0)</f>
        <v/>
      </c>
      <c r="CJ70">
        <f>IF(ROW()-56&gt;MAX($CI$57:$CI$95),"",INDEX(Lists!$EE$4:$EE$42,MATCH(ROW()-56,$CI$57:$CI$95,0)))</f>
        <v/>
      </c>
      <c r="CK70">
        <f>CK69+IF(AND(Lists!$EJ$17&lt;&gt;"",ISNUMBER(SEARCH($AA$4,Lists!$EJ$17))),1,0)</f>
        <v/>
      </c>
      <c r="CL70">
        <f>IF(ROW()-56&gt;MAX($CK$57:$CK$95),"",INDEX(Lists!$EJ$4:$EJ$42,MATCH(ROW()-56,$CK$57:$CK$95,0)))</f>
        <v/>
      </c>
      <c r="CM70">
        <f>CM69+IF(AND(Lists!$EO$17&lt;&gt;"",ISNUMBER(SEARCH($AB$4,Lists!$EO$17))),1,0)</f>
        <v/>
      </c>
      <c r="CN70">
        <f>IF(ROW()-56&gt;MAX($CM$57:$CM$95),"",INDEX(Lists!$EO$4:$EO$42,MATCH(ROW()-56,$CM$57:$CM$95,0)))</f>
        <v/>
      </c>
      <c r="CO70">
        <f>CO69+IF(AND(Lists!$ET$17&lt;&gt;"",ISNUMBER(SEARCH($AC$4,Lists!$ET$17))),1,0)</f>
        <v/>
      </c>
      <c r="CP70">
        <f>IF(ROW()-56&gt;MAX($CO$57:$CO$95),"",INDEX(Lists!$ET$4:$ET$42,MATCH(ROW()-56,$CO$57:$CO$95,0)))</f>
        <v/>
      </c>
      <c r="CQ70">
        <f>CQ69+IF(AND(Lists!$EY$17&lt;&gt;"",ISNUMBER(SEARCH($AD$4,Lists!$EY$17))),1,0)</f>
        <v/>
      </c>
      <c r="CR70">
        <f>IF(ROW()-56&gt;MAX($CQ$57:$CQ$95),"",INDEX(Lists!$EY$4:$EY$42,MATCH(ROW()-56,$CQ$57:$CQ$95,0)))</f>
        <v/>
      </c>
      <c r="CS70">
        <f>CS69+IF(AND(Lists!$FD$17&lt;&gt;"",ISNUMBER(SEARCH($AE$4,Lists!$FD$17))),1,0)</f>
        <v/>
      </c>
      <c r="CT70">
        <f>IF(ROW()-56&gt;MAX($CS$57:$CS$95),"",INDEX(Lists!$FD$4:$FD$42,MATCH(ROW()-56,$CS$57:$CS$95,0)))</f>
        <v/>
      </c>
      <c r="CU70">
        <f>CU69+IF(AND(Lists!$FI$17&lt;&gt;"",ISNUMBER(SEARCH($AG$4,Lists!$FI$17))),1,0)</f>
        <v/>
      </c>
      <c r="CV70">
        <f>IF(ROW()-56&gt;MAX($CU$57:$CU$95),"",INDEX(Lists!$FI$4:$FI$42,MATCH(ROW()-56,$CU$57:$CU$95,0)))</f>
        <v/>
      </c>
      <c r="CW70">
        <f>CW69+IF(AND(Lists!$FN$17&lt;&gt;"",ISNUMBER(SEARCH($AH$4,Lists!$FN$17))),1,0)</f>
        <v/>
      </c>
      <c r="CX70">
        <f>IF(ROW()-56&gt;MAX($CW$57:$CW$95),"",INDEX(Lists!$FN$4:$FN$42,MATCH(ROW()-56,$CW$57:$CW$95,0)))</f>
        <v/>
      </c>
      <c r="CY70">
        <f>CY69+IF(AND(Lists!$FS$17&lt;&gt;"",ISNUMBER(SEARCH($AI$4,Lists!$FS$17))),1,0)</f>
        <v/>
      </c>
      <c r="CZ70">
        <f>IF(ROW()-56&gt;MAX($CY$57:$CY$95),"",INDEX(Lists!$FS$4:$FS$42,MATCH(ROW()-56,$CY$57:$CY$95,0)))</f>
        <v/>
      </c>
      <c r="DA70">
        <f>DA69+IF(AND(Lists!$FX$17&lt;&gt;"",ISNUMBER(SEARCH($AF$4,Lists!$FX$17))),1,0)</f>
        <v/>
      </c>
      <c r="DB70">
        <f>IF(ROW()-56&gt;MAX($DA$57:$DA$95),"",INDEX(Lists!$FX$4:$FX$42,MATCH(ROW()-56,$DA$57:$DA$95,0)))</f>
        <v/>
      </c>
      <c r="DG70">
        <f>IF($B$4="",1,IF($B$4="(blank)",--('Final Calculation Sheet'!$F$15=""),IF($B$4="(nonblank)",--('Final Calculation Sheet'!$F$15&lt;&gt;""),--ISNUMBER(SEARCH($B$4,'Final Calculation Sheet'!$F$15)))))</f>
        <v/>
      </c>
      <c r="DH70">
        <f>IF($C$4="",1,IF($C$4="(blank)",--('Final Calculation Sheet'!$G$15=""),IF($C$4="(nonblank)",--('Final Calculation Sheet'!$G$15&lt;&gt;""),--ISNUMBER(SEARCH($C$4,'Final Calculation Sheet'!$G$15)))))</f>
        <v/>
      </c>
      <c r="DI70">
        <f>IF($D$4="",1,IF($D$4="(blank)",--('Final Calculation Sheet'!$B$15=""),IF($D$4="(nonblank)",--('Final Calculation Sheet'!$B$15&lt;&gt;""),--ISNUMBER(SEARCH($D$4,'Final Calculation Sheet'!$B$15)))))</f>
        <v/>
      </c>
      <c r="DJ70">
        <f>IF($E$4="",1,IF($E$4="(blank)",--('Final Calculation Sheet'!$D$15=""),IF($E$4="(nonblank)",--('Final Calculation Sheet'!$D$15&lt;&gt;""),--ISNUMBER(SEARCH($E$4,'Final Calculation Sheet'!$D$15)))))</f>
        <v/>
      </c>
      <c r="DK70">
        <f>IF($F$4="",1,IF($F$4="(blank)",--('Final Calculation Sheet'!$A$15=""),IF($F$4="(nonblank)",--('Final Calculation Sheet'!$A$15&lt;&gt;""),--ISNUMBER(SEARCH($F$4,'Final Calculation Sheet'!$A$15)))))</f>
        <v/>
      </c>
      <c r="DL70">
        <f>IF($G$4="",1,IF($G$4="(blank)",--('Final Calculation Sheet'!$E$15=""),IF($G$4="(nonblank)",--('Final Calculation Sheet'!$E$15&lt;&gt;""),--ISNUMBER(SEARCH($G$4,'Final Calculation Sheet'!$E$15)))))</f>
        <v/>
      </c>
      <c r="DM70">
        <f>IF($H$4="",1,IF($H$4="(blank)",--('Final Calculation Sheet'!$C$15=""),IF($H$4="(nonblank)",--('Final Calculation Sheet'!$C$15&lt;&gt;""),--ISNUMBER(SEARCH($H$4,'Final Calculation Sheet'!$C$15)))))</f>
        <v/>
      </c>
      <c r="DN70">
        <f>IF($I$4="",1,IF($I$4="(blank)",--('Final Calculation Sheet'!$H$15=""),IF($I$4="(nonblank)",--('Final Calculation Sheet'!$H$15&lt;&gt;""),--ISNUMBER(SEARCH($I$4,'Final Calculation Sheet'!$H$15)))))</f>
        <v/>
      </c>
      <c r="DO70">
        <f>IF($J$4="",1,IF($J$4="(blank)",--('Final Calculation Sheet'!$I$15=""),IF($J$4="(nonblank)",--('Final Calculation Sheet'!$I$15&lt;&gt;""),--ISNUMBER(SEARCH($J$4,'Final Calculation Sheet'!$I$15)))))</f>
        <v/>
      </c>
      <c r="DP70">
        <f>IF($K$4="",1,IF($K$4="(blank)",--('Final Calculation Sheet'!$J$15=""),IF($K$4="(nonblank)",--('Final Calculation Sheet'!$J$15&lt;&gt;""),--ISNUMBER(SEARCH($K$4,'Final Calculation Sheet'!$J$15)))))</f>
        <v/>
      </c>
      <c r="DQ70">
        <f>IF($L$4="",1,IF($L$4="(blank)",--('Final Calculation Sheet'!$K$15=""),IF($L$4="(nonblank)",--('Final Calculation Sheet'!$K$15&lt;&gt;""),--ISNUMBER(SEARCH($L$4,'Final Calculation Sheet'!$K$15)))))</f>
        <v/>
      </c>
      <c r="DR70">
        <f>IF($M$4="",1,IF($M$4="(blank)",--('Final Calculation Sheet'!$L$15=""),IF($M$4="(nonblank)",--('Final Calculation Sheet'!$L$15&lt;&gt;""),--ISNUMBER(SEARCH($M$4,'Final Calculation Sheet'!$L$15)))))</f>
        <v/>
      </c>
      <c r="DS70">
        <f>IF($N$4="",1,IF($N$4="(blank)",--('Final Calculation Sheet'!$M$15=""),IF($N$4="(nonblank)",--('Final Calculation Sheet'!$M$15&lt;&gt;""),--ISNUMBER(SEARCH($N$4,'Final Calculation Sheet'!$M$15)))))</f>
        <v/>
      </c>
      <c r="DT70">
        <f>IF($O$4="",1,IF($O$4="(blank)",--('Final Calculation Sheet'!$N$15=""),IF($O$4="(nonblank)",--('Final Calculation Sheet'!$N$15&lt;&gt;""),--ISNUMBER(SEARCH($O$4,'Final Calculation Sheet'!$N$15)))))</f>
        <v/>
      </c>
      <c r="DU70">
        <f>IF($P$4="",1,IF($P$4="(blank)",--('Final Calculation Sheet'!$O$15=""),IF($P$4="(nonblank)",--('Final Calculation Sheet'!$O$15&lt;&gt;""),--ISNUMBER(SEARCH($P$4,'Final Calculation Sheet'!$O$15)))))</f>
        <v/>
      </c>
      <c r="DV70">
        <f>IF($Q$4="",1,IF($Q$4="(blank)",--('Final Calculation Sheet'!$P$15=""),IF($Q$4="(nonblank)",--('Final Calculation Sheet'!$P$15&lt;&gt;""),--ISNUMBER(SEARCH($Q$4,'Final Calculation Sheet'!$P$15)))))</f>
        <v/>
      </c>
      <c r="DW70">
        <f>IF($R$4="",1,IF($R$4="(blank)",--('Final Calculation Sheet'!$Q$15=""),IF($R$4="(nonblank)",--('Final Calculation Sheet'!$Q$15&lt;&gt;""),--ISNUMBER(SEARCH($R$4,'Final Calculation Sheet'!$Q$15)))))</f>
        <v/>
      </c>
      <c r="DX70">
        <f>IF($S$4="",1,IF($S$4="(blank)",--('Final Calculation Sheet'!$R$15=""),IF($S$4="(nonblank)",--('Final Calculation Sheet'!$R$15&lt;&gt;""),--ISNUMBER(SEARCH($S$4,'Final Calculation Sheet'!$R$15)))))</f>
        <v/>
      </c>
      <c r="DY70">
        <f>IF($T$4="",1,IF($T$4="(blank)",--('Final Calculation Sheet'!$S$15=""),IF($T$4="(nonblank)",--('Final Calculation Sheet'!$S$15&lt;&gt;""),--ISNUMBER(SEARCH($T$4,'Final Calculation Sheet'!$S$15)))))</f>
        <v/>
      </c>
      <c r="DZ70">
        <f>IF($U$4="",1,IF($U$4="(blank)",--('Final Calculation Sheet'!$T$15=""),IF($U$4="(nonblank)",--('Final Calculation Sheet'!$T$15&lt;&gt;""),--ISNUMBER(SEARCH($U$4,'Final Calculation Sheet'!$T$15)))))</f>
        <v/>
      </c>
      <c r="EA70">
        <f>IF($V$4="",1,IF($V$4="(blank)",--('Final Calculation Sheet'!$U$15=""),IF($V$4="(nonblank)",--('Final Calculation Sheet'!$U$15&lt;&gt;""),--ISNUMBER(SEARCH($V$4,'Final Calculation Sheet'!$U$15)))))</f>
        <v/>
      </c>
      <c r="EB70">
        <f>IF($W$4="",1,IF($W$4="(blank)",--('Final Calculation Sheet'!$V$15=""),IF($W$4="(nonblank)",--('Final Calculation Sheet'!$V$15&lt;&gt;""),--ISNUMBER(SEARCH($W$4,'Final Calculation Sheet'!$V$15)))))</f>
        <v/>
      </c>
      <c r="EC70">
        <f>IF($X$4="",1,IF($X$4="(blank)",--('Final Calculation Sheet'!$W$15=""),IF($X$4="(nonblank)",--('Final Calculation Sheet'!$W$15&lt;&gt;""),--ISNUMBER(SEARCH($X$4,'Final Calculation Sheet'!$W$15)))))</f>
        <v/>
      </c>
      <c r="ED70">
        <f>IF($Y$4="",1,IF($Y$4="(blank)",--('Final Calculation Sheet'!$X$15=""),IF($Y$4="(nonblank)",--('Final Calculation Sheet'!$X$15&lt;&gt;""),--ISNUMBER(SEARCH($Y$4,'Final Calculation Sheet'!$X$15)))))</f>
        <v/>
      </c>
      <c r="EE70">
        <f>IF($Z$4="",1,IF($Z$4="(blank)",--('Final Calculation Sheet'!$Y$15=""),IF($Z$4="(nonblank)",--('Final Calculation Sheet'!$Y$15&lt;&gt;""),--ISNUMBER(SEARCH($Z$4,'Final Calculation Sheet'!$Y$15)))))</f>
        <v/>
      </c>
      <c r="EF70">
        <f>IF($AA$4="",1,IF($AA$4="(blank)",--('Final Calculation Sheet'!$Z$15=""),IF($AA$4="(nonblank)",--('Final Calculation Sheet'!$Z$15&lt;&gt;""),--ISNUMBER(SEARCH($AA$4,'Final Calculation Sheet'!$Z$15)))))</f>
        <v/>
      </c>
      <c r="EG70">
        <f>IF($AB$4="",1,IF($AB$4="(blank)",--('Final Calculation Sheet'!$AA$15=""),IF($AB$4="(nonblank)",--('Final Calculation Sheet'!$AA$15&lt;&gt;""),--ISNUMBER(SEARCH($AB$4,'Final Calculation Sheet'!$AA$15)))))</f>
        <v/>
      </c>
      <c r="EH70">
        <f>IF($AC$4="",1,IF($AC$4="(blank)",--('Final Calculation Sheet'!$AB$15=""),IF($AC$4="(nonblank)",--('Final Calculation Sheet'!$AB$15&lt;&gt;""),--ISNUMBER(SEARCH($AC$4,'Final Calculation Sheet'!$AB$15)))))</f>
        <v/>
      </c>
      <c r="EI70">
        <f>IF($AD$4="",1,IF($AD$4="(blank)",--('Final Calculation Sheet'!$AC$15=""),IF($AD$4="(nonblank)",--('Final Calculation Sheet'!$AC$15&lt;&gt;""),--ISNUMBER(SEARCH($AD$4,'Final Calculation Sheet'!$AC$15)))))</f>
        <v/>
      </c>
      <c r="EJ70">
        <f>IF($AE$4="",1,IF($AE$4="(blank)",--('Final Calculation Sheet'!$AD$15=""),IF($AE$4="(nonblank)",--('Final Calculation Sheet'!$AD$15&lt;&gt;""),--ISNUMBER(SEARCH($AE$4,'Final Calculation Sheet'!$AD$15)))))</f>
        <v/>
      </c>
      <c r="EK70">
        <f>IF($AF$4="",1,IF($AF$4="(blank)",--(IF('Final Calculation Sheet'!$AD$15&lt;=5,"SETTLED","OUTSTANDING")=""),IF($AF$4="(nonblank)",--(IF('Final Calculation Sheet'!$AD$15&lt;=5,"SETTLED","OUTSTANDING")&lt;&gt;""),--ISNUMBER(SEARCH($AF$4,IF('Final Calculation Sheet'!$AD$15&lt;=5,"SETTLED","OUTSTANDING"))))))</f>
        <v/>
      </c>
      <c r="EL70">
        <f>IF($AG$4="",1,IF($AG$4="(blank)",--('Final Calculation Sheet'!$AF$15=""),IF($AG$4="(nonblank)",--('Final Calculation Sheet'!$AF$15&lt;&gt;""),--ISNUMBER(SEARCH($AG$4,'Final Calculation Sheet'!$AF$15)))))</f>
        <v/>
      </c>
      <c r="EM70">
        <f>IF($AH$4="",1,IF($AH$4="(blank)",--('Final Calculation Sheet'!$AG$15=""),IF($AH$4="(nonblank)",--('Final Calculation Sheet'!$AG$15&lt;&gt;""),--ISNUMBER(SEARCH($AH$4,'Final Calculation Sheet'!$AG$15)))))</f>
        <v/>
      </c>
      <c r="EN70">
        <f>IF($AI$4="",1,IF($AI$4="(blank)",--('Final Calculation Sheet'!$AH$15=""),IF($AI$4="(nonblank)",--('Final Calculation Sheet'!$AH$15&lt;&gt;""),--ISNUMBER(SEARCH($AI$4,'Final Calculation Sheet'!$AH$15)))))</f>
        <v/>
      </c>
    </row>
    <row r="71">
      <c r="AM71">
        <f>AM70+IF(AND(Lists!$O$18&lt;&gt;"",ISNUMBER(SEARCH($B$4,Lists!$O$18))),1,0)</f>
        <v/>
      </c>
      <c r="AN71">
        <f>IF(ROW()-56&gt;MAX($AM$57:$AM$95),"",INDEX(Lists!$O$4:$O$42,MATCH(ROW()-56,$AM$57:$AM$95,0)))</f>
        <v/>
      </c>
      <c r="AO71">
        <f>AO70+IF(AND(Lists!$T$18&lt;&gt;"",ISNUMBER(SEARCH($C$4,Lists!$T$18))),1,0)</f>
        <v/>
      </c>
      <c r="AP71">
        <f>IF(ROW()-56&gt;MAX($AO$57:$AO$95),"",INDEX(Lists!$T$4:$T$42,MATCH(ROW()-56,$AO$57:$AO$95,0)))</f>
        <v/>
      </c>
      <c r="AQ71">
        <f>AQ70+IF(AND(Lists!$Y$18&lt;&gt;"",ISNUMBER(SEARCH($D$4,Lists!$Y$18))),1,0)</f>
        <v/>
      </c>
      <c r="AR71">
        <f>IF(ROW()-56&gt;MAX($AQ$57:$AQ$95),"",INDEX(Lists!$Y$4:$Y$42,MATCH(ROW()-56,$AQ$57:$AQ$95,0)))</f>
        <v/>
      </c>
      <c r="AS71">
        <f>AS70+IF(AND(Lists!$AD$18&lt;&gt;"",ISNUMBER(SEARCH($E$4,Lists!$AD$18))),1,0)</f>
        <v/>
      </c>
      <c r="AT71">
        <f>IF(ROW()-56&gt;MAX($AS$57:$AS$95),"",INDEX(Lists!$AD$4:$AD$42,MATCH(ROW()-56,$AS$57:$AS$95,0)))</f>
        <v/>
      </c>
      <c r="AU71">
        <f>AU70+IF(AND(Lists!$AI$18&lt;&gt;"",ISNUMBER(SEARCH($F$4,Lists!$AI$18))),1,0)</f>
        <v/>
      </c>
      <c r="AV71">
        <f>IF(ROW()-56&gt;MAX($AU$57:$AU$95),"",INDEX(Lists!$AI$4:$AI$42,MATCH(ROW()-56,$AU$57:$AU$95,0)))</f>
        <v/>
      </c>
      <c r="AW71">
        <f>AW70+IF(AND(Lists!$AN$18&lt;&gt;"",ISNUMBER(SEARCH($G$4,Lists!$AN$18))),1,0)</f>
        <v/>
      </c>
      <c r="AX71">
        <f>IF(ROW()-56&gt;MAX($AW$57:$AW$95),"",INDEX(Lists!$AN$4:$AN$42,MATCH(ROW()-56,$AW$57:$AW$95,0)))</f>
        <v/>
      </c>
      <c r="AY71">
        <f>AY70+IF(AND(Lists!$AS$18&lt;&gt;"",ISNUMBER(SEARCH($H$4,Lists!$AS$18))),1,0)</f>
        <v/>
      </c>
      <c r="AZ71">
        <f>IF(ROW()-56&gt;MAX($AY$57:$AY$95),"",INDEX(Lists!$AS$4:$AS$42,MATCH(ROW()-56,$AY$57:$AY$95,0)))</f>
        <v/>
      </c>
      <c r="BA71">
        <f>BA70+IF(AND(Lists!$AX$18&lt;&gt;"",ISNUMBER(SEARCH($I$4,Lists!$AX$18))),1,0)</f>
        <v/>
      </c>
      <c r="BB71">
        <f>IF(ROW()-56&gt;MAX($BA$57:$BA$95),"",INDEX(Lists!$AX$4:$AX$42,MATCH(ROW()-56,$BA$57:$BA$95,0)))</f>
        <v/>
      </c>
      <c r="BC71">
        <f>BC70+IF(AND(Lists!$BC$18&lt;&gt;"",ISNUMBER(SEARCH($J$4,Lists!$BC$18))),1,0)</f>
        <v/>
      </c>
      <c r="BD71">
        <f>IF(ROW()-56&gt;MAX($BC$57:$BC$95),"",INDEX(Lists!$BC$4:$BC$42,MATCH(ROW()-56,$BC$57:$BC$95,0)))</f>
        <v/>
      </c>
      <c r="BE71">
        <f>BE70+IF(AND(Lists!$BH$18&lt;&gt;"",ISNUMBER(SEARCH($K$4,Lists!$BH$18))),1,0)</f>
        <v/>
      </c>
      <c r="BF71">
        <f>IF(ROW()-56&gt;MAX($BE$57:$BE$95),"",INDEX(Lists!$BH$4:$BH$42,MATCH(ROW()-56,$BE$57:$BE$95,0)))</f>
        <v/>
      </c>
      <c r="BG71">
        <f>BG70+IF(AND(Lists!$BM$18&lt;&gt;"",ISNUMBER(SEARCH($L$4,Lists!$BM$18))),1,0)</f>
        <v/>
      </c>
      <c r="BH71">
        <f>IF(ROW()-56&gt;MAX($BG$57:$BG$95),"",INDEX(Lists!$BM$4:$BM$42,MATCH(ROW()-56,$BG$57:$BG$95,0)))</f>
        <v/>
      </c>
      <c r="BI71">
        <f>BI70+IF(AND(Lists!$BR$18&lt;&gt;"",ISNUMBER(SEARCH($M$4,Lists!$BR$18))),1,0)</f>
        <v/>
      </c>
      <c r="BJ71">
        <f>IF(ROW()-56&gt;MAX($BI$57:$BI$95),"",INDEX(Lists!$BR$4:$BR$42,MATCH(ROW()-56,$BI$57:$BI$95,0)))</f>
        <v/>
      </c>
      <c r="BK71">
        <f>BK70+IF(AND(Lists!$BW$18&lt;&gt;"",ISNUMBER(SEARCH($N$4,Lists!$BW$18))),1,0)</f>
        <v/>
      </c>
      <c r="BL71">
        <f>IF(ROW()-56&gt;MAX($BK$57:$BK$95),"",INDEX(Lists!$BW$4:$BW$42,MATCH(ROW()-56,$BK$57:$BK$95,0)))</f>
        <v/>
      </c>
      <c r="BM71">
        <f>BM70+IF(AND(Lists!$CB$18&lt;&gt;"",ISNUMBER(SEARCH($O$4,Lists!$CB$18))),1,0)</f>
        <v/>
      </c>
      <c r="BN71">
        <f>IF(ROW()-56&gt;MAX($BM$57:$BM$95),"",INDEX(Lists!$CB$4:$CB$42,MATCH(ROW()-56,$BM$57:$BM$95,0)))</f>
        <v/>
      </c>
      <c r="BO71">
        <f>BO70+IF(AND(Lists!$CG$18&lt;&gt;"",ISNUMBER(SEARCH($P$4,Lists!$CG$18))),1,0)</f>
        <v/>
      </c>
      <c r="BP71">
        <f>IF(ROW()-56&gt;MAX($BO$57:$BO$95),"",INDEX(Lists!$CG$4:$CG$42,MATCH(ROW()-56,$BO$57:$BO$95,0)))</f>
        <v/>
      </c>
      <c r="BQ71">
        <f>BQ70+IF(AND(Lists!$CL$18&lt;&gt;"",ISNUMBER(SEARCH($Q$4,Lists!$CL$18))),1,0)</f>
        <v/>
      </c>
      <c r="BR71">
        <f>IF(ROW()-56&gt;MAX($BQ$57:$BQ$95),"",INDEX(Lists!$CL$4:$CL$42,MATCH(ROW()-56,$BQ$57:$BQ$95,0)))</f>
        <v/>
      </c>
      <c r="BS71">
        <f>BS70+IF(AND(Lists!$CQ$18&lt;&gt;"",ISNUMBER(SEARCH($R$4,Lists!$CQ$18))),1,0)</f>
        <v/>
      </c>
      <c r="BT71">
        <f>IF(ROW()-56&gt;MAX($BS$57:$BS$95),"",INDEX(Lists!$CQ$4:$CQ$42,MATCH(ROW()-56,$BS$57:$BS$95,0)))</f>
        <v/>
      </c>
      <c r="BU71">
        <f>BU70+IF(AND(Lists!$CV$18&lt;&gt;"",ISNUMBER(SEARCH($S$4,Lists!$CV$18))),1,0)</f>
        <v/>
      </c>
      <c r="BV71">
        <f>IF(ROW()-56&gt;MAX($BU$57:$BU$95),"",INDEX(Lists!$CV$4:$CV$42,MATCH(ROW()-56,$BU$57:$BU$95,0)))</f>
        <v/>
      </c>
      <c r="BW71">
        <f>BW70+IF(AND(Lists!$DA$18&lt;&gt;"",ISNUMBER(SEARCH($T$4,Lists!$DA$18))),1,0)</f>
        <v/>
      </c>
      <c r="BX71">
        <f>IF(ROW()-56&gt;MAX($BW$57:$BW$95),"",INDEX(Lists!$DA$4:$DA$42,MATCH(ROW()-56,$BW$57:$BW$95,0)))</f>
        <v/>
      </c>
      <c r="BY71">
        <f>BY70+IF(AND(Lists!$DF$18&lt;&gt;"",ISNUMBER(SEARCH($U$4,Lists!$DF$18))),1,0)</f>
        <v/>
      </c>
      <c r="BZ71">
        <f>IF(ROW()-56&gt;MAX($BY$57:$BY$95),"",INDEX(Lists!$DF$4:$DF$42,MATCH(ROW()-56,$BY$57:$BY$95,0)))</f>
        <v/>
      </c>
      <c r="CA71">
        <f>CA70+IF(AND(Lists!$DK$18&lt;&gt;"",ISNUMBER(SEARCH($V$4,Lists!$DK$18))),1,0)</f>
        <v/>
      </c>
      <c r="CB71">
        <f>IF(ROW()-56&gt;MAX($CA$57:$CA$95),"",INDEX(Lists!$DK$4:$DK$42,MATCH(ROW()-56,$CA$57:$CA$95,0)))</f>
        <v/>
      </c>
      <c r="CC71">
        <f>CC70+IF(AND(Lists!$DP$18&lt;&gt;"",ISNUMBER(SEARCH($W$4,Lists!$DP$18))),1,0)</f>
        <v/>
      </c>
      <c r="CD71">
        <f>IF(ROW()-56&gt;MAX($CC$57:$CC$95),"",INDEX(Lists!$DP$4:$DP$42,MATCH(ROW()-56,$CC$57:$CC$95,0)))</f>
        <v/>
      </c>
      <c r="CE71">
        <f>CE70+IF(AND(Lists!$DU$18&lt;&gt;"",ISNUMBER(SEARCH($X$4,Lists!$DU$18))),1,0)</f>
        <v/>
      </c>
      <c r="CF71">
        <f>IF(ROW()-56&gt;MAX($CE$57:$CE$95),"",INDEX(Lists!$DU$4:$DU$42,MATCH(ROW()-56,$CE$57:$CE$95,0)))</f>
        <v/>
      </c>
      <c r="CG71">
        <f>CG70+IF(AND(Lists!$DZ$18&lt;&gt;"",ISNUMBER(SEARCH($Y$4,Lists!$DZ$18))),1,0)</f>
        <v/>
      </c>
      <c r="CH71">
        <f>IF(ROW()-56&gt;MAX($CG$57:$CG$95),"",INDEX(Lists!$DZ$4:$DZ$42,MATCH(ROW()-56,$CG$57:$CG$95,0)))</f>
        <v/>
      </c>
      <c r="CI71">
        <f>CI70+IF(AND(Lists!$EE$18&lt;&gt;"",ISNUMBER(SEARCH($Z$4,Lists!$EE$18))),1,0)</f>
        <v/>
      </c>
      <c r="CJ71">
        <f>IF(ROW()-56&gt;MAX($CI$57:$CI$95),"",INDEX(Lists!$EE$4:$EE$42,MATCH(ROW()-56,$CI$57:$CI$95,0)))</f>
        <v/>
      </c>
      <c r="CK71">
        <f>CK70+IF(AND(Lists!$EJ$18&lt;&gt;"",ISNUMBER(SEARCH($AA$4,Lists!$EJ$18))),1,0)</f>
        <v/>
      </c>
      <c r="CL71">
        <f>IF(ROW()-56&gt;MAX($CK$57:$CK$95),"",INDEX(Lists!$EJ$4:$EJ$42,MATCH(ROW()-56,$CK$57:$CK$95,0)))</f>
        <v/>
      </c>
      <c r="CM71">
        <f>CM70+IF(AND(Lists!$EO$18&lt;&gt;"",ISNUMBER(SEARCH($AB$4,Lists!$EO$18))),1,0)</f>
        <v/>
      </c>
      <c r="CN71">
        <f>IF(ROW()-56&gt;MAX($CM$57:$CM$95),"",INDEX(Lists!$EO$4:$EO$42,MATCH(ROW()-56,$CM$57:$CM$95,0)))</f>
        <v/>
      </c>
      <c r="CO71">
        <f>CO70+IF(AND(Lists!$ET$18&lt;&gt;"",ISNUMBER(SEARCH($AC$4,Lists!$ET$18))),1,0)</f>
        <v/>
      </c>
      <c r="CP71">
        <f>IF(ROW()-56&gt;MAX($CO$57:$CO$95),"",INDEX(Lists!$ET$4:$ET$42,MATCH(ROW()-56,$CO$57:$CO$95,0)))</f>
        <v/>
      </c>
      <c r="CQ71">
        <f>CQ70+IF(AND(Lists!$EY$18&lt;&gt;"",ISNUMBER(SEARCH($AD$4,Lists!$EY$18))),1,0)</f>
        <v/>
      </c>
      <c r="CR71">
        <f>IF(ROW()-56&gt;MAX($CQ$57:$CQ$95),"",INDEX(Lists!$EY$4:$EY$42,MATCH(ROW()-56,$CQ$57:$CQ$95,0)))</f>
        <v/>
      </c>
      <c r="CS71">
        <f>CS70+IF(AND(Lists!$FD$18&lt;&gt;"",ISNUMBER(SEARCH($AE$4,Lists!$FD$18))),1,0)</f>
        <v/>
      </c>
      <c r="CT71">
        <f>IF(ROW()-56&gt;MAX($CS$57:$CS$95),"",INDEX(Lists!$FD$4:$FD$42,MATCH(ROW()-56,$CS$57:$CS$95,0)))</f>
        <v/>
      </c>
      <c r="CU71">
        <f>CU70+IF(AND(Lists!$FI$18&lt;&gt;"",ISNUMBER(SEARCH($AG$4,Lists!$FI$18))),1,0)</f>
        <v/>
      </c>
      <c r="CV71">
        <f>IF(ROW()-56&gt;MAX($CU$57:$CU$95),"",INDEX(Lists!$FI$4:$FI$42,MATCH(ROW()-56,$CU$57:$CU$95,0)))</f>
        <v/>
      </c>
      <c r="CW71">
        <f>CW70+IF(AND(Lists!$FN$18&lt;&gt;"",ISNUMBER(SEARCH($AH$4,Lists!$FN$18))),1,0)</f>
        <v/>
      </c>
      <c r="CX71">
        <f>IF(ROW()-56&gt;MAX($CW$57:$CW$95),"",INDEX(Lists!$FN$4:$FN$42,MATCH(ROW()-56,$CW$57:$CW$95,0)))</f>
        <v/>
      </c>
      <c r="CY71">
        <f>CY70+IF(AND(Lists!$FS$18&lt;&gt;"",ISNUMBER(SEARCH($AI$4,Lists!$FS$18))),1,0)</f>
        <v/>
      </c>
      <c r="CZ71">
        <f>IF(ROW()-56&gt;MAX($CY$57:$CY$95),"",INDEX(Lists!$FS$4:$FS$42,MATCH(ROW()-56,$CY$57:$CY$95,0)))</f>
        <v/>
      </c>
      <c r="DA71">
        <f>DA70+IF(AND(Lists!$FX$18&lt;&gt;"",ISNUMBER(SEARCH($AF$4,Lists!$FX$18))),1,0)</f>
        <v/>
      </c>
      <c r="DB71">
        <f>IF(ROW()-56&gt;MAX($DA$57:$DA$95),"",INDEX(Lists!$FX$4:$FX$42,MATCH(ROW()-56,$DA$57:$DA$95,0)))</f>
        <v/>
      </c>
      <c r="DG71">
        <f>IF($B$4="",1,IF($B$4="(blank)",--('Final Calculation Sheet'!$F$16=""),IF($B$4="(nonblank)",--('Final Calculation Sheet'!$F$16&lt;&gt;""),--ISNUMBER(SEARCH($B$4,'Final Calculation Sheet'!$F$16)))))</f>
        <v/>
      </c>
      <c r="DH71">
        <f>IF($C$4="",1,IF($C$4="(blank)",--('Final Calculation Sheet'!$G$16=""),IF($C$4="(nonblank)",--('Final Calculation Sheet'!$G$16&lt;&gt;""),--ISNUMBER(SEARCH($C$4,'Final Calculation Sheet'!$G$16)))))</f>
        <v/>
      </c>
      <c r="DI71">
        <f>IF($D$4="",1,IF($D$4="(blank)",--('Final Calculation Sheet'!$B$16=""),IF($D$4="(nonblank)",--('Final Calculation Sheet'!$B$16&lt;&gt;""),--ISNUMBER(SEARCH($D$4,'Final Calculation Sheet'!$B$16)))))</f>
        <v/>
      </c>
      <c r="DJ71">
        <f>IF($E$4="",1,IF($E$4="(blank)",--('Final Calculation Sheet'!$D$16=""),IF($E$4="(nonblank)",--('Final Calculation Sheet'!$D$16&lt;&gt;""),--ISNUMBER(SEARCH($E$4,'Final Calculation Sheet'!$D$16)))))</f>
        <v/>
      </c>
      <c r="DK71">
        <f>IF($F$4="",1,IF($F$4="(blank)",--('Final Calculation Sheet'!$A$16=""),IF($F$4="(nonblank)",--('Final Calculation Sheet'!$A$16&lt;&gt;""),--ISNUMBER(SEARCH($F$4,'Final Calculation Sheet'!$A$16)))))</f>
        <v/>
      </c>
      <c r="DL71">
        <f>IF($G$4="",1,IF($G$4="(blank)",--('Final Calculation Sheet'!$E$16=""),IF($G$4="(nonblank)",--('Final Calculation Sheet'!$E$16&lt;&gt;""),--ISNUMBER(SEARCH($G$4,'Final Calculation Sheet'!$E$16)))))</f>
        <v/>
      </c>
      <c r="DM71">
        <f>IF($H$4="",1,IF($H$4="(blank)",--('Final Calculation Sheet'!$C$16=""),IF($H$4="(nonblank)",--('Final Calculation Sheet'!$C$16&lt;&gt;""),--ISNUMBER(SEARCH($H$4,'Final Calculation Sheet'!$C$16)))))</f>
        <v/>
      </c>
      <c r="DN71">
        <f>IF($I$4="",1,IF($I$4="(blank)",--('Final Calculation Sheet'!$H$16=""),IF($I$4="(nonblank)",--('Final Calculation Sheet'!$H$16&lt;&gt;""),--ISNUMBER(SEARCH($I$4,'Final Calculation Sheet'!$H$16)))))</f>
        <v/>
      </c>
      <c r="DO71">
        <f>IF($J$4="",1,IF($J$4="(blank)",--('Final Calculation Sheet'!$I$16=""),IF($J$4="(nonblank)",--('Final Calculation Sheet'!$I$16&lt;&gt;""),--ISNUMBER(SEARCH($J$4,'Final Calculation Sheet'!$I$16)))))</f>
        <v/>
      </c>
      <c r="DP71">
        <f>IF($K$4="",1,IF($K$4="(blank)",--('Final Calculation Sheet'!$J$16=""),IF($K$4="(nonblank)",--('Final Calculation Sheet'!$J$16&lt;&gt;""),--ISNUMBER(SEARCH($K$4,'Final Calculation Sheet'!$J$16)))))</f>
        <v/>
      </c>
      <c r="DQ71">
        <f>IF($L$4="",1,IF($L$4="(blank)",--('Final Calculation Sheet'!$K$16=""),IF($L$4="(nonblank)",--('Final Calculation Sheet'!$K$16&lt;&gt;""),--ISNUMBER(SEARCH($L$4,'Final Calculation Sheet'!$K$16)))))</f>
        <v/>
      </c>
      <c r="DR71">
        <f>IF($M$4="",1,IF($M$4="(blank)",--('Final Calculation Sheet'!$L$16=""),IF($M$4="(nonblank)",--('Final Calculation Sheet'!$L$16&lt;&gt;""),--ISNUMBER(SEARCH($M$4,'Final Calculation Sheet'!$L$16)))))</f>
        <v/>
      </c>
      <c r="DS71">
        <f>IF($N$4="",1,IF($N$4="(blank)",--('Final Calculation Sheet'!$M$16=""),IF($N$4="(nonblank)",--('Final Calculation Sheet'!$M$16&lt;&gt;""),--ISNUMBER(SEARCH($N$4,'Final Calculation Sheet'!$M$16)))))</f>
        <v/>
      </c>
      <c r="DT71">
        <f>IF($O$4="",1,IF($O$4="(blank)",--('Final Calculation Sheet'!$N$16=""),IF($O$4="(nonblank)",--('Final Calculation Sheet'!$N$16&lt;&gt;""),--ISNUMBER(SEARCH($O$4,'Final Calculation Sheet'!$N$16)))))</f>
        <v/>
      </c>
      <c r="DU71">
        <f>IF($P$4="",1,IF($P$4="(blank)",--('Final Calculation Sheet'!$O$16=""),IF($P$4="(nonblank)",--('Final Calculation Sheet'!$O$16&lt;&gt;""),--ISNUMBER(SEARCH($P$4,'Final Calculation Sheet'!$O$16)))))</f>
        <v/>
      </c>
      <c r="DV71">
        <f>IF($Q$4="",1,IF($Q$4="(blank)",--('Final Calculation Sheet'!$P$16=""),IF($Q$4="(nonblank)",--('Final Calculation Sheet'!$P$16&lt;&gt;""),--ISNUMBER(SEARCH($Q$4,'Final Calculation Sheet'!$P$16)))))</f>
        <v/>
      </c>
      <c r="DW71">
        <f>IF($R$4="",1,IF($R$4="(blank)",--('Final Calculation Sheet'!$Q$16=""),IF($R$4="(nonblank)",--('Final Calculation Sheet'!$Q$16&lt;&gt;""),--ISNUMBER(SEARCH($R$4,'Final Calculation Sheet'!$Q$16)))))</f>
        <v/>
      </c>
      <c r="DX71">
        <f>IF($S$4="",1,IF($S$4="(blank)",--('Final Calculation Sheet'!$R$16=""),IF($S$4="(nonblank)",--('Final Calculation Sheet'!$R$16&lt;&gt;""),--ISNUMBER(SEARCH($S$4,'Final Calculation Sheet'!$R$16)))))</f>
        <v/>
      </c>
      <c r="DY71">
        <f>IF($T$4="",1,IF($T$4="(blank)",--('Final Calculation Sheet'!$S$16=""),IF($T$4="(nonblank)",--('Final Calculation Sheet'!$S$16&lt;&gt;""),--ISNUMBER(SEARCH($T$4,'Final Calculation Sheet'!$S$16)))))</f>
        <v/>
      </c>
      <c r="DZ71">
        <f>IF($U$4="",1,IF($U$4="(blank)",--('Final Calculation Sheet'!$T$16=""),IF($U$4="(nonblank)",--('Final Calculation Sheet'!$T$16&lt;&gt;""),--ISNUMBER(SEARCH($U$4,'Final Calculation Sheet'!$T$16)))))</f>
        <v/>
      </c>
      <c r="EA71">
        <f>IF($V$4="",1,IF($V$4="(blank)",--('Final Calculation Sheet'!$U$16=""),IF($V$4="(nonblank)",--('Final Calculation Sheet'!$U$16&lt;&gt;""),--ISNUMBER(SEARCH($V$4,'Final Calculation Sheet'!$U$16)))))</f>
        <v/>
      </c>
      <c r="EB71">
        <f>IF($W$4="",1,IF($W$4="(blank)",--('Final Calculation Sheet'!$V$16=""),IF($W$4="(nonblank)",--('Final Calculation Sheet'!$V$16&lt;&gt;""),--ISNUMBER(SEARCH($W$4,'Final Calculation Sheet'!$V$16)))))</f>
        <v/>
      </c>
      <c r="EC71">
        <f>IF($X$4="",1,IF($X$4="(blank)",--('Final Calculation Sheet'!$W$16=""),IF($X$4="(nonblank)",--('Final Calculation Sheet'!$W$16&lt;&gt;""),--ISNUMBER(SEARCH($X$4,'Final Calculation Sheet'!$W$16)))))</f>
        <v/>
      </c>
      <c r="ED71">
        <f>IF($Y$4="",1,IF($Y$4="(blank)",--('Final Calculation Sheet'!$X$16=""),IF($Y$4="(nonblank)",--('Final Calculation Sheet'!$X$16&lt;&gt;""),--ISNUMBER(SEARCH($Y$4,'Final Calculation Sheet'!$X$16)))))</f>
        <v/>
      </c>
      <c r="EE71">
        <f>IF($Z$4="",1,IF($Z$4="(blank)",--('Final Calculation Sheet'!$Y$16=""),IF($Z$4="(nonblank)",--('Final Calculation Sheet'!$Y$16&lt;&gt;""),--ISNUMBER(SEARCH($Z$4,'Final Calculation Sheet'!$Y$16)))))</f>
        <v/>
      </c>
      <c r="EF71">
        <f>IF($AA$4="",1,IF($AA$4="(blank)",--('Final Calculation Sheet'!$Z$16=""),IF($AA$4="(nonblank)",--('Final Calculation Sheet'!$Z$16&lt;&gt;""),--ISNUMBER(SEARCH($AA$4,'Final Calculation Sheet'!$Z$16)))))</f>
        <v/>
      </c>
      <c r="EG71">
        <f>IF($AB$4="",1,IF($AB$4="(blank)",--('Final Calculation Sheet'!$AA$16=""),IF($AB$4="(nonblank)",--('Final Calculation Sheet'!$AA$16&lt;&gt;""),--ISNUMBER(SEARCH($AB$4,'Final Calculation Sheet'!$AA$16)))))</f>
        <v/>
      </c>
      <c r="EH71">
        <f>IF($AC$4="",1,IF($AC$4="(blank)",--('Final Calculation Sheet'!$AB$16=""),IF($AC$4="(nonblank)",--('Final Calculation Sheet'!$AB$16&lt;&gt;""),--ISNUMBER(SEARCH($AC$4,'Final Calculation Sheet'!$AB$16)))))</f>
        <v/>
      </c>
      <c r="EI71">
        <f>IF($AD$4="",1,IF($AD$4="(blank)",--('Final Calculation Sheet'!$AC$16=""),IF($AD$4="(nonblank)",--('Final Calculation Sheet'!$AC$16&lt;&gt;""),--ISNUMBER(SEARCH($AD$4,'Final Calculation Sheet'!$AC$16)))))</f>
        <v/>
      </c>
      <c r="EJ71">
        <f>IF($AE$4="",1,IF($AE$4="(blank)",--('Final Calculation Sheet'!$AD$16=""),IF($AE$4="(nonblank)",--('Final Calculation Sheet'!$AD$16&lt;&gt;""),--ISNUMBER(SEARCH($AE$4,'Final Calculation Sheet'!$AD$16)))))</f>
        <v/>
      </c>
      <c r="EK71">
        <f>IF($AF$4="",1,IF($AF$4="(blank)",--(IF('Final Calculation Sheet'!$AD$16&lt;=5,"SETTLED","OUTSTANDING")=""),IF($AF$4="(nonblank)",--(IF('Final Calculation Sheet'!$AD$16&lt;=5,"SETTLED","OUTSTANDING")&lt;&gt;""),--ISNUMBER(SEARCH($AF$4,IF('Final Calculation Sheet'!$AD$16&lt;=5,"SETTLED","OUTSTANDING"))))))</f>
        <v/>
      </c>
      <c r="EL71">
        <f>IF($AG$4="",1,IF($AG$4="(blank)",--('Final Calculation Sheet'!$AF$16=""),IF($AG$4="(nonblank)",--('Final Calculation Sheet'!$AF$16&lt;&gt;""),--ISNUMBER(SEARCH($AG$4,'Final Calculation Sheet'!$AF$16)))))</f>
        <v/>
      </c>
      <c r="EM71">
        <f>IF($AH$4="",1,IF($AH$4="(blank)",--('Final Calculation Sheet'!$AG$16=""),IF($AH$4="(nonblank)",--('Final Calculation Sheet'!$AG$16&lt;&gt;""),--ISNUMBER(SEARCH($AH$4,'Final Calculation Sheet'!$AG$16)))))</f>
        <v/>
      </c>
      <c r="EN71">
        <f>IF($AI$4="",1,IF($AI$4="(blank)",--('Final Calculation Sheet'!$AH$16=""),IF($AI$4="(nonblank)",--('Final Calculation Sheet'!$AH$16&lt;&gt;""),--ISNUMBER(SEARCH($AI$4,'Final Calculation Sheet'!$AH$16)))))</f>
        <v/>
      </c>
    </row>
    <row r="72">
      <c r="AM72">
        <f>AM71+IF(AND(Lists!$O$19&lt;&gt;"",ISNUMBER(SEARCH($B$4,Lists!$O$19))),1,0)</f>
        <v/>
      </c>
      <c r="AN72">
        <f>IF(ROW()-56&gt;MAX($AM$57:$AM$95),"",INDEX(Lists!$O$4:$O$42,MATCH(ROW()-56,$AM$57:$AM$95,0)))</f>
        <v/>
      </c>
      <c r="AO72">
        <f>AO71+IF(AND(Lists!$T$19&lt;&gt;"",ISNUMBER(SEARCH($C$4,Lists!$T$19))),1,0)</f>
        <v/>
      </c>
      <c r="AP72">
        <f>IF(ROW()-56&gt;MAX($AO$57:$AO$95),"",INDEX(Lists!$T$4:$T$42,MATCH(ROW()-56,$AO$57:$AO$95,0)))</f>
        <v/>
      </c>
      <c r="AQ72">
        <f>AQ71+IF(AND(Lists!$Y$19&lt;&gt;"",ISNUMBER(SEARCH($D$4,Lists!$Y$19))),1,0)</f>
        <v/>
      </c>
      <c r="AR72">
        <f>IF(ROW()-56&gt;MAX($AQ$57:$AQ$95),"",INDEX(Lists!$Y$4:$Y$42,MATCH(ROW()-56,$AQ$57:$AQ$95,0)))</f>
        <v/>
      </c>
      <c r="AS72">
        <f>AS71+IF(AND(Lists!$AD$19&lt;&gt;"",ISNUMBER(SEARCH($E$4,Lists!$AD$19))),1,0)</f>
        <v/>
      </c>
      <c r="AT72">
        <f>IF(ROW()-56&gt;MAX($AS$57:$AS$95),"",INDEX(Lists!$AD$4:$AD$42,MATCH(ROW()-56,$AS$57:$AS$95,0)))</f>
        <v/>
      </c>
      <c r="AU72">
        <f>AU71+IF(AND(Lists!$AI$19&lt;&gt;"",ISNUMBER(SEARCH($F$4,Lists!$AI$19))),1,0)</f>
        <v/>
      </c>
      <c r="AV72">
        <f>IF(ROW()-56&gt;MAX($AU$57:$AU$95),"",INDEX(Lists!$AI$4:$AI$42,MATCH(ROW()-56,$AU$57:$AU$95,0)))</f>
        <v/>
      </c>
      <c r="AW72">
        <f>AW71+IF(AND(Lists!$AN$19&lt;&gt;"",ISNUMBER(SEARCH($G$4,Lists!$AN$19))),1,0)</f>
        <v/>
      </c>
      <c r="AX72">
        <f>IF(ROW()-56&gt;MAX($AW$57:$AW$95),"",INDEX(Lists!$AN$4:$AN$42,MATCH(ROW()-56,$AW$57:$AW$95,0)))</f>
        <v/>
      </c>
      <c r="AY72">
        <f>AY71+IF(AND(Lists!$AS$19&lt;&gt;"",ISNUMBER(SEARCH($H$4,Lists!$AS$19))),1,0)</f>
        <v/>
      </c>
      <c r="AZ72">
        <f>IF(ROW()-56&gt;MAX($AY$57:$AY$95),"",INDEX(Lists!$AS$4:$AS$42,MATCH(ROW()-56,$AY$57:$AY$95,0)))</f>
        <v/>
      </c>
      <c r="BA72">
        <f>BA71+IF(AND(Lists!$AX$19&lt;&gt;"",ISNUMBER(SEARCH($I$4,Lists!$AX$19))),1,0)</f>
        <v/>
      </c>
      <c r="BB72">
        <f>IF(ROW()-56&gt;MAX($BA$57:$BA$95),"",INDEX(Lists!$AX$4:$AX$42,MATCH(ROW()-56,$BA$57:$BA$95,0)))</f>
        <v/>
      </c>
      <c r="BC72">
        <f>BC71+IF(AND(Lists!$BC$19&lt;&gt;"",ISNUMBER(SEARCH($J$4,Lists!$BC$19))),1,0)</f>
        <v/>
      </c>
      <c r="BD72">
        <f>IF(ROW()-56&gt;MAX($BC$57:$BC$95),"",INDEX(Lists!$BC$4:$BC$42,MATCH(ROW()-56,$BC$57:$BC$95,0)))</f>
        <v/>
      </c>
      <c r="BE72">
        <f>BE71+IF(AND(Lists!$BH$19&lt;&gt;"",ISNUMBER(SEARCH($K$4,Lists!$BH$19))),1,0)</f>
        <v/>
      </c>
      <c r="BF72">
        <f>IF(ROW()-56&gt;MAX($BE$57:$BE$95),"",INDEX(Lists!$BH$4:$BH$42,MATCH(ROW()-56,$BE$57:$BE$95,0)))</f>
        <v/>
      </c>
      <c r="BG72">
        <f>BG71+IF(AND(Lists!$BM$19&lt;&gt;"",ISNUMBER(SEARCH($L$4,Lists!$BM$19))),1,0)</f>
        <v/>
      </c>
      <c r="BH72">
        <f>IF(ROW()-56&gt;MAX($BG$57:$BG$95),"",INDEX(Lists!$BM$4:$BM$42,MATCH(ROW()-56,$BG$57:$BG$95,0)))</f>
        <v/>
      </c>
      <c r="BI72">
        <f>BI71+IF(AND(Lists!$BR$19&lt;&gt;"",ISNUMBER(SEARCH($M$4,Lists!$BR$19))),1,0)</f>
        <v/>
      </c>
      <c r="BJ72">
        <f>IF(ROW()-56&gt;MAX($BI$57:$BI$95),"",INDEX(Lists!$BR$4:$BR$42,MATCH(ROW()-56,$BI$57:$BI$95,0)))</f>
        <v/>
      </c>
      <c r="BK72">
        <f>BK71+IF(AND(Lists!$BW$19&lt;&gt;"",ISNUMBER(SEARCH($N$4,Lists!$BW$19))),1,0)</f>
        <v/>
      </c>
      <c r="BL72">
        <f>IF(ROW()-56&gt;MAX($BK$57:$BK$95),"",INDEX(Lists!$BW$4:$BW$42,MATCH(ROW()-56,$BK$57:$BK$95,0)))</f>
        <v/>
      </c>
      <c r="BM72">
        <f>BM71+IF(AND(Lists!$CB$19&lt;&gt;"",ISNUMBER(SEARCH($O$4,Lists!$CB$19))),1,0)</f>
        <v/>
      </c>
      <c r="BN72">
        <f>IF(ROW()-56&gt;MAX($BM$57:$BM$95),"",INDEX(Lists!$CB$4:$CB$42,MATCH(ROW()-56,$BM$57:$BM$95,0)))</f>
        <v/>
      </c>
      <c r="BO72">
        <f>BO71+IF(AND(Lists!$CG$19&lt;&gt;"",ISNUMBER(SEARCH($P$4,Lists!$CG$19))),1,0)</f>
        <v/>
      </c>
      <c r="BP72">
        <f>IF(ROW()-56&gt;MAX($BO$57:$BO$95),"",INDEX(Lists!$CG$4:$CG$42,MATCH(ROW()-56,$BO$57:$BO$95,0)))</f>
        <v/>
      </c>
      <c r="BQ72">
        <f>BQ71+IF(AND(Lists!$CL$19&lt;&gt;"",ISNUMBER(SEARCH($Q$4,Lists!$CL$19))),1,0)</f>
        <v/>
      </c>
      <c r="BR72">
        <f>IF(ROW()-56&gt;MAX($BQ$57:$BQ$95),"",INDEX(Lists!$CL$4:$CL$42,MATCH(ROW()-56,$BQ$57:$BQ$95,0)))</f>
        <v/>
      </c>
      <c r="BS72">
        <f>BS71+IF(AND(Lists!$CQ$19&lt;&gt;"",ISNUMBER(SEARCH($R$4,Lists!$CQ$19))),1,0)</f>
        <v/>
      </c>
      <c r="BT72">
        <f>IF(ROW()-56&gt;MAX($BS$57:$BS$95),"",INDEX(Lists!$CQ$4:$CQ$42,MATCH(ROW()-56,$BS$57:$BS$95,0)))</f>
        <v/>
      </c>
      <c r="BU72">
        <f>BU71+IF(AND(Lists!$CV$19&lt;&gt;"",ISNUMBER(SEARCH($S$4,Lists!$CV$19))),1,0)</f>
        <v/>
      </c>
      <c r="BV72">
        <f>IF(ROW()-56&gt;MAX($BU$57:$BU$95),"",INDEX(Lists!$CV$4:$CV$42,MATCH(ROW()-56,$BU$57:$BU$95,0)))</f>
        <v/>
      </c>
      <c r="BW72">
        <f>BW71+IF(AND(Lists!$DA$19&lt;&gt;"",ISNUMBER(SEARCH($T$4,Lists!$DA$19))),1,0)</f>
        <v/>
      </c>
      <c r="BX72">
        <f>IF(ROW()-56&gt;MAX($BW$57:$BW$95),"",INDEX(Lists!$DA$4:$DA$42,MATCH(ROW()-56,$BW$57:$BW$95,0)))</f>
        <v/>
      </c>
      <c r="BY72">
        <f>BY71+IF(AND(Lists!$DF$19&lt;&gt;"",ISNUMBER(SEARCH($U$4,Lists!$DF$19))),1,0)</f>
        <v/>
      </c>
      <c r="BZ72">
        <f>IF(ROW()-56&gt;MAX($BY$57:$BY$95),"",INDEX(Lists!$DF$4:$DF$42,MATCH(ROW()-56,$BY$57:$BY$95,0)))</f>
        <v/>
      </c>
      <c r="CA72">
        <f>CA71+IF(AND(Lists!$DK$19&lt;&gt;"",ISNUMBER(SEARCH($V$4,Lists!$DK$19))),1,0)</f>
        <v/>
      </c>
      <c r="CB72">
        <f>IF(ROW()-56&gt;MAX($CA$57:$CA$95),"",INDEX(Lists!$DK$4:$DK$42,MATCH(ROW()-56,$CA$57:$CA$95,0)))</f>
        <v/>
      </c>
      <c r="CC72">
        <f>CC71+IF(AND(Lists!$DP$19&lt;&gt;"",ISNUMBER(SEARCH($W$4,Lists!$DP$19))),1,0)</f>
        <v/>
      </c>
      <c r="CD72">
        <f>IF(ROW()-56&gt;MAX($CC$57:$CC$95),"",INDEX(Lists!$DP$4:$DP$42,MATCH(ROW()-56,$CC$57:$CC$95,0)))</f>
        <v/>
      </c>
      <c r="CE72">
        <f>CE71+IF(AND(Lists!$DU$19&lt;&gt;"",ISNUMBER(SEARCH($X$4,Lists!$DU$19))),1,0)</f>
        <v/>
      </c>
      <c r="CF72">
        <f>IF(ROW()-56&gt;MAX($CE$57:$CE$95),"",INDEX(Lists!$DU$4:$DU$42,MATCH(ROW()-56,$CE$57:$CE$95,0)))</f>
        <v/>
      </c>
      <c r="CG72">
        <f>CG71+IF(AND(Lists!$DZ$19&lt;&gt;"",ISNUMBER(SEARCH($Y$4,Lists!$DZ$19))),1,0)</f>
        <v/>
      </c>
      <c r="CH72">
        <f>IF(ROW()-56&gt;MAX($CG$57:$CG$95),"",INDEX(Lists!$DZ$4:$DZ$42,MATCH(ROW()-56,$CG$57:$CG$95,0)))</f>
        <v/>
      </c>
      <c r="CI72">
        <f>CI71+IF(AND(Lists!$EE$19&lt;&gt;"",ISNUMBER(SEARCH($Z$4,Lists!$EE$19))),1,0)</f>
        <v/>
      </c>
      <c r="CJ72">
        <f>IF(ROW()-56&gt;MAX($CI$57:$CI$95),"",INDEX(Lists!$EE$4:$EE$42,MATCH(ROW()-56,$CI$57:$CI$95,0)))</f>
        <v/>
      </c>
      <c r="CK72">
        <f>CK71+IF(AND(Lists!$EJ$19&lt;&gt;"",ISNUMBER(SEARCH($AA$4,Lists!$EJ$19))),1,0)</f>
        <v/>
      </c>
      <c r="CL72">
        <f>IF(ROW()-56&gt;MAX($CK$57:$CK$95),"",INDEX(Lists!$EJ$4:$EJ$42,MATCH(ROW()-56,$CK$57:$CK$95,0)))</f>
        <v/>
      </c>
      <c r="CM72">
        <f>CM71+IF(AND(Lists!$EO$19&lt;&gt;"",ISNUMBER(SEARCH($AB$4,Lists!$EO$19))),1,0)</f>
        <v/>
      </c>
      <c r="CN72">
        <f>IF(ROW()-56&gt;MAX($CM$57:$CM$95),"",INDEX(Lists!$EO$4:$EO$42,MATCH(ROW()-56,$CM$57:$CM$95,0)))</f>
        <v/>
      </c>
      <c r="CO72">
        <f>CO71+IF(AND(Lists!$ET$19&lt;&gt;"",ISNUMBER(SEARCH($AC$4,Lists!$ET$19))),1,0)</f>
        <v/>
      </c>
      <c r="CP72">
        <f>IF(ROW()-56&gt;MAX($CO$57:$CO$95),"",INDEX(Lists!$ET$4:$ET$42,MATCH(ROW()-56,$CO$57:$CO$95,0)))</f>
        <v/>
      </c>
      <c r="CQ72">
        <f>CQ71+IF(AND(Lists!$EY$19&lt;&gt;"",ISNUMBER(SEARCH($AD$4,Lists!$EY$19))),1,0)</f>
        <v/>
      </c>
      <c r="CR72">
        <f>IF(ROW()-56&gt;MAX($CQ$57:$CQ$95),"",INDEX(Lists!$EY$4:$EY$42,MATCH(ROW()-56,$CQ$57:$CQ$95,0)))</f>
        <v/>
      </c>
      <c r="CS72">
        <f>CS71+IF(AND(Lists!$FD$19&lt;&gt;"",ISNUMBER(SEARCH($AE$4,Lists!$FD$19))),1,0)</f>
        <v/>
      </c>
      <c r="CT72">
        <f>IF(ROW()-56&gt;MAX($CS$57:$CS$95),"",INDEX(Lists!$FD$4:$FD$42,MATCH(ROW()-56,$CS$57:$CS$95,0)))</f>
        <v/>
      </c>
      <c r="CU72">
        <f>CU71+IF(AND(Lists!$FI$19&lt;&gt;"",ISNUMBER(SEARCH($AG$4,Lists!$FI$19))),1,0)</f>
        <v/>
      </c>
      <c r="CV72">
        <f>IF(ROW()-56&gt;MAX($CU$57:$CU$95),"",INDEX(Lists!$FI$4:$FI$42,MATCH(ROW()-56,$CU$57:$CU$95,0)))</f>
        <v/>
      </c>
      <c r="CW72">
        <f>CW71+IF(AND(Lists!$FN$19&lt;&gt;"",ISNUMBER(SEARCH($AH$4,Lists!$FN$19))),1,0)</f>
        <v/>
      </c>
      <c r="CX72">
        <f>IF(ROW()-56&gt;MAX($CW$57:$CW$95),"",INDEX(Lists!$FN$4:$FN$42,MATCH(ROW()-56,$CW$57:$CW$95,0)))</f>
        <v/>
      </c>
      <c r="CY72">
        <f>CY71+IF(AND(Lists!$FS$19&lt;&gt;"",ISNUMBER(SEARCH($AI$4,Lists!$FS$19))),1,0)</f>
        <v/>
      </c>
      <c r="CZ72">
        <f>IF(ROW()-56&gt;MAX($CY$57:$CY$95),"",INDEX(Lists!$FS$4:$FS$42,MATCH(ROW()-56,$CY$57:$CY$95,0)))</f>
        <v/>
      </c>
      <c r="DA72">
        <f>DA71+IF(AND(Lists!$FX$19&lt;&gt;"",ISNUMBER(SEARCH($AF$4,Lists!$FX$19))),1,0)</f>
        <v/>
      </c>
      <c r="DB72">
        <f>IF(ROW()-56&gt;MAX($DA$57:$DA$95),"",INDEX(Lists!$FX$4:$FX$42,MATCH(ROW()-56,$DA$57:$DA$95,0)))</f>
        <v/>
      </c>
      <c r="DG72">
        <f>IF($B$4="",1,IF($B$4="(blank)",--('Final Calculation Sheet'!$F$17=""),IF($B$4="(nonblank)",--('Final Calculation Sheet'!$F$17&lt;&gt;""),--ISNUMBER(SEARCH($B$4,'Final Calculation Sheet'!$F$17)))))</f>
        <v/>
      </c>
      <c r="DH72">
        <f>IF($C$4="",1,IF($C$4="(blank)",--('Final Calculation Sheet'!$G$17=""),IF($C$4="(nonblank)",--('Final Calculation Sheet'!$G$17&lt;&gt;""),--ISNUMBER(SEARCH($C$4,'Final Calculation Sheet'!$G$17)))))</f>
        <v/>
      </c>
      <c r="DI72">
        <f>IF($D$4="",1,IF($D$4="(blank)",--('Final Calculation Sheet'!$B$17=""),IF($D$4="(nonblank)",--('Final Calculation Sheet'!$B$17&lt;&gt;""),--ISNUMBER(SEARCH($D$4,'Final Calculation Sheet'!$B$17)))))</f>
        <v/>
      </c>
      <c r="DJ72">
        <f>IF($E$4="",1,IF($E$4="(blank)",--('Final Calculation Sheet'!$D$17=""),IF($E$4="(nonblank)",--('Final Calculation Sheet'!$D$17&lt;&gt;""),--ISNUMBER(SEARCH($E$4,'Final Calculation Sheet'!$D$17)))))</f>
        <v/>
      </c>
      <c r="DK72">
        <f>IF($F$4="",1,IF($F$4="(blank)",--('Final Calculation Sheet'!$A$17=""),IF($F$4="(nonblank)",--('Final Calculation Sheet'!$A$17&lt;&gt;""),--ISNUMBER(SEARCH($F$4,'Final Calculation Sheet'!$A$17)))))</f>
        <v/>
      </c>
      <c r="DL72">
        <f>IF($G$4="",1,IF($G$4="(blank)",--('Final Calculation Sheet'!$E$17=""),IF($G$4="(nonblank)",--('Final Calculation Sheet'!$E$17&lt;&gt;""),--ISNUMBER(SEARCH($G$4,'Final Calculation Sheet'!$E$17)))))</f>
        <v/>
      </c>
      <c r="DM72">
        <f>IF($H$4="",1,IF($H$4="(blank)",--('Final Calculation Sheet'!$C$17=""),IF($H$4="(nonblank)",--('Final Calculation Sheet'!$C$17&lt;&gt;""),--ISNUMBER(SEARCH($H$4,'Final Calculation Sheet'!$C$17)))))</f>
        <v/>
      </c>
      <c r="DN72">
        <f>IF($I$4="",1,IF($I$4="(blank)",--('Final Calculation Sheet'!$H$17=""),IF($I$4="(nonblank)",--('Final Calculation Sheet'!$H$17&lt;&gt;""),--ISNUMBER(SEARCH($I$4,'Final Calculation Sheet'!$H$17)))))</f>
        <v/>
      </c>
      <c r="DO72">
        <f>IF($J$4="",1,IF($J$4="(blank)",--('Final Calculation Sheet'!$I$17=""),IF($J$4="(nonblank)",--('Final Calculation Sheet'!$I$17&lt;&gt;""),--ISNUMBER(SEARCH($J$4,'Final Calculation Sheet'!$I$17)))))</f>
        <v/>
      </c>
      <c r="DP72">
        <f>IF($K$4="",1,IF($K$4="(blank)",--('Final Calculation Sheet'!$J$17=""),IF($K$4="(nonblank)",--('Final Calculation Sheet'!$J$17&lt;&gt;""),--ISNUMBER(SEARCH($K$4,'Final Calculation Sheet'!$J$17)))))</f>
        <v/>
      </c>
      <c r="DQ72">
        <f>IF($L$4="",1,IF($L$4="(blank)",--('Final Calculation Sheet'!$K$17=""),IF($L$4="(nonblank)",--('Final Calculation Sheet'!$K$17&lt;&gt;""),--ISNUMBER(SEARCH($L$4,'Final Calculation Sheet'!$K$17)))))</f>
        <v/>
      </c>
      <c r="DR72">
        <f>IF($M$4="",1,IF($M$4="(blank)",--('Final Calculation Sheet'!$L$17=""),IF($M$4="(nonblank)",--('Final Calculation Sheet'!$L$17&lt;&gt;""),--ISNUMBER(SEARCH($M$4,'Final Calculation Sheet'!$L$17)))))</f>
        <v/>
      </c>
      <c r="DS72">
        <f>IF($N$4="",1,IF($N$4="(blank)",--('Final Calculation Sheet'!$M$17=""),IF($N$4="(nonblank)",--('Final Calculation Sheet'!$M$17&lt;&gt;""),--ISNUMBER(SEARCH($N$4,'Final Calculation Sheet'!$M$17)))))</f>
        <v/>
      </c>
      <c r="DT72">
        <f>IF($O$4="",1,IF($O$4="(blank)",--('Final Calculation Sheet'!$N$17=""),IF($O$4="(nonblank)",--('Final Calculation Sheet'!$N$17&lt;&gt;""),--ISNUMBER(SEARCH($O$4,'Final Calculation Sheet'!$N$17)))))</f>
        <v/>
      </c>
      <c r="DU72">
        <f>IF($P$4="",1,IF($P$4="(blank)",--('Final Calculation Sheet'!$O$17=""),IF($P$4="(nonblank)",--('Final Calculation Sheet'!$O$17&lt;&gt;""),--ISNUMBER(SEARCH($P$4,'Final Calculation Sheet'!$O$17)))))</f>
        <v/>
      </c>
      <c r="DV72">
        <f>IF($Q$4="",1,IF($Q$4="(blank)",--('Final Calculation Sheet'!$P$17=""),IF($Q$4="(nonblank)",--('Final Calculation Sheet'!$P$17&lt;&gt;""),--ISNUMBER(SEARCH($Q$4,'Final Calculation Sheet'!$P$17)))))</f>
        <v/>
      </c>
      <c r="DW72">
        <f>IF($R$4="",1,IF($R$4="(blank)",--('Final Calculation Sheet'!$Q$17=""),IF($R$4="(nonblank)",--('Final Calculation Sheet'!$Q$17&lt;&gt;""),--ISNUMBER(SEARCH($R$4,'Final Calculation Sheet'!$Q$17)))))</f>
        <v/>
      </c>
      <c r="DX72">
        <f>IF($S$4="",1,IF($S$4="(blank)",--('Final Calculation Sheet'!$R$17=""),IF($S$4="(nonblank)",--('Final Calculation Sheet'!$R$17&lt;&gt;""),--ISNUMBER(SEARCH($S$4,'Final Calculation Sheet'!$R$17)))))</f>
        <v/>
      </c>
      <c r="DY72">
        <f>IF($T$4="",1,IF($T$4="(blank)",--('Final Calculation Sheet'!$S$17=""),IF($T$4="(nonblank)",--('Final Calculation Sheet'!$S$17&lt;&gt;""),--ISNUMBER(SEARCH($T$4,'Final Calculation Sheet'!$S$17)))))</f>
        <v/>
      </c>
      <c r="DZ72">
        <f>IF($U$4="",1,IF($U$4="(blank)",--('Final Calculation Sheet'!$T$17=""),IF($U$4="(nonblank)",--('Final Calculation Sheet'!$T$17&lt;&gt;""),--ISNUMBER(SEARCH($U$4,'Final Calculation Sheet'!$T$17)))))</f>
        <v/>
      </c>
      <c r="EA72">
        <f>IF($V$4="",1,IF($V$4="(blank)",--('Final Calculation Sheet'!$U$17=""),IF($V$4="(nonblank)",--('Final Calculation Sheet'!$U$17&lt;&gt;""),--ISNUMBER(SEARCH($V$4,'Final Calculation Sheet'!$U$17)))))</f>
        <v/>
      </c>
      <c r="EB72">
        <f>IF($W$4="",1,IF($W$4="(blank)",--('Final Calculation Sheet'!$V$17=""),IF($W$4="(nonblank)",--('Final Calculation Sheet'!$V$17&lt;&gt;""),--ISNUMBER(SEARCH($W$4,'Final Calculation Sheet'!$V$17)))))</f>
        <v/>
      </c>
      <c r="EC72">
        <f>IF($X$4="",1,IF($X$4="(blank)",--('Final Calculation Sheet'!$W$17=""),IF($X$4="(nonblank)",--('Final Calculation Sheet'!$W$17&lt;&gt;""),--ISNUMBER(SEARCH($X$4,'Final Calculation Sheet'!$W$17)))))</f>
        <v/>
      </c>
      <c r="ED72">
        <f>IF($Y$4="",1,IF($Y$4="(blank)",--('Final Calculation Sheet'!$X$17=""),IF($Y$4="(nonblank)",--('Final Calculation Sheet'!$X$17&lt;&gt;""),--ISNUMBER(SEARCH($Y$4,'Final Calculation Sheet'!$X$17)))))</f>
        <v/>
      </c>
      <c r="EE72">
        <f>IF($Z$4="",1,IF($Z$4="(blank)",--('Final Calculation Sheet'!$Y$17=""),IF($Z$4="(nonblank)",--('Final Calculation Sheet'!$Y$17&lt;&gt;""),--ISNUMBER(SEARCH($Z$4,'Final Calculation Sheet'!$Y$17)))))</f>
        <v/>
      </c>
      <c r="EF72">
        <f>IF($AA$4="",1,IF($AA$4="(blank)",--('Final Calculation Sheet'!$Z$17=""),IF($AA$4="(nonblank)",--('Final Calculation Sheet'!$Z$17&lt;&gt;""),--ISNUMBER(SEARCH($AA$4,'Final Calculation Sheet'!$Z$17)))))</f>
        <v/>
      </c>
      <c r="EG72">
        <f>IF($AB$4="",1,IF($AB$4="(blank)",--('Final Calculation Sheet'!$AA$17=""),IF($AB$4="(nonblank)",--('Final Calculation Sheet'!$AA$17&lt;&gt;""),--ISNUMBER(SEARCH($AB$4,'Final Calculation Sheet'!$AA$17)))))</f>
        <v/>
      </c>
      <c r="EH72">
        <f>IF($AC$4="",1,IF($AC$4="(blank)",--('Final Calculation Sheet'!$AB$17=""),IF($AC$4="(nonblank)",--('Final Calculation Sheet'!$AB$17&lt;&gt;""),--ISNUMBER(SEARCH($AC$4,'Final Calculation Sheet'!$AB$17)))))</f>
        <v/>
      </c>
      <c r="EI72">
        <f>IF($AD$4="",1,IF($AD$4="(blank)",--('Final Calculation Sheet'!$AC$17=""),IF($AD$4="(nonblank)",--('Final Calculation Sheet'!$AC$17&lt;&gt;""),--ISNUMBER(SEARCH($AD$4,'Final Calculation Sheet'!$AC$17)))))</f>
        <v/>
      </c>
      <c r="EJ72">
        <f>IF($AE$4="",1,IF($AE$4="(blank)",--('Final Calculation Sheet'!$AD$17=""),IF($AE$4="(nonblank)",--('Final Calculation Sheet'!$AD$17&lt;&gt;""),--ISNUMBER(SEARCH($AE$4,'Final Calculation Sheet'!$AD$17)))))</f>
        <v/>
      </c>
      <c r="EK72">
        <f>IF($AF$4="",1,IF($AF$4="(blank)",--(IF('Final Calculation Sheet'!$AD$17&lt;=5,"SETTLED","OUTSTANDING")=""),IF($AF$4="(nonblank)",--(IF('Final Calculation Sheet'!$AD$17&lt;=5,"SETTLED","OUTSTANDING")&lt;&gt;""),--ISNUMBER(SEARCH($AF$4,IF('Final Calculation Sheet'!$AD$17&lt;=5,"SETTLED","OUTSTANDING"))))))</f>
        <v/>
      </c>
      <c r="EL72">
        <f>IF($AG$4="",1,IF($AG$4="(blank)",--('Final Calculation Sheet'!$AF$17=""),IF($AG$4="(nonblank)",--('Final Calculation Sheet'!$AF$17&lt;&gt;""),--ISNUMBER(SEARCH($AG$4,'Final Calculation Sheet'!$AF$17)))))</f>
        <v/>
      </c>
      <c r="EM72">
        <f>IF($AH$4="",1,IF($AH$4="(blank)",--('Final Calculation Sheet'!$AG$17=""),IF($AH$4="(nonblank)",--('Final Calculation Sheet'!$AG$17&lt;&gt;""),--ISNUMBER(SEARCH($AH$4,'Final Calculation Sheet'!$AG$17)))))</f>
        <v/>
      </c>
      <c r="EN72">
        <f>IF($AI$4="",1,IF($AI$4="(blank)",--('Final Calculation Sheet'!$AH$17=""),IF($AI$4="(nonblank)",--('Final Calculation Sheet'!$AH$17&lt;&gt;""),--ISNUMBER(SEARCH($AI$4,'Final Calculation Sheet'!$AH$17)))))</f>
        <v/>
      </c>
    </row>
    <row r="73">
      <c r="AM73">
        <f>AM72+IF(AND(Lists!$O$20&lt;&gt;"",ISNUMBER(SEARCH($B$4,Lists!$O$20))),1,0)</f>
        <v/>
      </c>
      <c r="AN73">
        <f>IF(ROW()-56&gt;MAX($AM$57:$AM$95),"",INDEX(Lists!$O$4:$O$42,MATCH(ROW()-56,$AM$57:$AM$95,0)))</f>
        <v/>
      </c>
      <c r="AO73">
        <f>AO72+IF(AND(Lists!$T$20&lt;&gt;"",ISNUMBER(SEARCH($C$4,Lists!$T$20))),1,0)</f>
        <v/>
      </c>
      <c r="AP73">
        <f>IF(ROW()-56&gt;MAX($AO$57:$AO$95),"",INDEX(Lists!$T$4:$T$42,MATCH(ROW()-56,$AO$57:$AO$95,0)))</f>
        <v/>
      </c>
      <c r="AQ73">
        <f>AQ72+IF(AND(Lists!$Y$20&lt;&gt;"",ISNUMBER(SEARCH($D$4,Lists!$Y$20))),1,0)</f>
        <v/>
      </c>
      <c r="AR73">
        <f>IF(ROW()-56&gt;MAX($AQ$57:$AQ$95),"",INDEX(Lists!$Y$4:$Y$42,MATCH(ROW()-56,$AQ$57:$AQ$95,0)))</f>
        <v/>
      </c>
      <c r="AS73">
        <f>AS72+IF(AND(Lists!$AD$20&lt;&gt;"",ISNUMBER(SEARCH($E$4,Lists!$AD$20))),1,0)</f>
        <v/>
      </c>
      <c r="AT73">
        <f>IF(ROW()-56&gt;MAX($AS$57:$AS$95),"",INDEX(Lists!$AD$4:$AD$42,MATCH(ROW()-56,$AS$57:$AS$95,0)))</f>
        <v/>
      </c>
      <c r="AU73">
        <f>AU72+IF(AND(Lists!$AI$20&lt;&gt;"",ISNUMBER(SEARCH($F$4,Lists!$AI$20))),1,0)</f>
        <v/>
      </c>
      <c r="AV73">
        <f>IF(ROW()-56&gt;MAX($AU$57:$AU$95),"",INDEX(Lists!$AI$4:$AI$42,MATCH(ROW()-56,$AU$57:$AU$95,0)))</f>
        <v/>
      </c>
      <c r="AW73">
        <f>AW72+IF(AND(Lists!$AN$20&lt;&gt;"",ISNUMBER(SEARCH($G$4,Lists!$AN$20))),1,0)</f>
        <v/>
      </c>
      <c r="AX73">
        <f>IF(ROW()-56&gt;MAX($AW$57:$AW$95),"",INDEX(Lists!$AN$4:$AN$42,MATCH(ROW()-56,$AW$57:$AW$95,0)))</f>
        <v/>
      </c>
      <c r="AY73">
        <f>AY72+IF(AND(Lists!$AS$20&lt;&gt;"",ISNUMBER(SEARCH($H$4,Lists!$AS$20))),1,0)</f>
        <v/>
      </c>
      <c r="AZ73">
        <f>IF(ROW()-56&gt;MAX($AY$57:$AY$95),"",INDEX(Lists!$AS$4:$AS$42,MATCH(ROW()-56,$AY$57:$AY$95,0)))</f>
        <v/>
      </c>
      <c r="BA73">
        <f>BA72+IF(AND(Lists!$AX$20&lt;&gt;"",ISNUMBER(SEARCH($I$4,Lists!$AX$20))),1,0)</f>
        <v/>
      </c>
      <c r="BB73">
        <f>IF(ROW()-56&gt;MAX($BA$57:$BA$95),"",INDEX(Lists!$AX$4:$AX$42,MATCH(ROW()-56,$BA$57:$BA$95,0)))</f>
        <v/>
      </c>
      <c r="BC73">
        <f>BC72+IF(AND(Lists!$BC$20&lt;&gt;"",ISNUMBER(SEARCH($J$4,Lists!$BC$20))),1,0)</f>
        <v/>
      </c>
      <c r="BD73">
        <f>IF(ROW()-56&gt;MAX($BC$57:$BC$95),"",INDEX(Lists!$BC$4:$BC$42,MATCH(ROW()-56,$BC$57:$BC$95,0)))</f>
        <v/>
      </c>
      <c r="BE73">
        <f>BE72+IF(AND(Lists!$BH$20&lt;&gt;"",ISNUMBER(SEARCH($K$4,Lists!$BH$20))),1,0)</f>
        <v/>
      </c>
      <c r="BF73">
        <f>IF(ROW()-56&gt;MAX($BE$57:$BE$95),"",INDEX(Lists!$BH$4:$BH$42,MATCH(ROW()-56,$BE$57:$BE$95,0)))</f>
        <v/>
      </c>
      <c r="BG73">
        <f>BG72+IF(AND(Lists!$BM$20&lt;&gt;"",ISNUMBER(SEARCH($L$4,Lists!$BM$20))),1,0)</f>
        <v/>
      </c>
      <c r="BH73">
        <f>IF(ROW()-56&gt;MAX($BG$57:$BG$95),"",INDEX(Lists!$BM$4:$BM$42,MATCH(ROW()-56,$BG$57:$BG$95,0)))</f>
        <v/>
      </c>
      <c r="BI73">
        <f>BI72+IF(AND(Lists!$BR$20&lt;&gt;"",ISNUMBER(SEARCH($M$4,Lists!$BR$20))),1,0)</f>
        <v/>
      </c>
      <c r="BJ73">
        <f>IF(ROW()-56&gt;MAX($BI$57:$BI$95),"",INDEX(Lists!$BR$4:$BR$42,MATCH(ROW()-56,$BI$57:$BI$95,0)))</f>
        <v/>
      </c>
      <c r="BK73">
        <f>BK72+IF(AND(Lists!$BW$20&lt;&gt;"",ISNUMBER(SEARCH($N$4,Lists!$BW$20))),1,0)</f>
        <v/>
      </c>
      <c r="BL73">
        <f>IF(ROW()-56&gt;MAX($BK$57:$BK$95),"",INDEX(Lists!$BW$4:$BW$42,MATCH(ROW()-56,$BK$57:$BK$95,0)))</f>
        <v/>
      </c>
      <c r="BM73">
        <f>BM72+IF(AND(Lists!$CB$20&lt;&gt;"",ISNUMBER(SEARCH($O$4,Lists!$CB$20))),1,0)</f>
        <v/>
      </c>
      <c r="BN73">
        <f>IF(ROW()-56&gt;MAX($BM$57:$BM$95),"",INDEX(Lists!$CB$4:$CB$42,MATCH(ROW()-56,$BM$57:$BM$95,0)))</f>
        <v/>
      </c>
      <c r="BO73">
        <f>BO72+IF(AND(Lists!$CG$20&lt;&gt;"",ISNUMBER(SEARCH($P$4,Lists!$CG$20))),1,0)</f>
        <v/>
      </c>
      <c r="BP73">
        <f>IF(ROW()-56&gt;MAX($BO$57:$BO$95),"",INDEX(Lists!$CG$4:$CG$42,MATCH(ROW()-56,$BO$57:$BO$95,0)))</f>
        <v/>
      </c>
      <c r="BQ73">
        <f>BQ72+IF(AND(Lists!$CL$20&lt;&gt;"",ISNUMBER(SEARCH($Q$4,Lists!$CL$20))),1,0)</f>
        <v/>
      </c>
      <c r="BR73">
        <f>IF(ROW()-56&gt;MAX($BQ$57:$BQ$95),"",INDEX(Lists!$CL$4:$CL$42,MATCH(ROW()-56,$BQ$57:$BQ$95,0)))</f>
        <v/>
      </c>
      <c r="BS73">
        <f>BS72+IF(AND(Lists!$CQ$20&lt;&gt;"",ISNUMBER(SEARCH($R$4,Lists!$CQ$20))),1,0)</f>
        <v/>
      </c>
      <c r="BT73">
        <f>IF(ROW()-56&gt;MAX($BS$57:$BS$95),"",INDEX(Lists!$CQ$4:$CQ$42,MATCH(ROW()-56,$BS$57:$BS$95,0)))</f>
        <v/>
      </c>
      <c r="BU73">
        <f>BU72+IF(AND(Lists!$CV$20&lt;&gt;"",ISNUMBER(SEARCH($S$4,Lists!$CV$20))),1,0)</f>
        <v/>
      </c>
      <c r="BV73">
        <f>IF(ROW()-56&gt;MAX($BU$57:$BU$95),"",INDEX(Lists!$CV$4:$CV$42,MATCH(ROW()-56,$BU$57:$BU$95,0)))</f>
        <v/>
      </c>
      <c r="BW73">
        <f>BW72+IF(AND(Lists!$DA$20&lt;&gt;"",ISNUMBER(SEARCH($T$4,Lists!$DA$20))),1,0)</f>
        <v/>
      </c>
      <c r="BX73">
        <f>IF(ROW()-56&gt;MAX($BW$57:$BW$95),"",INDEX(Lists!$DA$4:$DA$42,MATCH(ROW()-56,$BW$57:$BW$95,0)))</f>
        <v/>
      </c>
      <c r="BY73">
        <f>BY72+IF(AND(Lists!$DF$20&lt;&gt;"",ISNUMBER(SEARCH($U$4,Lists!$DF$20))),1,0)</f>
        <v/>
      </c>
      <c r="BZ73">
        <f>IF(ROW()-56&gt;MAX($BY$57:$BY$95),"",INDEX(Lists!$DF$4:$DF$42,MATCH(ROW()-56,$BY$57:$BY$95,0)))</f>
        <v/>
      </c>
      <c r="CA73">
        <f>CA72+IF(AND(Lists!$DK$20&lt;&gt;"",ISNUMBER(SEARCH($V$4,Lists!$DK$20))),1,0)</f>
        <v/>
      </c>
      <c r="CB73">
        <f>IF(ROW()-56&gt;MAX($CA$57:$CA$95),"",INDEX(Lists!$DK$4:$DK$42,MATCH(ROW()-56,$CA$57:$CA$95,0)))</f>
        <v/>
      </c>
      <c r="CC73">
        <f>CC72+IF(AND(Lists!$DP$20&lt;&gt;"",ISNUMBER(SEARCH($W$4,Lists!$DP$20))),1,0)</f>
        <v/>
      </c>
      <c r="CD73">
        <f>IF(ROW()-56&gt;MAX($CC$57:$CC$95),"",INDEX(Lists!$DP$4:$DP$42,MATCH(ROW()-56,$CC$57:$CC$95,0)))</f>
        <v/>
      </c>
      <c r="CE73">
        <f>CE72+IF(AND(Lists!$DU$20&lt;&gt;"",ISNUMBER(SEARCH($X$4,Lists!$DU$20))),1,0)</f>
        <v/>
      </c>
      <c r="CF73">
        <f>IF(ROW()-56&gt;MAX($CE$57:$CE$95),"",INDEX(Lists!$DU$4:$DU$42,MATCH(ROW()-56,$CE$57:$CE$95,0)))</f>
        <v/>
      </c>
      <c r="CG73">
        <f>CG72+IF(AND(Lists!$DZ$20&lt;&gt;"",ISNUMBER(SEARCH($Y$4,Lists!$DZ$20))),1,0)</f>
        <v/>
      </c>
      <c r="CH73">
        <f>IF(ROW()-56&gt;MAX($CG$57:$CG$95),"",INDEX(Lists!$DZ$4:$DZ$42,MATCH(ROW()-56,$CG$57:$CG$95,0)))</f>
        <v/>
      </c>
      <c r="CI73">
        <f>CI72+IF(AND(Lists!$EE$20&lt;&gt;"",ISNUMBER(SEARCH($Z$4,Lists!$EE$20))),1,0)</f>
        <v/>
      </c>
      <c r="CJ73">
        <f>IF(ROW()-56&gt;MAX($CI$57:$CI$95),"",INDEX(Lists!$EE$4:$EE$42,MATCH(ROW()-56,$CI$57:$CI$95,0)))</f>
        <v/>
      </c>
      <c r="CK73">
        <f>CK72+IF(AND(Lists!$EJ$20&lt;&gt;"",ISNUMBER(SEARCH($AA$4,Lists!$EJ$20))),1,0)</f>
        <v/>
      </c>
      <c r="CL73">
        <f>IF(ROW()-56&gt;MAX($CK$57:$CK$95),"",INDEX(Lists!$EJ$4:$EJ$42,MATCH(ROW()-56,$CK$57:$CK$95,0)))</f>
        <v/>
      </c>
      <c r="CM73">
        <f>CM72+IF(AND(Lists!$EO$20&lt;&gt;"",ISNUMBER(SEARCH($AB$4,Lists!$EO$20))),1,0)</f>
        <v/>
      </c>
      <c r="CN73">
        <f>IF(ROW()-56&gt;MAX($CM$57:$CM$95),"",INDEX(Lists!$EO$4:$EO$42,MATCH(ROW()-56,$CM$57:$CM$95,0)))</f>
        <v/>
      </c>
      <c r="CO73">
        <f>CO72+IF(AND(Lists!$ET$20&lt;&gt;"",ISNUMBER(SEARCH($AC$4,Lists!$ET$20))),1,0)</f>
        <v/>
      </c>
      <c r="CP73">
        <f>IF(ROW()-56&gt;MAX($CO$57:$CO$95),"",INDEX(Lists!$ET$4:$ET$42,MATCH(ROW()-56,$CO$57:$CO$95,0)))</f>
        <v/>
      </c>
      <c r="CQ73">
        <f>CQ72+IF(AND(Lists!$EY$20&lt;&gt;"",ISNUMBER(SEARCH($AD$4,Lists!$EY$20))),1,0)</f>
        <v/>
      </c>
      <c r="CR73">
        <f>IF(ROW()-56&gt;MAX($CQ$57:$CQ$95),"",INDEX(Lists!$EY$4:$EY$42,MATCH(ROW()-56,$CQ$57:$CQ$95,0)))</f>
        <v/>
      </c>
      <c r="CS73">
        <f>CS72+IF(AND(Lists!$FD$20&lt;&gt;"",ISNUMBER(SEARCH($AE$4,Lists!$FD$20))),1,0)</f>
        <v/>
      </c>
      <c r="CT73">
        <f>IF(ROW()-56&gt;MAX($CS$57:$CS$95),"",INDEX(Lists!$FD$4:$FD$42,MATCH(ROW()-56,$CS$57:$CS$95,0)))</f>
        <v/>
      </c>
      <c r="CU73">
        <f>CU72+IF(AND(Lists!$FI$20&lt;&gt;"",ISNUMBER(SEARCH($AG$4,Lists!$FI$20))),1,0)</f>
        <v/>
      </c>
      <c r="CV73">
        <f>IF(ROW()-56&gt;MAX($CU$57:$CU$95),"",INDEX(Lists!$FI$4:$FI$42,MATCH(ROW()-56,$CU$57:$CU$95,0)))</f>
        <v/>
      </c>
      <c r="CW73">
        <f>CW72+IF(AND(Lists!$FN$20&lt;&gt;"",ISNUMBER(SEARCH($AH$4,Lists!$FN$20))),1,0)</f>
        <v/>
      </c>
      <c r="CX73">
        <f>IF(ROW()-56&gt;MAX($CW$57:$CW$95),"",INDEX(Lists!$FN$4:$FN$42,MATCH(ROW()-56,$CW$57:$CW$95,0)))</f>
        <v/>
      </c>
      <c r="CY73">
        <f>CY72+IF(AND(Lists!$FS$20&lt;&gt;"",ISNUMBER(SEARCH($AI$4,Lists!$FS$20))),1,0)</f>
        <v/>
      </c>
      <c r="CZ73">
        <f>IF(ROW()-56&gt;MAX($CY$57:$CY$95),"",INDEX(Lists!$FS$4:$FS$42,MATCH(ROW()-56,$CY$57:$CY$95,0)))</f>
        <v/>
      </c>
      <c r="DA73">
        <f>DA72+IF(AND(Lists!$FX$20&lt;&gt;"",ISNUMBER(SEARCH($AF$4,Lists!$FX$20))),1,0)</f>
        <v/>
      </c>
      <c r="DB73">
        <f>IF(ROW()-56&gt;MAX($DA$57:$DA$95),"",INDEX(Lists!$FX$4:$FX$42,MATCH(ROW()-56,$DA$57:$DA$95,0)))</f>
        <v/>
      </c>
      <c r="DG73">
        <f>IF($B$4="",1,IF($B$4="(blank)",--('Final Calculation Sheet'!$F$18=""),IF($B$4="(nonblank)",--('Final Calculation Sheet'!$F$18&lt;&gt;""),--ISNUMBER(SEARCH($B$4,'Final Calculation Sheet'!$F$18)))))</f>
        <v/>
      </c>
      <c r="DH73">
        <f>IF($C$4="",1,IF($C$4="(blank)",--('Final Calculation Sheet'!$G$18=""),IF($C$4="(nonblank)",--('Final Calculation Sheet'!$G$18&lt;&gt;""),--ISNUMBER(SEARCH($C$4,'Final Calculation Sheet'!$G$18)))))</f>
        <v/>
      </c>
      <c r="DI73">
        <f>IF($D$4="",1,IF($D$4="(blank)",--('Final Calculation Sheet'!$B$18=""),IF($D$4="(nonblank)",--('Final Calculation Sheet'!$B$18&lt;&gt;""),--ISNUMBER(SEARCH($D$4,'Final Calculation Sheet'!$B$18)))))</f>
        <v/>
      </c>
      <c r="DJ73">
        <f>IF($E$4="",1,IF($E$4="(blank)",--('Final Calculation Sheet'!$D$18=""),IF($E$4="(nonblank)",--('Final Calculation Sheet'!$D$18&lt;&gt;""),--ISNUMBER(SEARCH($E$4,'Final Calculation Sheet'!$D$18)))))</f>
        <v/>
      </c>
      <c r="DK73">
        <f>IF($F$4="",1,IF($F$4="(blank)",--('Final Calculation Sheet'!$A$18=""),IF($F$4="(nonblank)",--('Final Calculation Sheet'!$A$18&lt;&gt;""),--ISNUMBER(SEARCH($F$4,'Final Calculation Sheet'!$A$18)))))</f>
        <v/>
      </c>
      <c r="DL73">
        <f>IF($G$4="",1,IF($G$4="(blank)",--('Final Calculation Sheet'!$E$18=""),IF($G$4="(nonblank)",--('Final Calculation Sheet'!$E$18&lt;&gt;""),--ISNUMBER(SEARCH($G$4,'Final Calculation Sheet'!$E$18)))))</f>
        <v/>
      </c>
      <c r="DM73">
        <f>IF($H$4="",1,IF($H$4="(blank)",--('Final Calculation Sheet'!$C$18=""),IF($H$4="(nonblank)",--('Final Calculation Sheet'!$C$18&lt;&gt;""),--ISNUMBER(SEARCH($H$4,'Final Calculation Sheet'!$C$18)))))</f>
        <v/>
      </c>
      <c r="DN73">
        <f>IF($I$4="",1,IF($I$4="(blank)",--('Final Calculation Sheet'!$H$18=""),IF($I$4="(nonblank)",--('Final Calculation Sheet'!$H$18&lt;&gt;""),--ISNUMBER(SEARCH($I$4,'Final Calculation Sheet'!$H$18)))))</f>
        <v/>
      </c>
      <c r="DO73">
        <f>IF($J$4="",1,IF($J$4="(blank)",--('Final Calculation Sheet'!$I$18=""),IF($J$4="(nonblank)",--('Final Calculation Sheet'!$I$18&lt;&gt;""),--ISNUMBER(SEARCH($J$4,'Final Calculation Sheet'!$I$18)))))</f>
        <v/>
      </c>
      <c r="DP73">
        <f>IF($K$4="",1,IF($K$4="(blank)",--('Final Calculation Sheet'!$J$18=""),IF($K$4="(nonblank)",--('Final Calculation Sheet'!$J$18&lt;&gt;""),--ISNUMBER(SEARCH($K$4,'Final Calculation Sheet'!$J$18)))))</f>
        <v/>
      </c>
      <c r="DQ73">
        <f>IF($L$4="",1,IF($L$4="(blank)",--('Final Calculation Sheet'!$K$18=""),IF($L$4="(nonblank)",--('Final Calculation Sheet'!$K$18&lt;&gt;""),--ISNUMBER(SEARCH($L$4,'Final Calculation Sheet'!$K$18)))))</f>
        <v/>
      </c>
      <c r="DR73">
        <f>IF($M$4="",1,IF($M$4="(blank)",--('Final Calculation Sheet'!$L$18=""),IF($M$4="(nonblank)",--('Final Calculation Sheet'!$L$18&lt;&gt;""),--ISNUMBER(SEARCH($M$4,'Final Calculation Sheet'!$L$18)))))</f>
        <v/>
      </c>
      <c r="DS73">
        <f>IF($N$4="",1,IF($N$4="(blank)",--('Final Calculation Sheet'!$M$18=""),IF($N$4="(nonblank)",--('Final Calculation Sheet'!$M$18&lt;&gt;""),--ISNUMBER(SEARCH($N$4,'Final Calculation Sheet'!$M$18)))))</f>
        <v/>
      </c>
      <c r="DT73">
        <f>IF($O$4="",1,IF($O$4="(blank)",--('Final Calculation Sheet'!$N$18=""),IF($O$4="(nonblank)",--('Final Calculation Sheet'!$N$18&lt;&gt;""),--ISNUMBER(SEARCH($O$4,'Final Calculation Sheet'!$N$18)))))</f>
        <v/>
      </c>
      <c r="DU73">
        <f>IF($P$4="",1,IF($P$4="(blank)",--('Final Calculation Sheet'!$O$18=""),IF($P$4="(nonblank)",--('Final Calculation Sheet'!$O$18&lt;&gt;""),--ISNUMBER(SEARCH($P$4,'Final Calculation Sheet'!$O$18)))))</f>
        <v/>
      </c>
      <c r="DV73">
        <f>IF($Q$4="",1,IF($Q$4="(blank)",--('Final Calculation Sheet'!$P$18=""),IF($Q$4="(nonblank)",--('Final Calculation Sheet'!$P$18&lt;&gt;""),--ISNUMBER(SEARCH($Q$4,'Final Calculation Sheet'!$P$18)))))</f>
        <v/>
      </c>
      <c r="DW73">
        <f>IF($R$4="",1,IF($R$4="(blank)",--('Final Calculation Sheet'!$Q$18=""),IF($R$4="(nonblank)",--('Final Calculation Sheet'!$Q$18&lt;&gt;""),--ISNUMBER(SEARCH($R$4,'Final Calculation Sheet'!$Q$18)))))</f>
        <v/>
      </c>
      <c r="DX73">
        <f>IF($S$4="",1,IF($S$4="(blank)",--('Final Calculation Sheet'!$R$18=""),IF($S$4="(nonblank)",--('Final Calculation Sheet'!$R$18&lt;&gt;""),--ISNUMBER(SEARCH($S$4,'Final Calculation Sheet'!$R$18)))))</f>
        <v/>
      </c>
      <c r="DY73">
        <f>IF($T$4="",1,IF($T$4="(blank)",--('Final Calculation Sheet'!$S$18=""),IF($T$4="(nonblank)",--('Final Calculation Sheet'!$S$18&lt;&gt;""),--ISNUMBER(SEARCH($T$4,'Final Calculation Sheet'!$S$18)))))</f>
        <v/>
      </c>
      <c r="DZ73">
        <f>IF($U$4="",1,IF($U$4="(blank)",--('Final Calculation Sheet'!$T$18=""),IF($U$4="(nonblank)",--('Final Calculation Sheet'!$T$18&lt;&gt;""),--ISNUMBER(SEARCH($U$4,'Final Calculation Sheet'!$T$18)))))</f>
        <v/>
      </c>
      <c r="EA73">
        <f>IF($V$4="",1,IF($V$4="(blank)",--('Final Calculation Sheet'!$U$18=""),IF($V$4="(nonblank)",--('Final Calculation Sheet'!$U$18&lt;&gt;""),--ISNUMBER(SEARCH($V$4,'Final Calculation Sheet'!$U$18)))))</f>
        <v/>
      </c>
      <c r="EB73">
        <f>IF($W$4="",1,IF($W$4="(blank)",--('Final Calculation Sheet'!$V$18=""),IF($W$4="(nonblank)",--('Final Calculation Sheet'!$V$18&lt;&gt;""),--ISNUMBER(SEARCH($W$4,'Final Calculation Sheet'!$V$18)))))</f>
        <v/>
      </c>
      <c r="EC73">
        <f>IF($X$4="",1,IF($X$4="(blank)",--('Final Calculation Sheet'!$W$18=""),IF($X$4="(nonblank)",--('Final Calculation Sheet'!$W$18&lt;&gt;""),--ISNUMBER(SEARCH($X$4,'Final Calculation Sheet'!$W$18)))))</f>
        <v/>
      </c>
      <c r="ED73">
        <f>IF($Y$4="",1,IF($Y$4="(blank)",--('Final Calculation Sheet'!$X$18=""),IF($Y$4="(nonblank)",--('Final Calculation Sheet'!$X$18&lt;&gt;""),--ISNUMBER(SEARCH($Y$4,'Final Calculation Sheet'!$X$18)))))</f>
        <v/>
      </c>
      <c r="EE73">
        <f>IF($Z$4="",1,IF($Z$4="(blank)",--('Final Calculation Sheet'!$Y$18=""),IF($Z$4="(nonblank)",--('Final Calculation Sheet'!$Y$18&lt;&gt;""),--ISNUMBER(SEARCH($Z$4,'Final Calculation Sheet'!$Y$18)))))</f>
        <v/>
      </c>
      <c r="EF73">
        <f>IF($AA$4="",1,IF($AA$4="(blank)",--('Final Calculation Sheet'!$Z$18=""),IF($AA$4="(nonblank)",--('Final Calculation Sheet'!$Z$18&lt;&gt;""),--ISNUMBER(SEARCH($AA$4,'Final Calculation Sheet'!$Z$18)))))</f>
        <v/>
      </c>
      <c r="EG73">
        <f>IF($AB$4="",1,IF($AB$4="(blank)",--('Final Calculation Sheet'!$AA$18=""),IF($AB$4="(nonblank)",--('Final Calculation Sheet'!$AA$18&lt;&gt;""),--ISNUMBER(SEARCH($AB$4,'Final Calculation Sheet'!$AA$18)))))</f>
        <v/>
      </c>
      <c r="EH73">
        <f>IF($AC$4="",1,IF($AC$4="(blank)",--('Final Calculation Sheet'!$AB$18=""),IF($AC$4="(nonblank)",--('Final Calculation Sheet'!$AB$18&lt;&gt;""),--ISNUMBER(SEARCH($AC$4,'Final Calculation Sheet'!$AB$18)))))</f>
        <v/>
      </c>
      <c r="EI73">
        <f>IF($AD$4="",1,IF($AD$4="(blank)",--('Final Calculation Sheet'!$AC$18=""),IF($AD$4="(nonblank)",--('Final Calculation Sheet'!$AC$18&lt;&gt;""),--ISNUMBER(SEARCH($AD$4,'Final Calculation Sheet'!$AC$18)))))</f>
        <v/>
      </c>
      <c r="EJ73">
        <f>IF($AE$4="",1,IF($AE$4="(blank)",--('Final Calculation Sheet'!$AD$18=""),IF($AE$4="(nonblank)",--('Final Calculation Sheet'!$AD$18&lt;&gt;""),--ISNUMBER(SEARCH($AE$4,'Final Calculation Sheet'!$AD$18)))))</f>
        <v/>
      </c>
      <c r="EK73">
        <f>IF($AF$4="",1,IF($AF$4="(blank)",--(IF('Final Calculation Sheet'!$AD$18&lt;=5,"SETTLED","OUTSTANDING")=""),IF($AF$4="(nonblank)",--(IF('Final Calculation Sheet'!$AD$18&lt;=5,"SETTLED","OUTSTANDING")&lt;&gt;""),--ISNUMBER(SEARCH($AF$4,IF('Final Calculation Sheet'!$AD$18&lt;=5,"SETTLED","OUTSTANDING"))))))</f>
        <v/>
      </c>
      <c r="EL73">
        <f>IF($AG$4="",1,IF($AG$4="(blank)",--('Final Calculation Sheet'!$AF$18=""),IF($AG$4="(nonblank)",--('Final Calculation Sheet'!$AF$18&lt;&gt;""),--ISNUMBER(SEARCH($AG$4,'Final Calculation Sheet'!$AF$18)))))</f>
        <v/>
      </c>
      <c r="EM73">
        <f>IF($AH$4="",1,IF($AH$4="(blank)",--('Final Calculation Sheet'!$AG$18=""),IF($AH$4="(nonblank)",--('Final Calculation Sheet'!$AG$18&lt;&gt;""),--ISNUMBER(SEARCH($AH$4,'Final Calculation Sheet'!$AG$18)))))</f>
        <v/>
      </c>
      <c r="EN73">
        <f>IF($AI$4="",1,IF($AI$4="(blank)",--('Final Calculation Sheet'!$AH$18=""),IF($AI$4="(nonblank)",--('Final Calculation Sheet'!$AH$18&lt;&gt;""),--ISNUMBER(SEARCH($AI$4,'Final Calculation Sheet'!$AH$18)))))</f>
        <v/>
      </c>
    </row>
    <row r="74">
      <c r="AM74">
        <f>AM73+IF(AND(Lists!$O$21&lt;&gt;"",ISNUMBER(SEARCH($B$4,Lists!$O$21))),1,0)</f>
        <v/>
      </c>
      <c r="AN74">
        <f>IF(ROW()-56&gt;MAX($AM$57:$AM$95),"",INDEX(Lists!$O$4:$O$42,MATCH(ROW()-56,$AM$57:$AM$95,0)))</f>
        <v/>
      </c>
      <c r="AO74">
        <f>AO73+IF(AND(Lists!$T$21&lt;&gt;"",ISNUMBER(SEARCH($C$4,Lists!$T$21))),1,0)</f>
        <v/>
      </c>
      <c r="AP74">
        <f>IF(ROW()-56&gt;MAX($AO$57:$AO$95),"",INDEX(Lists!$T$4:$T$42,MATCH(ROW()-56,$AO$57:$AO$95,0)))</f>
        <v/>
      </c>
      <c r="AQ74">
        <f>AQ73+IF(AND(Lists!$Y$21&lt;&gt;"",ISNUMBER(SEARCH($D$4,Lists!$Y$21))),1,0)</f>
        <v/>
      </c>
      <c r="AR74">
        <f>IF(ROW()-56&gt;MAX($AQ$57:$AQ$95),"",INDEX(Lists!$Y$4:$Y$42,MATCH(ROW()-56,$AQ$57:$AQ$95,0)))</f>
        <v/>
      </c>
      <c r="AS74">
        <f>AS73+IF(AND(Lists!$AD$21&lt;&gt;"",ISNUMBER(SEARCH($E$4,Lists!$AD$21))),1,0)</f>
        <v/>
      </c>
      <c r="AT74">
        <f>IF(ROW()-56&gt;MAX($AS$57:$AS$95),"",INDEX(Lists!$AD$4:$AD$42,MATCH(ROW()-56,$AS$57:$AS$95,0)))</f>
        <v/>
      </c>
      <c r="AU74">
        <f>AU73+IF(AND(Lists!$AI$21&lt;&gt;"",ISNUMBER(SEARCH($F$4,Lists!$AI$21))),1,0)</f>
        <v/>
      </c>
      <c r="AV74">
        <f>IF(ROW()-56&gt;MAX($AU$57:$AU$95),"",INDEX(Lists!$AI$4:$AI$42,MATCH(ROW()-56,$AU$57:$AU$95,0)))</f>
        <v/>
      </c>
      <c r="AW74">
        <f>AW73+IF(AND(Lists!$AN$21&lt;&gt;"",ISNUMBER(SEARCH($G$4,Lists!$AN$21))),1,0)</f>
        <v/>
      </c>
      <c r="AX74">
        <f>IF(ROW()-56&gt;MAX($AW$57:$AW$95),"",INDEX(Lists!$AN$4:$AN$42,MATCH(ROW()-56,$AW$57:$AW$95,0)))</f>
        <v/>
      </c>
      <c r="AY74">
        <f>AY73+IF(AND(Lists!$AS$21&lt;&gt;"",ISNUMBER(SEARCH($H$4,Lists!$AS$21))),1,0)</f>
        <v/>
      </c>
      <c r="AZ74">
        <f>IF(ROW()-56&gt;MAX($AY$57:$AY$95),"",INDEX(Lists!$AS$4:$AS$42,MATCH(ROW()-56,$AY$57:$AY$95,0)))</f>
        <v/>
      </c>
      <c r="BA74">
        <f>BA73+IF(AND(Lists!$AX$21&lt;&gt;"",ISNUMBER(SEARCH($I$4,Lists!$AX$21))),1,0)</f>
        <v/>
      </c>
      <c r="BB74">
        <f>IF(ROW()-56&gt;MAX($BA$57:$BA$95),"",INDEX(Lists!$AX$4:$AX$42,MATCH(ROW()-56,$BA$57:$BA$95,0)))</f>
        <v/>
      </c>
      <c r="BC74">
        <f>BC73+IF(AND(Lists!$BC$21&lt;&gt;"",ISNUMBER(SEARCH($J$4,Lists!$BC$21))),1,0)</f>
        <v/>
      </c>
      <c r="BD74">
        <f>IF(ROW()-56&gt;MAX($BC$57:$BC$95),"",INDEX(Lists!$BC$4:$BC$42,MATCH(ROW()-56,$BC$57:$BC$95,0)))</f>
        <v/>
      </c>
      <c r="BE74">
        <f>BE73+IF(AND(Lists!$BH$21&lt;&gt;"",ISNUMBER(SEARCH($K$4,Lists!$BH$21))),1,0)</f>
        <v/>
      </c>
      <c r="BF74">
        <f>IF(ROW()-56&gt;MAX($BE$57:$BE$95),"",INDEX(Lists!$BH$4:$BH$42,MATCH(ROW()-56,$BE$57:$BE$95,0)))</f>
        <v/>
      </c>
      <c r="BG74">
        <f>BG73+IF(AND(Lists!$BM$21&lt;&gt;"",ISNUMBER(SEARCH($L$4,Lists!$BM$21))),1,0)</f>
        <v/>
      </c>
      <c r="BH74">
        <f>IF(ROW()-56&gt;MAX($BG$57:$BG$95),"",INDEX(Lists!$BM$4:$BM$42,MATCH(ROW()-56,$BG$57:$BG$95,0)))</f>
        <v/>
      </c>
      <c r="BI74">
        <f>BI73+IF(AND(Lists!$BR$21&lt;&gt;"",ISNUMBER(SEARCH($M$4,Lists!$BR$21))),1,0)</f>
        <v/>
      </c>
      <c r="BJ74">
        <f>IF(ROW()-56&gt;MAX($BI$57:$BI$95),"",INDEX(Lists!$BR$4:$BR$42,MATCH(ROW()-56,$BI$57:$BI$95,0)))</f>
        <v/>
      </c>
      <c r="BK74">
        <f>BK73+IF(AND(Lists!$BW$21&lt;&gt;"",ISNUMBER(SEARCH($N$4,Lists!$BW$21))),1,0)</f>
        <v/>
      </c>
      <c r="BL74">
        <f>IF(ROW()-56&gt;MAX($BK$57:$BK$95),"",INDEX(Lists!$BW$4:$BW$42,MATCH(ROW()-56,$BK$57:$BK$95,0)))</f>
        <v/>
      </c>
      <c r="BM74">
        <f>BM73+IF(AND(Lists!$CB$21&lt;&gt;"",ISNUMBER(SEARCH($O$4,Lists!$CB$21))),1,0)</f>
        <v/>
      </c>
      <c r="BN74">
        <f>IF(ROW()-56&gt;MAX($BM$57:$BM$95),"",INDEX(Lists!$CB$4:$CB$42,MATCH(ROW()-56,$BM$57:$BM$95,0)))</f>
        <v/>
      </c>
      <c r="BO74">
        <f>BO73+IF(AND(Lists!$CG$21&lt;&gt;"",ISNUMBER(SEARCH($P$4,Lists!$CG$21))),1,0)</f>
        <v/>
      </c>
      <c r="BP74">
        <f>IF(ROW()-56&gt;MAX($BO$57:$BO$95),"",INDEX(Lists!$CG$4:$CG$42,MATCH(ROW()-56,$BO$57:$BO$95,0)))</f>
        <v/>
      </c>
      <c r="BQ74">
        <f>BQ73+IF(AND(Lists!$CL$21&lt;&gt;"",ISNUMBER(SEARCH($Q$4,Lists!$CL$21))),1,0)</f>
        <v/>
      </c>
      <c r="BR74">
        <f>IF(ROW()-56&gt;MAX($BQ$57:$BQ$95),"",INDEX(Lists!$CL$4:$CL$42,MATCH(ROW()-56,$BQ$57:$BQ$95,0)))</f>
        <v/>
      </c>
      <c r="BS74">
        <f>BS73+IF(AND(Lists!$CQ$21&lt;&gt;"",ISNUMBER(SEARCH($R$4,Lists!$CQ$21))),1,0)</f>
        <v/>
      </c>
      <c r="BT74">
        <f>IF(ROW()-56&gt;MAX($BS$57:$BS$95),"",INDEX(Lists!$CQ$4:$CQ$42,MATCH(ROW()-56,$BS$57:$BS$95,0)))</f>
        <v/>
      </c>
      <c r="BU74">
        <f>BU73+IF(AND(Lists!$CV$21&lt;&gt;"",ISNUMBER(SEARCH($S$4,Lists!$CV$21))),1,0)</f>
        <v/>
      </c>
      <c r="BV74">
        <f>IF(ROW()-56&gt;MAX($BU$57:$BU$95),"",INDEX(Lists!$CV$4:$CV$42,MATCH(ROW()-56,$BU$57:$BU$95,0)))</f>
        <v/>
      </c>
      <c r="BW74">
        <f>BW73+IF(AND(Lists!$DA$21&lt;&gt;"",ISNUMBER(SEARCH($T$4,Lists!$DA$21))),1,0)</f>
        <v/>
      </c>
      <c r="BX74">
        <f>IF(ROW()-56&gt;MAX($BW$57:$BW$95),"",INDEX(Lists!$DA$4:$DA$42,MATCH(ROW()-56,$BW$57:$BW$95,0)))</f>
        <v/>
      </c>
      <c r="BY74">
        <f>BY73+IF(AND(Lists!$DF$21&lt;&gt;"",ISNUMBER(SEARCH($U$4,Lists!$DF$21))),1,0)</f>
        <v/>
      </c>
      <c r="BZ74">
        <f>IF(ROW()-56&gt;MAX($BY$57:$BY$95),"",INDEX(Lists!$DF$4:$DF$42,MATCH(ROW()-56,$BY$57:$BY$95,0)))</f>
        <v/>
      </c>
      <c r="CA74">
        <f>CA73+IF(AND(Lists!$DK$21&lt;&gt;"",ISNUMBER(SEARCH($V$4,Lists!$DK$21))),1,0)</f>
        <v/>
      </c>
      <c r="CB74">
        <f>IF(ROW()-56&gt;MAX($CA$57:$CA$95),"",INDEX(Lists!$DK$4:$DK$42,MATCH(ROW()-56,$CA$57:$CA$95,0)))</f>
        <v/>
      </c>
      <c r="CC74">
        <f>CC73+IF(AND(Lists!$DP$21&lt;&gt;"",ISNUMBER(SEARCH($W$4,Lists!$DP$21))),1,0)</f>
        <v/>
      </c>
      <c r="CD74">
        <f>IF(ROW()-56&gt;MAX($CC$57:$CC$95),"",INDEX(Lists!$DP$4:$DP$42,MATCH(ROW()-56,$CC$57:$CC$95,0)))</f>
        <v/>
      </c>
      <c r="CE74">
        <f>CE73+IF(AND(Lists!$DU$21&lt;&gt;"",ISNUMBER(SEARCH($X$4,Lists!$DU$21))),1,0)</f>
        <v/>
      </c>
      <c r="CF74">
        <f>IF(ROW()-56&gt;MAX($CE$57:$CE$95),"",INDEX(Lists!$DU$4:$DU$42,MATCH(ROW()-56,$CE$57:$CE$95,0)))</f>
        <v/>
      </c>
      <c r="CG74">
        <f>CG73+IF(AND(Lists!$DZ$21&lt;&gt;"",ISNUMBER(SEARCH($Y$4,Lists!$DZ$21))),1,0)</f>
        <v/>
      </c>
      <c r="CH74">
        <f>IF(ROW()-56&gt;MAX($CG$57:$CG$95),"",INDEX(Lists!$DZ$4:$DZ$42,MATCH(ROW()-56,$CG$57:$CG$95,0)))</f>
        <v/>
      </c>
      <c r="CI74">
        <f>CI73+IF(AND(Lists!$EE$21&lt;&gt;"",ISNUMBER(SEARCH($Z$4,Lists!$EE$21))),1,0)</f>
        <v/>
      </c>
      <c r="CJ74">
        <f>IF(ROW()-56&gt;MAX($CI$57:$CI$95),"",INDEX(Lists!$EE$4:$EE$42,MATCH(ROW()-56,$CI$57:$CI$95,0)))</f>
        <v/>
      </c>
      <c r="CK74">
        <f>CK73+IF(AND(Lists!$EJ$21&lt;&gt;"",ISNUMBER(SEARCH($AA$4,Lists!$EJ$21))),1,0)</f>
        <v/>
      </c>
      <c r="CL74">
        <f>IF(ROW()-56&gt;MAX($CK$57:$CK$95),"",INDEX(Lists!$EJ$4:$EJ$42,MATCH(ROW()-56,$CK$57:$CK$95,0)))</f>
        <v/>
      </c>
      <c r="CM74">
        <f>CM73+IF(AND(Lists!$EO$21&lt;&gt;"",ISNUMBER(SEARCH($AB$4,Lists!$EO$21))),1,0)</f>
        <v/>
      </c>
      <c r="CN74">
        <f>IF(ROW()-56&gt;MAX($CM$57:$CM$95),"",INDEX(Lists!$EO$4:$EO$42,MATCH(ROW()-56,$CM$57:$CM$95,0)))</f>
        <v/>
      </c>
      <c r="CO74">
        <f>CO73+IF(AND(Lists!$ET$21&lt;&gt;"",ISNUMBER(SEARCH($AC$4,Lists!$ET$21))),1,0)</f>
        <v/>
      </c>
      <c r="CP74">
        <f>IF(ROW()-56&gt;MAX($CO$57:$CO$95),"",INDEX(Lists!$ET$4:$ET$42,MATCH(ROW()-56,$CO$57:$CO$95,0)))</f>
        <v/>
      </c>
      <c r="CQ74">
        <f>CQ73+IF(AND(Lists!$EY$21&lt;&gt;"",ISNUMBER(SEARCH($AD$4,Lists!$EY$21))),1,0)</f>
        <v/>
      </c>
      <c r="CR74">
        <f>IF(ROW()-56&gt;MAX($CQ$57:$CQ$95),"",INDEX(Lists!$EY$4:$EY$42,MATCH(ROW()-56,$CQ$57:$CQ$95,0)))</f>
        <v/>
      </c>
      <c r="CS74">
        <f>CS73+IF(AND(Lists!$FD$21&lt;&gt;"",ISNUMBER(SEARCH($AE$4,Lists!$FD$21))),1,0)</f>
        <v/>
      </c>
      <c r="CT74">
        <f>IF(ROW()-56&gt;MAX($CS$57:$CS$95),"",INDEX(Lists!$FD$4:$FD$42,MATCH(ROW()-56,$CS$57:$CS$95,0)))</f>
        <v/>
      </c>
      <c r="CU74">
        <f>CU73+IF(AND(Lists!$FI$21&lt;&gt;"",ISNUMBER(SEARCH($AG$4,Lists!$FI$21))),1,0)</f>
        <v/>
      </c>
      <c r="CV74">
        <f>IF(ROW()-56&gt;MAX($CU$57:$CU$95),"",INDEX(Lists!$FI$4:$FI$42,MATCH(ROW()-56,$CU$57:$CU$95,0)))</f>
        <v/>
      </c>
      <c r="CW74">
        <f>CW73+IF(AND(Lists!$FN$21&lt;&gt;"",ISNUMBER(SEARCH($AH$4,Lists!$FN$21))),1,0)</f>
        <v/>
      </c>
      <c r="CX74">
        <f>IF(ROW()-56&gt;MAX($CW$57:$CW$95),"",INDEX(Lists!$FN$4:$FN$42,MATCH(ROW()-56,$CW$57:$CW$95,0)))</f>
        <v/>
      </c>
      <c r="CY74">
        <f>CY73+IF(AND(Lists!$FS$21&lt;&gt;"",ISNUMBER(SEARCH($AI$4,Lists!$FS$21))),1,0)</f>
        <v/>
      </c>
      <c r="CZ74">
        <f>IF(ROW()-56&gt;MAX($CY$57:$CY$95),"",INDEX(Lists!$FS$4:$FS$42,MATCH(ROW()-56,$CY$57:$CY$95,0)))</f>
        <v/>
      </c>
      <c r="DA74">
        <f>DA73+IF(AND(Lists!$FX$21&lt;&gt;"",ISNUMBER(SEARCH($AF$4,Lists!$FX$21))),1,0)</f>
        <v/>
      </c>
      <c r="DB74">
        <f>IF(ROW()-56&gt;MAX($DA$57:$DA$95),"",INDEX(Lists!$FX$4:$FX$42,MATCH(ROW()-56,$DA$57:$DA$95,0)))</f>
        <v/>
      </c>
      <c r="DG74">
        <f>IF($B$4="",1,IF($B$4="(blank)",--('Final Calculation Sheet'!$F$19=""),IF($B$4="(nonblank)",--('Final Calculation Sheet'!$F$19&lt;&gt;""),--ISNUMBER(SEARCH($B$4,'Final Calculation Sheet'!$F$19)))))</f>
        <v/>
      </c>
      <c r="DH74">
        <f>IF($C$4="",1,IF($C$4="(blank)",--('Final Calculation Sheet'!$G$19=""),IF($C$4="(nonblank)",--('Final Calculation Sheet'!$G$19&lt;&gt;""),--ISNUMBER(SEARCH($C$4,'Final Calculation Sheet'!$G$19)))))</f>
        <v/>
      </c>
      <c r="DI74">
        <f>IF($D$4="",1,IF($D$4="(blank)",--('Final Calculation Sheet'!$B$19=""),IF($D$4="(nonblank)",--('Final Calculation Sheet'!$B$19&lt;&gt;""),--ISNUMBER(SEARCH($D$4,'Final Calculation Sheet'!$B$19)))))</f>
        <v/>
      </c>
      <c r="DJ74">
        <f>IF($E$4="",1,IF($E$4="(blank)",--('Final Calculation Sheet'!$D$19=""),IF($E$4="(nonblank)",--('Final Calculation Sheet'!$D$19&lt;&gt;""),--ISNUMBER(SEARCH($E$4,'Final Calculation Sheet'!$D$19)))))</f>
        <v/>
      </c>
      <c r="DK74">
        <f>IF($F$4="",1,IF($F$4="(blank)",--('Final Calculation Sheet'!$A$19=""),IF($F$4="(nonblank)",--('Final Calculation Sheet'!$A$19&lt;&gt;""),--ISNUMBER(SEARCH($F$4,'Final Calculation Sheet'!$A$19)))))</f>
        <v/>
      </c>
      <c r="DL74">
        <f>IF($G$4="",1,IF($G$4="(blank)",--('Final Calculation Sheet'!$E$19=""),IF($G$4="(nonblank)",--('Final Calculation Sheet'!$E$19&lt;&gt;""),--ISNUMBER(SEARCH($G$4,'Final Calculation Sheet'!$E$19)))))</f>
        <v/>
      </c>
      <c r="DM74">
        <f>IF($H$4="",1,IF($H$4="(blank)",--('Final Calculation Sheet'!$C$19=""),IF($H$4="(nonblank)",--('Final Calculation Sheet'!$C$19&lt;&gt;""),--ISNUMBER(SEARCH($H$4,'Final Calculation Sheet'!$C$19)))))</f>
        <v/>
      </c>
      <c r="DN74">
        <f>IF($I$4="",1,IF($I$4="(blank)",--('Final Calculation Sheet'!$H$19=""),IF($I$4="(nonblank)",--('Final Calculation Sheet'!$H$19&lt;&gt;""),--ISNUMBER(SEARCH($I$4,'Final Calculation Sheet'!$H$19)))))</f>
        <v/>
      </c>
      <c r="DO74">
        <f>IF($J$4="",1,IF($J$4="(blank)",--('Final Calculation Sheet'!$I$19=""),IF($J$4="(nonblank)",--('Final Calculation Sheet'!$I$19&lt;&gt;""),--ISNUMBER(SEARCH($J$4,'Final Calculation Sheet'!$I$19)))))</f>
        <v/>
      </c>
      <c r="DP74">
        <f>IF($K$4="",1,IF($K$4="(blank)",--('Final Calculation Sheet'!$J$19=""),IF($K$4="(nonblank)",--('Final Calculation Sheet'!$J$19&lt;&gt;""),--ISNUMBER(SEARCH($K$4,'Final Calculation Sheet'!$J$19)))))</f>
        <v/>
      </c>
      <c r="DQ74">
        <f>IF($L$4="",1,IF($L$4="(blank)",--('Final Calculation Sheet'!$K$19=""),IF($L$4="(nonblank)",--('Final Calculation Sheet'!$K$19&lt;&gt;""),--ISNUMBER(SEARCH($L$4,'Final Calculation Sheet'!$K$19)))))</f>
        <v/>
      </c>
      <c r="DR74">
        <f>IF($M$4="",1,IF($M$4="(blank)",--('Final Calculation Sheet'!$L$19=""),IF($M$4="(nonblank)",--('Final Calculation Sheet'!$L$19&lt;&gt;""),--ISNUMBER(SEARCH($M$4,'Final Calculation Sheet'!$L$19)))))</f>
        <v/>
      </c>
      <c r="DS74">
        <f>IF($N$4="",1,IF($N$4="(blank)",--('Final Calculation Sheet'!$M$19=""),IF($N$4="(nonblank)",--('Final Calculation Sheet'!$M$19&lt;&gt;""),--ISNUMBER(SEARCH($N$4,'Final Calculation Sheet'!$M$19)))))</f>
        <v/>
      </c>
      <c r="DT74">
        <f>IF($O$4="",1,IF($O$4="(blank)",--('Final Calculation Sheet'!$N$19=""),IF($O$4="(nonblank)",--('Final Calculation Sheet'!$N$19&lt;&gt;""),--ISNUMBER(SEARCH($O$4,'Final Calculation Sheet'!$N$19)))))</f>
        <v/>
      </c>
      <c r="DU74">
        <f>IF($P$4="",1,IF($P$4="(blank)",--('Final Calculation Sheet'!$O$19=""),IF($P$4="(nonblank)",--('Final Calculation Sheet'!$O$19&lt;&gt;""),--ISNUMBER(SEARCH($P$4,'Final Calculation Sheet'!$O$19)))))</f>
        <v/>
      </c>
      <c r="DV74">
        <f>IF($Q$4="",1,IF($Q$4="(blank)",--('Final Calculation Sheet'!$P$19=""),IF($Q$4="(nonblank)",--('Final Calculation Sheet'!$P$19&lt;&gt;""),--ISNUMBER(SEARCH($Q$4,'Final Calculation Sheet'!$P$19)))))</f>
        <v/>
      </c>
      <c r="DW74">
        <f>IF($R$4="",1,IF($R$4="(blank)",--('Final Calculation Sheet'!$Q$19=""),IF($R$4="(nonblank)",--('Final Calculation Sheet'!$Q$19&lt;&gt;""),--ISNUMBER(SEARCH($R$4,'Final Calculation Sheet'!$Q$19)))))</f>
        <v/>
      </c>
      <c r="DX74">
        <f>IF($S$4="",1,IF($S$4="(blank)",--('Final Calculation Sheet'!$R$19=""),IF($S$4="(nonblank)",--('Final Calculation Sheet'!$R$19&lt;&gt;""),--ISNUMBER(SEARCH($S$4,'Final Calculation Sheet'!$R$19)))))</f>
        <v/>
      </c>
      <c r="DY74">
        <f>IF($T$4="",1,IF($T$4="(blank)",--('Final Calculation Sheet'!$S$19=""),IF($T$4="(nonblank)",--('Final Calculation Sheet'!$S$19&lt;&gt;""),--ISNUMBER(SEARCH($T$4,'Final Calculation Sheet'!$S$19)))))</f>
        <v/>
      </c>
      <c r="DZ74">
        <f>IF($U$4="",1,IF($U$4="(blank)",--('Final Calculation Sheet'!$T$19=""),IF($U$4="(nonblank)",--('Final Calculation Sheet'!$T$19&lt;&gt;""),--ISNUMBER(SEARCH($U$4,'Final Calculation Sheet'!$T$19)))))</f>
        <v/>
      </c>
      <c r="EA74">
        <f>IF($V$4="",1,IF($V$4="(blank)",--('Final Calculation Sheet'!$U$19=""),IF($V$4="(nonblank)",--('Final Calculation Sheet'!$U$19&lt;&gt;""),--ISNUMBER(SEARCH($V$4,'Final Calculation Sheet'!$U$19)))))</f>
        <v/>
      </c>
      <c r="EB74">
        <f>IF($W$4="",1,IF($W$4="(blank)",--('Final Calculation Sheet'!$V$19=""),IF($W$4="(nonblank)",--('Final Calculation Sheet'!$V$19&lt;&gt;""),--ISNUMBER(SEARCH($W$4,'Final Calculation Sheet'!$V$19)))))</f>
        <v/>
      </c>
      <c r="EC74">
        <f>IF($X$4="",1,IF($X$4="(blank)",--('Final Calculation Sheet'!$W$19=""),IF($X$4="(nonblank)",--('Final Calculation Sheet'!$W$19&lt;&gt;""),--ISNUMBER(SEARCH($X$4,'Final Calculation Sheet'!$W$19)))))</f>
        <v/>
      </c>
      <c r="ED74">
        <f>IF($Y$4="",1,IF($Y$4="(blank)",--('Final Calculation Sheet'!$X$19=""),IF($Y$4="(nonblank)",--('Final Calculation Sheet'!$X$19&lt;&gt;""),--ISNUMBER(SEARCH($Y$4,'Final Calculation Sheet'!$X$19)))))</f>
        <v/>
      </c>
      <c r="EE74">
        <f>IF($Z$4="",1,IF($Z$4="(blank)",--('Final Calculation Sheet'!$Y$19=""),IF($Z$4="(nonblank)",--('Final Calculation Sheet'!$Y$19&lt;&gt;""),--ISNUMBER(SEARCH($Z$4,'Final Calculation Sheet'!$Y$19)))))</f>
        <v/>
      </c>
      <c r="EF74">
        <f>IF($AA$4="",1,IF($AA$4="(blank)",--('Final Calculation Sheet'!$Z$19=""),IF($AA$4="(nonblank)",--('Final Calculation Sheet'!$Z$19&lt;&gt;""),--ISNUMBER(SEARCH($AA$4,'Final Calculation Sheet'!$Z$19)))))</f>
        <v/>
      </c>
      <c r="EG74">
        <f>IF($AB$4="",1,IF($AB$4="(blank)",--('Final Calculation Sheet'!$AA$19=""),IF($AB$4="(nonblank)",--('Final Calculation Sheet'!$AA$19&lt;&gt;""),--ISNUMBER(SEARCH($AB$4,'Final Calculation Sheet'!$AA$19)))))</f>
        <v/>
      </c>
      <c r="EH74">
        <f>IF($AC$4="",1,IF($AC$4="(blank)",--('Final Calculation Sheet'!$AB$19=""),IF($AC$4="(nonblank)",--('Final Calculation Sheet'!$AB$19&lt;&gt;""),--ISNUMBER(SEARCH($AC$4,'Final Calculation Sheet'!$AB$19)))))</f>
        <v/>
      </c>
      <c r="EI74">
        <f>IF($AD$4="",1,IF($AD$4="(blank)",--('Final Calculation Sheet'!$AC$19=""),IF($AD$4="(nonblank)",--('Final Calculation Sheet'!$AC$19&lt;&gt;""),--ISNUMBER(SEARCH($AD$4,'Final Calculation Sheet'!$AC$19)))))</f>
        <v/>
      </c>
      <c r="EJ74">
        <f>IF($AE$4="",1,IF($AE$4="(blank)",--('Final Calculation Sheet'!$AD$19=""),IF($AE$4="(nonblank)",--('Final Calculation Sheet'!$AD$19&lt;&gt;""),--ISNUMBER(SEARCH($AE$4,'Final Calculation Sheet'!$AD$19)))))</f>
        <v/>
      </c>
      <c r="EK74">
        <f>IF($AF$4="",1,IF($AF$4="(blank)",--(IF('Final Calculation Sheet'!$AD$19&lt;=5,"SETTLED","OUTSTANDING")=""),IF($AF$4="(nonblank)",--(IF('Final Calculation Sheet'!$AD$19&lt;=5,"SETTLED","OUTSTANDING")&lt;&gt;""),--ISNUMBER(SEARCH($AF$4,IF('Final Calculation Sheet'!$AD$19&lt;=5,"SETTLED","OUTSTANDING"))))))</f>
        <v/>
      </c>
      <c r="EL74">
        <f>IF($AG$4="",1,IF($AG$4="(blank)",--('Final Calculation Sheet'!$AF$19=""),IF($AG$4="(nonblank)",--('Final Calculation Sheet'!$AF$19&lt;&gt;""),--ISNUMBER(SEARCH($AG$4,'Final Calculation Sheet'!$AF$19)))))</f>
        <v/>
      </c>
      <c r="EM74">
        <f>IF($AH$4="",1,IF($AH$4="(blank)",--('Final Calculation Sheet'!$AG$19=""),IF($AH$4="(nonblank)",--('Final Calculation Sheet'!$AG$19&lt;&gt;""),--ISNUMBER(SEARCH($AH$4,'Final Calculation Sheet'!$AG$19)))))</f>
        <v/>
      </c>
      <c r="EN74">
        <f>IF($AI$4="",1,IF($AI$4="(blank)",--('Final Calculation Sheet'!$AH$19=""),IF($AI$4="(nonblank)",--('Final Calculation Sheet'!$AH$19&lt;&gt;""),--ISNUMBER(SEARCH($AI$4,'Final Calculation Sheet'!$AH$19)))))</f>
        <v/>
      </c>
    </row>
    <row r="75">
      <c r="AM75">
        <f>AM74+IF(AND(Lists!$O$22&lt;&gt;"",ISNUMBER(SEARCH($B$4,Lists!$O$22))),1,0)</f>
        <v/>
      </c>
      <c r="AN75">
        <f>IF(ROW()-56&gt;MAX($AM$57:$AM$95),"",INDEX(Lists!$O$4:$O$42,MATCH(ROW()-56,$AM$57:$AM$95,0)))</f>
        <v/>
      </c>
      <c r="AO75">
        <f>AO74+IF(AND(Lists!$T$22&lt;&gt;"",ISNUMBER(SEARCH($C$4,Lists!$T$22))),1,0)</f>
        <v/>
      </c>
      <c r="AP75">
        <f>IF(ROW()-56&gt;MAX($AO$57:$AO$95),"",INDEX(Lists!$T$4:$T$42,MATCH(ROW()-56,$AO$57:$AO$95,0)))</f>
        <v/>
      </c>
      <c r="AQ75">
        <f>AQ74+IF(AND(Lists!$Y$22&lt;&gt;"",ISNUMBER(SEARCH($D$4,Lists!$Y$22))),1,0)</f>
        <v/>
      </c>
      <c r="AR75">
        <f>IF(ROW()-56&gt;MAX($AQ$57:$AQ$95),"",INDEX(Lists!$Y$4:$Y$42,MATCH(ROW()-56,$AQ$57:$AQ$95,0)))</f>
        <v/>
      </c>
      <c r="AS75">
        <f>AS74+IF(AND(Lists!$AD$22&lt;&gt;"",ISNUMBER(SEARCH($E$4,Lists!$AD$22))),1,0)</f>
        <v/>
      </c>
      <c r="AT75">
        <f>IF(ROW()-56&gt;MAX($AS$57:$AS$95),"",INDEX(Lists!$AD$4:$AD$42,MATCH(ROW()-56,$AS$57:$AS$95,0)))</f>
        <v/>
      </c>
      <c r="AU75">
        <f>AU74+IF(AND(Lists!$AI$22&lt;&gt;"",ISNUMBER(SEARCH($F$4,Lists!$AI$22))),1,0)</f>
        <v/>
      </c>
      <c r="AV75">
        <f>IF(ROW()-56&gt;MAX($AU$57:$AU$95),"",INDEX(Lists!$AI$4:$AI$42,MATCH(ROW()-56,$AU$57:$AU$95,0)))</f>
        <v/>
      </c>
      <c r="AW75">
        <f>AW74+IF(AND(Lists!$AN$22&lt;&gt;"",ISNUMBER(SEARCH($G$4,Lists!$AN$22))),1,0)</f>
        <v/>
      </c>
      <c r="AX75">
        <f>IF(ROW()-56&gt;MAX($AW$57:$AW$95),"",INDEX(Lists!$AN$4:$AN$42,MATCH(ROW()-56,$AW$57:$AW$95,0)))</f>
        <v/>
      </c>
      <c r="AY75">
        <f>AY74+IF(AND(Lists!$AS$22&lt;&gt;"",ISNUMBER(SEARCH($H$4,Lists!$AS$22))),1,0)</f>
        <v/>
      </c>
      <c r="AZ75">
        <f>IF(ROW()-56&gt;MAX($AY$57:$AY$95),"",INDEX(Lists!$AS$4:$AS$42,MATCH(ROW()-56,$AY$57:$AY$95,0)))</f>
        <v/>
      </c>
      <c r="BA75">
        <f>BA74+IF(AND(Lists!$AX$22&lt;&gt;"",ISNUMBER(SEARCH($I$4,Lists!$AX$22))),1,0)</f>
        <v/>
      </c>
      <c r="BB75">
        <f>IF(ROW()-56&gt;MAX($BA$57:$BA$95),"",INDEX(Lists!$AX$4:$AX$42,MATCH(ROW()-56,$BA$57:$BA$95,0)))</f>
        <v/>
      </c>
      <c r="BC75">
        <f>BC74+IF(AND(Lists!$BC$22&lt;&gt;"",ISNUMBER(SEARCH($J$4,Lists!$BC$22))),1,0)</f>
        <v/>
      </c>
      <c r="BD75">
        <f>IF(ROW()-56&gt;MAX($BC$57:$BC$95),"",INDEX(Lists!$BC$4:$BC$42,MATCH(ROW()-56,$BC$57:$BC$95,0)))</f>
        <v/>
      </c>
      <c r="BE75">
        <f>BE74+IF(AND(Lists!$BH$22&lt;&gt;"",ISNUMBER(SEARCH($K$4,Lists!$BH$22))),1,0)</f>
        <v/>
      </c>
      <c r="BF75">
        <f>IF(ROW()-56&gt;MAX($BE$57:$BE$95),"",INDEX(Lists!$BH$4:$BH$42,MATCH(ROW()-56,$BE$57:$BE$95,0)))</f>
        <v/>
      </c>
      <c r="BG75">
        <f>BG74+IF(AND(Lists!$BM$22&lt;&gt;"",ISNUMBER(SEARCH($L$4,Lists!$BM$22))),1,0)</f>
        <v/>
      </c>
      <c r="BH75">
        <f>IF(ROW()-56&gt;MAX($BG$57:$BG$95),"",INDEX(Lists!$BM$4:$BM$42,MATCH(ROW()-56,$BG$57:$BG$95,0)))</f>
        <v/>
      </c>
      <c r="BI75">
        <f>BI74+IF(AND(Lists!$BR$22&lt;&gt;"",ISNUMBER(SEARCH($M$4,Lists!$BR$22))),1,0)</f>
        <v/>
      </c>
      <c r="BJ75">
        <f>IF(ROW()-56&gt;MAX($BI$57:$BI$95),"",INDEX(Lists!$BR$4:$BR$42,MATCH(ROW()-56,$BI$57:$BI$95,0)))</f>
        <v/>
      </c>
      <c r="BK75">
        <f>BK74+IF(AND(Lists!$BW$22&lt;&gt;"",ISNUMBER(SEARCH($N$4,Lists!$BW$22))),1,0)</f>
        <v/>
      </c>
      <c r="BL75">
        <f>IF(ROW()-56&gt;MAX($BK$57:$BK$95),"",INDEX(Lists!$BW$4:$BW$42,MATCH(ROW()-56,$BK$57:$BK$95,0)))</f>
        <v/>
      </c>
      <c r="BM75">
        <f>BM74+IF(AND(Lists!$CB$22&lt;&gt;"",ISNUMBER(SEARCH($O$4,Lists!$CB$22))),1,0)</f>
        <v/>
      </c>
      <c r="BN75">
        <f>IF(ROW()-56&gt;MAX($BM$57:$BM$95),"",INDEX(Lists!$CB$4:$CB$42,MATCH(ROW()-56,$BM$57:$BM$95,0)))</f>
        <v/>
      </c>
      <c r="BO75">
        <f>BO74+IF(AND(Lists!$CG$22&lt;&gt;"",ISNUMBER(SEARCH($P$4,Lists!$CG$22))),1,0)</f>
        <v/>
      </c>
      <c r="BP75">
        <f>IF(ROW()-56&gt;MAX($BO$57:$BO$95),"",INDEX(Lists!$CG$4:$CG$42,MATCH(ROW()-56,$BO$57:$BO$95,0)))</f>
        <v/>
      </c>
      <c r="BQ75">
        <f>BQ74+IF(AND(Lists!$CL$22&lt;&gt;"",ISNUMBER(SEARCH($Q$4,Lists!$CL$22))),1,0)</f>
        <v/>
      </c>
      <c r="BR75">
        <f>IF(ROW()-56&gt;MAX($BQ$57:$BQ$95),"",INDEX(Lists!$CL$4:$CL$42,MATCH(ROW()-56,$BQ$57:$BQ$95,0)))</f>
        <v/>
      </c>
      <c r="BS75">
        <f>BS74+IF(AND(Lists!$CQ$22&lt;&gt;"",ISNUMBER(SEARCH($R$4,Lists!$CQ$22))),1,0)</f>
        <v/>
      </c>
      <c r="BT75">
        <f>IF(ROW()-56&gt;MAX($BS$57:$BS$95),"",INDEX(Lists!$CQ$4:$CQ$42,MATCH(ROW()-56,$BS$57:$BS$95,0)))</f>
        <v/>
      </c>
      <c r="BU75">
        <f>BU74+IF(AND(Lists!$CV$22&lt;&gt;"",ISNUMBER(SEARCH($S$4,Lists!$CV$22))),1,0)</f>
        <v/>
      </c>
      <c r="BV75">
        <f>IF(ROW()-56&gt;MAX($BU$57:$BU$95),"",INDEX(Lists!$CV$4:$CV$42,MATCH(ROW()-56,$BU$57:$BU$95,0)))</f>
        <v/>
      </c>
      <c r="BW75">
        <f>BW74+IF(AND(Lists!$DA$22&lt;&gt;"",ISNUMBER(SEARCH($T$4,Lists!$DA$22))),1,0)</f>
        <v/>
      </c>
      <c r="BX75">
        <f>IF(ROW()-56&gt;MAX($BW$57:$BW$95),"",INDEX(Lists!$DA$4:$DA$42,MATCH(ROW()-56,$BW$57:$BW$95,0)))</f>
        <v/>
      </c>
      <c r="BY75">
        <f>BY74+IF(AND(Lists!$DF$22&lt;&gt;"",ISNUMBER(SEARCH($U$4,Lists!$DF$22))),1,0)</f>
        <v/>
      </c>
      <c r="BZ75">
        <f>IF(ROW()-56&gt;MAX($BY$57:$BY$95),"",INDEX(Lists!$DF$4:$DF$42,MATCH(ROW()-56,$BY$57:$BY$95,0)))</f>
        <v/>
      </c>
      <c r="CA75">
        <f>CA74+IF(AND(Lists!$DK$22&lt;&gt;"",ISNUMBER(SEARCH($V$4,Lists!$DK$22))),1,0)</f>
        <v/>
      </c>
      <c r="CB75">
        <f>IF(ROW()-56&gt;MAX($CA$57:$CA$95),"",INDEX(Lists!$DK$4:$DK$42,MATCH(ROW()-56,$CA$57:$CA$95,0)))</f>
        <v/>
      </c>
      <c r="CC75">
        <f>CC74+IF(AND(Lists!$DP$22&lt;&gt;"",ISNUMBER(SEARCH($W$4,Lists!$DP$22))),1,0)</f>
        <v/>
      </c>
      <c r="CD75">
        <f>IF(ROW()-56&gt;MAX($CC$57:$CC$95),"",INDEX(Lists!$DP$4:$DP$42,MATCH(ROW()-56,$CC$57:$CC$95,0)))</f>
        <v/>
      </c>
      <c r="CE75">
        <f>CE74+IF(AND(Lists!$DU$22&lt;&gt;"",ISNUMBER(SEARCH($X$4,Lists!$DU$22))),1,0)</f>
        <v/>
      </c>
      <c r="CF75">
        <f>IF(ROW()-56&gt;MAX($CE$57:$CE$95),"",INDEX(Lists!$DU$4:$DU$42,MATCH(ROW()-56,$CE$57:$CE$95,0)))</f>
        <v/>
      </c>
      <c r="CG75">
        <f>CG74+IF(AND(Lists!$DZ$22&lt;&gt;"",ISNUMBER(SEARCH($Y$4,Lists!$DZ$22))),1,0)</f>
        <v/>
      </c>
      <c r="CH75">
        <f>IF(ROW()-56&gt;MAX($CG$57:$CG$95),"",INDEX(Lists!$DZ$4:$DZ$42,MATCH(ROW()-56,$CG$57:$CG$95,0)))</f>
        <v/>
      </c>
      <c r="CI75">
        <f>CI74+IF(AND(Lists!$EE$22&lt;&gt;"",ISNUMBER(SEARCH($Z$4,Lists!$EE$22))),1,0)</f>
        <v/>
      </c>
      <c r="CJ75">
        <f>IF(ROW()-56&gt;MAX($CI$57:$CI$95),"",INDEX(Lists!$EE$4:$EE$42,MATCH(ROW()-56,$CI$57:$CI$95,0)))</f>
        <v/>
      </c>
      <c r="CK75">
        <f>CK74+IF(AND(Lists!$EJ$22&lt;&gt;"",ISNUMBER(SEARCH($AA$4,Lists!$EJ$22))),1,0)</f>
        <v/>
      </c>
      <c r="CL75">
        <f>IF(ROW()-56&gt;MAX($CK$57:$CK$95),"",INDEX(Lists!$EJ$4:$EJ$42,MATCH(ROW()-56,$CK$57:$CK$95,0)))</f>
        <v/>
      </c>
      <c r="CM75">
        <f>CM74+IF(AND(Lists!$EO$22&lt;&gt;"",ISNUMBER(SEARCH($AB$4,Lists!$EO$22))),1,0)</f>
        <v/>
      </c>
      <c r="CN75">
        <f>IF(ROW()-56&gt;MAX($CM$57:$CM$95),"",INDEX(Lists!$EO$4:$EO$42,MATCH(ROW()-56,$CM$57:$CM$95,0)))</f>
        <v/>
      </c>
      <c r="CO75">
        <f>CO74+IF(AND(Lists!$ET$22&lt;&gt;"",ISNUMBER(SEARCH($AC$4,Lists!$ET$22))),1,0)</f>
        <v/>
      </c>
      <c r="CP75">
        <f>IF(ROW()-56&gt;MAX($CO$57:$CO$95),"",INDEX(Lists!$ET$4:$ET$42,MATCH(ROW()-56,$CO$57:$CO$95,0)))</f>
        <v/>
      </c>
      <c r="CQ75">
        <f>CQ74+IF(AND(Lists!$EY$22&lt;&gt;"",ISNUMBER(SEARCH($AD$4,Lists!$EY$22))),1,0)</f>
        <v/>
      </c>
      <c r="CR75">
        <f>IF(ROW()-56&gt;MAX($CQ$57:$CQ$95),"",INDEX(Lists!$EY$4:$EY$42,MATCH(ROW()-56,$CQ$57:$CQ$95,0)))</f>
        <v/>
      </c>
      <c r="CS75">
        <f>CS74+IF(AND(Lists!$FD$22&lt;&gt;"",ISNUMBER(SEARCH($AE$4,Lists!$FD$22))),1,0)</f>
        <v/>
      </c>
      <c r="CT75">
        <f>IF(ROW()-56&gt;MAX($CS$57:$CS$95),"",INDEX(Lists!$FD$4:$FD$42,MATCH(ROW()-56,$CS$57:$CS$95,0)))</f>
        <v/>
      </c>
      <c r="CU75">
        <f>CU74+IF(AND(Lists!$FI$22&lt;&gt;"",ISNUMBER(SEARCH($AG$4,Lists!$FI$22))),1,0)</f>
        <v/>
      </c>
      <c r="CV75">
        <f>IF(ROW()-56&gt;MAX($CU$57:$CU$95),"",INDEX(Lists!$FI$4:$FI$42,MATCH(ROW()-56,$CU$57:$CU$95,0)))</f>
        <v/>
      </c>
      <c r="CW75">
        <f>CW74+IF(AND(Lists!$FN$22&lt;&gt;"",ISNUMBER(SEARCH($AH$4,Lists!$FN$22))),1,0)</f>
        <v/>
      </c>
      <c r="CX75">
        <f>IF(ROW()-56&gt;MAX($CW$57:$CW$95),"",INDEX(Lists!$FN$4:$FN$42,MATCH(ROW()-56,$CW$57:$CW$95,0)))</f>
        <v/>
      </c>
      <c r="CY75">
        <f>CY74+IF(AND(Lists!$FS$22&lt;&gt;"",ISNUMBER(SEARCH($AI$4,Lists!$FS$22))),1,0)</f>
        <v/>
      </c>
      <c r="CZ75">
        <f>IF(ROW()-56&gt;MAX($CY$57:$CY$95),"",INDEX(Lists!$FS$4:$FS$42,MATCH(ROW()-56,$CY$57:$CY$95,0)))</f>
        <v/>
      </c>
      <c r="DA75">
        <f>DA74+IF(AND(Lists!$FX$22&lt;&gt;"",ISNUMBER(SEARCH($AF$4,Lists!$FX$22))),1,0)</f>
        <v/>
      </c>
      <c r="DB75">
        <f>IF(ROW()-56&gt;MAX($DA$57:$DA$95),"",INDEX(Lists!$FX$4:$FX$42,MATCH(ROW()-56,$DA$57:$DA$95,0)))</f>
        <v/>
      </c>
      <c r="DG75">
        <f>IF($B$4="",1,IF($B$4="(blank)",--('Final Calculation Sheet'!$F$20=""),IF($B$4="(nonblank)",--('Final Calculation Sheet'!$F$20&lt;&gt;""),--ISNUMBER(SEARCH($B$4,'Final Calculation Sheet'!$F$20)))))</f>
        <v/>
      </c>
      <c r="DH75">
        <f>IF($C$4="",1,IF($C$4="(blank)",--('Final Calculation Sheet'!$G$20=""),IF($C$4="(nonblank)",--('Final Calculation Sheet'!$G$20&lt;&gt;""),--ISNUMBER(SEARCH($C$4,'Final Calculation Sheet'!$G$20)))))</f>
        <v/>
      </c>
      <c r="DI75">
        <f>IF($D$4="",1,IF($D$4="(blank)",--('Final Calculation Sheet'!$B$20=""),IF($D$4="(nonblank)",--('Final Calculation Sheet'!$B$20&lt;&gt;""),--ISNUMBER(SEARCH($D$4,'Final Calculation Sheet'!$B$20)))))</f>
        <v/>
      </c>
      <c r="DJ75">
        <f>IF($E$4="",1,IF($E$4="(blank)",--('Final Calculation Sheet'!$D$20=""),IF($E$4="(nonblank)",--('Final Calculation Sheet'!$D$20&lt;&gt;""),--ISNUMBER(SEARCH($E$4,'Final Calculation Sheet'!$D$20)))))</f>
        <v/>
      </c>
      <c r="DK75">
        <f>IF($F$4="",1,IF($F$4="(blank)",--('Final Calculation Sheet'!$A$20=""),IF($F$4="(nonblank)",--('Final Calculation Sheet'!$A$20&lt;&gt;""),--ISNUMBER(SEARCH($F$4,'Final Calculation Sheet'!$A$20)))))</f>
        <v/>
      </c>
      <c r="DL75">
        <f>IF($G$4="",1,IF($G$4="(blank)",--('Final Calculation Sheet'!$E$20=""),IF($G$4="(nonblank)",--('Final Calculation Sheet'!$E$20&lt;&gt;""),--ISNUMBER(SEARCH($G$4,'Final Calculation Sheet'!$E$20)))))</f>
        <v/>
      </c>
      <c r="DM75">
        <f>IF($H$4="",1,IF($H$4="(blank)",--('Final Calculation Sheet'!$C$20=""),IF($H$4="(nonblank)",--('Final Calculation Sheet'!$C$20&lt;&gt;""),--ISNUMBER(SEARCH($H$4,'Final Calculation Sheet'!$C$20)))))</f>
        <v/>
      </c>
      <c r="DN75">
        <f>IF($I$4="",1,IF($I$4="(blank)",--('Final Calculation Sheet'!$H$20=""),IF($I$4="(nonblank)",--('Final Calculation Sheet'!$H$20&lt;&gt;""),--ISNUMBER(SEARCH($I$4,'Final Calculation Sheet'!$H$20)))))</f>
        <v/>
      </c>
      <c r="DO75">
        <f>IF($J$4="",1,IF($J$4="(blank)",--('Final Calculation Sheet'!$I$20=""),IF($J$4="(nonblank)",--('Final Calculation Sheet'!$I$20&lt;&gt;""),--ISNUMBER(SEARCH($J$4,'Final Calculation Sheet'!$I$20)))))</f>
        <v/>
      </c>
      <c r="DP75">
        <f>IF($K$4="",1,IF($K$4="(blank)",--('Final Calculation Sheet'!$J$20=""),IF($K$4="(nonblank)",--('Final Calculation Sheet'!$J$20&lt;&gt;""),--ISNUMBER(SEARCH($K$4,'Final Calculation Sheet'!$J$20)))))</f>
        <v/>
      </c>
      <c r="DQ75">
        <f>IF($L$4="",1,IF($L$4="(blank)",--('Final Calculation Sheet'!$K$20=""),IF($L$4="(nonblank)",--('Final Calculation Sheet'!$K$20&lt;&gt;""),--ISNUMBER(SEARCH($L$4,'Final Calculation Sheet'!$K$20)))))</f>
        <v/>
      </c>
      <c r="DR75">
        <f>IF($M$4="",1,IF($M$4="(blank)",--('Final Calculation Sheet'!$L$20=""),IF($M$4="(nonblank)",--('Final Calculation Sheet'!$L$20&lt;&gt;""),--ISNUMBER(SEARCH($M$4,'Final Calculation Sheet'!$L$20)))))</f>
        <v/>
      </c>
      <c r="DS75">
        <f>IF($N$4="",1,IF($N$4="(blank)",--('Final Calculation Sheet'!$M$20=""),IF($N$4="(nonblank)",--('Final Calculation Sheet'!$M$20&lt;&gt;""),--ISNUMBER(SEARCH($N$4,'Final Calculation Sheet'!$M$20)))))</f>
        <v/>
      </c>
      <c r="DT75">
        <f>IF($O$4="",1,IF($O$4="(blank)",--('Final Calculation Sheet'!$N$20=""),IF($O$4="(nonblank)",--('Final Calculation Sheet'!$N$20&lt;&gt;""),--ISNUMBER(SEARCH($O$4,'Final Calculation Sheet'!$N$20)))))</f>
        <v/>
      </c>
      <c r="DU75">
        <f>IF($P$4="",1,IF($P$4="(blank)",--('Final Calculation Sheet'!$O$20=""),IF($P$4="(nonblank)",--('Final Calculation Sheet'!$O$20&lt;&gt;""),--ISNUMBER(SEARCH($P$4,'Final Calculation Sheet'!$O$20)))))</f>
        <v/>
      </c>
      <c r="DV75">
        <f>IF($Q$4="",1,IF($Q$4="(blank)",--('Final Calculation Sheet'!$P$20=""),IF($Q$4="(nonblank)",--('Final Calculation Sheet'!$P$20&lt;&gt;""),--ISNUMBER(SEARCH($Q$4,'Final Calculation Sheet'!$P$20)))))</f>
        <v/>
      </c>
      <c r="DW75">
        <f>IF($R$4="",1,IF($R$4="(blank)",--('Final Calculation Sheet'!$Q$20=""),IF($R$4="(nonblank)",--('Final Calculation Sheet'!$Q$20&lt;&gt;""),--ISNUMBER(SEARCH($R$4,'Final Calculation Sheet'!$Q$20)))))</f>
        <v/>
      </c>
      <c r="DX75">
        <f>IF($S$4="",1,IF($S$4="(blank)",--('Final Calculation Sheet'!$R$20=""),IF($S$4="(nonblank)",--('Final Calculation Sheet'!$R$20&lt;&gt;""),--ISNUMBER(SEARCH($S$4,'Final Calculation Sheet'!$R$20)))))</f>
        <v/>
      </c>
      <c r="DY75">
        <f>IF($T$4="",1,IF($T$4="(blank)",--('Final Calculation Sheet'!$S$20=""),IF($T$4="(nonblank)",--('Final Calculation Sheet'!$S$20&lt;&gt;""),--ISNUMBER(SEARCH($T$4,'Final Calculation Sheet'!$S$20)))))</f>
        <v/>
      </c>
      <c r="DZ75">
        <f>IF($U$4="",1,IF($U$4="(blank)",--('Final Calculation Sheet'!$T$20=""),IF($U$4="(nonblank)",--('Final Calculation Sheet'!$T$20&lt;&gt;""),--ISNUMBER(SEARCH($U$4,'Final Calculation Sheet'!$T$20)))))</f>
        <v/>
      </c>
      <c r="EA75">
        <f>IF($V$4="",1,IF($V$4="(blank)",--('Final Calculation Sheet'!$U$20=""),IF($V$4="(nonblank)",--('Final Calculation Sheet'!$U$20&lt;&gt;""),--ISNUMBER(SEARCH($V$4,'Final Calculation Sheet'!$U$20)))))</f>
        <v/>
      </c>
      <c r="EB75">
        <f>IF($W$4="",1,IF($W$4="(blank)",--('Final Calculation Sheet'!$V$20=""),IF($W$4="(nonblank)",--('Final Calculation Sheet'!$V$20&lt;&gt;""),--ISNUMBER(SEARCH($W$4,'Final Calculation Sheet'!$V$20)))))</f>
        <v/>
      </c>
      <c r="EC75">
        <f>IF($X$4="",1,IF($X$4="(blank)",--('Final Calculation Sheet'!$W$20=""),IF($X$4="(nonblank)",--('Final Calculation Sheet'!$W$20&lt;&gt;""),--ISNUMBER(SEARCH($X$4,'Final Calculation Sheet'!$W$20)))))</f>
        <v/>
      </c>
      <c r="ED75">
        <f>IF($Y$4="",1,IF($Y$4="(blank)",--('Final Calculation Sheet'!$X$20=""),IF($Y$4="(nonblank)",--('Final Calculation Sheet'!$X$20&lt;&gt;""),--ISNUMBER(SEARCH($Y$4,'Final Calculation Sheet'!$X$20)))))</f>
        <v/>
      </c>
      <c r="EE75">
        <f>IF($Z$4="",1,IF($Z$4="(blank)",--('Final Calculation Sheet'!$Y$20=""),IF($Z$4="(nonblank)",--('Final Calculation Sheet'!$Y$20&lt;&gt;""),--ISNUMBER(SEARCH($Z$4,'Final Calculation Sheet'!$Y$20)))))</f>
        <v/>
      </c>
      <c r="EF75">
        <f>IF($AA$4="",1,IF($AA$4="(blank)",--('Final Calculation Sheet'!$Z$20=""),IF($AA$4="(nonblank)",--('Final Calculation Sheet'!$Z$20&lt;&gt;""),--ISNUMBER(SEARCH($AA$4,'Final Calculation Sheet'!$Z$20)))))</f>
        <v/>
      </c>
      <c r="EG75">
        <f>IF($AB$4="",1,IF($AB$4="(blank)",--('Final Calculation Sheet'!$AA$20=""),IF($AB$4="(nonblank)",--('Final Calculation Sheet'!$AA$20&lt;&gt;""),--ISNUMBER(SEARCH($AB$4,'Final Calculation Sheet'!$AA$20)))))</f>
        <v/>
      </c>
      <c r="EH75">
        <f>IF($AC$4="",1,IF($AC$4="(blank)",--('Final Calculation Sheet'!$AB$20=""),IF($AC$4="(nonblank)",--('Final Calculation Sheet'!$AB$20&lt;&gt;""),--ISNUMBER(SEARCH($AC$4,'Final Calculation Sheet'!$AB$20)))))</f>
        <v/>
      </c>
      <c r="EI75">
        <f>IF($AD$4="",1,IF($AD$4="(blank)",--('Final Calculation Sheet'!$AC$20=""),IF($AD$4="(nonblank)",--('Final Calculation Sheet'!$AC$20&lt;&gt;""),--ISNUMBER(SEARCH($AD$4,'Final Calculation Sheet'!$AC$20)))))</f>
        <v/>
      </c>
      <c r="EJ75">
        <f>IF($AE$4="",1,IF($AE$4="(blank)",--('Final Calculation Sheet'!$AD$20=""),IF($AE$4="(nonblank)",--('Final Calculation Sheet'!$AD$20&lt;&gt;""),--ISNUMBER(SEARCH($AE$4,'Final Calculation Sheet'!$AD$20)))))</f>
        <v/>
      </c>
      <c r="EK75">
        <f>IF($AF$4="",1,IF($AF$4="(blank)",--(IF('Final Calculation Sheet'!$AD$20&lt;=5,"SETTLED","OUTSTANDING")=""),IF($AF$4="(nonblank)",--(IF('Final Calculation Sheet'!$AD$20&lt;=5,"SETTLED","OUTSTANDING")&lt;&gt;""),--ISNUMBER(SEARCH($AF$4,IF('Final Calculation Sheet'!$AD$20&lt;=5,"SETTLED","OUTSTANDING"))))))</f>
        <v/>
      </c>
      <c r="EL75">
        <f>IF($AG$4="",1,IF($AG$4="(blank)",--('Final Calculation Sheet'!$AF$20=""),IF($AG$4="(nonblank)",--('Final Calculation Sheet'!$AF$20&lt;&gt;""),--ISNUMBER(SEARCH($AG$4,'Final Calculation Sheet'!$AF$20)))))</f>
        <v/>
      </c>
      <c r="EM75">
        <f>IF($AH$4="",1,IF($AH$4="(blank)",--('Final Calculation Sheet'!$AG$20=""),IF($AH$4="(nonblank)",--('Final Calculation Sheet'!$AG$20&lt;&gt;""),--ISNUMBER(SEARCH($AH$4,'Final Calculation Sheet'!$AG$20)))))</f>
        <v/>
      </c>
      <c r="EN75">
        <f>IF($AI$4="",1,IF($AI$4="(blank)",--('Final Calculation Sheet'!$AH$20=""),IF($AI$4="(nonblank)",--('Final Calculation Sheet'!$AH$20&lt;&gt;""),--ISNUMBER(SEARCH($AI$4,'Final Calculation Sheet'!$AH$20)))))</f>
        <v/>
      </c>
    </row>
    <row r="76">
      <c r="AM76">
        <f>AM75+IF(AND(Lists!$O$23&lt;&gt;"",ISNUMBER(SEARCH($B$4,Lists!$O$23))),1,0)</f>
        <v/>
      </c>
      <c r="AN76">
        <f>IF(ROW()-56&gt;MAX($AM$57:$AM$95),"",INDEX(Lists!$O$4:$O$42,MATCH(ROW()-56,$AM$57:$AM$95,0)))</f>
        <v/>
      </c>
      <c r="AO76">
        <f>AO75+IF(AND(Lists!$T$23&lt;&gt;"",ISNUMBER(SEARCH($C$4,Lists!$T$23))),1,0)</f>
        <v/>
      </c>
      <c r="AP76">
        <f>IF(ROW()-56&gt;MAX($AO$57:$AO$95),"",INDEX(Lists!$T$4:$T$42,MATCH(ROW()-56,$AO$57:$AO$95,0)))</f>
        <v/>
      </c>
      <c r="AQ76">
        <f>AQ75+IF(AND(Lists!$Y$23&lt;&gt;"",ISNUMBER(SEARCH($D$4,Lists!$Y$23))),1,0)</f>
        <v/>
      </c>
      <c r="AR76">
        <f>IF(ROW()-56&gt;MAX($AQ$57:$AQ$95),"",INDEX(Lists!$Y$4:$Y$42,MATCH(ROW()-56,$AQ$57:$AQ$95,0)))</f>
        <v/>
      </c>
      <c r="AS76">
        <f>AS75+IF(AND(Lists!$AD$23&lt;&gt;"",ISNUMBER(SEARCH($E$4,Lists!$AD$23))),1,0)</f>
        <v/>
      </c>
      <c r="AT76">
        <f>IF(ROW()-56&gt;MAX($AS$57:$AS$95),"",INDEX(Lists!$AD$4:$AD$42,MATCH(ROW()-56,$AS$57:$AS$95,0)))</f>
        <v/>
      </c>
      <c r="AU76">
        <f>AU75+IF(AND(Lists!$AI$23&lt;&gt;"",ISNUMBER(SEARCH($F$4,Lists!$AI$23))),1,0)</f>
        <v/>
      </c>
      <c r="AV76">
        <f>IF(ROW()-56&gt;MAX($AU$57:$AU$95),"",INDEX(Lists!$AI$4:$AI$42,MATCH(ROW()-56,$AU$57:$AU$95,0)))</f>
        <v/>
      </c>
      <c r="AW76">
        <f>AW75+IF(AND(Lists!$AN$23&lt;&gt;"",ISNUMBER(SEARCH($G$4,Lists!$AN$23))),1,0)</f>
        <v/>
      </c>
      <c r="AX76">
        <f>IF(ROW()-56&gt;MAX($AW$57:$AW$95),"",INDEX(Lists!$AN$4:$AN$42,MATCH(ROW()-56,$AW$57:$AW$95,0)))</f>
        <v/>
      </c>
      <c r="AY76">
        <f>AY75+IF(AND(Lists!$AS$23&lt;&gt;"",ISNUMBER(SEARCH($H$4,Lists!$AS$23))),1,0)</f>
        <v/>
      </c>
      <c r="AZ76">
        <f>IF(ROW()-56&gt;MAX($AY$57:$AY$95),"",INDEX(Lists!$AS$4:$AS$42,MATCH(ROW()-56,$AY$57:$AY$95,0)))</f>
        <v/>
      </c>
      <c r="BA76">
        <f>BA75+IF(AND(Lists!$AX$23&lt;&gt;"",ISNUMBER(SEARCH($I$4,Lists!$AX$23))),1,0)</f>
        <v/>
      </c>
      <c r="BB76">
        <f>IF(ROW()-56&gt;MAX($BA$57:$BA$95),"",INDEX(Lists!$AX$4:$AX$42,MATCH(ROW()-56,$BA$57:$BA$95,0)))</f>
        <v/>
      </c>
      <c r="BC76">
        <f>BC75+IF(AND(Lists!$BC$23&lt;&gt;"",ISNUMBER(SEARCH($J$4,Lists!$BC$23))),1,0)</f>
        <v/>
      </c>
      <c r="BD76">
        <f>IF(ROW()-56&gt;MAX($BC$57:$BC$95),"",INDEX(Lists!$BC$4:$BC$42,MATCH(ROW()-56,$BC$57:$BC$95,0)))</f>
        <v/>
      </c>
      <c r="BE76">
        <f>BE75+IF(AND(Lists!$BH$23&lt;&gt;"",ISNUMBER(SEARCH($K$4,Lists!$BH$23))),1,0)</f>
        <v/>
      </c>
      <c r="BF76">
        <f>IF(ROW()-56&gt;MAX($BE$57:$BE$95),"",INDEX(Lists!$BH$4:$BH$42,MATCH(ROW()-56,$BE$57:$BE$95,0)))</f>
        <v/>
      </c>
      <c r="BG76">
        <f>BG75+IF(AND(Lists!$BM$23&lt;&gt;"",ISNUMBER(SEARCH($L$4,Lists!$BM$23))),1,0)</f>
        <v/>
      </c>
      <c r="BH76">
        <f>IF(ROW()-56&gt;MAX($BG$57:$BG$95),"",INDEX(Lists!$BM$4:$BM$42,MATCH(ROW()-56,$BG$57:$BG$95,0)))</f>
        <v/>
      </c>
      <c r="BI76">
        <f>BI75+IF(AND(Lists!$BR$23&lt;&gt;"",ISNUMBER(SEARCH($M$4,Lists!$BR$23))),1,0)</f>
        <v/>
      </c>
      <c r="BJ76">
        <f>IF(ROW()-56&gt;MAX($BI$57:$BI$95),"",INDEX(Lists!$BR$4:$BR$42,MATCH(ROW()-56,$BI$57:$BI$95,0)))</f>
        <v/>
      </c>
      <c r="BK76">
        <f>BK75+IF(AND(Lists!$BW$23&lt;&gt;"",ISNUMBER(SEARCH($N$4,Lists!$BW$23))),1,0)</f>
        <v/>
      </c>
      <c r="BL76">
        <f>IF(ROW()-56&gt;MAX($BK$57:$BK$95),"",INDEX(Lists!$BW$4:$BW$42,MATCH(ROW()-56,$BK$57:$BK$95,0)))</f>
        <v/>
      </c>
      <c r="BM76">
        <f>BM75+IF(AND(Lists!$CB$23&lt;&gt;"",ISNUMBER(SEARCH($O$4,Lists!$CB$23))),1,0)</f>
        <v/>
      </c>
      <c r="BN76">
        <f>IF(ROW()-56&gt;MAX($BM$57:$BM$95),"",INDEX(Lists!$CB$4:$CB$42,MATCH(ROW()-56,$BM$57:$BM$95,0)))</f>
        <v/>
      </c>
      <c r="BO76">
        <f>BO75+IF(AND(Lists!$CG$23&lt;&gt;"",ISNUMBER(SEARCH($P$4,Lists!$CG$23))),1,0)</f>
        <v/>
      </c>
      <c r="BP76">
        <f>IF(ROW()-56&gt;MAX($BO$57:$BO$95),"",INDEX(Lists!$CG$4:$CG$42,MATCH(ROW()-56,$BO$57:$BO$95,0)))</f>
        <v/>
      </c>
      <c r="BQ76">
        <f>BQ75+IF(AND(Lists!$CL$23&lt;&gt;"",ISNUMBER(SEARCH($Q$4,Lists!$CL$23))),1,0)</f>
        <v/>
      </c>
      <c r="BR76">
        <f>IF(ROW()-56&gt;MAX($BQ$57:$BQ$95),"",INDEX(Lists!$CL$4:$CL$42,MATCH(ROW()-56,$BQ$57:$BQ$95,0)))</f>
        <v/>
      </c>
      <c r="BS76">
        <f>BS75+IF(AND(Lists!$CQ$23&lt;&gt;"",ISNUMBER(SEARCH($R$4,Lists!$CQ$23))),1,0)</f>
        <v/>
      </c>
      <c r="BT76">
        <f>IF(ROW()-56&gt;MAX($BS$57:$BS$95),"",INDEX(Lists!$CQ$4:$CQ$42,MATCH(ROW()-56,$BS$57:$BS$95,0)))</f>
        <v/>
      </c>
      <c r="BU76">
        <f>BU75+IF(AND(Lists!$CV$23&lt;&gt;"",ISNUMBER(SEARCH($S$4,Lists!$CV$23))),1,0)</f>
        <v/>
      </c>
      <c r="BV76">
        <f>IF(ROW()-56&gt;MAX($BU$57:$BU$95),"",INDEX(Lists!$CV$4:$CV$42,MATCH(ROW()-56,$BU$57:$BU$95,0)))</f>
        <v/>
      </c>
      <c r="BW76">
        <f>BW75+IF(AND(Lists!$DA$23&lt;&gt;"",ISNUMBER(SEARCH($T$4,Lists!$DA$23))),1,0)</f>
        <v/>
      </c>
      <c r="BX76">
        <f>IF(ROW()-56&gt;MAX($BW$57:$BW$95),"",INDEX(Lists!$DA$4:$DA$42,MATCH(ROW()-56,$BW$57:$BW$95,0)))</f>
        <v/>
      </c>
      <c r="BY76">
        <f>BY75+IF(AND(Lists!$DF$23&lt;&gt;"",ISNUMBER(SEARCH($U$4,Lists!$DF$23))),1,0)</f>
        <v/>
      </c>
      <c r="BZ76">
        <f>IF(ROW()-56&gt;MAX($BY$57:$BY$95),"",INDEX(Lists!$DF$4:$DF$42,MATCH(ROW()-56,$BY$57:$BY$95,0)))</f>
        <v/>
      </c>
      <c r="CA76">
        <f>CA75+IF(AND(Lists!$DK$23&lt;&gt;"",ISNUMBER(SEARCH($V$4,Lists!$DK$23))),1,0)</f>
        <v/>
      </c>
      <c r="CB76">
        <f>IF(ROW()-56&gt;MAX($CA$57:$CA$95),"",INDEX(Lists!$DK$4:$DK$42,MATCH(ROW()-56,$CA$57:$CA$95,0)))</f>
        <v/>
      </c>
      <c r="CC76">
        <f>CC75+IF(AND(Lists!$DP$23&lt;&gt;"",ISNUMBER(SEARCH($W$4,Lists!$DP$23))),1,0)</f>
        <v/>
      </c>
      <c r="CD76">
        <f>IF(ROW()-56&gt;MAX($CC$57:$CC$95),"",INDEX(Lists!$DP$4:$DP$42,MATCH(ROW()-56,$CC$57:$CC$95,0)))</f>
        <v/>
      </c>
      <c r="CE76">
        <f>CE75+IF(AND(Lists!$DU$23&lt;&gt;"",ISNUMBER(SEARCH($X$4,Lists!$DU$23))),1,0)</f>
        <v/>
      </c>
      <c r="CF76">
        <f>IF(ROW()-56&gt;MAX($CE$57:$CE$95),"",INDEX(Lists!$DU$4:$DU$42,MATCH(ROW()-56,$CE$57:$CE$95,0)))</f>
        <v/>
      </c>
      <c r="CG76">
        <f>CG75+IF(AND(Lists!$DZ$23&lt;&gt;"",ISNUMBER(SEARCH($Y$4,Lists!$DZ$23))),1,0)</f>
        <v/>
      </c>
      <c r="CH76">
        <f>IF(ROW()-56&gt;MAX($CG$57:$CG$95),"",INDEX(Lists!$DZ$4:$DZ$42,MATCH(ROW()-56,$CG$57:$CG$95,0)))</f>
        <v/>
      </c>
      <c r="CI76">
        <f>CI75+IF(AND(Lists!$EE$23&lt;&gt;"",ISNUMBER(SEARCH($Z$4,Lists!$EE$23))),1,0)</f>
        <v/>
      </c>
      <c r="CJ76">
        <f>IF(ROW()-56&gt;MAX($CI$57:$CI$95),"",INDEX(Lists!$EE$4:$EE$42,MATCH(ROW()-56,$CI$57:$CI$95,0)))</f>
        <v/>
      </c>
      <c r="CK76">
        <f>CK75+IF(AND(Lists!$EJ$23&lt;&gt;"",ISNUMBER(SEARCH($AA$4,Lists!$EJ$23))),1,0)</f>
        <v/>
      </c>
      <c r="CL76">
        <f>IF(ROW()-56&gt;MAX($CK$57:$CK$95),"",INDEX(Lists!$EJ$4:$EJ$42,MATCH(ROW()-56,$CK$57:$CK$95,0)))</f>
        <v/>
      </c>
      <c r="CM76">
        <f>CM75+IF(AND(Lists!$EO$23&lt;&gt;"",ISNUMBER(SEARCH($AB$4,Lists!$EO$23))),1,0)</f>
        <v/>
      </c>
      <c r="CN76">
        <f>IF(ROW()-56&gt;MAX($CM$57:$CM$95),"",INDEX(Lists!$EO$4:$EO$42,MATCH(ROW()-56,$CM$57:$CM$95,0)))</f>
        <v/>
      </c>
      <c r="CO76">
        <f>CO75+IF(AND(Lists!$ET$23&lt;&gt;"",ISNUMBER(SEARCH($AC$4,Lists!$ET$23))),1,0)</f>
        <v/>
      </c>
      <c r="CP76">
        <f>IF(ROW()-56&gt;MAX($CO$57:$CO$95),"",INDEX(Lists!$ET$4:$ET$42,MATCH(ROW()-56,$CO$57:$CO$95,0)))</f>
        <v/>
      </c>
      <c r="CQ76">
        <f>CQ75+IF(AND(Lists!$EY$23&lt;&gt;"",ISNUMBER(SEARCH($AD$4,Lists!$EY$23))),1,0)</f>
        <v/>
      </c>
      <c r="CR76">
        <f>IF(ROW()-56&gt;MAX($CQ$57:$CQ$95),"",INDEX(Lists!$EY$4:$EY$42,MATCH(ROW()-56,$CQ$57:$CQ$95,0)))</f>
        <v/>
      </c>
      <c r="CS76">
        <f>CS75+IF(AND(Lists!$FD$23&lt;&gt;"",ISNUMBER(SEARCH($AE$4,Lists!$FD$23))),1,0)</f>
        <v/>
      </c>
      <c r="CT76">
        <f>IF(ROW()-56&gt;MAX($CS$57:$CS$95),"",INDEX(Lists!$FD$4:$FD$42,MATCH(ROW()-56,$CS$57:$CS$95,0)))</f>
        <v/>
      </c>
      <c r="CU76">
        <f>CU75+IF(AND(Lists!$FI$23&lt;&gt;"",ISNUMBER(SEARCH($AG$4,Lists!$FI$23))),1,0)</f>
        <v/>
      </c>
      <c r="CV76">
        <f>IF(ROW()-56&gt;MAX($CU$57:$CU$95),"",INDEX(Lists!$FI$4:$FI$42,MATCH(ROW()-56,$CU$57:$CU$95,0)))</f>
        <v/>
      </c>
      <c r="CW76">
        <f>CW75+IF(AND(Lists!$FN$23&lt;&gt;"",ISNUMBER(SEARCH($AH$4,Lists!$FN$23))),1,0)</f>
        <v/>
      </c>
      <c r="CX76">
        <f>IF(ROW()-56&gt;MAX($CW$57:$CW$95),"",INDEX(Lists!$FN$4:$FN$42,MATCH(ROW()-56,$CW$57:$CW$95,0)))</f>
        <v/>
      </c>
      <c r="CY76">
        <f>CY75+IF(AND(Lists!$FS$23&lt;&gt;"",ISNUMBER(SEARCH($AI$4,Lists!$FS$23))),1,0)</f>
        <v/>
      </c>
      <c r="CZ76">
        <f>IF(ROW()-56&gt;MAX($CY$57:$CY$95),"",INDEX(Lists!$FS$4:$FS$42,MATCH(ROW()-56,$CY$57:$CY$95,0)))</f>
        <v/>
      </c>
      <c r="DA76">
        <f>DA75+IF(AND(Lists!$FX$23&lt;&gt;"",ISNUMBER(SEARCH($AF$4,Lists!$FX$23))),1,0)</f>
        <v/>
      </c>
      <c r="DB76">
        <f>IF(ROW()-56&gt;MAX($DA$57:$DA$95),"",INDEX(Lists!$FX$4:$FX$42,MATCH(ROW()-56,$DA$57:$DA$95,0)))</f>
        <v/>
      </c>
      <c r="DG76">
        <f>IF($B$4="",1,IF($B$4="(blank)",--('Final Calculation Sheet'!$F$21=""),IF($B$4="(nonblank)",--('Final Calculation Sheet'!$F$21&lt;&gt;""),--ISNUMBER(SEARCH($B$4,'Final Calculation Sheet'!$F$21)))))</f>
        <v/>
      </c>
      <c r="DH76">
        <f>IF($C$4="",1,IF($C$4="(blank)",--('Final Calculation Sheet'!$G$21=""),IF($C$4="(nonblank)",--('Final Calculation Sheet'!$G$21&lt;&gt;""),--ISNUMBER(SEARCH($C$4,'Final Calculation Sheet'!$G$21)))))</f>
        <v/>
      </c>
      <c r="DI76">
        <f>IF($D$4="",1,IF($D$4="(blank)",--('Final Calculation Sheet'!$B$21=""),IF($D$4="(nonblank)",--('Final Calculation Sheet'!$B$21&lt;&gt;""),--ISNUMBER(SEARCH($D$4,'Final Calculation Sheet'!$B$21)))))</f>
        <v/>
      </c>
      <c r="DJ76">
        <f>IF($E$4="",1,IF($E$4="(blank)",--('Final Calculation Sheet'!$D$21=""),IF($E$4="(nonblank)",--('Final Calculation Sheet'!$D$21&lt;&gt;""),--ISNUMBER(SEARCH($E$4,'Final Calculation Sheet'!$D$21)))))</f>
        <v/>
      </c>
      <c r="DK76">
        <f>IF($F$4="",1,IF($F$4="(blank)",--('Final Calculation Sheet'!$A$21=""),IF($F$4="(nonblank)",--('Final Calculation Sheet'!$A$21&lt;&gt;""),--ISNUMBER(SEARCH($F$4,'Final Calculation Sheet'!$A$21)))))</f>
        <v/>
      </c>
      <c r="DL76">
        <f>IF($G$4="",1,IF($G$4="(blank)",--('Final Calculation Sheet'!$E$21=""),IF($G$4="(nonblank)",--('Final Calculation Sheet'!$E$21&lt;&gt;""),--ISNUMBER(SEARCH($G$4,'Final Calculation Sheet'!$E$21)))))</f>
        <v/>
      </c>
      <c r="DM76">
        <f>IF($H$4="",1,IF($H$4="(blank)",--('Final Calculation Sheet'!$C$21=""),IF($H$4="(nonblank)",--('Final Calculation Sheet'!$C$21&lt;&gt;""),--ISNUMBER(SEARCH($H$4,'Final Calculation Sheet'!$C$21)))))</f>
        <v/>
      </c>
      <c r="DN76">
        <f>IF($I$4="",1,IF($I$4="(blank)",--('Final Calculation Sheet'!$H$21=""),IF($I$4="(nonblank)",--('Final Calculation Sheet'!$H$21&lt;&gt;""),--ISNUMBER(SEARCH($I$4,'Final Calculation Sheet'!$H$21)))))</f>
        <v/>
      </c>
      <c r="DO76">
        <f>IF($J$4="",1,IF($J$4="(blank)",--('Final Calculation Sheet'!$I$21=""),IF($J$4="(nonblank)",--('Final Calculation Sheet'!$I$21&lt;&gt;""),--ISNUMBER(SEARCH($J$4,'Final Calculation Sheet'!$I$21)))))</f>
        <v/>
      </c>
      <c r="DP76">
        <f>IF($K$4="",1,IF($K$4="(blank)",--('Final Calculation Sheet'!$J$21=""),IF($K$4="(nonblank)",--('Final Calculation Sheet'!$J$21&lt;&gt;""),--ISNUMBER(SEARCH($K$4,'Final Calculation Sheet'!$J$21)))))</f>
        <v/>
      </c>
      <c r="DQ76">
        <f>IF($L$4="",1,IF($L$4="(blank)",--('Final Calculation Sheet'!$K$21=""),IF($L$4="(nonblank)",--('Final Calculation Sheet'!$K$21&lt;&gt;""),--ISNUMBER(SEARCH($L$4,'Final Calculation Sheet'!$K$21)))))</f>
        <v/>
      </c>
      <c r="DR76">
        <f>IF($M$4="",1,IF($M$4="(blank)",--('Final Calculation Sheet'!$L$21=""),IF($M$4="(nonblank)",--('Final Calculation Sheet'!$L$21&lt;&gt;""),--ISNUMBER(SEARCH($M$4,'Final Calculation Sheet'!$L$21)))))</f>
        <v/>
      </c>
      <c r="DS76">
        <f>IF($N$4="",1,IF($N$4="(blank)",--('Final Calculation Sheet'!$M$21=""),IF($N$4="(nonblank)",--('Final Calculation Sheet'!$M$21&lt;&gt;""),--ISNUMBER(SEARCH($N$4,'Final Calculation Sheet'!$M$21)))))</f>
        <v/>
      </c>
      <c r="DT76">
        <f>IF($O$4="",1,IF($O$4="(blank)",--('Final Calculation Sheet'!$N$21=""),IF($O$4="(nonblank)",--('Final Calculation Sheet'!$N$21&lt;&gt;""),--ISNUMBER(SEARCH($O$4,'Final Calculation Sheet'!$N$21)))))</f>
        <v/>
      </c>
      <c r="DU76">
        <f>IF($P$4="",1,IF($P$4="(blank)",--('Final Calculation Sheet'!$O$21=""),IF($P$4="(nonblank)",--('Final Calculation Sheet'!$O$21&lt;&gt;""),--ISNUMBER(SEARCH($P$4,'Final Calculation Sheet'!$O$21)))))</f>
        <v/>
      </c>
      <c r="DV76">
        <f>IF($Q$4="",1,IF($Q$4="(blank)",--('Final Calculation Sheet'!$P$21=""),IF($Q$4="(nonblank)",--('Final Calculation Sheet'!$P$21&lt;&gt;""),--ISNUMBER(SEARCH($Q$4,'Final Calculation Sheet'!$P$21)))))</f>
        <v/>
      </c>
      <c r="DW76">
        <f>IF($R$4="",1,IF($R$4="(blank)",--('Final Calculation Sheet'!$Q$21=""),IF($R$4="(nonblank)",--('Final Calculation Sheet'!$Q$21&lt;&gt;""),--ISNUMBER(SEARCH($R$4,'Final Calculation Sheet'!$Q$21)))))</f>
        <v/>
      </c>
      <c r="DX76">
        <f>IF($S$4="",1,IF($S$4="(blank)",--('Final Calculation Sheet'!$R$21=""),IF($S$4="(nonblank)",--('Final Calculation Sheet'!$R$21&lt;&gt;""),--ISNUMBER(SEARCH($S$4,'Final Calculation Sheet'!$R$21)))))</f>
        <v/>
      </c>
      <c r="DY76">
        <f>IF($T$4="",1,IF($T$4="(blank)",--('Final Calculation Sheet'!$S$21=""),IF($T$4="(nonblank)",--('Final Calculation Sheet'!$S$21&lt;&gt;""),--ISNUMBER(SEARCH($T$4,'Final Calculation Sheet'!$S$21)))))</f>
        <v/>
      </c>
      <c r="DZ76">
        <f>IF($U$4="",1,IF($U$4="(blank)",--('Final Calculation Sheet'!$T$21=""),IF($U$4="(nonblank)",--('Final Calculation Sheet'!$T$21&lt;&gt;""),--ISNUMBER(SEARCH($U$4,'Final Calculation Sheet'!$T$21)))))</f>
        <v/>
      </c>
      <c r="EA76">
        <f>IF($V$4="",1,IF($V$4="(blank)",--('Final Calculation Sheet'!$U$21=""),IF($V$4="(nonblank)",--('Final Calculation Sheet'!$U$21&lt;&gt;""),--ISNUMBER(SEARCH($V$4,'Final Calculation Sheet'!$U$21)))))</f>
        <v/>
      </c>
      <c r="EB76">
        <f>IF($W$4="",1,IF($W$4="(blank)",--('Final Calculation Sheet'!$V$21=""),IF($W$4="(nonblank)",--('Final Calculation Sheet'!$V$21&lt;&gt;""),--ISNUMBER(SEARCH($W$4,'Final Calculation Sheet'!$V$21)))))</f>
        <v/>
      </c>
      <c r="EC76">
        <f>IF($X$4="",1,IF($X$4="(blank)",--('Final Calculation Sheet'!$W$21=""),IF($X$4="(nonblank)",--('Final Calculation Sheet'!$W$21&lt;&gt;""),--ISNUMBER(SEARCH($X$4,'Final Calculation Sheet'!$W$21)))))</f>
        <v/>
      </c>
      <c r="ED76">
        <f>IF($Y$4="",1,IF($Y$4="(blank)",--('Final Calculation Sheet'!$X$21=""),IF($Y$4="(nonblank)",--('Final Calculation Sheet'!$X$21&lt;&gt;""),--ISNUMBER(SEARCH($Y$4,'Final Calculation Sheet'!$X$21)))))</f>
        <v/>
      </c>
      <c r="EE76">
        <f>IF($Z$4="",1,IF($Z$4="(blank)",--('Final Calculation Sheet'!$Y$21=""),IF($Z$4="(nonblank)",--('Final Calculation Sheet'!$Y$21&lt;&gt;""),--ISNUMBER(SEARCH($Z$4,'Final Calculation Sheet'!$Y$21)))))</f>
        <v/>
      </c>
      <c r="EF76">
        <f>IF($AA$4="",1,IF($AA$4="(blank)",--('Final Calculation Sheet'!$Z$21=""),IF($AA$4="(nonblank)",--('Final Calculation Sheet'!$Z$21&lt;&gt;""),--ISNUMBER(SEARCH($AA$4,'Final Calculation Sheet'!$Z$21)))))</f>
        <v/>
      </c>
      <c r="EG76">
        <f>IF($AB$4="",1,IF($AB$4="(blank)",--('Final Calculation Sheet'!$AA$21=""),IF($AB$4="(nonblank)",--('Final Calculation Sheet'!$AA$21&lt;&gt;""),--ISNUMBER(SEARCH($AB$4,'Final Calculation Sheet'!$AA$21)))))</f>
        <v/>
      </c>
      <c r="EH76">
        <f>IF($AC$4="",1,IF($AC$4="(blank)",--('Final Calculation Sheet'!$AB$21=""),IF($AC$4="(nonblank)",--('Final Calculation Sheet'!$AB$21&lt;&gt;""),--ISNUMBER(SEARCH($AC$4,'Final Calculation Sheet'!$AB$21)))))</f>
        <v/>
      </c>
      <c r="EI76">
        <f>IF($AD$4="",1,IF($AD$4="(blank)",--('Final Calculation Sheet'!$AC$21=""),IF($AD$4="(nonblank)",--('Final Calculation Sheet'!$AC$21&lt;&gt;""),--ISNUMBER(SEARCH($AD$4,'Final Calculation Sheet'!$AC$21)))))</f>
        <v/>
      </c>
      <c r="EJ76">
        <f>IF($AE$4="",1,IF($AE$4="(blank)",--('Final Calculation Sheet'!$AD$21=""),IF($AE$4="(nonblank)",--('Final Calculation Sheet'!$AD$21&lt;&gt;""),--ISNUMBER(SEARCH($AE$4,'Final Calculation Sheet'!$AD$21)))))</f>
        <v/>
      </c>
      <c r="EK76">
        <f>IF($AF$4="",1,IF($AF$4="(blank)",--(IF('Final Calculation Sheet'!$AD$21&lt;=5,"SETTLED","OUTSTANDING")=""),IF($AF$4="(nonblank)",--(IF('Final Calculation Sheet'!$AD$21&lt;=5,"SETTLED","OUTSTANDING")&lt;&gt;""),--ISNUMBER(SEARCH($AF$4,IF('Final Calculation Sheet'!$AD$21&lt;=5,"SETTLED","OUTSTANDING"))))))</f>
        <v/>
      </c>
      <c r="EL76">
        <f>IF($AG$4="",1,IF($AG$4="(blank)",--('Final Calculation Sheet'!$AF$21=""),IF($AG$4="(nonblank)",--('Final Calculation Sheet'!$AF$21&lt;&gt;""),--ISNUMBER(SEARCH($AG$4,'Final Calculation Sheet'!$AF$21)))))</f>
        <v/>
      </c>
      <c r="EM76">
        <f>IF($AH$4="",1,IF($AH$4="(blank)",--('Final Calculation Sheet'!$AG$21=""),IF($AH$4="(nonblank)",--('Final Calculation Sheet'!$AG$21&lt;&gt;""),--ISNUMBER(SEARCH($AH$4,'Final Calculation Sheet'!$AG$21)))))</f>
        <v/>
      </c>
      <c r="EN76">
        <f>IF($AI$4="",1,IF($AI$4="(blank)",--('Final Calculation Sheet'!$AH$21=""),IF($AI$4="(nonblank)",--('Final Calculation Sheet'!$AH$21&lt;&gt;""),--ISNUMBER(SEARCH($AI$4,'Final Calculation Sheet'!$AH$21)))))</f>
        <v/>
      </c>
    </row>
    <row r="77">
      <c r="AM77">
        <f>AM76+IF(AND(Lists!$O$24&lt;&gt;"",ISNUMBER(SEARCH($B$4,Lists!$O$24))),1,0)</f>
        <v/>
      </c>
      <c r="AN77">
        <f>IF(ROW()-56&gt;MAX($AM$57:$AM$95),"",INDEX(Lists!$O$4:$O$42,MATCH(ROW()-56,$AM$57:$AM$95,0)))</f>
        <v/>
      </c>
      <c r="AO77">
        <f>AO76+IF(AND(Lists!$T$24&lt;&gt;"",ISNUMBER(SEARCH($C$4,Lists!$T$24))),1,0)</f>
        <v/>
      </c>
      <c r="AP77">
        <f>IF(ROW()-56&gt;MAX($AO$57:$AO$95),"",INDEX(Lists!$T$4:$T$42,MATCH(ROW()-56,$AO$57:$AO$95,0)))</f>
        <v/>
      </c>
      <c r="AQ77">
        <f>AQ76+IF(AND(Lists!$Y$24&lt;&gt;"",ISNUMBER(SEARCH($D$4,Lists!$Y$24))),1,0)</f>
        <v/>
      </c>
      <c r="AR77">
        <f>IF(ROW()-56&gt;MAX($AQ$57:$AQ$95),"",INDEX(Lists!$Y$4:$Y$42,MATCH(ROW()-56,$AQ$57:$AQ$95,0)))</f>
        <v/>
      </c>
      <c r="AS77">
        <f>AS76+IF(AND(Lists!$AD$24&lt;&gt;"",ISNUMBER(SEARCH($E$4,Lists!$AD$24))),1,0)</f>
        <v/>
      </c>
      <c r="AT77">
        <f>IF(ROW()-56&gt;MAX($AS$57:$AS$95),"",INDEX(Lists!$AD$4:$AD$42,MATCH(ROW()-56,$AS$57:$AS$95,0)))</f>
        <v/>
      </c>
      <c r="AU77">
        <f>AU76+IF(AND(Lists!$AI$24&lt;&gt;"",ISNUMBER(SEARCH($F$4,Lists!$AI$24))),1,0)</f>
        <v/>
      </c>
      <c r="AV77">
        <f>IF(ROW()-56&gt;MAX($AU$57:$AU$95),"",INDEX(Lists!$AI$4:$AI$42,MATCH(ROW()-56,$AU$57:$AU$95,0)))</f>
        <v/>
      </c>
      <c r="AW77">
        <f>AW76+IF(AND(Lists!$AN$24&lt;&gt;"",ISNUMBER(SEARCH($G$4,Lists!$AN$24))),1,0)</f>
        <v/>
      </c>
      <c r="AX77">
        <f>IF(ROW()-56&gt;MAX($AW$57:$AW$95),"",INDEX(Lists!$AN$4:$AN$42,MATCH(ROW()-56,$AW$57:$AW$95,0)))</f>
        <v/>
      </c>
      <c r="AY77">
        <f>AY76+IF(AND(Lists!$AS$24&lt;&gt;"",ISNUMBER(SEARCH($H$4,Lists!$AS$24))),1,0)</f>
        <v/>
      </c>
      <c r="AZ77">
        <f>IF(ROW()-56&gt;MAX($AY$57:$AY$95),"",INDEX(Lists!$AS$4:$AS$42,MATCH(ROW()-56,$AY$57:$AY$95,0)))</f>
        <v/>
      </c>
      <c r="BA77">
        <f>BA76+IF(AND(Lists!$AX$24&lt;&gt;"",ISNUMBER(SEARCH($I$4,Lists!$AX$24))),1,0)</f>
        <v/>
      </c>
      <c r="BB77">
        <f>IF(ROW()-56&gt;MAX($BA$57:$BA$95),"",INDEX(Lists!$AX$4:$AX$42,MATCH(ROW()-56,$BA$57:$BA$95,0)))</f>
        <v/>
      </c>
      <c r="BC77">
        <f>BC76+IF(AND(Lists!$BC$24&lt;&gt;"",ISNUMBER(SEARCH($J$4,Lists!$BC$24))),1,0)</f>
        <v/>
      </c>
      <c r="BD77">
        <f>IF(ROW()-56&gt;MAX($BC$57:$BC$95),"",INDEX(Lists!$BC$4:$BC$42,MATCH(ROW()-56,$BC$57:$BC$95,0)))</f>
        <v/>
      </c>
      <c r="BE77">
        <f>BE76+IF(AND(Lists!$BH$24&lt;&gt;"",ISNUMBER(SEARCH($K$4,Lists!$BH$24))),1,0)</f>
        <v/>
      </c>
      <c r="BF77">
        <f>IF(ROW()-56&gt;MAX($BE$57:$BE$95),"",INDEX(Lists!$BH$4:$BH$42,MATCH(ROW()-56,$BE$57:$BE$95,0)))</f>
        <v/>
      </c>
      <c r="BG77">
        <f>BG76+IF(AND(Lists!$BM$24&lt;&gt;"",ISNUMBER(SEARCH($L$4,Lists!$BM$24))),1,0)</f>
        <v/>
      </c>
      <c r="BH77">
        <f>IF(ROW()-56&gt;MAX($BG$57:$BG$95),"",INDEX(Lists!$BM$4:$BM$42,MATCH(ROW()-56,$BG$57:$BG$95,0)))</f>
        <v/>
      </c>
      <c r="BI77">
        <f>BI76+IF(AND(Lists!$BR$24&lt;&gt;"",ISNUMBER(SEARCH($M$4,Lists!$BR$24))),1,0)</f>
        <v/>
      </c>
      <c r="BJ77">
        <f>IF(ROW()-56&gt;MAX($BI$57:$BI$95),"",INDEX(Lists!$BR$4:$BR$42,MATCH(ROW()-56,$BI$57:$BI$95,0)))</f>
        <v/>
      </c>
      <c r="BK77">
        <f>BK76+IF(AND(Lists!$BW$24&lt;&gt;"",ISNUMBER(SEARCH($N$4,Lists!$BW$24))),1,0)</f>
        <v/>
      </c>
      <c r="BL77">
        <f>IF(ROW()-56&gt;MAX($BK$57:$BK$95),"",INDEX(Lists!$BW$4:$BW$42,MATCH(ROW()-56,$BK$57:$BK$95,0)))</f>
        <v/>
      </c>
      <c r="BM77">
        <f>BM76+IF(AND(Lists!$CB$24&lt;&gt;"",ISNUMBER(SEARCH($O$4,Lists!$CB$24))),1,0)</f>
        <v/>
      </c>
      <c r="BN77">
        <f>IF(ROW()-56&gt;MAX($BM$57:$BM$95),"",INDEX(Lists!$CB$4:$CB$42,MATCH(ROW()-56,$BM$57:$BM$95,0)))</f>
        <v/>
      </c>
      <c r="BO77">
        <f>BO76+IF(AND(Lists!$CG$24&lt;&gt;"",ISNUMBER(SEARCH($P$4,Lists!$CG$24))),1,0)</f>
        <v/>
      </c>
      <c r="BP77">
        <f>IF(ROW()-56&gt;MAX($BO$57:$BO$95),"",INDEX(Lists!$CG$4:$CG$42,MATCH(ROW()-56,$BO$57:$BO$95,0)))</f>
        <v/>
      </c>
      <c r="BQ77">
        <f>BQ76+IF(AND(Lists!$CL$24&lt;&gt;"",ISNUMBER(SEARCH($Q$4,Lists!$CL$24))),1,0)</f>
        <v/>
      </c>
      <c r="BR77">
        <f>IF(ROW()-56&gt;MAX($BQ$57:$BQ$95),"",INDEX(Lists!$CL$4:$CL$42,MATCH(ROW()-56,$BQ$57:$BQ$95,0)))</f>
        <v/>
      </c>
      <c r="BS77">
        <f>BS76+IF(AND(Lists!$CQ$24&lt;&gt;"",ISNUMBER(SEARCH($R$4,Lists!$CQ$24))),1,0)</f>
        <v/>
      </c>
      <c r="BT77">
        <f>IF(ROW()-56&gt;MAX($BS$57:$BS$95),"",INDEX(Lists!$CQ$4:$CQ$42,MATCH(ROW()-56,$BS$57:$BS$95,0)))</f>
        <v/>
      </c>
      <c r="BU77">
        <f>BU76+IF(AND(Lists!$CV$24&lt;&gt;"",ISNUMBER(SEARCH($S$4,Lists!$CV$24))),1,0)</f>
        <v/>
      </c>
      <c r="BV77">
        <f>IF(ROW()-56&gt;MAX($BU$57:$BU$95),"",INDEX(Lists!$CV$4:$CV$42,MATCH(ROW()-56,$BU$57:$BU$95,0)))</f>
        <v/>
      </c>
      <c r="BW77">
        <f>BW76+IF(AND(Lists!$DA$24&lt;&gt;"",ISNUMBER(SEARCH($T$4,Lists!$DA$24))),1,0)</f>
        <v/>
      </c>
      <c r="BX77">
        <f>IF(ROW()-56&gt;MAX($BW$57:$BW$95),"",INDEX(Lists!$DA$4:$DA$42,MATCH(ROW()-56,$BW$57:$BW$95,0)))</f>
        <v/>
      </c>
      <c r="BY77">
        <f>BY76+IF(AND(Lists!$DF$24&lt;&gt;"",ISNUMBER(SEARCH($U$4,Lists!$DF$24))),1,0)</f>
        <v/>
      </c>
      <c r="BZ77">
        <f>IF(ROW()-56&gt;MAX($BY$57:$BY$95),"",INDEX(Lists!$DF$4:$DF$42,MATCH(ROW()-56,$BY$57:$BY$95,0)))</f>
        <v/>
      </c>
      <c r="CA77">
        <f>CA76+IF(AND(Lists!$DK$24&lt;&gt;"",ISNUMBER(SEARCH($V$4,Lists!$DK$24))),1,0)</f>
        <v/>
      </c>
      <c r="CB77">
        <f>IF(ROW()-56&gt;MAX($CA$57:$CA$95),"",INDEX(Lists!$DK$4:$DK$42,MATCH(ROW()-56,$CA$57:$CA$95,0)))</f>
        <v/>
      </c>
      <c r="CC77">
        <f>CC76+IF(AND(Lists!$DP$24&lt;&gt;"",ISNUMBER(SEARCH($W$4,Lists!$DP$24))),1,0)</f>
        <v/>
      </c>
      <c r="CD77">
        <f>IF(ROW()-56&gt;MAX($CC$57:$CC$95),"",INDEX(Lists!$DP$4:$DP$42,MATCH(ROW()-56,$CC$57:$CC$95,0)))</f>
        <v/>
      </c>
      <c r="CE77">
        <f>CE76+IF(AND(Lists!$DU$24&lt;&gt;"",ISNUMBER(SEARCH($X$4,Lists!$DU$24))),1,0)</f>
        <v/>
      </c>
      <c r="CF77">
        <f>IF(ROW()-56&gt;MAX($CE$57:$CE$95),"",INDEX(Lists!$DU$4:$DU$42,MATCH(ROW()-56,$CE$57:$CE$95,0)))</f>
        <v/>
      </c>
      <c r="CG77">
        <f>CG76+IF(AND(Lists!$DZ$24&lt;&gt;"",ISNUMBER(SEARCH($Y$4,Lists!$DZ$24))),1,0)</f>
        <v/>
      </c>
      <c r="CH77">
        <f>IF(ROW()-56&gt;MAX($CG$57:$CG$95),"",INDEX(Lists!$DZ$4:$DZ$42,MATCH(ROW()-56,$CG$57:$CG$95,0)))</f>
        <v/>
      </c>
      <c r="CI77">
        <f>CI76+IF(AND(Lists!$EE$24&lt;&gt;"",ISNUMBER(SEARCH($Z$4,Lists!$EE$24))),1,0)</f>
        <v/>
      </c>
      <c r="CJ77">
        <f>IF(ROW()-56&gt;MAX($CI$57:$CI$95),"",INDEX(Lists!$EE$4:$EE$42,MATCH(ROW()-56,$CI$57:$CI$95,0)))</f>
        <v/>
      </c>
      <c r="CK77">
        <f>CK76+IF(AND(Lists!$EJ$24&lt;&gt;"",ISNUMBER(SEARCH($AA$4,Lists!$EJ$24))),1,0)</f>
        <v/>
      </c>
      <c r="CL77">
        <f>IF(ROW()-56&gt;MAX($CK$57:$CK$95),"",INDEX(Lists!$EJ$4:$EJ$42,MATCH(ROW()-56,$CK$57:$CK$95,0)))</f>
        <v/>
      </c>
      <c r="CM77">
        <f>CM76+IF(AND(Lists!$EO$24&lt;&gt;"",ISNUMBER(SEARCH($AB$4,Lists!$EO$24))),1,0)</f>
        <v/>
      </c>
      <c r="CN77">
        <f>IF(ROW()-56&gt;MAX($CM$57:$CM$95),"",INDEX(Lists!$EO$4:$EO$42,MATCH(ROW()-56,$CM$57:$CM$95,0)))</f>
        <v/>
      </c>
      <c r="CO77">
        <f>CO76+IF(AND(Lists!$ET$24&lt;&gt;"",ISNUMBER(SEARCH($AC$4,Lists!$ET$24))),1,0)</f>
        <v/>
      </c>
      <c r="CP77">
        <f>IF(ROW()-56&gt;MAX($CO$57:$CO$95),"",INDEX(Lists!$ET$4:$ET$42,MATCH(ROW()-56,$CO$57:$CO$95,0)))</f>
        <v/>
      </c>
      <c r="CQ77">
        <f>CQ76+IF(AND(Lists!$EY$24&lt;&gt;"",ISNUMBER(SEARCH($AD$4,Lists!$EY$24))),1,0)</f>
        <v/>
      </c>
      <c r="CR77">
        <f>IF(ROW()-56&gt;MAX($CQ$57:$CQ$95),"",INDEX(Lists!$EY$4:$EY$42,MATCH(ROW()-56,$CQ$57:$CQ$95,0)))</f>
        <v/>
      </c>
      <c r="CS77">
        <f>CS76+IF(AND(Lists!$FD$24&lt;&gt;"",ISNUMBER(SEARCH($AE$4,Lists!$FD$24))),1,0)</f>
        <v/>
      </c>
      <c r="CT77">
        <f>IF(ROW()-56&gt;MAX($CS$57:$CS$95),"",INDEX(Lists!$FD$4:$FD$42,MATCH(ROW()-56,$CS$57:$CS$95,0)))</f>
        <v/>
      </c>
      <c r="CU77">
        <f>CU76+IF(AND(Lists!$FI$24&lt;&gt;"",ISNUMBER(SEARCH($AG$4,Lists!$FI$24))),1,0)</f>
        <v/>
      </c>
      <c r="CV77">
        <f>IF(ROW()-56&gt;MAX($CU$57:$CU$95),"",INDEX(Lists!$FI$4:$FI$42,MATCH(ROW()-56,$CU$57:$CU$95,0)))</f>
        <v/>
      </c>
      <c r="CW77">
        <f>CW76+IF(AND(Lists!$FN$24&lt;&gt;"",ISNUMBER(SEARCH($AH$4,Lists!$FN$24))),1,0)</f>
        <v/>
      </c>
      <c r="CX77">
        <f>IF(ROW()-56&gt;MAX($CW$57:$CW$95),"",INDEX(Lists!$FN$4:$FN$42,MATCH(ROW()-56,$CW$57:$CW$95,0)))</f>
        <v/>
      </c>
      <c r="CY77">
        <f>CY76+IF(AND(Lists!$FS$24&lt;&gt;"",ISNUMBER(SEARCH($AI$4,Lists!$FS$24))),1,0)</f>
        <v/>
      </c>
      <c r="CZ77">
        <f>IF(ROW()-56&gt;MAX($CY$57:$CY$95),"",INDEX(Lists!$FS$4:$FS$42,MATCH(ROW()-56,$CY$57:$CY$95,0)))</f>
        <v/>
      </c>
      <c r="DA77">
        <f>DA76+IF(AND(Lists!$FX$24&lt;&gt;"",ISNUMBER(SEARCH($AF$4,Lists!$FX$24))),1,0)</f>
        <v/>
      </c>
      <c r="DB77">
        <f>IF(ROW()-56&gt;MAX($DA$57:$DA$95),"",INDEX(Lists!$FX$4:$FX$42,MATCH(ROW()-56,$DA$57:$DA$95,0)))</f>
        <v/>
      </c>
      <c r="DG77">
        <f>IF($B$4="",1,IF($B$4="(blank)",--('Final Calculation Sheet'!$F$22=""),IF($B$4="(nonblank)",--('Final Calculation Sheet'!$F$22&lt;&gt;""),--ISNUMBER(SEARCH($B$4,'Final Calculation Sheet'!$F$22)))))</f>
        <v/>
      </c>
      <c r="DH77">
        <f>IF($C$4="",1,IF($C$4="(blank)",--('Final Calculation Sheet'!$G$22=""),IF($C$4="(nonblank)",--('Final Calculation Sheet'!$G$22&lt;&gt;""),--ISNUMBER(SEARCH($C$4,'Final Calculation Sheet'!$G$22)))))</f>
        <v/>
      </c>
      <c r="DI77">
        <f>IF($D$4="",1,IF($D$4="(blank)",--('Final Calculation Sheet'!$B$22=""),IF($D$4="(nonblank)",--('Final Calculation Sheet'!$B$22&lt;&gt;""),--ISNUMBER(SEARCH($D$4,'Final Calculation Sheet'!$B$22)))))</f>
        <v/>
      </c>
      <c r="DJ77">
        <f>IF($E$4="",1,IF($E$4="(blank)",--('Final Calculation Sheet'!$D$22=""),IF($E$4="(nonblank)",--('Final Calculation Sheet'!$D$22&lt;&gt;""),--ISNUMBER(SEARCH($E$4,'Final Calculation Sheet'!$D$22)))))</f>
        <v/>
      </c>
      <c r="DK77">
        <f>IF($F$4="",1,IF($F$4="(blank)",--('Final Calculation Sheet'!$A$22=""),IF($F$4="(nonblank)",--('Final Calculation Sheet'!$A$22&lt;&gt;""),--ISNUMBER(SEARCH($F$4,'Final Calculation Sheet'!$A$22)))))</f>
        <v/>
      </c>
      <c r="DL77">
        <f>IF($G$4="",1,IF($G$4="(blank)",--('Final Calculation Sheet'!$E$22=""),IF($G$4="(nonblank)",--('Final Calculation Sheet'!$E$22&lt;&gt;""),--ISNUMBER(SEARCH($G$4,'Final Calculation Sheet'!$E$22)))))</f>
        <v/>
      </c>
      <c r="DM77">
        <f>IF($H$4="",1,IF($H$4="(blank)",--('Final Calculation Sheet'!$C$22=""),IF($H$4="(nonblank)",--('Final Calculation Sheet'!$C$22&lt;&gt;""),--ISNUMBER(SEARCH($H$4,'Final Calculation Sheet'!$C$22)))))</f>
        <v/>
      </c>
      <c r="DN77">
        <f>IF($I$4="",1,IF($I$4="(blank)",--('Final Calculation Sheet'!$H$22=""),IF($I$4="(nonblank)",--('Final Calculation Sheet'!$H$22&lt;&gt;""),--ISNUMBER(SEARCH($I$4,'Final Calculation Sheet'!$H$22)))))</f>
        <v/>
      </c>
      <c r="DO77">
        <f>IF($J$4="",1,IF($J$4="(blank)",--('Final Calculation Sheet'!$I$22=""),IF($J$4="(nonblank)",--('Final Calculation Sheet'!$I$22&lt;&gt;""),--ISNUMBER(SEARCH($J$4,'Final Calculation Sheet'!$I$22)))))</f>
        <v/>
      </c>
      <c r="DP77">
        <f>IF($K$4="",1,IF($K$4="(blank)",--('Final Calculation Sheet'!$J$22=""),IF($K$4="(nonblank)",--('Final Calculation Sheet'!$J$22&lt;&gt;""),--ISNUMBER(SEARCH($K$4,'Final Calculation Sheet'!$J$22)))))</f>
        <v/>
      </c>
      <c r="DQ77">
        <f>IF($L$4="",1,IF($L$4="(blank)",--('Final Calculation Sheet'!$K$22=""),IF($L$4="(nonblank)",--('Final Calculation Sheet'!$K$22&lt;&gt;""),--ISNUMBER(SEARCH($L$4,'Final Calculation Sheet'!$K$22)))))</f>
        <v/>
      </c>
      <c r="DR77">
        <f>IF($M$4="",1,IF($M$4="(blank)",--('Final Calculation Sheet'!$L$22=""),IF($M$4="(nonblank)",--('Final Calculation Sheet'!$L$22&lt;&gt;""),--ISNUMBER(SEARCH($M$4,'Final Calculation Sheet'!$L$22)))))</f>
        <v/>
      </c>
      <c r="DS77">
        <f>IF($N$4="",1,IF($N$4="(blank)",--('Final Calculation Sheet'!$M$22=""),IF($N$4="(nonblank)",--('Final Calculation Sheet'!$M$22&lt;&gt;""),--ISNUMBER(SEARCH($N$4,'Final Calculation Sheet'!$M$22)))))</f>
        <v/>
      </c>
      <c r="DT77">
        <f>IF($O$4="",1,IF($O$4="(blank)",--('Final Calculation Sheet'!$N$22=""),IF($O$4="(nonblank)",--('Final Calculation Sheet'!$N$22&lt;&gt;""),--ISNUMBER(SEARCH($O$4,'Final Calculation Sheet'!$N$22)))))</f>
        <v/>
      </c>
      <c r="DU77">
        <f>IF($P$4="",1,IF($P$4="(blank)",--('Final Calculation Sheet'!$O$22=""),IF($P$4="(nonblank)",--('Final Calculation Sheet'!$O$22&lt;&gt;""),--ISNUMBER(SEARCH($P$4,'Final Calculation Sheet'!$O$22)))))</f>
        <v/>
      </c>
      <c r="DV77">
        <f>IF($Q$4="",1,IF($Q$4="(blank)",--('Final Calculation Sheet'!$P$22=""),IF($Q$4="(nonblank)",--('Final Calculation Sheet'!$P$22&lt;&gt;""),--ISNUMBER(SEARCH($Q$4,'Final Calculation Sheet'!$P$22)))))</f>
        <v/>
      </c>
      <c r="DW77">
        <f>IF($R$4="",1,IF($R$4="(blank)",--('Final Calculation Sheet'!$Q$22=""),IF($R$4="(nonblank)",--('Final Calculation Sheet'!$Q$22&lt;&gt;""),--ISNUMBER(SEARCH($R$4,'Final Calculation Sheet'!$Q$22)))))</f>
        <v/>
      </c>
      <c r="DX77">
        <f>IF($S$4="",1,IF($S$4="(blank)",--('Final Calculation Sheet'!$R$22=""),IF($S$4="(nonblank)",--('Final Calculation Sheet'!$R$22&lt;&gt;""),--ISNUMBER(SEARCH($S$4,'Final Calculation Sheet'!$R$22)))))</f>
        <v/>
      </c>
      <c r="DY77">
        <f>IF($T$4="",1,IF($T$4="(blank)",--('Final Calculation Sheet'!$S$22=""),IF($T$4="(nonblank)",--('Final Calculation Sheet'!$S$22&lt;&gt;""),--ISNUMBER(SEARCH($T$4,'Final Calculation Sheet'!$S$22)))))</f>
        <v/>
      </c>
      <c r="DZ77">
        <f>IF($U$4="",1,IF($U$4="(blank)",--('Final Calculation Sheet'!$T$22=""),IF($U$4="(nonblank)",--('Final Calculation Sheet'!$T$22&lt;&gt;""),--ISNUMBER(SEARCH($U$4,'Final Calculation Sheet'!$T$22)))))</f>
        <v/>
      </c>
      <c r="EA77">
        <f>IF($V$4="",1,IF($V$4="(blank)",--('Final Calculation Sheet'!$U$22=""),IF($V$4="(nonblank)",--('Final Calculation Sheet'!$U$22&lt;&gt;""),--ISNUMBER(SEARCH($V$4,'Final Calculation Sheet'!$U$22)))))</f>
        <v/>
      </c>
      <c r="EB77">
        <f>IF($W$4="",1,IF($W$4="(blank)",--('Final Calculation Sheet'!$V$22=""),IF($W$4="(nonblank)",--('Final Calculation Sheet'!$V$22&lt;&gt;""),--ISNUMBER(SEARCH($W$4,'Final Calculation Sheet'!$V$22)))))</f>
        <v/>
      </c>
      <c r="EC77">
        <f>IF($X$4="",1,IF($X$4="(blank)",--('Final Calculation Sheet'!$W$22=""),IF($X$4="(nonblank)",--('Final Calculation Sheet'!$W$22&lt;&gt;""),--ISNUMBER(SEARCH($X$4,'Final Calculation Sheet'!$W$22)))))</f>
        <v/>
      </c>
      <c r="ED77">
        <f>IF($Y$4="",1,IF($Y$4="(blank)",--('Final Calculation Sheet'!$X$22=""),IF($Y$4="(nonblank)",--('Final Calculation Sheet'!$X$22&lt;&gt;""),--ISNUMBER(SEARCH($Y$4,'Final Calculation Sheet'!$X$22)))))</f>
        <v/>
      </c>
      <c r="EE77">
        <f>IF($Z$4="",1,IF($Z$4="(blank)",--('Final Calculation Sheet'!$Y$22=""),IF($Z$4="(nonblank)",--('Final Calculation Sheet'!$Y$22&lt;&gt;""),--ISNUMBER(SEARCH($Z$4,'Final Calculation Sheet'!$Y$22)))))</f>
        <v/>
      </c>
      <c r="EF77">
        <f>IF($AA$4="",1,IF($AA$4="(blank)",--('Final Calculation Sheet'!$Z$22=""),IF($AA$4="(nonblank)",--('Final Calculation Sheet'!$Z$22&lt;&gt;""),--ISNUMBER(SEARCH($AA$4,'Final Calculation Sheet'!$Z$22)))))</f>
        <v/>
      </c>
      <c r="EG77">
        <f>IF($AB$4="",1,IF($AB$4="(blank)",--('Final Calculation Sheet'!$AA$22=""),IF($AB$4="(nonblank)",--('Final Calculation Sheet'!$AA$22&lt;&gt;""),--ISNUMBER(SEARCH($AB$4,'Final Calculation Sheet'!$AA$22)))))</f>
        <v/>
      </c>
      <c r="EH77">
        <f>IF($AC$4="",1,IF($AC$4="(blank)",--('Final Calculation Sheet'!$AB$22=""),IF($AC$4="(nonblank)",--('Final Calculation Sheet'!$AB$22&lt;&gt;""),--ISNUMBER(SEARCH($AC$4,'Final Calculation Sheet'!$AB$22)))))</f>
        <v/>
      </c>
      <c r="EI77">
        <f>IF($AD$4="",1,IF($AD$4="(blank)",--('Final Calculation Sheet'!$AC$22=""),IF($AD$4="(nonblank)",--('Final Calculation Sheet'!$AC$22&lt;&gt;""),--ISNUMBER(SEARCH($AD$4,'Final Calculation Sheet'!$AC$22)))))</f>
        <v/>
      </c>
      <c r="EJ77">
        <f>IF($AE$4="",1,IF($AE$4="(blank)",--('Final Calculation Sheet'!$AD$22=""),IF($AE$4="(nonblank)",--('Final Calculation Sheet'!$AD$22&lt;&gt;""),--ISNUMBER(SEARCH($AE$4,'Final Calculation Sheet'!$AD$22)))))</f>
        <v/>
      </c>
      <c r="EK77">
        <f>IF($AF$4="",1,IF($AF$4="(blank)",--(IF('Final Calculation Sheet'!$AD$22&lt;=5,"SETTLED","OUTSTANDING")=""),IF($AF$4="(nonblank)",--(IF('Final Calculation Sheet'!$AD$22&lt;=5,"SETTLED","OUTSTANDING")&lt;&gt;""),--ISNUMBER(SEARCH($AF$4,IF('Final Calculation Sheet'!$AD$22&lt;=5,"SETTLED","OUTSTANDING"))))))</f>
        <v/>
      </c>
      <c r="EL77">
        <f>IF($AG$4="",1,IF($AG$4="(blank)",--('Final Calculation Sheet'!$AF$22=""),IF($AG$4="(nonblank)",--('Final Calculation Sheet'!$AF$22&lt;&gt;""),--ISNUMBER(SEARCH($AG$4,'Final Calculation Sheet'!$AF$22)))))</f>
        <v/>
      </c>
      <c r="EM77">
        <f>IF($AH$4="",1,IF($AH$4="(blank)",--('Final Calculation Sheet'!$AG$22=""),IF($AH$4="(nonblank)",--('Final Calculation Sheet'!$AG$22&lt;&gt;""),--ISNUMBER(SEARCH($AH$4,'Final Calculation Sheet'!$AG$22)))))</f>
        <v/>
      </c>
      <c r="EN77">
        <f>IF($AI$4="",1,IF($AI$4="(blank)",--('Final Calculation Sheet'!$AH$22=""),IF($AI$4="(nonblank)",--('Final Calculation Sheet'!$AH$22&lt;&gt;""),--ISNUMBER(SEARCH($AI$4,'Final Calculation Sheet'!$AH$22)))))</f>
        <v/>
      </c>
    </row>
    <row r="78">
      <c r="AM78">
        <f>AM77+IF(AND(Lists!$O$25&lt;&gt;"",ISNUMBER(SEARCH($B$4,Lists!$O$25))),1,0)</f>
        <v/>
      </c>
      <c r="AN78">
        <f>IF(ROW()-56&gt;MAX($AM$57:$AM$95),"",INDEX(Lists!$O$4:$O$42,MATCH(ROW()-56,$AM$57:$AM$95,0)))</f>
        <v/>
      </c>
      <c r="AO78">
        <f>AO77+IF(AND(Lists!$T$25&lt;&gt;"",ISNUMBER(SEARCH($C$4,Lists!$T$25))),1,0)</f>
        <v/>
      </c>
      <c r="AP78">
        <f>IF(ROW()-56&gt;MAX($AO$57:$AO$95),"",INDEX(Lists!$T$4:$T$42,MATCH(ROW()-56,$AO$57:$AO$95,0)))</f>
        <v/>
      </c>
      <c r="AQ78">
        <f>AQ77+IF(AND(Lists!$Y$25&lt;&gt;"",ISNUMBER(SEARCH($D$4,Lists!$Y$25))),1,0)</f>
        <v/>
      </c>
      <c r="AR78">
        <f>IF(ROW()-56&gt;MAX($AQ$57:$AQ$95),"",INDEX(Lists!$Y$4:$Y$42,MATCH(ROW()-56,$AQ$57:$AQ$95,0)))</f>
        <v/>
      </c>
      <c r="AS78">
        <f>AS77+IF(AND(Lists!$AD$25&lt;&gt;"",ISNUMBER(SEARCH($E$4,Lists!$AD$25))),1,0)</f>
        <v/>
      </c>
      <c r="AT78">
        <f>IF(ROW()-56&gt;MAX($AS$57:$AS$95),"",INDEX(Lists!$AD$4:$AD$42,MATCH(ROW()-56,$AS$57:$AS$95,0)))</f>
        <v/>
      </c>
      <c r="AU78">
        <f>AU77+IF(AND(Lists!$AI$25&lt;&gt;"",ISNUMBER(SEARCH($F$4,Lists!$AI$25))),1,0)</f>
        <v/>
      </c>
      <c r="AV78">
        <f>IF(ROW()-56&gt;MAX($AU$57:$AU$95),"",INDEX(Lists!$AI$4:$AI$42,MATCH(ROW()-56,$AU$57:$AU$95,0)))</f>
        <v/>
      </c>
      <c r="AW78">
        <f>AW77+IF(AND(Lists!$AN$25&lt;&gt;"",ISNUMBER(SEARCH($G$4,Lists!$AN$25))),1,0)</f>
        <v/>
      </c>
      <c r="AX78">
        <f>IF(ROW()-56&gt;MAX($AW$57:$AW$95),"",INDEX(Lists!$AN$4:$AN$42,MATCH(ROW()-56,$AW$57:$AW$95,0)))</f>
        <v/>
      </c>
      <c r="AY78">
        <f>AY77+IF(AND(Lists!$AS$25&lt;&gt;"",ISNUMBER(SEARCH($H$4,Lists!$AS$25))),1,0)</f>
        <v/>
      </c>
      <c r="AZ78">
        <f>IF(ROW()-56&gt;MAX($AY$57:$AY$95),"",INDEX(Lists!$AS$4:$AS$42,MATCH(ROW()-56,$AY$57:$AY$95,0)))</f>
        <v/>
      </c>
      <c r="BA78">
        <f>BA77+IF(AND(Lists!$AX$25&lt;&gt;"",ISNUMBER(SEARCH($I$4,Lists!$AX$25))),1,0)</f>
        <v/>
      </c>
      <c r="BB78">
        <f>IF(ROW()-56&gt;MAX($BA$57:$BA$95),"",INDEX(Lists!$AX$4:$AX$42,MATCH(ROW()-56,$BA$57:$BA$95,0)))</f>
        <v/>
      </c>
      <c r="BC78">
        <f>BC77+IF(AND(Lists!$BC$25&lt;&gt;"",ISNUMBER(SEARCH($J$4,Lists!$BC$25))),1,0)</f>
        <v/>
      </c>
      <c r="BD78">
        <f>IF(ROW()-56&gt;MAX($BC$57:$BC$95),"",INDEX(Lists!$BC$4:$BC$42,MATCH(ROW()-56,$BC$57:$BC$95,0)))</f>
        <v/>
      </c>
      <c r="BE78">
        <f>BE77+IF(AND(Lists!$BH$25&lt;&gt;"",ISNUMBER(SEARCH($K$4,Lists!$BH$25))),1,0)</f>
        <v/>
      </c>
      <c r="BF78">
        <f>IF(ROW()-56&gt;MAX($BE$57:$BE$95),"",INDEX(Lists!$BH$4:$BH$42,MATCH(ROW()-56,$BE$57:$BE$95,0)))</f>
        <v/>
      </c>
      <c r="BG78">
        <f>BG77+IF(AND(Lists!$BM$25&lt;&gt;"",ISNUMBER(SEARCH($L$4,Lists!$BM$25))),1,0)</f>
        <v/>
      </c>
      <c r="BH78">
        <f>IF(ROW()-56&gt;MAX($BG$57:$BG$95),"",INDEX(Lists!$BM$4:$BM$42,MATCH(ROW()-56,$BG$57:$BG$95,0)))</f>
        <v/>
      </c>
      <c r="BI78">
        <f>BI77+IF(AND(Lists!$BR$25&lt;&gt;"",ISNUMBER(SEARCH($M$4,Lists!$BR$25))),1,0)</f>
        <v/>
      </c>
      <c r="BJ78">
        <f>IF(ROW()-56&gt;MAX($BI$57:$BI$95),"",INDEX(Lists!$BR$4:$BR$42,MATCH(ROW()-56,$BI$57:$BI$95,0)))</f>
        <v/>
      </c>
      <c r="BK78">
        <f>BK77+IF(AND(Lists!$BW$25&lt;&gt;"",ISNUMBER(SEARCH($N$4,Lists!$BW$25))),1,0)</f>
        <v/>
      </c>
      <c r="BL78">
        <f>IF(ROW()-56&gt;MAX($BK$57:$BK$95),"",INDEX(Lists!$BW$4:$BW$42,MATCH(ROW()-56,$BK$57:$BK$95,0)))</f>
        <v/>
      </c>
      <c r="BM78">
        <f>BM77+IF(AND(Lists!$CB$25&lt;&gt;"",ISNUMBER(SEARCH($O$4,Lists!$CB$25))),1,0)</f>
        <v/>
      </c>
      <c r="BN78">
        <f>IF(ROW()-56&gt;MAX($BM$57:$BM$95),"",INDEX(Lists!$CB$4:$CB$42,MATCH(ROW()-56,$BM$57:$BM$95,0)))</f>
        <v/>
      </c>
      <c r="BO78">
        <f>BO77+IF(AND(Lists!$CG$25&lt;&gt;"",ISNUMBER(SEARCH($P$4,Lists!$CG$25))),1,0)</f>
        <v/>
      </c>
      <c r="BP78">
        <f>IF(ROW()-56&gt;MAX($BO$57:$BO$95),"",INDEX(Lists!$CG$4:$CG$42,MATCH(ROW()-56,$BO$57:$BO$95,0)))</f>
        <v/>
      </c>
      <c r="BQ78">
        <f>BQ77+IF(AND(Lists!$CL$25&lt;&gt;"",ISNUMBER(SEARCH($Q$4,Lists!$CL$25))),1,0)</f>
        <v/>
      </c>
      <c r="BR78">
        <f>IF(ROW()-56&gt;MAX($BQ$57:$BQ$95),"",INDEX(Lists!$CL$4:$CL$42,MATCH(ROW()-56,$BQ$57:$BQ$95,0)))</f>
        <v/>
      </c>
      <c r="BS78">
        <f>BS77+IF(AND(Lists!$CQ$25&lt;&gt;"",ISNUMBER(SEARCH($R$4,Lists!$CQ$25))),1,0)</f>
        <v/>
      </c>
      <c r="BT78">
        <f>IF(ROW()-56&gt;MAX($BS$57:$BS$95),"",INDEX(Lists!$CQ$4:$CQ$42,MATCH(ROW()-56,$BS$57:$BS$95,0)))</f>
        <v/>
      </c>
      <c r="BU78">
        <f>BU77+IF(AND(Lists!$CV$25&lt;&gt;"",ISNUMBER(SEARCH($S$4,Lists!$CV$25))),1,0)</f>
        <v/>
      </c>
      <c r="BV78">
        <f>IF(ROW()-56&gt;MAX($BU$57:$BU$95),"",INDEX(Lists!$CV$4:$CV$42,MATCH(ROW()-56,$BU$57:$BU$95,0)))</f>
        <v/>
      </c>
      <c r="BW78">
        <f>BW77+IF(AND(Lists!$DA$25&lt;&gt;"",ISNUMBER(SEARCH($T$4,Lists!$DA$25))),1,0)</f>
        <v/>
      </c>
      <c r="BX78">
        <f>IF(ROW()-56&gt;MAX($BW$57:$BW$95),"",INDEX(Lists!$DA$4:$DA$42,MATCH(ROW()-56,$BW$57:$BW$95,0)))</f>
        <v/>
      </c>
      <c r="BY78">
        <f>BY77+IF(AND(Lists!$DF$25&lt;&gt;"",ISNUMBER(SEARCH($U$4,Lists!$DF$25))),1,0)</f>
        <v/>
      </c>
      <c r="BZ78">
        <f>IF(ROW()-56&gt;MAX($BY$57:$BY$95),"",INDEX(Lists!$DF$4:$DF$42,MATCH(ROW()-56,$BY$57:$BY$95,0)))</f>
        <v/>
      </c>
      <c r="CA78">
        <f>CA77+IF(AND(Lists!$DK$25&lt;&gt;"",ISNUMBER(SEARCH($V$4,Lists!$DK$25))),1,0)</f>
        <v/>
      </c>
      <c r="CB78">
        <f>IF(ROW()-56&gt;MAX($CA$57:$CA$95),"",INDEX(Lists!$DK$4:$DK$42,MATCH(ROW()-56,$CA$57:$CA$95,0)))</f>
        <v/>
      </c>
      <c r="CC78">
        <f>CC77+IF(AND(Lists!$DP$25&lt;&gt;"",ISNUMBER(SEARCH($W$4,Lists!$DP$25))),1,0)</f>
        <v/>
      </c>
      <c r="CD78">
        <f>IF(ROW()-56&gt;MAX($CC$57:$CC$95),"",INDEX(Lists!$DP$4:$DP$42,MATCH(ROW()-56,$CC$57:$CC$95,0)))</f>
        <v/>
      </c>
      <c r="CE78">
        <f>CE77+IF(AND(Lists!$DU$25&lt;&gt;"",ISNUMBER(SEARCH($X$4,Lists!$DU$25))),1,0)</f>
        <v/>
      </c>
      <c r="CF78">
        <f>IF(ROW()-56&gt;MAX($CE$57:$CE$95),"",INDEX(Lists!$DU$4:$DU$42,MATCH(ROW()-56,$CE$57:$CE$95,0)))</f>
        <v/>
      </c>
      <c r="CG78">
        <f>CG77+IF(AND(Lists!$DZ$25&lt;&gt;"",ISNUMBER(SEARCH($Y$4,Lists!$DZ$25))),1,0)</f>
        <v/>
      </c>
      <c r="CH78">
        <f>IF(ROW()-56&gt;MAX($CG$57:$CG$95),"",INDEX(Lists!$DZ$4:$DZ$42,MATCH(ROW()-56,$CG$57:$CG$95,0)))</f>
        <v/>
      </c>
      <c r="CI78">
        <f>CI77+IF(AND(Lists!$EE$25&lt;&gt;"",ISNUMBER(SEARCH($Z$4,Lists!$EE$25))),1,0)</f>
        <v/>
      </c>
      <c r="CJ78">
        <f>IF(ROW()-56&gt;MAX($CI$57:$CI$95),"",INDEX(Lists!$EE$4:$EE$42,MATCH(ROW()-56,$CI$57:$CI$95,0)))</f>
        <v/>
      </c>
      <c r="CK78">
        <f>CK77+IF(AND(Lists!$EJ$25&lt;&gt;"",ISNUMBER(SEARCH($AA$4,Lists!$EJ$25))),1,0)</f>
        <v/>
      </c>
      <c r="CL78">
        <f>IF(ROW()-56&gt;MAX($CK$57:$CK$95),"",INDEX(Lists!$EJ$4:$EJ$42,MATCH(ROW()-56,$CK$57:$CK$95,0)))</f>
        <v/>
      </c>
      <c r="CM78">
        <f>CM77+IF(AND(Lists!$EO$25&lt;&gt;"",ISNUMBER(SEARCH($AB$4,Lists!$EO$25))),1,0)</f>
        <v/>
      </c>
      <c r="CN78">
        <f>IF(ROW()-56&gt;MAX($CM$57:$CM$95),"",INDEX(Lists!$EO$4:$EO$42,MATCH(ROW()-56,$CM$57:$CM$95,0)))</f>
        <v/>
      </c>
      <c r="CO78">
        <f>CO77+IF(AND(Lists!$ET$25&lt;&gt;"",ISNUMBER(SEARCH($AC$4,Lists!$ET$25))),1,0)</f>
        <v/>
      </c>
      <c r="CP78">
        <f>IF(ROW()-56&gt;MAX($CO$57:$CO$95),"",INDEX(Lists!$ET$4:$ET$42,MATCH(ROW()-56,$CO$57:$CO$95,0)))</f>
        <v/>
      </c>
      <c r="CQ78">
        <f>CQ77+IF(AND(Lists!$EY$25&lt;&gt;"",ISNUMBER(SEARCH($AD$4,Lists!$EY$25))),1,0)</f>
        <v/>
      </c>
      <c r="CR78">
        <f>IF(ROW()-56&gt;MAX($CQ$57:$CQ$95),"",INDEX(Lists!$EY$4:$EY$42,MATCH(ROW()-56,$CQ$57:$CQ$95,0)))</f>
        <v/>
      </c>
      <c r="CS78">
        <f>CS77+IF(AND(Lists!$FD$25&lt;&gt;"",ISNUMBER(SEARCH($AE$4,Lists!$FD$25))),1,0)</f>
        <v/>
      </c>
      <c r="CT78">
        <f>IF(ROW()-56&gt;MAX($CS$57:$CS$95),"",INDEX(Lists!$FD$4:$FD$42,MATCH(ROW()-56,$CS$57:$CS$95,0)))</f>
        <v/>
      </c>
      <c r="CU78">
        <f>CU77+IF(AND(Lists!$FI$25&lt;&gt;"",ISNUMBER(SEARCH($AG$4,Lists!$FI$25))),1,0)</f>
        <v/>
      </c>
      <c r="CV78">
        <f>IF(ROW()-56&gt;MAX($CU$57:$CU$95),"",INDEX(Lists!$FI$4:$FI$42,MATCH(ROW()-56,$CU$57:$CU$95,0)))</f>
        <v/>
      </c>
      <c r="CW78">
        <f>CW77+IF(AND(Lists!$FN$25&lt;&gt;"",ISNUMBER(SEARCH($AH$4,Lists!$FN$25))),1,0)</f>
        <v/>
      </c>
      <c r="CX78">
        <f>IF(ROW()-56&gt;MAX($CW$57:$CW$95),"",INDEX(Lists!$FN$4:$FN$42,MATCH(ROW()-56,$CW$57:$CW$95,0)))</f>
        <v/>
      </c>
      <c r="CY78">
        <f>CY77+IF(AND(Lists!$FS$25&lt;&gt;"",ISNUMBER(SEARCH($AI$4,Lists!$FS$25))),1,0)</f>
        <v/>
      </c>
      <c r="CZ78">
        <f>IF(ROW()-56&gt;MAX($CY$57:$CY$95),"",INDEX(Lists!$FS$4:$FS$42,MATCH(ROW()-56,$CY$57:$CY$95,0)))</f>
        <v/>
      </c>
      <c r="DA78">
        <f>DA77+IF(AND(Lists!$FX$25&lt;&gt;"",ISNUMBER(SEARCH($AF$4,Lists!$FX$25))),1,0)</f>
        <v/>
      </c>
      <c r="DB78">
        <f>IF(ROW()-56&gt;MAX($DA$57:$DA$95),"",INDEX(Lists!$FX$4:$FX$42,MATCH(ROW()-56,$DA$57:$DA$95,0)))</f>
        <v/>
      </c>
      <c r="DG78">
        <f>IF($B$4="",1,IF($B$4="(blank)",--('Final Calculation Sheet'!$F$23=""),IF($B$4="(nonblank)",--('Final Calculation Sheet'!$F$23&lt;&gt;""),--ISNUMBER(SEARCH($B$4,'Final Calculation Sheet'!$F$23)))))</f>
        <v/>
      </c>
      <c r="DH78">
        <f>IF($C$4="",1,IF($C$4="(blank)",--('Final Calculation Sheet'!$G$23=""),IF($C$4="(nonblank)",--('Final Calculation Sheet'!$G$23&lt;&gt;""),--ISNUMBER(SEARCH($C$4,'Final Calculation Sheet'!$G$23)))))</f>
        <v/>
      </c>
      <c r="DI78">
        <f>IF($D$4="",1,IF($D$4="(blank)",--('Final Calculation Sheet'!$B$23=""),IF($D$4="(nonblank)",--('Final Calculation Sheet'!$B$23&lt;&gt;""),--ISNUMBER(SEARCH($D$4,'Final Calculation Sheet'!$B$23)))))</f>
        <v/>
      </c>
      <c r="DJ78">
        <f>IF($E$4="",1,IF($E$4="(blank)",--('Final Calculation Sheet'!$D$23=""),IF($E$4="(nonblank)",--('Final Calculation Sheet'!$D$23&lt;&gt;""),--ISNUMBER(SEARCH($E$4,'Final Calculation Sheet'!$D$23)))))</f>
        <v/>
      </c>
      <c r="DK78">
        <f>IF($F$4="",1,IF($F$4="(blank)",--('Final Calculation Sheet'!$A$23=""),IF($F$4="(nonblank)",--('Final Calculation Sheet'!$A$23&lt;&gt;""),--ISNUMBER(SEARCH($F$4,'Final Calculation Sheet'!$A$23)))))</f>
        <v/>
      </c>
      <c r="DL78">
        <f>IF($G$4="",1,IF($G$4="(blank)",--('Final Calculation Sheet'!$E$23=""),IF($G$4="(nonblank)",--('Final Calculation Sheet'!$E$23&lt;&gt;""),--ISNUMBER(SEARCH($G$4,'Final Calculation Sheet'!$E$23)))))</f>
        <v/>
      </c>
      <c r="DM78">
        <f>IF($H$4="",1,IF($H$4="(blank)",--('Final Calculation Sheet'!$C$23=""),IF($H$4="(nonblank)",--('Final Calculation Sheet'!$C$23&lt;&gt;""),--ISNUMBER(SEARCH($H$4,'Final Calculation Sheet'!$C$23)))))</f>
        <v/>
      </c>
      <c r="DN78">
        <f>IF($I$4="",1,IF($I$4="(blank)",--('Final Calculation Sheet'!$H$23=""),IF($I$4="(nonblank)",--('Final Calculation Sheet'!$H$23&lt;&gt;""),--ISNUMBER(SEARCH($I$4,'Final Calculation Sheet'!$H$23)))))</f>
        <v/>
      </c>
      <c r="DO78">
        <f>IF($J$4="",1,IF($J$4="(blank)",--('Final Calculation Sheet'!$I$23=""),IF($J$4="(nonblank)",--('Final Calculation Sheet'!$I$23&lt;&gt;""),--ISNUMBER(SEARCH($J$4,'Final Calculation Sheet'!$I$23)))))</f>
        <v/>
      </c>
      <c r="DP78">
        <f>IF($K$4="",1,IF($K$4="(blank)",--('Final Calculation Sheet'!$J$23=""),IF($K$4="(nonblank)",--('Final Calculation Sheet'!$J$23&lt;&gt;""),--ISNUMBER(SEARCH($K$4,'Final Calculation Sheet'!$J$23)))))</f>
        <v/>
      </c>
      <c r="DQ78">
        <f>IF($L$4="",1,IF($L$4="(blank)",--('Final Calculation Sheet'!$K$23=""),IF($L$4="(nonblank)",--('Final Calculation Sheet'!$K$23&lt;&gt;""),--ISNUMBER(SEARCH($L$4,'Final Calculation Sheet'!$K$23)))))</f>
        <v/>
      </c>
      <c r="DR78">
        <f>IF($M$4="",1,IF($M$4="(blank)",--('Final Calculation Sheet'!$L$23=""),IF($M$4="(nonblank)",--('Final Calculation Sheet'!$L$23&lt;&gt;""),--ISNUMBER(SEARCH($M$4,'Final Calculation Sheet'!$L$23)))))</f>
        <v/>
      </c>
      <c r="DS78">
        <f>IF($N$4="",1,IF($N$4="(blank)",--('Final Calculation Sheet'!$M$23=""),IF($N$4="(nonblank)",--('Final Calculation Sheet'!$M$23&lt;&gt;""),--ISNUMBER(SEARCH($N$4,'Final Calculation Sheet'!$M$23)))))</f>
        <v/>
      </c>
      <c r="DT78">
        <f>IF($O$4="",1,IF($O$4="(blank)",--('Final Calculation Sheet'!$N$23=""),IF($O$4="(nonblank)",--('Final Calculation Sheet'!$N$23&lt;&gt;""),--ISNUMBER(SEARCH($O$4,'Final Calculation Sheet'!$N$23)))))</f>
        <v/>
      </c>
      <c r="DU78">
        <f>IF($P$4="",1,IF($P$4="(blank)",--('Final Calculation Sheet'!$O$23=""),IF($P$4="(nonblank)",--('Final Calculation Sheet'!$O$23&lt;&gt;""),--ISNUMBER(SEARCH($P$4,'Final Calculation Sheet'!$O$23)))))</f>
        <v/>
      </c>
      <c r="DV78">
        <f>IF($Q$4="",1,IF($Q$4="(blank)",--('Final Calculation Sheet'!$P$23=""),IF($Q$4="(nonblank)",--('Final Calculation Sheet'!$P$23&lt;&gt;""),--ISNUMBER(SEARCH($Q$4,'Final Calculation Sheet'!$P$23)))))</f>
        <v/>
      </c>
      <c r="DW78">
        <f>IF($R$4="",1,IF($R$4="(blank)",--('Final Calculation Sheet'!$Q$23=""),IF($R$4="(nonblank)",--('Final Calculation Sheet'!$Q$23&lt;&gt;""),--ISNUMBER(SEARCH($R$4,'Final Calculation Sheet'!$Q$23)))))</f>
        <v/>
      </c>
      <c r="DX78">
        <f>IF($S$4="",1,IF($S$4="(blank)",--('Final Calculation Sheet'!$R$23=""),IF($S$4="(nonblank)",--('Final Calculation Sheet'!$R$23&lt;&gt;""),--ISNUMBER(SEARCH($S$4,'Final Calculation Sheet'!$R$23)))))</f>
        <v/>
      </c>
      <c r="DY78">
        <f>IF($T$4="",1,IF($T$4="(blank)",--('Final Calculation Sheet'!$S$23=""),IF($T$4="(nonblank)",--('Final Calculation Sheet'!$S$23&lt;&gt;""),--ISNUMBER(SEARCH($T$4,'Final Calculation Sheet'!$S$23)))))</f>
        <v/>
      </c>
      <c r="DZ78">
        <f>IF($U$4="",1,IF($U$4="(blank)",--('Final Calculation Sheet'!$T$23=""),IF($U$4="(nonblank)",--('Final Calculation Sheet'!$T$23&lt;&gt;""),--ISNUMBER(SEARCH($U$4,'Final Calculation Sheet'!$T$23)))))</f>
        <v/>
      </c>
      <c r="EA78">
        <f>IF($V$4="",1,IF($V$4="(blank)",--('Final Calculation Sheet'!$U$23=""),IF($V$4="(nonblank)",--('Final Calculation Sheet'!$U$23&lt;&gt;""),--ISNUMBER(SEARCH($V$4,'Final Calculation Sheet'!$U$23)))))</f>
        <v/>
      </c>
      <c r="EB78">
        <f>IF($W$4="",1,IF($W$4="(blank)",--('Final Calculation Sheet'!$V$23=""),IF($W$4="(nonblank)",--('Final Calculation Sheet'!$V$23&lt;&gt;""),--ISNUMBER(SEARCH($W$4,'Final Calculation Sheet'!$V$23)))))</f>
        <v/>
      </c>
      <c r="EC78">
        <f>IF($X$4="",1,IF($X$4="(blank)",--('Final Calculation Sheet'!$W$23=""),IF($X$4="(nonblank)",--('Final Calculation Sheet'!$W$23&lt;&gt;""),--ISNUMBER(SEARCH($X$4,'Final Calculation Sheet'!$W$23)))))</f>
        <v/>
      </c>
      <c r="ED78">
        <f>IF($Y$4="",1,IF($Y$4="(blank)",--('Final Calculation Sheet'!$X$23=""),IF($Y$4="(nonblank)",--('Final Calculation Sheet'!$X$23&lt;&gt;""),--ISNUMBER(SEARCH($Y$4,'Final Calculation Sheet'!$X$23)))))</f>
        <v/>
      </c>
      <c r="EE78">
        <f>IF($Z$4="",1,IF($Z$4="(blank)",--('Final Calculation Sheet'!$Y$23=""),IF($Z$4="(nonblank)",--('Final Calculation Sheet'!$Y$23&lt;&gt;""),--ISNUMBER(SEARCH($Z$4,'Final Calculation Sheet'!$Y$23)))))</f>
        <v/>
      </c>
      <c r="EF78">
        <f>IF($AA$4="",1,IF($AA$4="(blank)",--('Final Calculation Sheet'!$Z$23=""),IF($AA$4="(nonblank)",--('Final Calculation Sheet'!$Z$23&lt;&gt;""),--ISNUMBER(SEARCH($AA$4,'Final Calculation Sheet'!$Z$23)))))</f>
        <v/>
      </c>
      <c r="EG78">
        <f>IF($AB$4="",1,IF($AB$4="(blank)",--('Final Calculation Sheet'!$AA$23=""),IF($AB$4="(nonblank)",--('Final Calculation Sheet'!$AA$23&lt;&gt;""),--ISNUMBER(SEARCH($AB$4,'Final Calculation Sheet'!$AA$23)))))</f>
        <v/>
      </c>
      <c r="EH78">
        <f>IF($AC$4="",1,IF($AC$4="(blank)",--('Final Calculation Sheet'!$AB$23=""),IF($AC$4="(nonblank)",--('Final Calculation Sheet'!$AB$23&lt;&gt;""),--ISNUMBER(SEARCH($AC$4,'Final Calculation Sheet'!$AB$23)))))</f>
        <v/>
      </c>
      <c r="EI78">
        <f>IF($AD$4="",1,IF($AD$4="(blank)",--('Final Calculation Sheet'!$AC$23=""),IF($AD$4="(nonblank)",--('Final Calculation Sheet'!$AC$23&lt;&gt;""),--ISNUMBER(SEARCH($AD$4,'Final Calculation Sheet'!$AC$23)))))</f>
        <v/>
      </c>
      <c r="EJ78">
        <f>IF($AE$4="",1,IF($AE$4="(blank)",--('Final Calculation Sheet'!$AD$23=""),IF($AE$4="(nonblank)",--('Final Calculation Sheet'!$AD$23&lt;&gt;""),--ISNUMBER(SEARCH($AE$4,'Final Calculation Sheet'!$AD$23)))))</f>
        <v/>
      </c>
      <c r="EK78">
        <f>IF($AF$4="",1,IF($AF$4="(blank)",--(IF('Final Calculation Sheet'!$AD$23&lt;=5,"SETTLED","OUTSTANDING")=""),IF($AF$4="(nonblank)",--(IF('Final Calculation Sheet'!$AD$23&lt;=5,"SETTLED","OUTSTANDING")&lt;&gt;""),--ISNUMBER(SEARCH($AF$4,IF('Final Calculation Sheet'!$AD$23&lt;=5,"SETTLED","OUTSTANDING"))))))</f>
        <v/>
      </c>
      <c r="EL78">
        <f>IF($AG$4="",1,IF($AG$4="(blank)",--('Final Calculation Sheet'!$AF$23=""),IF($AG$4="(nonblank)",--('Final Calculation Sheet'!$AF$23&lt;&gt;""),--ISNUMBER(SEARCH($AG$4,'Final Calculation Sheet'!$AF$23)))))</f>
        <v/>
      </c>
      <c r="EM78">
        <f>IF($AH$4="",1,IF($AH$4="(blank)",--('Final Calculation Sheet'!$AG$23=""),IF($AH$4="(nonblank)",--('Final Calculation Sheet'!$AG$23&lt;&gt;""),--ISNUMBER(SEARCH($AH$4,'Final Calculation Sheet'!$AG$23)))))</f>
        <v/>
      </c>
      <c r="EN78">
        <f>IF($AI$4="",1,IF($AI$4="(blank)",--('Final Calculation Sheet'!$AH$23=""),IF($AI$4="(nonblank)",--('Final Calculation Sheet'!$AH$23&lt;&gt;""),--ISNUMBER(SEARCH($AI$4,'Final Calculation Sheet'!$AH$23)))))</f>
        <v/>
      </c>
    </row>
    <row r="79">
      <c r="AM79">
        <f>AM78+IF(AND(Lists!$O$26&lt;&gt;"",ISNUMBER(SEARCH($B$4,Lists!$O$26))),1,0)</f>
        <v/>
      </c>
      <c r="AN79">
        <f>IF(ROW()-56&gt;MAX($AM$57:$AM$95),"",INDEX(Lists!$O$4:$O$42,MATCH(ROW()-56,$AM$57:$AM$95,0)))</f>
        <v/>
      </c>
      <c r="AO79">
        <f>AO78+IF(AND(Lists!$T$26&lt;&gt;"",ISNUMBER(SEARCH($C$4,Lists!$T$26))),1,0)</f>
        <v/>
      </c>
      <c r="AP79">
        <f>IF(ROW()-56&gt;MAX($AO$57:$AO$95),"",INDEX(Lists!$T$4:$T$42,MATCH(ROW()-56,$AO$57:$AO$95,0)))</f>
        <v/>
      </c>
      <c r="AQ79">
        <f>AQ78+IF(AND(Lists!$Y$26&lt;&gt;"",ISNUMBER(SEARCH($D$4,Lists!$Y$26))),1,0)</f>
        <v/>
      </c>
      <c r="AR79">
        <f>IF(ROW()-56&gt;MAX($AQ$57:$AQ$95),"",INDEX(Lists!$Y$4:$Y$42,MATCH(ROW()-56,$AQ$57:$AQ$95,0)))</f>
        <v/>
      </c>
      <c r="AS79">
        <f>AS78+IF(AND(Lists!$AD$26&lt;&gt;"",ISNUMBER(SEARCH($E$4,Lists!$AD$26))),1,0)</f>
        <v/>
      </c>
      <c r="AT79">
        <f>IF(ROW()-56&gt;MAX($AS$57:$AS$95),"",INDEX(Lists!$AD$4:$AD$42,MATCH(ROW()-56,$AS$57:$AS$95,0)))</f>
        <v/>
      </c>
      <c r="AU79">
        <f>AU78+IF(AND(Lists!$AI$26&lt;&gt;"",ISNUMBER(SEARCH($F$4,Lists!$AI$26))),1,0)</f>
        <v/>
      </c>
      <c r="AV79">
        <f>IF(ROW()-56&gt;MAX($AU$57:$AU$95),"",INDEX(Lists!$AI$4:$AI$42,MATCH(ROW()-56,$AU$57:$AU$95,0)))</f>
        <v/>
      </c>
      <c r="AW79">
        <f>AW78+IF(AND(Lists!$AN$26&lt;&gt;"",ISNUMBER(SEARCH($G$4,Lists!$AN$26))),1,0)</f>
        <v/>
      </c>
      <c r="AX79">
        <f>IF(ROW()-56&gt;MAX($AW$57:$AW$95),"",INDEX(Lists!$AN$4:$AN$42,MATCH(ROW()-56,$AW$57:$AW$95,0)))</f>
        <v/>
      </c>
      <c r="AY79">
        <f>AY78+IF(AND(Lists!$AS$26&lt;&gt;"",ISNUMBER(SEARCH($H$4,Lists!$AS$26))),1,0)</f>
        <v/>
      </c>
      <c r="AZ79">
        <f>IF(ROW()-56&gt;MAX($AY$57:$AY$95),"",INDEX(Lists!$AS$4:$AS$42,MATCH(ROW()-56,$AY$57:$AY$95,0)))</f>
        <v/>
      </c>
      <c r="BA79">
        <f>BA78+IF(AND(Lists!$AX$26&lt;&gt;"",ISNUMBER(SEARCH($I$4,Lists!$AX$26))),1,0)</f>
        <v/>
      </c>
      <c r="BB79">
        <f>IF(ROW()-56&gt;MAX($BA$57:$BA$95),"",INDEX(Lists!$AX$4:$AX$42,MATCH(ROW()-56,$BA$57:$BA$95,0)))</f>
        <v/>
      </c>
      <c r="BC79">
        <f>BC78+IF(AND(Lists!$BC$26&lt;&gt;"",ISNUMBER(SEARCH($J$4,Lists!$BC$26))),1,0)</f>
        <v/>
      </c>
      <c r="BD79">
        <f>IF(ROW()-56&gt;MAX($BC$57:$BC$95),"",INDEX(Lists!$BC$4:$BC$42,MATCH(ROW()-56,$BC$57:$BC$95,0)))</f>
        <v/>
      </c>
      <c r="BE79">
        <f>BE78+IF(AND(Lists!$BH$26&lt;&gt;"",ISNUMBER(SEARCH($K$4,Lists!$BH$26))),1,0)</f>
        <v/>
      </c>
      <c r="BF79">
        <f>IF(ROW()-56&gt;MAX($BE$57:$BE$95),"",INDEX(Lists!$BH$4:$BH$42,MATCH(ROW()-56,$BE$57:$BE$95,0)))</f>
        <v/>
      </c>
      <c r="BG79">
        <f>BG78+IF(AND(Lists!$BM$26&lt;&gt;"",ISNUMBER(SEARCH($L$4,Lists!$BM$26))),1,0)</f>
        <v/>
      </c>
      <c r="BH79">
        <f>IF(ROW()-56&gt;MAX($BG$57:$BG$95),"",INDEX(Lists!$BM$4:$BM$42,MATCH(ROW()-56,$BG$57:$BG$95,0)))</f>
        <v/>
      </c>
      <c r="BI79">
        <f>BI78+IF(AND(Lists!$BR$26&lt;&gt;"",ISNUMBER(SEARCH($M$4,Lists!$BR$26))),1,0)</f>
        <v/>
      </c>
      <c r="BJ79">
        <f>IF(ROW()-56&gt;MAX($BI$57:$BI$95),"",INDEX(Lists!$BR$4:$BR$42,MATCH(ROW()-56,$BI$57:$BI$95,0)))</f>
        <v/>
      </c>
      <c r="BK79">
        <f>BK78+IF(AND(Lists!$BW$26&lt;&gt;"",ISNUMBER(SEARCH($N$4,Lists!$BW$26))),1,0)</f>
        <v/>
      </c>
      <c r="BL79">
        <f>IF(ROW()-56&gt;MAX($BK$57:$BK$95),"",INDEX(Lists!$BW$4:$BW$42,MATCH(ROW()-56,$BK$57:$BK$95,0)))</f>
        <v/>
      </c>
      <c r="BM79">
        <f>BM78+IF(AND(Lists!$CB$26&lt;&gt;"",ISNUMBER(SEARCH($O$4,Lists!$CB$26))),1,0)</f>
        <v/>
      </c>
      <c r="BN79">
        <f>IF(ROW()-56&gt;MAX($BM$57:$BM$95),"",INDEX(Lists!$CB$4:$CB$42,MATCH(ROW()-56,$BM$57:$BM$95,0)))</f>
        <v/>
      </c>
      <c r="BO79">
        <f>BO78+IF(AND(Lists!$CG$26&lt;&gt;"",ISNUMBER(SEARCH($P$4,Lists!$CG$26))),1,0)</f>
        <v/>
      </c>
      <c r="BP79">
        <f>IF(ROW()-56&gt;MAX($BO$57:$BO$95),"",INDEX(Lists!$CG$4:$CG$42,MATCH(ROW()-56,$BO$57:$BO$95,0)))</f>
        <v/>
      </c>
      <c r="BQ79">
        <f>BQ78+IF(AND(Lists!$CL$26&lt;&gt;"",ISNUMBER(SEARCH($Q$4,Lists!$CL$26))),1,0)</f>
        <v/>
      </c>
      <c r="BR79">
        <f>IF(ROW()-56&gt;MAX($BQ$57:$BQ$95),"",INDEX(Lists!$CL$4:$CL$42,MATCH(ROW()-56,$BQ$57:$BQ$95,0)))</f>
        <v/>
      </c>
      <c r="BS79">
        <f>BS78+IF(AND(Lists!$CQ$26&lt;&gt;"",ISNUMBER(SEARCH($R$4,Lists!$CQ$26))),1,0)</f>
        <v/>
      </c>
      <c r="BT79">
        <f>IF(ROW()-56&gt;MAX($BS$57:$BS$95),"",INDEX(Lists!$CQ$4:$CQ$42,MATCH(ROW()-56,$BS$57:$BS$95,0)))</f>
        <v/>
      </c>
      <c r="BU79">
        <f>BU78+IF(AND(Lists!$CV$26&lt;&gt;"",ISNUMBER(SEARCH($S$4,Lists!$CV$26))),1,0)</f>
        <v/>
      </c>
      <c r="BV79">
        <f>IF(ROW()-56&gt;MAX($BU$57:$BU$95),"",INDEX(Lists!$CV$4:$CV$42,MATCH(ROW()-56,$BU$57:$BU$95,0)))</f>
        <v/>
      </c>
      <c r="BW79">
        <f>BW78+IF(AND(Lists!$DA$26&lt;&gt;"",ISNUMBER(SEARCH($T$4,Lists!$DA$26))),1,0)</f>
        <v/>
      </c>
      <c r="BX79">
        <f>IF(ROW()-56&gt;MAX($BW$57:$BW$95),"",INDEX(Lists!$DA$4:$DA$42,MATCH(ROW()-56,$BW$57:$BW$95,0)))</f>
        <v/>
      </c>
      <c r="BY79">
        <f>BY78+IF(AND(Lists!$DF$26&lt;&gt;"",ISNUMBER(SEARCH($U$4,Lists!$DF$26))),1,0)</f>
        <v/>
      </c>
      <c r="BZ79">
        <f>IF(ROW()-56&gt;MAX($BY$57:$BY$95),"",INDEX(Lists!$DF$4:$DF$42,MATCH(ROW()-56,$BY$57:$BY$95,0)))</f>
        <v/>
      </c>
      <c r="CA79">
        <f>CA78+IF(AND(Lists!$DK$26&lt;&gt;"",ISNUMBER(SEARCH($V$4,Lists!$DK$26))),1,0)</f>
        <v/>
      </c>
      <c r="CB79">
        <f>IF(ROW()-56&gt;MAX($CA$57:$CA$95),"",INDEX(Lists!$DK$4:$DK$42,MATCH(ROW()-56,$CA$57:$CA$95,0)))</f>
        <v/>
      </c>
      <c r="CC79">
        <f>CC78+IF(AND(Lists!$DP$26&lt;&gt;"",ISNUMBER(SEARCH($W$4,Lists!$DP$26))),1,0)</f>
        <v/>
      </c>
      <c r="CD79">
        <f>IF(ROW()-56&gt;MAX($CC$57:$CC$95),"",INDEX(Lists!$DP$4:$DP$42,MATCH(ROW()-56,$CC$57:$CC$95,0)))</f>
        <v/>
      </c>
      <c r="CE79">
        <f>CE78+IF(AND(Lists!$DU$26&lt;&gt;"",ISNUMBER(SEARCH($X$4,Lists!$DU$26))),1,0)</f>
        <v/>
      </c>
      <c r="CF79">
        <f>IF(ROW()-56&gt;MAX($CE$57:$CE$95),"",INDEX(Lists!$DU$4:$DU$42,MATCH(ROW()-56,$CE$57:$CE$95,0)))</f>
        <v/>
      </c>
      <c r="CG79">
        <f>CG78+IF(AND(Lists!$DZ$26&lt;&gt;"",ISNUMBER(SEARCH($Y$4,Lists!$DZ$26))),1,0)</f>
        <v/>
      </c>
      <c r="CH79">
        <f>IF(ROW()-56&gt;MAX($CG$57:$CG$95),"",INDEX(Lists!$DZ$4:$DZ$42,MATCH(ROW()-56,$CG$57:$CG$95,0)))</f>
        <v/>
      </c>
      <c r="CI79">
        <f>CI78+IF(AND(Lists!$EE$26&lt;&gt;"",ISNUMBER(SEARCH($Z$4,Lists!$EE$26))),1,0)</f>
        <v/>
      </c>
      <c r="CJ79">
        <f>IF(ROW()-56&gt;MAX($CI$57:$CI$95),"",INDEX(Lists!$EE$4:$EE$42,MATCH(ROW()-56,$CI$57:$CI$95,0)))</f>
        <v/>
      </c>
      <c r="CK79">
        <f>CK78+IF(AND(Lists!$EJ$26&lt;&gt;"",ISNUMBER(SEARCH($AA$4,Lists!$EJ$26))),1,0)</f>
        <v/>
      </c>
      <c r="CL79">
        <f>IF(ROW()-56&gt;MAX($CK$57:$CK$95),"",INDEX(Lists!$EJ$4:$EJ$42,MATCH(ROW()-56,$CK$57:$CK$95,0)))</f>
        <v/>
      </c>
      <c r="CM79">
        <f>CM78+IF(AND(Lists!$EO$26&lt;&gt;"",ISNUMBER(SEARCH($AB$4,Lists!$EO$26))),1,0)</f>
        <v/>
      </c>
      <c r="CN79">
        <f>IF(ROW()-56&gt;MAX($CM$57:$CM$95),"",INDEX(Lists!$EO$4:$EO$42,MATCH(ROW()-56,$CM$57:$CM$95,0)))</f>
        <v/>
      </c>
      <c r="CO79">
        <f>CO78+IF(AND(Lists!$ET$26&lt;&gt;"",ISNUMBER(SEARCH($AC$4,Lists!$ET$26))),1,0)</f>
        <v/>
      </c>
      <c r="CP79">
        <f>IF(ROW()-56&gt;MAX($CO$57:$CO$95),"",INDEX(Lists!$ET$4:$ET$42,MATCH(ROW()-56,$CO$57:$CO$95,0)))</f>
        <v/>
      </c>
      <c r="CQ79">
        <f>CQ78+IF(AND(Lists!$EY$26&lt;&gt;"",ISNUMBER(SEARCH($AD$4,Lists!$EY$26))),1,0)</f>
        <v/>
      </c>
      <c r="CR79">
        <f>IF(ROW()-56&gt;MAX($CQ$57:$CQ$95),"",INDEX(Lists!$EY$4:$EY$42,MATCH(ROW()-56,$CQ$57:$CQ$95,0)))</f>
        <v/>
      </c>
      <c r="CS79">
        <f>CS78+IF(AND(Lists!$FD$26&lt;&gt;"",ISNUMBER(SEARCH($AE$4,Lists!$FD$26))),1,0)</f>
        <v/>
      </c>
      <c r="CT79">
        <f>IF(ROW()-56&gt;MAX($CS$57:$CS$95),"",INDEX(Lists!$FD$4:$FD$42,MATCH(ROW()-56,$CS$57:$CS$95,0)))</f>
        <v/>
      </c>
      <c r="CU79">
        <f>CU78+IF(AND(Lists!$FI$26&lt;&gt;"",ISNUMBER(SEARCH($AG$4,Lists!$FI$26))),1,0)</f>
        <v/>
      </c>
      <c r="CV79">
        <f>IF(ROW()-56&gt;MAX($CU$57:$CU$95),"",INDEX(Lists!$FI$4:$FI$42,MATCH(ROW()-56,$CU$57:$CU$95,0)))</f>
        <v/>
      </c>
      <c r="CW79">
        <f>CW78+IF(AND(Lists!$FN$26&lt;&gt;"",ISNUMBER(SEARCH($AH$4,Lists!$FN$26))),1,0)</f>
        <v/>
      </c>
      <c r="CX79">
        <f>IF(ROW()-56&gt;MAX($CW$57:$CW$95),"",INDEX(Lists!$FN$4:$FN$42,MATCH(ROW()-56,$CW$57:$CW$95,0)))</f>
        <v/>
      </c>
      <c r="CY79">
        <f>CY78+IF(AND(Lists!$FS$26&lt;&gt;"",ISNUMBER(SEARCH($AI$4,Lists!$FS$26))),1,0)</f>
        <v/>
      </c>
      <c r="CZ79">
        <f>IF(ROW()-56&gt;MAX($CY$57:$CY$95),"",INDEX(Lists!$FS$4:$FS$42,MATCH(ROW()-56,$CY$57:$CY$95,0)))</f>
        <v/>
      </c>
      <c r="DA79">
        <f>DA78+IF(AND(Lists!$FX$26&lt;&gt;"",ISNUMBER(SEARCH($AF$4,Lists!$FX$26))),1,0)</f>
        <v/>
      </c>
      <c r="DB79">
        <f>IF(ROW()-56&gt;MAX($DA$57:$DA$95),"",INDEX(Lists!$FX$4:$FX$42,MATCH(ROW()-56,$DA$57:$DA$95,0)))</f>
        <v/>
      </c>
      <c r="DG79">
        <f>IF($B$4="",1,IF($B$4="(blank)",--('Final Calculation Sheet'!$F$24=""),IF($B$4="(nonblank)",--('Final Calculation Sheet'!$F$24&lt;&gt;""),--ISNUMBER(SEARCH($B$4,'Final Calculation Sheet'!$F$24)))))</f>
        <v/>
      </c>
      <c r="DH79">
        <f>IF($C$4="",1,IF($C$4="(blank)",--('Final Calculation Sheet'!$G$24=""),IF($C$4="(nonblank)",--('Final Calculation Sheet'!$G$24&lt;&gt;""),--ISNUMBER(SEARCH($C$4,'Final Calculation Sheet'!$G$24)))))</f>
        <v/>
      </c>
      <c r="DI79">
        <f>IF($D$4="",1,IF($D$4="(blank)",--('Final Calculation Sheet'!$B$24=""),IF($D$4="(nonblank)",--('Final Calculation Sheet'!$B$24&lt;&gt;""),--ISNUMBER(SEARCH($D$4,'Final Calculation Sheet'!$B$24)))))</f>
        <v/>
      </c>
      <c r="DJ79">
        <f>IF($E$4="",1,IF($E$4="(blank)",--('Final Calculation Sheet'!$D$24=""),IF($E$4="(nonblank)",--('Final Calculation Sheet'!$D$24&lt;&gt;""),--ISNUMBER(SEARCH($E$4,'Final Calculation Sheet'!$D$24)))))</f>
        <v/>
      </c>
      <c r="DK79">
        <f>IF($F$4="",1,IF($F$4="(blank)",--('Final Calculation Sheet'!$A$24=""),IF($F$4="(nonblank)",--('Final Calculation Sheet'!$A$24&lt;&gt;""),--ISNUMBER(SEARCH($F$4,'Final Calculation Sheet'!$A$24)))))</f>
        <v/>
      </c>
      <c r="DL79">
        <f>IF($G$4="",1,IF($G$4="(blank)",--('Final Calculation Sheet'!$E$24=""),IF($G$4="(nonblank)",--('Final Calculation Sheet'!$E$24&lt;&gt;""),--ISNUMBER(SEARCH($G$4,'Final Calculation Sheet'!$E$24)))))</f>
        <v/>
      </c>
      <c r="DM79">
        <f>IF($H$4="",1,IF($H$4="(blank)",--('Final Calculation Sheet'!$C$24=""),IF($H$4="(nonblank)",--('Final Calculation Sheet'!$C$24&lt;&gt;""),--ISNUMBER(SEARCH($H$4,'Final Calculation Sheet'!$C$24)))))</f>
        <v/>
      </c>
      <c r="DN79">
        <f>IF($I$4="",1,IF($I$4="(blank)",--('Final Calculation Sheet'!$H$24=""),IF($I$4="(nonblank)",--('Final Calculation Sheet'!$H$24&lt;&gt;""),--ISNUMBER(SEARCH($I$4,'Final Calculation Sheet'!$H$24)))))</f>
        <v/>
      </c>
      <c r="DO79">
        <f>IF($J$4="",1,IF($J$4="(blank)",--('Final Calculation Sheet'!$I$24=""),IF($J$4="(nonblank)",--('Final Calculation Sheet'!$I$24&lt;&gt;""),--ISNUMBER(SEARCH($J$4,'Final Calculation Sheet'!$I$24)))))</f>
        <v/>
      </c>
      <c r="DP79">
        <f>IF($K$4="",1,IF($K$4="(blank)",--('Final Calculation Sheet'!$J$24=""),IF($K$4="(nonblank)",--('Final Calculation Sheet'!$J$24&lt;&gt;""),--ISNUMBER(SEARCH($K$4,'Final Calculation Sheet'!$J$24)))))</f>
        <v/>
      </c>
      <c r="DQ79">
        <f>IF($L$4="",1,IF($L$4="(blank)",--('Final Calculation Sheet'!$K$24=""),IF($L$4="(nonblank)",--('Final Calculation Sheet'!$K$24&lt;&gt;""),--ISNUMBER(SEARCH($L$4,'Final Calculation Sheet'!$K$24)))))</f>
        <v/>
      </c>
      <c r="DR79">
        <f>IF($M$4="",1,IF($M$4="(blank)",--('Final Calculation Sheet'!$L$24=""),IF($M$4="(nonblank)",--('Final Calculation Sheet'!$L$24&lt;&gt;""),--ISNUMBER(SEARCH($M$4,'Final Calculation Sheet'!$L$24)))))</f>
        <v/>
      </c>
      <c r="DS79">
        <f>IF($N$4="",1,IF($N$4="(blank)",--('Final Calculation Sheet'!$M$24=""),IF($N$4="(nonblank)",--('Final Calculation Sheet'!$M$24&lt;&gt;""),--ISNUMBER(SEARCH($N$4,'Final Calculation Sheet'!$M$24)))))</f>
        <v/>
      </c>
      <c r="DT79">
        <f>IF($O$4="",1,IF($O$4="(blank)",--('Final Calculation Sheet'!$N$24=""),IF($O$4="(nonblank)",--('Final Calculation Sheet'!$N$24&lt;&gt;""),--ISNUMBER(SEARCH($O$4,'Final Calculation Sheet'!$N$24)))))</f>
        <v/>
      </c>
      <c r="DU79">
        <f>IF($P$4="",1,IF($P$4="(blank)",--('Final Calculation Sheet'!$O$24=""),IF($P$4="(nonblank)",--('Final Calculation Sheet'!$O$24&lt;&gt;""),--ISNUMBER(SEARCH($P$4,'Final Calculation Sheet'!$O$24)))))</f>
        <v/>
      </c>
      <c r="DV79">
        <f>IF($Q$4="",1,IF($Q$4="(blank)",--('Final Calculation Sheet'!$P$24=""),IF($Q$4="(nonblank)",--('Final Calculation Sheet'!$P$24&lt;&gt;""),--ISNUMBER(SEARCH($Q$4,'Final Calculation Sheet'!$P$24)))))</f>
        <v/>
      </c>
      <c r="DW79">
        <f>IF($R$4="",1,IF($R$4="(blank)",--('Final Calculation Sheet'!$Q$24=""),IF($R$4="(nonblank)",--('Final Calculation Sheet'!$Q$24&lt;&gt;""),--ISNUMBER(SEARCH($R$4,'Final Calculation Sheet'!$Q$24)))))</f>
        <v/>
      </c>
      <c r="DX79">
        <f>IF($S$4="",1,IF($S$4="(blank)",--('Final Calculation Sheet'!$R$24=""),IF($S$4="(nonblank)",--('Final Calculation Sheet'!$R$24&lt;&gt;""),--ISNUMBER(SEARCH($S$4,'Final Calculation Sheet'!$R$24)))))</f>
        <v/>
      </c>
      <c r="DY79">
        <f>IF($T$4="",1,IF($T$4="(blank)",--('Final Calculation Sheet'!$S$24=""),IF($T$4="(nonblank)",--('Final Calculation Sheet'!$S$24&lt;&gt;""),--ISNUMBER(SEARCH($T$4,'Final Calculation Sheet'!$S$24)))))</f>
        <v/>
      </c>
      <c r="DZ79">
        <f>IF($U$4="",1,IF($U$4="(blank)",--('Final Calculation Sheet'!$T$24=""),IF($U$4="(nonblank)",--('Final Calculation Sheet'!$T$24&lt;&gt;""),--ISNUMBER(SEARCH($U$4,'Final Calculation Sheet'!$T$24)))))</f>
        <v/>
      </c>
      <c r="EA79">
        <f>IF($V$4="",1,IF($V$4="(blank)",--('Final Calculation Sheet'!$U$24=""),IF($V$4="(nonblank)",--('Final Calculation Sheet'!$U$24&lt;&gt;""),--ISNUMBER(SEARCH($V$4,'Final Calculation Sheet'!$U$24)))))</f>
        <v/>
      </c>
      <c r="EB79">
        <f>IF($W$4="",1,IF($W$4="(blank)",--('Final Calculation Sheet'!$V$24=""),IF($W$4="(nonblank)",--('Final Calculation Sheet'!$V$24&lt;&gt;""),--ISNUMBER(SEARCH($W$4,'Final Calculation Sheet'!$V$24)))))</f>
        <v/>
      </c>
      <c r="EC79">
        <f>IF($X$4="",1,IF($X$4="(blank)",--('Final Calculation Sheet'!$W$24=""),IF($X$4="(nonblank)",--('Final Calculation Sheet'!$W$24&lt;&gt;""),--ISNUMBER(SEARCH($X$4,'Final Calculation Sheet'!$W$24)))))</f>
        <v/>
      </c>
      <c r="ED79">
        <f>IF($Y$4="",1,IF($Y$4="(blank)",--('Final Calculation Sheet'!$X$24=""),IF($Y$4="(nonblank)",--('Final Calculation Sheet'!$X$24&lt;&gt;""),--ISNUMBER(SEARCH($Y$4,'Final Calculation Sheet'!$X$24)))))</f>
        <v/>
      </c>
      <c r="EE79">
        <f>IF($Z$4="",1,IF($Z$4="(blank)",--('Final Calculation Sheet'!$Y$24=""),IF($Z$4="(nonblank)",--('Final Calculation Sheet'!$Y$24&lt;&gt;""),--ISNUMBER(SEARCH($Z$4,'Final Calculation Sheet'!$Y$24)))))</f>
        <v/>
      </c>
      <c r="EF79">
        <f>IF($AA$4="",1,IF($AA$4="(blank)",--('Final Calculation Sheet'!$Z$24=""),IF($AA$4="(nonblank)",--('Final Calculation Sheet'!$Z$24&lt;&gt;""),--ISNUMBER(SEARCH($AA$4,'Final Calculation Sheet'!$Z$24)))))</f>
        <v/>
      </c>
      <c r="EG79">
        <f>IF($AB$4="",1,IF($AB$4="(blank)",--('Final Calculation Sheet'!$AA$24=""),IF($AB$4="(nonblank)",--('Final Calculation Sheet'!$AA$24&lt;&gt;""),--ISNUMBER(SEARCH($AB$4,'Final Calculation Sheet'!$AA$24)))))</f>
        <v/>
      </c>
      <c r="EH79">
        <f>IF($AC$4="",1,IF($AC$4="(blank)",--('Final Calculation Sheet'!$AB$24=""),IF($AC$4="(nonblank)",--('Final Calculation Sheet'!$AB$24&lt;&gt;""),--ISNUMBER(SEARCH($AC$4,'Final Calculation Sheet'!$AB$24)))))</f>
        <v/>
      </c>
      <c r="EI79">
        <f>IF($AD$4="",1,IF($AD$4="(blank)",--('Final Calculation Sheet'!$AC$24=""),IF($AD$4="(nonblank)",--('Final Calculation Sheet'!$AC$24&lt;&gt;""),--ISNUMBER(SEARCH($AD$4,'Final Calculation Sheet'!$AC$24)))))</f>
        <v/>
      </c>
      <c r="EJ79">
        <f>IF($AE$4="",1,IF($AE$4="(blank)",--('Final Calculation Sheet'!$AD$24=""),IF($AE$4="(nonblank)",--('Final Calculation Sheet'!$AD$24&lt;&gt;""),--ISNUMBER(SEARCH($AE$4,'Final Calculation Sheet'!$AD$24)))))</f>
        <v/>
      </c>
      <c r="EK79">
        <f>IF($AF$4="",1,IF($AF$4="(blank)",--(IF('Final Calculation Sheet'!$AD$24&lt;=5,"SETTLED","OUTSTANDING")=""),IF($AF$4="(nonblank)",--(IF('Final Calculation Sheet'!$AD$24&lt;=5,"SETTLED","OUTSTANDING")&lt;&gt;""),--ISNUMBER(SEARCH($AF$4,IF('Final Calculation Sheet'!$AD$24&lt;=5,"SETTLED","OUTSTANDING"))))))</f>
        <v/>
      </c>
      <c r="EL79">
        <f>IF($AG$4="",1,IF($AG$4="(blank)",--('Final Calculation Sheet'!$AF$24=""),IF($AG$4="(nonblank)",--('Final Calculation Sheet'!$AF$24&lt;&gt;""),--ISNUMBER(SEARCH($AG$4,'Final Calculation Sheet'!$AF$24)))))</f>
        <v/>
      </c>
      <c r="EM79">
        <f>IF($AH$4="",1,IF($AH$4="(blank)",--('Final Calculation Sheet'!$AG$24=""),IF($AH$4="(nonblank)",--('Final Calculation Sheet'!$AG$24&lt;&gt;""),--ISNUMBER(SEARCH($AH$4,'Final Calculation Sheet'!$AG$24)))))</f>
        <v/>
      </c>
      <c r="EN79">
        <f>IF($AI$4="",1,IF($AI$4="(blank)",--('Final Calculation Sheet'!$AH$24=""),IF($AI$4="(nonblank)",--('Final Calculation Sheet'!$AH$24&lt;&gt;""),--ISNUMBER(SEARCH($AI$4,'Final Calculation Sheet'!$AH$24)))))</f>
        <v/>
      </c>
    </row>
    <row r="80">
      <c r="AM80">
        <f>AM79+IF(AND(Lists!$O$27&lt;&gt;"",ISNUMBER(SEARCH($B$4,Lists!$O$27))),1,0)</f>
        <v/>
      </c>
      <c r="AN80">
        <f>IF(ROW()-56&gt;MAX($AM$57:$AM$95),"",INDEX(Lists!$O$4:$O$42,MATCH(ROW()-56,$AM$57:$AM$95,0)))</f>
        <v/>
      </c>
      <c r="AO80">
        <f>AO79+IF(AND(Lists!$T$27&lt;&gt;"",ISNUMBER(SEARCH($C$4,Lists!$T$27))),1,0)</f>
        <v/>
      </c>
      <c r="AP80">
        <f>IF(ROW()-56&gt;MAX($AO$57:$AO$95),"",INDEX(Lists!$T$4:$T$42,MATCH(ROW()-56,$AO$57:$AO$95,0)))</f>
        <v/>
      </c>
      <c r="AQ80">
        <f>AQ79+IF(AND(Lists!$Y$27&lt;&gt;"",ISNUMBER(SEARCH($D$4,Lists!$Y$27))),1,0)</f>
        <v/>
      </c>
      <c r="AR80">
        <f>IF(ROW()-56&gt;MAX($AQ$57:$AQ$95),"",INDEX(Lists!$Y$4:$Y$42,MATCH(ROW()-56,$AQ$57:$AQ$95,0)))</f>
        <v/>
      </c>
      <c r="AS80">
        <f>AS79+IF(AND(Lists!$AD$27&lt;&gt;"",ISNUMBER(SEARCH($E$4,Lists!$AD$27))),1,0)</f>
        <v/>
      </c>
      <c r="AT80">
        <f>IF(ROW()-56&gt;MAX($AS$57:$AS$95),"",INDEX(Lists!$AD$4:$AD$42,MATCH(ROW()-56,$AS$57:$AS$95,0)))</f>
        <v/>
      </c>
      <c r="AU80">
        <f>AU79+IF(AND(Lists!$AI$27&lt;&gt;"",ISNUMBER(SEARCH($F$4,Lists!$AI$27))),1,0)</f>
        <v/>
      </c>
      <c r="AV80">
        <f>IF(ROW()-56&gt;MAX($AU$57:$AU$95),"",INDEX(Lists!$AI$4:$AI$42,MATCH(ROW()-56,$AU$57:$AU$95,0)))</f>
        <v/>
      </c>
      <c r="AW80">
        <f>AW79+IF(AND(Lists!$AN$27&lt;&gt;"",ISNUMBER(SEARCH($G$4,Lists!$AN$27))),1,0)</f>
        <v/>
      </c>
      <c r="AX80">
        <f>IF(ROW()-56&gt;MAX($AW$57:$AW$95),"",INDEX(Lists!$AN$4:$AN$42,MATCH(ROW()-56,$AW$57:$AW$95,0)))</f>
        <v/>
      </c>
      <c r="AY80">
        <f>AY79+IF(AND(Lists!$AS$27&lt;&gt;"",ISNUMBER(SEARCH($H$4,Lists!$AS$27))),1,0)</f>
        <v/>
      </c>
      <c r="AZ80">
        <f>IF(ROW()-56&gt;MAX($AY$57:$AY$95),"",INDEX(Lists!$AS$4:$AS$42,MATCH(ROW()-56,$AY$57:$AY$95,0)))</f>
        <v/>
      </c>
      <c r="BA80">
        <f>BA79+IF(AND(Lists!$AX$27&lt;&gt;"",ISNUMBER(SEARCH($I$4,Lists!$AX$27))),1,0)</f>
        <v/>
      </c>
      <c r="BB80">
        <f>IF(ROW()-56&gt;MAX($BA$57:$BA$95),"",INDEX(Lists!$AX$4:$AX$42,MATCH(ROW()-56,$BA$57:$BA$95,0)))</f>
        <v/>
      </c>
      <c r="BC80">
        <f>BC79+IF(AND(Lists!$BC$27&lt;&gt;"",ISNUMBER(SEARCH($J$4,Lists!$BC$27))),1,0)</f>
        <v/>
      </c>
      <c r="BD80">
        <f>IF(ROW()-56&gt;MAX($BC$57:$BC$95),"",INDEX(Lists!$BC$4:$BC$42,MATCH(ROW()-56,$BC$57:$BC$95,0)))</f>
        <v/>
      </c>
      <c r="BE80">
        <f>BE79+IF(AND(Lists!$BH$27&lt;&gt;"",ISNUMBER(SEARCH($K$4,Lists!$BH$27))),1,0)</f>
        <v/>
      </c>
      <c r="BF80">
        <f>IF(ROW()-56&gt;MAX($BE$57:$BE$95),"",INDEX(Lists!$BH$4:$BH$42,MATCH(ROW()-56,$BE$57:$BE$95,0)))</f>
        <v/>
      </c>
      <c r="BG80">
        <f>BG79+IF(AND(Lists!$BM$27&lt;&gt;"",ISNUMBER(SEARCH($L$4,Lists!$BM$27))),1,0)</f>
        <v/>
      </c>
      <c r="BH80">
        <f>IF(ROW()-56&gt;MAX($BG$57:$BG$95),"",INDEX(Lists!$BM$4:$BM$42,MATCH(ROW()-56,$BG$57:$BG$95,0)))</f>
        <v/>
      </c>
      <c r="BI80">
        <f>BI79+IF(AND(Lists!$BR$27&lt;&gt;"",ISNUMBER(SEARCH($M$4,Lists!$BR$27))),1,0)</f>
        <v/>
      </c>
      <c r="BJ80">
        <f>IF(ROW()-56&gt;MAX($BI$57:$BI$95),"",INDEX(Lists!$BR$4:$BR$42,MATCH(ROW()-56,$BI$57:$BI$95,0)))</f>
        <v/>
      </c>
      <c r="BK80">
        <f>BK79+IF(AND(Lists!$BW$27&lt;&gt;"",ISNUMBER(SEARCH($N$4,Lists!$BW$27))),1,0)</f>
        <v/>
      </c>
      <c r="BL80">
        <f>IF(ROW()-56&gt;MAX($BK$57:$BK$95),"",INDEX(Lists!$BW$4:$BW$42,MATCH(ROW()-56,$BK$57:$BK$95,0)))</f>
        <v/>
      </c>
      <c r="BM80">
        <f>BM79+IF(AND(Lists!$CB$27&lt;&gt;"",ISNUMBER(SEARCH($O$4,Lists!$CB$27))),1,0)</f>
        <v/>
      </c>
      <c r="BN80">
        <f>IF(ROW()-56&gt;MAX($BM$57:$BM$95),"",INDEX(Lists!$CB$4:$CB$42,MATCH(ROW()-56,$BM$57:$BM$95,0)))</f>
        <v/>
      </c>
      <c r="BO80">
        <f>BO79+IF(AND(Lists!$CG$27&lt;&gt;"",ISNUMBER(SEARCH($P$4,Lists!$CG$27))),1,0)</f>
        <v/>
      </c>
      <c r="BP80">
        <f>IF(ROW()-56&gt;MAX($BO$57:$BO$95),"",INDEX(Lists!$CG$4:$CG$42,MATCH(ROW()-56,$BO$57:$BO$95,0)))</f>
        <v/>
      </c>
      <c r="BQ80">
        <f>BQ79+IF(AND(Lists!$CL$27&lt;&gt;"",ISNUMBER(SEARCH($Q$4,Lists!$CL$27))),1,0)</f>
        <v/>
      </c>
      <c r="BR80">
        <f>IF(ROW()-56&gt;MAX($BQ$57:$BQ$95),"",INDEX(Lists!$CL$4:$CL$42,MATCH(ROW()-56,$BQ$57:$BQ$95,0)))</f>
        <v/>
      </c>
      <c r="BS80">
        <f>BS79+IF(AND(Lists!$CQ$27&lt;&gt;"",ISNUMBER(SEARCH($R$4,Lists!$CQ$27))),1,0)</f>
        <v/>
      </c>
      <c r="BT80">
        <f>IF(ROW()-56&gt;MAX($BS$57:$BS$95),"",INDEX(Lists!$CQ$4:$CQ$42,MATCH(ROW()-56,$BS$57:$BS$95,0)))</f>
        <v/>
      </c>
      <c r="BU80">
        <f>BU79+IF(AND(Lists!$CV$27&lt;&gt;"",ISNUMBER(SEARCH($S$4,Lists!$CV$27))),1,0)</f>
        <v/>
      </c>
      <c r="BV80">
        <f>IF(ROW()-56&gt;MAX($BU$57:$BU$95),"",INDEX(Lists!$CV$4:$CV$42,MATCH(ROW()-56,$BU$57:$BU$95,0)))</f>
        <v/>
      </c>
      <c r="BW80">
        <f>BW79+IF(AND(Lists!$DA$27&lt;&gt;"",ISNUMBER(SEARCH($T$4,Lists!$DA$27))),1,0)</f>
        <v/>
      </c>
      <c r="BX80">
        <f>IF(ROW()-56&gt;MAX($BW$57:$BW$95),"",INDEX(Lists!$DA$4:$DA$42,MATCH(ROW()-56,$BW$57:$BW$95,0)))</f>
        <v/>
      </c>
      <c r="BY80">
        <f>BY79+IF(AND(Lists!$DF$27&lt;&gt;"",ISNUMBER(SEARCH($U$4,Lists!$DF$27))),1,0)</f>
        <v/>
      </c>
      <c r="BZ80">
        <f>IF(ROW()-56&gt;MAX($BY$57:$BY$95),"",INDEX(Lists!$DF$4:$DF$42,MATCH(ROW()-56,$BY$57:$BY$95,0)))</f>
        <v/>
      </c>
      <c r="CA80">
        <f>CA79+IF(AND(Lists!$DK$27&lt;&gt;"",ISNUMBER(SEARCH($V$4,Lists!$DK$27))),1,0)</f>
        <v/>
      </c>
      <c r="CB80">
        <f>IF(ROW()-56&gt;MAX($CA$57:$CA$95),"",INDEX(Lists!$DK$4:$DK$42,MATCH(ROW()-56,$CA$57:$CA$95,0)))</f>
        <v/>
      </c>
      <c r="CC80">
        <f>CC79+IF(AND(Lists!$DP$27&lt;&gt;"",ISNUMBER(SEARCH($W$4,Lists!$DP$27))),1,0)</f>
        <v/>
      </c>
      <c r="CD80">
        <f>IF(ROW()-56&gt;MAX($CC$57:$CC$95),"",INDEX(Lists!$DP$4:$DP$42,MATCH(ROW()-56,$CC$57:$CC$95,0)))</f>
        <v/>
      </c>
      <c r="CE80">
        <f>CE79+IF(AND(Lists!$DU$27&lt;&gt;"",ISNUMBER(SEARCH($X$4,Lists!$DU$27))),1,0)</f>
        <v/>
      </c>
      <c r="CF80">
        <f>IF(ROW()-56&gt;MAX($CE$57:$CE$95),"",INDEX(Lists!$DU$4:$DU$42,MATCH(ROW()-56,$CE$57:$CE$95,0)))</f>
        <v/>
      </c>
      <c r="CG80">
        <f>CG79+IF(AND(Lists!$DZ$27&lt;&gt;"",ISNUMBER(SEARCH($Y$4,Lists!$DZ$27))),1,0)</f>
        <v/>
      </c>
      <c r="CH80">
        <f>IF(ROW()-56&gt;MAX($CG$57:$CG$95),"",INDEX(Lists!$DZ$4:$DZ$42,MATCH(ROW()-56,$CG$57:$CG$95,0)))</f>
        <v/>
      </c>
      <c r="CI80">
        <f>CI79+IF(AND(Lists!$EE$27&lt;&gt;"",ISNUMBER(SEARCH($Z$4,Lists!$EE$27))),1,0)</f>
        <v/>
      </c>
      <c r="CJ80">
        <f>IF(ROW()-56&gt;MAX($CI$57:$CI$95),"",INDEX(Lists!$EE$4:$EE$42,MATCH(ROW()-56,$CI$57:$CI$95,0)))</f>
        <v/>
      </c>
      <c r="CK80">
        <f>CK79+IF(AND(Lists!$EJ$27&lt;&gt;"",ISNUMBER(SEARCH($AA$4,Lists!$EJ$27))),1,0)</f>
        <v/>
      </c>
      <c r="CL80">
        <f>IF(ROW()-56&gt;MAX($CK$57:$CK$95),"",INDEX(Lists!$EJ$4:$EJ$42,MATCH(ROW()-56,$CK$57:$CK$95,0)))</f>
        <v/>
      </c>
      <c r="CM80">
        <f>CM79+IF(AND(Lists!$EO$27&lt;&gt;"",ISNUMBER(SEARCH($AB$4,Lists!$EO$27))),1,0)</f>
        <v/>
      </c>
      <c r="CN80">
        <f>IF(ROW()-56&gt;MAX($CM$57:$CM$95),"",INDEX(Lists!$EO$4:$EO$42,MATCH(ROW()-56,$CM$57:$CM$95,0)))</f>
        <v/>
      </c>
      <c r="CO80">
        <f>CO79+IF(AND(Lists!$ET$27&lt;&gt;"",ISNUMBER(SEARCH($AC$4,Lists!$ET$27))),1,0)</f>
        <v/>
      </c>
      <c r="CP80">
        <f>IF(ROW()-56&gt;MAX($CO$57:$CO$95),"",INDEX(Lists!$ET$4:$ET$42,MATCH(ROW()-56,$CO$57:$CO$95,0)))</f>
        <v/>
      </c>
      <c r="CQ80">
        <f>CQ79+IF(AND(Lists!$EY$27&lt;&gt;"",ISNUMBER(SEARCH($AD$4,Lists!$EY$27))),1,0)</f>
        <v/>
      </c>
      <c r="CR80">
        <f>IF(ROW()-56&gt;MAX($CQ$57:$CQ$95),"",INDEX(Lists!$EY$4:$EY$42,MATCH(ROW()-56,$CQ$57:$CQ$95,0)))</f>
        <v/>
      </c>
      <c r="CS80">
        <f>CS79+IF(AND(Lists!$FD$27&lt;&gt;"",ISNUMBER(SEARCH($AE$4,Lists!$FD$27))),1,0)</f>
        <v/>
      </c>
      <c r="CT80">
        <f>IF(ROW()-56&gt;MAX($CS$57:$CS$95),"",INDEX(Lists!$FD$4:$FD$42,MATCH(ROW()-56,$CS$57:$CS$95,0)))</f>
        <v/>
      </c>
      <c r="CU80">
        <f>CU79+IF(AND(Lists!$FI$27&lt;&gt;"",ISNUMBER(SEARCH($AG$4,Lists!$FI$27))),1,0)</f>
        <v/>
      </c>
      <c r="CV80">
        <f>IF(ROW()-56&gt;MAX($CU$57:$CU$95),"",INDEX(Lists!$FI$4:$FI$42,MATCH(ROW()-56,$CU$57:$CU$95,0)))</f>
        <v/>
      </c>
      <c r="CW80">
        <f>CW79+IF(AND(Lists!$FN$27&lt;&gt;"",ISNUMBER(SEARCH($AH$4,Lists!$FN$27))),1,0)</f>
        <v/>
      </c>
      <c r="CX80">
        <f>IF(ROW()-56&gt;MAX($CW$57:$CW$95),"",INDEX(Lists!$FN$4:$FN$42,MATCH(ROW()-56,$CW$57:$CW$95,0)))</f>
        <v/>
      </c>
      <c r="CY80">
        <f>CY79+IF(AND(Lists!$FS$27&lt;&gt;"",ISNUMBER(SEARCH($AI$4,Lists!$FS$27))),1,0)</f>
        <v/>
      </c>
      <c r="CZ80">
        <f>IF(ROW()-56&gt;MAX($CY$57:$CY$95),"",INDEX(Lists!$FS$4:$FS$42,MATCH(ROW()-56,$CY$57:$CY$95,0)))</f>
        <v/>
      </c>
      <c r="DA80">
        <f>DA79+IF(AND(Lists!$FX$27&lt;&gt;"",ISNUMBER(SEARCH($AF$4,Lists!$FX$27))),1,0)</f>
        <v/>
      </c>
      <c r="DB80">
        <f>IF(ROW()-56&gt;MAX($DA$57:$DA$95),"",INDEX(Lists!$FX$4:$FX$42,MATCH(ROW()-56,$DA$57:$DA$95,0)))</f>
        <v/>
      </c>
      <c r="DG80">
        <f>IF($B$4="",1,IF($B$4="(blank)",--('Final Calculation Sheet'!$F$25=""),IF($B$4="(nonblank)",--('Final Calculation Sheet'!$F$25&lt;&gt;""),--ISNUMBER(SEARCH($B$4,'Final Calculation Sheet'!$F$25)))))</f>
        <v/>
      </c>
      <c r="DH80">
        <f>IF($C$4="",1,IF($C$4="(blank)",--('Final Calculation Sheet'!$G$25=""),IF($C$4="(nonblank)",--('Final Calculation Sheet'!$G$25&lt;&gt;""),--ISNUMBER(SEARCH($C$4,'Final Calculation Sheet'!$G$25)))))</f>
        <v/>
      </c>
      <c r="DI80">
        <f>IF($D$4="",1,IF($D$4="(blank)",--('Final Calculation Sheet'!$B$25=""),IF($D$4="(nonblank)",--('Final Calculation Sheet'!$B$25&lt;&gt;""),--ISNUMBER(SEARCH($D$4,'Final Calculation Sheet'!$B$25)))))</f>
        <v/>
      </c>
      <c r="DJ80">
        <f>IF($E$4="",1,IF($E$4="(blank)",--('Final Calculation Sheet'!$D$25=""),IF($E$4="(nonblank)",--('Final Calculation Sheet'!$D$25&lt;&gt;""),--ISNUMBER(SEARCH($E$4,'Final Calculation Sheet'!$D$25)))))</f>
        <v/>
      </c>
      <c r="DK80">
        <f>IF($F$4="",1,IF($F$4="(blank)",--('Final Calculation Sheet'!$A$25=""),IF($F$4="(nonblank)",--('Final Calculation Sheet'!$A$25&lt;&gt;""),--ISNUMBER(SEARCH($F$4,'Final Calculation Sheet'!$A$25)))))</f>
        <v/>
      </c>
      <c r="DL80">
        <f>IF($G$4="",1,IF($G$4="(blank)",--('Final Calculation Sheet'!$E$25=""),IF($G$4="(nonblank)",--('Final Calculation Sheet'!$E$25&lt;&gt;""),--ISNUMBER(SEARCH($G$4,'Final Calculation Sheet'!$E$25)))))</f>
        <v/>
      </c>
      <c r="DM80">
        <f>IF($H$4="",1,IF($H$4="(blank)",--('Final Calculation Sheet'!$C$25=""),IF($H$4="(nonblank)",--('Final Calculation Sheet'!$C$25&lt;&gt;""),--ISNUMBER(SEARCH($H$4,'Final Calculation Sheet'!$C$25)))))</f>
        <v/>
      </c>
      <c r="DN80">
        <f>IF($I$4="",1,IF($I$4="(blank)",--('Final Calculation Sheet'!$H$25=""),IF($I$4="(nonblank)",--('Final Calculation Sheet'!$H$25&lt;&gt;""),--ISNUMBER(SEARCH($I$4,'Final Calculation Sheet'!$H$25)))))</f>
        <v/>
      </c>
      <c r="DO80">
        <f>IF($J$4="",1,IF($J$4="(blank)",--('Final Calculation Sheet'!$I$25=""),IF($J$4="(nonblank)",--('Final Calculation Sheet'!$I$25&lt;&gt;""),--ISNUMBER(SEARCH($J$4,'Final Calculation Sheet'!$I$25)))))</f>
        <v/>
      </c>
      <c r="DP80">
        <f>IF($K$4="",1,IF($K$4="(blank)",--('Final Calculation Sheet'!$J$25=""),IF($K$4="(nonblank)",--('Final Calculation Sheet'!$J$25&lt;&gt;""),--ISNUMBER(SEARCH($K$4,'Final Calculation Sheet'!$J$25)))))</f>
        <v/>
      </c>
      <c r="DQ80">
        <f>IF($L$4="",1,IF($L$4="(blank)",--('Final Calculation Sheet'!$K$25=""),IF($L$4="(nonblank)",--('Final Calculation Sheet'!$K$25&lt;&gt;""),--ISNUMBER(SEARCH($L$4,'Final Calculation Sheet'!$K$25)))))</f>
        <v/>
      </c>
      <c r="DR80">
        <f>IF($M$4="",1,IF($M$4="(blank)",--('Final Calculation Sheet'!$L$25=""),IF($M$4="(nonblank)",--('Final Calculation Sheet'!$L$25&lt;&gt;""),--ISNUMBER(SEARCH($M$4,'Final Calculation Sheet'!$L$25)))))</f>
        <v/>
      </c>
      <c r="DS80">
        <f>IF($N$4="",1,IF($N$4="(blank)",--('Final Calculation Sheet'!$M$25=""),IF($N$4="(nonblank)",--('Final Calculation Sheet'!$M$25&lt;&gt;""),--ISNUMBER(SEARCH($N$4,'Final Calculation Sheet'!$M$25)))))</f>
        <v/>
      </c>
      <c r="DT80">
        <f>IF($O$4="",1,IF($O$4="(blank)",--('Final Calculation Sheet'!$N$25=""),IF($O$4="(nonblank)",--('Final Calculation Sheet'!$N$25&lt;&gt;""),--ISNUMBER(SEARCH($O$4,'Final Calculation Sheet'!$N$25)))))</f>
        <v/>
      </c>
      <c r="DU80">
        <f>IF($P$4="",1,IF($P$4="(blank)",--('Final Calculation Sheet'!$O$25=""),IF($P$4="(nonblank)",--('Final Calculation Sheet'!$O$25&lt;&gt;""),--ISNUMBER(SEARCH($P$4,'Final Calculation Sheet'!$O$25)))))</f>
        <v/>
      </c>
      <c r="DV80">
        <f>IF($Q$4="",1,IF($Q$4="(blank)",--('Final Calculation Sheet'!$P$25=""),IF($Q$4="(nonblank)",--('Final Calculation Sheet'!$P$25&lt;&gt;""),--ISNUMBER(SEARCH($Q$4,'Final Calculation Sheet'!$P$25)))))</f>
        <v/>
      </c>
      <c r="DW80">
        <f>IF($R$4="",1,IF($R$4="(blank)",--('Final Calculation Sheet'!$Q$25=""),IF($R$4="(nonblank)",--('Final Calculation Sheet'!$Q$25&lt;&gt;""),--ISNUMBER(SEARCH($R$4,'Final Calculation Sheet'!$Q$25)))))</f>
        <v/>
      </c>
      <c r="DX80">
        <f>IF($S$4="",1,IF($S$4="(blank)",--('Final Calculation Sheet'!$R$25=""),IF($S$4="(nonblank)",--('Final Calculation Sheet'!$R$25&lt;&gt;""),--ISNUMBER(SEARCH($S$4,'Final Calculation Sheet'!$R$25)))))</f>
        <v/>
      </c>
      <c r="DY80">
        <f>IF($T$4="",1,IF($T$4="(blank)",--('Final Calculation Sheet'!$S$25=""),IF($T$4="(nonblank)",--('Final Calculation Sheet'!$S$25&lt;&gt;""),--ISNUMBER(SEARCH($T$4,'Final Calculation Sheet'!$S$25)))))</f>
        <v/>
      </c>
      <c r="DZ80">
        <f>IF($U$4="",1,IF($U$4="(blank)",--('Final Calculation Sheet'!$T$25=""),IF($U$4="(nonblank)",--('Final Calculation Sheet'!$T$25&lt;&gt;""),--ISNUMBER(SEARCH($U$4,'Final Calculation Sheet'!$T$25)))))</f>
        <v/>
      </c>
      <c r="EA80">
        <f>IF($V$4="",1,IF($V$4="(blank)",--('Final Calculation Sheet'!$U$25=""),IF($V$4="(nonblank)",--('Final Calculation Sheet'!$U$25&lt;&gt;""),--ISNUMBER(SEARCH($V$4,'Final Calculation Sheet'!$U$25)))))</f>
        <v/>
      </c>
      <c r="EB80">
        <f>IF($W$4="",1,IF($W$4="(blank)",--('Final Calculation Sheet'!$V$25=""),IF($W$4="(nonblank)",--('Final Calculation Sheet'!$V$25&lt;&gt;""),--ISNUMBER(SEARCH($W$4,'Final Calculation Sheet'!$V$25)))))</f>
        <v/>
      </c>
      <c r="EC80">
        <f>IF($X$4="",1,IF($X$4="(blank)",--('Final Calculation Sheet'!$W$25=""),IF($X$4="(nonblank)",--('Final Calculation Sheet'!$W$25&lt;&gt;""),--ISNUMBER(SEARCH($X$4,'Final Calculation Sheet'!$W$25)))))</f>
        <v/>
      </c>
      <c r="ED80">
        <f>IF($Y$4="",1,IF($Y$4="(blank)",--('Final Calculation Sheet'!$X$25=""),IF($Y$4="(nonblank)",--('Final Calculation Sheet'!$X$25&lt;&gt;""),--ISNUMBER(SEARCH($Y$4,'Final Calculation Sheet'!$X$25)))))</f>
        <v/>
      </c>
      <c r="EE80">
        <f>IF($Z$4="",1,IF($Z$4="(blank)",--('Final Calculation Sheet'!$Y$25=""),IF($Z$4="(nonblank)",--('Final Calculation Sheet'!$Y$25&lt;&gt;""),--ISNUMBER(SEARCH($Z$4,'Final Calculation Sheet'!$Y$25)))))</f>
        <v/>
      </c>
      <c r="EF80">
        <f>IF($AA$4="",1,IF($AA$4="(blank)",--('Final Calculation Sheet'!$Z$25=""),IF($AA$4="(nonblank)",--('Final Calculation Sheet'!$Z$25&lt;&gt;""),--ISNUMBER(SEARCH($AA$4,'Final Calculation Sheet'!$Z$25)))))</f>
        <v/>
      </c>
      <c r="EG80">
        <f>IF($AB$4="",1,IF($AB$4="(blank)",--('Final Calculation Sheet'!$AA$25=""),IF($AB$4="(nonblank)",--('Final Calculation Sheet'!$AA$25&lt;&gt;""),--ISNUMBER(SEARCH($AB$4,'Final Calculation Sheet'!$AA$25)))))</f>
        <v/>
      </c>
      <c r="EH80">
        <f>IF($AC$4="",1,IF($AC$4="(blank)",--('Final Calculation Sheet'!$AB$25=""),IF($AC$4="(nonblank)",--('Final Calculation Sheet'!$AB$25&lt;&gt;""),--ISNUMBER(SEARCH($AC$4,'Final Calculation Sheet'!$AB$25)))))</f>
        <v/>
      </c>
      <c r="EI80">
        <f>IF($AD$4="",1,IF($AD$4="(blank)",--('Final Calculation Sheet'!$AC$25=""),IF($AD$4="(nonblank)",--('Final Calculation Sheet'!$AC$25&lt;&gt;""),--ISNUMBER(SEARCH($AD$4,'Final Calculation Sheet'!$AC$25)))))</f>
        <v/>
      </c>
      <c r="EJ80">
        <f>IF($AE$4="",1,IF($AE$4="(blank)",--('Final Calculation Sheet'!$AD$25=""),IF($AE$4="(nonblank)",--('Final Calculation Sheet'!$AD$25&lt;&gt;""),--ISNUMBER(SEARCH($AE$4,'Final Calculation Sheet'!$AD$25)))))</f>
        <v/>
      </c>
      <c r="EK80">
        <f>IF($AF$4="",1,IF($AF$4="(blank)",--(IF('Final Calculation Sheet'!$AD$25&lt;=5,"SETTLED","OUTSTANDING")=""),IF($AF$4="(nonblank)",--(IF('Final Calculation Sheet'!$AD$25&lt;=5,"SETTLED","OUTSTANDING")&lt;&gt;""),--ISNUMBER(SEARCH($AF$4,IF('Final Calculation Sheet'!$AD$25&lt;=5,"SETTLED","OUTSTANDING"))))))</f>
        <v/>
      </c>
      <c r="EL80">
        <f>IF($AG$4="",1,IF($AG$4="(blank)",--('Final Calculation Sheet'!$AF$25=""),IF($AG$4="(nonblank)",--('Final Calculation Sheet'!$AF$25&lt;&gt;""),--ISNUMBER(SEARCH($AG$4,'Final Calculation Sheet'!$AF$25)))))</f>
        <v/>
      </c>
      <c r="EM80">
        <f>IF($AH$4="",1,IF($AH$4="(blank)",--('Final Calculation Sheet'!$AG$25=""),IF($AH$4="(nonblank)",--('Final Calculation Sheet'!$AG$25&lt;&gt;""),--ISNUMBER(SEARCH($AH$4,'Final Calculation Sheet'!$AG$25)))))</f>
        <v/>
      </c>
      <c r="EN80">
        <f>IF($AI$4="",1,IF($AI$4="(blank)",--('Final Calculation Sheet'!$AH$25=""),IF($AI$4="(nonblank)",--('Final Calculation Sheet'!$AH$25&lt;&gt;""),--ISNUMBER(SEARCH($AI$4,'Final Calculation Sheet'!$AH$25)))))</f>
        <v/>
      </c>
    </row>
    <row r="81">
      <c r="AM81">
        <f>AM80+IF(AND(Lists!$O$28&lt;&gt;"",ISNUMBER(SEARCH($B$4,Lists!$O$28))),1,0)</f>
        <v/>
      </c>
      <c r="AN81">
        <f>IF(ROW()-56&gt;MAX($AM$57:$AM$95),"",INDEX(Lists!$O$4:$O$42,MATCH(ROW()-56,$AM$57:$AM$95,0)))</f>
        <v/>
      </c>
      <c r="AO81">
        <f>AO80+IF(AND(Lists!$T$28&lt;&gt;"",ISNUMBER(SEARCH($C$4,Lists!$T$28))),1,0)</f>
        <v/>
      </c>
      <c r="AP81">
        <f>IF(ROW()-56&gt;MAX($AO$57:$AO$95),"",INDEX(Lists!$T$4:$T$42,MATCH(ROW()-56,$AO$57:$AO$95,0)))</f>
        <v/>
      </c>
      <c r="AQ81">
        <f>AQ80+IF(AND(Lists!$Y$28&lt;&gt;"",ISNUMBER(SEARCH($D$4,Lists!$Y$28))),1,0)</f>
        <v/>
      </c>
      <c r="AR81">
        <f>IF(ROW()-56&gt;MAX($AQ$57:$AQ$95),"",INDEX(Lists!$Y$4:$Y$42,MATCH(ROW()-56,$AQ$57:$AQ$95,0)))</f>
        <v/>
      </c>
      <c r="AS81">
        <f>AS80+IF(AND(Lists!$AD$28&lt;&gt;"",ISNUMBER(SEARCH($E$4,Lists!$AD$28))),1,0)</f>
        <v/>
      </c>
      <c r="AT81">
        <f>IF(ROW()-56&gt;MAX($AS$57:$AS$95),"",INDEX(Lists!$AD$4:$AD$42,MATCH(ROW()-56,$AS$57:$AS$95,0)))</f>
        <v/>
      </c>
      <c r="AU81">
        <f>AU80+IF(AND(Lists!$AI$28&lt;&gt;"",ISNUMBER(SEARCH($F$4,Lists!$AI$28))),1,0)</f>
        <v/>
      </c>
      <c r="AV81">
        <f>IF(ROW()-56&gt;MAX($AU$57:$AU$95),"",INDEX(Lists!$AI$4:$AI$42,MATCH(ROW()-56,$AU$57:$AU$95,0)))</f>
        <v/>
      </c>
      <c r="AW81">
        <f>AW80+IF(AND(Lists!$AN$28&lt;&gt;"",ISNUMBER(SEARCH($G$4,Lists!$AN$28))),1,0)</f>
        <v/>
      </c>
      <c r="AX81">
        <f>IF(ROW()-56&gt;MAX($AW$57:$AW$95),"",INDEX(Lists!$AN$4:$AN$42,MATCH(ROW()-56,$AW$57:$AW$95,0)))</f>
        <v/>
      </c>
      <c r="AY81">
        <f>AY80+IF(AND(Lists!$AS$28&lt;&gt;"",ISNUMBER(SEARCH($H$4,Lists!$AS$28))),1,0)</f>
        <v/>
      </c>
      <c r="AZ81">
        <f>IF(ROW()-56&gt;MAX($AY$57:$AY$95),"",INDEX(Lists!$AS$4:$AS$42,MATCH(ROW()-56,$AY$57:$AY$95,0)))</f>
        <v/>
      </c>
      <c r="BA81">
        <f>BA80+IF(AND(Lists!$AX$28&lt;&gt;"",ISNUMBER(SEARCH($I$4,Lists!$AX$28))),1,0)</f>
        <v/>
      </c>
      <c r="BB81">
        <f>IF(ROW()-56&gt;MAX($BA$57:$BA$95),"",INDEX(Lists!$AX$4:$AX$42,MATCH(ROW()-56,$BA$57:$BA$95,0)))</f>
        <v/>
      </c>
      <c r="BC81">
        <f>BC80+IF(AND(Lists!$BC$28&lt;&gt;"",ISNUMBER(SEARCH($J$4,Lists!$BC$28))),1,0)</f>
        <v/>
      </c>
      <c r="BD81">
        <f>IF(ROW()-56&gt;MAX($BC$57:$BC$95),"",INDEX(Lists!$BC$4:$BC$42,MATCH(ROW()-56,$BC$57:$BC$95,0)))</f>
        <v/>
      </c>
      <c r="BE81">
        <f>BE80+IF(AND(Lists!$BH$28&lt;&gt;"",ISNUMBER(SEARCH($K$4,Lists!$BH$28))),1,0)</f>
        <v/>
      </c>
      <c r="BF81">
        <f>IF(ROW()-56&gt;MAX($BE$57:$BE$95),"",INDEX(Lists!$BH$4:$BH$42,MATCH(ROW()-56,$BE$57:$BE$95,0)))</f>
        <v/>
      </c>
      <c r="BG81">
        <f>BG80+IF(AND(Lists!$BM$28&lt;&gt;"",ISNUMBER(SEARCH($L$4,Lists!$BM$28))),1,0)</f>
        <v/>
      </c>
      <c r="BH81">
        <f>IF(ROW()-56&gt;MAX($BG$57:$BG$95),"",INDEX(Lists!$BM$4:$BM$42,MATCH(ROW()-56,$BG$57:$BG$95,0)))</f>
        <v/>
      </c>
      <c r="BI81">
        <f>BI80+IF(AND(Lists!$BR$28&lt;&gt;"",ISNUMBER(SEARCH($M$4,Lists!$BR$28))),1,0)</f>
        <v/>
      </c>
      <c r="BJ81">
        <f>IF(ROW()-56&gt;MAX($BI$57:$BI$95),"",INDEX(Lists!$BR$4:$BR$42,MATCH(ROW()-56,$BI$57:$BI$95,0)))</f>
        <v/>
      </c>
      <c r="BK81">
        <f>BK80+IF(AND(Lists!$BW$28&lt;&gt;"",ISNUMBER(SEARCH($N$4,Lists!$BW$28))),1,0)</f>
        <v/>
      </c>
      <c r="BL81">
        <f>IF(ROW()-56&gt;MAX($BK$57:$BK$95),"",INDEX(Lists!$BW$4:$BW$42,MATCH(ROW()-56,$BK$57:$BK$95,0)))</f>
        <v/>
      </c>
      <c r="BM81">
        <f>BM80+IF(AND(Lists!$CB$28&lt;&gt;"",ISNUMBER(SEARCH($O$4,Lists!$CB$28))),1,0)</f>
        <v/>
      </c>
      <c r="BN81">
        <f>IF(ROW()-56&gt;MAX($BM$57:$BM$95),"",INDEX(Lists!$CB$4:$CB$42,MATCH(ROW()-56,$BM$57:$BM$95,0)))</f>
        <v/>
      </c>
      <c r="BO81">
        <f>BO80+IF(AND(Lists!$CG$28&lt;&gt;"",ISNUMBER(SEARCH($P$4,Lists!$CG$28))),1,0)</f>
        <v/>
      </c>
      <c r="BP81">
        <f>IF(ROW()-56&gt;MAX($BO$57:$BO$95),"",INDEX(Lists!$CG$4:$CG$42,MATCH(ROW()-56,$BO$57:$BO$95,0)))</f>
        <v/>
      </c>
      <c r="BQ81">
        <f>BQ80+IF(AND(Lists!$CL$28&lt;&gt;"",ISNUMBER(SEARCH($Q$4,Lists!$CL$28))),1,0)</f>
        <v/>
      </c>
      <c r="BR81">
        <f>IF(ROW()-56&gt;MAX($BQ$57:$BQ$95),"",INDEX(Lists!$CL$4:$CL$42,MATCH(ROW()-56,$BQ$57:$BQ$95,0)))</f>
        <v/>
      </c>
      <c r="BS81">
        <f>BS80+IF(AND(Lists!$CQ$28&lt;&gt;"",ISNUMBER(SEARCH($R$4,Lists!$CQ$28))),1,0)</f>
        <v/>
      </c>
      <c r="BT81">
        <f>IF(ROW()-56&gt;MAX($BS$57:$BS$95),"",INDEX(Lists!$CQ$4:$CQ$42,MATCH(ROW()-56,$BS$57:$BS$95,0)))</f>
        <v/>
      </c>
      <c r="BU81">
        <f>BU80+IF(AND(Lists!$CV$28&lt;&gt;"",ISNUMBER(SEARCH($S$4,Lists!$CV$28))),1,0)</f>
        <v/>
      </c>
      <c r="BV81">
        <f>IF(ROW()-56&gt;MAX($BU$57:$BU$95),"",INDEX(Lists!$CV$4:$CV$42,MATCH(ROW()-56,$BU$57:$BU$95,0)))</f>
        <v/>
      </c>
      <c r="BW81">
        <f>BW80+IF(AND(Lists!$DA$28&lt;&gt;"",ISNUMBER(SEARCH($T$4,Lists!$DA$28))),1,0)</f>
        <v/>
      </c>
      <c r="BX81">
        <f>IF(ROW()-56&gt;MAX($BW$57:$BW$95),"",INDEX(Lists!$DA$4:$DA$42,MATCH(ROW()-56,$BW$57:$BW$95,0)))</f>
        <v/>
      </c>
      <c r="BY81">
        <f>BY80+IF(AND(Lists!$DF$28&lt;&gt;"",ISNUMBER(SEARCH($U$4,Lists!$DF$28))),1,0)</f>
        <v/>
      </c>
      <c r="BZ81">
        <f>IF(ROW()-56&gt;MAX($BY$57:$BY$95),"",INDEX(Lists!$DF$4:$DF$42,MATCH(ROW()-56,$BY$57:$BY$95,0)))</f>
        <v/>
      </c>
      <c r="CA81">
        <f>CA80+IF(AND(Lists!$DK$28&lt;&gt;"",ISNUMBER(SEARCH($V$4,Lists!$DK$28))),1,0)</f>
        <v/>
      </c>
      <c r="CB81">
        <f>IF(ROW()-56&gt;MAX($CA$57:$CA$95),"",INDEX(Lists!$DK$4:$DK$42,MATCH(ROW()-56,$CA$57:$CA$95,0)))</f>
        <v/>
      </c>
      <c r="CC81">
        <f>CC80+IF(AND(Lists!$DP$28&lt;&gt;"",ISNUMBER(SEARCH($W$4,Lists!$DP$28))),1,0)</f>
        <v/>
      </c>
      <c r="CD81">
        <f>IF(ROW()-56&gt;MAX($CC$57:$CC$95),"",INDEX(Lists!$DP$4:$DP$42,MATCH(ROW()-56,$CC$57:$CC$95,0)))</f>
        <v/>
      </c>
      <c r="CE81">
        <f>CE80+IF(AND(Lists!$DU$28&lt;&gt;"",ISNUMBER(SEARCH($X$4,Lists!$DU$28))),1,0)</f>
        <v/>
      </c>
      <c r="CF81">
        <f>IF(ROW()-56&gt;MAX($CE$57:$CE$95),"",INDEX(Lists!$DU$4:$DU$42,MATCH(ROW()-56,$CE$57:$CE$95,0)))</f>
        <v/>
      </c>
      <c r="CG81">
        <f>CG80+IF(AND(Lists!$DZ$28&lt;&gt;"",ISNUMBER(SEARCH($Y$4,Lists!$DZ$28))),1,0)</f>
        <v/>
      </c>
      <c r="CH81">
        <f>IF(ROW()-56&gt;MAX($CG$57:$CG$95),"",INDEX(Lists!$DZ$4:$DZ$42,MATCH(ROW()-56,$CG$57:$CG$95,0)))</f>
        <v/>
      </c>
      <c r="CI81">
        <f>CI80+IF(AND(Lists!$EE$28&lt;&gt;"",ISNUMBER(SEARCH($Z$4,Lists!$EE$28))),1,0)</f>
        <v/>
      </c>
      <c r="CJ81">
        <f>IF(ROW()-56&gt;MAX($CI$57:$CI$95),"",INDEX(Lists!$EE$4:$EE$42,MATCH(ROW()-56,$CI$57:$CI$95,0)))</f>
        <v/>
      </c>
      <c r="CK81">
        <f>CK80+IF(AND(Lists!$EJ$28&lt;&gt;"",ISNUMBER(SEARCH($AA$4,Lists!$EJ$28))),1,0)</f>
        <v/>
      </c>
      <c r="CL81">
        <f>IF(ROW()-56&gt;MAX($CK$57:$CK$95),"",INDEX(Lists!$EJ$4:$EJ$42,MATCH(ROW()-56,$CK$57:$CK$95,0)))</f>
        <v/>
      </c>
      <c r="CM81">
        <f>CM80+IF(AND(Lists!$EO$28&lt;&gt;"",ISNUMBER(SEARCH($AB$4,Lists!$EO$28))),1,0)</f>
        <v/>
      </c>
      <c r="CN81">
        <f>IF(ROW()-56&gt;MAX($CM$57:$CM$95),"",INDEX(Lists!$EO$4:$EO$42,MATCH(ROW()-56,$CM$57:$CM$95,0)))</f>
        <v/>
      </c>
      <c r="CO81">
        <f>CO80+IF(AND(Lists!$ET$28&lt;&gt;"",ISNUMBER(SEARCH($AC$4,Lists!$ET$28))),1,0)</f>
        <v/>
      </c>
      <c r="CP81">
        <f>IF(ROW()-56&gt;MAX($CO$57:$CO$95),"",INDEX(Lists!$ET$4:$ET$42,MATCH(ROW()-56,$CO$57:$CO$95,0)))</f>
        <v/>
      </c>
      <c r="CQ81">
        <f>CQ80+IF(AND(Lists!$EY$28&lt;&gt;"",ISNUMBER(SEARCH($AD$4,Lists!$EY$28))),1,0)</f>
        <v/>
      </c>
      <c r="CR81">
        <f>IF(ROW()-56&gt;MAX($CQ$57:$CQ$95),"",INDEX(Lists!$EY$4:$EY$42,MATCH(ROW()-56,$CQ$57:$CQ$95,0)))</f>
        <v/>
      </c>
      <c r="CS81">
        <f>CS80+IF(AND(Lists!$FD$28&lt;&gt;"",ISNUMBER(SEARCH($AE$4,Lists!$FD$28))),1,0)</f>
        <v/>
      </c>
      <c r="CT81">
        <f>IF(ROW()-56&gt;MAX($CS$57:$CS$95),"",INDEX(Lists!$FD$4:$FD$42,MATCH(ROW()-56,$CS$57:$CS$95,0)))</f>
        <v/>
      </c>
      <c r="CU81">
        <f>CU80+IF(AND(Lists!$FI$28&lt;&gt;"",ISNUMBER(SEARCH($AG$4,Lists!$FI$28))),1,0)</f>
        <v/>
      </c>
      <c r="CV81">
        <f>IF(ROW()-56&gt;MAX($CU$57:$CU$95),"",INDEX(Lists!$FI$4:$FI$42,MATCH(ROW()-56,$CU$57:$CU$95,0)))</f>
        <v/>
      </c>
      <c r="CW81">
        <f>CW80+IF(AND(Lists!$FN$28&lt;&gt;"",ISNUMBER(SEARCH($AH$4,Lists!$FN$28))),1,0)</f>
        <v/>
      </c>
      <c r="CX81">
        <f>IF(ROW()-56&gt;MAX($CW$57:$CW$95),"",INDEX(Lists!$FN$4:$FN$42,MATCH(ROW()-56,$CW$57:$CW$95,0)))</f>
        <v/>
      </c>
      <c r="CY81">
        <f>CY80+IF(AND(Lists!$FS$28&lt;&gt;"",ISNUMBER(SEARCH($AI$4,Lists!$FS$28))),1,0)</f>
        <v/>
      </c>
      <c r="CZ81">
        <f>IF(ROW()-56&gt;MAX($CY$57:$CY$95),"",INDEX(Lists!$FS$4:$FS$42,MATCH(ROW()-56,$CY$57:$CY$95,0)))</f>
        <v/>
      </c>
      <c r="DA81">
        <f>DA80+IF(AND(Lists!$FX$28&lt;&gt;"",ISNUMBER(SEARCH($AF$4,Lists!$FX$28))),1,0)</f>
        <v/>
      </c>
      <c r="DB81">
        <f>IF(ROW()-56&gt;MAX($DA$57:$DA$95),"",INDEX(Lists!$FX$4:$FX$42,MATCH(ROW()-56,$DA$57:$DA$95,0)))</f>
        <v/>
      </c>
      <c r="DG81">
        <f>IF($B$4="",1,IF($B$4="(blank)",--('Final Calculation Sheet'!$F$26=""),IF($B$4="(nonblank)",--('Final Calculation Sheet'!$F$26&lt;&gt;""),--ISNUMBER(SEARCH($B$4,'Final Calculation Sheet'!$F$26)))))</f>
        <v/>
      </c>
      <c r="DH81">
        <f>IF($C$4="",1,IF($C$4="(blank)",--('Final Calculation Sheet'!$G$26=""),IF($C$4="(nonblank)",--('Final Calculation Sheet'!$G$26&lt;&gt;""),--ISNUMBER(SEARCH($C$4,'Final Calculation Sheet'!$G$26)))))</f>
        <v/>
      </c>
      <c r="DI81">
        <f>IF($D$4="",1,IF($D$4="(blank)",--('Final Calculation Sheet'!$B$26=""),IF($D$4="(nonblank)",--('Final Calculation Sheet'!$B$26&lt;&gt;""),--ISNUMBER(SEARCH($D$4,'Final Calculation Sheet'!$B$26)))))</f>
        <v/>
      </c>
      <c r="DJ81">
        <f>IF($E$4="",1,IF($E$4="(blank)",--('Final Calculation Sheet'!$D$26=""),IF($E$4="(nonblank)",--('Final Calculation Sheet'!$D$26&lt;&gt;""),--ISNUMBER(SEARCH($E$4,'Final Calculation Sheet'!$D$26)))))</f>
        <v/>
      </c>
      <c r="DK81">
        <f>IF($F$4="",1,IF($F$4="(blank)",--('Final Calculation Sheet'!$A$26=""),IF($F$4="(nonblank)",--('Final Calculation Sheet'!$A$26&lt;&gt;""),--ISNUMBER(SEARCH($F$4,'Final Calculation Sheet'!$A$26)))))</f>
        <v/>
      </c>
      <c r="DL81">
        <f>IF($G$4="",1,IF($G$4="(blank)",--('Final Calculation Sheet'!$E$26=""),IF($G$4="(nonblank)",--('Final Calculation Sheet'!$E$26&lt;&gt;""),--ISNUMBER(SEARCH($G$4,'Final Calculation Sheet'!$E$26)))))</f>
        <v/>
      </c>
      <c r="DM81">
        <f>IF($H$4="",1,IF($H$4="(blank)",--('Final Calculation Sheet'!$C$26=""),IF($H$4="(nonblank)",--('Final Calculation Sheet'!$C$26&lt;&gt;""),--ISNUMBER(SEARCH($H$4,'Final Calculation Sheet'!$C$26)))))</f>
        <v/>
      </c>
      <c r="DN81">
        <f>IF($I$4="",1,IF($I$4="(blank)",--('Final Calculation Sheet'!$H$26=""),IF($I$4="(nonblank)",--('Final Calculation Sheet'!$H$26&lt;&gt;""),--ISNUMBER(SEARCH($I$4,'Final Calculation Sheet'!$H$26)))))</f>
        <v/>
      </c>
      <c r="DO81">
        <f>IF($J$4="",1,IF($J$4="(blank)",--('Final Calculation Sheet'!$I$26=""),IF($J$4="(nonblank)",--('Final Calculation Sheet'!$I$26&lt;&gt;""),--ISNUMBER(SEARCH($J$4,'Final Calculation Sheet'!$I$26)))))</f>
        <v/>
      </c>
      <c r="DP81">
        <f>IF($K$4="",1,IF($K$4="(blank)",--('Final Calculation Sheet'!$J$26=""),IF($K$4="(nonblank)",--('Final Calculation Sheet'!$J$26&lt;&gt;""),--ISNUMBER(SEARCH($K$4,'Final Calculation Sheet'!$J$26)))))</f>
        <v/>
      </c>
      <c r="DQ81">
        <f>IF($L$4="",1,IF($L$4="(blank)",--('Final Calculation Sheet'!$K$26=""),IF($L$4="(nonblank)",--('Final Calculation Sheet'!$K$26&lt;&gt;""),--ISNUMBER(SEARCH($L$4,'Final Calculation Sheet'!$K$26)))))</f>
        <v/>
      </c>
      <c r="DR81">
        <f>IF($M$4="",1,IF($M$4="(blank)",--('Final Calculation Sheet'!$L$26=""),IF($M$4="(nonblank)",--('Final Calculation Sheet'!$L$26&lt;&gt;""),--ISNUMBER(SEARCH($M$4,'Final Calculation Sheet'!$L$26)))))</f>
        <v/>
      </c>
      <c r="DS81">
        <f>IF($N$4="",1,IF($N$4="(blank)",--('Final Calculation Sheet'!$M$26=""),IF($N$4="(nonblank)",--('Final Calculation Sheet'!$M$26&lt;&gt;""),--ISNUMBER(SEARCH($N$4,'Final Calculation Sheet'!$M$26)))))</f>
        <v/>
      </c>
      <c r="DT81">
        <f>IF($O$4="",1,IF($O$4="(blank)",--('Final Calculation Sheet'!$N$26=""),IF($O$4="(nonblank)",--('Final Calculation Sheet'!$N$26&lt;&gt;""),--ISNUMBER(SEARCH($O$4,'Final Calculation Sheet'!$N$26)))))</f>
        <v/>
      </c>
      <c r="DU81">
        <f>IF($P$4="",1,IF($P$4="(blank)",--('Final Calculation Sheet'!$O$26=""),IF($P$4="(nonblank)",--('Final Calculation Sheet'!$O$26&lt;&gt;""),--ISNUMBER(SEARCH($P$4,'Final Calculation Sheet'!$O$26)))))</f>
        <v/>
      </c>
      <c r="DV81">
        <f>IF($Q$4="",1,IF($Q$4="(blank)",--('Final Calculation Sheet'!$P$26=""),IF($Q$4="(nonblank)",--('Final Calculation Sheet'!$P$26&lt;&gt;""),--ISNUMBER(SEARCH($Q$4,'Final Calculation Sheet'!$P$26)))))</f>
        <v/>
      </c>
      <c r="DW81">
        <f>IF($R$4="",1,IF($R$4="(blank)",--('Final Calculation Sheet'!$Q$26=""),IF($R$4="(nonblank)",--('Final Calculation Sheet'!$Q$26&lt;&gt;""),--ISNUMBER(SEARCH($R$4,'Final Calculation Sheet'!$Q$26)))))</f>
        <v/>
      </c>
      <c r="DX81">
        <f>IF($S$4="",1,IF($S$4="(blank)",--('Final Calculation Sheet'!$R$26=""),IF($S$4="(nonblank)",--('Final Calculation Sheet'!$R$26&lt;&gt;""),--ISNUMBER(SEARCH($S$4,'Final Calculation Sheet'!$R$26)))))</f>
        <v/>
      </c>
      <c r="DY81">
        <f>IF($T$4="",1,IF($T$4="(blank)",--('Final Calculation Sheet'!$S$26=""),IF($T$4="(nonblank)",--('Final Calculation Sheet'!$S$26&lt;&gt;""),--ISNUMBER(SEARCH($T$4,'Final Calculation Sheet'!$S$26)))))</f>
        <v/>
      </c>
      <c r="DZ81">
        <f>IF($U$4="",1,IF($U$4="(blank)",--('Final Calculation Sheet'!$T$26=""),IF($U$4="(nonblank)",--('Final Calculation Sheet'!$T$26&lt;&gt;""),--ISNUMBER(SEARCH($U$4,'Final Calculation Sheet'!$T$26)))))</f>
        <v/>
      </c>
      <c r="EA81">
        <f>IF($V$4="",1,IF($V$4="(blank)",--('Final Calculation Sheet'!$U$26=""),IF($V$4="(nonblank)",--('Final Calculation Sheet'!$U$26&lt;&gt;""),--ISNUMBER(SEARCH($V$4,'Final Calculation Sheet'!$U$26)))))</f>
        <v/>
      </c>
      <c r="EB81">
        <f>IF($W$4="",1,IF($W$4="(blank)",--('Final Calculation Sheet'!$V$26=""),IF($W$4="(nonblank)",--('Final Calculation Sheet'!$V$26&lt;&gt;""),--ISNUMBER(SEARCH($W$4,'Final Calculation Sheet'!$V$26)))))</f>
        <v/>
      </c>
      <c r="EC81">
        <f>IF($X$4="",1,IF($X$4="(blank)",--('Final Calculation Sheet'!$W$26=""),IF($X$4="(nonblank)",--('Final Calculation Sheet'!$W$26&lt;&gt;""),--ISNUMBER(SEARCH($X$4,'Final Calculation Sheet'!$W$26)))))</f>
        <v/>
      </c>
      <c r="ED81">
        <f>IF($Y$4="",1,IF($Y$4="(blank)",--('Final Calculation Sheet'!$X$26=""),IF($Y$4="(nonblank)",--('Final Calculation Sheet'!$X$26&lt;&gt;""),--ISNUMBER(SEARCH($Y$4,'Final Calculation Sheet'!$X$26)))))</f>
        <v/>
      </c>
      <c r="EE81">
        <f>IF($Z$4="",1,IF($Z$4="(blank)",--('Final Calculation Sheet'!$Y$26=""),IF($Z$4="(nonblank)",--('Final Calculation Sheet'!$Y$26&lt;&gt;""),--ISNUMBER(SEARCH($Z$4,'Final Calculation Sheet'!$Y$26)))))</f>
        <v/>
      </c>
      <c r="EF81">
        <f>IF($AA$4="",1,IF($AA$4="(blank)",--('Final Calculation Sheet'!$Z$26=""),IF($AA$4="(nonblank)",--('Final Calculation Sheet'!$Z$26&lt;&gt;""),--ISNUMBER(SEARCH($AA$4,'Final Calculation Sheet'!$Z$26)))))</f>
        <v/>
      </c>
      <c r="EG81">
        <f>IF($AB$4="",1,IF($AB$4="(blank)",--('Final Calculation Sheet'!$AA$26=""),IF($AB$4="(nonblank)",--('Final Calculation Sheet'!$AA$26&lt;&gt;""),--ISNUMBER(SEARCH($AB$4,'Final Calculation Sheet'!$AA$26)))))</f>
        <v/>
      </c>
      <c r="EH81">
        <f>IF($AC$4="",1,IF($AC$4="(blank)",--('Final Calculation Sheet'!$AB$26=""),IF($AC$4="(nonblank)",--('Final Calculation Sheet'!$AB$26&lt;&gt;""),--ISNUMBER(SEARCH($AC$4,'Final Calculation Sheet'!$AB$26)))))</f>
        <v/>
      </c>
      <c r="EI81">
        <f>IF($AD$4="",1,IF($AD$4="(blank)",--('Final Calculation Sheet'!$AC$26=""),IF($AD$4="(nonblank)",--('Final Calculation Sheet'!$AC$26&lt;&gt;""),--ISNUMBER(SEARCH($AD$4,'Final Calculation Sheet'!$AC$26)))))</f>
        <v/>
      </c>
      <c r="EJ81">
        <f>IF($AE$4="",1,IF($AE$4="(blank)",--('Final Calculation Sheet'!$AD$26=""),IF($AE$4="(nonblank)",--('Final Calculation Sheet'!$AD$26&lt;&gt;""),--ISNUMBER(SEARCH($AE$4,'Final Calculation Sheet'!$AD$26)))))</f>
        <v/>
      </c>
      <c r="EK81">
        <f>IF($AF$4="",1,IF($AF$4="(blank)",--(IF('Final Calculation Sheet'!$AD$26&lt;=5,"SETTLED","OUTSTANDING")=""),IF($AF$4="(nonblank)",--(IF('Final Calculation Sheet'!$AD$26&lt;=5,"SETTLED","OUTSTANDING")&lt;&gt;""),--ISNUMBER(SEARCH($AF$4,IF('Final Calculation Sheet'!$AD$26&lt;=5,"SETTLED","OUTSTANDING"))))))</f>
        <v/>
      </c>
      <c r="EL81">
        <f>IF($AG$4="",1,IF($AG$4="(blank)",--('Final Calculation Sheet'!$AF$26=""),IF($AG$4="(nonblank)",--('Final Calculation Sheet'!$AF$26&lt;&gt;""),--ISNUMBER(SEARCH($AG$4,'Final Calculation Sheet'!$AF$26)))))</f>
        <v/>
      </c>
      <c r="EM81">
        <f>IF($AH$4="",1,IF($AH$4="(blank)",--('Final Calculation Sheet'!$AG$26=""),IF($AH$4="(nonblank)",--('Final Calculation Sheet'!$AG$26&lt;&gt;""),--ISNUMBER(SEARCH($AH$4,'Final Calculation Sheet'!$AG$26)))))</f>
        <v/>
      </c>
      <c r="EN81">
        <f>IF($AI$4="",1,IF($AI$4="(blank)",--('Final Calculation Sheet'!$AH$26=""),IF($AI$4="(nonblank)",--('Final Calculation Sheet'!$AH$26&lt;&gt;""),--ISNUMBER(SEARCH($AI$4,'Final Calculation Sheet'!$AH$26)))))</f>
        <v/>
      </c>
    </row>
    <row r="82">
      <c r="AM82">
        <f>AM81+IF(AND(Lists!$O$29&lt;&gt;"",ISNUMBER(SEARCH($B$4,Lists!$O$29))),1,0)</f>
        <v/>
      </c>
      <c r="AN82">
        <f>IF(ROW()-56&gt;MAX($AM$57:$AM$95),"",INDEX(Lists!$O$4:$O$42,MATCH(ROW()-56,$AM$57:$AM$95,0)))</f>
        <v/>
      </c>
      <c r="AO82">
        <f>AO81+IF(AND(Lists!$T$29&lt;&gt;"",ISNUMBER(SEARCH($C$4,Lists!$T$29))),1,0)</f>
        <v/>
      </c>
      <c r="AP82">
        <f>IF(ROW()-56&gt;MAX($AO$57:$AO$95),"",INDEX(Lists!$T$4:$T$42,MATCH(ROW()-56,$AO$57:$AO$95,0)))</f>
        <v/>
      </c>
      <c r="AQ82">
        <f>AQ81+IF(AND(Lists!$Y$29&lt;&gt;"",ISNUMBER(SEARCH($D$4,Lists!$Y$29))),1,0)</f>
        <v/>
      </c>
      <c r="AR82">
        <f>IF(ROW()-56&gt;MAX($AQ$57:$AQ$95),"",INDEX(Lists!$Y$4:$Y$42,MATCH(ROW()-56,$AQ$57:$AQ$95,0)))</f>
        <v/>
      </c>
      <c r="AS82">
        <f>AS81+IF(AND(Lists!$AD$29&lt;&gt;"",ISNUMBER(SEARCH($E$4,Lists!$AD$29))),1,0)</f>
        <v/>
      </c>
      <c r="AT82">
        <f>IF(ROW()-56&gt;MAX($AS$57:$AS$95),"",INDEX(Lists!$AD$4:$AD$42,MATCH(ROW()-56,$AS$57:$AS$95,0)))</f>
        <v/>
      </c>
      <c r="AU82">
        <f>AU81+IF(AND(Lists!$AI$29&lt;&gt;"",ISNUMBER(SEARCH($F$4,Lists!$AI$29))),1,0)</f>
        <v/>
      </c>
      <c r="AV82">
        <f>IF(ROW()-56&gt;MAX($AU$57:$AU$95),"",INDEX(Lists!$AI$4:$AI$42,MATCH(ROW()-56,$AU$57:$AU$95,0)))</f>
        <v/>
      </c>
      <c r="AW82">
        <f>AW81+IF(AND(Lists!$AN$29&lt;&gt;"",ISNUMBER(SEARCH($G$4,Lists!$AN$29))),1,0)</f>
        <v/>
      </c>
      <c r="AX82">
        <f>IF(ROW()-56&gt;MAX($AW$57:$AW$95),"",INDEX(Lists!$AN$4:$AN$42,MATCH(ROW()-56,$AW$57:$AW$95,0)))</f>
        <v/>
      </c>
      <c r="AY82">
        <f>AY81+IF(AND(Lists!$AS$29&lt;&gt;"",ISNUMBER(SEARCH($H$4,Lists!$AS$29))),1,0)</f>
        <v/>
      </c>
      <c r="AZ82">
        <f>IF(ROW()-56&gt;MAX($AY$57:$AY$95),"",INDEX(Lists!$AS$4:$AS$42,MATCH(ROW()-56,$AY$57:$AY$95,0)))</f>
        <v/>
      </c>
      <c r="BA82">
        <f>BA81+IF(AND(Lists!$AX$29&lt;&gt;"",ISNUMBER(SEARCH($I$4,Lists!$AX$29))),1,0)</f>
        <v/>
      </c>
      <c r="BB82">
        <f>IF(ROW()-56&gt;MAX($BA$57:$BA$95),"",INDEX(Lists!$AX$4:$AX$42,MATCH(ROW()-56,$BA$57:$BA$95,0)))</f>
        <v/>
      </c>
      <c r="BC82">
        <f>BC81+IF(AND(Lists!$BC$29&lt;&gt;"",ISNUMBER(SEARCH($J$4,Lists!$BC$29))),1,0)</f>
        <v/>
      </c>
      <c r="BD82">
        <f>IF(ROW()-56&gt;MAX($BC$57:$BC$95),"",INDEX(Lists!$BC$4:$BC$42,MATCH(ROW()-56,$BC$57:$BC$95,0)))</f>
        <v/>
      </c>
      <c r="BE82">
        <f>BE81+IF(AND(Lists!$BH$29&lt;&gt;"",ISNUMBER(SEARCH($K$4,Lists!$BH$29))),1,0)</f>
        <v/>
      </c>
      <c r="BF82">
        <f>IF(ROW()-56&gt;MAX($BE$57:$BE$95),"",INDEX(Lists!$BH$4:$BH$42,MATCH(ROW()-56,$BE$57:$BE$95,0)))</f>
        <v/>
      </c>
      <c r="BG82">
        <f>BG81+IF(AND(Lists!$BM$29&lt;&gt;"",ISNUMBER(SEARCH($L$4,Lists!$BM$29))),1,0)</f>
        <v/>
      </c>
      <c r="BH82">
        <f>IF(ROW()-56&gt;MAX($BG$57:$BG$95),"",INDEX(Lists!$BM$4:$BM$42,MATCH(ROW()-56,$BG$57:$BG$95,0)))</f>
        <v/>
      </c>
      <c r="BI82">
        <f>BI81+IF(AND(Lists!$BR$29&lt;&gt;"",ISNUMBER(SEARCH($M$4,Lists!$BR$29))),1,0)</f>
        <v/>
      </c>
      <c r="BJ82">
        <f>IF(ROW()-56&gt;MAX($BI$57:$BI$95),"",INDEX(Lists!$BR$4:$BR$42,MATCH(ROW()-56,$BI$57:$BI$95,0)))</f>
        <v/>
      </c>
      <c r="BK82">
        <f>BK81+IF(AND(Lists!$BW$29&lt;&gt;"",ISNUMBER(SEARCH($N$4,Lists!$BW$29))),1,0)</f>
        <v/>
      </c>
      <c r="BL82">
        <f>IF(ROW()-56&gt;MAX($BK$57:$BK$95),"",INDEX(Lists!$BW$4:$BW$42,MATCH(ROW()-56,$BK$57:$BK$95,0)))</f>
        <v/>
      </c>
      <c r="BM82">
        <f>BM81+IF(AND(Lists!$CB$29&lt;&gt;"",ISNUMBER(SEARCH($O$4,Lists!$CB$29))),1,0)</f>
        <v/>
      </c>
      <c r="BN82">
        <f>IF(ROW()-56&gt;MAX($BM$57:$BM$95),"",INDEX(Lists!$CB$4:$CB$42,MATCH(ROW()-56,$BM$57:$BM$95,0)))</f>
        <v/>
      </c>
      <c r="BO82">
        <f>BO81+IF(AND(Lists!$CG$29&lt;&gt;"",ISNUMBER(SEARCH($P$4,Lists!$CG$29))),1,0)</f>
        <v/>
      </c>
      <c r="BP82">
        <f>IF(ROW()-56&gt;MAX($BO$57:$BO$95),"",INDEX(Lists!$CG$4:$CG$42,MATCH(ROW()-56,$BO$57:$BO$95,0)))</f>
        <v/>
      </c>
      <c r="BQ82">
        <f>BQ81+IF(AND(Lists!$CL$29&lt;&gt;"",ISNUMBER(SEARCH($Q$4,Lists!$CL$29))),1,0)</f>
        <v/>
      </c>
      <c r="BR82">
        <f>IF(ROW()-56&gt;MAX($BQ$57:$BQ$95),"",INDEX(Lists!$CL$4:$CL$42,MATCH(ROW()-56,$BQ$57:$BQ$95,0)))</f>
        <v/>
      </c>
      <c r="BS82">
        <f>BS81+IF(AND(Lists!$CQ$29&lt;&gt;"",ISNUMBER(SEARCH($R$4,Lists!$CQ$29))),1,0)</f>
        <v/>
      </c>
      <c r="BT82">
        <f>IF(ROW()-56&gt;MAX($BS$57:$BS$95),"",INDEX(Lists!$CQ$4:$CQ$42,MATCH(ROW()-56,$BS$57:$BS$95,0)))</f>
        <v/>
      </c>
      <c r="BU82">
        <f>BU81+IF(AND(Lists!$CV$29&lt;&gt;"",ISNUMBER(SEARCH($S$4,Lists!$CV$29))),1,0)</f>
        <v/>
      </c>
      <c r="BV82">
        <f>IF(ROW()-56&gt;MAX($BU$57:$BU$95),"",INDEX(Lists!$CV$4:$CV$42,MATCH(ROW()-56,$BU$57:$BU$95,0)))</f>
        <v/>
      </c>
      <c r="BW82">
        <f>BW81+IF(AND(Lists!$DA$29&lt;&gt;"",ISNUMBER(SEARCH($T$4,Lists!$DA$29))),1,0)</f>
        <v/>
      </c>
      <c r="BX82">
        <f>IF(ROW()-56&gt;MAX($BW$57:$BW$95),"",INDEX(Lists!$DA$4:$DA$42,MATCH(ROW()-56,$BW$57:$BW$95,0)))</f>
        <v/>
      </c>
      <c r="BY82">
        <f>BY81+IF(AND(Lists!$DF$29&lt;&gt;"",ISNUMBER(SEARCH($U$4,Lists!$DF$29))),1,0)</f>
        <v/>
      </c>
      <c r="BZ82">
        <f>IF(ROW()-56&gt;MAX($BY$57:$BY$95),"",INDEX(Lists!$DF$4:$DF$42,MATCH(ROW()-56,$BY$57:$BY$95,0)))</f>
        <v/>
      </c>
      <c r="CA82">
        <f>CA81+IF(AND(Lists!$DK$29&lt;&gt;"",ISNUMBER(SEARCH($V$4,Lists!$DK$29))),1,0)</f>
        <v/>
      </c>
      <c r="CB82">
        <f>IF(ROW()-56&gt;MAX($CA$57:$CA$95),"",INDEX(Lists!$DK$4:$DK$42,MATCH(ROW()-56,$CA$57:$CA$95,0)))</f>
        <v/>
      </c>
      <c r="CC82">
        <f>CC81+IF(AND(Lists!$DP$29&lt;&gt;"",ISNUMBER(SEARCH($W$4,Lists!$DP$29))),1,0)</f>
        <v/>
      </c>
      <c r="CD82">
        <f>IF(ROW()-56&gt;MAX($CC$57:$CC$95),"",INDEX(Lists!$DP$4:$DP$42,MATCH(ROW()-56,$CC$57:$CC$95,0)))</f>
        <v/>
      </c>
      <c r="CE82">
        <f>CE81+IF(AND(Lists!$DU$29&lt;&gt;"",ISNUMBER(SEARCH($X$4,Lists!$DU$29))),1,0)</f>
        <v/>
      </c>
      <c r="CF82">
        <f>IF(ROW()-56&gt;MAX($CE$57:$CE$95),"",INDEX(Lists!$DU$4:$DU$42,MATCH(ROW()-56,$CE$57:$CE$95,0)))</f>
        <v/>
      </c>
      <c r="CG82">
        <f>CG81+IF(AND(Lists!$DZ$29&lt;&gt;"",ISNUMBER(SEARCH($Y$4,Lists!$DZ$29))),1,0)</f>
        <v/>
      </c>
      <c r="CH82">
        <f>IF(ROW()-56&gt;MAX($CG$57:$CG$95),"",INDEX(Lists!$DZ$4:$DZ$42,MATCH(ROW()-56,$CG$57:$CG$95,0)))</f>
        <v/>
      </c>
      <c r="CI82">
        <f>CI81+IF(AND(Lists!$EE$29&lt;&gt;"",ISNUMBER(SEARCH($Z$4,Lists!$EE$29))),1,0)</f>
        <v/>
      </c>
      <c r="CJ82">
        <f>IF(ROW()-56&gt;MAX($CI$57:$CI$95),"",INDEX(Lists!$EE$4:$EE$42,MATCH(ROW()-56,$CI$57:$CI$95,0)))</f>
        <v/>
      </c>
      <c r="CK82">
        <f>CK81+IF(AND(Lists!$EJ$29&lt;&gt;"",ISNUMBER(SEARCH($AA$4,Lists!$EJ$29))),1,0)</f>
        <v/>
      </c>
      <c r="CL82">
        <f>IF(ROW()-56&gt;MAX($CK$57:$CK$95),"",INDEX(Lists!$EJ$4:$EJ$42,MATCH(ROW()-56,$CK$57:$CK$95,0)))</f>
        <v/>
      </c>
      <c r="CM82">
        <f>CM81+IF(AND(Lists!$EO$29&lt;&gt;"",ISNUMBER(SEARCH($AB$4,Lists!$EO$29))),1,0)</f>
        <v/>
      </c>
      <c r="CN82">
        <f>IF(ROW()-56&gt;MAX($CM$57:$CM$95),"",INDEX(Lists!$EO$4:$EO$42,MATCH(ROW()-56,$CM$57:$CM$95,0)))</f>
        <v/>
      </c>
      <c r="CO82">
        <f>CO81+IF(AND(Lists!$ET$29&lt;&gt;"",ISNUMBER(SEARCH($AC$4,Lists!$ET$29))),1,0)</f>
        <v/>
      </c>
      <c r="CP82">
        <f>IF(ROW()-56&gt;MAX($CO$57:$CO$95),"",INDEX(Lists!$ET$4:$ET$42,MATCH(ROW()-56,$CO$57:$CO$95,0)))</f>
        <v/>
      </c>
      <c r="CQ82">
        <f>CQ81+IF(AND(Lists!$EY$29&lt;&gt;"",ISNUMBER(SEARCH($AD$4,Lists!$EY$29))),1,0)</f>
        <v/>
      </c>
      <c r="CR82">
        <f>IF(ROW()-56&gt;MAX($CQ$57:$CQ$95),"",INDEX(Lists!$EY$4:$EY$42,MATCH(ROW()-56,$CQ$57:$CQ$95,0)))</f>
        <v/>
      </c>
      <c r="CS82">
        <f>CS81+IF(AND(Lists!$FD$29&lt;&gt;"",ISNUMBER(SEARCH($AE$4,Lists!$FD$29))),1,0)</f>
        <v/>
      </c>
      <c r="CT82">
        <f>IF(ROW()-56&gt;MAX($CS$57:$CS$95),"",INDEX(Lists!$FD$4:$FD$42,MATCH(ROW()-56,$CS$57:$CS$95,0)))</f>
        <v/>
      </c>
      <c r="CU82">
        <f>CU81+IF(AND(Lists!$FI$29&lt;&gt;"",ISNUMBER(SEARCH($AG$4,Lists!$FI$29))),1,0)</f>
        <v/>
      </c>
      <c r="CV82">
        <f>IF(ROW()-56&gt;MAX($CU$57:$CU$95),"",INDEX(Lists!$FI$4:$FI$42,MATCH(ROW()-56,$CU$57:$CU$95,0)))</f>
        <v/>
      </c>
      <c r="CW82">
        <f>CW81+IF(AND(Lists!$FN$29&lt;&gt;"",ISNUMBER(SEARCH($AH$4,Lists!$FN$29))),1,0)</f>
        <v/>
      </c>
      <c r="CX82">
        <f>IF(ROW()-56&gt;MAX($CW$57:$CW$95),"",INDEX(Lists!$FN$4:$FN$42,MATCH(ROW()-56,$CW$57:$CW$95,0)))</f>
        <v/>
      </c>
      <c r="CY82">
        <f>CY81+IF(AND(Lists!$FS$29&lt;&gt;"",ISNUMBER(SEARCH($AI$4,Lists!$FS$29))),1,0)</f>
        <v/>
      </c>
      <c r="CZ82">
        <f>IF(ROW()-56&gt;MAX($CY$57:$CY$95),"",INDEX(Lists!$FS$4:$FS$42,MATCH(ROW()-56,$CY$57:$CY$95,0)))</f>
        <v/>
      </c>
      <c r="DA82">
        <f>DA81+IF(AND(Lists!$FX$29&lt;&gt;"",ISNUMBER(SEARCH($AF$4,Lists!$FX$29))),1,0)</f>
        <v/>
      </c>
      <c r="DB82">
        <f>IF(ROW()-56&gt;MAX($DA$57:$DA$95),"",INDEX(Lists!$FX$4:$FX$42,MATCH(ROW()-56,$DA$57:$DA$95,0)))</f>
        <v/>
      </c>
      <c r="DG82">
        <f>IF($B$4="",1,IF($B$4="(blank)",--('Final Calculation Sheet'!$F$27=""),IF($B$4="(nonblank)",--('Final Calculation Sheet'!$F$27&lt;&gt;""),--ISNUMBER(SEARCH($B$4,'Final Calculation Sheet'!$F$27)))))</f>
        <v/>
      </c>
      <c r="DH82">
        <f>IF($C$4="",1,IF($C$4="(blank)",--('Final Calculation Sheet'!$G$27=""),IF($C$4="(nonblank)",--('Final Calculation Sheet'!$G$27&lt;&gt;""),--ISNUMBER(SEARCH($C$4,'Final Calculation Sheet'!$G$27)))))</f>
        <v/>
      </c>
      <c r="DI82">
        <f>IF($D$4="",1,IF($D$4="(blank)",--('Final Calculation Sheet'!$B$27=""),IF($D$4="(nonblank)",--('Final Calculation Sheet'!$B$27&lt;&gt;""),--ISNUMBER(SEARCH($D$4,'Final Calculation Sheet'!$B$27)))))</f>
        <v/>
      </c>
      <c r="DJ82">
        <f>IF($E$4="",1,IF($E$4="(blank)",--('Final Calculation Sheet'!$D$27=""),IF($E$4="(nonblank)",--('Final Calculation Sheet'!$D$27&lt;&gt;""),--ISNUMBER(SEARCH($E$4,'Final Calculation Sheet'!$D$27)))))</f>
        <v/>
      </c>
      <c r="DK82">
        <f>IF($F$4="",1,IF($F$4="(blank)",--('Final Calculation Sheet'!$A$27=""),IF($F$4="(nonblank)",--('Final Calculation Sheet'!$A$27&lt;&gt;""),--ISNUMBER(SEARCH($F$4,'Final Calculation Sheet'!$A$27)))))</f>
        <v/>
      </c>
      <c r="DL82">
        <f>IF($G$4="",1,IF($G$4="(blank)",--('Final Calculation Sheet'!$E$27=""),IF($G$4="(nonblank)",--('Final Calculation Sheet'!$E$27&lt;&gt;""),--ISNUMBER(SEARCH($G$4,'Final Calculation Sheet'!$E$27)))))</f>
        <v/>
      </c>
      <c r="DM82">
        <f>IF($H$4="",1,IF($H$4="(blank)",--('Final Calculation Sheet'!$C$27=""),IF($H$4="(nonblank)",--('Final Calculation Sheet'!$C$27&lt;&gt;""),--ISNUMBER(SEARCH($H$4,'Final Calculation Sheet'!$C$27)))))</f>
        <v/>
      </c>
      <c r="DN82">
        <f>IF($I$4="",1,IF($I$4="(blank)",--('Final Calculation Sheet'!$H$27=""),IF($I$4="(nonblank)",--('Final Calculation Sheet'!$H$27&lt;&gt;""),--ISNUMBER(SEARCH($I$4,'Final Calculation Sheet'!$H$27)))))</f>
        <v/>
      </c>
      <c r="DO82">
        <f>IF($J$4="",1,IF($J$4="(blank)",--('Final Calculation Sheet'!$I$27=""),IF($J$4="(nonblank)",--('Final Calculation Sheet'!$I$27&lt;&gt;""),--ISNUMBER(SEARCH($J$4,'Final Calculation Sheet'!$I$27)))))</f>
        <v/>
      </c>
      <c r="DP82">
        <f>IF($K$4="",1,IF($K$4="(blank)",--('Final Calculation Sheet'!$J$27=""),IF($K$4="(nonblank)",--('Final Calculation Sheet'!$J$27&lt;&gt;""),--ISNUMBER(SEARCH($K$4,'Final Calculation Sheet'!$J$27)))))</f>
        <v/>
      </c>
      <c r="DQ82">
        <f>IF($L$4="",1,IF($L$4="(blank)",--('Final Calculation Sheet'!$K$27=""),IF($L$4="(nonblank)",--('Final Calculation Sheet'!$K$27&lt;&gt;""),--ISNUMBER(SEARCH($L$4,'Final Calculation Sheet'!$K$27)))))</f>
        <v/>
      </c>
      <c r="DR82">
        <f>IF($M$4="",1,IF($M$4="(blank)",--('Final Calculation Sheet'!$L$27=""),IF($M$4="(nonblank)",--('Final Calculation Sheet'!$L$27&lt;&gt;""),--ISNUMBER(SEARCH($M$4,'Final Calculation Sheet'!$L$27)))))</f>
        <v/>
      </c>
      <c r="DS82">
        <f>IF($N$4="",1,IF($N$4="(blank)",--('Final Calculation Sheet'!$M$27=""),IF($N$4="(nonblank)",--('Final Calculation Sheet'!$M$27&lt;&gt;""),--ISNUMBER(SEARCH($N$4,'Final Calculation Sheet'!$M$27)))))</f>
        <v/>
      </c>
      <c r="DT82">
        <f>IF($O$4="",1,IF($O$4="(blank)",--('Final Calculation Sheet'!$N$27=""),IF($O$4="(nonblank)",--('Final Calculation Sheet'!$N$27&lt;&gt;""),--ISNUMBER(SEARCH($O$4,'Final Calculation Sheet'!$N$27)))))</f>
        <v/>
      </c>
      <c r="DU82">
        <f>IF($P$4="",1,IF($P$4="(blank)",--('Final Calculation Sheet'!$O$27=""),IF($P$4="(nonblank)",--('Final Calculation Sheet'!$O$27&lt;&gt;""),--ISNUMBER(SEARCH($P$4,'Final Calculation Sheet'!$O$27)))))</f>
        <v/>
      </c>
      <c r="DV82">
        <f>IF($Q$4="",1,IF($Q$4="(blank)",--('Final Calculation Sheet'!$P$27=""),IF($Q$4="(nonblank)",--('Final Calculation Sheet'!$P$27&lt;&gt;""),--ISNUMBER(SEARCH($Q$4,'Final Calculation Sheet'!$P$27)))))</f>
        <v/>
      </c>
      <c r="DW82">
        <f>IF($R$4="",1,IF($R$4="(blank)",--('Final Calculation Sheet'!$Q$27=""),IF($R$4="(nonblank)",--('Final Calculation Sheet'!$Q$27&lt;&gt;""),--ISNUMBER(SEARCH($R$4,'Final Calculation Sheet'!$Q$27)))))</f>
        <v/>
      </c>
      <c r="DX82">
        <f>IF($S$4="",1,IF($S$4="(blank)",--('Final Calculation Sheet'!$R$27=""),IF($S$4="(nonblank)",--('Final Calculation Sheet'!$R$27&lt;&gt;""),--ISNUMBER(SEARCH($S$4,'Final Calculation Sheet'!$R$27)))))</f>
        <v/>
      </c>
      <c r="DY82">
        <f>IF($T$4="",1,IF($T$4="(blank)",--('Final Calculation Sheet'!$S$27=""),IF($T$4="(nonblank)",--('Final Calculation Sheet'!$S$27&lt;&gt;""),--ISNUMBER(SEARCH($T$4,'Final Calculation Sheet'!$S$27)))))</f>
        <v/>
      </c>
      <c r="DZ82">
        <f>IF($U$4="",1,IF($U$4="(blank)",--('Final Calculation Sheet'!$T$27=""),IF($U$4="(nonblank)",--('Final Calculation Sheet'!$T$27&lt;&gt;""),--ISNUMBER(SEARCH($U$4,'Final Calculation Sheet'!$T$27)))))</f>
        <v/>
      </c>
      <c r="EA82">
        <f>IF($V$4="",1,IF($V$4="(blank)",--('Final Calculation Sheet'!$U$27=""),IF($V$4="(nonblank)",--('Final Calculation Sheet'!$U$27&lt;&gt;""),--ISNUMBER(SEARCH($V$4,'Final Calculation Sheet'!$U$27)))))</f>
        <v/>
      </c>
      <c r="EB82">
        <f>IF($W$4="",1,IF($W$4="(blank)",--('Final Calculation Sheet'!$V$27=""),IF($W$4="(nonblank)",--('Final Calculation Sheet'!$V$27&lt;&gt;""),--ISNUMBER(SEARCH($W$4,'Final Calculation Sheet'!$V$27)))))</f>
        <v/>
      </c>
      <c r="EC82">
        <f>IF($X$4="",1,IF($X$4="(blank)",--('Final Calculation Sheet'!$W$27=""),IF($X$4="(nonblank)",--('Final Calculation Sheet'!$W$27&lt;&gt;""),--ISNUMBER(SEARCH($X$4,'Final Calculation Sheet'!$W$27)))))</f>
        <v/>
      </c>
      <c r="ED82">
        <f>IF($Y$4="",1,IF($Y$4="(blank)",--('Final Calculation Sheet'!$X$27=""),IF($Y$4="(nonblank)",--('Final Calculation Sheet'!$X$27&lt;&gt;""),--ISNUMBER(SEARCH($Y$4,'Final Calculation Sheet'!$X$27)))))</f>
        <v/>
      </c>
      <c r="EE82">
        <f>IF($Z$4="",1,IF($Z$4="(blank)",--('Final Calculation Sheet'!$Y$27=""),IF($Z$4="(nonblank)",--('Final Calculation Sheet'!$Y$27&lt;&gt;""),--ISNUMBER(SEARCH($Z$4,'Final Calculation Sheet'!$Y$27)))))</f>
        <v/>
      </c>
      <c r="EF82">
        <f>IF($AA$4="",1,IF($AA$4="(blank)",--('Final Calculation Sheet'!$Z$27=""),IF($AA$4="(nonblank)",--('Final Calculation Sheet'!$Z$27&lt;&gt;""),--ISNUMBER(SEARCH($AA$4,'Final Calculation Sheet'!$Z$27)))))</f>
        <v/>
      </c>
      <c r="EG82">
        <f>IF($AB$4="",1,IF($AB$4="(blank)",--('Final Calculation Sheet'!$AA$27=""),IF($AB$4="(nonblank)",--('Final Calculation Sheet'!$AA$27&lt;&gt;""),--ISNUMBER(SEARCH($AB$4,'Final Calculation Sheet'!$AA$27)))))</f>
        <v/>
      </c>
      <c r="EH82">
        <f>IF($AC$4="",1,IF($AC$4="(blank)",--('Final Calculation Sheet'!$AB$27=""),IF($AC$4="(nonblank)",--('Final Calculation Sheet'!$AB$27&lt;&gt;""),--ISNUMBER(SEARCH($AC$4,'Final Calculation Sheet'!$AB$27)))))</f>
        <v/>
      </c>
      <c r="EI82">
        <f>IF($AD$4="",1,IF($AD$4="(blank)",--('Final Calculation Sheet'!$AC$27=""),IF($AD$4="(nonblank)",--('Final Calculation Sheet'!$AC$27&lt;&gt;""),--ISNUMBER(SEARCH($AD$4,'Final Calculation Sheet'!$AC$27)))))</f>
        <v/>
      </c>
      <c r="EJ82">
        <f>IF($AE$4="",1,IF($AE$4="(blank)",--('Final Calculation Sheet'!$AD$27=""),IF($AE$4="(nonblank)",--('Final Calculation Sheet'!$AD$27&lt;&gt;""),--ISNUMBER(SEARCH($AE$4,'Final Calculation Sheet'!$AD$27)))))</f>
        <v/>
      </c>
      <c r="EK82">
        <f>IF($AF$4="",1,IF($AF$4="(blank)",--(IF('Final Calculation Sheet'!$AD$27&lt;=5,"SETTLED","OUTSTANDING")=""),IF($AF$4="(nonblank)",--(IF('Final Calculation Sheet'!$AD$27&lt;=5,"SETTLED","OUTSTANDING")&lt;&gt;""),--ISNUMBER(SEARCH($AF$4,IF('Final Calculation Sheet'!$AD$27&lt;=5,"SETTLED","OUTSTANDING"))))))</f>
        <v/>
      </c>
      <c r="EL82">
        <f>IF($AG$4="",1,IF($AG$4="(blank)",--('Final Calculation Sheet'!$AF$27=""),IF($AG$4="(nonblank)",--('Final Calculation Sheet'!$AF$27&lt;&gt;""),--ISNUMBER(SEARCH($AG$4,'Final Calculation Sheet'!$AF$27)))))</f>
        <v/>
      </c>
      <c r="EM82">
        <f>IF($AH$4="",1,IF($AH$4="(blank)",--('Final Calculation Sheet'!$AG$27=""),IF($AH$4="(nonblank)",--('Final Calculation Sheet'!$AG$27&lt;&gt;""),--ISNUMBER(SEARCH($AH$4,'Final Calculation Sheet'!$AG$27)))))</f>
        <v/>
      </c>
      <c r="EN82">
        <f>IF($AI$4="",1,IF($AI$4="(blank)",--('Final Calculation Sheet'!$AH$27=""),IF($AI$4="(nonblank)",--('Final Calculation Sheet'!$AH$27&lt;&gt;""),--ISNUMBER(SEARCH($AI$4,'Final Calculation Sheet'!$AH$27)))))</f>
        <v/>
      </c>
    </row>
    <row r="83">
      <c r="AM83">
        <f>AM82+IF(AND(Lists!$O$30&lt;&gt;"",ISNUMBER(SEARCH($B$4,Lists!$O$30))),1,0)</f>
        <v/>
      </c>
      <c r="AN83">
        <f>IF(ROW()-56&gt;MAX($AM$57:$AM$95),"",INDEX(Lists!$O$4:$O$42,MATCH(ROW()-56,$AM$57:$AM$95,0)))</f>
        <v/>
      </c>
      <c r="AO83">
        <f>AO82+IF(AND(Lists!$T$30&lt;&gt;"",ISNUMBER(SEARCH($C$4,Lists!$T$30))),1,0)</f>
        <v/>
      </c>
      <c r="AP83">
        <f>IF(ROW()-56&gt;MAX($AO$57:$AO$95),"",INDEX(Lists!$T$4:$T$42,MATCH(ROW()-56,$AO$57:$AO$95,0)))</f>
        <v/>
      </c>
      <c r="AQ83">
        <f>AQ82+IF(AND(Lists!$Y$30&lt;&gt;"",ISNUMBER(SEARCH($D$4,Lists!$Y$30))),1,0)</f>
        <v/>
      </c>
      <c r="AR83">
        <f>IF(ROW()-56&gt;MAX($AQ$57:$AQ$95),"",INDEX(Lists!$Y$4:$Y$42,MATCH(ROW()-56,$AQ$57:$AQ$95,0)))</f>
        <v/>
      </c>
      <c r="AS83">
        <f>AS82+IF(AND(Lists!$AD$30&lt;&gt;"",ISNUMBER(SEARCH($E$4,Lists!$AD$30))),1,0)</f>
        <v/>
      </c>
      <c r="AT83">
        <f>IF(ROW()-56&gt;MAX($AS$57:$AS$95),"",INDEX(Lists!$AD$4:$AD$42,MATCH(ROW()-56,$AS$57:$AS$95,0)))</f>
        <v/>
      </c>
      <c r="AU83">
        <f>AU82+IF(AND(Lists!$AI$30&lt;&gt;"",ISNUMBER(SEARCH($F$4,Lists!$AI$30))),1,0)</f>
        <v/>
      </c>
      <c r="AV83">
        <f>IF(ROW()-56&gt;MAX($AU$57:$AU$95),"",INDEX(Lists!$AI$4:$AI$42,MATCH(ROW()-56,$AU$57:$AU$95,0)))</f>
        <v/>
      </c>
      <c r="AW83">
        <f>AW82+IF(AND(Lists!$AN$30&lt;&gt;"",ISNUMBER(SEARCH($G$4,Lists!$AN$30))),1,0)</f>
        <v/>
      </c>
      <c r="AX83">
        <f>IF(ROW()-56&gt;MAX($AW$57:$AW$95),"",INDEX(Lists!$AN$4:$AN$42,MATCH(ROW()-56,$AW$57:$AW$95,0)))</f>
        <v/>
      </c>
      <c r="AY83">
        <f>AY82+IF(AND(Lists!$AS$30&lt;&gt;"",ISNUMBER(SEARCH($H$4,Lists!$AS$30))),1,0)</f>
        <v/>
      </c>
      <c r="AZ83">
        <f>IF(ROW()-56&gt;MAX($AY$57:$AY$95),"",INDEX(Lists!$AS$4:$AS$42,MATCH(ROW()-56,$AY$57:$AY$95,0)))</f>
        <v/>
      </c>
      <c r="BA83">
        <f>BA82+IF(AND(Lists!$AX$30&lt;&gt;"",ISNUMBER(SEARCH($I$4,Lists!$AX$30))),1,0)</f>
        <v/>
      </c>
      <c r="BB83">
        <f>IF(ROW()-56&gt;MAX($BA$57:$BA$95),"",INDEX(Lists!$AX$4:$AX$42,MATCH(ROW()-56,$BA$57:$BA$95,0)))</f>
        <v/>
      </c>
      <c r="BC83">
        <f>BC82+IF(AND(Lists!$BC$30&lt;&gt;"",ISNUMBER(SEARCH($J$4,Lists!$BC$30))),1,0)</f>
        <v/>
      </c>
      <c r="BD83">
        <f>IF(ROW()-56&gt;MAX($BC$57:$BC$95),"",INDEX(Lists!$BC$4:$BC$42,MATCH(ROW()-56,$BC$57:$BC$95,0)))</f>
        <v/>
      </c>
      <c r="BE83">
        <f>BE82+IF(AND(Lists!$BH$30&lt;&gt;"",ISNUMBER(SEARCH($K$4,Lists!$BH$30))),1,0)</f>
        <v/>
      </c>
      <c r="BF83">
        <f>IF(ROW()-56&gt;MAX($BE$57:$BE$95),"",INDEX(Lists!$BH$4:$BH$42,MATCH(ROW()-56,$BE$57:$BE$95,0)))</f>
        <v/>
      </c>
      <c r="BG83">
        <f>BG82+IF(AND(Lists!$BM$30&lt;&gt;"",ISNUMBER(SEARCH($L$4,Lists!$BM$30))),1,0)</f>
        <v/>
      </c>
      <c r="BH83">
        <f>IF(ROW()-56&gt;MAX($BG$57:$BG$95),"",INDEX(Lists!$BM$4:$BM$42,MATCH(ROW()-56,$BG$57:$BG$95,0)))</f>
        <v/>
      </c>
      <c r="BI83">
        <f>BI82+IF(AND(Lists!$BR$30&lt;&gt;"",ISNUMBER(SEARCH($M$4,Lists!$BR$30))),1,0)</f>
        <v/>
      </c>
      <c r="BJ83">
        <f>IF(ROW()-56&gt;MAX($BI$57:$BI$95),"",INDEX(Lists!$BR$4:$BR$42,MATCH(ROW()-56,$BI$57:$BI$95,0)))</f>
        <v/>
      </c>
      <c r="BK83">
        <f>BK82+IF(AND(Lists!$BW$30&lt;&gt;"",ISNUMBER(SEARCH($N$4,Lists!$BW$30))),1,0)</f>
        <v/>
      </c>
      <c r="BL83">
        <f>IF(ROW()-56&gt;MAX($BK$57:$BK$95),"",INDEX(Lists!$BW$4:$BW$42,MATCH(ROW()-56,$BK$57:$BK$95,0)))</f>
        <v/>
      </c>
      <c r="BM83">
        <f>BM82+IF(AND(Lists!$CB$30&lt;&gt;"",ISNUMBER(SEARCH($O$4,Lists!$CB$30))),1,0)</f>
        <v/>
      </c>
      <c r="BN83">
        <f>IF(ROW()-56&gt;MAX($BM$57:$BM$95),"",INDEX(Lists!$CB$4:$CB$42,MATCH(ROW()-56,$BM$57:$BM$95,0)))</f>
        <v/>
      </c>
      <c r="BO83">
        <f>BO82+IF(AND(Lists!$CG$30&lt;&gt;"",ISNUMBER(SEARCH($P$4,Lists!$CG$30))),1,0)</f>
        <v/>
      </c>
      <c r="BP83">
        <f>IF(ROW()-56&gt;MAX($BO$57:$BO$95),"",INDEX(Lists!$CG$4:$CG$42,MATCH(ROW()-56,$BO$57:$BO$95,0)))</f>
        <v/>
      </c>
      <c r="BQ83">
        <f>BQ82+IF(AND(Lists!$CL$30&lt;&gt;"",ISNUMBER(SEARCH($Q$4,Lists!$CL$30))),1,0)</f>
        <v/>
      </c>
      <c r="BR83">
        <f>IF(ROW()-56&gt;MAX($BQ$57:$BQ$95),"",INDEX(Lists!$CL$4:$CL$42,MATCH(ROW()-56,$BQ$57:$BQ$95,0)))</f>
        <v/>
      </c>
      <c r="BS83">
        <f>BS82+IF(AND(Lists!$CQ$30&lt;&gt;"",ISNUMBER(SEARCH($R$4,Lists!$CQ$30))),1,0)</f>
        <v/>
      </c>
      <c r="BT83">
        <f>IF(ROW()-56&gt;MAX($BS$57:$BS$95),"",INDEX(Lists!$CQ$4:$CQ$42,MATCH(ROW()-56,$BS$57:$BS$95,0)))</f>
        <v/>
      </c>
      <c r="BU83">
        <f>BU82+IF(AND(Lists!$CV$30&lt;&gt;"",ISNUMBER(SEARCH($S$4,Lists!$CV$30))),1,0)</f>
        <v/>
      </c>
      <c r="BV83">
        <f>IF(ROW()-56&gt;MAX($BU$57:$BU$95),"",INDEX(Lists!$CV$4:$CV$42,MATCH(ROW()-56,$BU$57:$BU$95,0)))</f>
        <v/>
      </c>
      <c r="BW83">
        <f>BW82+IF(AND(Lists!$DA$30&lt;&gt;"",ISNUMBER(SEARCH($T$4,Lists!$DA$30))),1,0)</f>
        <v/>
      </c>
      <c r="BX83">
        <f>IF(ROW()-56&gt;MAX($BW$57:$BW$95),"",INDEX(Lists!$DA$4:$DA$42,MATCH(ROW()-56,$BW$57:$BW$95,0)))</f>
        <v/>
      </c>
      <c r="BY83">
        <f>BY82+IF(AND(Lists!$DF$30&lt;&gt;"",ISNUMBER(SEARCH($U$4,Lists!$DF$30))),1,0)</f>
        <v/>
      </c>
      <c r="BZ83">
        <f>IF(ROW()-56&gt;MAX($BY$57:$BY$95),"",INDEX(Lists!$DF$4:$DF$42,MATCH(ROW()-56,$BY$57:$BY$95,0)))</f>
        <v/>
      </c>
      <c r="CA83">
        <f>CA82+IF(AND(Lists!$DK$30&lt;&gt;"",ISNUMBER(SEARCH($V$4,Lists!$DK$30))),1,0)</f>
        <v/>
      </c>
      <c r="CB83">
        <f>IF(ROW()-56&gt;MAX($CA$57:$CA$95),"",INDEX(Lists!$DK$4:$DK$42,MATCH(ROW()-56,$CA$57:$CA$95,0)))</f>
        <v/>
      </c>
      <c r="CC83">
        <f>CC82+IF(AND(Lists!$DP$30&lt;&gt;"",ISNUMBER(SEARCH($W$4,Lists!$DP$30))),1,0)</f>
        <v/>
      </c>
      <c r="CD83">
        <f>IF(ROW()-56&gt;MAX($CC$57:$CC$95),"",INDEX(Lists!$DP$4:$DP$42,MATCH(ROW()-56,$CC$57:$CC$95,0)))</f>
        <v/>
      </c>
      <c r="CE83">
        <f>CE82+IF(AND(Lists!$DU$30&lt;&gt;"",ISNUMBER(SEARCH($X$4,Lists!$DU$30))),1,0)</f>
        <v/>
      </c>
      <c r="CF83">
        <f>IF(ROW()-56&gt;MAX($CE$57:$CE$95),"",INDEX(Lists!$DU$4:$DU$42,MATCH(ROW()-56,$CE$57:$CE$95,0)))</f>
        <v/>
      </c>
      <c r="CG83">
        <f>CG82+IF(AND(Lists!$DZ$30&lt;&gt;"",ISNUMBER(SEARCH($Y$4,Lists!$DZ$30))),1,0)</f>
        <v/>
      </c>
      <c r="CH83">
        <f>IF(ROW()-56&gt;MAX($CG$57:$CG$95),"",INDEX(Lists!$DZ$4:$DZ$42,MATCH(ROW()-56,$CG$57:$CG$95,0)))</f>
        <v/>
      </c>
      <c r="CI83">
        <f>CI82+IF(AND(Lists!$EE$30&lt;&gt;"",ISNUMBER(SEARCH($Z$4,Lists!$EE$30))),1,0)</f>
        <v/>
      </c>
      <c r="CJ83">
        <f>IF(ROW()-56&gt;MAX($CI$57:$CI$95),"",INDEX(Lists!$EE$4:$EE$42,MATCH(ROW()-56,$CI$57:$CI$95,0)))</f>
        <v/>
      </c>
      <c r="CK83">
        <f>CK82+IF(AND(Lists!$EJ$30&lt;&gt;"",ISNUMBER(SEARCH($AA$4,Lists!$EJ$30))),1,0)</f>
        <v/>
      </c>
      <c r="CL83">
        <f>IF(ROW()-56&gt;MAX($CK$57:$CK$95),"",INDEX(Lists!$EJ$4:$EJ$42,MATCH(ROW()-56,$CK$57:$CK$95,0)))</f>
        <v/>
      </c>
      <c r="CM83">
        <f>CM82+IF(AND(Lists!$EO$30&lt;&gt;"",ISNUMBER(SEARCH($AB$4,Lists!$EO$30))),1,0)</f>
        <v/>
      </c>
      <c r="CN83">
        <f>IF(ROW()-56&gt;MAX($CM$57:$CM$95),"",INDEX(Lists!$EO$4:$EO$42,MATCH(ROW()-56,$CM$57:$CM$95,0)))</f>
        <v/>
      </c>
      <c r="CO83">
        <f>CO82+IF(AND(Lists!$ET$30&lt;&gt;"",ISNUMBER(SEARCH($AC$4,Lists!$ET$30))),1,0)</f>
        <v/>
      </c>
      <c r="CP83">
        <f>IF(ROW()-56&gt;MAX($CO$57:$CO$95),"",INDEX(Lists!$ET$4:$ET$42,MATCH(ROW()-56,$CO$57:$CO$95,0)))</f>
        <v/>
      </c>
      <c r="CQ83">
        <f>CQ82+IF(AND(Lists!$EY$30&lt;&gt;"",ISNUMBER(SEARCH($AD$4,Lists!$EY$30))),1,0)</f>
        <v/>
      </c>
      <c r="CR83">
        <f>IF(ROW()-56&gt;MAX($CQ$57:$CQ$95),"",INDEX(Lists!$EY$4:$EY$42,MATCH(ROW()-56,$CQ$57:$CQ$95,0)))</f>
        <v/>
      </c>
      <c r="CS83">
        <f>CS82+IF(AND(Lists!$FD$30&lt;&gt;"",ISNUMBER(SEARCH($AE$4,Lists!$FD$30))),1,0)</f>
        <v/>
      </c>
      <c r="CT83">
        <f>IF(ROW()-56&gt;MAX($CS$57:$CS$95),"",INDEX(Lists!$FD$4:$FD$42,MATCH(ROW()-56,$CS$57:$CS$95,0)))</f>
        <v/>
      </c>
      <c r="CU83">
        <f>CU82+IF(AND(Lists!$FI$30&lt;&gt;"",ISNUMBER(SEARCH($AG$4,Lists!$FI$30))),1,0)</f>
        <v/>
      </c>
      <c r="CV83">
        <f>IF(ROW()-56&gt;MAX($CU$57:$CU$95),"",INDEX(Lists!$FI$4:$FI$42,MATCH(ROW()-56,$CU$57:$CU$95,0)))</f>
        <v/>
      </c>
      <c r="CW83">
        <f>CW82+IF(AND(Lists!$FN$30&lt;&gt;"",ISNUMBER(SEARCH($AH$4,Lists!$FN$30))),1,0)</f>
        <v/>
      </c>
      <c r="CX83">
        <f>IF(ROW()-56&gt;MAX($CW$57:$CW$95),"",INDEX(Lists!$FN$4:$FN$42,MATCH(ROW()-56,$CW$57:$CW$95,0)))</f>
        <v/>
      </c>
      <c r="CY83">
        <f>CY82+IF(AND(Lists!$FS$30&lt;&gt;"",ISNUMBER(SEARCH($AI$4,Lists!$FS$30))),1,0)</f>
        <v/>
      </c>
      <c r="CZ83">
        <f>IF(ROW()-56&gt;MAX($CY$57:$CY$95),"",INDEX(Lists!$FS$4:$FS$42,MATCH(ROW()-56,$CY$57:$CY$95,0)))</f>
        <v/>
      </c>
      <c r="DA83">
        <f>DA82+IF(AND(Lists!$FX$30&lt;&gt;"",ISNUMBER(SEARCH($AF$4,Lists!$FX$30))),1,0)</f>
        <v/>
      </c>
      <c r="DB83">
        <f>IF(ROW()-56&gt;MAX($DA$57:$DA$95),"",INDEX(Lists!$FX$4:$FX$42,MATCH(ROW()-56,$DA$57:$DA$95,0)))</f>
        <v/>
      </c>
      <c r="DG83">
        <f>IF($B$4="",1,IF($B$4="(blank)",--('Final Calculation Sheet'!$F$28=""),IF($B$4="(nonblank)",--('Final Calculation Sheet'!$F$28&lt;&gt;""),--ISNUMBER(SEARCH($B$4,'Final Calculation Sheet'!$F$28)))))</f>
        <v/>
      </c>
      <c r="DH83">
        <f>IF($C$4="",1,IF($C$4="(blank)",--('Final Calculation Sheet'!$G$28=""),IF($C$4="(nonblank)",--('Final Calculation Sheet'!$G$28&lt;&gt;""),--ISNUMBER(SEARCH($C$4,'Final Calculation Sheet'!$G$28)))))</f>
        <v/>
      </c>
      <c r="DI83">
        <f>IF($D$4="",1,IF($D$4="(blank)",--('Final Calculation Sheet'!$B$28=""),IF($D$4="(nonblank)",--('Final Calculation Sheet'!$B$28&lt;&gt;""),--ISNUMBER(SEARCH($D$4,'Final Calculation Sheet'!$B$28)))))</f>
        <v/>
      </c>
      <c r="DJ83">
        <f>IF($E$4="",1,IF($E$4="(blank)",--('Final Calculation Sheet'!$D$28=""),IF($E$4="(nonblank)",--('Final Calculation Sheet'!$D$28&lt;&gt;""),--ISNUMBER(SEARCH($E$4,'Final Calculation Sheet'!$D$28)))))</f>
        <v/>
      </c>
      <c r="DK83">
        <f>IF($F$4="",1,IF($F$4="(blank)",--('Final Calculation Sheet'!$A$28=""),IF($F$4="(nonblank)",--('Final Calculation Sheet'!$A$28&lt;&gt;""),--ISNUMBER(SEARCH($F$4,'Final Calculation Sheet'!$A$28)))))</f>
        <v/>
      </c>
      <c r="DL83">
        <f>IF($G$4="",1,IF($G$4="(blank)",--('Final Calculation Sheet'!$E$28=""),IF($G$4="(nonblank)",--('Final Calculation Sheet'!$E$28&lt;&gt;""),--ISNUMBER(SEARCH($G$4,'Final Calculation Sheet'!$E$28)))))</f>
        <v/>
      </c>
      <c r="DM83">
        <f>IF($H$4="",1,IF($H$4="(blank)",--('Final Calculation Sheet'!$C$28=""),IF($H$4="(nonblank)",--('Final Calculation Sheet'!$C$28&lt;&gt;""),--ISNUMBER(SEARCH($H$4,'Final Calculation Sheet'!$C$28)))))</f>
        <v/>
      </c>
      <c r="DN83">
        <f>IF($I$4="",1,IF($I$4="(blank)",--('Final Calculation Sheet'!$H$28=""),IF($I$4="(nonblank)",--('Final Calculation Sheet'!$H$28&lt;&gt;""),--ISNUMBER(SEARCH($I$4,'Final Calculation Sheet'!$H$28)))))</f>
        <v/>
      </c>
      <c r="DO83">
        <f>IF($J$4="",1,IF($J$4="(blank)",--('Final Calculation Sheet'!$I$28=""),IF($J$4="(nonblank)",--('Final Calculation Sheet'!$I$28&lt;&gt;""),--ISNUMBER(SEARCH($J$4,'Final Calculation Sheet'!$I$28)))))</f>
        <v/>
      </c>
      <c r="DP83">
        <f>IF($K$4="",1,IF($K$4="(blank)",--('Final Calculation Sheet'!$J$28=""),IF($K$4="(nonblank)",--('Final Calculation Sheet'!$J$28&lt;&gt;""),--ISNUMBER(SEARCH($K$4,'Final Calculation Sheet'!$J$28)))))</f>
        <v/>
      </c>
      <c r="DQ83">
        <f>IF($L$4="",1,IF($L$4="(blank)",--('Final Calculation Sheet'!$K$28=""),IF($L$4="(nonblank)",--('Final Calculation Sheet'!$K$28&lt;&gt;""),--ISNUMBER(SEARCH($L$4,'Final Calculation Sheet'!$K$28)))))</f>
        <v/>
      </c>
      <c r="DR83">
        <f>IF($M$4="",1,IF($M$4="(blank)",--('Final Calculation Sheet'!$L$28=""),IF($M$4="(nonblank)",--('Final Calculation Sheet'!$L$28&lt;&gt;""),--ISNUMBER(SEARCH($M$4,'Final Calculation Sheet'!$L$28)))))</f>
        <v/>
      </c>
      <c r="DS83">
        <f>IF($N$4="",1,IF($N$4="(blank)",--('Final Calculation Sheet'!$M$28=""),IF($N$4="(nonblank)",--('Final Calculation Sheet'!$M$28&lt;&gt;""),--ISNUMBER(SEARCH($N$4,'Final Calculation Sheet'!$M$28)))))</f>
        <v/>
      </c>
      <c r="DT83">
        <f>IF($O$4="",1,IF($O$4="(blank)",--('Final Calculation Sheet'!$N$28=""),IF($O$4="(nonblank)",--('Final Calculation Sheet'!$N$28&lt;&gt;""),--ISNUMBER(SEARCH($O$4,'Final Calculation Sheet'!$N$28)))))</f>
        <v/>
      </c>
      <c r="DU83">
        <f>IF($P$4="",1,IF($P$4="(blank)",--('Final Calculation Sheet'!$O$28=""),IF($P$4="(nonblank)",--('Final Calculation Sheet'!$O$28&lt;&gt;""),--ISNUMBER(SEARCH($P$4,'Final Calculation Sheet'!$O$28)))))</f>
        <v/>
      </c>
      <c r="DV83">
        <f>IF($Q$4="",1,IF($Q$4="(blank)",--('Final Calculation Sheet'!$P$28=""),IF($Q$4="(nonblank)",--('Final Calculation Sheet'!$P$28&lt;&gt;""),--ISNUMBER(SEARCH($Q$4,'Final Calculation Sheet'!$P$28)))))</f>
        <v/>
      </c>
      <c r="DW83">
        <f>IF($R$4="",1,IF($R$4="(blank)",--('Final Calculation Sheet'!$Q$28=""),IF($R$4="(nonblank)",--('Final Calculation Sheet'!$Q$28&lt;&gt;""),--ISNUMBER(SEARCH($R$4,'Final Calculation Sheet'!$Q$28)))))</f>
        <v/>
      </c>
      <c r="DX83">
        <f>IF($S$4="",1,IF($S$4="(blank)",--('Final Calculation Sheet'!$R$28=""),IF($S$4="(nonblank)",--('Final Calculation Sheet'!$R$28&lt;&gt;""),--ISNUMBER(SEARCH($S$4,'Final Calculation Sheet'!$R$28)))))</f>
        <v/>
      </c>
      <c r="DY83">
        <f>IF($T$4="",1,IF($T$4="(blank)",--('Final Calculation Sheet'!$S$28=""),IF($T$4="(nonblank)",--('Final Calculation Sheet'!$S$28&lt;&gt;""),--ISNUMBER(SEARCH($T$4,'Final Calculation Sheet'!$S$28)))))</f>
        <v/>
      </c>
      <c r="DZ83">
        <f>IF($U$4="",1,IF($U$4="(blank)",--('Final Calculation Sheet'!$T$28=""),IF($U$4="(nonblank)",--('Final Calculation Sheet'!$T$28&lt;&gt;""),--ISNUMBER(SEARCH($U$4,'Final Calculation Sheet'!$T$28)))))</f>
        <v/>
      </c>
      <c r="EA83">
        <f>IF($V$4="",1,IF($V$4="(blank)",--('Final Calculation Sheet'!$U$28=""),IF($V$4="(nonblank)",--('Final Calculation Sheet'!$U$28&lt;&gt;""),--ISNUMBER(SEARCH($V$4,'Final Calculation Sheet'!$U$28)))))</f>
        <v/>
      </c>
      <c r="EB83">
        <f>IF($W$4="",1,IF($W$4="(blank)",--('Final Calculation Sheet'!$V$28=""),IF($W$4="(nonblank)",--('Final Calculation Sheet'!$V$28&lt;&gt;""),--ISNUMBER(SEARCH($W$4,'Final Calculation Sheet'!$V$28)))))</f>
        <v/>
      </c>
      <c r="EC83">
        <f>IF($X$4="",1,IF($X$4="(blank)",--('Final Calculation Sheet'!$W$28=""),IF($X$4="(nonblank)",--('Final Calculation Sheet'!$W$28&lt;&gt;""),--ISNUMBER(SEARCH($X$4,'Final Calculation Sheet'!$W$28)))))</f>
        <v/>
      </c>
      <c r="ED83">
        <f>IF($Y$4="",1,IF($Y$4="(blank)",--('Final Calculation Sheet'!$X$28=""),IF($Y$4="(nonblank)",--('Final Calculation Sheet'!$X$28&lt;&gt;""),--ISNUMBER(SEARCH($Y$4,'Final Calculation Sheet'!$X$28)))))</f>
        <v/>
      </c>
      <c r="EE83">
        <f>IF($Z$4="",1,IF($Z$4="(blank)",--('Final Calculation Sheet'!$Y$28=""),IF($Z$4="(nonblank)",--('Final Calculation Sheet'!$Y$28&lt;&gt;""),--ISNUMBER(SEARCH($Z$4,'Final Calculation Sheet'!$Y$28)))))</f>
        <v/>
      </c>
      <c r="EF83">
        <f>IF($AA$4="",1,IF($AA$4="(blank)",--('Final Calculation Sheet'!$Z$28=""),IF($AA$4="(nonblank)",--('Final Calculation Sheet'!$Z$28&lt;&gt;""),--ISNUMBER(SEARCH($AA$4,'Final Calculation Sheet'!$Z$28)))))</f>
        <v/>
      </c>
      <c r="EG83">
        <f>IF($AB$4="",1,IF($AB$4="(blank)",--('Final Calculation Sheet'!$AA$28=""),IF($AB$4="(nonblank)",--('Final Calculation Sheet'!$AA$28&lt;&gt;""),--ISNUMBER(SEARCH($AB$4,'Final Calculation Sheet'!$AA$28)))))</f>
        <v/>
      </c>
      <c r="EH83">
        <f>IF($AC$4="",1,IF($AC$4="(blank)",--('Final Calculation Sheet'!$AB$28=""),IF($AC$4="(nonblank)",--('Final Calculation Sheet'!$AB$28&lt;&gt;""),--ISNUMBER(SEARCH($AC$4,'Final Calculation Sheet'!$AB$28)))))</f>
        <v/>
      </c>
      <c r="EI83">
        <f>IF($AD$4="",1,IF($AD$4="(blank)",--('Final Calculation Sheet'!$AC$28=""),IF($AD$4="(nonblank)",--('Final Calculation Sheet'!$AC$28&lt;&gt;""),--ISNUMBER(SEARCH($AD$4,'Final Calculation Sheet'!$AC$28)))))</f>
        <v/>
      </c>
      <c r="EJ83">
        <f>IF($AE$4="",1,IF($AE$4="(blank)",--('Final Calculation Sheet'!$AD$28=""),IF($AE$4="(nonblank)",--('Final Calculation Sheet'!$AD$28&lt;&gt;""),--ISNUMBER(SEARCH($AE$4,'Final Calculation Sheet'!$AD$28)))))</f>
        <v/>
      </c>
      <c r="EK83">
        <f>IF($AF$4="",1,IF($AF$4="(blank)",--(IF('Final Calculation Sheet'!$AD$28&lt;=5,"SETTLED","OUTSTANDING")=""),IF($AF$4="(nonblank)",--(IF('Final Calculation Sheet'!$AD$28&lt;=5,"SETTLED","OUTSTANDING")&lt;&gt;""),--ISNUMBER(SEARCH($AF$4,IF('Final Calculation Sheet'!$AD$28&lt;=5,"SETTLED","OUTSTANDING"))))))</f>
        <v/>
      </c>
      <c r="EL83">
        <f>IF($AG$4="",1,IF($AG$4="(blank)",--('Final Calculation Sheet'!$AF$28=""),IF($AG$4="(nonblank)",--('Final Calculation Sheet'!$AF$28&lt;&gt;""),--ISNUMBER(SEARCH($AG$4,'Final Calculation Sheet'!$AF$28)))))</f>
        <v/>
      </c>
      <c r="EM83">
        <f>IF($AH$4="",1,IF($AH$4="(blank)",--('Final Calculation Sheet'!$AG$28=""),IF($AH$4="(nonblank)",--('Final Calculation Sheet'!$AG$28&lt;&gt;""),--ISNUMBER(SEARCH($AH$4,'Final Calculation Sheet'!$AG$28)))))</f>
        <v/>
      </c>
      <c r="EN83">
        <f>IF($AI$4="",1,IF($AI$4="(blank)",--('Final Calculation Sheet'!$AH$28=""),IF($AI$4="(nonblank)",--('Final Calculation Sheet'!$AH$28&lt;&gt;""),--ISNUMBER(SEARCH($AI$4,'Final Calculation Sheet'!$AH$28)))))</f>
        <v/>
      </c>
    </row>
    <row r="84">
      <c r="AM84">
        <f>AM83+IF(AND(Lists!$O$31&lt;&gt;"",ISNUMBER(SEARCH($B$4,Lists!$O$31))),1,0)</f>
        <v/>
      </c>
      <c r="AN84">
        <f>IF(ROW()-56&gt;MAX($AM$57:$AM$95),"",INDEX(Lists!$O$4:$O$42,MATCH(ROW()-56,$AM$57:$AM$95,0)))</f>
        <v/>
      </c>
      <c r="AO84">
        <f>AO83+IF(AND(Lists!$T$31&lt;&gt;"",ISNUMBER(SEARCH($C$4,Lists!$T$31))),1,0)</f>
        <v/>
      </c>
      <c r="AP84">
        <f>IF(ROW()-56&gt;MAX($AO$57:$AO$95),"",INDEX(Lists!$T$4:$T$42,MATCH(ROW()-56,$AO$57:$AO$95,0)))</f>
        <v/>
      </c>
      <c r="AQ84">
        <f>AQ83+IF(AND(Lists!$Y$31&lt;&gt;"",ISNUMBER(SEARCH($D$4,Lists!$Y$31))),1,0)</f>
        <v/>
      </c>
      <c r="AR84">
        <f>IF(ROW()-56&gt;MAX($AQ$57:$AQ$95),"",INDEX(Lists!$Y$4:$Y$42,MATCH(ROW()-56,$AQ$57:$AQ$95,0)))</f>
        <v/>
      </c>
      <c r="AS84">
        <f>AS83+IF(AND(Lists!$AD$31&lt;&gt;"",ISNUMBER(SEARCH($E$4,Lists!$AD$31))),1,0)</f>
        <v/>
      </c>
      <c r="AT84">
        <f>IF(ROW()-56&gt;MAX($AS$57:$AS$95),"",INDEX(Lists!$AD$4:$AD$42,MATCH(ROW()-56,$AS$57:$AS$95,0)))</f>
        <v/>
      </c>
      <c r="AU84">
        <f>AU83+IF(AND(Lists!$AI$31&lt;&gt;"",ISNUMBER(SEARCH($F$4,Lists!$AI$31))),1,0)</f>
        <v/>
      </c>
      <c r="AV84">
        <f>IF(ROW()-56&gt;MAX($AU$57:$AU$95),"",INDEX(Lists!$AI$4:$AI$42,MATCH(ROW()-56,$AU$57:$AU$95,0)))</f>
        <v/>
      </c>
      <c r="AW84">
        <f>AW83+IF(AND(Lists!$AN$31&lt;&gt;"",ISNUMBER(SEARCH($G$4,Lists!$AN$31))),1,0)</f>
        <v/>
      </c>
      <c r="AX84">
        <f>IF(ROW()-56&gt;MAX($AW$57:$AW$95),"",INDEX(Lists!$AN$4:$AN$42,MATCH(ROW()-56,$AW$57:$AW$95,0)))</f>
        <v/>
      </c>
      <c r="AY84">
        <f>AY83+IF(AND(Lists!$AS$31&lt;&gt;"",ISNUMBER(SEARCH($H$4,Lists!$AS$31))),1,0)</f>
        <v/>
      </c>
      <c r="AZ84">
        <f>IF(ROW()-56&gt;MAX($AY$57:$AY$95),"",INDEX(Lists!$AS$4:$AS$42,MATCH(ROW()-56,$AY$57:$AY$95,0)))</f>
        <v/>
      </c>
      <c r="BA84">
        <f>BA83+IF(AND(Lists!$AX$31&lt;&gt;"",ISNUMBER(SEARCH($I$4,Lists!$AX$31))),1,0)</f>
        <v/>
      </c>
      <c r="BB84">
        <f>IF(ROW()-56&gt;MAX($BA$57:$BA$95),"",INDEX(Lists!$AX$4:$AX$42,MATCH(ROW()-56,$BA$57:$BA$95,0)))</f>
        <v/>
      </c>
      <c r="BC84">
        <f>BC83+IF(AND(Lists!$BC$31&lt;&gt;"",ISNUMBER(SEARCH($J$4,Lists!$BC$31))),1,0)</f>
        <v/>
      </c>
      <c r="BD84">
        <f>IF(ROW()-56&gt;MAX($BC$57:$BC$95),"",INDEX(Lists!$BC$4:$BC$42,MATCH(ROW()-56,$BC$57:$BC$95,0)))</f>
        <v/>
      </c>
      <c r="BE84">
        <f>BE83+IF(AND(Lists!$BH$31&lt;&gt;"",ISNUMBER(SEARCH($K$4,Lists!$BH$31))),1,0)</f>
        <v/>
      </c>
      <c r="BF84">
        <f>IF(ROW()-56&gt;MAX($BE$57:$BE$95),"",INDEX(Lists!$BH$4:$BH$42,MATCH(ROW()-56,$BE$57:$BE$95,0)))</f>
        <v/>
      </c>
      <c r="BG84">
        <f>BG83+IF(AND(Lists!$BM$31&lt;&gt;"",ISNUMBER(SEARCH($L$4,Lists!$BM$31))),1,0)</f>
        <v/>
      </c>
      <c r="BH84">
        <f>IF(ROW()-56&gt;MAX($BG$57:$BG$95),"",INDEX(Lists!$BM$4:$BM$42,MATCH(ROW()-56,$BG$57:$BG$95,0)))</f>
        <v/>
      </c>
      <c r="BI84">
        <f>BI83+IF(AND(Lists!$BR$31&lt;&gt;"",ISNUMBER(SEARCH($M$4,Lists!$BR$31))),1,0)</f>
        <v/>
      </c>
      <c r="BJ84">
        <f>IF(ROW()-56&gt;MAX($BI$57:$BI$95),"",INDEX(Lists!$BR$4:$BR$42,MATCH(ROW()-56,$BI$57:$BI$95,0)))</f>
        <v/>
      </c>
      <c r="BK84">
        <f>BK83+IF(AND(Lists!$BW$31&lt;&gt;"",ISNUMBER(SEARCH($N$4,Lists!$BW$31))),1,0)</f>
        <v/>
      </c>
      <c r="BL84">
        <f>IF(ROW()-56&gt;MAX($BK$57:$BK$95),"",INDEX(Lists!$BW$4:$BW$42,MATCH(ROW()-56,$BK$57:$BK$95,0)))</f>
        <v/>
      </c>
      <c r="BM84">
        <f>BM83+IF(AND(Lists!$CB$31&lt;&gt;"",ISNUMBER(SEARCH($O$4,Lists!$CB$31))),1,0)</f>
        <v/>
      </c>
      <c r="BN84">
        <f>IF(ROW()-56&gt;MAX($BM$57:$BM$95),"",INDEX(Lists!$CB$4:$CB$42,MATCH(ROW()-56,$BM$57:$BM$95,0)))</f>
        <v/>
      </c>
      <c r="BO84">
        <f>BO83+IF(AND(Lists!$CG$31&lt;&gt;"",ISNUMBER(SEARCH($P$4,Lists!$CG$31))),1,0)</f>
        <v/>
      </c>
      <c r="BP84">
        <f>IF(ROW()-56&gt;MAX($BO$57:$BO$95),"",INDEX(Lists!$CG$4:$CG$42,MATCH(ROW()-56,$BO$57:$BO$95,0)))</f>
        <v/>
      </c>
      <c r="BQ84">
        <f>BQ83+IF(AND(Lists!$CL$31&lt;&gt;"",ISNUMBER(SEARCH($Q$4,Lists!$CL$31))),1,0)</f>
        <v/>
      </c>
      <c r="BR84">
        <f>IF(ROW()-56&gt;MAX($BQ$57:$BQ$95),"",INDEX(Lists!$CL$4:$CL$42,MATCH(ROW()-56,$BQ$57:$BQ$95,0)))</f>
        <v/>
      </c>
      <c r="BS84">
        <f>BS83+IF(AND(Lists!$CQ$31&lt;&gt;"",ISNUMBER(SEARCH($R$4,Lists!$CQ$31))),1,0)</f>
        <v/>
      </c>
      <c r="BT84">
        <f>IF(ROW()-56&gt;MAX($BS$57:$BS$95),"",INDEX(Lists!$CQ$4:$CQ$42,MATCH(ROW()-56,$BS$57:$BS$95,0)))</f>
        <v/>
      </c>
      <c r="BU84">
        <f>BU83+IF(AND(Lists!$CV$31&lt;&gt;"",ISNUMBER(SEARCH($S$4,Lists!$CV$31))),1,0)</f>
        <v/>
      </c>
      <c r="BV84">
        <f>IF(ROW()-56&gt;MAX($BU$57:$BU$95),"",INDEX(Lists!$CV$4:$CV$42,MATCH(ROW()-56,$BU$57:$BU$95,0)))</f>
        <v/>
      </c>
      <c r="BW84">
        <f>BW83+IF(AND(Lists!$DA$31&lt;&gt;"",ISNUMBER(SEARCH($T$4,Lists!$DA$31))),1,0)</f>
        <v/>
      </c>
      <c r="BX84">
        <f>IF(ROW()-56&gt;MAX($BW$57:$BW$95),"",INDEX(Lists!$DA$4:$DA$42,MATCH(ROW()-56,$BW$57:$BW$95,0)))</f>
        <v/>
      </c>
      <c r="BY84">
        <f>BY83+IF(AND(Lists!$DF$31&lt;&gt;"",ISNUMBER(SEARCH($U$4,Lists!$DF$31))),1,0)</f>
        <v/>
      </c>
      <c r="BZ84">
        <f>IF(ROW()-56&gt;MAX($BY$57:$BY$95),"",INDEX(Lists!$DF$4:$DF$42,MATCH(ROW()-56,$BY$57:$BY$95,0)))</f>
        <v/>
      </c>
      <c r="CA84">
        <f>CA83+IF(AND(Lists!$DK$31&lt;&gt;"",ISNUMBER(SEARCH($V$4,Lists!$DK$31))),1,0)</f>
        <v/>
      </c>
      <c r="CB84">
        <f>IF(ROW()-56&gt;MAX($CA$57:$CA$95),"",INDEX(Lists!$DK$4:$DK$42,MATCH(ROW()-56,$CA$57:$CA$95,0)))</f>
        <v/>
      </c>
      <c r="CC84">
        <f>CC83+IF(AND(Lists!$DP$31&lt;&gt;"",ISNUMBER(SEARCH($W$4,Lists!$DP$31))),1,0)</f>
        <v/>
      </c>
      <c r="CD84">
        <f>IF(ROW()-56&gt;MAX($CC$57:$CC$95),"",INDEX(Lists!$DP$4:$DP$42,MATCH(ROW()-56,$CC$57:$CC$95,0)))</f>
        <v/>
      </c>
      <c r="CE84">
        <f>CE83+IF(AND(Lists!$DU$31&lt;&gt;"",ISNUMBER(SEARCH($X$4,Lists!$DU$31))),1,0)</f>
        <v/>
      </c>
      <c r="CF84">
        <f>IF(ROW()-56&gt;MAX($CE$57:$CE$95),"",INDEX(Lists!$DU$4:$DU$42,MATCH(ROW()-56,$CE$57:$CE$95,0)))</f>
        <v/>
      </c>
      <c r="CG84">
        <f>CG83+IF(AND(Lists!$DZ$31&lt;&gt;"",ISNUMBER(SEARCH($Y$4,Lists!$DZ$31))),1,0)</f>
        <v/>
      </c>
      <c r="CH84">
        <f>IF(ROW()-56&gt;MAX($CG$57:$CG$95),"",INDEX(Lists!$DZ$4:$DZ$42,MATCH(ROW()-56,$CG$57:$CG$95,0)))</f>
        <v/>
      </c>
      <c r="CI84">
        <f>CI83+IF(AND(Lists!$EE$31&lt;&gt;"",ISNUMBER(SEARCH($Z$4,Lists!$EE$31))),1,0)</f>
        <v/>
      </c>
      <c r="CJ84">
        <f>IF(ROW()-56&gt;MAX($CI$57:$CI$95),"",INDEX(Lists!$EE$4:$EE$42,MATCH(ROW()-56,$CI$57:$CI$95,0)))</f>
        <v/>
      </c>
      <c r="CK84">
        <f>CK83+IF(AND(Lists!$EJ$31&lt;&gt;"",ISNUMBER(SEARCH($AA$4,Lists!$EJ$31))),1,0)</f>
        <v/>
      </c>
      <c r="CL84">
        <f>IF(ROW()-56&gt;MAX($CK$57:$CK$95),"",INDEX(Lists!$EJ$4:$EJ$42,MATCH(ROW()-56,$CK$57:$CK$95,0)))</f>
        <v/>
      </c>
      <c r="CM84">
        <f>CM83+IF(AND(Lists!$EO$31&lt;&gt;"",ISNUMBER(SEARCH($AB$4,Lists!$EO$31))),1,0)</f>
        <v/>
      </c>
      <c r="CN84">
        <f>IF(ROW()-56&gt;MAX($CM$57:$CM$95),"",INDEX(Lists!$EO$4:$EO$42,MATCH(ROW()-56,$CM$57:$CM$95,0)))</f>
        <v/>
      </c>
      <c r="CO84">
        <f>CO83+IF(AND(Lists!$ET$31&lt;&gt;"",ISNUMBER(SEARCH($AC$4,Lists!$ET$31))),1,0)</f>
        <v/>
      </c>
      <c r="CP84">
        <f>IF(ROW()-56&gt;MAX($CO$57:$CO$95),"",INDEX(Lists!$ET$4:$ET$42,MATCH(ROW()-56,$CO$57:$CO$95,0)))</f>
        <v/>
      </c>
      <c r="CQ84">
        <f>CQ83+IF(AND(Lists!$EY$31&lt;&gt;"",ISNUMBER(SEARCH($AD$4,Lists!$EY$31))),1,0)</f>
        <v/>
      </c>
      <c r="CR84">
        <f>IF(ROW()-56&gt;MAX($CQ$57:$CQ$95),"",INDEX(Lists!$EY$4:$EY$42,MATCH(ROW()-56,$CQ$57:$CQ$95,0)))</f>
        <v/>
      </c>
      <c r="CS84">
        <f>CS83+IF(AND(Lists!$FD$31&lt;&gt;"",ISNUMBER(SEARCH($AE$4,Lists!$FD$31))),1,0)</f>
        <v/>
      </c>
      <c r="CT84">
        <f>IF(ROW()-56&gt;MAX($CS$57:$CS$95),"",INDEX(Lists!$FD$4:$FD$42,MATCH(ROW()-56,$CS$57:$CS$95,0)))</f>
        <v/>
      </c>
      <c r="CU84">
        <f>CU83+IF(AND(Lists!$FI$31&lt;&gt;"",ISNUMBER(SEARCH($AG$4,Lists!$FI$31))),1,0)</f>
        <v/>
      </c>
      <c r="CV84">
        <f>IF(ROW()-56&gt;MAX($CU$57:$CU$95),"",INDEX(Lists!$FI$4:$FI$42,MATCH(ROW()-56,$CU$57:$CU$95,0)))</f>
        <v/>
      </c>
      <c r="CW84">
        <f>CW83+IF(AND(Lists!$FN$31&lt;&gt;"",ISNUMBER(SEARCH($AH$4,Lists!$FN$31))),1,0)</f>
        <v/>
      </c>
      <c r="CX84">
        <f>IF(ROW()-56&gt;MAX($CW$57:$CW$95),"",INDEX(Lists!$FN$4:$FN$42,MATCH(ROW()-56,$CW$57:$CW$95,0)))</f>
        <v/>
      </c>
      <c r="CY84">
        <f>CY83+IF(AND(Lists!$FS$31&lt;&gt;"",ISNUMBER(SEARCH($AI$4,Lists!$FS$31))),1,0)</f>
        <v/>
      </c>
      <c r="CZ84">
        <f>IF(ROW()-56&gt;MAX($CY$57:$CY$95),"",INDEX(Lists!$FS$4:$FS$42,MATCH(ROW()-56,$CY$57:$CY$95,0)))</f>
        <v/>
      </c>
      <c r="DA84">
        <f>DA83+IF(AND(Lists!$FX$31&lt;&gt;"",ISNUMBER(SEARCH($AF$4,Lists!$FX$31))),1,0)</f>
        <v/>
      </c>
      <c r="DB84">
        <f>IF(ROW()-56&gt;MAX($DA$57:$DA$95),"",INDEX(Lists!$FX$4:$FX$42,MATCH(ROW()-56,$DA$57:$DA$95,0)))</f>
        <v/>
      </c>
      <c r="DG84">
        <f>IF($B$4="",1,IF($B$4="(blank)",--('Final Calculation Sheet'!$F$29=""),IF($B$4="(nonblank)",--('Final Calculation Sheet'!$F$29&lt;&gt;""),--ISNUMBER(SEARCH($B$4,'Final Calculation Sheet'!$F$29)))))</f>
        <v/>
      </c>
      <c r="DH84">
        <f>IF($C$4="",1,IF($C$4="(blank)",--('Final Calculation Sheet'!$G$29=""),IF($C$4="(nonblank)",--('Final Calculation Sheet'!$G$29&lt;&gt;""),--ISNUMBER(SEARCH($C$4,'Final Calculation Sheet'!$G$29)))))</f>
        <v/>
      </c>
      <c r="DI84">
        <f>IF($D$4="",1,IF($D$4="(blank)",--('Final Calculation Sheet'!$B$29=""),IF($D$4="(nonblank)",--('Final Calculation Sheet'!$B$29&lt;&gt;""),--ISNUMBER(SEARCH($D$4,'Final Calculation Sheet'!$B$29)))))</f>
        <v/>
      </c>
      <c r="DJ84">
        <f>IF($E$4="",1,IF($E$4="(blank)",--('Final Calculation Sheet'!$D$29=""),IF($E$4="(nonblank)",--('Final Calculation Sheet'!$D$29&lt;&gt;""),--ISNUMBER(SEARCH($E$4,'Final Calculation Sheet'!$D$29)))))</f>
        <v/>
      </c>
      <c r="DK84">
        <f>IF($F$4="",1,IF($F$4="(blank)",--('Final Calculation Sheet'!$A$29=""),IF($F$4="(nonblank)",--('Final Calculation Sheet'!$A$29&lt;&gt;""),--ISNUMBER(SEARCH($F$4,'Final Calculation Sheet'!$A$29)))))</f>
        <v/>
      </c>
      <c r="DL84">
        <f>IF($G$4="",1,IF($G$4="(blank)",--('Final Calculation Sheet'!$E$29=""),IF($G$4="(nonblank)",--('Final Calculation Sheet'!$E$29&lt;&gt;""),--ISNUMBER(SEARCH($G$4,'Final Calculation Sheet'!$E$29)))))</f>
        <v/>
      </c>
      <c r="DM84">
        <f>IF($H$4="",1,IF($H$4="(blank)",--('Final Calculation Sheet'!$C$29=""),IF($H$4="(nonblank)",--('Final Calculation Sheet'!$C$29&lt;&gt;""),--ISNUMBER(SEARCH($H$4,'Final Calculation Sheet'!$C$29)))))</f>
        <v/>
      </c>
      <c r="DN84">
        <f>IF($I$4="",1,IF($I$4="(blank)",--('Final Calculation Sheet'!$H$29=""),IF($I$4="(nonblank)",--('Final Calculation Sheet'!$H$29&lt;&gt;""),--ISNUMBER(SEARCH($I$4,'Final Calculation Sheet'!$H$29)))))</f>
        <v/>
      </c>
      <c r="DO84">
        <f>IF($J$4="",1,IF($J$4="(blank)",--('Final Calculation Sheet'!$I$29=""),IF($J$4="(nonblank)",--('Final Calculation Sheet'!$I$29&lt;&gt;""),--ISNUMBER(SEARCH($J$4,'Final Calculation Sheet'!$I$29)))))</f>
        <v/>
      </c>
      <c r="DP84">
        <f>IF($K$4="",1,IF($K$4="(blank)",--('Final Calculation Sheet'!$J$29=""),IF($K$4="(nonblank)",--('Final Calculation Sheet'!$J$29&lt;&gt;""),--ISNUMBER(SEARCH($K$4,'Final Calculation Sheet'!$J$29)))))</f>
        <v/>
      </c>
      <c r="DQ84">
        <f>IF($L$4="",1,IF($L$4="(blank)",--('Final Calculation Sheet'!$K$29=""),IF($L$4="(nonblank)",--('Final Calculation Sheet'!$K$29&lt;&gt;""),--ISNUMBER(SEARCH($L$4,'Final Calculation Sheet'!$K$29)))))</f>
        <v/>
      </c>
      <c r="DR84">
        <f>IF($M$4="",1,IF($M$4="(blank)",--('Final Calculation Sheet'!$L$29=""),IF($M$4="(nonblank)",--('Final Calculation Sheet'!$L$29&lt;&gt;""),--ISNUMBER(SEARCH($M$4,'Final Calculation Sheet'!$L$29)))))</f>
        <v/>
      </c>
      <c r="DS84">
        <f>IF($N$4="",1,IF($N$4="(blank)",--('Final Calculation Sheet'!$M$29=""),IF($N$4="(nonblank)",--('Final Calculation Sheet'!$M$29&lt;&gt;""),--ISNUMBER(SEARCH($N$4,'Final Calculation Sheet'!$M$29)))))</f>
        <v/>
      </c>
      <c r="DT84">
        <f>IF($O$4="",1,IF($O$4="(blank)",--('Final Calculation Sheet'!$N$29=""),IF($O$4="(nonblank)",--('Final Calculation Sheet'!$N$29&lt;&gt;""),--ISNUMBER(SEARCH($O$4,'Final Calculation Sheet'!$N$29)))))</f>
        <v/>
      </c>
      <c r="DU84">
        <f>IF($P$4="",1,IF($P$4="(blank)",--('Final Calculation Sheet'!$O$29=""),IF($P$4="(nonblank)",--('Final Calculation Sheet'!$O$29&lt;&gt;""),--ISNUMBER(SEARCH($P$4,'Final Calculation Sheet'!$O$29)))))</f>
        <v/>
      </c>
      <c r="DV84">
        <f>IF($Q$4="",1,IF($Q$4="(blank)",--('Final Calculation Sheet'!$P$29=""),IF($Q$4="(nonblank)",--('Final Calculation Sheet'!$P$29&lt;&gt;""),--ISNUMBER(SEARCH($Q$4,'Final Calculation Sheet'!$P$29)))))</f>
        <v/>
      </c>
      <c r="DW84">
        <f>IF($R$4="",1,IF($R$4="(blank)",--('Final Calculation Sheet'!$Q$29=""),IF($R$4="(nonblank)",--('Final Calculation Sheet'!$Q$29&lt;&gt;""),--ISNUMBER(SEARCH($R$4,'Final Calculation Sheet'!$Q$29)))))</f>
        <v/>
      </c>
      <c r="DX84">
        <f>IF($S$4="",1,IF($S$4="(blank)",--('Final Calculation Sheet'!$R$29=""),IF($S$4="(nonblank)",--('Final Calculation Sheet'!$R$29&lt;&gt;""),--ISNUMBER(SEARCH($S$4,'Final Calculation Sheet'!$R$29)))))</f>
        <v/>
      </c>
      <c r="DY84">
        <f>IF($T$4="",1,IF($T$4="(blank)",--('Final Calculation Sheet'!$S$29=""),IF($T$4="(nonblank)",--('Final Calculation Sheet'!$S$29&lt;&gt;""),--ISNUMBER(SEARCH($T$4,'Final Calculation Sheet'!$S$29)))))</f>
        <v/>
      </c>
      <c r="DZ84">
        <f>IF($U$4="",1,IF($U$4="(blank)",--('Final Calculation Sheet'!$T$29=""),IF($U$4="(nonblank)",--('Final Calculation Sheet'!$T$29&lt;&gt;""),--ISNUMBER(SEARCH($U$4,'Final Calculation Sheet'!$T$29)))))</f>
        <v/>
      </c>
      <c r="EA84">
        <f>IF($V$4="",1,IF($V$4="(blank)",--('Final Calculation Sheet'!$U$29=""),IF($V$4="(nonblank)",--('Final Calculation Sheet'!$U$29&lt;&gt;""),--ISNUMBER(SEARCH($V$4,'Final Calculation Sheet'!$U$29)))))</f>
        <v/>
      </c>
      <c r="EB84">
        <f>IF($W$4="",1,IF($W$4="(blank)",--('Final Calculation Sheet'!$V$29=""),IF($W$4="(nonblank)",--('Final Calculation Sheet'!$V$29&lt;&gt;""),--ISNUMBER(SEARCH($W$4,'Final Calculation Sheet'!$V$29)))))</f>
        <v/>
      </c>
      <c r="EC84">
        <f>IF($X$4="",1,IF($X$4="(blank)",--('Final Calculation Sheet'!$W$29=""),IF($X$4="(nonblank)",--('Final Calculation Sheet'!$W$29&lt;&gt;""),--ISNUMBER(SEARCH($X$4,'Final Calculation Sheet'!$W$29)))))</f>
        <v/>
      </c>
      <c r="ED84">
        <f>IF($Y$4="",1,IF($Y$4="(blank)",--('Final Calculation Sheet'!$X$29=""),IF($Y$4="(nonblank)",--('Final Calculation Sheet'!$X$29&lt;&gt;""),--ISNUMBER(SEARCH($Y$4,'Final Calculation Sheet'!$X$29)))))</f>
        <v/>
      </c>
      <c r="EE84">
        <f>IF($Z$4="",1,IF($Z$4="(blank)",--('Final Calculation Sheet'!$Y$29=""),IF($Z$4="(nonblank)",--('Final Calculation Sheet'!$Y$29&lt;&gt;""),--ISNUMBER(SEARCH($Z$4,'Final Calculation Sheet'!$Y$29)))))</f>
        <v/>
      </c>
      <c r="EF84">
        <f>IF($AA$4="",1,IF($AA$4="(blank)",--('Final Calculation Sheet'!$Z$29=""),IF($AA$4="(nonblank)",--('Final Calculation Sheet'!$Z$29&lt;&gt;""),--ISNUMBER(SEARCH($AA$4,'Final Calculation Sheet'!$Z$29)))))</f>
        <v/>
      </c>
      <c r="EG84">
        <f>IF($AB$4="",1,IF($AB$4="(blank)",--('Final Calculation Sheet'!$AA$29=""),IF($AB$4="(nonblank)",--('Final Calculation Sheet'!$AA$29&lt;&gt;""),--ISNUMBER(SEARCH($AB$4,'Final Calculation Sheet'!$AA$29)))))</f>
        <v/>
      </c>
      <c r="EH84">
        <f>IF($AC$4="",1,IF($AC$4="(blank)",--('Final Calculation Sheet'!$AB$29=""),IF($AC$4="(nonblank)",--('Final Calculation Sheet'!$AB$29&lt;&gt;""),--ISNUMBER(SEARCH($AC$4,'Final Calculation Sheet'!$AB$29)))))</f>
        <v/>
      </c>
      <c r="EI84">
        <f>IF($AD$4="",1,IF($AD$4="(blank)",--('Final Calculation Sheet'!$AC$29=""),IF($AD$4="(nonblank)",--('Final Calculation Sheet'!$AC$29&lt;&gt;""),--ISNUMBER(SEARCH($AD$4,'Final Calculation Sheet'!$AC$29)))))</f>
        <v/>
      </c>
      <c r="EJ84">
        <f>IF($AE$4="",1,IF($AE$4="(blank)",--('Final Calculation Sheet'!$AD$29=""),IF($AE$4="(nonblank)",--('Final Calculation Sheet'!$AD$29&lt;&gt;""),--ISNUMBER(SEARCH($AE$4,'Final Calculation Sheet'!$AD$29)))))</f>
        <v/>
      </c>
      <c r="EK84">
        <f>IF($AF$4="",1,IF($AF$4="(blank)",--(IF('Final Calculation Sheet'!$AD$29&lt;=5,"SETTLED","OUTSTANDING")=""),IF($AF$4="(nonblank)",--(IF('Final Calculation Sheet'!$AD$29&lt;=5,"SETTLED","OUTSTANDING")&lt;&gt;""),--ISNUMBER(SEARCH($AF$4,IF('Final Calculation Sheet'!$AD$29&lt;=5,"SETTLED","OUTSTANDING"))))))</f>
        <v/>
      </c>
      <c r="EL84">
        <f>IF($AG$4="",1,IF($AG$4="(blank)",--('Final Calculation Sheet'!$AF$29=""),IF($AG$4="(nonblank)",--('Final Calculation Sheet'!$AF$29&lt;&gt;""),--ISNUMBER(SEARCH($AG$4,'Final Calculation Sheet'!$AF$29)))))</f>
        <v/>
      </c>
      <c r="EM84">
        <f>IF($AH$4="",1,IF($AH$4="(blank)",--('Final Calculation Sheet'!$AG$29=""),IF($AH$4="(nonblank)",--('Final Calculation Sheet'!$AG$29&lt;&gt;""),--ISNUMBER(SEARCH($AH$4,'Final Calculation Sheet'!$AG$29)))))</f>
        <v/>
      </c>
      <c r="EN84">
        <f>IF($AI$4="",1,IF($AI$4="(blank)",--('Final Calculation Sheet'!$AH$29=""),IF($AI$4="(nonblank)",--('Final Calculation Sheet'!$AH$29&lt;&gt;""),--ISNUMBER(SEARCH($AI$4,'Final Calculation Sheet'!$AH$29)))))</f>
        <v/>
      </c>
    </row>
    <row r="85">
      <c r="AM85">
        <f>AM84+IF(AND(Lists!$O$32&lt;&gt;"",ISNUMBER(SEARCH($B$4,Lists!$O$32))),1,0)</f>
        <v/>
      </c>
      <c r="AN85">
        <f>IF(ROW()-56&gt;MAX($AM$57:$AM$95),"",INDEX(Lists!$O$4:$O$42,MATCH(ROW()-56,$AM$57:$AM$95,0)))</f>
        <v/>
      </c>
      <c r="AO85">
        <f>AO84+IF(AND(Lists!$T$32&lt;&gt;"",ISNUMBER(SEARCH($C$4,Lists!$T$32))),1,0)</f>
        <v/>
      </c>
      <c r="AP85">
        <f>IF(ROW()-56&gt;MAX($AO$57:$AO$95),"",INDEX(Lists!$T$4:$T$42,MATCH(ROW()-56,$AO$57:$AO$95,0)))</f>
        <v/>
      </c>
      <c r="AQ85">
        <f>AQ84+IF(AND(Lists!$Y$32&lt;&gt;"",ISNUMBER(SEARCH($D$4,Lists!$Y$32))),1,0)</f>
        <v/>
      </c>
      <c r="AR85">
        <f>IF(ROW()-56&gt;MAX($AQ$57:$AQ$95),"",INDEX(Lists!$Y$4:$Y$42,MATCH(ROW()-56,$AQ$57:$AQ$95,0)))</f>
        <v/>
      </c>
      <c r="AS85">
        <f>AS84+IF(AND(Lists!$AD$32&lt;&gt;"",ISNUMBER(SEARCH($E$4,Lists!$AD$32))),1,0)</f>
        <v/>
      </c>
      <c r="AT85">
        <f>IF(ROW()-56&gt;MAX($AS$57:$AS$95),"",INDEX(Lists!$AD$4:$AD$42,MATCH(ROW()-56,$AS$57:$AS$95,0)))</f>
        <v/>
      </c>
      <c r="AU85">
        <f>AU84+IF(AND(Lists!$AI$32&lt;&gt;"",ISNUMBER(SEARCH($F$4,Lists!$AI$32))),1,0)</f>
        <v/>
      </c>
      <c r="AV85">
        <f>IF(ROW()-56&gt;MAX($AU$57:$AU$95),"",INDEX(Lists!$AI$4:$AI$42,MATCH(ROW()-56,$AU$57:$AU$95,0)))</f>
        <v/>
      </c>
      <c r="AW85">
        <f>AW84+IF(AND(Lists!$AN$32&lt;&gt;"",ISNUMBER(SEARCH($G$4,Lists!$AN$32))),1,0)</f>
        <v/>
      </c>
      <c r="AX85">
        <f>IF(ROW()-56&gt;MAX($AW$57:$AW$95),"",INDEX(Lists!$AN$4:$AN$42,MATCH(ROW()-56,$AW$57:$AW$95,0)))</f>
        <v/>
      </c>
      <c r="AY85">
        <f>AY84+IF(AND(Lists!$AS$32&lt;&gt;"",ISNUMBER(SEARCH($H$4,Lists!$AS$32))),1,0)</f>
        <v/>
      </c>
      <c r="AZ85">
        <f>IF(ROW()-56&gt;MAX($AY$57:$AY$95),"",INDEX(Lists!$AS$4:$AS$42,MATCH(ROW()-56,$AY$57:$AY$95,0)))</f>
        <v/>
      </c>
      <c r="BA85">
        <f>BA84+IF(AND(Lists!$AX$32&lt;&gt;"",ISNUMBER(SEARCH($I$4,Lists!$AX$32))),1,0)</f>
        <v/>
      </c>
      <c r="BB85">
        <f>IF(ROW()-56&gt;MAX($BA$57:$BA$95),"",INDEX(Lists!$AX$4:$AX$42,MATCH(ROW()-56,$BA$57:$BA$95,0)))</f>
        <v/>
      </c>
      <c r="BC85">
        <f>BC84+IF(AND(Lists!$BC$32&lt;&gt;"",ISNUMBER(SEARCH($J$4,Lists!$BC$32))),1,0)</f>
        <v/>
      </c>
      <c r="BD85">
        <f>IF(ROW()-56&gt;MAX($BC$57:$BC$95),"",INDEX(Lists!$BC$4:$BC$42,MATCH(ROW()-56,$BC$57:$BC$95,0)))</f>
        <v/>
      </c>
      <c r="BE85">
        <f>BE84+IF(AND(Lists!$BH$32&lt;&gt;"",ISNUMBER(SEARCH($K$4,Lists!$BH$32))),1,0)</f>
        <v/>
      </c>
      <c r="BF85">
        <f>IF(ROW()-56&gt;MAX($BE$57:$BE$95),"",INDEX(Lists!$BH$4:$BH$42,MATCH(ROW()-56,$BE$57:$BE$95,0)))</f>
        <v/>
      </c>
      <c r="BG85">
        <f>BG84+IF(AND(Lists!$BM$32&lt;&gt;"",ISNUMBER(SEARCH($L$4,Lists!$BM$32))),1,0)</f>
        <v/>
      </c>
      <c r="BH85">
        <f>IF(ROW()-56&gt;MAX($BG$57:$BG$95),"",INDEX(Lists!$BM$4:$BM$42,MATCH(ROW()-56,$BG$57:$BG$95,0)))</f>
        <v/>
      </c>
      <c r="BI85">
        <f>BI84+IF(AND(Lists!$BR$32&lt;&gt;"",ISNUMBER(SEARCH($M$4,Lists!$BR$32))),1,0)</f>
        <v/>
      </c>
      <c r="BJ85">
        <f>IF(ROW()-56&gt;MAX($BI$57:$BI$95),"",INDEX(Lists!$BR$4:$BR$42,MATCH(ROW()-56,$BI$57:$BI$95,0)))</f>
        <v/>
      </c>
      <c r="BK85">
        <f>BK84+IF(AND(Lists!$BW$32&lt;&gt;"",ISNUMBER(SEARCH($N$4,Lists!$BW$32))),1,0)</f>
        <v/>
      </c>
      <c r="BL85">
        <f>IF(ROW()-56&gt;MAX($BK$57:$BK$95),"",INDEX(Lists!$BW$4:$BW$42,MATCH(ROW()-56,$BK$57:$BK$95,0)))</f>
        <v/>
      </c>
      <c r="BM85">
        <f>BM84+IF(AND(Lists!$CB$32&lt;&gt;"",ISNUMBER(SEARCH($O$4,Lists!$CB$32))),1,0)</f>
        <v/>
      </c>
      <c r="BN85">
        <f>IF(ROW()-56&gt;MAX($BM$57:$BM$95),"",INDEX(Lists!$CB$4:$CB$42,MATCH(ROW()-56,$BM$57:$BM$95,0)))</f>
        <v/>
      </c>
      <c r="BO85">
        <f>BO84+IF(AND(Lists!$CG$32&lt;&gt;"",ISNUMBER(SEARCH($P$4,Lists!$CG$32))),1,0)</f>
        <v/>
      </c>
      <c r="BP85">
        <f>IF(ROW()-56&gt;MAX($BO$57:$BO$95),"",INDEX(Lists!$CG$4:$CG$42,MATCH(ROW()-56,$BO$57:$BO$95,0)))</f>
        <v/>
      </c>
      <c r="BQ85">
        <f>BQ84+IF(AND(Lists!$CL$32&lt;&gt;"",ISNUMBER(SEARCH($Q$4,Lists!$CL$32))),1,0)</f>
        <v/>
      </c>
      <c r="BR85">
        <f>IF(ROW()-56&gt;MAX($BQ$57:$BQ$95),"",INDEX(Lists!$CL$4:$CL$42,MATCH(ROW()-56,$BQ$57:$BQ$95,0)))</f>
        <v/>
      </c>
      <c r="BS85">
        <f>BS84+IF(AND(Lists!$CQ$32&lt;&gt;"",ISNUMBER(SEARCH($R$4,Lists!$CQ$32))),1,0)</f>
        <v/>
      </c>
      <c r="BT85">
        <f>IF(ROW()-56&gt;MAX($BS$57:$BS$95),"",INDEX(Lists!$CQ$4:$CQ$42,MATCH(ROW()-56,$BS$57:$BS$95,0)))</f>
        <v/>
      </c>
      <c r="BU85">
        <f>BU84+IF(AND(Lists!$CV$32&lt;&gt;"",ISNUMBER(SEARCH($S$4,Lists!$CV$32))),1,0)</f>
        <v/>
      </c>
      <c r="BV85">
        <f>IF(ROW()-56&gt;MAX($BU$57:$BU$95),"",INDEX(Lists!$CV$4:$CV$42,MATCH(ROW()-56,$BU$57:$BU$95,0)))</f>
        <v/>
      </c>
      <c r="BW85">
        <f>BW84+IF(AND(Lists!$DA$32&lt;&gt;"",ISNUMBER(SEARCH($T$4,Lists!$DA$32))),1,0)</f>
        <v/>
      </c>
      <c r="BX85">
        <f>IF(ROW()-56&gt;MAX($BW$57:$BW$95),"",INDEX(Lists!$DA$4:$DA$42,MATCH(ROW()-56,$BW$57:$BW$95,0)))</f>
        <v/>
      </c>
      <c r="BY85">
        <f>BY84+IF(AND(Lists!$DF$32&lt;&gt;"",ISNUMBER(SEARCH($U$4,Lists!$DF$32))),1,0)</f>
        <v/>
      </c>
      <c r="BZ85">
        <f>IF(ROW()-56&gt;MAX($BY$57:$BY$95),"",INDEX(Lists!$DF$4:$DF$42,MATCH(ROW()-56,$BY$57:$BY$95,0)))</f>
        <v/>
      </c>
      <c r="CA85">
        <f>CA84+IF(AND(Lists!$DK$32&lt;&gt;"",ISNUMBER(SEARCH($V$4,Lists!$DK$32))),1,0)</f>
        <v/>
      </c>
      <c r="CB85">
        <f>IF(ROW()-56&gt;MAX($CA$57:$CA$95),"",INDEX(Lists!$DK$4:$DK$42,MATCH(ROW()-56,$CA$57:$CA$95,0)))</f>
        <v/>
      </c>
      <c r="CC85">
        <f>CC84+IF(AND(Lists!$DP$32&lt;&gt;"",ISNUMBER(SEARCH($W$4,Lists!$DP$32))),1,0)</f>
        <v/>
      </c>
      <c r="CD85">
        <f>IF(ROW()-56&gt;MAX($CC$57:$CC$95),"",INDEX(Lists!$DP$4:$DP$42,MATCH(ROW()-56,$CC$57:$CC$95,0)))</f>
        <v/>
      </c>
      <c r="CE85">
        <f>CE84+IF(AND(Lists!$DU$32&lt;&gt;"",ISNUMBER(SEARCH($X$4,Lists!$DU$32))),1,0)</f>
        <v/>
      </c>
      <c r="CF85">
        <f>IF(ROW()-56&gt;MAX($CE$57:$CE$95),"",INDEX(Lists!$DU$4:$DU$42,MATCH(ROW()-56,$CE$57:$CE$95,0)))</f>
        <v/>
      </c>
      <c r="CG85">
        <f>CG84+IF(AND(Lists!$DZ$32&lt;&gt;"",ISNUMBER(SEARCH($Y$4,Lists!$DZ$32))),1,0)</f>
        <v/>
      </c>
      <c r="CH85">
        <f>IF(ROW()-56&gt;MAX($CG$57:$CG$95),"",INDEX(Lists!$DZ$4:$DZ$42,MATCH(ROW()-56,$CG$57:$CG$95,0)))</f>
        <v/>
      </c>
      <c r="CI85">
        <f>CI84+IF(AND(Lists!$EE$32&lt;&gt;"",ISNUMBER(SEARCH($Z$4,Lists!$EE$32))),1,0)</f>
        <v/>
      </c>
      <c r="CJ85">
        <f>IF(ROW()-56&gt;MAX($CI$57:$CI$95),"",INDEX(Lists!$EE$4:$EE$42,MATCH(ROW()-56,$CI$57:$CI$95,0)))</f>
        <v/>
      </c>
      <c r="CK85">
        <f>CK84+IF(AND(Lists!$EJ$32&lt;&gt;"",ISNUMBER(SEARCH($AA$4,Lists!$EJ$32))),1,0)</f>
        <v/>
      </c>
      <c r="CL85">
        <f>IF(ROW()-56&gt;MAX($CK$57:$CK$95),"",INDEX(Lists!$EJ$4:$EJ$42,MATCH(ROW()-56,$CK$57:$CK$95,0)))</f>
        <v/>
      </c>
      <c r="CM85">
        <f>CM84+IF(AND(Lists!$EO$32&lt;&gt;"",ISNUMBER(SEARCH($AB$4,Lists!$EO$32))),1,0)</f>
        <v/>
      </c>
      <c r="CN85">
        <f>IF(ROW()-56&gt;MAX($CM$57:$CM$95),"",INDEX(Lists!$EO$4:$EO$42,MATCH(ROW()-56,$CM$57:$CM$95,0)))</f>
        <v/>
      </c>
      <c r="CO85">
        <f>CO84+IF(AND(Lists!$ET$32&lt;&gt;"",ISNUMBER(SEARCH($AC$4,Lists!$ET$32))),1,0)</f>
        <v/>
      </c>
      <c r="CP85">
        <f>IF(ROW()-56&gt;MAX($CO$57:$CO$95),"",INDEX(Lists!$ET$4:$ET$42,MATCH(ROW()-56,$CO$57:$CO$95,0)))</f>
        <v/>
      </c>
      <c r="CQ85">
        <f>CQ84+IF(AND(Lists!$EY$32&lt;&gt;"",ISNUMBER(SEARCH($AD$4,Lists!$EY$32))),1,0)</f>
        <v/>
      </c>
      <c r="CR85">
        <f>IF(ROW()-56&gt;MAX($CQ$57:$CQ$95),"",INDEX(Lists!$EY$4:$EY$42,MATCH(ROW()-56,$CQ$57:$CQ$95,0)))</f>
        <v/>
      </c>
      <c r="CS85">
        <f>CS84+IF(AND(Lists!$FD$32&lt;&gt;"",ISNUMBER(SEARCH($AE$4,Lists!$FD$32))),1,0)</f>
        <v/>
      </c>
      <c r="CT85">
        <f>IF(ROW()-56&gt;MAX($CS$57:$CS$95),"",INDEX(Lists!$FD$4:$FD$42,MATCH(ROW()-56,$CS$57:$CS$95,0)))</f>
        <v/>
      </c>
      <c r="CU85">
        <f>CU84+IF(AND(Lists!$FI$32&lt;&gt;"",ISNUMBER(SEARCH($AG$4,Lists!$FI$32))),1,0)</f>
        <v/>
      </c>
      <c r="CV85">
        <f>IF(ROW()-56&gt;MAX($CU$57:$CU$95),"",INDEX(Lists!$FI$4:$FI$42,MATCH(ROW()-56,$CU$57:$CU$95,0)))</f>
        <v/>
      </c>
      <c r="CW85">
        <f>CW84+IF(AND(Lists!$FN$32&lt;&gt;"",ISNUMBER(SEARCH($AH$4,Lists!$FN$32))),1,0)</f>
        <v/>
      </c>
      <c r="CX85">
        <f>IF(ROW()-56&gt;MAX($CW$57:$CW$95),"",INDEX(Lists!$FN$4:$FN$42,MATCH(ROW()-56,$CW$57:$CW$95,0)))</f>
        <v/>
      </c>
      <c r="CY85">
        <f>CY84+IF(AND(Lists!$FS$32&lt;&gt;"",ISNUMBER(SEARCH($AI$4,Lists!$FS$32))),1,0)</f>
        <v/>
      </c>
      <c r="CZ85">
        <f>IF(ROW()-56&gt;MAX($CY$57:$CY$95),"",INDEX(Lists!$FS$4:$FS$42,MATCH(ROW()-56,$CY$57:$CY$95,0)))</f>
        <v/>
      </c>
      <c r="DA85">
        <f>DA84+IF(AND(Lists!$FX$32&lt;&gt;"",ISNUMBER(SEARCH($AF$4,Lists!$FX$32))),1,0)</f>
        <v/>
      </c>
      <c r="DB85">
        <f>IF(ROW()-56&gt;MAX($DA$57:$DA$95),"",INDEX(Lists!$FX$4:$FX$42,MATCH(ROW()-56,$DA$57:$DA$95,0)))</f>
        <v/>
      </c>
      <c r="DG85">
        <f>IF($B$4="",1,IF($B$4="(blank)",--('Final Calculation Sheet'!$F$30=""),IF($B$4="(nonblank)",--('Final Calculation Sheet'!$F$30&lt;&gt;""),--ISNUMBER(SEARCH($B$4,'Final Calculation Sheet'!$F$30)))))</f>
        <v/>
      </c>
      <c r="DH85">
        <f>IF($C$4="",1,IF($C$4="(blank)",--('Final Calculation Sheet'!$G$30=""),IF($C$4="(nonblank)",--('Final Calculation Sheet'!$G$30&lt;&gt;""),--ISNUMBER(SEARCH($C$4,'Final Calculation Sheet'!$G$30)))))</f>
        <v/>
      </c>
      <c r="DI85">
        <f>IF($D$4="",1,IF($D$4="(blank)",--('Final Calculation Sheet'!$B$30=""),IF($D$4="(nonblank)",--('Final Calculation Sheet'!$B$30&lt;&gt;""),--ISNUMBER(SEARCH($D$4,'Final Calculation Sheet'!$B$30)))))</f>
        <v/>
      </c>
      <c r="DJ85">
        <f>IF($E$4="",1,IF($E$4="(blank)",--('Final Calculation Sheet'!$D$30=""),IF($E$4="(nonblank)",--('Final Calculation Sheet'!$D$30&lt;&gt;""),--ISNUMBER(SEARCH($E$4,'Final Calculation Sheet'!$D$30)))))</f>
        <v/>
      </c>
      <c r="DK85">
        <f>IF($F$4="",1,IF($F$4="(blank)",--('Final Calculation Sheet'!$A$30=""),IF($F$4="(nonblank)",--('Final Calculation Sheet'!$A$30&lt;&gt;""),--ISNUMBER(SEARCH($F$4,'Final Calculation Sheet'!$A$30)))))</f>
        <v/>
      </c>
      <c r="DL85">
        <f>IF($G$4="",1,IF($G$4="(blank)",--('Final Calculation Sheet'!$E$30=""),IF($G$4="(nonblank)",--('Final Calculation Sheet'!$E$30&lt;&gt;""),--ISNUMBER(SEARCH($G$4,'Final Calculation Sheet'!$E$30)))))</f>
        <v/>
      </c>
      <c r="DM85">
        <f>IF($H$4="",1,IF($H$4="(blank)",--('Final Calculation Sheet'!$C$30=""),IF($H$4="(nonblank)",--('Final Calculation Sheet'!$C$30&lt;&gt;""),--ISNUMBER(SEARCH($H$4,'Final Calculation Sheet'!$C$30)))))</f>
        <v/>
      </c>
      <c r="DN85">
        <f>IF($I$4="",1,IF($I$4="(blank)",--('Final Calculation Sheet'!$H$30=""),IF($I$4="(nonblank)",--('Final Calculation Sheet'!$H$30&lt;&gt;""),--ISNUMBER(SEARCH($I$4,'Final Calculation Sheet'!$H$30)))))</f>
        <v/>
      </c>
      <c r="DO85">
        <f>IF($J$4="",1,IF($J$4="(blank)",--('Final Calculation Sheet'!$I$30=""),IF($J$4="(nonblank)",--('Final Calculation Sheet'!$I$30&lt;&gt;""),--ISNUMBER(SEARCH($J$4,'Final Calculation Sheet'!$I$30)))))</f>
        <v/>
      </c>
      <c r="DP85">
        <f>IF($K$4="",1,IF($K$4="(blank)",--('Final Calculation Sheet'!$J$30=""),IF($K$4="(nonblank)",--('Final Calculation Sheet'!$J$30&lt;&gt;""),--ISNUMBER(SEARCH($K$4,'Final Calculation Sheet'!$J$30)))))</f>
        <v/>
      </c>
      <c r="DQ85">
        <f>IF($L$4="",1,IF($L$4="(blank)",--('Final Calculation Sheet'!$K$30=""),IF($L$4="(nonblank)",--('Final Calculation Sheet'!$K$30&lt;&gt;""),--ISNUMBER(SEARCH($L$4,'Final Calculation Sheet'!$K$30)))))</f>
        <v/>
      </c>
      <c r="DR85">
        <f>IF($M$4="",1,IF($M$4="(blank)",--('Final Calculation Sheet'!$L$30=""),IF($M$4="(nonblank)",--('Final Calculation Sheet'!$L$30&lt;&gt;""),--ISNUMBER(SEARCH($M$4,'Final Calculation Sheet'!$L$30)))))</f>
        <v/>
      </c>
      <c r="DS85">
        <f>IF($N$4="",1,IF($N$4="(blank)",--('Final Calculation Sheet'!$M$30=""),IF($N$4="(nonblank)",--('Final Calculation Sheet'!$M$30&lt;&gt;""),--ISNUMBER(SEARCH($N$4,'Final Calculation Sheet'!$M$30)))))</f>
        <v/>
      </c>
      <c r="DT85">
        <f>IF($O$4="",1,IF($O$4="(blank)",--('Final Calculation Sheet'!$N$30=""),IF($O$4="(nonblank)",--('Final Calculation Sheet'!$N$30&lt;&gt;""),--ISNUMBER(SEARCH($O$4,'Final Calculation Sheet'!$N$30)))))</f>
        <v/>
      </c>
      <c r="DU85">
        <f>IF($P$4="",1,IF($P$4="(blank)",--('Final Calculation Sheet'!$O$30=""),IF($P$4="(nonblank)",--('Final Calculation Sheet'!$O$30&lt;&gt;""),--ISNUMBER(SEARCH($P$4,'Final Calculation Sheet'!$O$30)))))</f>
        <v/>
      </c>
      <c r="DV85">
        <f>IF($Q$4="",1,IF($Q$4="(blank)",--('Final Calculation Sheet'!$P$30=""),IF($Q$4="(nonblank)",--('Final Calculation Sheet'!$P$30&lt;&gt;""),--ISNUMBER(SEARCH($Q$4,'Final Calculation Sheet'!$P$30)))))</f>
        <v/>
      </c>
      <c r="DW85">
        <f>IF($R$4="",1,IF($R$4="(blank)",--('Final Calculation Sheet'!$Q$30=""),IF($R$4="(nonblank)",--('Final Calculation Sheet'!$Q$30&lt;&gt;""),--ISNUMBER(SEARCH($R$4,'Final Calculation Sheet'!$Q$30)))))</f>
        <v/>
      </c>
      <c r="DX85">
        <f>IF($S$4="",1,IF($S$4="(blank)",--('Final Calculation Sheet'!$R$30=""),IF($S$4="(nonblank)",--('Final Calculation Sheet'!$R$30&lt;&gt;""),--ISNUMBER(SEARCH($S$4,'Final Calculation Sheet'!$R$30)))))</f>
        <v/>
      </c>
      <c r="DY85">
        <f>IF($T$4="",1,IF($T$4="(blank)",--('Final Calculation Sheet'!$S$30=""),IF($T$4="(nonblank)",--('Final Calculation Sheet'!$S$30&lt;&gt;""),--ISNUMBER(SEARCH($T$4,'Final Calculation Sheet'!$S$30)))))</f>
        <v/>
      </c>
      <c r="DZ85">
        <f>IF($U$4="",1,IF($U$4="(blank)",--('Final Calculation Sheet'!$T$30=""),IF($U$4="(nonblank)",--('Final Calculation Sheet'!$T$30&lt;&gt;""),--ISNUMBER(SEARCH($U$4,'Final Calculation Sheet'!$T$30)))))</f>
        <v/>
      </c>
      <c r="EA85">
        <f>IF($V$4="",1,IF($V$4="(blank)",--('Final Calculation Sheet'!$U$30=""),IF($V$4="(nonblank)",--('Final Calculation Sheet'!$U$30&lt;&gt;""),--ISNUMBER(SEARCH($V$4,'Final Calculation Sheet'!$U$30)))))</f>
        <v/>
      </c>
      <c r="EB85">
        <f>IF($W$4="",1,IF($W$4="(blank)",--('Final Calculation Sheet'!$V$30=""),IF($W$4="(nonblank)",--('Final Calculation Sheet'!$V$30&lt;&gt;""),--ISNUMBER(SEARCH($W$4,'Final Calculation Sheet'!$V$30)))))</f>
        <v/>
      </c>
      <c r="EC85">
        <f>IF($X$4="",1,IF($X$4="(blank)",--('Final Calculation Sheet'!$W$30=""),IF($X$4="(nonblank)",--('Final Calculation Sheet'!$W$30&lt;&gt;""),--ISNUMBER(SEARCH($X$4,'Final Calculation Sheet'!$W$30)))))</f>
        <v/>
      </c>
      <c r="ED85">
        <f>IF($Y$4="",1,IF($Y$4="(blank)",--('Final Calculation Sheet'!$X$30=""),IF($Y$4="(nonblank)",--('Final Calculation Sheet'!$X$30&lt;&gt;""),--ISNUMBER(SEARCH($Y$4,'Final Calculation Sheet'!$X$30)))))</f>
        <v/>
      </c>
      <c r="EE85">
        <f>IF($Z$4="",1,IF($Z$4="(blank)",--('Final Calculation Sheet'!$Y$30=""),IF($Z$4="(nonblank)",--('Final Calculation Sheet'!$Y$30&lt;&gt;""),--ISNUMBER(SEARCH($Z$4,'Final Calculation Sheet'!$Y$30)))))</f>
        <v/>
      </c>
      <c r="EF85">
        <f>IF($AA$4="",1,IF($AA$4="(blank)",--('Final Calculation Sheet'!$Z$30=""),IF($AA$4="(nonblank)",--('Final Calculation Sheet'!$Z$30&lt;&gt;""),--ISNUMBER(SEARCH($AA$4,'Final Calculation Sheet'!$Z$30)))))</f>
        <v/>
      </c>
      <c r="EG85">
        <f>IF($AB$4="",1,IF($AB$4="(blank)",--('Final Calculation Sheet'!$AA$30=""),IF($AB$4="(nonblank)",--('Final Calculation Sheet'!$AA$30&lt;&gt;""),--ISNUMBER(SEARCH($AB$4,'Final Calculation Sheet'!$AA$30)))))</f>
        <v/>
      </c>
      <c r="EH85">
        <f>IF($AC$4="",1,IF($AC$4="(blank)",--('Final Calculation Sheet'!$AB$30=""),IF($AC$4="(nonblank)",--('Final Calculation Sheet'!$AB$30&lt;&gt;""),--ISNUMBER(SEARCH($AC$4,'Final Calculation Sheet'!$AB$30)))))</f>
        <v/>
      </c>
      <c r="EI85">
        <f>IF($AD$4="",1,IF($AD$4="(blank)",--('Final Calculation Sheet'!$AC$30=""),IF($AD$4="(nonblank)",--('Final Calculation Sheet'!$AC$30&lt;&gt;""),--ISNUMBER(SEARCH($AD$4,'Final Calculation Sheet'!$AC$30)))))</f>
        <v/>
      </c>
      <c r="EJ85">
        <f>IF($AE$4="",1,IF($AE$4="(blank)",--('Final Calculation Sheet'!$AD$30=""),IF($AE$4="(nonblank)",--('Final Calculation Sheet'!$AD$30&lt;&gt;""),--ISNUMBER(SEARCH($AE$4,'Final Calculation Sheet'!$AD$30)))))</f>
        <v/>
      </c>
      <c r="EK85">
        <f>IF($AF$4="",1,IF($AF$4="(blank)",--(IF('Final Calculation Sheet'!$AD$30&lt;=5,"SETTLED","OUTSTANDING")=""),IF($AF$4="(nonblank)",--(IF('Final Calculation Sheet'!$AD$30&lt;=5,"SETTLED","OUTSTANDING")&lt;&gt;""),--ISNUMBER(SEARCH($AF$4,IF('Final Calculation Sheet'!$AD$30&lt;=5,"SETTLED","OUTSTANDING"))))))</f>
        <v/>
      </c>
      <c r="EL85">
        <f>IF($AG$4="",1,IF($AG$4="(blank)",--('Final Calculation Sheet'!$AF$30=""),IF($AG$4="(nonblank)",--('Final Calculation Sheet'!$AF$30&lt;&gt;""),--ISNUMBER(SEARCH($AG$4,'Final Calculation Sheet'!$AF$30)))))</f>
        <v/>
      </c>
      <c r="EM85">
        <f>IF($AH$4="",1,IF($AH$4="(blank)",--('Final Calculation Sheet'!$AG$30=""),IF($AH$4="(nonblank)",--('Final Calculation Sheet'!$AG$30&lt;&gt;""),--ISNUMBER(SEARCH($AH$4,'Final Calculation Sheet'!$AG$30)))))</f>
        <v/>
      </c>
      <c r="EN85">
        <f>IF($AI$4="",1,IF($AI$4="(blank)",--('Final Calculation Sheet'!$AH$30=""),IF($AI$4="(nonblank)",--('Final Calculation Sheet'!$AH$30&lt;&gt;""),--ISNUMBER(SEARCH($AI$4,'Final Calculation Sheet'!$AH$30)))))</f>
        <v/>
      </c>
    </row>
    <row r="86">
      <c r="AM86">
        <f>AM85+IF(AND(Lists!$O$33&lt;&gt;"",ISNUMBER(SEARCH($B$4,Lists!$O$33))),1,0)</f>
        <v/>
      </c>
      <c r="AN86">
        <f>IF(ROW()-56&gt;MAX($AM$57:$AM$95),"",INDEX(Lists!$O$4:$O$42,MATCH(ROW()-56,$AM$57:$AM$95,0)))</f>
        <v/>
      </c>
      <c r="AO86">
        <f>AO85+IF(AND(Lists!$T$33&lt;&gt;"",ISNUMBER(SEARCH($C$4,Lists!$T$33))),1,0)</f>
        <v/>
      </c>
      <c r="AP86">
        <f>IF(ROW()-56&gt;MAX($AO$57:$AO$95),"",INDEX(Lists!$T$4:$T$42,MATCH(ROW()-56,$AO$57:$AO$95,0)))</f>
        <v/>
      </c>
      <c r="AQ86">
        <f>AQ85+IF(AND(Lists!$Y$33&lt;&gt;"",ISNUMBER(SEARCH($D$4,Lists!$Y$33))),1,0)</f>
        <v/>
      </c>
      <c r="AR86">
        <f>IF(ROW()-56&gt;MAX($AQ$57:$AQ$95),"",INDEX(Lists!$Y$4:$Y$42,MATCH(ROW()-56,$AQ$57:$AQ$95,0)))</f>
        <v/>
      </c>
      <c r="AS86">
        <f>AS85+IF(AND(Lists!$AD$33&lt;&gt;"",ISNUMBER(SEARCH($E$4,Lists!$AD$33))),1,0)</f>
        <v/>
      </c>
      <c r="AT86">
        <f>IF(ROW()-56&gt;MAX($AS$57:$AS$95),"",INDEX(Lists!$AD$4:$AD$42,MATCH(ROW()-56,$AS$57:$AS$95,0)))</f>
        <v/>
      </c>
      <c r="AU86">
        <f>AU85+IF(AND(Lists!$AI$33&lt;&gt;"",ISNUMBER(SEARCH($F$4,Lists!$AI$33))),1,0)</f>
        <v/>
      </c>
      <c r="AV86">
        <f>IF(ROW()-56&gt;MAX($AU$57:$AU$95),"",INDEX(Lists!$AI$4:$AI$42,MATCH(ROW()-56,$AU$57:$AU$95,0)))</f>
        <v/>
      </c>
      <c r="AW86">
        <f>AW85+IF(AND(Lists!$AN$33&lt;&gt;"",ISNUMBER(SEARCH($G$4,Lists!$AN$33))),1,0)</f>
        <v/>
      </c>
      <c r="AX86">
        <f>IF(ROW()-56&gt;MAX($AW$57:$AW$95),"",INDEX(Lists!$AN$4:$AN$42,MATCH(ROW()-56,$AW$57:$AW$95,0)))</f>
        <v/>
      </c>
      <c r="AY86">
        <f>AY85+IF(AND(Lists!$AS$33&lt;&gt;"",ISNUMBER(SEARCH($H$4,Lists!$AS$33))),1,0)</f>
        <v/>
      </c>
      <c r="AZ86">
        <f>IF(ROW()-56&gt;MAX($AY$57:$AY$95),"",INDEX(Lists!$AS$4:$AS$42,MATCH(ROW()-56,$AY$57:$AY$95,0)))</f>
        <v/>
      </c>
      <c r="BA86">
        <f>BA85+IF(AND(Lists!$AX$33&lt;&gt;"",ISNUMBER(SEARCH($I$4,Lists!$AX$33))),1,0)</f>
        <v/>
      </c>
      <c r="BB86">
        <f>IF(ROW()-56&gt;MAX($BA$57:$BA$95),"",INDEX(Lists!$AX$4:$AX$42,MATCH(ROW()-56,$BA$57:$BA$95,0)))</f>
        <v/>
      </c>
      <c r="BC86">
        <f>BC85+IF(AND(Lists!$BC$33&lt;&gt;"",ISNUMBER(SEARCH($J$4,Lists!$BC$33))),1,0)</f>
        <v/>
      </c>
      <c r="BD86">
        <f>IF(ROW()-56&gt;MAX($BC$57:$BC$95),"",INDEX(Lists!$BC$4:$BC$42,MATCH(ROW()-56,$BC$57:$BC$95,0)))</f>
        <v/>
      </c>
      <c r="BE86">
        <f>BE85+IF(AND(Lists!$BH$33&lt;&gt;"",ISNUMBER(SEARCH($K$4,Lists!$BH$33))),1,0)</f>
        <v/>
      </c>
      <c r="BF86">
        <f>IF(ROW()-56&gt;MAX($BE$57:$BE$95),"",INDEX(Lists!$BH$4:$BH$42,MATCH(ROW()-56,$BE$57:$BE$95,0)))</f>
        <v/>
      </c>
      <c r="BG86">
        <f>BG85+IF(AND(Lists!$BM$33&lt;&gt;"",ISNUMBER(SEARCH($L$4,Lists!$BM$33))),1,0)</f>
        <v/>
      </c>
      <c r="BH86">
        <f>IF(ROW()-56&gt;MAX($BG$57:$BG$95),"",INDEX(Lists!$BM$4:$BM$42,MATCH(ROW()-56,$BG$57:$BG$95,0)))</f>
        <v/>
      </c>
      <c r="BI86">
        <f>BI85+IF(AND(Lists!$BR$33&lt;&gt;"",ISNUMBER(SEARCH($M$4,Lists!$BR$33))),1,0)</f>
        <v/>
      </c>
      <c r="BJ86">
        <f>IF(ROW()-56&gt;MAX($BI$57:$BI$95),"",INDEX(Lists!$BR$4:$BR$42,MATCH(ROW()-56,$BI$57:$BI$95,0)))</f>
        <v/>
      </c>
      <c r="BK86">
        <f>BK85+IF(AND(Lists!$BW$33&lt;&gt;"",ISNUMBER(SEARCH($N$4,Lists!$BW$33))),1,0)</f>
        <v/>
      </c>
      <c r="BL86">
        <f>IF(ROW()-56&gt;MAX($BK$57:$BK$95),"",INDEX(Lists!$BW$4:$BW$42,MATCH(ROW()-56,$BK$57:$BK$95,0)))</f>
        <v/>
      </c>
      <c r="BM86">
        <f>BM85+IF(AND(Lists!$CB$33&lt;&gt;"",ISNUMBER(SEARCH($O$4,Lists!$CB$33))),1,0)</f>
        <v/>
      </c>
      <c r="BN86">
        <f>IF(ROW()-56&gt;MAX($BM$57:$BM$95),"",INDEX(Lists!$CB$4:$CB$42,MATCH(ROW()-56,$BM$57:$BM$95,0)))</f>
        <v/>
      </c>
      <c r="BO86">
        <f>BO85+IF(AND(Lists!$CG$33&lt;&gt;"",ISNUMBER(SEARCH($P$4,Lists!$CG$33))),1,0)</f>
        <v/>
      </c>
      <c r="BP86">
        <f>IF(ROW()-56&gt;MAX($BO$57:$BO$95),"",INDEX(Lists!$CG$4:$CG$42,MATCH(ROW()-56,$BO$57:$BO$95,0)))</f>
        <v/>
      </c>
      <c r="BQ86">
        <f>BQ85+IF(AND(Lists!$CL$33&lt;&gt;"",ISNUMBER(SEARCH($Q$4,Lists!$CL$33))),1,0)</f>
        <v/>
      </c>
      <c r="BR86">
        <f>IF(ROW()-56&gt;MAX($BQ$57:$BQ$95),"",INDEX(Lists!$CL$4:$CL$42,MATCH(ROW()-56,$BQ$57:$BQ$95,0)))</f>
        <v/>
      </c>
      <c r="BS86">
        <f>BS85+IF(AND(Lists!$CQ$33&lt;&gt;"",ISNUMBER(SEARCH($R$4,Lists!$CQ$33))),1,0)</f>
        <v/>
      </c>
      <c r="BT86">
        <f>IF(ROW()-56&gt;MAX($BS$57:$BS$95),"",INDEX(Lists!$CQ$4:$CQ$42,MATCH(ROW()-56,$BS$57:$BS$95,0)))</f>
        <v/>
      </c>
      <c r="BU86">
        <f>BU85+IF(AND(Lists!$CV$33&lt;&gt;"",ISNUMBER(SEARCH($S$4,Lists!$CV$33))),1,0)</f>
        <v/>
      </c>
      <c r="BV86">
        <f>IF(ROW()-56&gt;MAX($BU$57:$BU$95),"",INDEX(Lists!$CV$4:$CV$42,MATCH(ROW()-56,$BU$57:$BU$95,0)))</f>
        <v/>
      </c>
      <c r="BW86">
        <f>BW85+IF(AND(Lists!$DA$33&lt;&gt;"",ISNUMBER(SEARCH($T$4,Lists!$DA$33))),1,0)</f>
        <v/>
      </c>
      <c r="BX86">
        <f>IF(ROW()-56&gt;MAX($BW$57:$BW$95),"",INDEX(Lists!$DA$4:$DA$42,MATCH(ROW()-56,$BW$57:$BW$95,0)))</f>
        <v/>
      </c>
      <c r="BY86">
        <f>BY85+IF(AND(Lists!$DF$33&lt;&gt;"",ISNUMBER(SEARCH($U$4,Lists!$DF$33))),1,0)</f>
        <v/>
      </c>
      <c r="BZ86">
        <f>IF(ROW()-56&gt;MAX($BY$57:$BY$95),"",INDEX(Lists!$DF$4:$DF$42,MATCH(ROW()-56,$BY$57:$BY$95,0)))</f>
        <v/>
      </c>
      <c r="CA86">
        <f>CA85+IF(AND(Lists!$DK$33&lt;&gt;"",ISNUMBER(SEARCH($V$4,Lists!$DK$33))),1,0)</f>
        <v/>
      </c>
      <c r="CB86">
        <f>IF(ROW()-56&gt;MAX($CA$57:$CA$95),"",INDEX(Lists!$DK$4:$DK$42,MATCH(ROW()-56,$CA$57:$CA$95,0)))</f>
        <v/>
      </c>
      <c r="CC86">
        <f>CC85+IF(AND(Lists!$DP$33&lt;&gt;"",ISNUMBER(SEARCH($W$4,Lists!$DP$33))),1,0)</f>
        <v/>
      </c>
      <c r="CD86">
        <f>IF(ROW()-56&gt;MAX($CC$57:$CC$95),"",INDEX(Lists!$DP$4:$DP$42,MATCH(ROW()-56,$CC$57:$CC$95,0)))</f>
        <v/>
      </c>
      <c r="CE86">
        <f>CE85+IF(AND(Lists!$DU$33&lt;&gt;"",ISNUMBER(SEARCH($X$4,Lists!$DU$33))),1,0)</f>
        <v/>
      </c>
      <c r="CF86">
        <f>IF(ROW()-56&gt;MAX($CE$57:$CE$95),"",INDEX(Lists!$DU$4:$DU$42,MATCH(ROW()-56,$CE$57:$CE$95,0)))</f>
        <v/>
      </c>
      <c r="CG86">
        <f>CG85+IF(AND(Lists!$DZ$33&lt;&gt;"",ISNUMBER(SEARCH($Y$4,Lists!$DZ$33))),1,0)</f>
        <v/>
      </c>
      <c r="CH86">
        <f>IF(ROW()-56&gt;MAX($CG$57:$CG$95),"",INDEX(Lists!$DZ$4:$DZ$42,MATCH(ROW()-56,$CG$57:$CG$95,0)))</f>
        <v/>
      </c>
      <c r="CI86">
        <f>CI85+IF(AND(Lists!$EE$33&lt;&gt;"",ISNUMBER(SEARCH($Z$4,Lists!$EE$33))),1,0)</f>
        <v/>
      </c>
      <c r="CJ86">
        <f>IF(ROW()-56&gt;MAX($CI$57:$CI$95),"",INDEX(Lists!$EE$4:$EE$42,MATCH(ROW()-56,$CI$57:$CI$95,0)))</f>
        <v/>
      </c>
      <c r="CK86">
        <f>CK85+IF(AND(Lists!$EJ$33&lt;&gt;"",ISNUMBER(SEARCH($AA$4,Lists!$EJ$33))),1,0)</f>
        <v/>
      </c>
      <c r="CL86">
        <f>IF(ROW()-56&gt;MAX($CK$57:$CK$95),"",INDEX(Lists!$EJ$4:$EJ$42,MATCH(ROW()-56,$CK$57:$CK$95,0)))</f>
        <v/>
      </c>
      <c r="CM86">
        <f>CM85+IF(AND(Lists!$EO$33&lt;&gt;"",ISNUMBER(SEARCH($AB$4,Lists!$EO$33))),1,0)</f>
        <v/>
      </c>
      <c r="CN86">
        <f>IF(ROW()-56&gt;MAX($CM$57:$CM$95),"",INDEX(Lists!$EO$4:$EO$42,MATCH(ROW()-56,$CM$57:$CM$95,0)))</f>
        <v/>
      </c>
      <c r="CO86">
        <f>CO85+IF(AND(Lists!$ET$33&lt;&gt;"",ISNUMBER(SEARCH($AC$4,Lists!$ET$33))),1,0)</f>
        <v/>
      </c>
      <c r="CP86">
        <f>IF(ROW()-56&gt;MAX($CO$57:$CO$95),"",INDEX(Lists!$ET$4:$ET$42,MATCH(ROW()-56,$CO$57:$CO$95,0)))</f>
        <v/>
      </c>
      <c r="CQ86">
        <f>CQ85+IF(AND(Lists!$EY$33&lt;&gt;"",ISNUMBER(SEARCH($AD$4,Lists!$EY$33))),1,0)</f>
        <v/>
      </c>
      <c r="CR86">
        <f>IF(ROW()-56&gt;MAX($CQ$57:$CQ$95),"",INDEX(Lists!$EY$4:$EY$42,MATCH(ROW()-56,$CQ$57:$CQ$95,0)))</f>
        <v/>
      </c>
      <c r="CS86">
        <f>CS85+IF(AND(Lists!$FD$33&lt;&gt;"",ISNUMBER(SEARCH($AE$4,Lists!$FD$33))),1,0)</f>
        <v/>
      </c>
      <c r="CT86">
        <f>IF(ROW()-56&gt;MAX($CS$57:$CS$95),"",INDEX(Lists!$FD$4:$FD$42,MATCH(ROW()-56,$CS$57:$CS$95,0)))</f>
        <v/>
      </c>
      <c r="CU86">
        <f>CU85+IF(AND(Lists!$FI$33&lt;&gt;"",ISNUMBER(SEARCH($AG$4,Lists!$FI$33))),1,0)</f>
        <v/>
      </c>
      <c r="CV86">
        <f>IF(ROW()-56&gt;MAX($CU$57:$CU$95),"",INDEX(Lists!$FI$4:$FI$42,MATCH(ROW()-56,$CU$57:$CU$95,0)))</f>
        <v/>
      </c>
      <c r="CW86">
        <f>CW85+IF(AND(Lists!$FN$33&lt;&gt;"",ISNUMBER(SEARCH($AH$4,Lists!$FN$33))),1,0)</f>
        <v/>
      </c>
      <c r="CX86">
        <f>IF(ROW()-56&gt;MAX($CW$57:$CW$95),"",INDEX(Lists!$FN$4:$FN$42,MATCH(ROW()-56,$CW$57:$CW$95,0)))</f>
        <v/>
      </c>
      <c r="CY86">
        <f>CY85+IF(AND(Lists!$FS$33&lt;&gt;"",ISNUMBER(SEARCH($AI$4,Lists!$FS$33))),1,0)</f>
        <v/>
      </c>
      <c r="CZ86">
        <f>IF(ROW()-56&gt;MAX($CY$57:$CY$95),"",INDEX(Lists!$FS$4:$FS$42,MATCH(ROW()-56,$CY$57:$CY$95,0)))</f>
        <v/>
      </c>
      <c r="DA86">
        <f>DA85+IF(AND(Lists!$FX$33&lt;&gt;"",ISNUMBER(SEARCH($AF$4,Lists!$FX$33))),1,0)</f>
        <v/>
      </c>
      <c r="DB86">
        <f>IF(ROW()-56&gt;MAX($DA$57:$DA$95),"",INDEX(Lists!$FX$4:$FX$42,MATCH(ROW()-56,$DA$57:$DA$95,0)))</f>
        <v/>
      </c>
      <c r="DG86">
        <f>IF($B$4="",1,IF($B$4="(blank)",--('Final Calculation Sheet'!$F$31=""),IF($B$4="(nonblank)",--('Final Calculation Sheet'!$F$31&lt;&gt;""),--ISNUMBER(SEARCH($B$4,'Final Calculation Sheet'!$F$31)))))</f>
        <v/>
      </c>
      <c r="DH86">
        <f>IF($C$4="",1,IF($C$4="(blank)",--('Final Calculation Sheet'!$G$31=""),IF($C$4="(nonblank)",--('Final Calculation Sheet'!$G$31&lt;&gt;""),--ISNUMBER(SEARCH($C$4,'Final Calculation Sheet'!$G$31)))))</f>
        <v/>
      </c>
      <c r="DI86">
        <f>IF($D$4="",1,IF($D$4="(blank)",--('Final Calculation Sheet'!$B$31=""),IF($D$4="(nonblank)",--('Final Calculation Sheet'!$B$31&lt;&gt;""),--ISNUMBER(SEARCH($D$4,'Final Calculation Sheet'!$B$31)))))</f>
        <v/>
      </c>
      <c r="DJ86">
        <f>IF($E$4="",1,IF($E$4="(blank)",--('Final Calculation Sheet'!$D$31=""),IF($E$4="(nonblank)",--('Final Calculation Sheet'!$D$31&lt;&gt;""),--ISNUMBER(SEARCH($E$4,'Final Calculation Sheet'!$D$31)))))</f>
        <v/>
      </c>
      <c r="DK86">
        <f>IF($F$4="",1,IF($F$4="(blank)",--('Final Calculation Sheet'!$A$31=""),IF($F$4="(nonblank)",--('Final Calculation Sheet'!$A$31&lt;&gt;""),--ISNUMBER(SEARCH($F$4,'Final Calculation Sheet'!$A$31)))))</f>
        <v/>
      </c>
      <c r="DL86">
        <f>IF($G$4="",1,IF($G$4="(blank)",--('Final Calculation Sheet'!$E$31=""),IF($G$4="(nonblank)",--('Final Calculation Sheet'!$E$31&lt;&gt;""),--ISNUMBER(SEARCH($G$4,'Final Calculation Sheet'!$E$31)))))</f>
        <v/>
      </c>
      <c r="DM86">
        <f>IF($H$4="",1,IF($H$4="(blank)",--('Final Calculation Sheet'!$C$31=""),IF($H$4="(nonblank)",--('Final Calculation Sheet'!$C$31&lt;&gt;""),--ISNUMBER(SEARCH($H$4,'Final Calculation Sheet'!$C$31)))))</f>
        <v/>
      </c>
      <c r="DN86">
        <f>IF($I$4="",1,IF($I$4="(blank)",--('Final Calculation Sheet'!$H$31=""),IF($I$4="(nonblank)",--('Final Calculation Sheet'!$H$31&lt;&gt;""),--ISNUMBER(SEARCH($I$4,'Final Calculation Sheet'!$H$31)))))</f>
        <v/>
      </c>
      <c r="DO86">
        <f>IF($J$4="",1,IF($J$4="(blank)",--('Final Calculation Sheet'!$I$31=""),IF($J$4="(nonblank)",--('Final Calculation Sheet'!$I$31&lt;&gt;""),--ISNUMBER(SEARCH($J$4,'Final Calculation Sheet'!$I$31)))))</f>
        <v/>
      </c>
      <c r="DP86">
        <f>IF($K$4="",1,IF($K$4="(blank)",--('Final Calculation Sheet'!$J$31=""),IF($K$4="(nonblank)",--('Final Calculation Sheet'!$J$31&lt;&gt;""),--ISNUMBER(SEARCH($K$4,'Final Calculation Sheet'!$J$31)))))</f>
        <v/>
      </c>
      <c r="DQ86">
        <f>IF($L$4="",1,IF($L$4="(blank)",--('Final Calculation Sheet'!$K$31=""),IF($L$4="(nonblank)",--('Final Calculation Sheet'!$K$31&lt;&gt;""),--ISNUMBER(SEARCH($L$4,'Final Calculation Sheet'!$K$31)))))</f>
        <v/>
      </c>
      <c r="DR86">
        <f>IF($M$4="",1,IF($M$4="(blank)",--('Final Calculation Sheet'!$L$31=""),IF($M$4="(nonblank)",--('Final Calculation Sheet'!$L$31&lt;&gt;""),--ISNUMBER(SEARCH($M$4,'Final Calculation Sheet'!$L$31)))))</f>
        <v/>
      </c>
      <c r="DS86">
        <f>IF($N$4="",1,IF($N$4="(blank)",--('Final Calculation Sheet'!$M$31=""),IF($N$4="(nonblank)",--('Final Calculation Sheet'!$M$31&lt;&gt;""),--ISNUMBER(SEARCH($N$4,'Final Calculation Sheet'!$M$31)))))</f>
        <v/>
      </c>
      <c r="DT86">
        <f>IF($O$4="",1,IF($O$4="(blank)",--('Final Calculation Sheet'!$N$31=""),IF($O$4="(nonblank)",--('Final Calculation Sheet'!$N$31&lt;&gt;""),--ISNUMBER(SEARCH($O$4,'Final Calculation Sheet'!$N$31)))))</f>
        <v/>
      </c>
      <c r="DU86">
        <f>IF($P$4="",1,IF($P$4="(blank)",--('Final Calculation Sheet'!$O$31=""),IF($P$4="(nonblank)",--('Final Calculation Sheet'!$O$31&lt;&gt;""),--ISNUMBER(SEARCH($P$4,'Final Calculation Sheet'!$O$31)))))</f>
        <v/>
      </c>
      <c r="DV86">
        <f>IF($Q$4="",1,IF($Q$4="(blank)",--('Final Calculation Sheet'!$P$31=""),IF($Q$4="(nonblank)",--('Final Calculation Sheet'!$P$31&lt;&gt;""),--ISNUMBER(SEARCH($Q$4,'Final Calculation Sheet'!$P$31)))))</f>
        <v/>
      </c>
      <c r="DW86">
        <f>IF($R$4="",1,IF($R$4="(blank)",--('Final Calculation Sheet'!$Q$31=""),IF($R$4="(nonblank)",--('Final Calculation Sheet'!$Q$31&lt;&gt;""),--ISNUMBER(SEARCH($R$4,'Final Calculation Sheet'!$Q$31)))))</f>
        <v/>
      </c>
      <c r="DX86">
        <f>IF($S$4="",1,IF($S$4="(blank)",--('Final Calculation Sheet'!$R$31=""),IF($S$4="(nonblank)",--('Final Calculation Sheet'!$R$31&lt;&gt;""),--ISNUMBER(SEARCH($S$4,'Final Calculation Sheet'!$R$31)))))</f>
        <v/>
      </c>
      <c r="DY86">
        <f>IF($T$4="",1,IF($T$4="(blank)",--('Final Calculation Sheet'!$S$31=""),IF($T$4="(nonblank)",--('Final Calculation Sheet'!$S$31&lt;&gt;""),--ISNUMBER(SEARCH($T$4,'Final Calculation Sheet'!$S$31)))))</f>
        <v/>
      </c>
      <c r="DZ86">
        <f>IF($U$4="",1,IF($U$4="(blank)",--('Final Calculation Sheet'!$T$31=""),IF($U$4="(nonblank)",--('Final Calculation Sheet'!$T$31&lt;&gt;""),--ISNUMBER(SEARCH($U$4,'Final Calculation Sheet'!$T$31)))))</f>
        <v/>
      </c>
      <c r="EA86">
        <f>IF($V$4="",1,IF($V$4="(blank)",--('Final Calculation Sheet'!$U$31=""),IF($V$4="(nonblank)",--('Final Calculation Sheet'!$U$31&lt;&gt;""),--ISNUMBER(SEARCH($V$4,'Final Calculation Sheet'!$U$31)))))</f>
        <v/>
      </c>
      <c r="EB86">
        <f>IF($W$4="",1,IF($W$4="(blank)",--('Final Calculation Sheet'!$V$31=""),IF($W$4="(nonblank)",--('Final Calculation Sheet'!$V$31&lt;&gt;""),--ISNUMBER(SEARCH($W$4,'Final Calculation Sheet'!$V$31)))))</f>
        <v/>
      </c>
      <c r="EC86">
        <f>IF($X$4="",1,IF($X$4="(blank)",--('Final Calculation Sheet'!$W$31=""),IF($X$4="(nonblank)",--('Final Calculation Sheet'!$W$31&lt;&gt;""),--ISNUMBER(SEARCH($X$4,'Final Calculation Sheet'!$W$31)))))</f>
        <v/>
      </c>
      <c r="ED86">
        <f>IF($Y$4="",1,IF($Y$4="(blank)",--('Final Calculation Sheet'!$X$31=""),IF($Y$4="(nonblank)",--('Final Calculation Sheet'!$X$31&lt;&gt;""),--ISNUMBER(SEARCH($Y$4,'Final Calculation Sheet'!$X$31)))))</f>
        <v/>
      </c>
      <c r="EE86">
        <f>IF($Z$4="",1,IF($Z$4="(blank)",--('Final Calculation Sheet'!$Y$31=""),IF($Z$4="(nonblank)",--('Final Calculation Sheet'!$Y$31&lt;&gt;""),--ISNUMBER(SEARCH($Z$4,'Final Calculation Sheet'!$Y$31)))))</f>
        <v/>
      </c>
      <c r="EF86">
        <f>IF($AA$4="",1,IF($AA$4="(blank)",--('Final Calculation Sheet'!$Z$31=""),IF($AA$4="(nonblank)",--('Final Calculation Sheet'!$Z$31&lt;&gt;""),--ISNUMBER(SEARCH($AA$4,'Final Calculation Sheet'!$Z$31)))))</f>
        <v/>
      </c>
      <c r="EG86">
        <f>IF($AB$4="",1,IF($AB$4="(blank)",--('Final Calculation Sheet'!$AA$31=""),IF($AB$4="(nonblank)",--('Final Calculation Sheet'!$AA$31&lt;&gt;""),--ISNUMBER(SEARCH($AB$4,'Final Calculation Sheet'!$AA$31)))))</f>
        <v/>
      </c>
      <c r="EH86">
        <f>IF($AC$4="",1,IF($AC$4="(blank)",--('Final Calculation Sheet'!$AB$31=""),IF($AC$4="(nonblank)",--('Final Calculation Sheet'!$AB$31&lt;&gt;""),--ISNUMBER(SEARCH($AC$4,'Final Calculation Sheet'!$AB$31)))))</f>
        <v/>
      </c>
      <c r="EI86">
        <f>IF($AD$4="",1,IF($AD$4="(blank)",--('Final Calculation Sheet'!$AC$31=""),IF($AD$4="(nonblank)",--('Final Calculation Sheet'!$AC$31&lt;&gt;""),--ISNUMBER(SEARCH($AD$4,'Final Calculation Sheet'!$AC$31)))))</f>
        <v/>
      </c>
      <c r="EJ86">
        <f>IF($AE$4="",1,IF($AE$4="(blank)",--('Final Calculation Sheet'!$AD$31=""),IF($AE$4="(nonblank)",--('Final Calculation Sheet'!$AD$31&lt;&gt;""),--ISNUMBER(SEARCH($AE$4,'Final Calculation Sheet'!$AD$31)))))</f>
        <v/>
      </c>
      <c r="EK86">
        <f>IF($AF$4="",1,IF($AF$4="(blank)",--(IF('Final Calculation Sheet'!$AD$31&lt;=5,"SETTLED","OUTSTANDING")=""),IF($AF$4="(nonblank)",--(IF('Final Calculation Sheet'!$AD$31&lt;=5,"SETTLED","OUTSTANDING")&lt;&gt;""),--ISNUMBER(SEARCH($AF$4,IF('Final Calculation Sheet'!$AD$31&lt;=5,"SETTLED","OUTSTANDING"))))))</f>
        <v/>
      </c>
      <c r="EL86">
        <f>IF($AG$4="",1,IF($AG$4="(blank)",--('Final Calculation Sheet'!$AF$31=""),IF($AG$4="(nonblank)",--('Final Calculation Sheet'!$AF$31&lt;&gt;""),--ISNUMBER(SEARCH($AG$4,'Final Calculation Sheet'!$AF$31)))))</f>
        <v/>
      </c>
      <c r="EM86">
        <f>IF($AH$4="",1,IF($AH$4="(blank)",--('Final Calculation Sheet'!$AG$31=""),IF($AH$4="(nonblank)",--('Final Calculation Sheet'!$AG$31&lt;&gt;""),--ISNUMBER(SEARCH($AH$4,'Final Calculation Sheet'!$AG$31)))))</f>
        <v/>
      </c>
      <c r="EN86">
        <f>IF($AI$4="",1,IF($AI$4="(blank)",--('Final Calculation Sheet'!$AH$31=""),IF($AI$4="(nonblank)",--('Final Calculation Sheet'!$AH$31&lt;&gt;""),--ISNUMBER(SEARCH($AI$4,'Final Calculation Sheet'!$AH$31)))))</f>
        <v/>
      </c>
    </row>
    <row r="87">
      <c r="AM87">
        <f>AM86+IF(AND(Lists!$O$34&lt;&gt;"",ISNUMBER(SEARCH($B$4,Lists!$O$34))),1,0)</f>
        <v/>
      </c>
      <c r="AN87">
        <f>IF(ROW()-56&gt;MAX($AM$57:$AM$95),"",INDEX(Lists!$O$4:$O$42,MATCH(ROW()-56,$AM$57:$AM$95,0)))</f>
        <v/>
      </c>
      <c r="AO87">
        <f>AO86+IF(AND(Lists!$T$34&lt;&gt;"",ISNUMBER(SEARCH($C$4,Lists!$T$34))),1,0)</f>
        <v/>
      </c>
      <c r="AP87">
        <f>IF(ROW()-56&gt;MAX($AO$57:$AO$95),"",INDEX(Lists!$T$4:$T$42,MATCH(ROW()-56,$AO$57:$AO$95,0)))</f>
        <v/>
      </c>
      <c r="AQ87">
        <f>AQ86+IF(AND(Lists!$Y$34&lt;&gt;"",ISNUMBER(SEARCH($D$4,Lists!$Y$34))),1,0)</f>
        <v/>
      </c>
      <c r="AR87">
        <f>IF(ROW()-56&gt;MAX($AQ$57:$AQ$95),"",INDEX(Lists!$Y$4:$Y$42,MATCH(ROW()-56,$AQ$57:$AQ$95,0)))</f>
        <v/>
      </c>
      <c r="AS87">
        <f>AS86+IF(AND(Lists!$AD$34&lt;&gt;"",ISNUMBER(SEARCH($E$4,Lists!$AD$34))),1,0)</f>
        <v/>
      </c>
      <c r="AT87">
        <f>IF(ROW()-56&gt;MAX($AS$57:$AS$95),"",INDEX(Lists!$AD$4:$AD$42,MATCH(ROW()-56,$AS$57:$AS$95,0)))</f>
        <v/>
      </c>
      <c r="AU87">
        <f>AU86+IF(AND(Lists!$AI$34&lt;&gt;"",ISNUMBER(SEARCH($F$4,Lists!$AI$34))),1,0)</f>
        <v/>
      </c>
      <c r="AV87">
        <f>IF(ROW()-56&gt;MAX($AU$57:$AU$95),"",INDEX(Lists!$AI$4:$AI$42,MATCH(ROW()-56,$AU$57:$AU$95,0)))</f>
        <v/>
      </c>
      <c r="AW87">
        <f>AW86+IF(AND(Lists!$AN$34&lt;&gt;"",ISNUMBER(SEARCH($G$4,Lists!$AN$34))),1,0)</f>
        <v/>
      </c>
      <c r="AX87">
        <f>IF(ROW()-56&gt;MAX($AW$57:$AW$95),"",INDEX(Lists!$AN$4:$AN$42,MATCH(ROW()-56,$AW$57:$AW$95,0)))</f>
        <v/>
      </c>
      <c r="AY87">
        <f>AY86+IF(AND(Lists!$AS$34&lt;&gt;"",ISNUMBER(SEARCH($H$4,Lists!$AS$34))),1,0)</f>
        <v/>
      </c>
      <c r="AZ87">
        <f>IF(ROW()-56&gt;MAX($AY$57:$AY$95),"",INDEX(Lists!$AS$4:$AS$42,MATCH(ROW()-56,$AY$57:$AY$95,0)))</f>
        <v/>
      </c>
      <c r="BA87">
        <f>BA86+IF(AND(Lists!$AX$34&lt;&gt;"",ISNUMBER(SEARCH($I$4,Lists!$AX$34))),1,0)</f>
        <v/>
      </c>
      <c r="BB87">
        <f>IF(ROW()-56&gt;MAX($BA$57:$BA$95),"",INDEX(Lists!$AX$4:$AX$42,MATCH(ROW()-56,$BA$57:$BA$95,0)))</f>
        <v/>
      </c>
      <c r="BC87">
        <f>BC86+IF(AND(Lists!$BC$34&lt;&gt;"",ISNUMBER(SEARCH($J$4,Lists!$BC$34))),1,0)</f>
        <v/>
      </c>
      <c r="BD87">
        <f>IF(ROW()-56&gt;MAX($BC$57:$BC$95),"",INDEX(Lists!$BC$4:$BC$42,MATCH(ROW()-56,$BC$57:$BC$95,0)))</f>
        <v/>
      </c>
      <c r="BE87">
        <f>BE86+IF(AND(Lists!$BH$34&lt;&gt;"",ISNUMBER(SEARCH($K$4,Lists!$BH$34))),1,0)</f>
        <v/>
      </c>
      <c r="BF87">
        <f>IF(ROW()-56&gt;MAX($BE$57:$BE$95),"",INDEX(Lists!$BH$4:$BH$42,MATCH(ROW()-56,$BE$57:$BE$95,0)))</f>
        <v/>
      </c>
      <c r="BG87">
        <f>BG86+IF(AND(Lists!$BM$34&lt;&gt;"",ISNUMBER(SEARCH($L$4,Lists!$BM$34))),1,0)</f>
        <v/>
      </c>
      <c r="BH87">
        <f>IF(ROW()-56&gt;MAX($BG$57:$BG$95),"",INDEX(Lists!$BM$4:$BM$42,MATCH(ROW()-56,$BG$57:$BG$95,0)))</f>
        <v/>
      </c>
      <c r="BI87">
        <f>BI86+IF(AND(Lists!$BR$34&lt;&gt;"",ISNUMBER(SEARCH($M$4,Lists!$BR$34))),1,0)</f>
        <v/>
      </c>
      <c r="BJ87">
        <f>IF(ROW()-56&gt;MAX($BI$57:$BI$95),"",INDEX(Lists!$BR$4:$BR$42,MATCH(ROW()-56,$BI$57:$BI$95,0)))</f>
        <v/>
      </c>
      <c r="BK87">
        <f>BK86+IF(AND(Lists!$BW$34&lt;&gt;"",ISNUMBER(SEARCH($N$4,Lists!$BW$34))),1,0)</f>
        <v/>
      </c>
      <c r="BL87">
        <f>IF(ROW()-56&gt;MAX($BK$57:$BK$95),"",INDEX(Lists!$BW$4:$BW$42,MATCH(ROW()-56,$BK$57:$BK$95,0)))</f>
        <v/>
      </c>
      <c r="BM87">
        <f>BM86+IF(AND(Lists!$CB$34&lt;&gt;"",ISNUMBER(SEARCH($O$4,Lists!$CB$34))),1,0)</f>
        <v/>
      </c>
      <c r="BN87">
        <f>IF(ROW()-56&gt;MAX($BM$57:$BM$95),"",INDEX(Lists!$CB$4:$CB$42,MATCH(ROW()-56,$BM$57:$BM$95,0)))</f>
        <v/>
      </c>
      <c r="BO87">
        <f>BO86+IF(AND(Lists!$CG$34&lt;&gt;"",ISNUMBER(SEARCH($P$4,Lists!$CG$34))),1,0)</f>
        <v/>
      </c>
      <c r="BP87">
        <f>IF(ROW()-56&gt;MAX($BO$57:$BO$95),"",INDEX(Lists!$CG$4:$CG$42,MATCH(ROW()-56,$BO$57:$BO$95,0)))</f>
        <v/>
      </c>
      <c r="BQ87">
        <f>BQ86+IF(AND(Lists!$CL$34&lt;&gt;"",ISNUMBER(SEARCH($Q$4,Lists!$CL$34))),1,0)</f>
        <v/>
      </c>
      <c r="BR87">
        <f>IF(ROW()-56&gt;MAX($BQ$57:$BQ$95),"",INDEX(Lists!$CL$4:$CL$42,MATCH(ROW()-56,$BQ$57:$BQ$95,0)))</f>
        <v/>
      </c>
      <c r="BS87">
        <f>BS86+IF(AND(Lists!$CQ$34&lt;&gt;"",ISNUMBER(SEARCH($R$4,Lists!$CQ$34))),1,0)</f>
        <v/>
      </c>
      <c r="BT87">
        <f>IF(ROW()-56&gt;MAX($BS$57:$BS$95),"",INDEX(Lists!$CQ$4:$CQ$42,MATCH(ROW()-56,$BS$57:$BS$95,0)))</f>
        <v/>
      </c>
      <c r="BU87">
        <f>BU86+IF(AND(Lists!$CV$34&lt;&gt;"",ISNUMBER(SEARCH($S$4,Lists!$CV$34))),1,0)</f>
        <v/>
      </c>
      <c r="BV87">
        <f>IF(ROW()-56&gt;MAX($BU$57:$BU$95),"",INDEX(Lists!$CV$4:$CV$42,MATCH(ROW()-56,$BU$57:$BU$95,0)))</f>
        <v/>
      </c>
      <c r="BW87">
        <f>BW86+IF(AND(Lists!$DA$34&lt;&gt;"",ISNUMBER(SEARCH($T$4,Lists!$DA$34))),1,0)</f>
        <v/>
      </c>
      <c r="BX87">
        <f>IF(ROW()-56&gt;MAX($BW$57:$BW$95),"",INDEX(Lists!$DA$4:$DA$42,MATCH(ROW()-56,$BW$57:$BW$95,0)))</f>
        <v/>
      </c>
      <c r="BY87">
        <f>BY86+IF(AND(Lists!$DF$34&lt;&gt;"",ISNUMBER(SEARCH($U$4,Lists!$DF$34))),1,0)</f>
        <v/>
      </c>
      <c r="BZ87">
        <f>IF(ROW()-56&gt;MAX($BY$57:$BY$95),"",INDEX(Lists!$DF$4:$DF$42,MATCH(ROW()-56,$BY$57:$BY$95,0)))</f>
        <v/>
      </c>
      <c r="CA87">
        <f>CA86+IF(AND(Lists!$DK$34&lt;&gt;"",ISNUMBER(SEARCH($V$4,Lists!$DK$34))),1,0)</f>
        <v/>
      </c>
      <c r="CB87">
        <f>IF(ROW()-56&gt;MAX($CA$57:$CA$95),"",INDEX(Lists!$DK$4:$DK$42,MATCH(ROW()-56,$CA$57:$CA$95,0)))</f>
        <v/>
      </c>
      <c r="CC87">
        <f>CC86+IF(AND(Lists!$DP$34&lt;&gt;"",ISNUMBER(SEARCH($W$4,Lists!$DP$34))),1,0)</f>
        <v/>
      </c>
      <c r="CD87">
        <f>IF(ROW()-56&gt;MAX($CC$57:$CC$95),"",INDEX(Lists!$DP$4:$DP$42,MATCH(ROW()-56,$CC$57:$CC$95,0)))</f>
        <v/>
      </c>
      <c r="CE87">
        <f>CE86+IF(AND(Lists!$DU$34&lt;&gt;"",ISNUMBER(SEARCH($X$4,Lists!$DU$34))),1,0)</f>
        <v/>
      </c>
      <c r="CF87">
        <f>IF(ROW()-56&gt;MAX($CE$57:$CE$95),"",INDEX(Lists!$DU$4:$DU$42,MATCH(ROW()-56,$CE$57:$CE$95,0)))</f>
        <v/>
      </c>
      <c r="CG87">
        <f>CG86+IF(AND(Lists!$DZ$34&lt;&gt;"",ISNUMBER(SEARCH($Y$4,Lists!$DZ$34))),1,0)</f>
        <v/>
      </c>
      <c r="CH87">
        <f>IF(ROW()-56&gt;MAX($CG$57:$CG$95),"",INDEX(Lists!$DZ$4:$DZ$42,MATCH(ROW()-56,$CG$57:$CG$95,0)))</f>
        <v/>
      </c>
      <c r="CI87">
        <f>CI86+IF(AND(Lists!$EE$34&lt;&gt;"",ISNUMBER(SEARCH($Z$4,Lists!$EE$34))),1,0)</f>
        <v/>
      </c>
      <c r="CJ87">
        <f>IF(ROW()-56&gt;MAX($CI$57:$CI$95),"",INDEX(Lists!$EE$4:$EE$42,MATCH(ROW()-56,$CI$57:$CI$95,0)))</f>
        <v/>
      </c>
      <c r="CK87">
        <f>CK86+IF(AND(Lists!$EJ$34&lt;&gt;"",ISNUMBER(SEARCH($AA$4,Lists!$EJ$34))),1,0)</f>
        <v/>
      </c>
      <c r="CL87">
        <f>IF(ROW()-56&gt;MAX($CK$57:$CK$95),"",INDEX(Lists!$EJ$4:$EJ$42,MATCH(ROW()-56,$CK$57:$CK$95,0)))</f>
        <v/>
      </c>
      <c r="CM87">
        <f>CM86+IF(AND(Lists!$EO$34&lt;&gt;"",ISNUMBER(SEARCH($AB$4,Lists!$EO$34))),1,0)</f>
        <v/>
      </c>
      <c r="CN87">
        <f>IF(ROW()-56&gt;MAX($CM$57:$CM$95),"",INDEX(Lists!$EO$4:$EO$42,MATCH(ROW()-56,$CM$57:$CM$95,0)))</f>
        <v/>
      </c>
      <c r="CO87">
        <f>CO86+IF(AND(Lists!$ET$34&lt;&gt;"",ISNUMBER(SEARCH($AC$4,Lists!$ET$34))),1,0)</f>
        <v/>
      </c>
      <c r="CP87">
        <f>IF(ROW()-56&gt;MAX($CO$57:$CO$95),"",INDEX(Lists!$ET$4:$ET$42,MATCH(ROW()-56,$CO$57:$CO$95,0)))</f>
        <v/>
      </c>
      <c r="CQ87">
        <f>CQ86+IF(AND(Lists!$EY$34&lt;&gt;"",ISNUMBER(SEARCH($AD$4,Lists!$EY$34))),1,0)</f>
        <v/>
      </c>
      <c r="CR87">
        <f>IF(ROW()-56&gt;MAX($CQ$57:$CQ$95),"",INDEX(Lists!$EY$4:$EY$42,MATCH(ROW()-56,$CQ$57:$CQ$95,0)))</f>
        <v/>
      </c>
      <c r="CS87">
        <f>CS86+IF(AND(Lists!$FD$34&lt;&gt;"",ISNUMBER(SEARCH($AE$4,Lists!$FD$34))),1,0)</f>
        <v/>
      </c>
      <c r="CT87">
        <f>IF(ROW()-56&gt;MAX($CS$57:$CS$95),"",INDEX(Lists!$FD$4:$FD$42,MATCH(ROW()-56,$CS$57:$CS$95,0)))</f>
        <v/>
      </c>
      <c r="CU87">
        <f>CU86+IF(AND(Lists!$FI$34&lt;&gt;"",ISNUMBER(SEARCH($AG$4,Lists!$FI$34))),1,0)</f>
        <v/>
      </c>
      <c r="CV87">
        <f>IF(ROW()-56&gt;MAX($CU$57:$CU$95),"",INDEX(Lists!$FI$4:$FI$42,MATCH(ROW()-56,$CU$57:$CU$95,0)))</f>
        <v/>
      </c>
      <c r="CW87">
        <f>CW86+IF(AND(Lists!$FN$34&lt;&gt;"",ISNUMBER(SEARCH($AH$4,Lists!$FN$34))),1,0)</f>
        <v/>
      </c>
      <c r="CX87">
        <f>IF(ROW()-56&gt;MAX($CW$57:$CW$95),"",INDEX(Lists!$FN$4:$FN$42,MATCH(ROW()-56,$CW$57:$CW$95,0)))</f>
        <v/>
      </c>
      <c r="CY87">
        <f>CY86+IF(AND(Lists!$FS$34&lt;&gt;"",ISNUMBER(SEARCH($AI$4,Lists!$FS$34))),1,0)</f>
        <v/>
      </c>
      <c r="CZ87">
        <f>IF(ROW()-56&gt;MAX($CY$57:$CY$95),"",INDEX(Lists!$FS$4:$FS$42,MATCH(ROW()-56,$CY$57:$CY$95,0)))</f>
        <v/>
      </c>
      <c r="DA87">
        <f>DA86+IF(AND(Lists!$FX$34&lt;&gt;"",ISNUMBER(SEARCH($AF$4,Lists!$FX$34))),1,0)</f>
        <v/>
      </c>
      <c r="DB87">
        <f>IF(ROW()-56&gt;MAX($DA$57:$DA$95),"",INDEX(Lists!$FX$4:$FX$42,MATCH(ROW()-56,$DA$57:$DA$95,0)))</f>
        <v/>
      </c>
      <c r="DG87">
        <f>IF($B$4="",1,IF($B$4="(blank)",--('Final Calculation Sheet'!$F$32=""),IF($B$4="(nonblank)",--('Final Calculation Sheet'!$F$32&lt;&gt;""),--ISNUMBER(SEARCH($B$4,'Final Calculation Sheet'!$F$32)))))</f>
        <v/>
      </c>
      <c r="DH87">
        <f>IF($C$4="",1,IF($C$4="(blank)",--('Final Calculation Sheet'!$G$32=""),IF($C$4="(nonblank)",--('Final Calculation Sheet'!$G$32&lt;&gt;""),--ISNUMBER(SEARCH($C$4,'Final Calculation Sheet'!$G$32)))))</f>
        <v/>
      </c>
      <c r="DI87">
        <f>IF($D$4="",1,IF($D$4="(blank)",--('Final Calculation Sheet'!$B$32=""),IF($D$4="(nonblank)",--('Final Calculation Sheet'!$B$32&lt;&gt;""),--ISNUMBER(SEARCH($D$4,'Final Calculation Sheet'!$B$32)))))</f>
        <v/>
      </c>
      <c r="DJ87">
        <f>IF($E$4="",1,IF($E$4="(blank)",--('Final Calculation Sheet'!$D$32=""),IF($E$4="(nonblank)",--('Final Calculation Sheet'!$D$32&lt;&gt;""),--ISNUMBER(SEARCH($E$4,'Final Calculation Sheet'!$D$32)))))</f>
        <v/>
      </c>
      <c r="DK87">
        <f>IF($F$4="",1,IF($F$4="(blank)",--('Final Calculation Sheet'!$A$32=""),IF($F$4="(nonblank)",--('Final Calculation Sheet'!$A$32&lt;&gt;""),--ISNUMBER(SEARCH($F$4,'Final Calculation Sheet'!$A$32)))))</f>
        <v/>
      </c>
      <c r="DL87">
        <f>IF($G$4="",1,IF($G$4="(blank)",--('Final Calculation Sheet'!$E$32=""),IF($G$4="(nonblank)",--('Final Calculation Sheet'!$E$32&lt;&gt;""),--ISNUMBER(SEARCH($G$4,'Final Calculation Sheet'!$E$32)))))</f>
        <v/>
      </c>
      <c r="DM87">
        <f>IF($H$4="",1,IF($H$4="(blank)",--('Final Calculation Sheet'!$C$32=""),IF($H$4="(nonblank)",--('Final Calculation Sheet'!$C$32&lt;&gt;""),--ISNUMBER(SEARCH($H$4,'Final Calculation Sheet'!$C$32)))))</f>
        <v/>
      </c>
      <c r="DN87">
        <f>IF($I$4="",1,IF($I$4="(blank)",--('Final Calculation Sheet'!$H$32=""),IF($I$4="(nonblank)",--('Final Calculation Sheet'!$H$32&lt;&gt;""),--ISNUMBER(SEARCH($I$4,'Final Calculation Sheet'!$H$32)))))</f>
        <v/>
      </c>
      <c r="DO87">
        <f>IF($J$4="",1,IF($J$4="(blank)",--('Final Calculation Sheet'!$I$32=""),IF($J$4="(nonblank)",--('Final Calculation Sheet'!$I$32&lt;&gt;""),--ISNUMBER(SEARCH($J$4,'Final Calculation Sheet'!$I$32)))))</f>
        <v/>
      </c>
      <c r="DP87">
        <f>IF($K$4="",1,IF($K$4="(blank)",--('Final Calculation Sheet'!$J$32=""),IF($K$4="(nonblank)",--('Final Calculation Sheet'!$J$32&lt;&gt;""),--ISNUMBER(SEARCH($K$4,'Final Calculation Sheet'!$J$32)))))</f>
        <v/>
      </c>
      <c r="DQ87">
        <f>IF($L$4="",1,IF($L$4="(blank)",--('Final Calculation Sheet'!$K$32=""),IF($L$4="(nonblank)",--('Final Calculation Sheet'!$K$32&lt;&gt;""),--ISNUMBER(SEARCH($L$4,'Final Calculation Sheet'!$K$32)))))</f>
        <v/>
      </c>
      <c r="DR87">
        <f>IF($M$4="",1,IF($M$4="(blank)",--('Final Calculation Sheet'!$L$32=""),IF($M$4="(nonblank)",--('Final Calculation Sheet'!$L$32&lt;&gt;""),--ISNUMBER(SEARCH($M$4,'Final Calculation Sheet'!$L$32)))))</f>
        <v/>
      </c>
      <c r="DS87">
        <f>IF($N$4="",1,IF($N$4="(blank)",--('Final Calculation Sheet'!$M$32=""),IF($N$4="(nonblank)",--('Final Calculation Sheet'!$M$32&lt;&gt;""),--ISNUMBER(SEARCH($N$4,'Final Calculation Sheet'!$M$32)))))</f>
        <v/>
      </c>
      <c r="DT87">
        <f>IF($O$4="",1,IF($O$4="(blank)",--('Final Calculation Sheet'!$N$32=""),IF($O$4="(nonblank)",--('Final Calculation Sheet'!$N$32&lt;&gt;""),--ISNUMBER(SEARCH($O$4,'Final Calculation Sheet'!$N$32)))))</f>
        <v/>
      </c>
      <c r="DU87">
        <f>IF($P$4="",1,IF($P$4="(blank)",--('Final Calculation Sheet'!$O$32=""),IF($P$4="(nonblank)",--('Final Calculation Sheet'!$O$32&lt;&gt;""),--ISNUMBER(SEARCH($P$4,'Final Calculation Sheet'!$O$32)))))</f>
        <v/>
      </c>
      <c r="DV87">
        <f>IF($Q$4="",1,IF($Q$4="(blank)",--('Final Calculation Sheet'!$P$32=""),IF($Q$4="(nonblank)",--('Final Calculation Sheet'!$P$32&lt;&gt;""),--ISNUMBER(SEARCH($Q$4,'Final Calculation Sheet'!$P$32)))))</f>
        <v/>
      </c>
      <c r="DW87">
        <f>IF($R$4="",1,IF($R$4="(blank)",--('Final Calculation Sheet'!$Q$32=""),IF($R$4="(nonblank)",--('Final Calculation Sheet'!$Q$32&lt;&gt;""),--ISNUMBER(SEARCH($R$4,'Final Calculation Sheet'!$Q$32)))))</f>
        <v/>
      </c>
      <c r="DX87">
        <f>IF($S$4="",1,IF($S$4="(blank)",--('Final Calculation Sheet'!$R$32=""),IF($S$4="(nonblank)",--('Final Calculation Sheet'!$R$32&lt;&gt;""),--ISNUMBER(SEARCH($S$4,'Final Calculation Sheet'!$R$32)))))</f>
        <v/>
      </c>
      <c r="DY87">
        <f>IF($T$4="",1,IF($T$4="(blank)",--('Final Calculation Sheet'!$S$32=""),IF($T$4="(nonblank)",--('Final Calculation Sheet'!$S$32&lt;&gt;""),--ISNUMBER(SEARCH($T$4,'Final Calculation Sheet'!$S$32)))))</f>
        <v/>
      </c>
      <c r="DZ87">
        <f>IF($U$4="",1,IF($U$4="(blank)",--('Final Calculation Sheet'!$T$32=""),IF($U$4="(nonblank)",--('Final Calculation Sheet'!$T$32&lt;&gt;""),--ISNUMBER(SEARCH($U$4,'Final Calculation Sheet'!$T$32)))))</f>
        <v/>
      </c>
      <c r="EA87">
        <f>IF($V$4="",1,IF($V$4="(blank)",--('Final Calculation Sheet'!$U$32=""),IF($V$4="(nonblank)",--('Final Calculation Sheet'!$U$32&lt;&gt;""),--ISNUMBER(SEARCH($V$4,'Final Calculation Sheet'!$U$32)))))</f>
        <v/>
      </c>
      <c r="EB87">
        <f>IF($W$4="",1,IF($W$4="(blank)",--('Final Calculation Sheet'!$V$32=""),IF($W$4="(nonblank)",--('Final Calculation Sheet'!$V$32&lt;&gt;""),--ISNUMBER(SEARCH($W$4,'Final Calculation Sheet'!$V$32)))))</f>
        <v/>
      </c>
      <c r="EC87">
        <f>IF($X$4="",1,IF($X$4="(blank)",--('Final Calculation Sheet'!$W$32=""),IF($X$4="(nonblank)",--('Final Calculation Sheet'!$W$32&lt;&gt;""),--ISNUMBER(SEARCH($X$4,'Final Calculation Sheet'!$W$32)))))</f>
        <v/>
      </c>
      <c r="ED87">
        <f>IF($Y$4="",1,IF($Y$4="(blank)",--('Final Calculation Sheet'!$X$32=""),IF($Y$4="(nonblank)",--('Final Calculation Sheet'!$X$32&lt;&gt;""),--ISNUMBER(SEARCH($Y$4,'Final Calculation Sheet'!$X$32)))))</f>
        <v/>
      </c>
      <c r="EE87">
        <f>IF($Z$4="",1,IF($Z$4="(blank)",--('Final Calculation Sheet'!$Y$32=""),IF($Z$4="(nonblank)",--('Final Calculation Sheet'!$Y$32&lt;&gt;""),--ISNUMBER(SEARCH($Z$4,'Final Calculation Sheet'!$Y$32)))))</f>
        <v/>
      </c>
      <c r="EF87">
        <f>IF($AA$4="",1,IF($AA$4="(blank)",--('Final Calculation Sheet'!$Z$32=""),IF($AA$4="(nonblank)",--('Final Calculation Sheet'!$Z$32&lt;&gt;""),--ISNUMBER(SEARCH($AA$4,'Final Calculation Sheet'!$Z$32)))))</f>
        <v/>
      </c>
      <c r="EG87">
        <f>IF($AB$4="",1,IF($AB$4="(blank)",--('Final Calculation Sheet'!$AA$32=""),IF($AB$4="(nonblank)",--('Final Calculation Sheet'!$AA$32&lt;&gt;""),--ISNUMBER(SEARCH($AB$4,'Final Calculation Sheet'!$AA$32)))))</f>
        <v/>
      </c>
      <c r="EH87">
        <f>IF($AC$4="",1,IF($AC$4="(blank)",--('Final Calculation Sheet'!$AB$32=""),IF($AC$4="(nonblank)",--('Final Calculation Sheet'!$AB$32&lt;&gt;""),--ISNUMBER(SEARCH($AC$4,'Final Calculation Sheet'!$AB$32)))))</f>
        <v/>
      </c>
      <c r="EI87">
        <f>IF($AD$4="",1,IF($AD$4="(blank)",--('Final Calculation Sheet'!$AC$32=""),IF($AD$4="(nonblank)",--('Final Calculation Sheet'!$AC$32&lt;&gt;""),--ISNUMBER(SEARCH($AD$4,'Final Calculation Sheet'!$AC$32)))))</f>
        <v/>
      </c>
      <c r="EJ87">
        <f>IF($AE$4="",1,IF($AE$4="(blank)",--('Final Calculation Sheet'!$AD$32=""),IF($AE$4="(nonblank)",--('Final Calculation Sheet'!$AD$32&lt;&gt;""),--ISNUMBER(SEARCH($AE$4,'Final Calculation Sheet'!$AD$32)))))</f>
        <v/>
      </c>
      <c r="EK87">
        <f>IF($AF$4="",1,IF($AF$4="(blank)",--(IF('Final Calculation Sheet'!$AD$32&lt;=5,"SETTLED","OUTSTANDING")=""),IF($AF$4="(nonblank)",--(IF('Final Calculation Sheet'!$AD$32&lt;=5,"SETTLED","OUTSTANDING")&lt;&gt;""),--ISNUMBER(SEARCH($AF$4,IF('Final Calculation Sheet'!$AD$32&lt;=5,"SETTLED","OUTSTANDING"))))))</f>
        <v/>
      </c>
      <c r="EL87">
        <f>IF($AG$4="",1,IF($AG$4="(blank)",--('Final Calculation Sheet'!$AF$32=""),IF($AG$4="(nonblank)",--('Final Calculation Sheet'!$AF$32&lt;&gt;""),--ISNUMBER(SEARCH($AG$4,'Final Calculation Sheet'!$AF$32)))))</f>
        <v/>
      </c>
      <c r="EM87">
        <f>IF($AH$4="",1,IF($AH$4="(blank)",--('Final Calculation Sheet'!$AG$32=""),IF($AH$4="(nonblank)",--('Final Calculation Sheet'!$AG$32&lt;&gt;""),--ISNUMBER(SEARCH($AH$4,'Final Calculation Sheet'!$AG$32)))))</f>
        <v/>
      </c>
      <c r="EN87">
        <f>IF($AI$4="",1,IF($AI$4="(blank)",--('Final Calculation Sheet'!$AH$32=""),IF($AI$4="(nonblank)",--('Final Calculation Sheet'!$AH$32&lt;&gt;""),--ISNUMBER(SEARCH($AI$4,'Final Calculation Sheet'!$AH$32)))))</f>
        <v/>
      </c>
    </row>
    <row r="88">
      <c r="AM88">
        <f>AM87+IF(AND(Lists!$O$35&lt;&gt;"",ISNUMBER(SEARCH($B$4,Lists!$O$35))),1,0)</f>
        <v/>
      </c>
      <c r="AN88">
        <f>IF(ROW()-56&gt;MAX($AM$57:$AM$95),"",INDEX(Lists!$O$4:$O$42,MATCH(ROW()-56,$AM$57:$AM$95,0)))</f>
        <v/>
      </c>
      <c r="AO88">
        <f>AO87+IF(AND(Lists!$T$35&lt;&gt;"",ISNUMBER(SEARCH($C$4,Lists!$T$35))),1,0)</f>
        <v/>
      </c>
      <c r="AP88">
        <f>IF(ROW()-56&gt;MAX($AO$57:$AO$95),"",INDEX(Lists!$T$4:$T$42,MATCH(ROW()-56,$AO$57:$AO$95,0)))</f>
        <v/>
      </c>
      <c r="AQ88">
        <f>AQ87+IF(AND(Lists!$Y$35&lt;&gt;"",ISNUMBER(SEARCH($D$4,Lists!$Y$35))),1,0)</f>
        <v/>
      </c>
      <c r="AR88">
        <f>IF(ROW()-56&gt;MAX($AQ$57:$AQ$95),"",INDEX(Lists!$Y$4:$Y$42,MATCH(ROW()-56,$AQ$57:$AQ$95,0)))</f>
        <v/>
      </c>
      <c r="AS88">
        <f>AS87+IF(AND(Lists!$AD$35&lt;&gt;"",ISNUMBER(SEARCH($E$4,Lists!$AD$35))),1,0)</f>
        <v/>
      </c>
      <c r="AT88">
        <f>IF(ROW()-56&gt;MAX($AS$57:$AS$95),"",INDEX(Lists!$AD$4:$AD$42,MATCH(ROW()-56,$AS$57:$AS$95,0)))</f>
        <v/>
      </c>
      <c r="AU88">
        <f>AU87+IF(AND(Lists!$AI$35&lt;&gt;"",ISNUMBER(SEARCH($F$4,Lists!$AI$35))),1,0)</f>
        <v/>
      </c>
      <c r="AV88">
        <f>IF(ROW()-56&gt;MAX($AU$57:$AU$95),"",INDEX(Lists!$AI$4:$AI$42,MATCH(ROW()-56,$AU$57:$AU$95,0)))</f>
        <v/>
      </c>
      <c r="AW88">
        <f>AW87+IF(AND(Lists!$AN$35&lt;&gt;"",ISNUMBER(SEARCH($G$4,Lists!$AN$35))),1,0)</f>
        <v/>
      </c>
      <c r="AX88">
        <f>IF(ROW()-56&gt;MAX($AW$57:$AW$95),"",INDEX(Lists!$AN$4:$AN$42,MATCH(ROW()-56,$AW$57:$AW$95,0)))</f>
        <v/>
      </c>
      <c r="AY88">
        <f>AY87+IF(AND(Lists!$AS$35&lt;&gt;"",ISNUMBER(SEARCH($H$4,Lists!$AS$35))),1,0)</f>
        <v/>
      </c>
      <c r="AZ88">
        <f>IF(ROW()-56&gt;MAX($AY$57:$AY$95),"",INDEX(Lists!$AS$4:$AS$42,MATCH(ROW()-56,$AY$57:$AY$95,0)))</f>
        <v/>
      </c>
      <c r="BA88">
        <f>BA87+IF(AND(Lists!$AX$35&lt;&gt;"",ISNUMBER(SEARCH($I$4,Lists!$AX$35))),1,0)</f>
        <v/>
      </c>
      <c r="BB88">
        <f>IF(ROW()-56&gt;MAX($BA$57:$BA$95),"",INDEX(Lists!$AX$4:$AX$42,MATCH(ROW()-56,$BA$57:$BA$95,0)))</f>
        <v/>
      </c>
      <c r="BC88">
        <f>BC87+IF(AND(Lists!$BC$35&lt;&gt;"",ISNUMBER(SEARCH($J$4,Lists!$BC$35))),1,0)</f>
        <v/>
      </c>
      <c r="BD88">
        <f>IF(ROW()-56&gt;MAX($BC$57:$BC$95),"",INDEX(Lists!$BC$4:$BC$42,MATCH(ROW()-56,$BC$57:$BC$95,0)))</f>
        <v/>
      </c>
      <c r="BE88">
        <f>BE87+IF(AND(Lists!$BH$35&lt;&gt;"",ISNUMBER(SEARCH($K$4,Lists!$BH$35))),1,0)</f>
        <v/>
      </c>
      <c r="BF88">
        <f>IF(ROW()-56&gt;MAX($BE$57:$BE$95),"",INDEX(Lists!$BH$4:$BH$42,MATCH(ROW()-56,$BE$57:$BE$95,0)))</f>
        <v/>
      </c>
      <c r="BG88">
        <f>BG87+IF(AND(Lists!$BM$35&lt;&gt;"",ISNUMBER(SEARCH($L$4,Lists!$BM$35))),1,0)</f>
        <v/>
      </c>
      <c r="BH88">
        <f>IF(ROW()-56&gt;MAX($BG$57:$BG$95),"",INDEX(Lists!$BM$4:$BM$42,MATCH(ROW()-56,$BG$57:$BG$95,0)))</f>
        <v/>
      </c>
      <c r="BI88">
        <f>BI87+IF(AND(Lists!$BR$35&lt;&gt;"",ISNUMBER(SEARCH($M$4,Lists!$BR$35))),1,0)</f>
        <v/>
      </c>
      <c r="BJ88">
        <f>IF(ROW()-56&gt;MAX($BI$57:$BI$95),"",INDEX(Lists!$BR$4:$BR$42,MATCH(ROW()-56,$BI$57:$BI$95,0)))</f>
        <v/>
      </c>
      <c r="BK88">
        <f>BK87+IF(AND(Lists!$BW$35&lt;&gt;"",ISNUMBER(SEARCH($N$4,Lists!$BW$35))),1,0)</f>
        <v/>
      </c>
      <c r="BL88">
        <f>IF(ROW()-56&gt;MAX($BK$57:$BK$95),"",INDEX(Lists!$BW$4:$BW$42,MATCH(ROW()-56,$BK$57:$BK$95,0)))</f>
        <v/>
      </c>
      <c r="BM88">
        <f>BM87+IF(AND(Lists!$CB$35&lt;&gt;"",ISNUMBER(SEARCH($O$4,Lists!$CB$35))),1,0)</f>
        <v/>
      </c>
      <c r="BN88">
        <f>IF(ROW()-56&gt;MAX($BM$57:$BM$95),"",INDEX(Lists!$CB$4:$CB$42,MATCH(ROW()-56,$BM$57:$BM$95,0)))</f>
        <v/>
      </c>
      <c r="BO88">
        <f>BO87+IF(AND(Lists!$CG$35&lt;&gt;"",ISNUMBER(SEARCH($P$4,Lists!$CG$35))),1,0)</f>
        <v/>
      </c>
      <c r="BP88">
        <f>IF(ROW()-56&gt;MAX($BO$57:$BO$95),"",INDEX(Lists!$CG$4:$CG$42,MATCH(ROW()-56,$BO$57:$BO$95,0)))</f>
        <v/>
      </c>
      <c r="BQ88">
        <f>BQ87+IF(AND(Lists!$CL$35&lt;&gt;"",ISNUMBER(SEARCH($Q$4,Lists!$CL$35))),1,0)</f>
        <v/>
      </c>
      <c r="BR88">
        <f>IF(ROW()-56&gt;MAX($BQ$57:$BQ$95),"",INDEX(Lists!$CL$4:$CL$42,MATCH(ROW()-56,$BQ$57:$BQ$95,0)))</f>
        <v/>
      </c>
      <c r="BS88">
        <f>BS87+IF(AND(Lists!$CQ$35&lt;&gt;"",ISNUMBER(SEARCH($R$4,Lists!$CQ$35))),1,0)</f>
        <v/>
      </c>
      <c r="BT88">
        <f>IF(ROW()-56&gt;MAX($BS$57:$BS$95),"",INDEX(Lists!$CQ$4:$CQ$42,MATCH(ROW()-56,$BS$57:$BS$95,0)))</f>
        <v/>
      </c>
      <c r="BU88">
        <f>BU87+IF(AND(Lists!$CV$35&lt;&gt;"",ISNUMBER(SEARCH($S$4,Lists!$CV$35))),1,0)</f>
        <v/>
      </c>
      <c r="BV88">
        <f>IF(ROW()-56&gt;MAX($BU$57:$BU$95),"",INDEX(Lists!$CV$4:$CV$42,MATCH(ROW()-56,$BU$57:$BU$95,0)))</f>
        <v/>
      </c>
      <c r="BW88">
        <f>BW87+IF(AND(Lists!$DA$35&lt;&gt;"",ISNUMBER(SEARCH($T$4,Lists!$DA$35))),1,0)</f>
        <v/>
      </c>
      <c r="BX88">
        <f>IF(ROW()-56&gt;MAX($BW$57:$BW$95),"",INDEX(Lists!$DA$4:$DA$42,MATCH(ROW()-56,$BW$57:$BW$95,0)))</f>
        <v/>
      </c>
      <c r="BY88">
        <f>BY87+IF(AND(Lists!$DF$35&lt;&gt;"",ISNUMBER(SEARCH($U$4,Lists!$DF$35))),1,0)</f>
        <v/>
      </c>
      <c r="BZ88">
        <f>IF(ROW()-56&gt;MAX($BY$57:$BY$95),"",INDEX(Lists!$DF$4:$DF$42,MATCH(ROW()-56,$BY$57:$BY$95,0)))</f>
        <v/>
      </c>
      <c r="CA88">
        <f>CA87+IF(AND(Lists!$DK$35&lt;&gt;"",ISNUMBER(SEARCH($V$4,Lists!$DK$35))),1,0)</f>
        <v/>
      </c>
      <c r="CB88">
        <f>IF(ROW()-56&gt;MAX($CA$57:$CA$95),"",INDEX(Lists!$DK$4:$DK$42,MATCH(ROW()-56,$CA$57:$CA$95,0)))</f>
        <v/>
      </c>
      <c r="CC88">
        <f>CC87+IF(AND(Lists!$DP$35&lt;&gt;"",ISNUMBER(SEARCH($W$4,Lists!$DP$35))),1,0)</f>
        <v/>
      </c>
      <c r="CD88">
        <f>IF(ROW()-56&gt;MAX($CC$57:$CC$95),"",INDEX(Lists!$DP$4:$DP$42,MATCH(ROW()-56,$CC$57:$CC$95,0)))</f>
        <v/>
      </c>
      <c r="CE88">
        <f>CE87+IF(AND(Lists!$DU$35&lt;&gt;"",ISNUMBER(SEARCH($X$4,Lists!$DU$35))),1,0)</f>
        <v/>
      </c>
      <c r="CF88">
        <f>IF(ROW()-56&gt;MAX($CE$57:$CE$95),"",INDEX(Lists!$DU$4:$DU$42,MATCH(ROW()-56,$CE$57:$CE$95,0)))</f>
        <v/>
      </c>
      <c r="CG88">
        <f>CG87+IF(AND(Lists!$DZ$35&lt;&gt;"",ISNUMBER(SEARCH($Y$4,Lists!$DZ$35))),1,0)</f>
        <v/>
      </c>
      <c r="CH88">
        <f>IF(ROW()-56&gt;MAX($CG$57:$CG$95),"",INDEX(Lists!$DZ$4:$DZ$42,MATCH(ROW()-56,$CG$57:$CG$95,0)))</f>
        <v/>
      </c>
      <c r="CI88">
        <f>CI87+IF(AND(Lists!$EE$35&lt;&gt;"",ISNUMBER(SEARCH($Z$4,Lists!$EE$35))),1,0)</f>
        <v/>
      </c>
      <c r="CJ88">
        <f>IF(ROW()-56&gt;MAX($CI$57:$CI$95),"",INDEX(Lists!$EE$4:$EE$42,MATCH(ROW()-56,$CI$57:$CI$95,0)))</f>
        <v/>
      </c>
      <c r="CK88">
        <f>CK87+IF(AND(Lists!$EJ$35&lt;&gt;"",ISNUMBER(SEARCH($AA$4,Lists!$EJ$35))),1,0)</f>
        <v/>
      </c>
      <c r="CL88">
        <f>IF(ROW()-56&gt;MAX($CK$57:$CK$95),"",INDEX(Lists!$EJ$4:$EJ$42,MATCH(ROW()-56,$CK$57:$CK$95,0)))</f>
        <v/>
      </c>
      <c r="CM88">
        <f>CM87+IF(AND(Lists!$EO$35&lt;&gt;"",ISNUMBER(SEARCH($AB$4,Lists!$EO$35))),1,0)</f>
        <v/>
      </c>
      <c r="CN88">
        <f>IF(ROW()-56&gt;MAX($CM$57:$CM$95),"",INDEX(Lists!$EO$4:$EO$42,MATCH(ROW()-56,$CM$57:$CM$95,0)))</f>
        <v/>
      </c>
      <c r="CO88">
        <f>CO87+IF(AND(Lists!$ET$35&lt;&gt;"",ISNUMBER(SEARCH($AC$4,Lists!$ET$35))),1,0)</f>
        <v/>
      </c>
      <c r="CP88">
        <f>IF(ROW()-56&gt;MAX($CO$57:$CO$95),"",INDEX(Lists!$ET$4:$ET$42,MATCH(ROW()-56,$CO$57:$CO$95,0)))</f>
        <v/>
      </c>
      <c r="CQ88">
        <f>CQ87+IF(AND(Lists!$EY$35&lt;&gt;"",ISNUMBER(SEARCH($AD$4,Lists!$EY$35))),1,0)</f>
        <v/>
      </c>
      <c r="CR88">
        <f>IF(ROW()-56&gt;MAX($CQ$57:$CQ$95),"",INDEX(Lists!$EY$4:$EY$42,MATCH(ROW()-56,$CQ$57:$CQ$95,0)))</f>
        <v/>
      </c>
      <c r="CS88">
        <f>CS87+IF(AND(Lists!$FD$35&lt;&gt;"",ISNUMBER(SEARCH($AE$4,Lists!$FD$35))),1,0)</f>
        <v/>
      </c>
      <c r="CT88">
        <f>IF(ROW()-56&gt;MAX($CS$57:$CS$95),"",INDEX(Lists!$FD$4:$FD$42,MATCH(ROW()-56,$CS$57:$CS$95,0)))</f>
        <v/>
      </c>
      <c r="CU88">
        <f>CU87+IF(AND(Lists!$FI$35&lt;&gt;"",ISNUMBER(SEARCH($AG$4,Lists!$FI$35))),1,0)</f>
        <v/>
      </c>
      <c r="CV88">
        <f>IF(ROW()-56&gt;MAX($CU$57:$CU$95),"",INDEX(Lists!$FI$4:$FI$42,MATCH(ROW()-56,$CU$57:$CU$95,0)))</f>
        <v/>
      </c>
      <c r="CW88">
        <f>CW87+IF(AND(Lists!$FN$35&lt;&gt;"",ISNUMBER(SEARCH($AH$4,Lists!$FN$35))),1,0)</f>
        <v/>
      </c>
      <c r="CX88">
        <f>IF(ROW()-56&gt;MAX($CW$57:$CW$95),"",INDEX(Lists!$FN$4:$FN$42,MATCH(ROW()-56,$CW$57:$CW$95,0)))</f>
        <v/>
      </c>
      <c r="CY88">
        <f>CY87+IF(AND(Lists!$FS$35&lt;&gt;"",ISNUMBER(SEARCH($AI$4,Lists!$FS$35))),1,0)</f>
        <v/>
      </c>
      <c r="CZ88">
        <f>IF(ROW()-56&gt;MAX($CY$57:$CY$95),"",INDEX(Lists!$FS$4:$FS$42,MATCH(ROW()-56,$CY$57:$CY$95,0)))</f>
        <v/>
      </c>
      <c r="DA88">
        <f>DA87+IF(AND(Lists!$FX$35&lt;&gt;"",ISNUMBER(SEARCH($AF$4,Lists!$FX$35))),1,0)</f>
        <v/>
      </c>
      <c r="DB88">
        <f>IF(ROW()-56&gt;MAX($DA$57:$DA$95),"",INDEX(Lists!$FX$4:$FX$42,MATCH(ROW()-56,$DA$57:$DA$95,0)))</f>
        <v/>
      </c>
      <c r="DG88">
        <f>IF($B$4="",1,IF($B$4="(blank)",--('Final Calculation Sheet'!$F$33=""),IF($B$4="(nonblank)",--('Final Calculation Sheet'!$F$33&lt;&gt;""),--ISNUMBER(SEARCH($B$4,'Final Calculation Sheet'!$F$33)))))</f>
        <v/>
      </c>
      <c r="DH88">
        <f>IF($C$4="",1,IF($C$4="(blank)",--('Final Calculation Sheet'!$G$33=""),IF($C$4="(nonblank)",--('Final Calculation Sheet'!$G$33&lt;&gt;""),--ISNUMBER(SEARCH($C$4,'Final Calculation Sheet'!$G$33)))))</f>
        <v/>
      </c>
      <c r="DI88">
        <f>IF($D$4="",1,IF($D$4="(blank)",--('Final Calculation Sheet'!$B$33=""),IF($D$4="(nonblank)",--('Final Calculation Sheet'!$B$33&lt;&gt;""),--ISNUMBER(SEARCH($D$4,'Final Calculation Sheet'!$B$33)))))</f>
        <v/>
      </c>
      <c r="DJ88">
        <f>IF($E$4="",1,IF($E$4="(blank)",--('Final Calculation Sheet'!$D$33=""),IF($E$4="(nonblank)",--('Final Calculation Sheet'!$D$33&lt;&gt;""),--ISNUMBER(SEARCH($E$4,'Final Calculation Sheet'!$D$33)))))</f>
        <v/>
      </c>
      <c r="DK88">
        <f>IF($F$4="",1,IF($F$4="(blank)",--('Final Calculation Sheet'!$A$33=""),IF($F$4="(nonblank)",--('Final Calculation Sheet'!$A$33&lt;&gt;""),--ISNUMBER(SEARCH($F$4,'Final Calculation Sheet'!$A$33)))))</f>
        <v/>
      </c>
      <c r="DL88">
        <f>IF($G$4="",1,IF($G$4="(blank)",--('Final Calculation Sheet'!$E$33=""),IF($G$4="(nonblank)",--('Final Calculation Sheet'!$E$33&lt;&gt;""),--ISNUMBER(SEARCH($G$4,'Final Calculation Sheet'!$E$33)))))</f>
        <v/>
      </c>
      <c r="DM88">
        <f>IF($H$4="",1,IF($H$4="(blank)",--('Final Calculation Sheet'!$C$33=""),IF($H$4="(nonblank)",--('Final Calculation Sheet'!$C$33&lt;&gt;""),--ISNUMBER(SEARCH($H$4,'Final Calculation Sheet'!$C$33)))))</f>
        <v/>
      </c>
      <c r="DN88">
        <f>IF($I$4="",1,IF($I$4="(blank)",--('Final Calculation Sheet'!$H$33=""),IF($I$4="(nonblank)",--('Final Calculation Sheet'!$H$33&lt;&gt;""),--ISNUMBER(SEARCH($I$4,'Final Calculation Sheet'!$H$33)))))</f>
        <v/>
      </c>
      <c r="DO88">
        <f>IF($J$4="",1,IF($J$4="(blank)",--('Final Calculation Sheet'!$I$33=""),IF($J$4="(nonblank)",--('Final Calculation Sheet'!$I$33&lt;&gt;""),--ISNUMBER(SEARCH($J$4,'Final Calculation Sheet'!$I$33)))))</f>
        <v/>
      </c>
      <c r="DP88">
        <f>IF($K$4="",1,IF($K$4="(blank)",--('Final Calculation Sheet'!$J$33=""),IF($K$4="(nonblank)",--('Final Calculation Sheet'!$J$33&lt;&gt;""),--ISNUMBER(SEARCH($K$4,'Final Calculation Sheet'!$J$33)))))</f>
        <v/>
      </c>
      <c r="DQ88">
        <f>IF($L$4="",1,IF($L$4="(blank)",--('Final Calculation Sheet'!$K$33=""),IF($L$4="(nonblank)",--('Final Calculation Sheet'!$K$33&lt;&gt;""),--ISNUMBER(SEARCH($L$4,'Final Calculation Sheet'!$K$33)))))</f>
        <v/>
      </c>
      <c r="DR88">
        <f>IF($M$4="",1,IF($M$4="(blank)",--('Final Calculation Sheet'!$L$33=""),IF($M$4="(nonblank)",--('Final Calculation Sheet'!$L$33&lt;&gt;""),--ISNUMBER(SEARCH($M$4,'Final Calculation Sheet'!$L$33)))))</f>
        <v/>
      </c>
      <c r="DS88">
        <f>IF($N$4="",1,IF($N$4="(blank)",--('Final Calculation Sheet'!$M$33=""),IF($N$4="(nonblank)",--('Final Calculation Sheet'!$M$33&lt;&gt;""),--ISNUMBER(SEARCH($N$4,'Final Calculation Sheet'!$M$33)))))</f>
        <v/>
      </c>
      <c r="DT88">
        <f>IF($O$4="",1,IF($O$4="(blank)",--('Final Calculation Sheet'!$N$33=""),IF($O$4="(nonblank)",--('Final Calculation Sheet'!$N$33&lt;&gt;""),--ISNUMBER(SEARCH($O$4,'Final Calculation Sheet'!$N$33)))))</f>
        <v/>
      </c>
      <c r="DU88">
        <f>IF($P$4="",1,IF($P$4="(blank)",--('Final Calculation Sheet'!$O$33=""),IF($P$4="(nonblank)",--('Final Calculation Sheet'!$O$33&lt;&gt;""),--ISNUMBER(SEARCH($P$4,'Final Calculation Sheet'!$O$33)))))</f>
        <v/>
      </c>
      <c r="DV88">
        <f>IF($Q$4="",1,IF($Q$4="(blank)",--('Final Calculation Sheet'!$P$33=""),IF($Q$4="(nonblank)",--('Final Calculation Sheet'!$P$33&lt;&gt;""),--ISNUMBER(SEARCH($Q$4,'Final Calculation Sheet'!$P$33)))))</f>
        <v/>
      </c>
      <c r="DW88">
        <f>IF($R$4="",1,IF($R$4="(blank)",--('Final Calculation Sheet'!$Q$33=""),IF($R$4="(nonblank)",--('Final Calculation Sheet'!$Q$33&lt;&gt;""),--ISNUMBER(SEARCH($R$4,'Final Calculation Sheet'!$Q$33)))))</f>
        <v/>
      </c>
      <c r="DX88">
        <f>IF($S$4="",1,IF($S$4="(blank)",--('Final Calculation Sheet'!$R$33=""),IF($S$4="(nonblank)",--('Final Calculation Sheet'!$R$33&lt;&gt;""),--ISNUMBER(SEARCH($S$4,'Final Calculation Sheet'!$R$33)))))</f>
        <v/>
      </c>
      <c r="DY88">
        <f>IF($T$4="",1,IF($T$4="(blank)",--('Final Calculation Sheet'!$S$33=""),IF($T$4="(nonblank)",--('Final Calculation Sheet'!$S$33&lt;&gt;""),--ISNUMBER(SEARCH($T$4,'Final Calculation Sheet'!$S$33)))))</f>
        <v/>
      </c>
      <c r="DZ88">
        <f>IF($U$4="",1,IF($U$4="(blank)",--('Final Calculation Sheet'!$T$33=""),IF($U$4="(nonblank)",--('Final Calculation Sheet'!$T$33&lt;&gt;""),--ISNUMBER(SEARCH($U$4,'Final Calculation Sheet'!$T$33)))))</f>
        <v/>
      </c>
      <c r="EA88">
        <f>IF($V$4="",1,IF($V$4="(blank)",--('Final Calculation Sheet'!$U$33=""),IF($V$4="(nonblank)",--('Final Calculation Sheet'!$U$33&lt;&gt;""),--ISNUMBER(SEARCH($V$4,'Final Calculation Sheet'!$U$33)))))</f>
        <v/>
      </c>
      <c r="EB88">
        <f>IF($W$4="",1,IF($W$4="(blank)",--('Final Calculation Sheet'!$V$33=""),IF($W$4="(nonblank)",--('Final Calculation Sheet'!$V$33&lt;&gt;""),--ISNUMBER(SEARCH($W$4,'Final Calculation Sheet'!$V$33)))))</f>
        <v/>
      </c>
      <c r="EC88">
        <f>IF($X$4="",1,IF($X$4="(blank)",--('Final Calculation Sheet'!$W$33=""),IF($X$4="(nonblank)",--('Final Calculation Sheet'!$W$33&lt;&gt;""),--ISNUMBER(SEARCH($X$4,'Final Calculation Sheet'!$W$33)))))</f>
        <v/>
      </c>
      <c r="ED88">
        <f>IF($Y$4="",1,IF($Y$4="(blank)",--('Final Calculation Sheet'!$X$33=""),IF($Y$4="(nonblank)",--('Final Calculation Sheet'!$X$33&lt;&gt;""),--ISNUMBER(SEARCH($Y$4,'Final Calculation Sheet'!$X$33)))))</f>
        <v/>
      </c>
      <c r="EE88">
        <f>IF($Z$4="",1,IF($Z$4="(blank)",--('Final Calculation Sheet'!$Y$33=""),IF($Z$4="(nonblank)",--('Final Calculation Sheet'!$Y$33&lt;&gt;""),--ISNUMBER(SEARCH($Z$4,'Final Calculation Sheet'!$Y$33)))))</f>
        <v/>
      </c>
      <c r="EF88">
        <f>IF($AA$4="",1,IF($AA$4="(blank)",--('Final Calculation Sheet'!$Z$33=""),IF($AA$4="(nonblank)",--('Final Calculation Sheet'!$Z$33&lt;&gt;""),--ISNUMBER(SEARCH($AA$4,'Final Calculation Sheet'!$Z$33)))))</f>
        <v/>
      </c>
      <c r="EG88">
        <f>IF($AB$4="",1,IF($AB$4="(blank)",--('Final Calculation Sheet'!$AA$33=""),IF($AB$4="(nonblank)",--('Final Calculation Sheet'!$AA$33&lt;&gt;""),--ISNUMBER(SEARCH($AB$4,'Final Calculation Sheet'!$AA$33)))))</f>
        <v/>
      </c>
      <c r="EH88">
        <f>IF($AC$4="",1,IF($AC$4="(blank)",--('Final Calculation Sheet'!$AB$33=""),IF($AC$4="(nonblank)",--('Final Calculation Sheet'!$AB$33&lt;&gt;""),--ISNUMBER(SEARCH($AC$4,'Final Calculation Sheet'!$AB$33)))))</f>
        <v/>
      </c>
      <c r="EI88">
        <f>IF($AD$4="",1,IF($AD$4="(blank)",--('Final Calculation Sheet'!$AC$33=""),IF($AD$4="(nonblank)",--('Final Calculation Sheet'!$AC$33&lt;&gt;""),--ISNUMBER(SEARCH($AD$4,'Final Calculation Sheet'!$AC$33)))))</f>
        <v/>
      </c>
      <c r="EJ88">
        <f>IF($AE$4="",1,IF($AE$4="(blank)",--('Final Calculation Sheet'!$AD$33=""),IF($AE$4="(nonblank)",--('Final Calculation Sheet'!$AD$33&lt;&gt;""),--ISNUMBER(SEARCH($AE$4,'Final Calculation Sheet'!$AD$33)))))</f>
        <v/>
      </c>
      <c r="EK88">
        <f>IF($AF$4="",1,IF($AF$4="(blank)",--(IF('Final Calculation Sheet'!$AD$33&lt;=5,"SETTLED","OUTSTANDING")=""),IF($AF$4="(nonblank)",--(IF('Final Calculation Sheet'!$AD$33&lt;=5,"SETTLED","OUTSTANDING")&lt;&gt;""),--ISNUMBER(SEARCH($AF$4,IF('Final Calculation Sheet'!$AD$33&lt;=5,"SETTLED","OUTSTANDING"))))))</f>
        <v/>
      </c>
      <c r="EL88">
        <f>IF($AG$4="",1,IF($AG$4="(blank)",--('Final Calculation Sheet'!$AF$33=""),IF($AG$4="(nonblank)",--('Final Calculation Sheet'!$AF$33&lt;&gt;""),--ISNUMBER(SEARCH($AG$4,'Final Calculation Sheet'!$AF$33)))))</f>
        <v/>
      </c>
      <c r="EM88">
        <f>IF($AH$4="",1,IF($AH$4="(blank)",--('Final Calculation Sheet'!$AG$33=""),IF($AH$4="(nonblank)",--('Final Calculation Sheet'!$AG$33&lt;&gt;""),--ISNUMBER(SEARCH($AH$4,'Final Calculation Sheet'!$AG$33)))))</f>
        <v/>
      </c>
      <c r="EN88">
        <f>IF($AI$4="",1,IF($AI$4="(blank)",--('Final Calculation Sheet'!$AH$33=""),IF($AI$4="(nonblank)",--('Final Calculation Sheet'!$AH$33&lt;&gt;""),--ISNUMBER(SEARCH($AI$4,'Final Calculation Sheet'!$AH$33)))))</f>
        <v/>
      </c>
    </row>
    <row r="89">
      <c r="AM89">
        <f>AM88+IF(AND(Lists!$O$36&lt;&gt;"",ISNUMBER(SEARCH($B$4,Lists!$O$36))),1,0)</f>
        <v/>
      </c>
      <c r="AN89">
        <f>IF(ROW()-56&gt;MAX($AM$57:$AM$95),"",INDEX(Lists!$O$4:$O$42,MATCH(ROW()-56,$AM$57:$AM$95,0)))</f>
        <v/>
      </c>
      <c r="AO89">
        <f>AO88+IF(AND(Lists!$T$36&lt;&gt;"",ISNUMBER(SEARCH($C$4,Lists!$T$36))),1,0)</f>
        <v/>
      </c>
      <c r="AP89">
        <f>IF(ROW()-56&gt;MAX($AO$57:$AO$95),"",INDEX(Lists!$T$4:$T$42,MATCH(ROW()-56,$AO$57:$AO$95,0)))</f>
        <v/>
      </c>
      <c r="AQ89">
        <f>AQ88+IF(AND(Lists!$Y$36&lt;&gt;"",ISNUMBER(SEARCH($D$4,Lists!$Y$36))),1,0)</f>
        <v/>
      </c>
      <c r="AR89">
        <f>IF(ROW()-56&gt;MAX($AQ$57:$AQ$95),"",INDEX(Lists!$Y$4:$Y$42,MATCH(ROW()-56,$AQ$57:$AQ$95,0)))</f>
        <v/>
      </c>
      <c r="AS89">
        <f>AS88+IF(AND(Lists!$AD$36&lt;&gt;"",ISNUMBER(SEARCH($E$4,Lists!$AD$36))),1,0)</f>
        <v/>
      </c>
      <c r="AT89">
        <f>IF(ROW()-56&gt;MAX($AS$57:$AS$95),"",INDEX(Lists!$AD$4:$AD$42,MATCH(ROW()-56,$AS$57:$AS$95,0)))</f>
        <v/>
      </c>
      <c r="AU89">
        <f>AU88+IF(AND(Lists!$AI$36&lt;&gt;"",ISNUMBER(SEARCH($F$4,Lists!$AI$36))),1,0)</f>
        <v/>
      </c>
      <c r="AV89">
        <f>IF(ROW()-56&gt;MAX($AU$57:$AU$95),"",INDEX(Lists!$AI$4:$AI$42,MATCH(ROW()-56,$AU$57:$AU$95,0)))</f>
        <v/>
      </c>
      <c r="AW89">
        <f>AW88+IF(AND(Lists!$AN$36&lt;&gt;"",ISNUMBER(SEARCH($G$4,Lists!$AN$36))),1,0)</f>
        <v/>
      </c>
      <c r="AX89">
        <f>IF(ROW()-56&gt;MAX($AW$57:$AW$95),"",INDEX(Lists!$AN$4:$AN$42,MATCH(ROW()-56,$AW$57:$AW$95,0)))</f>
        <v/>
      </c>
      <c r="AY89">
        <f>AY88+IF(AND(Lists!$AS$36&lt;&gt;"",ISNUMBER(SEARCH($H$4,Lists!$AS$36))),1,0)</f>
        <v/>
      </c>
      <c r="AZ89">
        <f>IF(ROW()-56&gt;MAX($AY$57:$AY$95),"",INDEX(Lists!$AS$4:$AS$42,MATCH(ROW()-56,$AY$57:$AY$95,0)))</f>
        <v/>
      </c>
      <c r="BA89">
        <f>BA88+IF(AND(Lists!$AX$36&lt;&gt;"",ISNUMBER(SEARCH($I$4,Lists!$AX$36))),1,0)</f>
        <v/>
      </c>
      <c r="BB89">
        <f>IF(ROW()-56&gt;MAX($BA$57:$BA$95),"",INDEX(Lists!$AX$4:$AX$42,MATCH(ROW()-56,$BA$57:$BA$95,0)))</f>
        <v/>
      </c>
      <c r="BC89">
        <f>BC88+IF(AND(Lists!$BC$36&lt;&gt;"",ISNUMBER(SEARCH($J$4,Lists!$BC$36))),1,0)</f>
        <v/>
      </c>
      <c r="BD89">
        <f>IF(ROW()-56&gt;MAX($BC$57:$BC$95),"",INDEX(Lists!$BC$4:$BC$42,MATCH(ROW()-56,$BC$57:$BC$95,0)))</f>
        <v/>
      </c>
      <c r="BE89">
        <f>BE88+IF(AND(Lists!$BH$36&lt;&gt;"",ISNUMBER(SEARCH($K$4,Lists!$BH$36))),1,0)</f>
        <v/>
      </c>
      <c r="BF89">
        <f>IF(ROW()-56&gt;MAX($BE$57:$BE$95),"",INDEX(Lists!$BH$4:$BH$42,MATCH(ROW()-56,$BE$57:$BE$95,0)))</f>
        <v/>
      </c>
      <c r="BG89">
        <f>BG88+IF(AND(Lists!$BM$36&lt;&gt;"",ISNUMBER(SEARCH($L$4,Lists!$BM$36))),1,0)</f>
        <v/>
      </c>
      <c r="BH89">
        <f>IF(ROW()-56&gt;MAX($BG$57:$BG$95),"",INDEX(Lists!$BM$4:$BM$42,MATCH(ROW()-56,$BG$57:$BG$95,0)))</f>
        <v/>
      </c>
      <c r="BI89">
        <f>BI88+IF(AND(Lists!$BR$36&lt;&gt;"",ISNUMBER(SEARCH($M$4,Lists!$BR$36))),1,0)</f>
        <v/>
      </c>
      <c r="BJ89">
        <f>IF(ROW()-56&gt;MAX($BI$57:$BI$95),"",INDEX(Lists!$BR$4:$BR$42,MATCH(ROW()-56,$BI$57:$BI$95,0)))</f>
        <v/>
      </c>
      <c r="BK89">
        <f>BK88+IF(AND(Lists!$BW$36&lt;&gt;"",ISNUMBER(SEARCH($N$4,Lists!$BW$36))),1,0)</f>
        <v/>
      </c>
      <c r="BL89">
        <f>IF(ROW()-56&gt;MAX($BK$57:$BK$95),"",INDEX(Lists!$BW$4:$BW$42,MATCH(ROW()-56,$BK$57:$BK$95,0)))</f>
        <v/>
      </c>
      <c r="BM89">
        <f>BM88+IF(AND(Lists!$CB$36&lt;&gt;"",ISNUMBER(SEARCH($O$4,Lists!$CB$36))),1,0)</f>
        <v/>
      </c>
      <c r="BN89">
        <f>IF(ROW()-56&gt;MAX($BM$57:$BM$95),"",INDEX(Lists!$CB$4:$CB$42,MATCH(ROW()-56,$BM$57:$BM$95,0)))</f>
        <v/>
      </c>
      <c r="BO89">
        <f>BO88+IF(AND(Lists!$CG$36&lt;&gt;"",ISNUMBER(SEARCH($P$4,Lists!$CG$36))),1,0)</f>
        <v/>
      </c>
      <c r="BP89">
        <f>IF(ROW()-56&gt;MAX($BO$57:$BO$95),"",INDEX(Lists!$CG$4:$CG$42,MATCH(ROW()-56,$BO$57:$BO$95,0)))</f>
        <v/>
      </c>
      <c r="BQ89">
        <f>BQ88+IF(AND(Lists!$CL$36&lt;&gt;"",ISNUMBER(SEARCH($Q$4,Lists!$CL$36))),1,0)</f>
        <v/>
      </c>
      <c r="BR89">
        <f>IF(ROW()-56&gt;MAX($BQ$57:$BQ$95),"",INDEX(Lists!$CL$4:$CL$42,MATCH(ROW()-56,$BQ$57:$BQ$95,0)))</f>
        <v/>
      </c>
      <c r="BS89">
        <f>BS88+IF(AND(Lists!$CQ$36&lt;&gt;"",ISNUMBER(SEARCH($R$4,Lists!$CQ$36))),1,0)</f>
        <v/>
      </c>
      <c r="BT89">
        <f>IF(ROW()-56&gt;MAX($BS$57:$BS$95),"",INDEX(Lists!$CQ$4:$CQ$42,MATCH(ROW()-56,$BS$57:$BS$95,0)))</f>
        <v/>
      </c>
      <c r="BU89">
        <f>BU88+IF(AND(Lists!$CV$36&lt;&gt;"",ISNUMBER(SEARCH($S$4,Lists!$CV$36))),1,0)</f>
        <v/>
      </c>
      <c r="BV89">
        <f>IF(ROW()-56&gt;MAX($BU$57:$BU$95),"",INDEX(Lists!$CV$4:$CV$42,MATCH(ROW()-56,$BU$57:$BU$95,0)))</f>
        <v/>
      </c>
      <c r="BW89">
        <f>BW88+IF(AND(Lists!$DA$36&lt;&gt;"",ISNUMBER(SEARCH($T$4,Lists!$DA$36))),1,0)</f>
        <v/>
      </c>
      <c r="BX89">
        <f>IF(ROW()-56&gt;MAX($BW$57:$BW$95),"",INDEX(Lists!$DA$4:$DA$42,MATCH(ROW()-56,$BW$57:$BW$95,0)))</f>
        <v/>
      </c>
      <c r="BY89">
        <f>BY88+IF(AND(Lists!$DF$36&lt;&gt;"",ISNUMBER(SEARCH($U$4,Lists!$DF$36))),1,0)</f>
        <v/>
      </c>
      <c r="BZ89">
        <f>IF(ROW()-56&gt;MAX($BY$57:$BY$95),"",INDEX(Lists!$DF$4:$DF$42,MATCH(ROW()-56,$BY$57:$BY$95,0)))</f>
        <v/>
      </c>
      <c r="CA89">
        <f>CA88+IF(AND(Lists!$DK$36&lt;&gt;"",ISNUMBER(SEARCH($V$4,Lists!$DK$36))),1,0)</f>
        <v/>
      </c>
      <c r="CB89">
        <f>IF(ROW()-56&gt;MAX($CA$57:$CA$95),"",INDEX(Lists!$DK$4:$DK$42,MATCH(ROW()-56,$CA$57:$CA$95,0)))</f>
        <v/>
      </c>
      <c r="CC89">
        <f>CC88+IF(AND(Lists!$DP$36&lt;&gt;"",ISNUMBER(SEARCH($W$4,Lists!$DP$36))),1,0)</f>
        <v/>
      </c>
      <c r="CD89">
        <f>IF(ROW()-56&gt;MAX($CC$57:$CC$95),"",INDEX(Lists!$DP$4:$DP$42,MATCH(ROW()-56,$CC$57:$CC$95,0)))</f>
        <v/>
      </c>
      <c r="CE89">
        <f>CE88+IF(AND(Lists!$DU$36&lt;&gt;"",ISNUMBER(SEARCH($X$4,Lists!$DU$36))),1,0)</f>
        <v/>
      </c>
      <c r="CF89">
        <f>IF(ROW()-56&gt;MAX($CE$57:$CE$95),"",INDEX(Lists!$DU$4:$DU$42,MATCH(ROW()-56,$CE$57:$CE$95,0)))</f>
        <v/>
      </c>
      <c r="CG89">
        <f>CG88+IF(AND(Lists!$DZ$36&lt;&gt;"",ISNUMBER(SEARCH($Y$4,Lists!$DZ$36))),1,0)</f>
        <v/>
      </c>
      <c r="CH89">
        <f>IF(ROW()-56&gt;MAX($CG$57:$CG$95),"",INDEX(Lists!$DZ$4:$DZ$42,MATCH(ROW()-56,$CG$57:$CG$95,0)))</f>
        <v/>
      </c>
      <c r="CI89">
        <f>CI88+IF(AND(Lists!$EE$36&lt;&gt;"",ISNUMBER(SEARCH($Z$4,Lists!$EE$36))),1,0)</f>
        <v/>
      </c>
      <c r="CJ89">
        <f>IF(ROW()-56&gt;MAX($CI$57:$CI$95),"",INDEX(Lists!$EE$4:$EE$42,MATCH(ROW()-56,$CI$57:$CI$95,0)))</f>
        <v/>
      </c>
      <c r="CK89">
        <f>CK88+IF(AND(Lists!$EJ$36&lt;&gt;"",ISNUMBER(SEARCH($AA$4,Lists!$EJ$36))),1,0)</f>
        <v/>
      </c>
      <c r="CL89">
        <f>IF(ROW()-56&gt;MAX($CK$57:$CK$95),"",INDEX(Lists!$EJ$4:$EJ$42,MATCH(ROW()-56,$CK$57:$CK$95,0)))</f>
        <v/>
      </c>
      <c r="CM89">
        <f>CM88+IF(AND(Lists!$EO$36&lt;&gt;"",ISNUMBER(SEARCH($AB$4,Lists!$EO$36))),1,0)</f>
        <v/>
      </c>
      <c r="CN89">
        <f>IF(ROW()-56&gt;MAX($CM$57:$CM$95),"",INDEX(Lists!$EO$4:$EO$42,MATCH(ROW()-56,$CM$57:$CM$95,0)))</f>
        <v/>
      </c>
      <c r="CO89">
        <f>CO88+IF(AND(Lists!$ET$36&lt;&gt;"",ISNUMBER(SEARCH($AC$4,Lists!$ET$36))),1,0)</f>
        <v/>
      </c>
      <c r="CP89">
        <f>IF(ROW()-56&gt;MAX($CO$57:$CO$95),"",INDEX(Lists!$ET$4:$ET$42,MATCH(ROW()-56,$CO$57:$CO$95,0)))</f>
        <v/>
      </c>
      <c r="CQ89">
        <f>CQ88+IF(AND(Lists!$EY$36&lt;&gt;"",ISNUMBER(SEARCH($AD$4,Lists!$EY$36))),1,0)</f>
        <v/>
      </c>
      <c r="CR89">
        <f>IF(ROW()-56&gt;MAX($CQ$57:$CQ$95),"",INDEX(Lists!$EY$4:$EY$42,MATCH(ROW()-56,$CQ$57:$CQ$95,0)))</f>
        <v/>
      </c>
      <c r="CS89">
        <f>CS88+IF(AND(Lists!$FD$36&lt;&gt;"",ISNUMBER(SEARCH($AE$4,Lists!$FD$36))),1,0)</f>
        <v/>
      </c>
      <c r="CT89">
        <f>IF(ROW()-56&gt;MAX($CS$57:$CS$95),"",INDEX(Lists!$FD$4:$FD$42,MATCH(ROW()-56,$CS$57:$CS$95,0)))</f>
        <v/>
      </c>
      <c r="CU89">
        <f>CU88+IF(AND(Lists!$FI$36&lt;&gt;"",ISNUMBER(SEARCH($AG$4,Lists!$FI$36))),1,0)</f>
        <v/>
      </c>
      <c r="CV89">
        <f>IF(ROW()-56&gt;MAX($CU$57:$CU$95),"",INDEX(Lists!$FI$4:$FI$42,MATCH(ROW()-56,$CU$57:$CU$95,0)))</f>
        <v/>
      </c>
      <c r="CW89">
        <f>CW88+IF(AND(Lists!$FN$36&lt;&gt;"",ISNUMBER(SEARCH($AH$4,Lists!$FN$36))),1,0)</f>
        <v/>
      </c>
      <c r="CX89">
        <f>IF(ROW()-56&gt;MAX($CW$57:$CW$95),"",INDEX(Lists!$FN$4:$FN$42,MATCH(ROW()-56,$CW$57:$CW$95,0)))</f>
        <v/>
      </c>
      <c r="CY89">
        <f>CY88+IF(AND(Lists!$FS$36&lt;&gt;"",ISNUMBER(SEARCH($AI$4,Lists!$FS$36))),1,0)</f>
        <v/>
      </c>
      <c r="CZ89">
        <f>IF(ROW()-56&gt;MAX($CY$57:$CY$95),"",INDEX(Lists!$FS$4:$FS$42,MATCH(ROW()-56,$CY$57:$CY$95,0)))</f>
        <v/>
      </c>
      <c r="DA89">
        <f>DA88+IF(AND(Lists!$FX$36&lt;&gt;"",ISNUMBER(SEARCH($AF$4,Lists!$FX$36))),1,0)</f>
        <v/>
      </c>
      <c r="DB89">
        <f>IF(ROW()-56&gt;MAX($DA$57:$DA$95),"",INDEX(Lists!$FX$4:$FX$42,MATCH(ROW()-56,$DA$57:$DA$95,0)))</f>
        <v/>
      </c>
      <c r="DG89">
        <f>IF($B$4="",1,IF($B$4="(blank)",--('Final Calculation Sheet'!$F$34=""),IF($B$4="(nonblank)",--('Final Calculation Sheet'!$F$34&lt;&gt;""),--ISNUMBER(SEARCH($B$4,'Final Calculation Sheet'!$F$34)))))</f>
        <v/>
      </c>
      <c r="DH89">
        <f>IF($C$4="",1,IF($C$4="(blank)",--('Final Calculation Sheet'!$G$34=""),IF($C$4="(nonblank)",--('Final Calculation Sheet'!$G$34&lt;&gt;""),--ISNUMBER(SEARCH($C$4,'Final Calculation Sheet'!$G$34)))))</f>
        <v/>
      </c>
      <c r="DI89">
        <f>IF($D$4="",1,IF($D$4="(blank)",--('Final Calculation Sheet'!$B$34=""),IF($D$4="(nonblank)",--('Final Calculation Sheet'!$B$34&lt;&gt;""),--ISNUMBER(SEARCH($D$4,'Final Calculation Sheet'!$B$34)))))</f>
        <v/>
      </c>
      <c r="DJ89">
        <f>IF($E$4="",1,IF($E$4="(blank)",--('Final Calculation Sheet'!$D$34=""),IF($E$4="(nonblank)",--('Final Calculation Sheet'!$D$34&lt;&gt;""),--ISNUMBER(SEARCH($E$4,'Final Calculation Sheet'!$D$34)))))</f>
        <v/>
      </c>
      <c r="DK89">
        <f>IF($F$4="",1,IF($F$4="(blank)",--('Final Calculation Sheet'!$A$34=""),IF($F$4="(nonblank)",--('Final Calculation Sheet'!$A$34&lt;&gt;""),--ISNUMBER(SEARCH($F$4,'Final Calculation Sheet'!$A$34)))))</f>
        <v/>
      </c>
      <c r="DL89">
        <f>IF($G$4="",1,IF($G$4="(blank)",--('Final Calculation Sheet'!$E$34=""),IF($G$4="(nonblank)",--('Final Calculation Sheet'!$E$34&lt;&gt;""),--ISNUMBER(SEARCH($G$4,'Final Calculation Sheet'!$E$34)))))</f>
        <v/>
      </c>
      <c r="DM89">
        <f>IF($H$4="",1,IF($H$4="(blank)",--('Final Calculation Sheet'!$C$34=""),IF($H$4="(nonblank)",--('Final Calculation Sheet'!$C$34&lt;&gt;""),--ISNUMBER(SEARCH($H$4,'Final Calculation Sheet'!$C$34)))))</f>
        <v/>
      </c>
      <c r="DN89">
        <f>IF($I$4="",1,IF($I$4="(blank)",--('Final Calculation Sheet'!$H$34=""),IF($I$4="(nonblank)",--('Final Calculation Sheet'!$H$34&lt;&gt;""),--ISNUMBER(SEARCH($I$4,'Final Calculation Sheet'!$H$34)))))</f>
        <v/>
      </c>
      <c r="DO89">
        <f>IF($J$4="",1,IF($J$4="(blank)",--('Final Calculation Sheet'!$I$34=""),IF($J$4="(nonblank)",--('Final Calculation Sheet'!$I$34&lt;&gt;""),--ISNUMBER(SEARCH($J$4,'Final Calculation Sheet'!$I$34)))))</f>
        <v/>
      </c>
      <c r="DP89">
        <f>IF($K$4="",1,IF($K$4="(blank)",--('Final Calculation Sheet'!$J$34=""),IF($K$4="(nonblank)",--('Final Calculation Sheet'!$J$34&lt;&gt;""),--ISNUMBER(SEARCH($K$4,'Final Calculation Sheet'!$J$34)))))</f>
        <v/>
      </c>
      <c r="DQ89">
        <f>IF($L$4="",1,IF($L$4="(blank)",--('Final Calculation Sheet'!$K$34=""),IF($L$4="(nonblank)",--('Final Calculation Sheet'!$K$34&lt;&gt;""),--ISNUMBER(SEARCH($L$4,'Final Calculation Sheet'!$K$34)))))</f>
        <v/>
      </c>
      <c r="DR89">
        <f>IF($M$4="",1,IF($M$4="(blank)",--('Final Calculation Sheet'!$L$34=""),IF($M$4="(nonblank)",--('Final Calculation Sheet'!$L$34&lt;&gt;""),--ISNUMBER(SEARCH($M$4,'Final Calculation Sheet'!$L$34)))))</f>
        <v/>
      </c>
      <c r="DS89">
        <f>IF($N$4="",1,IF($N$4="(blank)",--('Final Calculation Sheet'!$M$34=""),IF($N$4="(nonblank)",--('Final Calculation Sheet'!$M$34&lt;&gt;""),--ISNUMBER(SEARCH($N$4,'Final Calculation Sheet'!$M$34)))))</f>
        <v/>
      </c>
      <c r="DT89">
        <f>IF($O$4="",1,IF($O$4="(blank)",--('Final Calculation Sheet'!$N$34=""),IF($O$4="(nonblank)",--('Final Calculation Sheet'!$N$34&lt;&gt;""),--ISNUMBER(SEARCH($O$4,'Final Calculation Sheet'!$N$34)))))</f>
        <v/>
      </c>
      <c r="DU89">
        <f>IF($P$4="",1,IF($P$4="(blank)",--('Final Calculation Sheet'!$O$34=""),IF($P$4="(nonblank)",--('Final Calculation Sheet'!$O$34&lt;&gt;""),--ISNUMBER(SEARCH($P$4,'Final Calculation Sheet'!$O$34)))))</f>
        <v/>
      </c>
      <c r="DV89">
        <f>IF($Q$4="",1,IF($Q$4="(blank)",--('Final Calculation Sheet'!$P$34=""),IF($Q$4="(nonblank)",--('Final Calculation Sheet'!$P$34&lt;&gt;""),--ISNUMBER(SEARCH($Q$4,'Final Calculation Sheet'!$P$34)))))</f>
        <v/>
      </c>
      <c r="DW89">
        <f>IF($R$4="",1,IF($R$4="(blank)",--('Final Calculation Sheet'!$Q$34=""),IF($R$4="(nonblank)",--('Final Calculation Sheet'!$Q$34&lt;&gt;""),--ISNUMBER(SEARCH($R$4,'Final Calculation Sheet'!$Q$34)))))</f>
        <v/>
      </c>
      <c r="DX89">
        <f>IF($S$4="",1,IF($S$4="(blank)",--('Final Calculation Sheet'!$R$34=""),IF($S$4="(nonblank)",--('Final Calculation Sheet'!$R$34&lt;&gt;""),--ISNUMBER(SEARCH($S$4,'Final Calculation Sheet'!$R$34)))))</f>
        <v/>
      </c>
      <c r="DY89">
        <f>IF($T$4="",1,IF($T$4="(blank)",--('Final Calculation Sheet'!$S$34=""),IF($T$4="(nonblank)",--('Final Calculation Sheet'!$S$34&lt;&gt;""),--ISNUMBER(SEARCH($T$4,'Final Calculation Sheet'!$S$34)))))</f>
        <v/>
      </c>
      <c r="DZ89">
        <f>IF($U$4="",1,IF($U$4="(blank)",--('Final Calculation Sheet'!$T$34=""),IF($U$4="(nonblank)",--('Final Calculation Sheet'!$T$34&lt;&gt;""),--ISNUMBER(SEARCH($U$4,'Final Calculation Sheet'!$T$34)))))</f>
        <v/>
      </c>
      <c r="EA89">
        <f>IF($V$4="",1,IF($V$4="(blank)",--('Final Calculation Sheet'!$U$34=""),IF($V$4="(nonblank)",--('Final Calculation Sheet'!$U$34&lt;&gt;""),--ISNUMBER(SEARCH($V$4,'Final Calculation Sheet'!$U$34)))))</f>
        <v/>
      </c>
      <c r="EB89">
        <f>IF($W$4="",1,IF($W$4="(blank)",--('Final Calculation Sheet'!$V$34=""),IF($W$4="(nonblank)",--('Final Calculation Sheet'!$V$34&lt;&gt;""),--ISNUMBER(SEARCH($W$4,'Final Calculation Sheet'!$V$34)))))</f>
        <v/>
      </c>
      <c r="EC89">
        <f>IF($X$4="",1,IF($X$4="(blank)",--('Final Calculation Sheet'!$W$34=""),IF($X$4="(nonblank)",--('Final Calculation Sheet'!$W$34&lt;&gt;""),--ISNUMBER(SEARCH($X$4,'Final Calculation Sheet'!$W$34)))))</f>
        <v/>
      </c>
      <c r="ED89">
        <f>IF($Y$4="",1,IF($Y$4="(blank)",--('Final Calculation Sheet'!$X$34=""),IF($Y$4="(nonblank)",--('Final Calculation Sheet'!$X$34&lt;&gt;""),--ISNUMBER(SEARCH($Y$4,'Final Calculation Sheet'!$X$34)))))</f>
        <v/>
      </c>
      <c r="EE89">
        <f>IF($Z$4="",1,IF($Z$4="(blank)",--('Final Calculation Sheet'!$Y$34=""),IF($Z$4="(nonblank)",--('Final Calculation Sheet'!$Y$34&lt;&gt;""),--ISNUMBER(SEARCH($Z$4,'Final Calculation Sheet'!$Y$34)))))</f>
        <v/>
      </c>
      <c r="EF89">
        <f>IF($AA$4="",1,IF($AA$4="(blank)",--('Final Calculation Sheet'!$Z$34=""),IF($AA$4="(nonblank)",--('Final Calculation Sheet'!$Z$34&lt;&gt;""),--ISNUMBER(SEARCH($AA$4,'Final Calculation Sheet'!$Z$34)))))</f>
        <v/>
      </c>
      <c r="EG89">
        <f>IF($AB$4="",1,IF($AB$4="(blank)",--('Final Calculation Sheet'!$AA$34=""),IF($AB$4="(nonblank)",--('Final Calculation Sheet'!$AA$34&lt;&gt;""),--ISNUMBER(SEARCH($AB$4,'Final Calculation Sheet'!$AA$34)))))</f>
        <v/>
      </c>
      <c r="EH89">
        <f>IF($AC$4="",1,IF($AC$4="(blank)",--('Final Calculation Sheet'!$AB$34=""),IF($AC$4="(nonblank)",--('Final Calculation Sheet'!$AB$34&lt;&gt;""),--ISNUMBER(SEARCH($AC$4,'Final Calculation Sheet'!$AB$34)))))</f>
        <v/>
      </c>
      <c r="EI89">
        <f>IF($AD$4="",1,IF($AD$4="(blank)",--('Final Calculation Sheet'!$AC$34=""),IF($AD$4="(nonblank)",--('Final Calculation Sheet'!$AC$34&lt;&gt;""),--ISNUMBER(SEARCH($AD$4,'Final Calculation Sheet'!$AC$34)))))</f>
        <v/>
      </c>
      <c r="EJ89">
        <f>IF($AE$4="",1,IF($AE$4="(blank)",--('Final Calculation Sheet'!$AD$34=""),IF($AE$4="(nonblank)",--('Final Calculation Sheet'!$AD$34&lt;&gt;""),--ISNUMBER(SEARCH($AE$4,'Final Calculation Sheet'!$AD$34)))))</f>
        <v/>
      </c>
      <c r="EK89">
        <f>IF($AF$4="",1,IF($AF$4="(blank)",--(IF('Final Calculation Sheet'!$AD$34&lt;=5,"SETTLED","OUTSTANDING")=""),IF($AF$4="(nonblank)",--(IF('Final Calculation Sheet'!$AD$34&lt;=5,"SETTLED","OUTSTANDING")&lt;&gt;""),--ISNUMBER(SEARCH($AF$4,IF('Final Calculation Sheet'!$AD$34&lt;=5,"SETTLED","OUTSTANDING"))))))</f>
        <v/>
      </c>
      <c r="EL89">
        <f>IF($AG$4="",1,IF($AG$4="(blank)",--('Final Calculation Sheet'!$AF$34=""),IF($AG$4="(nonblank)",--('Final Calculation Sheet'!$AF$34&lt;&gt;""),--ISNUMBER(SEARCH($AG$4,'Final Calculation Sheet'!$AF$34)))))</f>
        <v/>
      </c>
      <c r="EM89">
        <f>IF($AH$4="",1,IF($AH$4="(blank)",--('Final Calculation Sheet'!$AG$34=""),IF($AH$4="(nonblank)",--('Final Calculation Sheet'!$AG$34&lt;&gt;""),--ISNUMBER(SEARCH($AH$4,'Final Calculation Sheet'!$AG$34)))))</f>
        <v/>
      </c>
      <c r="EN89">
        <f>IF($AI$4="",1,IF($AI$4="(blank)",--('Final Calculation Sheet'!$AH$34=""),IF($AI$4="(nonblank)",--('Final Calculation Sheet'!$AH$34&lt;&gt;""),--ISNUMBER(SEARCH($AI$4,'Final Calculation Sheet'!$AH$34)))))</f>
        <v/>
      </c>
    </row>
    <row r="90">
      <c r="AM90">
        <f>AM89+IF(AND(Lists!$O$37&lt;&gt;"",ISNUMBER(SEARCH($B$4,Lists!$O$37))),1,0)</f>
        <v/>
      </c>
      <c r="AN90">
        <f>IF(ROW()-56&gt;MAX($AM$57:$AM$95),"",INDEX(Lists!$O$4:$O$42,MATCH(ROW()-56,$AM$57:$AM$95,0)))</f>
        <v/>
      </c>
      <c r="AO90">
        <f>AO89+IF(AND(Lists!$T$37&lt;&gt;"",ISNUMBER(SEARCH($C$4,Lists!$T$37))),1,0)</f>
        <v/>
      </c>
      <c r="AP90">
        <f>IF(ROW()-56&gt;MAX($AO$57:$AO$95),"",INDEX(Lists!$T$4:$T$42,MATCH(ROW()-56,$AO$57:$AO$95,0)))</f>
        <v/>
      </c>
      <c r="AQ90">
        <f>AQ89+IF(AND(Lists!$Y$37&lt;&gt;"",ISNUMBER(SEARCH($D$4,Lists!$Y$37))),1,0)</f>
        <v/>
      </c>
      <c r="AR90">
        <f>IF(ROW()-56&gt;MAX($AQ$57:$AQ$95),"",INDEX(Lists!$Y$4:$Y$42,MATCH(ROW()-56,$AQ$57:$AQ$95,0)))</f>
        <v/>
      </c>
      <c r="AS90">
        <f>AS89+IF(AND(Lists!$AD$37&lt;&gt;"",ISNUMBER(SEARCH($E$4,Lists!$AD$37))),1,0)</f>
        <v/>
      </c>
      <c r="AT90">
        <f>IF(ROW()-56&gt;MAX($AS$57:$AS$95),"",INDEX(Lists!$AD$4:$AD$42,MATCH(ROW()-56,$AS$57:$AS$95,0)))</f>
        <v/>
      </c>
      <c r="AU90">
        <f>AU89+IF(AND(Lists!$AI$37&lt;&gt;"",ISNUMBER(SEARCH($F$4,Lists!$AI$37))),1,0)</f>
        <v/>
      </c>
      <c r="AV90">
        <f>IF(ROW()-56&gt;MAX($AU$57:$AU$95),"",INDEX(Lists!$AI$4:$AI$42,MATCH(ROW()-56,$AU$57:$AU$95,0)))</f>
        <v/>
      </c>
      <c r="AW90">
        <f>AW89+IF(AND(Lists!$AN$37&lt;&gt;"",ISNUMBER(SEARCH($G$4,Lists!$AN$37))),1,0)</f>
        <v/>
      </c>
      <c r="AX90">
        <f>IF(ROW()-56&gt;MAX($AW$57:$AW$95),"",INDEX(Lists!$AN$4:$AN$42,MATCH(ROW()-56,$AW$57:$AW$95,0)))</f>
        <v/>
      </c>
      <c r="AY90">
        <f>AY89+IF(AND(Lists!$AS$37&lt;&gt;"",ISNUMBER(SEARCH($H$4,Lists!$AS$37))),1,0)</f>
        <v/>
      </c>
      <c r="AZ90">
        <f>IF(ROW()-56&gt;MAX($AY$57:$AY$95),"",INDEX(Lists!$AS$4:$AS$42,MATCH(ROW()-56,$AY$57:$AY$95,0)))</f>
        <v/>
      </c>
      <c r="BA90">
        <f>BA89+IF(AND(Lists!$AX$37&lt;&gt;"",ISNUMBER(SEARCH($I$4,Lists!$AX$37))),1,0)</f>
        <v/>
      </c>
      <c r="BB90">
        <f>IF(ROW()-56&gt;MAX($BA$57:$BA$95),"",INDEX(Lists!$AX$4:$AX$42,MATCH(ROW()-56,$BA$57:$BA$95,0)))</f>
        <v/>
      </c>
      <c r="BC90">
        <f>BC89+IF(AND(Lists!$BC$37&lt;&gt;"",ISNUMBER(SEARCH($J$4,Lists!$BC$37))),1,0)</f>
        <v/>
      </c>
      <c r="BD90">
        <f>IF(ROW()-56&gt;MAX($BC$57:$BC$95),"",INDEX(Lists!$BC$4:$BC$42,MATCH(ROW()-56,$BC$57:$BC$95,0)))</f>
        <v/>
      </c>
      <c r="BE90">
        <f>BE89+IF(AND(Lists!$BH$37&lt;&gt;"",ISNUMBER(SEARCH($K$4,Lists!$BH$37))),1,0)</f>
        <v/>
      </c>
      <c r="BF90">
        <f>IF(ROW()-56&gt;MAX($BE$57:$BE$95),"",INDEX(Lists!$BH$4:$BH$42,MATCH(ROW()-56,$BE$57:$BE$95,0)))</f>
        <v/>
      </c>
      <c r="BG90">
        <f>BG89+IF(AND(Lists!$BM$37&lt;&gt;"",ISNUMBER(SEARCH($L$4,Lists!$BM$37))),1,0)</f>
        <v/>
      </c>
      <c r="BH90">
        <f>IF(ROW()-56&gt;MAX($BG$57:$BG$95),"",INDEX(Lists!$BM$4:$BM$42,MATCH(ROW()-56,$BG$57:$BG$95,0)))</f>
        <v/>
      </c>
      <c r="BI90">
        <f>BI89+IF(AND(Lists!$BR$37&lt;&gt;"",ISNUMBER(SEARCH($M$4,Lists!$BR$37))),1,0)</f>
        <v/>
      </c>
      <c r="BJ90">
        <f>IF(ROW()-56&gt;MAX($BI$57:$BI$95),"",INDEX(Lists!$BR$4:$BR$42,MATCH(ROW()-56,$BI$57:$BI$95,0)))</f>
        <v/>
      </c>
      <c r="BK90">
        <f>BK89+IF(AND(Lists!$BW$37&lt;&gt;"",ISNUMBER(SEARCH($N$4,Lists!$BW$37))),1,0)</f>
        <v/>
      </c>
      <c r="BL90">
        <f>IF(ROW()-56&gt;MAX($BK$57:$BK$95),"",INDEX(Lists!$BW$4:$BW$42,MATCH(ROW()-56,$BK$57:$BK$95,0)))</f>
        <v/>
      </c>
      <c r="BM90">
        <f>BM89+IF(AND(Lists!$CB$37&lt;&gt;"",ISNUMBER(SEARCH($O$4,Lists!$CB$37))),1,0)</f>
        <v/>
      </c>
      <c r="BN90">
        <f>IF(ROW()-56&gt;MAX($BM$57:$BM$95),"",INDEX(Lists!$CB$4:$CB$42,MATCH(ROW()-56,$BM$57:$BM$95,0)))</f>
        <v/>
      </c>
      <c r="BO90">
        <f>BO89+IF(AND(Lists!$CG$37&lt;&gt;"",ISNUMBER(SEARCH($P$4,Lists!$CG$37))),1,0)</f>
        <v/>
      </c>
      <c r="BP90">
        <f>IF(ROW()-56&gt;MAX($BO$57:$BO$95),"",INDEX(Lists!$CG$4:$CG$42,MATCH(ROW()-56,$BO$57:$BO$95,0)))</f>
        <v/>
      </c>
      <c r="BQ90">
        <f>BQ89+IF(AND(Lists!$CL$37&lt;&gt;"",ISNUMBER(SEARCH($Q$4,Lists!$CL$37))),1,0)</f>
        <v/>
      </c>
      <c r="BR90">
        <f>IF(ROW()-56&gt;MAX($BQ$57:$BQ$95),"",INDEX(Lists!$CL$4:$CL$42,MATCH(ROW()-56,$BQ$57:$BQ$95,0)))</f>
        <v/>
      </c>
      <c r="BS90">
        <f>BS89+IF(AND(Lists!$CQ$37&lt;&gt;"",ISNUMBER(SEARCH($R$4,Lists!$CQ$37))),1,0)</f>
        <v/>
      </c>
      <c r="BT90">
        <f>IF(ROW()-56&gt;MAX($BS$57:$BS$95),"",INDEX(Lists!$CQ$4:$CQ$42,MATCH(ROW()-56,$BS$57:$BS$95,0)))</f>
        <v/>
      </c>
      <c r="BU90">
        <f>BU89+IF(AND(Lists!$CV$37&lt;&gt;"",ISNUMBER(SEARCH($S$4,Lists!$CV$37))),1,0)</f>
        <v/>
      </c>
      <c r="BV90">
        <f>IF(ROW()-56&gt;MAX($BU$57:$BU$95),"",INDEX(Lists!$CV$4:$CV$42,MATCH(ROW()-56,$BU$57:$BU$95,0)))</f>
        <v/>
      </c>
      <c r="BW90">
        <f>BW89+IF(AND(Lists!$DA$37&lt;&gt;"",ISNUMBER(SEARCH($T$4,Lists!$DA$37))),1,0)</f>
        <v/>
      </c>
      <c r="BX90">
        <f>IF(ROW()-56&gt;MAX($BW$57:$BW$95),"",INDEX(Lists!$DA$4:$DA$42,MATCH(ROW()-56,$BW$57:$BW$95,0)))</f>
        <v/>
      </c>
      <c r="BY90">
        <f>BY89+IF(AND(Lists!$DF$37&lt;&gt;"",ISNUMBER(SEARCH($U$4,Lists!$DF$37))),1,0)</f>
        <v/>
      </c>
      <c r="BZ90">
        <f>IF(ROW()-56&gt;MAX($BY$57:$BY$95),"",INDEX(Lists!$DF$4:$DF$42,MATCH(ROW()-56,$BY$57:$BY$95,0)))</f>
        <v/>
      </c>
      <c r="CA90">
        <f>CA89+IF(AND(Lists!$DK$37&lt;&gt;"",ISNUMBER(SEARCH($V$4,Lists!$DK$37))),1,0)</f>
        <v/>
      </c>
      <c r="CB90">
        <f>IF(ROW()-56&gt;MAX($CA$57:$CA$95),"",INDEX(Lists!$DK$4:$DK$42,MATCH(ROW()-56,$CA$57:$CA$95,0)))</f>
        <v/>
      </c>
      <c r="CC90">
        <f>CC89+IF(AND(Lists!$DP$37&lt;&gt;"",ISNUMBER(SEARCH($W$4,Lists!$DP$37))),1,0)</f>
        <v/>
      </c>
      <c r="CD90">
        <f>IF(ROW()-56&gt;MAX($CC$57:$CC$95),"",INDEX(Lists!$DP$4:$DP$42,MATCH(ROW()-56,$CC$57:$CC$95,0)))</f>
        <v/>
      </c>
      <c r="CE90">
        <f>CE89+IF(AND(Lists!$DU$37&lt;&gt;"",ISNUMBER(SEARCH($X$4,Lists!$DU$37))),1,0)</f>
        <v/>
      </c>
      <c r="CF90">
        <f>IF(ROW()-56&gt;MAX($CE$57:$CE$95),"",INDEX(Lists!$DU$4:$DU$42,MATCH(ROW()-56,$CE$57:$CE$95,0)))</f>
        <v/>
      </c>
      <c r="CG90">
        <f>CG89+IF(AND(Lists!$DZ$37&lt;&gt;"",ISNUMBER(SEARCH($Y$4,Lists!$DZ$37))),1,0)</f>
        <v/>
      </c>
      <c r="CH90">
        <f>IF(ROW()-56&gt;MAX($CG$57:$CG$95),"",INDEX(Lists!$DZ$4:$DZ$42,MATCH(ROW()-56,$CG$57:$CG$95,0)))</f>
        <v/>
      </c>
      <c r="CI90">
        <f>CI89+IF(AND(Lists!$EE$37&lt;&gt;"",ISNUMBER(SEARCH($Z$4,Lists!$EE$37))),1,0)</f>
        <v/>
      </c>
      <c r="CJ90">
        <f>IF(ROW()-56&gt;MAX($CI$57:$CI$95),"",INDEX(Lists!$EE$4:$EE$42,MATCH(ROW()-56,$CI$57:$CI$95,0)))</f>
        <v/>
      </c>
      <c r="CK90">
        <f>CK89+IF(AND(Lists!$EJ$37&lt;&gt;"",ISNUMBER(SEARCH($AA$4,Lists!$EJ$37))),1,0)</f>
        <v/>
      </c>
      <c r="CL90">
        <f>IF(ROW()-56&gt;MAX($CK$57:$CK$95),"",INDEX(Lists!$EJ$4:$EJ$42,MATCH(ROW()-56,$CK$57:$CK$95,0)))</f>
        <v/>
      </c>
      <c r="CM90">
        <f>CM89+IF(AND(Lists!$EO$37&lt;&gt;"",ISNUMBER(SEARCH($AB$4,Lists!$EO$37))),1,0)</f>
        <v/>
      </c>
      <c r="CN90">
        <f>IF(ROW()-56&gt;MAX($CM$57:$CM$95),"",INDEX(Lists!$EO$4:$EO$42,MATCH(ROW()-56,$CM$57:$CM$95,0)))</f>
        <v/>
      </c>
      <c r="CO90">
        <f>CO89+IF(AND(Lists!$ET$37&lt;&gt;"",ISNUMBER(SEARCH($AC$4,Lists!$ET$37))),1,0)</f>
        <v/>
      </c>
      <c r="CP90">
        <f>IF(ROW()-56&gt;MAX($CO$57:$CO$95),"",INDEX(Lists!$ET$4:$ET$42,MATCH(ROW()-56,$CO$57:$CO$95,0)))</f>
        <v/>
      </c>
      <c r="CQ90">
        <f>CQ89+IF(AND(Lists!$EY$37&lt;&gt;"",ISNUMBER(SEARCH($AD$4,Lists!$EY$37))),1,0)</f>
        <v/>
      </c>
      <c r="CR90">
        <f>IF(ROW()-56&gt;MAX($CQ$57:$CQ$95),"",INDEX(Lists!$EY$4:$EY$42,MATCH(ROW()-56,$CQ$57:$CQ$95,0)))</f>
        <v/>
      </c>
      <c r="CS90">
        <f>CS89+IF(AND(Lists!$FD$37&lt;&gt;"",ISNUMBER(SEARCH($AE$4,Lists!$FD$37))),1,0)</f>
        <v/>
      </c>
      <c r="CT90">
        <f>IF(ROW()-56&gt;MAX($CS$57:$CS$95),"",INDEX(Lists!$FD$4:$FD$42,MATCH(ROW()-56,$CS$57:$CS$95,0)))</f>
        <v/>
      </c>
      <c r="CU90">
        <f>CU89+IF(AND(Lists!$FI$37&lt;&gt;"",ISNUMBER(SEARCH($AG$4,Lists!$FI$37))),1,0)</f>
        <v/>
      </c>
      <c r="CV90">
        <f>IF(ROW()-56&gt;MAX($CU$57:$CU$95),"",INDEX(Lists!$FI$4:$FI$42,MATCH(ROW()-56,$CU$57:$CU$95,0)))</f>
        <v/>
      </c>
      <c r="CW90">
        <f>CW89+IF(AND(Lists!$FN$37&lt;&gt;"",ISNUMBER(SEARCH($AH$4,Lists!$FN$37))),1,0)</f>
        <v/>
      </c>
      <c r="CX90">
        <f>IF(ROW()-56&gt;MAX($CW$57:$CW$95),"",INDEX(Lists!$FN$4:$FN$42,MATCH(ROW()-56,$CW$57:$CW$95,0)))</f>
        <v/>
      </c>
      <c r="CY90">
        <f>CY89+IF(AND(Lists!$FS$37&lt;&gt;"",ISNUMBER(SEARCH($AI$4,Lists!$FS$37))),1,0)</f>
        <v/>
      </c>
      <c r="CZ90">
        <f>IF(ROW()-56&gt;MAX($CY$57:$CY$95),"",INDEX(Lists!$FS$4:$FS$42,MATCH(ROW()-56,$CY$57:$CY$95,0)))</f>
        <v/>
      </c>
      <c r="DA90">
        <f>DA89+IF(AND(Lists!$FX$37&lt;&gt;"",ISNUMBER(SEARCH($AF$4,Lists!$FX$37))),1,0)</f>
        <v/>
      </c>
      <c r="DB90">
        <f>IF(ROW()-56&gt;MAX($DA$57:$DA$95),"",INDEX(Lists!$FX$4:$FX$42,MATCH(ROW()-56,$DA$57:$DA$95,0)))</f>
        <v/>
      </c>
      <c r="DG90">
        <f>IF($B$4="",1,IF($B$4="(blank)",--('Final Calculation Sheet'!$F$35=""),IF($B$4="(nonblank)",--('Final Calculation Sheet'!$F$35&lt;&gt;""),--ISNUMBER(SEARCH($B$4,'Final Calculation Sheet'!$F$35)))))</f>
        <v/>
      </c>
      <c r="DH90">
        <f>IF($C$4="",1,IF($C$4="(blank)",--('Final Calculation Sheet'!$G$35=""),IF($C$4="(nonblank)",--('Final Calculation Sheet'!$G$35&lt;&gt;""),--ISNUMBER(SEARCH($C$4,'Final Calculation Sheet'!$G$35)))))</f>
        <v/>
      </c>
      <c r="DI90">
        <f>IF($D$4="",1,IF($D$4="(blank)",--('Final Calculation Sheet'!$B$35=""),IF($D$4="(nonblank)",--('Final Calculation Sheet'!$B$35&lt;&gt;""),--ISNUMBER(SEARCH($D$4,'Final Calculation Sheet'!$B$35)))))</f>
        <v/>
      </c>
      <c r="DJ90">
        <f>IF($E$4="",1,IF($E$4="(blank)",--('Final Calculation Sheet'!$D$35=""),IF($E$4="(nonblank)",--('Final Calculation Sheet'!$D$35&lt;&gt;""),--ISNUMBER(SEARCH($E$4,'Final Calculation Sheet'!$D$35)))))</f>
        <v/>
      </c>
      <c r="DK90">
        <f>IF($F$4="",1,IF($F$4="(blank)",--('Final Calculation Sheet'!$A$35=""),IF($F$4="(nonblank)",--('Final Calculation Sheet'!$A$35&lt;&gt;""),--ISNUMBER(SEARCH($F$4,'Final Calculation Sheet'!$A$35)))))</f>
        <v/>
      </c>
      <c r="DL90">
        <f>IF($G$4="",1,IF($G$4="(blank)",--('Final Calculation Sheet'!$E$35=""),IF($G$4="(nonblank)",--('Final Calculation Sheet'!$E$35&lt;&gt;""),--ISNUMBER(SEARCH($G$4,'Final Calculation Sheet'!$E$35)))))</f>
        <v/>
      </c>
      <c r="DM90">
        <f>IF($H$4="",1,IF($H$4="(blank)",--('Final Calculation Sheet'!$C$35=""),IF($H$4="(nonblank)",--('Final Calculation Sheet'!$C$35&lt;&gt;""),--ISNUMBER(SEARCH($H$4,'Final Calculation Sheet'!$C$35)))))</f>
        <v/>
      </c>
      <c r="DN90">
        <f>IF($I$4="",1,IF($I$4="(blank)",--('Final Calculation Sheet'!$H$35=""),IF($I$4="(nonblank)",--('Final Calculation Sheet'!$H$35&lt;&gt;""),--ISNUMBER(SEARCH($I$4,'Final Calculation Sheet'!$H$35)))))</f>
        <v/>
      </c>
      <c r="DO90">
        <f>IF($J$4="",1,IF($J$4="(blank)",--('Final Calculation Sheet'!$I$35=""),IF($J$4="(nonblank)",--('Final Calculation Sheet'!$I$35&lt;&gt;""),--ISNUMBER(SEARCH($J$4,'Final Calculation Sheet'!$I$35)))))</f>
        <v/>
      </c>
      <c r="DP90">
        <f>IF($K$4="",1,IF($K$4="(blank)",--('Final Calculation Sheet'!$J$35=""),IF($K$4="(nonblank)",--('Final Calculation Sheet'!$J$35&lt;&gt;""),--ISNUMBER(SEARCH($K$4,'Final Calculation Sheet'!$J$35)))))</f>
        <v/>
      </c>
      <c r="DQ90">
        <f>IF($L$4="",1,IF($L$4="(blank)",--('Final Calculation Sheet'!$K$35=""),IF($L$4="(nonblank)",--('Final Calculation Sheet'!$K$35&lt;&gt;""),--ISNUMBER(SEARCH($L$4,'Final Calculation Sheet'!$K$35)))))</f>
        <v/>
      </c>
      <c r="DR90">
        <f>IF($M$4="",1,IF($M$4="(blank)",--('Final Calculation Sheet'!$L$35=""),IF($M$4="(nonblank)",--('Final Calculation Sheet'!$L$35&lt;&gt;""),--ISNUMBER(SEARCH($M$4,'Final Calculation Sheet'!$L$35)))))</f>
        <v/>
      </c>
      <c r="DS90">
        <f>IF($N$4="",1,IF($N$4="(blank)",--('Final Calculation Sheet'!$M$35=""),IF($N$4="(nonblank)",--('Final Calculation Sheet'!$M$35&lt;&gt;""),--ISNUMBER(SEARCH($N$4,'Final Calculation Sheet'!$M$35)))))</f>
        <v/>
      </c>
      <c r="DT90">
        <f>IF($O$4="",1,IF($O$4="(blank)",--('Final Calculation Sheet'!$N$35=""),IF($O$4="(nonblank)",--('Final Calculation Sheet'!$N$35&lt;&gt;""),--ISNUMBER(SEARCH($O$4,'Final Calculation Sheet'!$N$35)))))</f>
        <v/>
      </c>
      <c r="DU90">
        <f>IF($P$4="",1,IF($P$4="(blank)",--('Final Calculation Sheet'!$O$35=""),IF($P$4="(nonblank)",--('Final Calculation Sheet'!$O$35&lt;&gt;""),--ISNUMBER(SEARCH($P$4,'Final Calculation Sheet'!$O$35)))))</f>
        <v/>
      </c>
      <c r="DV90">
        <f>IF($Q$4="",1,IF($Q$4="(blank)",--('Final Calculation Sheet'!$P$35=""),IF($Q$4="(nonblank)",--('Final Calculation Sheet'!$P$35&lt;&gt;""),--ISNUMBER(SEARCH($Q$4,'Final Calculation Sheet'!$P$35)))))</f>
        <v/>
      </c>
      <c r="DW90">
        <f>IF($R$4="",1,IF($R$4="(blank)",--('Final Calculation Sheet'!$Q$35=""),IF($R$4="(nonblank)",--('Final Calculation Sheet'!$Q$35&lt;&gt;""),--ISNUMBER(SEARCH($R$4,'Final Calculation Sheet'!$Q$35)))))</f>
        <v/>
      </c>
      <c r="DX90">
        <f>IF($S$4="",1,IF($S$4="(blank)",--('Final Calculation Sheet'!$R$35=""),IF($S$4="(nonblank)",--('Final Calculation Sheet'!$R$35&lt;&gt;""),--ISNUMBER(SEARCH($S$4,'Final Calculation Sheet'!$R$35)))))</f>
        <v/>
      </c>
      <c r="DY90">
        <f>IF($T$4="",1,IF($T$4="(blank)",--('Final Calculation Sheet'!$S$35=""),IF($T$4="(nonblank)",--('Final Calculation Sheet'!$S$35&lt;&gt;""),--ISNUMBER(SEARCH($T$4,'Final Calculation Sheet'!$S$35)))))</f>
        <v/>
      </c>
      <c r="DZ90">
        <f>IF($U$4="",1,IF($U$4="(blank)",--('Final Calculation Sheet'!$T$35=""),IF($U$4="(nonblank)",--('Final Calculation Sheet'!$T$35&lt;&gt;""),--ISNUMBER(SEARCH($U$4,'Final Calculation Sheet'!$T$35)))))</f>
        <v/>
      </c>
      <c r="EA90">
        <f>IF($V$4="",1,IF($V$4="(blank)",--('Final Calculation Sheet'!$U$35=""),IF($V$4="(nonblank)",--('Final Calculation Sheet'!$U$35&lt;&gt;""),--ISNUMBER(SEARCH($V$4,'Final Calculation Sheet'!$U$35)))))</f>
        <v/>
      </c>
      <c r="EB90">
        <f>IF($W$4="",1,IF($W$4="(blank)",--('Final Calculation Sheet'!$V$35=""),IF($W$4="(nonblank)",--('Final Calculation Sheet'!$V$35&lt;&gt;""),--ISNUMBER(SEARCH($W$4,'Final Calculation Sheet'!$V$35)))))</f>
        <v/>
      </c>
      <c r="EC90">
        <f>IF($X$4="",1,IF($X$4="(blank)",--('Final Calculation Sheet'!$W$35=""),IF($X$4="(nonblank)",--('Final Calculation Sheet'!$W$35&lt;&gt;""),--ISNUMBER(SEARCH($X$4,'Final Calculation Sheet'!$W$35)))))</f>
        <v/>
      </c>
      <c r="ED90">
        <f>IF($Y$4="",1,IF($Y$4="(blank)",--('Final Calculation Sheet'!$X$35=""),IF($Y$4="(nonblank)",--('Final Calculation Sheet'!$X$35&lt;&gt;""),--ISNUMBER(SEARCH($Y$4,'Final Calculation Sheet'!$X$35)))))</f>
        <v/>
      </c>
      <c r="EE90">
        <f>IF($Z$4="",1,IF($Z$4="(blank)",--('Final Calculation Sheet'!$Y$35=""),IF($Z$4="(nonblank)",--('Final Calculation Sheet'!$Y$35&lt;&gt;""),--ISNUMBER(SEARCH($Z$4,'Final Calculation Sheet'!$Y$35)))))</f>
        <v/>
      </c>
      <c r="EF90">
        <f>IF($AA$4="",1,IF($AA$4="(blank)",--('Final Calculation Sheet'!$Z$35=""),IF($AA$4="(nonblank)",--('Final Calculation Sheet'!$Z$35&lt;&gt;""),--ISNUMBER(SEARCH($AA$4,'Final Calculation Sheet'!$Z$35)))))</f>
        <v/>
      </c>
      <c r="EG90">
        <f>IF($AB$4="",1,IF($AB$4="(blank)",--('Final Calculation Sheet'!$AA$35=""),IF($AB$4="(nonblank)",--('Final Calculation Sheet'!$AA$35&lt;&gt;""),--ISNUMBER(SEARCH($AB$4,'Final Calculation Sheet'!$AA$35)))))</f>
        <v/>
      </c>
      <c r="EH90">
        <f>IF($AC$4="",1,IF($AC$4="(blank)",--('Final Calculation Sheet'!$AB$35=""),IF($AC$4="(nonblank)",--('Final Calculation Sheet'!$AB$35&lt;&gt;""),--ISNUMBER(SEARCH($AC$4,'Final Calculation Sheet'!$AB$35)))))</f>
        <v/>
      </c>
      <c r="EI90">
        <f>IF($AD$4="",1,IF($AD$4="(blank)",--('Final Calculation Sheet'!$AC$35=""),IF($AD$4="(nonblank)",--('Final Calculation Sheet'!$AC$35&lt;&gt;""),--ISNUMBER(SEARCH($AD$4,'Final Calculation Sheet'!$AC$35)))))</f>
        <v/>
      </c>
      <c r="EJ90">
        <f>IF($AE$4="",1,IF($AE$4="(blank)",--('Final Calculation Sheet'!$AD$35=""),IF($AE$4="(nonblank)",--('Final Calculation Sheet'!$AD$35&lt;&gt;""),--ISNUMBER(SEARCH($AE$4,'Final Calculation Sheet'!$AD$35)))))</f>
        <v/>
      </c>
      <c r="EK90">
        <f>IF($AF$4="",1,IF($AF$4="(blank)",--(IF('Final Calculation Sheet'!$AD$35&lt;=5,"SETTLED","OUTSTANDING")=""),IF($AF$4="(nonblank)",--(IF('Final Calculation Sheet'!$AD$35&lt;=5,"SETTLED","OUTSTANDING")&lt;&gt;""),--ISNUMBER(SEARCH($AF$4,IF('Final Calculation Sheet'!$AD$35&lt;=5,"SETTLED","OUTSTANDING"))))))</f>
        <v/>
      </c>
      <c r="EL90">
        <f>IF($AG$4="",1,IF($AG$4="(blank)",--('Final Calculation Sheet'!$AF$35=""),IF($AG$4="(nonblank)",--('Final Calculation Sheet'!$AF$35&lt;&gt;""),--ISNUMBER(SEARCH($AG$4,'Final Calculation Sheet'!$AF$35)))))</f>
        <v/>
      </c>
      <c r="EM90">
        <f>IF($AH$4="",1,IF($AH$4="(blank)",--('Final Calculation Sheet'!$AG$35=""),IF($AH$4="(nonblank)",--('Final Calculation Sheet'!$AG$35&lt;&gt;""),--ISNUMBER(SEARCH($AH$4,'Final Calculation Sheet'!$AG$35)))))</f>
        <v/>
      </c>
      <c r="EN90">
        <f>IF($AI$4="",1,IF($AI$4="(blank)",--('Final Calculation Sheet'!$AH$35=""),IF($AI$4="(nonblank)",--('Final Calculation Sheet'!$AH$35&lt;&gt;""),--ISNUMBER(SEARCH($AI$4,'Final Calculation Sheet'!$AH$35)))))</f>
        <v/>
      </c>
    </row>
    <row r="91">
      <c r="AM91">
        <f>AM90+IF(AND(Lists!$O$38&lt;&gt;"",ISNUMBER(SEARCH($B$4,Lists!$O$38))),1,0)</f>
        <v/>
      </c>
      <c r="AN91">
        <f>IF(ROW()-56&gt;MAX($AM$57:$AM$95),"",INDEX(Lists!$O$4:$O$42,MATCH(ROW()-56,$AM$57:$AM$95,0)))</f>
        <v/>
      </c>
      <c r="AO91">
        <f>AO90+IF(AND(Lists!$T$38&lt;&gt;"",ISNUMBER(SEARCH($C$4,Lists!$T$38))),1,0)</f>
        <v/>
      </c>
      <c r="AP91">
        <f>IF(ROW()-56&gt;MAX($AO$57:$AO$95),"",INDEX(Lists!$T$4:$T$42,MATCH(ROW()-56,$AO$57:$AO$95,0)))</f>
        <v/>
      </c>
      <c r="AQ91">
        <f>AQ90+IF(AND(Lists!$Y$38&lt;&gt;"",ISNUMBER(SEARCH($D$4,Lists!$Y$38))),1,0)</f>
        <v/>
      </c>
      <c r="AR91">
        <f>IF(ROW()-56&gt;MAX($AQ$57:$AQ$95),"",INDEX(Lists!$Y$4:$Y$42,MATCH(ROW()-56,$AQ$57:$AQ$95,0)))</f>
        <v/>
      </c>
      <c r="AS91">
        <f>AS90+IF(AND(Lists!$AD$38&lt;&gt;"",ISNUMBER(SEARCH($E$4,Lists!$AD$38))),1,0)</f>
        <v/>
      </c>
      <c r="AT91">
        <f>IF(ROW()-56&gt;MAX($AS$57:$AS$95),"",INDEX(Lists!$AD$4:$AD$42,MATCH(ROW()-56,$AS$57:$AS$95,0)))</f>
        <v/>
      </c>
      <c r="AU91">
        <f>AU90+IF(AND(Lists!$AI$38&lt;&gt;"",ISNUMBER(SEARCH($F$4,Lists!$AI$38))),1,0)</f>
        <v/>
      </c>
      <c r="AV91">
        <f>IF(ROW()-56&gt;MAX($AU$57:$AU$95),"",INDEX(Lists!$AI$4:$AI$42,MATCH(ROW()-56,$AU$57:$AU$95,0)))</f>
        <v/>
      </c>
      <c r="AW91">
        <f>AW90+IF(AND(Lists!$AN$38&lt;&gt;"",ISNUMBER(SEARCH($G$4,Lists!$AN$38))),1,0)</f>
        <v/>
      </c>
      <c r="AX91">
        <f>IF(ROW()-56&gt;MAX($AW$57:$AW$95),"",INDEX(Lists!$AN$4:$AN$42,MATCH(ROW()-56,$AW$57:$AW$95,0)))</f>
        <v/>
      </c>
      <c r="AY91">
        <f>AY90+IF(AND(Lists!$AS$38&lt;&gt;"",ISNUMBER(SEARCH($H$4,Lists!$AS$38))),1,0)</f>
        <v/>
      </c>
      <c r="AZ91">
        <f>IF(ROW()-56&gt;MAX($AY$57:$AY$95),"",INDEX(Lists!$AS$4:$AS$42,MATCH(ROW()-56,$AY$57:$AY$95,0)))</f>
        <v/>
      </c>
      <c r="BA91">
        <f>BA90+IF(AND(Lists!$AX$38&lt;&gt;"",ISNUMBER(SEARCH($I$4,Lists!$AX$38))),1,0)</f>
        <v/>
      </c>
      <c r="BB91">
        <f>IF(ROW()-56&gt;MAX($BA$57:$BA$95),"",INDEX(Lists!$AX$4:$AX$42,MATCH(ROW()-56,$BA$57:$BA$95,0)))</f>
        <v/>
      </c>
      <c r="BC91">
        <f>BC90+IF(AND(Lists!$BC$38&lt;&gt;"",ISNUMBER(SEARCH($J$4,Lists!$BC$38))),1,0)</f>
        <v/>
      </c>
      <c r="BD91">
        <f>IF(ROW()-56&gt;MAX($BC$57:$BC$95),"",INDEX(Lists!$BC$4:$BC$42,MATCH(ROW()-56,$BC$57:$BC$95,0)))</f>
        <v/>
      </c>
      <c r="BE91">
        <f>BE90+IF(AND(Lists!$BH$38&lt;&gt;"",ISNUMBER(SEARCH($K$4,Lists!$BH$38))),1,0)</f>
        <v/>
      </c>
      <c r="BF91">
        <f>IF(ROW()-56&gt;MAX($BE$57:$BE$95),"",INDEX(Lists!$BH$4:$BH$42,MATCH(ROW()-56,$BE$57:$BE$95,0)))</f>
        <v/>
      </c>
      <c r="BG91">
        <f>BG90+IF(AND(Lists!$BM$38&lt;&gt;"",ISNUMBER(SEARCH($L$4,Lists!$BM$38))),1,0)</f>
        <v/>
      </c>
      <c r="BH91">
        <f>IF(ROW()-56&gt;MAX($BG$57:$BG$95),"",INDEX(Lists!$BM$4:$BM$42,MATCH(ROW()-56,$BG$57:$BG$95,0)))</f>
        <v/>
      </c>
      <c r="BI91">
        <f>BI90+IF(AND(Lists!$BR$38&lt;&gt;"",ISNUMBER(SEARCH($M$4,Lists!$BR$38))),1,0)</f>
        <v/>
      </c>
      <c r="BJ91">
        <f>IF(ROW()-56&gt;MAX($BI$57:$BI$95),"",INDEX(Lists!$BR$4:$BR$42,MATCH(ROW()-56,$BI$57:$BI$95,0)))</f>
        <v/>
      </c>
      <c r="BK91">
        <f>BK90+IF(AND(Lists!$BW$38&lt;&gt;"",ISNUMBER(SEARCH($N$4,Lists!$BW$38))),1,0)</f>
        <v/>
      </c>
      <c r="BL91">
        <f>IF(ROW()-56&gt;MAX($BK$57:$BK$95),"",INDEX(Lists!$BW$4:$BW$42,MATCH(ROW()-56,$BK$57:$BK$95,0)))</f>
        <v/>
      </c>
      <c r="BM91">
        <f>BM90+IF(AND(Lists!$CB$38&lt;&gt;"",ISNUMBER(SEARCH($O$4,Lists!$CB$38))),1,0)</f>
        <v/>
      </c>
      <c r="BN91">
        <f>IF(ROW()-56&gt;MAX($BM$57:$BM$95),"",INDEX(Lists!$CB$4:$CB$42,MATCH(ROW()-56,$BM$57:$BM$95,0)))</f>
        <v/>
      </c>
      <c r="BO91">
        <f>BO90+IF(AND(Lists!$CG$38&lt;&gt;"",ISNUMBER(SEARCH($P$4,Lists!$CG$38))),1,0)</f>
        <v/>
      </c>
      <c r="BP91">
        <f>IF(ROW()-56&gt;MAX($BO$57:$BO$95),"",INDEX(Lists!$CG$4:$CG$42,MATCH(ROW()-56,$BO$57:$BO$95,0)))</f>
        <v/>
      </c>
      <c r="BQ91">
        <f>BQ90+IF(AND(Lists!$CL$38&lt;&gt;"",ISNUMBER(SEARCH($Q$4,Lists!$CL$38))),1,0)</f>
        <v/>
      </c>
      <c r="BR91">
        <f>IF(ROW()-56&gt;MAX($BQ$57:$BQ$95),"",INDEX(Lists!$CL$4:$CL$42,MATCH(ROW()-56,$BQ$57:$BQ$95,0)))</f>
        <v/>
      </c>
      <c r="BS91">
        <f>BS90+IF(AND(Lists!$CQ$38&lt;&gt;"",ISNUMBER(SEARCH($R$4,Lists!$CQ$38))),1,0)</f>
        <v/>
      </c>
      <c r="BT91">
        <f>IF(ROW()-56&gt;MAX($BS$57:$BS$95),"",INDEX(Lists!$CQ$4:$CQ$42,MATCH(ROW()-56,$BS$57:$BS$95,0)))</f>
        <v/>
      </c>
      <c r="BU91">
        <f>BU90+IF(AND(Lists!$CV$38&lt;&gt;"",ISNUMBER(SEARCH($S$4,Lists!$CV$38))),1,0)</f>
        <v/>
      </c>
      <c r="BV91">
        <f>IF(ROW()-56&gt;MAX($BU$57:$BU$95),"",INDEX(Lists!$CV$4:$CV$42,MATCH(ROW()-56,$BU$57:$BU$95,0)))</f>
        <v/>
      </c>
      <c r="BW91">
        <f>BW90+IF(AND(Lists!$DA$38&lt;&gt;"",ISNUMBER(SEARCH($T$4,Lists!$DA$38))),1,0)</f>
        <v/>
      </c>
      <c r="BX91">
        <f>IF(ROW()-56&gt;MAX($BW$57:$BW$95),"",INDEX(Lists!$DA$4:$DA$42,MATCH(ROW()-56,$BW$57:$BW$95,0)))</f>
        <v/>
      </c>
      <c r="BY91">
        <f>BY90+IF(AND(Lists!$DF$38&lt;&gt;"",ISNUMBER(SEARCH($U$4,Lists!$DF$38))),1,0)</f>
        <v/>
      </c>
      <c r="BZ91">
        <f>IF(ROW()-56&gt;MAX($BY$57:$BY$95),"",INDEX(Lists!$DF$4:$DF$42,MATCH(ROW()-56,$BY$57:$BY$95,0)))</f>
        <v/>
      </c>
      <c r="CA91">
        <f>CA90+IF(AND(Lists!$DK$38&lt;&gt;"",ISNUMBER(SEARCH($V$4,Lists!$DK$38))),1,0)</f>
        <v/>
      </c>
      <c r="CB91">
        <f>IF(ROW()-56&gt;MAX($CA$57:$CA$95),"",INDEX(Lists!$DK$4:$DK$42,MATCH(ROW()-56,$CA$57:$CA$95,0)))</f>
        <v/>
      </c>
      <c r="CC91">
        <f>CC90+IF(AND(Lists!$DP$38&lt;&gt;"",ISNUMBER(SEARCH($W$4,Lists!$DP$38))),1,0)</f>
        <v/>
      </c>
      <c r="CD91">
        <f>IF(ROW()-56&gt;MAX($CC$57:$CC$95),"",INDEX(Lists!$DP$4:$DP$42,MATCH(ROW()-56,$CC$57:$CC$95,0)))</f>
        <v/>
      </c>
      <c r="CE91">
        <f>CE90+IF(AND(Lists!$DU$38&lt;&gt;"",ISNUMBER(SEARCH($X$4,Lists!$DU$38))),1,0)</f>
        <v/>
      </c>
      <c r="CF91">
        <f>IF(ROW()-56&gt;MAX($CE$57:$CE$95),"",INDEX(Lists!$DU$4:$DU$42,MATCH(ROW()-56,$CE$57:$CE$95,0)))</f>
        <v/>
      </c>
      <c r="CG91">
        <f>CG90+IF(AND(Lists!$DZ$38&lt;&gt;"",ISNUMBER(SEARCH($Y$4,Lists!$DZ$38))),1,0)</f>
        <v/>
      </c>
      <c r="CH91">
        <f>IF(ROW()-56&gt;MAX($CG$57:$CG$95),"",INDEX(Lists!$DZ$4:$DZ$42,MATCH(ROW()-56,$CG$57:$CG$95,0)))</f>
        <v/>
      </c>
      <c r="CI91">
        <f>CI90+IF(AND(Lists!$EE$38&lt;&gt;"",ISNUMBER(SEARCH($Z$4,Lists!$EE$38))),1,0)</f>
        <v/>
      </c>
      <c r="CJ91">
        <f>IF(ROW()-56&gt;MAX($CI$57:$CI$95),"",INDEX(Lists!$EE$4:$EE$42,MATCH(ROW()-56,$CI$57:$CI$95,0)))</f>
        <v/>
      </c>
      <c r="CK91">
        <f>CK90+IF(AND(Lists!$EJ$38&lt;&gt;"",ISNUMBER(SEARCH($AA$4,Lists!$EJ$38))),1,0)</f>
        <v/>
      </c>
      <c r="CL91">
        <f>IF(ROW()-56&gt;MAX($CK$57:$CK$95),"",INDEX(Lists!$EJ$4:$EJ$42,MATCH(ROW()-56,$CK$57:$CK$95,0)))</f>
        <v/>
      </c>
      <c r="CM91">
        <f>CM90+IF(AND(Lists!$EO$38&lt;&gt;"",ISNUMBER(SEARCH($AB$4,Lists!$EO$38))),1,0)</f>
        <v/>
      </c>
      <c r="CN91">
        <f>IF(ROW()-56&gt;MAX($CM$57:$CM$95),"",INDEX(Lists!$EO$4:$EO$42,MATCH(ROW()-56,$CM$57:$CM$95,0)))</f>
        <v/>
      </c>
      <c r="CO91">
        <f>CO90+IF(AND(Lists!$ET$38&lt;&gt;"",ISNUMBER(SEARCH($AC$4,Lists!$ET$38))),1,0)</f>
        <v/>
      </c>
      <c r="CP91">
        <f>IF(ROW()-56&gt;MAX($CO$57:$CO$95),"",INDEX(Lists!$ET$4:$ET$42,MATCH(ROW()-56,$CO$57:$CO$95,0)))</f>
        <v/>
      </c>
      <c r="CQ91">
        <f>CQ90+IF(AND(Lists!$EY$38&lt;&gt;"",ISNUMBER(SEARCH($AD$4,Lists!$EY$38))),1,0)</f>
        <v/>
      </c>
      <c r="CR91">
        <f>IF(ROW()-56&gt;MAX($CQ$57:$CQ$95),"",INDEX(Lists!$EY$4:$EY$42,MATCH(ROW()-56,$CQ$57:$CQ$95,0)))</f>
        <v/>
      </c>
      <c r="CS91">
        <f>CS90+IF(AND(Lists!$FD$38&lt;&gt;"",ISNUMBER(SEARCH($AE$4,Lists!$FD$38))),1,0)</f>
        <v/>
      </c>
      <c r="CT91">
        <f>IF(ROW()-56&gt;MAX($CS$57:$CS$95),"",INDEX(Lists!$FD$4:$FD$42,MATCH(ROW()-56,$CS$57:$CS$95,0)))</f>
        <v/>
      </c>
      <c r="CU91">
        <f>CU90+IF(AND(Lists!$FI$38&lt;&gt;"",ISNUMBER(SEARCH($AG$4,Lists!$FI$38))),1,0)</f>
        <v/>
      </c>
      <c r="CV91">
        <f>IF(ROW()-56&gt;MAX($CU$57:$CU$95),"",INDEX(Lists!$FI$4:$FI$42,MATCH(ROW()-56,$CU$57:$CU$95,0)))</f>
        <v/>
      </c>
      <c r="CW91">
        <f>CW90+IF(AND(Lists!$FN$38&lt;&gt;"",ISNUMBER(SEARCH($AH$4,Lists!$FN$38))),1,0)</f>
        <v/>
      </c>
      <c r="CX91">
        <f>IF(ROW()-56&gt;MAX($CW$57:$CW$95),"",INDEX(Lists!$FN$4:$FN$42,MATCH(ROW()-56,$CW$57:$CW$95,0)))</f>
        <v/>
      </c>
      <c r="CY91">
        <f>CY90+IF(AND(Lists!$FS$38&lt;&gt;"",ISNUMBER(SEARCH($AI$4,Lists!$FS$38))),1,0)</f>
        <v/>
      </c>
      <c r="CZ91">
        <f>IF(ROW()-56&gt;MAX($CY$57:$CY$95),"",INDEX(Lists!$FS$4:$FS$42,MATCH(ROW()-56,$CY$57:$CY$95,0)))</f>
        <v/>
      </c>
      <c r="DA91">
        <f>DA90+IF(AND(Lists!$FX$38&lt;&gt;"",ISNUMBER(SEARCH($AF$4,Lists!$FX$38))),1,0)</f>
        <v/>
      </c>
      <c r="DB91">
        <f>IF(ROW()-56&gt;MAX($DA$57:$DA$95),"",INDEX(Lists!$FX$4:$FX$42,MATCH(ROW()-56,$DA$57:$DA$95,0)))</f>
        <v/>
      </c>
      <c r="DG91">
        <f>IF($B$4="",1,IF($B$4="(blank)",--('Final Calculation Sheet'!$F$36=""),IF($B$4="(nonblank)",--('Final Calculation Sheet'!$F$36&lt;&gt;""),--ISNUMBER(SEARCH($B$4,'Final Calculation Sheet'!$F$36)))))</f>
        <v/>
      </c>
      <c r="DH91">
        <f>IF($C$4="",1,IF($C$4="(blank)",--('Final Calculation Sheet'!$G$36=""),IF($C$4="(nonblank)",--('Final Calculation Sheet'!$G$36&lt;&gt;""),--ISNUMBER(SEARCH($C$4,'Final Calculation Sheet'!$G$36)))))</f>
        <v/>
      </c>
      <c r="DI91">
        <f>IF($D$4="",1,IF($D$4="(blank)",--('Final Calculation Sheet'!$B$36=""),IF($D$4="(nonblank)",--('Final Calculation Sheet'!$B$36&lt;&gt;""),--ISNUMBER(SEARCH($D$4,'Final Calculation Sheet'!$B$36)))))</f>
        <v/>
      </c>
      <c r="DJ91">
        <f>IF($E$4="",1,IF($E$4="(blank)",--('Final Calculation Sheet'!$D$36=""),IF($E$4="(nonblank)",--('Final Calculation Sheet'!$D$36&lt;&gt;""),--ISNUMBER(SEARCH($E$4,'Final Calculation Sheet'!$D$36)))))</f>
        <v/>
      </c>
      <c r="DK91">
        <f>IF($F$4="",1,IF($F$4="(blank)",--('Final Calculation Sheet'!$A$36=""),IF($F$4="(nonblank)",--('Final Calculation Sheet'!$A$36&lt;&gt;""),--ISNUMBER(SEARCH($F$4,'Final Calculation Sheet'!$A$36)))))</f>
        <v/>
      </c>
      <c r="DL91">
        <f>IF($G$4="",1,IF($G$4="(blank)",--('Final Calculation Sheet'!$E$36=""),IF($G$4="(nonblank)",--('Final Calculation Sheet'!$E$36&lt;&gt;""),--ISNUMBER(SEARCH($G$4,'Final Calculation Sheet'!$E$36)))))</f>
        <v/>
      </c>
      <c r="DM91">
        <f>IF($H$4="",1,IF($H$4="(blank)",--('Final Calculation Sheet'!$C$36=""),IF($H$4="(nonblank)",--('Final Calculation Sheet'!$C$36&lt;&gt;""),--ISNUMBER(SEARCH($H$4,'Final Calculation Sheet'!$C$36)))))</f>
        <v/>
      </c>
      <c r="DN91">
        <f>IF($I$4="",1,IF($I$4="(blank)",--('Final Calculation Sheet'!$H$36=""),IF($I$4="(nonblank)",--('Final Calculation Sheet'!$H$36&lt;&gt;""),--ISNUMBER(SEARCH($I$4,'Final Calculation Sheet'!$H$36)))))</f>
        <v/>
      </c>
      <c r="DO91">
        <f>IF($J$4="",1,IF($J$4="(blank)",--('Final Calculation Sheet'!$I$36=""),IF($J$4="(nonblank)",--('Final Calculation Sheet'!$I$36&lt;&gt;""),--ISNUMBER(SEARCH($J$4,'Final Calculation Sheet'!$I$36)))))</f>
        <v/>
      </c>
      <c r="DP91">
        <f>IF($K$4="",1,IF($K$4="(blank)",--('Final Calculation Sheet'!$J$36=""),IF($K$4="(nonblank)",--('Final Calculation Sheet'!$J$36&lt;&gt;""),--ISNUMBER(SEARCH($K$4,'Final Calculation Sheet'!$J$36)))))</f>
        <v/>
      </c>
      <c r="DQ91">
        <f>IF($L$4="",1,IF($L$4="(blank)",--('Final Calculation Sheet'!$K$36=""),IF($L$4="(nonblank)",--('Final Calculation Sheet'!$K$36&lt;&gt;""),--ISNUMBER(SEARCH($L$4,'Final Calculation Sheet'!$K$36)))))</f>
        <v/>
      </c>
      <c r="DR91">
        <f>IF($M$4="",1,IF($M$4="(blank)",--('Final Calculation Sheet'!$L$36=""),IF($M$4="(nonblank)",--('Final Calculation Sheet'!$L$36&lt;&gt;""),--ISNUMBER(SEARCH($M$4,'Final Calculation Sheet'!$L$36)))))</f>
        <v/>
      </c>
      <c r="DS91">
        <f>IF($N$4="",1,IF($N$4="(blank)",--('Final Calculation Sheet'!$M$36=""),IF($N$4="(nonblank)",--('Final Calculation Sheet'!$M$36&lt;&gt;""),--ISNUMBER(SEARCH($N$4,'Final Calculation Sheet'!$M$36)))))</f>
        <v/>
      </c>
      <c r="DT91">
        <f>IF($O$4="",1,IF($O$4="(blank)",--('Final Calculation Sheet'!$N$36=""),IF($O$4="(nonblank)",--('Final Calculation Sheet'!$N$36&lt;&gt;""),--ISNUMBER(SEARCH($O$4,'Final Calculation Sheet'!$N$36)))))</f>
        <v/>
      </c>
      <c r="DU91">
        <f>IF($P$4="",1,IF($P$4="(blank)",--('Final Calculation Sheet'!$O$36=""),IF($P$4="(nonblank)",--('Final Calculation Sheet'!$O$36&lt;&gt;""),--ISNUMBER(SEARCH($P$4,'Final Calculation Sheet'!$O$36)))))</f>
        <v/>
      </c>
      <c r="DV91">
        <f>IF($Q$4="",1,IF($Q$4="(blank)",--('Final Calculation Sheet'!$P$36=""),IF($Q$4="(nonblank)",--('Final Calculation Sheet'!$P$36&lt;&gt;""),--ISNUMBER(SEARCH($Q$4,'Final Calculation Sheet'!$P$36)))))</f>
        <v/>
      </c>
      <c r="DW91">
        <f>IF($R$4="",1,IF($R$4="(blank)",--('Final Calculation Sheet'!$Q$36=""),IF($R$4="(nonblank)",--('Final Calculation Sheet'!$Q$36&lt;&gt;""),--ISNUMBER(SEARCH($R$4,'Final Calculation Sheet'!$Q$36)))))</f>
        <v/>
      </c>
      <c r="DX91">
        <f>IF($S$4="",1,IF($S$4="(blank)",--('Final Calculation Sheet'!$R$36=""),IF($S$4="(nonblank)",--('Final Calculation Sheet'!$R$36&lt;&gt;""),--ISNUMBER(SEARCH($S$4,'Final Calculation Sheet'!$R$36)))))</f>
        <v/>
      </c>
      <c r="DY91">
        <f>IF($T$4="",1,IF($T$4="(blank)",--('Final Calculation Sheet'!$S$36=""),IF($T$4="(nonblank)",--('Final Calculation Sheet'!$S$36&lt;&gt;""),--ISNUMBER(SEARCH($T$4,'Final Calculation Sheet'!$S$36)))))</f>
        <v/>
      </c>
      <c r="DZ91">
        <f>IF($U$4="",1,IF($U$4="(blank)",--('Final Calculation Sheet'!$T$36=""),IF($U$4="(nonblank)",--('Final Calculation Sheet'!$T$36&lt;&gt;""),--ISNUMBER(SEARCH($U$4,'Final Calculation Sheet'!$T$36)))))</f>
        <v/>
      </c>
      <c r="EA91">
        <f>IF($V$4="",1,IF($V$4="(blank)",--('Final Calculation Sheet'!$U$36=""),IF($V$4="(nonblank)",--('Final Calculation Sheet'!$U$36&lt;&gt;""),--ISNUMBER(SEARCH($V$4,'Final Calculation Sheet'!$U$36)))))</f>
        <v/>
      </c>
      <c r="EB91">
        <f>IF($W$4="",1,IF($W$4="(blank)",--('Final Calculation Sheet'!$V$36=""),IF($W$4="(nonblank)",--('Final Calculation Sheet'!$V$36&lt;&gt;""),--ISNUMBER(SEARCH($W$4,'Final Calculation Sheet'!$V$36)))))</f>
        <v/>
      </c>
      <c r="EC91">
        <f>IF($X$4="",1,IF($X$4="(blank)",--('Final Calculation Sheet'!$W$36=""),IF($X$4="(nonblank)",--('Final Calculation Sheet'!$W$36&lt;&gt;""),--ISNUMBER(SEARCH($X$4,'Final Calculation Sheet'!$W$36)))))</f>
        <v/>
      </c>
      <c r="ED91">
        <f>IF($Y$4="",1,IF($Y$4="(blank)",--('Final Calculation Sheet'!$X$36=""),IF($Y$4="(nonblank)",--('Final Calculation Sheet'!$X$36&lt;&gt;""),--ISNUMBER(SEARCH($Y$4,'Final Calculation Sheet'!$X$36)))))</f>
        <v/>
      </c>
      <c r="EE91">
        <f>IF($Z$4="",1,IF($Z$4="(blank)",--('Final Calculation Sheet'!$Y$36=""),IF($Z$4="(nonblank)",--('Final Calculation Sheet'!$Y$36&lt;&gt;""),--ISNUMBER(SEARCH($Z$4,'Final Calculation Sheet'!$Y$36)))))</f>
        <v/>
      </c>
      <c r="EF91">
        <f>IF($AA$4="",1,IF($AA$4="(blank)",--('Final Calculation Sheet'!$Z$36=""),IF($AA$4="(nonblank)",--('Final Calculation Sheet'!$Z$36&lt;&gt;""),--ISNUMBER(SEARCH($AA$4,'Final Calculation Sheet'!$Z$36)))))</f>
        <v/>
      </c>
      <c r="EG91">
        <f>IF($AB$4="",1,IF($AB$4="(blank)",--('Final Calculation Sheet'!$AA$36=""),IF($AB$4="(nonblank)",--('Final Calculation Sheet'!$AA$36&lt;&gt;""),--ISNUMBER(SEARCH($AB$4,'Final Calculation Sheet'!$AA$36)))))</f>
        <v/>
      </c>
      <c r="EH91">
        <f>IF($AC$4="",1,IF($AC$4="(blank)",--('Final Calculation Sheet'!$AB$36=""),IF($AC$4="(nonblank)",--('Final Calculation Sheet'!$AB$36&lt;&gt;""),--ISNUMBER(SEARCH($AC$4,'Final Calculation Sheet'!$AB$36)))))</f>
        <v/>
      </c>
      <c r="EI91">
        <f>IF($AD$4="",1,IF($AD$4="(blank)",--('Final Calculation Sheet'!$AC$36=""),IF($AD$4="(nonblank)",--('Final Calculation Sheet'!$AC$36&lt;&gt;""),--ISNUMBER(SEARCH($AD$4,'Final Calculation Sheet'!$AC$36)))))</f>
        <v/>
      </c>
      <c r="EJ91">
        <f>IF($AE$4="",1,IF($AE$4="(blank)",--('Final Calculation Sheet'!$AD$36=""),IF($AE$4="(nonblank)",--('Final Calculation Sheet'!$AD$36&lt;&gt;""),--ISNUMBER(SEARCH($AE$4,'Final Calculation Sheet'!$AD$36)))))</f>
        <v/>
      </c>
      <c r="EK91">
        <f>IF($AF$4="",1,IF($AF$4="(blank)",--(IF('Final Calculation Sheet'!$AD$36&lt;=5,"SETTLED","OUTSTANDING")=""),IF($AF$4="(nonblank)",--(IF('Final Calculation Sheet'!$AD$36&lt;=5,"SETTLED","OUTSTANDING")&lt;&gt;""),--ISNUMBER(SEARCH($AF$4,IF('Final Calculation Sheet'!$AD$36&lt;=5,"SETTLED","OUTSTANDING"))))))</f>
        <v/>
      </c>
      <c r="EL91">
        <f>IF($AG$4="",1,IF($AG$4="(blank)",--('Final Calculation Sheet'!$AF$36=""),IF($AG$4="(nonblank)",--('Final Calculation Sheet'!$AF$36&lt;&gt;""),--ISNUMBER(SEARCH($AG$4,'Final Calculation Sheet'!$AF$36)))))</f>
        <v/>
      </c>
      <c r="EM91">
        <f>IF($AH$4="",1,IF($AH$4="(blank)",--('Final Calculation Sheet'!$AG$36=""),IF($AH$4="(nonblank)",--('Final Calculation Sheet'!$AG$36&lt;&gt;""),--ISNUMBER(SEARCH($AH$4,'Final Calculation Sheet'!$AG$36)))))</f>
        <v/>
      </c>
      <c r="EN91">
        <f>IF($AI$4="",1,IF($AI$4="(blank)",--('Final Calculation Sheet'!$AH$36=""),IF($AI$4="(nonblank)",--('Final Calculation Sheet'!$AH$36&lt;&gt;""),--ISNUMBER(SEARCH($AI$4,'Final Calculation Sheet'!$AH$36)))))</f>
        <v/>
      </c>
    </row>
    <row r="92">
      <c r="AM92">
        <f>AM91+IF(AND(Lists!$O$39&lt;&gt;"",ISNUMBER(SEARCH($B$4,Lists!$O$39))),1,0)</f>
        <v/>
      </c>
      <c r="AN92">
        <f>IF(ROW()-56&gt;MAX($AM$57:$AM$95),"",INDEX(Lists!$O$4:$O$42,MATCH(ROW()-56,$AM$57:$AM$95,0)))</f>
        <v/>
      </c>
      <c r="AO92">
        <f>AO91+IF(AND(Lists!$T$39&lt;&gt;"",ISNUMBER(SEARCH($C$4,Lists!$T$39))),1,0)</f>
        <v/>
      </c>
      <c r="AP92">
        <f>IF(ROW()-56&gt;MAX($AO$57:$AO$95),"",INDEX(Lists!$T$4:$T$42,MATCH(ROW()-56,$AO$57:$AO$95,0)))</f>
        <v/>
      </c>
      <c r="AQ92">
        <f>AQ91+IF(AND(Lists!$Y$39&lt;&gt;"",ISNUMBER(SEARCH($D$4,Lists!$Y$39))),1,0)</f>
        <v/>
      </c>
      <c r="AR92">
        <f>IF(ROW()-56&gt;MAX($AQ$57:$AQ$95),"",INDEX(Lists!$Y$4:$Y$42,MATCH(ROW()-56,$AQ$57:$AQ$95,0)))</f>
        <v/>
      </c>
      <c r="AS92">
        <f>AS91+IF(AND(Lists!$AD$39&lt;&gt;"",ISNUMBER(SEARCH($E$4,Lists!$AD$39))),1,0)</f>
        <v/>
      </c>
      <c r="AT92">
        <f>IF(ROW()-56&gt;MAX($AS$57:$AS$95),"",INDEX(Lists!$AD$4:$AD$42,MATCH(ROW()-56,$AS$57:$AS$95,0)))</f>
        <v/>
      </c>
      <c r="AU92">
        <f>AU91+IF(AND(Lists!$AI$39&lt;&gt;"",ISNUMBER(SEARCH($F$4,Lists!$AI$39))),1,0)</f>
        <v/>
      </c>
      <c r="AV92">
        <f>IF(ROW()-56&gt;MAX($AU$57:$AU$95),"",INDEX(Lists!$AI$4:$AI$42,MATCH(ROW()-56,$AU$57:$AU$95,0)))</f>
        <v/>
      </c>
      <c r="AW92">
        <f>AW91+IF(AND(Lists!$AN$39&lt;&gt;"",ISNUMBER(SEARCH($G$4,Lists!$AN$39))),1,0)</f>
        <v/>
      </c>
      <c r="AX92">
        <f>IF(ROW()-56&gt;MAX($AW$57:$AW$95),"",INDEX(Lists!$AN$4:$AN$42,MATCH(ROW()-56,$AW$57:$AW$95,0)))</f>
        <v/>
      </c>
      <c r="AY92">
        <f>AY91+IF(AND(Lists!$AS$39&lt;&gt;"",ISNUMBER(SEARCH($H$4,Lists!$AS$39))),1,0)</f>
        <v/>
      </c>
      <c r="AZ92">
        <f>IF(ROW()-56&gt;MAX($AY$57:$AY$95),"",INDEX(Lists!$AS$4:$AS$42,MATCH(ROW()-56,$AY$57:$AY$95,0)))</f>
        <v/>
      </c>
      <c r="BA92">
        <f>BA91+IF(AND(Lists!$AX$39&lt;&gt;"",ISNUMBER(SEARCH($I$4,Lists!$AX$39))),1,0)</f>
        <v/>
      </c>
      <c r="BB92">
        <f>IF(ROW()-56&gt;MAX($BA$57:$BA$95),"",INDEX(Lists!$AX$4:$AX$42,MATCH(ROW()-56,$BA$57:$BA$95,0)))</f>
        <v/>
      </c>
      <c r="BC92">
        <f>BC91+IF(AND(Lists!$BC$39&lt;&gt;"",ISNUMBER(SEARCH($J$4,Lists!$BC$39))),1,0)</f>
        <v/>
      </c>
      <c r="BD92">
        <f>IF(ROW()-56&gt;MAX($BC$57:$BC$95),"",INDEX(Lists!$BC$4:$BC$42,MATCH(ROW()-56,$BC$57:$BC$95,0)))</f>
        <v/>
      </c>
      <c r="BE92">
        <f>BE91+IF(AND(Lists!$BH$39&lt;&gt;"",ISNUMBER(SEARCH($K$4,Lists!$BH$39))),1,0)</f>
        <v/>
      </c>
      <c r="BF92">
        <f>IF(ROW()-56&gt;MAX($BE$57:$BE$95),"",INDEX(Lists!$BH$4:$BH$42,MATCH(ROW()-56,$BE$57:$BE$95,0)))</f>
        <v/>
      </c>
      <c r="BG92">
        <f>BG91+IF(AND(Lists!$BM$39&lt;&gt;"",ISNUMBER(SEARCH($L$4,Lists!$BM$39))),1,0)</f>
        <v/>
      </c>
      <c r="BH92">
        <f>IF(ROW()-56&gt;MAX($BG$57:$BG$95),"",INDEX(Lists!$BM$4:$BM$42,MATCH(ROW()-56,$BG$57:$BG$95,0)))</f>
        <v/>
      </c>
      <c r="BI92">
        <f>BI91+IF(AND(Lists!$BR$39&lt;&gt;"",ISNUMBER(SEARCH($M$4,Lists!$BR$39))),1,0)</f>
        <v/>
      </c>
      <c r="BJ92">
        <f>IF(ROW()-56&gt;MAX($BI$57:$BI$95),"",INDEX(Lists!$BR$4:$BR$42,MATCH(ROW()-56,$BI$57:$BI$95,0)))</f>
        <v/>
      </c>
      <c r="BK92">
        <f>BK91+IF(AND(Lists!$BW$39&lt;&gt;"",ISNUMBER(SEARCH($N$4,Lists!$BW$39))),1,0)</f>
        <v/>
      </c>
      <c r="BL92">
        <f>IF(ROW()-56&gt;MAX($BK$57:$BK$95),"",INDEX(Lists!$BW$4:$BW$42,MATCH(ROW()-56,$BK$57:$BK$95,0)))</f>
        <v/>
      </c>
      <c r="BM92">
        <f>BM91+IF(AND(Lists!$CB$39&lt;&gt;"",ISNUMBER(SEARCH($O$4,Lists!$CB$39))),1,0)</f>
        <v/>
      </c>
      <c r="BN92">
        <f>IF(ROW()-56&gt;MAX($BM$57:$BM$95),"",INDEX(Lists!$CB$4:$CB$42,MATCH(ROW()-56,$BM$57:$BM$95,0)))</f>
        <v/>
      </c>
      <c r="BO92">
        <f>BO91+IF(AND(Lists!$CG$39&lt;&gt;"",ISNUMBER(SEARCH($P$4,Lists!$CG$39))),1,0)</f>
        <v/>
      </c>
      <c r="BP92">
        <f>IF(ROW()-56&gt;MAX($BO$57:$BO$95),"",INDEX(Lists!$CG$4:$CG$42,MATCH(ROW()-56,$BO$57:$BO$95,0)))</f>
        <v/>
      </c>
      <c r="BQ92">
        <f>BQ91+IF(AND(Lists!$CL$39&lt;&gt;"",ISNUMBER(SEARCH($Q$4,Lists!$CL$39))),1,0)</f>
        <v/>
      </c>
      <c r="BR92">
        <f>IF(ROW()-56&gt;MAX($BQ$57:$BQ$95),"",INDEX(Lists!$CL$4:$CL$42,MATCH(ROW()-56,$BQ$57:$BQ$95,0)))</f>
        <v/>
      </c>
      <c r="BS92">
        <f>BS91+IF(AND(Lists!$CQ$39&lt;&gt;"",ISNUMBER(SEARCH($R$4,Lists!$CQ$39))),1,0)</f>
        <v/>
      </c>
      <c r="BT92">
        <f>IF(ROW()-56&gt;MAX($BS$57:$BS$95),"",INDEX(Lists!$CQ$4:$CQ$42,MATCH(ROW()-56,$BS$57:$BS$95,0)))</f>
        <v/>
      </c>
      <c r="BU92">
        <f>BU91+IF(AND(Lists!$CV$39&lt;&gt;"",ISNUMBER(SEARCH($S$4,Lists!$CV$39))),1,0)</f>
        <v/>
      </c>
      <c r="BV92">
        <f>IF(ROW()-56&gt;MAX($BU$57:$BU$95),"",INDEX(Lists!$CV$4:$CV$42,MATCH(ROW()-56,$BU$57:$BU$95,0)))</f>
        <v/>
      </c>
      <c r="BW92">
        <f>BW91+IF(AND(Lists!$DA$39&lt;&gt;"",ISNUMBER(SEARCH($T$4,Lists!$DA$39))),1,0)</f>
        <v/>
      </c>
      <c r="BX92">
        <f>IF(ROW()-56&gt;MAX($BW$57:$BW$95),"",INDEX(Lists!$DA$4:$DA$42,MATCH(ROW()-56,$BW$57:$BW$95,0)))</f>
        <v/>
      </c>
      <c r="BY92">
        <f>BY91+IF(AND(Lists!$DF$39&lt;&gt;"",ISNUMBER(SEARCH($U$4,Lists!$DF$39))),1,0)</f>
        <v/>
      </c>
      <c r="BZ92">
        <f>IF(ROW()-56&gt;MAX($BY$57:$BY$95),"",INDEX(Lists!$DF$4:$DF$42,MATCH(ROW()-56,$BY$57:$BY$95,0)))</f>
        <v/>
      </c>
      <c r="CA92">
        <f>CA91+IF(AND(Lists!$DK$39&lt;&gt;"",ISNUMBER(SEARCH($V$4,Lists!$DK$39))),1,0)</f>
        <v/>
      </c>
      <c r="CB92">
        <f>IF(ROW()-56&gt;MAX($CA$57:$CA$95),"",INDEX(Lists!$DK$4:$DK$42,MATCH(ROW()-56,$CA$57:$CA$95,0)))</f>
        <v/>
      </c>
      <c r="CC92">
        <f>CC91+IF(AND(Lists!$DP$39&lt;&gt;"",ISNUMBER(SEARCH($W$4,Lists!$DP$39))),1,0)</f>
        <v/>
      </c>
      <c r="CD92">
        <f>IF(ROW()-56&gt;MAX($CC$57:$CC$95),"",INDEX(Lists!$DP$4:$DP$42,MATCH(ROW()-56,$CC$57:$CC$95,0)))</f>
        <v/>
      </c>
      <c r="CE92">
        <f>CE91+IF(AND(Lists!$DU$39&lt;&gt;"",ISNUMBER(SEARCH($X$4,Lists!$DU$39))),1,0)</f>
        <v/>
      </c>
      <c r="CF92">
        <f>IF(ROW()-56&gt;MAX($CE$57:$CE$95),"",INDEX(Lists!$DU$4:$DU$42,MATCH(ROW()-56,$CE$57:$CE$95,0)))</f>
        <v/>
      </c>
      <c r="CG92">
        <f>CG91+IF(AND(Lists!$DZ$39&lt;&gt;"",ISNUMBER(SEARCH($Y$4,Lists!$DZ$39))),1,0)</f>
        <v/>
      </c>
      <c r="CH92">
        <f>IF(ROW()-56&gt;MAX($CG$57:$CG$95),"",INDEX(Lists!$DZ$4:$DZ$42,MATCH(ROW()-56,$CG$57:$CG$95,0)))</f>
        <v/>
      </c>
      <c r="CI92">
        <f>CI91+IF(AND(Lists!$EE$39&lt;&gt;"",ISNUMBER(SEARCH($Z$4,Lists!$EE$39))),1,0)</f>
        <v/>
      </c>
      <c r="CJ92">
        <f>IF(ROW()-56&gt;MAX($CI$57:$CI$95),"",INDEX(Lists!$EE$4:$EE$42,MATCH(ROW()-56,$CI$57:$CI$95,0)))</f>
        <v/>
      </c>
      <c r="CK92">
        <f>CK91+IF(AND(Lists!$EJ$39&lt;&gt;"",ISNUMBER(SEARCH($AA$4,Lists!$EJ$39))),1,0)</f>
        <v/>
      </c>
      <c r="CL92">
        <f>IF(ROW()-56&gt;MAX($CK$57:$CK$95),"",INDEX(Lists!$EJ$4:$EJ$42,MATCH(ROW()-56,$CK$57:$CK$95,0)))</f>
        <v/>
      </c>
      <c r="CM92">
        <f>CM91+IF(AND(Lists!$EO$39&lt;&gt;"",ISNUMBER(SEARCH($AB$4,Lists!$EO$39))),1,0)</f>
        <v/>
      </c>
      <c r="CN92">
        <f>IF(ROW()-56&gt;MAX($CM$57:$CM$95),"",INDEX(Lists!$EO$4:$EO$42,MATCH(ROW()-56,$CM$57:$CM$95,0)))</f>
        <v/>
      </c>
      <c r="CO92">
        <f>CO91+IF(AND(Lists!$ET$39&lt;&gt;"",ISNUMBER(SEARCH($AC$4,Lists!$ET$39))),1,0)</f>
        <v/>
      </c>
      <c r="CP92">
        <f>IF(ROW()-56&gt;MAX($CO$57:$CO$95),"",INDEX(Lists!$ET$4:$ET$42,MATCH(ROW()-56,$CO$57:$CO$95,0)))</f>
        <v/>
      </c>
      <c r="CQ92">
        <f>CQ91+IF(AND(Lists!$EY$39&lt;&gt;"",ISNUMBER(SEARCH($AD$4,Lists!$EY$39))),1,0)</f>
        <v/>
      </c>
      <c r="CR92">
        <f>IF(ROW()-56&gt;MAX($CQ$57:$CQ$95),"",INDEX(Lists!$EY$4:$EY$42,MATCH(ROW()-56,$CQ$57:$CQ$95,0)))</f>
        <v/>
      </c>
      <c r="CS92">
        <f>CS91+IF(AND(Lists!$FD$39&lt;&gt;"",ISNUMBER(SEARCH($AE$4,Lists!$FD$39))),1,0)</f>
        <v/>
      </c>
      <c r="CT92">
        <f>IF(ROW()-56&gt;MAX($CS$57:$CS$95),"",INDEX(Lists!$FD$4:$FD$42,MATCH(ROW()-56,$CS$57:$CS$95,0)))</f>
        <v/>
      </c>
      <c r="CU92">
        <f>CU91+IF(AND(Lists!$FI$39&lt;&gt;"",ISNUMBER(SEARCH($AG$4,Lists!$FI$39))),1,0)</f>
        <v/>
      </c>
      <c r="CV92">
        <f>IF(ROW()-56&gt;MAX($CU$57:$CU$95),"",INDEX(Lists!$FI$4:$FI$42,MATCH(ROW()-56,$CU$57:$CU$95,0)))</f>
        <v/>
      </c>
      <c r="CW92">
        <f>CW91+IF(AND(Lists!$FN$39&lt;&gt;"",ISNUMBER(SEARCH($AH$4,Lists!$FN$39))),1,0)</f>
        <v/>
      </c>
      <c r="CX92">
        <f>IF(ROW()-56&gt;MAX($CW$57:$CW$95),"",INDEX(Lists!$FN$4:$FN$42,MATCH(ROW()-56,$CW$57:$CW$95,0)))</f>
        <v/>
      </c>
      <c r="CY92">
        <f>CY91+IF(AND(Lists!$FS$39&lt;&gt;"",ISNUMBER(SEARCH($AI$4,Lists!$FS$39))),1,0)</f>
        <v/>
      </c>
      <c r="CZ92">
        <f>IF(ROW()-56&gt;MAX($CY$57:$CY$95),"",INDEX(Lists!$FS$4:$FS$42,MATCH(ROW()-56,$CY$57:$CY$95,0)))</f>
        <v/>
      </c>
      <c r="DA92">
        <f>DA91+IF(AND(Lists!$FX$39&lt;&gt;"",ISNUMBER(SEARCH($AF$4,Lists!$FX$39))),1,0)</f>
        <v/>
      </c>
      <c r="DB92">
        <f>IF(ROW()-56&gt;MAX($DA$57:$DA$95),"",INDEX(Lists!$FX$4:$FX$42,MATCH(ROW()-56,$DA$57:$DA$95,0)))</f>
        <v/>
      </c>
      <c r="DG92">
        <f>IF($B$4="",1,IF($B$4="(blank)",--('Final Calculation Sheet'!$F$37=""),IF($B$4="(nonblank)",--('Final Calculation Sheet'!$F$37&lt;&gt;""),--ISNUMBER(SEARCH($B$4,'Final Calculation Sheet'!$F$37)))))</f>
        <v/>
      </c>
      <c r="DH92">
        <f>IF($C$4="",1,IF($C$4="(blank)",--('Final Calculation Sheet'!$G$37=""),IF($C$4="(nonblank)",--('Final Calculation Sheet'!$G$37&lt;&gt;""),--ISNUMBER(SEARCH($C$4,'Final Calculation Sheet'!$G$37)))))</f>
        <v/>
      </c>
      <c r="DI92">
        <f>IF($D$4="",1,IF($D$4="(blank)",--('Final Calculation Sheet'!$B$37=""),IF($D$4="(nonblank)",--('Final Calculation Sheet'!$B$37&lt;&gt;""),--ISNUMBER(SEARCH($D$4,'Final Calculation Sheet'!$B$37)))))</f>
        <v/>
      </c>
      <c r="DJ92">
        <f>IF($E$4="",1,IF($E$4="(blank)",--('Final Calculation Sheet'!$D$37=""),IF($E$4="(nonblank)",--('Final Calculation Sheet'!$D$37&lt;&gt;""),--ISNUMBER(SEARCH($E$4,'Final Calculation Sheet'!$D$37)))))</f>
        <v/>
      </c>
      <c r="DK92">
        <f>IF($F$4="",1,IF($F$4="(blank)",--('Final Calculation Sheet'!$A$37=""),IF($F$4="(nonblank)",--('Final Calculation Sheet'!$A$37&lt;&gt;""),--ISNUMBER(SEARCH($F$4,'Final Calculation Sheet'!$A$37)))))</f>
        <v/>
      </c>
      <c r="DL92">
        <f>IF($G$4="",1,IF($G$4="(blank)",--('Final Calculation Sheet'!$E$37=""),IF($G$4="(nonblank)",--('Final Calculation Sheet'!$E$37&lt;&gt;""),--ISNUMBER(SEARCH($G$4,'Final Calculation Sheet'!$E$37)))))</f>
        <v/>
      </c>
      <c r="DM92">
        <f>IF($H$4="",1,IF($H$4="(blank)",--('Final Calculation Sheet'!$C$37=""),IF($H$4="(nonblank)",--('Final Calculation Sheet'!$C$37&lt;&gt;""),--ISNUMBER(SEARCH($H$4,'Final Calculation Sheet'!$C$37)))))</f>
        <v/>
      </c>
      <c r="DN92">
        <f>IF($I$4="",1,IF($I$4="(blank)",--('Final Calculation Sheet'!$H$37=""),IF($I$4="(nonblank)",--('Final Calculation Sheet'!$H$37&lt;&gt;""),--ISNUMBER(SEARCH($I$4,'Final Calculation Sheet'!$H$37)))))</f>
        <v/>
      </c>
      <c r="DO92">
        <f>IF($J$4="",1,IF($J$4="(blank)",--('Final Calculation Sheet'!$I$37=""),IF($J$4="(nonblank)",--('Final Calculation Sheet'!$I$37&lt;&gt;""),--ISNUMBER(SEARCH($J$4,'Final Calculation Sheet'!$I$37)))))</f>
        <v/>
      </c>
      <c r="DP92">
        <f>IF($K$4="",1,IF($K$4="(blank)",--('Final Calculation Sheet'!$J$37=""),IF($K$4="(nonblank)",--('Final Calculation Sheet'!$J$37&lt;&gt;""),--ISNUMBER(SEARCH($K$4,'Final Calculation Sheet'!$J$37)))))</f>
        <v/>
      </c>
      <c r="DQ92">
        <f>IF($L$4="",1,IF($L$4="(blank)",--('Final Calculation Sheet'!$K$37=""),IF($L$4="(nonblank)",--('Final Calculation Sheet'!$K$37&lt;&gt;""),--ISNUMBER(SEARCH($L$4,'Final Calculation Sheet'!$K$37)))))</f>
        <v/>
      </c>
      <c r="DR92">
        <f>IF($M$4="",1,IF($M$4="(blank)",--('Final Calculation Sheet'!$L$37=""),IF($M$4="(nonblank)",--('Final Calculation Sheet'!$L$37&lt;&gt;""),--ISNUMBER(SEARCH($M$4,'Final Calculation Sheet'!$L$37)))))</f>
        <v/>
      </c>
      <c r="DS92">
        <f>IF($N$4="",1,IF($N$4="(blank)",--('Final Calculation Sheet'!$M$37=""),IF($N$4="(nonblank)",--('Final Calculation Sheet'!$M$37&lt;&gt;""),--ISNUMBER(SEARCH($N$4,'Final Calculation Sheet'!$M$37)))))</f>
        <v/>
      </c>
      <c r="DT92">
        <f>IF($O$4="",1,IF($O$4="(blank)",--('Final Calculation Sheet'!$N$37=""),IF($O$4="(nonblank)",--('Final Calculation Sheet'!$N$37&lt;&gt;""),--ISNUMBER(SEARCH($O$4,'Final Calculation Sheet'!$N$37)))))</f>
        <v/>
      </c>
      <c r="DU92">
        <f>IF($P$4="",1,IF($P$4="(blank)",--('Final Calculation Sheet'!$O$37=""),IF($P$4="(nonblank)",--('Final Calculation Sheet'!$O$37&lt;&gt;""),--ISNUMBER(SEARCH($P$4,'Final Calculation Sheet'!$O$37)))))</f>
        <v/>
      </c>
      <c r="DV92">
        <f>IF($Q$4="",1,IF($Q$4="(blank)",--('Final Calculation Sheet'!$P$37=""),IF($Q$4="(nonblank)",--('Final Calculation Sheet'!$P$37&lt;&gt;""),--ISNUMBER(SEARCH($Q$4,'Final Calculation Sheet'!$P$37)))))</f>
        <v/>
      </c>
      <c r="DW92">
        <f>IF($R$4="",1,IF($R$4="(blank)",--('Final Calculation Sheet'!$Q$37=""),IF($R$4="(nonblank)",--('Final Calculation Sheet'!$Q$37&lt;&gt;""),--ISNUMBER(SEARCH($R$4,'Final Calculation Sheet'!$Q$37)))))</f>
        <v/>
      </c>
      <c r="DX92">
        <f>IF($S$4="",1,IF($S$4="(blank)",--('Final Calculation Sheet'!$R$37=""),IF($S$4="(nonblank)",--('Final Calculation Sheet'!$R$37&lt;&gt;""),--ISNUMBER(SEARCH($S$4,'Final Calculation Sheet'!$R$37)))))</f>
        <v/>
      </c>
      <c r="DY92">
        <f>IF($T$4="",1,IF($T$4="(blank)",--('Final Calculation Sheet'!$S$37=""),IF($T$4="(nonblank)",--('Final Calculation Sheet'!$S$37&lt;&gt;""),--ISNUMBER(SEARCH($T$4,'Final Calculation Sheet'!$S$37)))))</f>
        <v/>
      </c>
      <c r="DZ92">
        <f>IF($U$4="",1,IF($U$4="(blank)",--('Final Calculation Sheet'!$T$37=""),IF($U$4="(nonblank)",--('Final Calculation Sheet'!$T$37&lt;&gt;""),--ISNUMBER(SEARCH($U$4,'Final Calculation Sheet'!$T$37)))))</f>
        <v/>
      </c>
      <c r="EA92">
        <f>IF($V$4="",1,IF($V$4="(blank)",--('Final Calculation Sheet'!$U$37=""),IF($V$4="(nonblank)",--('Final Calculation Sheet'!$U$37&lt;&gt;""),--ISNUMBER(SEARCH($V$4,'Final Calculation Sheet'!$U$37)))))</f>
        <v/>
      </c>
      <c r="EB92">
        <f>IF($W$4="",1,IF($W$4="(blank)",--('Final Calculation Sheet'!$V$37=""),IF($W$4="(nonblank)",--('Final Calculation Sheet'!$V$37&lt;&gt;""),--ISNUMBER(SEARCH($W$4,'Final Calculation Sheet'!$V$37)))))</f>
        <v/>
      </c>
      <c r="EC92">
        <f>IF($X$4="",1,IF($X$4="(blank)",--('Final Calculation Sheet'!$W$37=""),IF($X$4="(nonblank)",--('Final Calculation Sheet'!$W$37&lt;&gt;""),--ISNUMBER(SEARCH($X$4,'Final Calculation Sheet'!$W$37)))))</f>
        <v/>
      </c>
      <c r="ED92">
        <f>IF($Y$4="",1,IF($Y$4="(blank)",--('Final Calculation Sheet'!$X$37=""),IF($Y$4="(nonblank)",--('Final Calculation Sheet'!$X$37&lt;&gt;""),--ISNUMBER(SEARCH($Y$4,'Final Calculation Sheet'!$X$37)))))</f>
        <v/>
      </c>
      <c r="EE92">
        <f>IF($Z$4="",1,IF($Z$4="(blank)",--('Final Calculation Sheet'!$Y$37=""),IF($Z$4="(nonblank)",--('Final Calculation Sheet'!$Y$37&lt;&gt;""),--ISNUMBER(SEARCH($Z$4,'Final Calculation Sheet'!$Y$37)))))</f>
        <v/>
      </c>
      <c r="EF92">
        <f>IF($AA$4="",1,IF($AA$4="(blank)",--('Final Calculation Sheet'!$Z$37=""),IF($AA$4="(nonblank)",--('Final Calculation Sheet'!$Z$37&lt;&gt;""),--ISNUMBER(SEARCH($AA$4,'Final Calculation Sheet'!$Z$37)))))</f>
        <v/>
      </c>
      <c r="EG92">
        <f>IF($AB$4="",1,IF($AB$4="(blank)",--('Final Calculation Sheet'!$AA$37=""),IF($AB$4="(nonblank)",--('Final Calculation Sheet'!$AA$37&lt;&gt;""),--ISNUMBER(SEARCH($AB$4,'Final Calculation Sheet'!$AA$37)))))</f>
        <v/>
      </c>
      <c r="EH92">
        <f>IF($AC$4="",1,IF($AC$4="(blank)",--('Final Calculation Sheet'!$AB$37=""),IF($AC$4="(nonblank)",--('Final Calculation Sheet'!$AB$37&lt;&gt;""),--ISNUMBER(SEARCH($AC$4,'Final Calculation Sheet'!$AB$37)))))</f>
        <v/>
      </c>
      <c r="EI92">
        <f>IF($AD$4="",1,IF($AD$4="(blank)",--('Final Calculation Sheet'!$AC$37=""),IF($AD$4="(nonblank)",--('Final Calculation Sheet'!$AC$37&lt;&gt;""),--ISNUMBER(SEARCH($AD$4,'Final Calculation Sheet'!$AC$37)))))</f>
        <v/>
      </c>
      <c r="EJ92">
        <f>IF($AE$4="",1,IF($AE$4="(blank)",--('Final Calculation Sheet'!$AD$37=""),IF($AE$4="(nonblank)",--('Final Calculation Sheet'!$AD$37&lt;&gt;""),--ISNUMBER(SEARCH($AE$4,'Final Calculation Sheet'!$AD$37)))))</f>
        <v/>
      </c>
      <c r="EK92">
        <f>IF($AF$4="",1,IF($AF$4="(blank)",--(IF('Final Calculation Sheet'!$AD$37&lt;=5,"SETTLED","OUTSTANDING")=""),IF($AF$4="(nonblank)",--(IF('Final Calculation Sheet'!$AD$37&lt;=5,"SETTLED","OUTSTANDING")&lt;&gt;""),--ISNUMBER(SEARCH($AF$4,IF('Final Calculation Sheet'!$AD$37&lt;=5,"SETTLED","OUTSTANDING"))))))</f>
        <v/>
      </c>
      <c r="EL92">
        <f>IF($AG$4="",1,IF($AG$4="(blank)",--('Final Calculation Sheet'!$AF$37=""),IF($AG$4="(nonblank)",--('Final Calculation Sheet'!$AF$37&lt;&gt;""),--ISNUMBER(SEARCH($AG$4,'Final Calculation Sheet'!$AF$37)))))</f>
        <v/>
      </c>
      <c r="EM92">
        <f>IF($AH$4="",1,IF($AH$4="(blank)",--('Final Calculation Sheet'!$AG$37=""),IF($AH$4="(nonblank)",--('Final Calculation Sheet'!$AG$37&lt;&gt;""),--ISNUMBER(SEARCH($AH$4,'Final Calculation Sheet'!$AG$37)))))</f>
        <v/>
      </c>
      <c r="EN92">
        <f>IF($AI$4="",1,IF($AI$4="(blank)",--('Final Calculation Sheet'!$AH$37=""),IF($AI$4="(nonblank)",--('Final Calculation Sheet'!$AH$37&lt;&gt;""),--ISNUMBER(SEARCH($AI$4,'Final Calculation Sheet'!$AH$37)))))</f>
        <v/>
      </c>
    </row>
    <row r="93">
      <c r="AM93">
        <f>AM92+IF(AND(Lists!$O$40&lt;&gt;"",ISNUMBER(SEARCH($B$4,Lists!$O$40))),1,0)</f>
        <v/>
      </c>
      <c r="AN93">
        <f>IF(ROW()-56&gt;MAX($AM$57:$AM$95),"",INDEX(Lists!$O$4:$O$42,MATCH(ROW()-56,$AM$57:$AM$95,0)))</f>
        <v/>
      </c>
      <c r="AO93">
        <f>AO92+IF(AND(Lists!$T$40&lt;&gt;"",ISNUMBER(SEARCH($C$4,Lists!$T$40))),1,0)</f>
        <v/>
      </c>
      <c r="AP93">
        <f>IF(ROW()-56&gt;MAX($AO$57:$AO$95),"",INDEX(Lists!$T$4:$T$42,MATCH(ROW()-56,$AO$57:$AO$95,0)))</f>
        <v/>
      </c>
      <c r="AQ93">
        <f>AQ92+IF(AND(Lists!$Y$40&lt;&gt;"",ISNUMBER(SEARCH($D$4,Lists!$Y$40))),1,0)</f>
        <v/>
      </c>
      <c r="AR93">
        <f>IF(ROW()-56&gt;MAX($AQ$57:$AQ$95),"",INDEX(Lists!$Y$4:$Y$42,MATCH(ROW()-56,$AQ$57:$AQ$95,0)))</f>
        <v/>
      </c>
      <c r="AS93">
        <f>AS92+IF(AND(Lists!$AD$40&lt;&gt;"",ISNUMBER(SEARCH($E$4,Lists!$AD$40))),1,0)</f>
        <v/>
      </c>
      <c r="AT93">
        <f>IF(ROW()-56&gt;MAX($AS$57:$AS$95),"",INDEX(Lists!$AD$4:$AD$42,MATCH(ROW()-56,$AS$57:$AS$95,0)))</f>
        <v/>
      </c>
      <c r="AU93">
        <f>AU92+IF(AND(Lists!$AI$40&lt;&gt;"",ISNUMBER(SEARCH($F$4,Lists!$AI$40))),1,0)</f>
        <v/>
      </c>
      <c r="AV93">
        <f>IF(ROW()-56&gt;MAX($AU$57:$AU$95),"",INDEX(Lists!$AI$4:$AI$42,MATCH(ROW()-56,$AU$57:$AU$95,0)))</f>
        <v/>
      </c>
      <c r="AW93">
        <f>AW92+IF(AND(Lists!$AN$40&lt;&gt;"",ISNUMBER(SEARCH($G$4,Lists!$AN$40))),1,0)</f>
        <v/>
      </c>
      <c r="AX93">
        <f>IF(ROW()-56&gt;MAX($AW$57:$AW$95),"",INDEX(Lists!$AN$4:$AN$42,MATCH(ROW()-56,$AW$57:$AW$95,0)))</f>
        <v/>
      </c>
      <c r="AY93">
        <f>AY92+IF(AND(Lists!$AS$40&lt;&gt;"",ISNUMBER(SEARCH($H$4,Lists!$AS$40))),1,0)</f>
        <v/>
      </c>
      <c r="AZ93">
        <f>IF(ROW()-56&gt;MAX($AY$57:$AY$95),"",INDEX(Lists!$AS$4:$AS$42,MATCH(ROW()-56,$AY$57:$AY$95,0)))</f>
        <v/>
      </c>
      <c r="BA93">
        <f>BA92+IF(AND(Lists!$AX$40&lt;&gt;"",ISNUMBER(SEARCH($I$4,Lists!$AX$40))),1,0)</f>
        <v/>
      </c>
      <c r="BB93">
        <f>IF(ROW()-56&gt;MAX($BA$57:$BA$95),"",INDEX(Lists!$AX$4:$AX$42,MATCH(ROW()-56,$BA$57:$BA$95,0)))</f>
        <v/>
      </c>
      <c r="BC93">
        <f>BC92+IF(AND(Lists!$BC$40&lt;&gt;"",ISNUMBER(SEARCH($J$4,Lists!$BC$40))),1,0)</f>
        <v/>
      </c>
      <c r="BD93">
        <f>IF(ROW()-56&gt;MAX($BC$57:$BC$95),"",INDEX(Lists!$BC$4:$BC$42,MATCH(ROW()-56,$BC$57:$BC$95,0)))</f>
        <v/>
      </c>
      <c r="BE93">
        <f>BE92+IF(AND(Lists!$BH$40&lt;&gt;"",ISNUMBER(SEARCH($K$4,Lists!$BH$40))),1,0)</f>
        <v/>
      </c>
      <c r="BF93">
        <f>IF(ROW()-56&gt;MAX($BE$57:$BE$95),"",INDEX(Lists!$BH$4:$BH$42,MATCH(ROW()-56,$BE$57:$BE$95,0)))</f>
        <v/>
      </c>
      <c r="BG93">
        <f>BG92+IF(AND(Lists!$BM$40&lt;&gt;"",ISNUMBER(SEARCH($L$4,Lists!$BM$40))),1,0)</f>
        <v/>
      </c>
      <c r="BH93">
        <f>IF(ROW()-56&gt;MAX($BG$57:$BG$95),"",INDEX(Lists!$BM$4:$BM$42,MATCH(ROW()-56,$BG$57:$BG$95,0)))</f>
        <v/>
      </c>
      <c r="BI93">
        <f>BI92+IF(AND(Lists!$BR$40&lt;&gt;"",ISNUMBER(SEARCH($M$4,Lists!$BR$40))),1,0)</f>
        <v/>
      </c>
      <c r="BJ93">
        <f>IF(ROW()-56&gt;MAX($BI$57:$BI$95),"",INDEX(Lists!$BR$4:$BR$42,MATCH(ROW()-56,$BI$57:$BI$95,0)))</f>
        <v/>
      </c>
      <c r="BK93">
        <f>BK92+IF(AND(Lists!$BW$40&lt;&gt;"",ISNUMBER(SEARCH($N$4,Lists!$BW$40))),1,0)</f>
        <v/>
      </c>
      <c r="BL93">
        <f>IF(ROW()-56&gt;MAX($BK$57:$BK$95),"",INDEX(Lists!$BW$4:$BW$42,MATCH(ROW()-56,$BK$57:$BK$95,0)))</f>
        <v/>
      </c>
      <c r="BM93">
        <f>BM92+IF(AND(Lists!$CB$40&lt;&gt;"",ISNUMBER(SEARCH($O$4,Lists!$CB$40))),1,0)</f>
        <v/>
      </c>
      <c r="BN93">
        <f>IF(ROW()-56&gt;MAX($BM$57:$BM$95),"",INDEX(Lists!$CB$4:$CB$42,MATCH(ROW()-56,$BM$57:$BM$95,0)))</f>
        <v/>
      </c>
      <c r="BO93">
        <f>BO92+IF(AND(Lists!$CG$40&lt;&gt;"",ISNUMBER(SEARCH($P$4,Lists!$CG$40))),1,0)</f>
        <v/>
      </c>
      <c r="BP93">
        <f>IF(ROW()-56&gt;MAX($BO$57:$BO$95),"",INDEX(Lists!$CG$4:$CG$42,MATCH(ROW()-56,$BO$57:$BO$95,0)))</f>
        <v/>
      </c>
      <c r="BQ93">
        <f>BQ92+IF(AND(Lists!$CL$40&lt;&gt;"",ISNUMBER(SEARCH($Q$4,Lists!$CL$40))),1,0)</f>
        <v/>
      </c>
      <c r="BR93">
        <f>IF(ROW()-56&gt;MAX($BQ$57:$BQ$95),"",INDEX(Lists!$CL$4:$CL$42,MATCH(ROW()-56,$BQ$57:$BQ$95,0)))</f>
        <v/>
      </c>
      <c r="BS93">
        <f>BS92+IF(AND(Lists!$CQ$40&lt;&gt;"",ISNUMBER(SEARCH($R$4,Lists!$CQ$40))),1,0)</f>
        <v/>
      </c>
      <c r="BT93">
        <f>IF(ROW()-56&gt;MAX($BS$57:$BS$95),"",INDEX(Lists!$CQ$4:$CQ$42,MATCH(ROW()-56,$BS$57:$BS$95,0)))</f>
        <v/>
      </c>
      <c r="BU93">
        <f>BU92+IF(AND(Lists!$CV$40&lt;&gt;"",ISNUMBER(SEARCH($S$4,Lists!$CV$40))),1,0)</f>
        <v/>
      </c>
      <c r="BV93">
        <f>IF(ROW()-56&gt;MAX($BU$57:$BU$95),"",INDEX(Lists!$CV$4:$CV$42,MATCH(ROW()-56,$BU$57:$BU$95,0)))</f>
        <v/>
      </c>
      <c r="BW93">
        <f>BW92+IF(AND(Lists!$DA$40&lt;&gt;"",ISNUMBER(SEARCH($T$4,Lists!$DA$40))),1,0)</f>
        <v/>
      </c>
      <c r="BX93">
        <f>IF(ROW()-56&gt;MAX($BW$57:$BW$95),"",INDEX(Lists!$DA$4:$DA$42,MATCH(ROW()-56,$BW$57:$BW$95,0)))</f>
        <v/>
      </c>
      <c r="BY93">
        <f>BY92+IF(AND(Lists!$DF$40&lt;&gt;"",ISNUMBER(SEARCH($U$4,Lists!$DF$40))),1,0)</f>
        <v/>
      </c>
      <c r="BZ93">
        <f>IF(ROW()-56&gt;MAX($BY$57:$BY$95),"",INDEX(Lists!$DF$4:$DF$42,MATCH(ROW()-56,$BY$57:$BY$95,0)))</f>
        <v/>
      </c>
      <c r="CA93">
        <f>CA92+IF(AND(Lists!$DK$40&lt;&gt;"",ISNUMBER(SEARCH($V$4,Lists!$DK$40))),1,0)</f>
        <v/>
      </c>
      <c r="CB93">
        <f>IF(ROW()-56&gt;MAX($CA$57:$CA$95),"",INDEX(Lists!$DK$4:$DK$42,MATCH(ROW()-56,$CA$57:$CA$95,0)))</f>
        <v/>
      </c>
      <c r="CC93">
        <f>CC92+IF(AND(Lists!$DP$40&lt;&gt;"",ISNUMBER(SEARCH($W$4,Lists!$DP$40))),1,0)</f>
        <v/>
      </c>
      <c r="CD93">
        <f>IF(ROW()-56&gt;MAX($CC$57:$CC$95),"",INDEX(Lists!$DP$4:$DP$42,MATCH(ROW()-56,$CC$57:$CC$95,0)))</f>
        <v/>
      </c>
      <c r="CE93">
        <f>CE92+IF(AND(Lists!$DU$40&lt;&gt;"",ISNUMBER(SEARCH($X$4,Lists!$DU$40))),1,0)</f>
        <v/>
      </c>
      <c r="CF93">
        <f>IF(ROW()-56&gt;MAX($CE$57:$CE$95),"",INDEX(Lists!$DU$4:$DU$42,MATCH(ROW()-56,$CE$57:$CE$95,0)))</f>
        <v/>
      </c>
      <c r="CG93">
        <f>CG92+IF(AND(Lists!$DZ$40&lt;&gt;"",ISNUMBER(SEARCH($Y$4,Lists!$DZ$40))),1,0)</f>
        <v/>
      </c>
      <c r="CH93">
        <f>IF(ROW()-56&gt;MAX($CG$57:$CG$95),"",INDEX(Lists!$DZ$4:$DZ$42,MATCH(ROW()-56,$CG$57:$CG$95,0)))</f>
        <v/>
      </c>
      <c r="CI93">
        <f>CI92+IF(AND(Lists!$EE$40&lt;&gt;"",ISNUMBER(SEARCH($Z$4,Lists!$EE$40))),1,0)</f>
        <v/>
      </c>
      <c r="CJ93">
        <f>IF(ROW()-56&gt;MAX($CI$57:$CI$95),"",INDEX(Lists!$EE$4:$EE$42,MATCH(ROW()-56,$CI$57:$CI$95,0)))</f>
        <v/>
      </c>
      <c r="CK93">
        <f>CK92+IF(AND(Lists!$EJ$40&lt;&gt;"",ISNUMBER(SEARCH($AA$4,Lists!$EJ$40))),1,0)</f>
        <v/>
      </c>
      <c r="CL93">
        <f>IF(ROW()-56&gt;MAX($CK$57:$CK$95),"",INDEX(Lists!$EJ$4:$EJ$42,MATCH(ROW()-56,$CK$57:$CK$95,0)))</f>
        <v/>
      </c>
      <c r="CM93">
        <f>CM92+IF(AND(Lists!$EO$40&lt;&gt;"",ISNUMBER(SEARCH($AB$4,Lists!$EO$40))),1,0)</f>
        <v/>
      </c>
      <c r="CN93">
        <f>IF(ROW()-56&gt;MAX($CM$57:$CM$95),"",INDEX(Lists!$EO$4:$EO$42,MATCH(ROW()-56,$CM$57:$CM$95,0)))</f>
        <v/>
      </c>
      <c r="CO93">
        <f>CO92+IF(AND(Lists!$ET$40&lt;&gt;"",ISNUMBER(SEARCH($AC$4,Lists!$ET$40))),1,0)</f>
        <v/>
      </c>
      <c r="CP93">
        <f>IF(ROW()-56&gt;MAX($CO$57:$CO$95),"",INDEX(Lists!$ET$4:$ET$42,MATCH(ROW()-56,$CO$57:$CO$95,0)))</f>
        <v/>
      </c>
      <c r="CQ93">
        <f>CQ92+IF(AND(Lists!$EY$40&lt;&gt;"",ISNUMBER(SEARCH($AD$4,Lists!$EY$40))),1,0)</f>
        <v/>
      </c>
      <c r="CR93">
        <f>IF(ROW()-56&gt;MAX($CQ$57:$CQ$95),"",INDEX(Lists!$EY$4:$EY$42,MATCH(ROW()-56,$CQ$57:$CQ$95,0)))</f>
        <v/>
      </c>
      <c r="CS93">
        <f>CS92+IF(AND(Lists!$FD$40&lt;&gt;"",ISNUMBER(SEARCH($AE$4,Lists!$FD$40))),1,0)</f>
        <v/>
      </c>
      <c r="CT93">
        <f>IF(ROW()-56&gt;MAX($CS$57:$CS$95),"",INDEX(Lists!$FD$4:$FD$42,MATCH(ROW()-56,$CS$57:$CS$95,0)))</f>
        <v/>
      </c>
      <c r="CU93">
        <f>CU92+IF(AND(Lists!$FI$40&lt;&gt;"",ISNUMBER(SEARCH($AG$4,Lists!$FI$40))),1,0)</f>
        <v/>
      </c>
      <c r="CV93">
        <f>IF(ROW()-56&gt;MAX($CU$57:$CU$95),"",INDEX(Lists!$FI$4:$FI$42,MATCH(ROW()-56,$CU$57:$CU$95,0)))</f>
        <v/>
      </c>
      <c r="CW93">
        <f>CW92+IF(AND(Lists!$FN$40&lt;&gt;"",ISNUMBER(SEARCH($AH$4,Lists!$FN$40))),1,0)</f>
        <v/>
      </c>
      <c r="CX93">
        <f>IF(ROW()-56&gt;MAX($CW$57:$CW$95),"",INDEX(Lists!$FN$4:$FN$42,MATCH(ROW()-56,$CW$57:$CW$95,0)))</f>
        <v/>
      </c>
      <c r="CY93">
        <f>CY92+IF(AND(Lists!$FS$40&lt;&gt;"",ISNUMBER(SEARCH($AI$4,Lists!$FS$40))),1,0)</f>
        <v/>
      </c>
      <c r="CZ93">
        <f>IF(ROW()-56&gt;MAX($CY$57:$CY$95),"",INDEX(Lists!$FS$4:$FS$42,MATCH(ROW()-56,$CY$57:$CY$95,0)))</f>
        <v/>
      </c>
      <c r="DA93">
        <f>DA92+IF(AND(Lists!$FX$40&lt;&gt;"",ISNUMBER(SEARCH($AF$4,Lists!$FX$40))),1,0)</f>
        <v/>
      </c>
      <c r="DB93">
        <f>IF(ROW()-56&gt;MAX($DA$57:$DA$95),"",INDEX(Lists!$FX$4:$FX$42,MATCH(ROW()-56,$DA$57:$DA$95,0)))</f>
        <v/>
      </c>
      <c r="DG93">
        <f>IF($B$4="",1,IF($B$4="(blank)",--('Final Calculation Sheet'!$F$38=""),IF($B$4="(nonblank)",--('Final Calculation Sheet'!$F$38&lt;&gt;""),--ISNUMBER(SEARCH($B$4,'Final Calculation Sheet'!$F$38)))))</f>
        <v/>
      </c>
      <c r="DH93">
        <f>IF($C$4="",1,IF($C$4="(blank)",--('Final Calculation Sheet'!$G$38=""),IF($C$4="(nonblank)",--('Final Calculation Sheet'!$G$38&lt;&gt;""),--ISNUMBER(SEARCH($C$4,'Final Calculation Sheet'!$G$38)))))</f>
        <v/>
      </c>
      <c r="DI93">
        <f>IF($D$4="",1,IF($D$4="(blank)",--('Final Calculation Sheet'!$B$38=""),IF($D$4="(nonblank)",--('Final Calculation Sheet'!$B$38&lt;&gt;""),--ISNUMBER(SEARCH($D$4,'Final Calculation Sheet'!$B$38)))))</f>
        <v/>
      </c>
      <c r="DJ93">
        <f>IF($E$4="",1,IF($E$4="(blank)",--('Final Calculation Sheet'!$D$38=""),IF($E$4="(nonblank)",--('Final Calculation Sheet'!$D$38&lt;&gt;""),--ISNUMBER(SEARCH($E$4,'Final Calculation Sheet'!$D$38)))))</f>
        <v/>
      </c>
      <c r="DK93">
        <f>IF($F$4="",1,IF($F$4="(blank)",--('Final Calculation Sheet'!$A$38=""),IF($F$4="(nonblank)",--('Final Calculation Sheet'!$A$38&lt;&gt;""),--ISNUMBER(SEARCH($F$4,'Final Calculation Sheet'!$A$38)))))</f>
        <v/>
      </c>
      <c r="DL93">
        <f>IF($G$4="",1,IF($G$4="(blank)",--('Final Calculation Sheet'!$E$38=""),IF($G$4="(nonblank)",--('Final Calculation Sheet'!$E$38&lt;&gt;""),--ISNUMBER(SEARCH($G$4,'Final Calculation Sheet'!$E$38)))))</f>
        <v/>
      </c>
      <c r="DM93">
        <f>IF($H$4="",1,IF($H$4="(blank)",--('Final Calculation Sheet'!$C$38=""),IF($H$4="(nonblank)",--('Final Calculation Sheet'!$C$38&lt;&gt;""),--ISNUMBER(SEARCH($H$4,'Final Calculation Sheet'!$C$38)))))</f>
        <v/>
      </c>
      <c r="DN93">
        <f>IF($I$4="",1,IF($I$4="(blank)",--('Final Calculation Sheet'!$H$38=""),IF($I$4="(nonblank)",--('Final Calculation Sheet'!$H$38&lt;&gt;""),--ISNUMBER(SEARCH($I$4,'Final Calculation Sheet'!$H$38)))))</f>
        <v/>
      </c>
      <c r="DO93">
        <f>IF($J$4="",1,IF($J$4="(blank)",--('Final Calculation Sheet'!$I$38=""),IF($J$4="(nonblank)",--('Final Calculation Sheet'!$I$38&lt;&gt;""),--ISNUMBER(SEARCH($J$4,'Final Calculation Sheet'!$I$38)))))</f>
        <v/>
      </c>
      <c r="DP93">
        <f>IF($K$4="",1,IF($K$4="(blank)",--('Final Calculation Sheet'!$J$38=""),IF($K$4="(nonblank)",--('Final Calculation Sheet'!$J$38&lt;&gt;""),--ISNUMBER(SEARCH($K$4,'Final Calculation Sheet'!$J$38)))))</f>
        <v/>
      </c>
      <c r="DQ93">
        <f>IF($L$4="",1,IF($L$4="(blank)",--('Final Calculation Sheet'!$K$38=""),IF($L$4="(nonblank)",--('Final Calculation Sheet'!$K$38&lt;&gt;""),--ISNUMBER(SEARCH($L$4,'Final Calculation Sheet'!$K$38)))))</f>
        <v/>
      </c>
      <c r="DR93">
        <f>IF($M$4="",1,IF($M$4="(blank)",--('Final Calculation Sheet'!$L$38=""),IF($M$4="(nonblank)",--('Final Calculation Sheet'!$L$38&lt;&gt;""),--ISNUMBER(SEARCH($M$4,'Final Calculation Sheet'!$L$38)))))</f>
        <v/>
      </c>
      <c r="DS93">
        <f>IF($N$4="",1,IF($N$4="(blank)",--('Final Calculation Sheet'!$M$38=""),IF($N$4="(nonblank)",--('Final Calculation Sheet'!$M$38&lt;&gt;""),--ISNUMBER(SEARCH($N$4,'Final Calculation Sheet'!$M$38)))))</f>
        <v/>
      </c>
      <c r="DT93">
        <f>IF($O$4="",1,IF($O$4="(blank)",--('Final Calculation Sheet'!$N$38=""),IF($O$4="(nonblank)",--('Final Calculation Sheet'!$N$38&lt;&gt;""),--ISNUMBER(SEARCH($O$4,'Final Calculation Sheet'!$N$38)))))</f>
        <v/>
      </c>
      <c r="DU93">
        <f>IF($P$4="",1,IF($P$4="(blank)",--('Final Calculation Sheet'!$O$38=""),IF($P$4="(nonblank)",--('Final Calculation Sheet'!$O$38&lt;&gt;""),--ISNUMBER(SEARCH($P$4,'Final Calculation Sheet'!$O$38)))))</f>
        <v/>
      </c>
      <c r="DV93">
        <f>IF($Q$4="",1,IF($Q$4="(blank)",--('Final Calculation Sheet'!$P$38=""),IF($Q$4="(nonblank)",--('Final Calculation Sheet'!$P$38&lt;&gt;""),--ISNUMBER(SEARCH($Q$4,'Final Calculation Sheet'!$P$38)))))</f>
        <v/>
      </c>
      <c r="DW93">
        <f>IF($R$4="",1,IF($R$4="(blank)",--('Final Calculation Sheet'!$Q$38=""),IF($R$4="(nonblank)",--('Final Calculation Sheet'!$Q$38&lt;&gt;""),--ISNUMBER(SEARCH($R$4,'Final Calculation Sheet'!$Q$38)))))</f>
        <v/>
      </c>
      <c r="DX93">
        <f>IF($S$4="",1,IF($S$4="(blank)",--('Final Calculation Sheet'!$R$38=""),IF($S$4="(nonblank)",--('Final Calculation Sheet'!$R$38&lt;&gt;""),--ISNUMBER(SEARCH($S$4,'Final Calculation Sheet'!$R$38)))))</f>
        <v/>
      </c>
      <c r="DY93">
        <f>IF($T$4="",1,IF($T$4="(blank)",--('Final Calculation Sheet'!$S$38=""),IF($T$4="(nonblank)",--('Final Calculation Sheet'!$S$38&lt;&gt;""),--ISNUMBER(SEARCH($T$4,'Final Calculation Sheet'!$S$38)))))</f>
        <v/>
      </c>
      <c r="DZ93">
        <f>IF($U$4="",1,IF($U$4="(blank)",--('Final Calculation Sheet'!$T$38=""),IF($U$4="(nonblank)",--('Final Calculation Sheet'!$T$38&lt;&gt;""),--ISNUMBER(SEARCH($U$4,'Final Calculation Sheet'!$T$38)))))</f>
        <v/>
      </c>
      <c r="EA93">
        <f>IF($V$4="",1,IF($V$4="(blank)",--('Final Calculation Sheet'!$U$38=""),IF($V$4="(nonblank)",--('Final Calculation Sheet'!$U$38&lt;&gt;""),--ISNUMBER(SEARCH($V$4,'Final Calculation Sheet'!$U$38)))))</f>
        <v/>
      </c>
      <c r="EB93">
        <f>IF($W$4="",1,IF($W$4="(blank)",--('Final Calculation Sheet'!$V$38=""),IF($W$4="(nonblank)",--('Final Calculation Sheet'!$V$38&lt;&gt;""),--ISNUMBER(SEARCH($W$4,'Final Calculation Sheet'!$V$38)))))</f>
        <v/>
      </c>
      <c r="EC93">
        <f>IF($X$4="",1,IF($X$4="(blank)",--('Final Calculation Sheet'!$W$38=""),IF($X$4="(nonblank)",--('Final Calculation Sheet'!$W$38&lt;&gt;""),--ISNUMBER(SEARCH($X$4,'Final Calculation Sheet'!$W$38)))))</f>
        <v/>
      </c>
      <c r="ED93">
        <f>IF($Y$4="",1,IF($Y$4="(blank)",--('Final Calculation Sheet'!$X$38=""),IF($Y$4="(nonblank)",--('Final Calculation Sheet'!$X$38&lt;&gt;""),--ISNUMBER(SEARCH($Y$4,'Final Calculation Sheet'!$X$38)))))</f>
        <v/>
      </c>
      <c r="EE93">
        <f>IF($Z$4="",1,IF($Z$4="(blank)",--('Final Calculation Sheet'!$Y$38=""),IF($Z$4="(nonblank)",--('Final Calculation Sheet'!$Y$38&lt;&gt;""),--ISNUMBER(SEARCH($Z$4,'Final Calculation Sheet'!$Y$38)))))</f>
        <v/>
      </c>
      <c r="EF93">
        <f>IF($AA$4="",1,IF($AA$4="(blank)",--('Final Calculation Sheet'!$Z$38=""),IF($AA$4="(nonblank)",--('Final Calculation Sheet'!$Z$38&lt;&gt;""),--ISNUMBER(SEARCH($AA$4,'Final Calculation Sheet'!$Z$38)))))</f>
        <v/>
      </c>
      <c r="EG93">
        <f>IF($AB$4="",1,IF($AB$4="(blank)",--('Final Calculation Sheet'!$AA$38=""),IF($AB$4="(nonblank)",--('Final Calculation Sheet'!$AA$38&lt;&gt;""),--ISNUMBER(SEARCH($AB$4,'Final Calculation Sheet'!$AA$38)))))</f>
        <v/>
      </c>
      <c r="EH93">
        <f>IF($AC$4="",1,IF($AC$4="(blank)",--('Final Calculation Sheet'!$AB$38=""),IF($AC$4="(nonblank)",--('Final Calculation Sheet'!$AB$38&lt;&gt;""),--ISNUMBER(SEARCH($AC$4,'Final Calculation Sheet'!$AB$38)))))</f>
        <v/>
      </c>
      <c r="EI93">
        <f>IF($AD$4="",1,IF($AD$4="(blank)",--('Final Calculation Sheet'!$AC$38=""),IF($AD$4="(nonblank)",--('Final Calculation Sheet'!$AC$38&lt;&gt;""),--ISNUMBER(SEARCH($AD$4,'Final Calculation Sheet'!$AC$38)))))</f>
        <v/>
      </c>
      <c r="EJ93">
        <f>IF($AE$4="",1,IF($AE$4="(blank)",--('Final Calculation Sheet'!$AD$38=""),IF($AE$4="(nonblank)",--('Final Calculation Sheet'!$AD$38&lt;&gt;""),--ISNUMBER(SEARCH($AE$4,'Final Calculation Sheet'!$AD$38)))))</f>
        <v/>
      </c>
      <c r="EK93">
        <f>IF($AF$4="",1,IF($AF$4="(blank)",--(IF('Final Calculation Sheet'!$AD$38&lt;=5,"SETTLED","OUTSTANDING")=""),IF($AF$4="(nonblank)",--(IF('Final Calculation Sheet'!$AD$38&lt;=5,"SETTLED","OUTSTANDING")&lt;&gt;""),--ISNUMBER(SEARCH($AF$4,IF('Final Calculation Sheet'!$AD$38&lt;=5,"SETTLED","OUTSTANDING"))))))</f>
        <v/>
      </c>
      <c r="EL93">
        <f>IF($AG$4="",1,IF($AG$4="(blank)",--('Final Calculation Sheet'!$AF$38=""),IF($AG$4="(nonblank)",--('Final Calculation Sheet'!$AF$38&lt;&gt;""),--ISNUMBER(SEARCH($AG$4,'Final Calculation Sheet'!$AF$38)))))</f>
        <v/>
      </c>
      <c r="EM93">
        <f>IF($AH$4="",1,IF($AH$4="(blank)",--('Final Calculation Sheet'!$AG$38=""),IF($AH$4="(nonblank)",--('Final Calculation Sheet'!$AG$38&lt;&gt;""),--ISNUMBER(SEARCH($AH$4,'Final Calculation Sheet'!$AG$38)))))</f>
        <v/>
      </c>
      <c r="EN93">
        <f>IF($AI$4="",1,IF($AI$4="(blank)",--('Final Calculation Sheet'!$AH$38=""),IF($AI$4="(nonblank)",--('Final Calculation Sheet'!$AH$38&lt;&gt;""),--ISNUMBER(SEARCH($AI$4,'Final Calculation Sheet'!$AH$38)))))</f>
        <v/>
      </c>
    </row>
    <row r="94">
      <c r="AM94">
        <f>AM93+IF(AND(Lists!$O$41&lt;&gt;"",ISNUMBER(SEARCH($B$4,Lists!$O$41))),1,0)</f>
        <v/>
      </c>
      <c r="AN94">
        <f>IF(ROW()-56&gt;MAX($AM$57:$AM$95),"",INDEX(Lists!$O$4:$O$42,MATCH(ROW()-56,$AM$57:$AM$95,0)))</f>
        <v/>
      </c>
      <c r="AO94">
        <f>AO93+IF(AND(Lists!$T$41&lt;&gt;"",ISNUMBER(SEARCH($C$4,Lists!$T$41))),1,0)</f>
        <v/>
      </c>
      <c r="AP94">
        <f>IF(ROW()-56&gt;MAX($AO$57:$AO$95),"",INDEX(Lists!$T$4:$T$42,MATCH(ROW()-56,$AO$57:$AO$95,0)))</f>
        <v/>
      </c>
      <c r="AQ94">
        <f>AQ93+IF(AND(Lists!$Y$41&lt;&gt;"",ISNUMBER(SEARCH($D$4,Lists!$Y$41))),1,0)</f>
        <v/>
      </c>
      <c r="AR94">
        <f>IF(ROW()-56&gt;MAX($AQ$57:$AQ$95),"",INDEX(Lists!$Y$4:$Y$42,MATCH(ROW()-56,$AQ$57:$AQ$95,0)))</f>
        <v/>
      </c>
      <c r="AS94">
        <f>AS93+IF(AND(Lists!$AD$41&lt;&gt;"",ISNUMBER(SEARCH($E$4,Lists!$AD$41))),1,0)</f>
        <v/>
      </c>
      <c r="AT94">
        <f>IF(ROW()-56&gt;MAX($AS$57:$AS$95),"",INDEX(Lists!$AD$4:$AD$42,MATCH(ROW()-56,$AS$57:$AS$95,0)))</f>
        <v/>
      </c>
      <c r="AU94">
        <f>AU93+IF(AND(Lists!$AI$41&lt;&gt;"",ISNUMBER(SEARCH($F$4,Lists!$AI$41))),1,0)</f>
        <v/>
      </c>
      <c r="AV94">
        <f>IF(ROW()-56&gt;MAX($AU$57:$AU$95),"",INDEX(Lists!$AI$4:$AI$42,MATCH(ROW()-56,$AU$57:$AU$95,0)))</f>
        <v/>
      </c>
      <c r="AW94">
        <f>AW93+IF(AND(Lists!$AN$41&lt;&gt;"",ISNUMBER(SEARCH($G$4,Lists!$AN$41))),1,0)</f>
        <v/>
      </c>
      <c r="AX94">
        <f>IF(ROW()-56&gt;MAX($AW$57:$AW$95),"",INDEX(Lists!$AN$4:$AN$42,MATCH(ROW()-56,$AW$57:$AW$95,0)))</f>
        <v/>
      </c>
      <c r="AY94">
        <f>AY93+IF(AND(Lists!$AS$41&lt;&gt;"",ISNUMBER(SEARCH($H$4,Lists!$AS$41))),1,0)</f>
        <v/>
      </c>
      <c r="AZ94">
        <f>IF(ROW()-56&gt;MAX($AY$57:$AY$95),"",INDEX(Lists!$AS$4:$AS$42,MATCH(ROW()-56,$AY$57:$AY$95,0)))</f>
        <v/>
      </c>
      <c r="BA94">
        <f>BA93+IF(AND(Lists!$AX$41&lt;&gt;"",ISNUMBER(SEARCH($I$4,Lists!$AX$41))),1,0)</f>
        <v/>
      </c>
      <c r="BB94">
        <f>IF(ROW()-56&gt;MAX($BA$57:$BA$95),"",INDEX(Lists!$AX$4:$AX$42,MATCH(ROW()-56,$BA$57:$BA$95,0)))</f>
        <v/>
      </c>
      <c r="BC94">
        <f>BC93+IF(AND(Lists!$BC$41&lt;&gt;"",ISNUMBER(SEARCH($J$4,Lists!$BC$41))),1,0)</f>
        <v/>
      </c>
      <c r="BD94">
        <f>IF(ROW()-56&gt;MAX($BC$57:$BC$95),"",INDEX(Lists!$BC$4:$BC$42,MATCH(ROW()-56,$BC$57:$BC$95,0)))</f>
        <v/>
      </c>
      <c r="BE94">
        <f>BE93+IF(AND(Lists!$BH$41&lt;&gt;"",ISNUMBER(SEARCH($K$4,Lists!$BH$41))),1,0)</f>
        <v/>
      </c>
      <c r="BF94">
        <f>IF(ROW()-56&gt;MAX($BE$57:$BE$95),"",INDEX(Lists!$BH$4:$BH$42,MATCH(ROW()-56,$BE$57:$BE$95,0)))</f>
        <v/>
      </c>
      <c r="BG94">
        <f>BG93+IF(AND(Lists!$BM$41&lt;&gt;"",ISNUMBER(SEARCH($L$4,Lists!$BM$41))),1,0)</f>
        <v/>
      </c>
      <c r="BH94">
        <f>IF(ROW()-56&gt;MAX($BG$57:$BG$95),"",INDEX(Lists!$BM$4:$BM$42,MATCH(ROW()-56,$BG$57:$BG$95,0)))</f>
        <v/>
      </c>
      <c r="BI94">
        <f>BI93+IF(AND(Lists!$BR$41&lt;&gt;"",ISNUMBER(SEARCH($M$4,Lists!$BR$41))),1,0)</f>
        <v/>
      </c>
      <c r="BJ94">
        <f>IF(ROW()-56&gt;MAX($BI$57:$BI$95),"",INDEX(Lists!$BR$4:$BR$42,MATCH(ROW()-56,$BI$57:$BI$95,0)))</f>
        <v/>
      </c>
      <c r="BK94">
        <f>BK93+IF(AND(Lists!$BW$41&lt;&gt;"",ISNUMBER(SEARCH($N$4,Lists!$BW$41))),1,0)</f>
        <v/>
      </c>
      <c r="BL94">
        <f>IF(ROW()-56&gt;MAX($BK$57:$BK$95),"",INDEX(Lists!$BW$4:$BW$42,MATCH(ROW()-56,$BK$57:$BK$95,0)))</f>
        <v/>
      </c>
      <c r="BM94">
        <f>BM93+IF(AND(Lists!$CB$41&lt;&gt;"",ISNUMBER(SEARCH($O$4,Lists!$CB$41))),1,0)</f>
        <v/>
      </c>
      <c r="BN94">
        <f>IF(ROW()-56&gt;MAX($BM$57:$BM$95),"",INDEX(Lists!$CB$4:$CB$42,MATCH(ROW()-56,$BM$57:$BM$95,0)))</f>
        <v/>
      </c>
      <c r="BO94">
        <f>BO93+IF(AND(Lists!$CG$41&lt;&gt;"",ISNUMBER(SEARCH($P$4,Lists!$CG$41))),1,0)</f>
        <v/>
      </c>
      <c r="BP94">
        <f>IF(ROW()-56&gt;MAX($BO$57:$BO$95),"",INDEX(Lists!$CG$4:$CG$42,MATCH(ROW()-56,$BO$57:$BO$95,0)))</f>
        <v/>
      </c>
      <c r="BQ94">
        <f>BQ93+IF(AND(Lists!$CL$41&lt;&gt;"",ISNUMBER(SEARCH($Q$4,Lists!$CL$41))),1,0)</f>
        <v/>
      </c>
      <c r="BR94">
        <f>IF(ROW()-56&gt;MAX($BQ$57:$BQ$95),"",INDEX(Lists!$CL$4:$CL$42,MATCH(ROW()-56,$BQ$57:$BQ$95,0)))</f>
        <v/>
      </c>
      <c r="BS94">
        <f>BS93+IF(AND(Lists!$CQ$41&lt;&gt;"",ISNUMBER(SEARCH($R$4,Lists!$CQ$41))),1,0)</f>
        <v/>
      </c>
      <c r="BT94">
        <f>IF(ROW()-56&gt;MAX($BS$57:$BS$95),"",INDEX(Lists!$CQ$4:$CQ$42,MATCH(ROW()-56,$BS$57:$BS$95,0)))</f>
        <v/>
      </c>
      <c r="BU94">
        <f>BU93+IF(AND(Lists!$CV$41&lt;&gt;"",ISNUMBER(SEARCH($S$4,Lists!$CV$41))),1,0)</f>
        <v/>
      </c>
      <c r="BV94">
        <f>IF(ROW()-56&gt;MAX($BU$57:$BU$95),"",INDEX(Lists!$CV$4:$CV$42,MATCH(ROW()-56,$BU$57:$BU$95,0)))</f>
        <v/>
      </c>
      <c r="BW94">
        <f>BW93+IF(AND(Lists!$DA$41&lt;&gt;"",ISNUMBER(SEARCH($T$4,Lists!$DA$41))),1,0)</f>
        <v/>
      </c>
      <c r="BX94">
        <f>IF(ROW()-56&gt;MAX($BW$57:$BW$95),"",INDEX(Lists!$DA$4:$DA$42,MATCH(ROW()-56,$BW$57:$BW$95,0)))</f>
        <v/>
      </c>
      <c r="BY94">
        <f>BY93+IF(AND(Lists!$DF$41&lt;&gt;"",ISNUMBER(SEARCH($U$4,Lists!$DF$41))),1,0)</f>
        <v/>
      </c>
      <c r="BZ94">
        <f>IF(ROW()-56&gt;MAX($BY$57:$BY$95),"",INDEX(Lists!$DF$4:$DF$42,MATCH(ROW()-56,$BY$57:$BY$95,0)))</f>
        <v/>
      </c>
      <c r="CA94">
        <f>CA93+IF(AND(Lists!$DK$41&lt;&gt;"",ISNUMBER(SEARCH($V$4,Lists!$DK$41))),1,0)</f>
        <v/>
      </c>
      <c r="CB94">
        <f>IF(ROW()-56&gt;MAX($CA$57:$CA$95),"",INDEX(Lists!$DK$4:$DK$42,MATCH(ROW()-56,$CA$57:$CA$95,0)))</f>
        <v/>
      </c>
      <c r="CC94">
        <f>CC93+IF(AND(Lists!$DP$41&lt;&gt;"",ISNUMBER(SEARCH($W$4,Lists!$DP$41))),1,0)</f>
        <v/>
      </c>
      <c r="CD94">
        <f>IF(ROW()-56&gt;MAX($CC$57:$CC$95),"",INDEX(Lists!$DP$4:$DP$42,MATCH(ROW()-56,$CC$57:$CC$95,0)))</f>
        <v/>
      </c>
      <c r="CE94">
        <f>CE93+IF(AND(Lists!$DU$41&lt;&gt;"",ISNUMBER(SEARCH($X$4,Lists!$DU$41))),1,0)</f>
        <v/>
      </c>
      <c r="CF94">
        <f>IF(ROW()-56&gt;MAX($CE$57:$CE$95),"",INDEX(Lists!$DU$4:$DU$42,MATCH(ROW()-56,$CE$57:$CE$95,0)))</f>
        <v/>
      </c>
      <c r="CG94">
        <f>CG93+IF(AND(Lists!$DZ$41&lt;&gt;"",ISNUMBER(SEARCH($Y$4,Lists!$DZ$41))),1,0)</f>
        <v/>
      </c>
      <c r="CH94">
        <f>IF(ROW()-56&gt;MAX($CG$57:$CG$95),"",INDEX(Lists!$DZ$4:$DZ$42,MATCH(ROW()-56,$CG$57:$CG$95,0)))</f>
        <v/>
      </c>
      <c r="CI94">
        <f>CI93+IF(AND(Lists!$EE$41&lt;&gt;"",ISNUMBER(SEARCH($Z$4,Lists!$EE$41))),1,0)</f>
        <v/>
      </c>
      <c r="CJ94">
        <f>IF(ROW()-56&gt;MAX($CI$57:$CI$95),"",INDEX(Lists!$EE$4:$EE$42,MATCH(ROW()-56,$CI$57:$CI$95,0)))</f>
        <v/>
      </c>
      <c r="CK94">
        <f>CK93+IF(AND(Lists!$EJ$41&lt;&gt;"",ISNUMBER(SEARCH($AA$4,Lists!$EJ$41))),1,0)</f>
        <v/>
      </c>
      <c r="CL94">
        <f>IF(ROW()-56&gt;MAX($CK$57:$CK$95),"",INDEX(Lists!$EJ$4:$EJ$42,MATCH(ROW()-56,$CK$57:$CK$95,0)))</f>
        <v/>
      </c>
      <c r="CM94">
        <f>CM93+IF(AND(Lists!$EO$41&lt;&gt;"",ISNUMBER(SEARCH($AB$4,Lists!$EO$41))),1,0)</f>
        <v/>
      </c>
      <c r="CN94">
        <f>IF(ROW()-56&gt;MAX($CM$57:$CM$95),"",INDEX(Lists!$EO$4:$EO$42,MATCH(ROW()-56,$CM$57:$CM$95,0)))</f>
        <v/>
      </c>
      <c r="CO94">
        <f>CO93+IF(AND(Lists!$ET$41&lt;&gt;"",ISNUMBER(SEARCH($AC$4,Lists!$ET$41))),1,0)</f>
        <v/>
      </c>
      <c r="CP94">
        <f>IF(ROW()-56&gt;MAX($CO$57:$CO$95),"",INDEX(Lists!$ET$4:$ET$42,MATCH(ROW()-56,$CO$57:$CO$95,0)))</f>
        <v/>
      </c>
      <c r="CQ94">
        <f>CQ93+IF(AND(Lists!$EY$41&lt;&gt;"",ISNUMBER(SEARCH($AD$4,Lists!$EY$41))),1,0)</f>
        <v/>
      </c>
      <c r="CR94">
        <f>IF(ROW()-56&gt;MAX($CQ$57:$CQ$95),"",INDEX(Lists!$EY$4:$EY$42,MATCH(ROW()-56,$CQ$57:$CQ$95,0)))</f>
        <v/>
      </c>
      <c r="CS94">
        <f>CS93+IF(AND(Lists!$FD$41&lt;&gt;"",ISNUMBER(SEARCH($AE$4,Lists!$FD$41))),1,0)</f>
        <v/>
      </c>
      <c r="CT94">
        <f>IF(ROW()-56&gt;MAX($CS$57:$CS$95),"",INDEX(Lists!$FD$4:$FD$42,MATCH(ROW()-56,$CS$57:$CS$95,0)))</f>
        <v/>
      </c>
      <c r="CU94">
        <f>CU93+IF(AND(Lists!$FI$41&lt;&gt;"",ISNUMBER(SEARCH($AG$4,Lists!$FI$41))),1,0)</f>
        <v/>
      </c>
      <c r="CV94">
        <f>IF(ROW()-56&gt;MAX($CU$57:$CU$95),"",INDEX(Lists!$FI$4:$FI$42,MATCH(ROW()-56,$CU$57:$CU$95,0)))</f>
        <v/>
      </c>
      <c r="CW94">
        <f>CW93+IF(AND(Lists!$FN$41&lt;&gt;"",ISNUMBER(SEARCH($AH$4,Lists!$FN$41))),1,0)</f>
        <v/>
      </c>
      <c r="CX94">
        <f>IF(ROW()-56&gt;MAX($CW$57:$CW$95),"",INDEX(Lists!$FN$4:$FN$42,MATCH(ROW()-56,$CW$57:$CW$95,0)))</f>
        <v/>
      </c>
      <c r="CY94">
        <f>CY93+IF(AND(Lists!$FS$41&lt;&gt;"",ISNUMBER(SEARCH($AI$4,Lists!$FS$41))),1,0)</f>
        <v/>
      </c>
      <c r="CZ94">
        <f>IF(ROW()-56&gt;MAX($CY$57:$CY$95),"",INDEX(Lists!$FS$4:$FS$42,MATCH(ROW()-56,$CY$57:$CY$95,0)))</f>
        <v/>
      </c>
      <c r="DA94">
        <f>DA93+IF(AND(Lists!$FX$41&lt;&gt;"",ISNUMBER(SEARCH($AF$4,Lists!$FX$41))),1,0)</f>
        <v/>
      </c>
      <c r="DB94">
        <f>IF(ROW()-56&gt;MAX($DA$57:$DA$95),"",INDEX(Lists!$FX$4:$FX$42,MATCH(ROW()-56,$DA$57:$DA$95,0)))</f>
        <v/>
      </c>
      <c r="DG94">
        <f>IF($B$4="",1,IF($B$4="(blank)",--('Final Calculation Sheet'!$F$39=""),IF($B$4="(nonblank)",--('Final Calculation Sheet'!$F$39&lt;&gt;""),--ISNUMBER(SEARCH($B$4,'Final Calculation Sheet'!$F$39)))))</f>
        <v/>
      </c>
      <c r="DH94">
        <f>IF($C$4="",1,IF($C$4="(blank)",--('Final Calculation Sheet'!$G$39=""),IF($C$4="(nonblank)",--('Final Calculation Sheet'!$G$39&lt;&gt;""),--ISNUMBER(SEARCH($C$4,'Final Calculation Sheet'!$G$39)))))</f>
        <v/>
      </c>
      <c r="DI94">
        <f>IF($D$4="",1,IF($D$4="(blank)",--('Final Calculation Sheet'!$B$39=""),IF($D$4="(nonblank)",--('Final Calculation Sheet'!$B$39&lt;&gt;""),--ISNUMBER(SEARCH($D$4,'Final Calculation Sheet'!$B$39)))))</f>
        <v/>
      </c>
      <c r="DJ94">
        <f>IF($E$4="",1,IF($E$4="(blank)",--('Final Calculation Sheet'!$D$39=""),IF($E$4="(nonblank)",--('Final Calculation Sheet'!$D$39&lt;&gt;""),--ISNUMBER(SEARCH($E$4,'Final Calculation Sheet'!$D$39)))))</f>
        <v/>
      </c>
      <c r="DK94">
        <f>IF($F$4="",1,IF($F$4="(blank)",--('Final Calculation Sheet'!$A$39=""),IF($F$4="(nonblank)",--('Final Calculation Sheet'!$A$39&lt;&gt;""),--ISNUMBER(SEARCH($F$4,'Final Calculation Sheet'!$A$39)))))</f>
        <v/>
      </c>
      <c r="DL94">
        <f>IF($G$4="",1,IF($G$4="(blank)",--('Final Calculation Sheet'!$E$39=""),IF($G$4="(nonblank)",--('Final Calculation Sheet'!$E$39&lt;&gt;""),--ISNUMBER(SEARCH($G$4,'Final Calculation Sheet'!$E$39)))))</f>
        <v/>
      </c>
      <c r="DM94">
        <f>IF($H$4="",1,IF($H$4="(blank)",--('Final Calculation Sheet'!$C$39=""),IF($H$4="(nonblank)",--('Final Calculation Sheet'!$C$39&lt;&gt;""),--ISNUMBER(SEARCH($H$4,'Final Calculation Sheet'!$C$39)))))</f>
        <v/>
      </c>
      <c r="DN94">
        <f>IF($I$4="",1,IF($I$4="(blank)",--('Final Calculation Sheet'!$H$39=""),IF($I$4="(nonblank)",--('Final Calculation Sheet'!$H$39&lt;&gt;""),--ISNUMBER(SEARCH($I$4,'Final Calculation Sheet'!$H$39)))))</f>
        <v/>
      </c>
      <c r="DO94">
        <f>IF($J$4="",1,IF($J$4="(blank)",--('Final Calculation Sheet'!$I$39=""),IF($J$4="(nonblank)",--('Final Calculation Sheet'!$I$39&lt;&gt;""),--ISNUMBER(SEARCH($J$4,'Final Calculation Sheet'!$I$39)))))</f>
        <v/>
      </c>
      <c r="DP94">
        <f>IF($K$4="",1,IF($K$4="(blank)",--('Final Calculation Sheet'!$J$39=""),IF($K$4="(nonblank)",--('Final Calculation Sheet'!$J$39&lt;&gt;""),--ISNUMBER(SEARCH($K$4,'Final Calculation Sheet'!$J$39)))))</f>
        <v/>
      </c>
      <c r="DQ94">
        <f>IF($L$4="",1,IF($L$4="(blank)",--('Final Calculation Sheet'!$K$39=""),IF($L$4="(nonblank)",--('Final Calculation Sheet'!$K$39&lt;&gt;""),--ISNUMBER(SEARCH($L$4,'Final Calculation Sheet'!$K$39)))))</f>
        <v/>
      </c>
      <c r="DR94">
        <f>IF($M$4="",1,IF($M$4="(blank)",--('Final Calculation Sheet'!$L$39=""),IF($M$4="(nonblank)",--('Final Calculation Sheet'!$L$39&lt;&gt;""),--ISNUMBER(SEARCH($M$4,'Final Calculation Sheet'!$L$39)))))</f>
        <v/>
      </c>
      <c r="DS94">
        <f>IF($N$4="",1,IF($N$4="(blank)",--('Final Calculation Sheet'!$M$39=""),IF($N$4="(nonblank)",--('Final Calculation Sheet'!$M$39&lt;&gt;""),--ISNUMBER(SEARCH($N$4,'Final Calculation Sheet'!$M$39)))))</f>
        <v/>
      </c>
      <c r="DT94">
        <f>IF($O$4="",1,IF($O$4="(blank)",--('Final Calculation Sheet'!$N$39=""),IF($O$4="(nonblank)",--('Final Calculation Sheet'!$N$39&lt;&gt;""),--ISNUMBER(SEARCH($O$4,'Final Calculation Sheet'!$N$39)))))</f>
        <v/>
      </c>
      <c r="DU94">
        <f>IF($P$4="",1,IF($P$4="(blank)",--('Final Calculation Sheet'!$O$39=""),IF($P$4="(nonblank)",--('Final Calculation Sheet'!$O$39&lt;&gt;""),--ISNUMBER(SEARCH($P$4,'Final Calculation Sheet'!$O$39)))))</f>
        <v/>
      </c>
      <c r="DV94">
        <f>IF($Q$4="",1,IF($Q$4="(blank)",--('Final Calculation Sheet'!$P$39=""),IF($Q$4="(nonblank)",--('Final Calculation Sheet'!$P$39&lt;&gt;""),--ISNUMBER(SEARCH($Q$4,'Final Calculation Sheet'!$P$39)))))</f>
        <v/>
      </c>
      <c r="DW94">
        <f>IF($R$4="",1,IF($R$4="(blank)",--('Final Calculation Sheet'!$Q$39=""),IF($R$4="(nonblank)",--('Final Calculation Sheet'!$Q$39&lt;&gt;""),--ISNUMBER(SEARCH($R$4,'Final Calculation Sheet'!$Q$39)))))</f>
        <v/>
      </c>
      <c r="DX94">
        <f>IF($S$4="",1,IF($S$4="(blank)",--('Final Calculation Sheet'!$R$39=""),IF($S$4="(nonblank)",--('Final Calculation Sheet'!$R$39&lt;&gt;""),--ISNUMBER(SEARCH($S$4,'Final Calculation Sheet'!$R$39)))))</f>
        <v/>
      </c>
      <c r="DY94">
        <f>IF($T$4="",1,IF($T$4="(blank)",--('Final Calculation Sheet'!$S$39=""),IF($T$4="(nonblank)",--('Final Calculation Sheet'!$S$39&lt;&gt;""),--ISNUMBER(SEARCH($T$4,'Final Calculation Sheet'!$S$39)))))</f>
        <v/>
      </c>
      <c r="DZ94">
        <f>IF($U$4="",1,IF($U$4="(blank)",--('Final Calculation Sheet'!$T$39=""),IF($U$4="(nonblank)",--('Final Calculation Sheet'!$T$39&lt;&gt;""),--ISNUMBER(SEARCH($U$4,'Final Calculation Sheet'!$T$39)))))</f>
        <v/>
      </c>
      <c r="EA94">
        <f>IF($V$4="",1,IF($V$4="(blank)",--('Final Calculation Sheet'!$U$39=""),IF($V$4="(nonblank)",--('Final Calculation Sheet'!$U$39&lt;&gt;""),--ISNUMBER(SEARCH($V$4,'Final Calculation Sheet'!$U$39)))))</f>
        <v/>
      </c>
      <c r="EB94">
        <f>IF($W$4="",1,IF($W$4="(blank)",--('Final Calculation Sheet'!$V$39=""),IF($W$4="(nonblank)",--('Final Calculation Sheet'!$V$39&lt;&gt;""),--ISNUMBER(SEARCH($W$4,'Final Calculation Sheet'!$V$39)))))</f>
        <v/>
      </c>
      <c r="EC94">
        <f>IF($X$4="",1,IF($X$4="(blank)",--('Final Calculation Sheet'!$W$39=""),IF($X$4="(nonblank)",--('Final Calculation Sheet'!$W$39&lt;&gt;""),--ISNUMBER(SEARCH($X$4,'Final Calculation Sheet'!$W$39)))))</f>
        <v/>
      </c>
      <c r="ED94">
        <f>IF($Y$4="",1,IF($Y$4="(blank)",--('Final Calculation Sheet'!$X$39=""),IF($Y$4="(nonblank)",--('Final Calculation Sheet'!$X$39&lt;&gt;""),--ISNUMBER(SEARCH($Y$4,'Final Calculation Sheet'!$X$39)))))</f>
        <v/>
      </c>
      <c r="EE94">
        <f>IF($Z$4="",1,IF($Z$4="(blank)",--('Final Calculation Sheet'!$Y$39=""),IF($Z$4="(nonblank)",--('Final Calculation Sheet'!$Y$39&lt;&gt;""),--ISNUMBER(SEARCH($Z$4,'Final Calculation Sheet'!$Y$39)))))</f>
        <v/>
      </c>
      <c r="EF94">
        <f>IF($AA$4="",1,IF($AA$4="(blank)",--('Final Calculation Sheet'!$Z$39=""),IF($AA$4="(nonblank)",--('Final Calculation Sheet'!$Z$39&lt;&gt;""),--ISNUMBER(SEARCH($AA$4,'Final Calculation Sheet'!$Z$39)))))</f>
        <v/>
      </c>
      <c r="EG94">
        <f>IF($AB$4="",1,IF($AB$4="(blank)",--('Final Calculation Sheet'!$AA$39=""),IF($AB$4="(nonblank)",--('Final Calculation Sheet'!$AA$39&lt;&gt;""),--ISNUMBER(SEARCH($AB$4,'Final Calculation Sheet'!$AA$39)))))</f>
        <v/>
      </c>
      <c r="EH94">
        <f>IF($AC$4="",1,IF($AC$4="(blank)",--('Final Calculation Sheet'!$AB$39=""),IF($AC$4="(nonblank)",--('Final Calculation Sheet'!$AB$39&lt;&gt;""),--ISNUMBER(SEARCH($AC$4,'Final Calculation Sheet'!$AB$39)))))</f>
        <v/>
      </c>
      <c r="EI94">
        <f>IF($AD$4="",1,IF($AD$4="(blank)",--('Final Calculation Sheet'!$AC$39=""),IF($AD$4="(nonblank)",--('Final Calculation Sheet'!$AC$39&lt;&gt;""),--ISNUMBER(SEARCH($AD$4,'Final Calculation Sheet'!$AC$39)))))</f>
        <v/>
      </c>
      <c r="EJ94">
        <f>IF($AE$4="",1,IF($AE$4="(blank)",--('Final Calculation Sheet'!$AD$39=""),IF($AE$4="(nonblank)",--('Final Calculation Sheet'!$AD$39&lt;&gt;""),--ISNUMBER(SEARCH($AE$4,'Final Calculation Sheet'!$AD$39)))))</f>
        <v/>
      </c>
      <c r="EK94">
        <f>IF($AF$4="",1,IF($AF$4="(blank)",--(IF('Final Calculation Sheet'!$AD$39&lt;=5,"SETTLED","OUTSTANDING")=""),IF($AF$4="(nonblank)",--(IF('Final Calculation Sheet'!$AD$39&lt;=5,"SETTLED","OUTSTANDING")&lt;&gt;""),--ISNUMBER(SEARCH($AF$4,IF('Final Calculation Sheet'!$AD$39&lt;=5,"SETTLED","OUTSTANDING"))))))</f>
        <v/>
      </c>
      <c r="EL94">
        <f>IF($AG$4="",1,IF($AG$4="(blank)",--('Final Calculation Sheet'!$AF$39=""),IF($AG$4="(nonblank)",--('Final Calculation Sheet'!$AF$39&lt;&gt;""),--ISNUMBER(SEARCH($AG$4,'Final Calculation Sheet'!$AF$39)))))</f>
        <v/>
      </c>
      <c r="EM94">
        <f>IF($AH$4="",1,IF($AH$4="(blank)",--('Final Calculation Sheet'!$AG$39=""),IF($AH$4="(nonblank)",--('Final Calculation Sheet'!$AG$39&lt;&gt;""),--ISNUMBER(SEARCH($AH$4,'Final Calculation Sheet'!$AG$39)))))</f>
        <v/>
      </c>
      <c r="EN94">
        <f>IF($AI$4="",1,IF($AI$4="(blank)",--('Final Calculation Sheet'!$AH$39=""),IF($AI$4="(nonblank)",--('Final Calculation Sheet'!$AH$39&lt;&gt;""),--ISNUMBER(SEARCH($AI$4,'Final Calculation Sheet'!$AH$39)))))</f>
        <v/>
      </c>
    </row>
    <row r="95">
      <c r="AM95">
        <f>AM94+IF(AND(Lists!$O$42&lt;&gt;"",ISNUMBER(SEARCH($B$4,Lists!$O$42))),1,0)</f>
        <v/>
      </c>
      <c r="AN95">
        <f>IF(ROW()-56&gt;MAX($AM$57:$AM$95),"",INDEX(Lists!$O$4:$O$42,MATCH(ROW()-56,$AM$57:$AM$95,0)))</f>
        <v/>
      </c>
      <c r="AO95">
        <f>AO94+IF(AND(Lists!$T$42&lt;&gt;"",ISNUMBER(SEARCH($C$4,Lists!$T$42))),1,0)</f>
        <v/>
      </c>
      <c r="AP95">
        <f>IF(ROW()-56&gt;MAX($AO$57:$AO$95),"",INDEX(Lists!$T$4:$T$42,MATCH(ROW()-56,$AO$57:$AO$95,0)))</f>
        <v/>
      </c>
      <c r="AQ95">
        <f>AQ94+IF(AND(Lists!$Y$42&lt;&gt;"",ISNUMBER(SEARCH($D$4,Lists!$Y$42))),1,0)</f>
        <v/>
      </c>
      <c r="AR95">
        <f>IF(ROW()-56&gt;MAX($AQ$57:$AQ$95),"",INDEX(Lists!$Y$4:$Y$42,MATCH(ROW()-56,$AQ$57:$AQ$95,0)))</f>
        <v/>
      </c>
      <c r="AS95">
        <f>AS94+IF(AND(Lists!$AD$42&lt;&gt;"",ISNUMBER(SEARCH($E$4,Lists!$AD$42))),1,0)</f>
        <v/>
      </c>
      <c r="AT95">
        <f>IF(ROW()-56&gt;MAX($AS$57:$AS$95),"",INDEX(Lists!$AD$4:$AD$42,MATCH(ROW()-56,$AS$57:$AS$95,0)))</f>
        <v/>
      </c>
      <c r="AU95">
        <f>AU94+IF(AND(Lists!$AI$42&lt;&gt;"",ISNUMBER(SEARCH($F$4,Lists!$AI$42))),1,0)</f>
        <v/>
      </c>
      <c r="AV95">
        <f>IF(ROW()-56&gt;MAX($AU$57:$AU$95),"",INDEX(Lists!$AI$4:$AI$42,MATCH(ROW()-56,$AU$57:$AU$95,0)))</f>
        <v/>
      </c>
      <c r="AW95">
        <f>AW94+IF(AND(Lists!$AN$42&lt;&gt;"",ISNUMBER(SEARCH($G$4,Lists!$AN$42))),1,0)</f>
        <v/>
      </c>
      <c r="AX95">
        <f>IF(ROW()-56&gt;MAX($AW$57:$AW$95),"",INDEX(Lists!$AN$4:$AN$42,MATCH(ROW()-56,$AW$57:$AW$95,0)))</f>
        <v/>
      </c>
      <c r="AY95">
        <f>AY94+IF(AND(Lists!$AS$42&lt;&gt;"",ISNUMBER(SEARCH($H$4,Lists!$AS$42))),1,0)</f>
        <v/>
      </c>
      <c r="AZ95">
        <f>IF(ROW()-56&gt;MAX($AY$57:$AY$95),"",INDEX(Lists!$AS$4:$AS$42,MATCH(ROW()-56,$AY$57:$AY$95,0)))</f>
        <v/>
      </c>
      <c r="BA95">
        <f>BA94+IF(AND(Lists!$AX$42&lt;&gt;"",ISNUMBER(SEARCH($I$4,Lists!$AX$42))),1,0)</f>
        <v/>
      </c>
      <c r="BB95">
        <f>IF(ROW()-56&gt;MAX($BA$57:$BA$95),"",INDEX(Lists!$AX$4:$AX$42,MATCH(ROW()-56,$BA$57:$BA$95,0)))</f>
        <v/>
      </c>
      <c r="BC95">
        <f>BC94+IF(AND(Lists!$BC$42&lt;&gt;"",ISNUMBER(SEARCH($J$4,Lists!$BC$42))),1,0)</f>
        <v/>
      </c>
      <c r="BD95">
        <f>IF(ROW()-56&gt;MAX($BC$57:$BC$95),"",INDEX(Lists!$BC$4:$BC$42,MATCH(ROW()-56,$BC$57:$BC$95,0)))</f>
        <v/>
      </c>
      <c r="BE95">
        <f>BE94+IF(AND(Lists!$BH$42&lt;&gt;"",ISNUMBER(SEARCH($K$4,Lists!$BH$42))),1,0)</f>
        <v/>
      </c>
      <c r="BF95">
        <f>IF(ROW()-56&gt;MAX($BE$57:$BE$95),"",INDEX(Lists!$BH$4:$BH$42,MATCH(ROW()-56,$BE$57:$BE$95,0)))</f>
        <v/>
      </c>
      <c r="BG95">
        <f>BG94+IF(AND(Lists!$BM$42&lt;&gt;"",ISNUMBER(SEARCH($L$4,Lists!$BM$42))),1,0)</f>
        <v/>
      </c>
      <c r="BH95">
        <f>IF(ROW()-56&gt;MAX($BG$57:$BG$95),"",INDEX(Lists!$BM$4:$BM$42,MATCH(ROW()-56,$BG$57:$BG$95,0)))</f>
        <v/>
      </c>
      <c r="BI95">
        <f>BI94+IF(AND(Lists!$BR$42&lt;&gt;"",ISNUMBER(SEARCH($M$4,Lists!$BR$42))),1,0)</f>
        <v/>
      </c>
      <c r="BJ95">
        <f>IF(ROW()-56&gt;MAX($BI$57:$BI$95),"",INDEX(Lists!$BR$4:$BR$42,MATCH(ROW()-56,$BI$57:$BI$95,0)))</f>
        <v/>
      </c>
      <c r="BK95">
        <f>BK94+IF(AND(Lists!$BW$42&lt;&gt;"",ISNUMBER(SEARCH($N$4,Lists!$BW$42))),1,0)</f>
        <v/>
      </c>
      <c r="BL95">
        <f>IF(ROW()-56&gt;MAX($BK$57:$BK$95),"",INDEX(Lists!$BW$4:$BW$42,MATCH(ROW()-56,$BK$57:$BK$95,0)))</f>
        <v/>
      </c>
      <c r="BM95">
        <f>BM94+IF(AND(Lists!$CB$42&lt;&gt;"",ISNUMBER(SEARCH($O$4,Lists!$CB$42))),1,0)</f>
        <v/>
      </c>
      <c r="BN95">
        <f>IF(ROW()-56&gt;MAX($BM$57:$BM$95),"",INDEX(Lists!$CB$4:$CB$42,MATCH(ROW()-56,$BM$57:$BM$95,0)))</f>
        <v/>
      </c>
      <c r="BO95">
        <f>BO94+IF(AND(Lists!$CG$42&lt;&gt;"",ISNUMBER(SEARCH($P$4,Lists!$CG$42))),1,0)</f>
        <v/>
      </c>
      <c r="BP95">
        <f>IF(ROW()-56&gt;MAX($BO$57:$BO$95),"",INDEX(Lists!$CG$4:$CG$42,MATCH(ROW()-56,$BO$57:$BO$95,0)))</f>
        <v/>
      </c>
      <c r="BQ95">
        <f>BQ94+IF(AND(Lists!$CL$42&lt;&gt;"",ISNUMBER(SEARCH($Q$4,Lists!$CL$42))),1,0)</f>
        <v/>
      </c>
      <c r="BR95">
        <f>IF(ROW()-56&gt;MAX($BQ$57:$BQ$95),"",INDEX(Lists!$CL$4:$CL$42,MATCH(ROW()-56,$BQ$57:$BQ$95,0)))</f>
        <v/>
      </c>
      <c r="BS95">
        <f>BS94+IF(AND(Lists!$CQ$42&lt;&gt;"",ISNUMBER(SEARCH($R$4,Lists!$CQ$42))),1,0)</f>
        <v/>
      </c>
      <c r="BT95">
        <f>IF(ROW()-56&gt;MAX($BS$57:$BS$95),"",INDEX(Lists!$CQ$4:$CQ$42,MATCH(ROW()-56,$BS$57:$BS$95,0)))</f>
        <v/>
      </c>
      <c r="BU95">
        <f>BU94+IF(AND(Lists!$CV$42&lt;&gt;"",ISNUMBER(SEARCH($S$4,Lists!$CV$42))),1,0)</f>
        <v/>
      </c>
      <c r="BV95">
        <f>IF(ROW()-56&gt;MAX($BU$57:$BU$95),"",INDEX(Lists!$CV$4:$CV$42,MATCH(ROW()-56,$BU$57:$BU$95,0)))</f>
        <v/>
      </c>
      <c r="BW95">
        <f>BW94+IF(AND(Lists!$DA$42&lt;&gt;"",ISNUMBER(SEARCH($T$4,Lists!$DA$42))),1,0)</f>
        <v/>
      </c>
      <c r="BX95">
        <f>IF(ROW()-56&gt;MAX($BW$57:$BW$95),"",INDEX(Lists!$DA$4:$DA$42,MATCH(ROW()-56,$BW$57:$BW$95,0)))</f>
        <v/>
      </c>
      <c r="BY95">
        <f>BY94+IF(AND(Lists!$DF$42&lt;&gt;"",ISNUMBER(SEARCH($U$4,Lists!$DF$42))),1,0)</f>
        <v/>
      </c>
      <c r="BZ95">
        <f>IF(ROW()-56&gt;MAX($BY$57:$BY$95),"",INDEX(Lists!$DF$4:$DF$42,MATCH(ROW()-56,$BY$57:$BY$95,0)))</f>
        <v/>
      </c>
      <c r="CA95">
        <f>CA94+IF(AND(Lists!$DK$42&lt;&gt;"",ISNUMBER(SEARCH($V$4,Lists!$DK$42))),1,0)</f>
        <v/>
      </c>
      <c r="CB95">
        <f>IF(ROW()-56&gt;MAX($CA$57:$CA$95),"",INDEX(Lists!$DK$4:$DK$42,MATCH(ROW()-56,$CA$57:$CA$95,0)))</f>
        <v/>
      </c>
      <c r="CC95">
        <f>CC94+IF(AND(Lists!$DP$42&lt;&gt;"",ISNUMBER(SEARCH($W$4,Lists!$DP$42))),1,0)</f>
        <v/>
      </c>
      <c r="CD95">
        <f>IF(ROW()-56&gt;MAX($CC$57:$CC$95),"",INDEX(Lists!$DP$4:$DP$42,MATCH(ROW()-56,$CC$57:$CC$95,0)))</f>
        <v/>
      </c>
      <c r="CE95">
        <f>CE94+IF(AND(Lists!$DU$42&lt;&gt;"",ISNUMBER(SEARCH($X$4,Lists!$DU$42))),1,0)</f>
        <v/>
      </c>
      <c r="CF95">
        <f>IF(ROW()-56&gt;MAX($CE$57:$CE$95),"",INDEX(Lists!$DU$4:$DU$42,MATCH(ROW()-56,$CE$57:$CE$95,0)))</f>
        <v/>
      </c>
      <c r="CG95">
        <f>CG94+IF(AND(Lists!$DZ$42&lt;&gt;"",ISNUMBER(SEARCH($Y$4,Lists!$DZ$42))),1,0)</f>
        <v/>
      </c>
      <c r="CH95">
        <f>IF(ROW()-56&gt;MAX($CG$57:$CG$95),"",INDEX(Lists!$DZ$4:$DZ$42,MATCH(ROW()-56,$CG$57:$CG$95,0)))</f>
        <v/>
      </c>
      <c r="CI95">
        <f>CI94+IF(AND(Lists!$EE$42&lt;&gt;"",ISNUMBER(SEARCH($Z$4,Lists!$EE$42))),1,0)</f>
        <v/>
      </c>
      <c r="CJ95">
        <f>IF(ROW()-56&gt;MAX($CI$57:$CI$95),"",INDEX(Lists!$EE$4:$EE$42,MATCH(ROW()-56,$CI$57:$CI$95,0)))</f>
        <v/>
      </c>
      <c r="CK95">
        <f>CK94+IF(AND(Lists!$EJ$42&lt;&gt;"",ISNUMBER(SEARCH($AA$4,Lists!$EJ$42))),1,0)</f>
        <v/>
      </c>
      <c r="CL95">
        <f>IF(ROW()-56&gt;MAX($CK$57:$CK$95),"",INDEX(Lists!$EJ$4:$EJ$42,MATCH(ROW()-56,$CK$57:$CK$95,0)))</f>
        <v/>
      </c>
      <c r="CM95">
        <f>CM94+IF(AND(Lists!$EO$42&lt;&gt;"",ISNUMBER(SEARCH($AB$4,Lists!$EO$42))),1,0)</f>
        <v/>
      </c>
      <c r="CN95">
        <f>IF(ROW()-56&gt;MAX($CM$57:$CM$95),"",INDEX(Lists!$EO$4:$EO$42,MATCH(ROW()-56,$CM$57:$CM$95,0)))</f>
        <v/>
      </c>
      <c r="CO95">
        <f>CO94+IF(AND(Lists!$ET$42&lt;&gt;"",ISNUMBER(SEARCH($AC$4,Lists!$ET$42))),1,0)</f>
        <v/>
      </c>
      <c r="CP95">
        <f>IF(ROW()-56&gt;MAX($CO$57:$CO$95),"",INDEX(Lists!$ET$4:$ET$42,MATCH(ROW()-56,$CO$57:$CO$95,0)))</f>
        <v/>
      </c>
      <c r="CQ95">
        <f>CQ94+IF(AND(Lists!$EY$42&lt;&gt;"",ISNUMBER(SEARCH($AD$4,Lists!$EY$42))),1,0)</f>
        <v/>
      </c>
      <c r="CR95">
        <f>IF(ROW()-56&gt;MAX($CQ$57:$CQ$95),"",INDEX(Lists!$EY$4:$EY$42,MATCH(ROW()-56,$CQ$57:$CQ$95,0)))</f>
        <v/>
      </c>
      <c r="CS95">
        <f>CS94+IF(AND(Lists!$FD$42&lt;&gt;"",ISNUMBER(SEARCH($AE$4,Lists!$FD$42))),1,0)</f>
        <v/>
      </c>
      <c r="CT95">
        <f>IF(ROW()-56&gt;MAX($CS$57:$CS$95),"",INDEX(Lists!$FD$4:$FD$42,MATCH(ROW()-56,$CS$57:$CS$95,0)))</f>
        <v/>
      </c>
      <c r="CU95">
        <f>CU94+IF(AND(Lists!$FI$42&lt;&gt;"",ISNUMBER(SEARCH($AG$4,Lists!$FI$42))),1,0)</f>
        <v/>
      </c>
      <c r="CV95">
        <f>IF(ROW()-56&gt;MAX($CU$57:$CU$95),"",INDEX(Lists!$FI$4:$FI$42,MATCH(ROW()-56,$CU$57:$CU$95,0)))</f>
        <v/>
      </c>
      <c r="CW95">
        <f>CW94+IF(AND(Lists!$FN$42&lt;&gt;"",ISNUMBER(SEARCH($AH$4,Lists!$FN$42))),1,0)</f>
        <v/>
      </c>
      <c r="CX95">
        <f>IF(ROW()-56&gt;MAX($CW$57:$CW$95),"",INDEX(Lists!$FN$4:$FN$42,MATCH(ROW()-56,$CW$57:$CW$95,0)))</f>
        <v/>
      </c>
      <c r="CY95">
        <f>CY94+IF(AND(Lists!$FS$42&lt;&gt;"",ISNUMBER(SEARCH($AI$4,Lists!$FS$42))),1,0)</f>
        <v/>
      </c>
      <c r="CZ95">
        <f>IF(ROW()-56&gt;MAX($CY$57:$CY$95),"",INDEX(Lists!$FS$4:$FS$42,MATCH(ROW()-56,$CY$57:$CY$95,0)))</f>
        <v/>
      </c>
      <c r="DA95">
        <f>DA94+IF(AND(Lists!$FX$42&lt;&gt;"",ISNUMBER(SEARCH($AF$4,Lists!$FX$42))),1,0)</f>
        <v/>
      </c>
      <c r="DB95">
        <f>IF(ROW()-56&gt;MAX($DA$57:$DA$95),"",INDEX(Lists!$FX$4:$FX$42,MATCH(ROW()-56,$DA$57:$DA$95,0)))</f>
        <v/>
      </c>
      <c r="DG95">
        <f>IF($B$4="",1,IF($B$4="(blank)",--('Final Calculation Sheet'!$F$40=""),IF($B$4="(nonblank)",--('Final Calculation Sheet'!$F$40&lt;&gt;""),--ISNUMBER(SEARCH($B$4,'Final Calculation Sheet'!$F$40)))))</f>
        <v/>
      </c>
      <c r="DH95">
        <f>IF($C$4="",1,IF($C$4="(blank)",--('Final Calculation Sheet'!$G$40=""),IF($C$4="(nonblank)",--('Final Calculation Sheet'!$G$40&lt;&gt;""),--ISNUMBER(SEARCH($C$4,'Final Calculation Sheet'!$G$40)))))</f>
        <v/>
      </c>
      <c r="DI95">
        <f>IF($D$4="",1,IF($D$4="(blank)",--('Final Calculation Sheet'!$B$40=""),IF($D$4="(nonblank)",--('Final Calculation Sheet'!$B$40&lt;&gt;""),--ISNUMBER(SEARCH($D$4,'Final Calculation Sheet'!$B$40)))))</f>
        <v/>
      </c>
      <c r="DJ95">
        <f>IF($E$4="",1,IF($E$4="(blank)",--('Final Calculation Sheet'!$D$40=""),IF($E$4="(nonblank)",--('Final Calculation Sheet'!$D$40&lt;&gt;""),--ISNUMBER(SEARCH($E$4,'Final Calculation Sheet'!$D$40)))))</f>
        <v/>
      </c>
      <c r="DK95">
        <f>IF($F$4="",1,IF($F$4="(blank)",--('Final Calculation Sheet'!$A$40=""),IF($F$4="(nonblank)",--('Final Calculation Sheet'!$A$40&lt;&gt;""),--ISNUMBER(SEARCH($F$4,'Final Calculation Sheet'!$A$40)))))</f>
        <v/>
      </c>
      <c r="DL95">
        <f>IF($G$4="",1,IF($G$4="(blank)",--('Final Calculation Sheet'!$E$40=""),IF($G$4="(nonblank)",--('Final Calculation Sheet'!$E$40&lt;&gt;""),--ISNUMBER(SEARCH($G$4,'Final Calculation Sheet'!$E$40)))))</f>
        <v/>
      </c>
      <c r="DM95">
        <f>IF($H$4="",1,IF($H$4="(blank)",--('Final Calculation Sheet'!$C$40=""),IF($H$4="(nonblank)",--('Final Calculation Sheet'!$C$40&lt;&gt;""),--ISNUMBER(SEARCH($H$4,'Final Calculation Sheet'!$C$40)))))</f>
        <v/>
      </c>
      <c r="DN95">
        <f>IF($I$4="",1,IF($I$4="(blank)",--('Final Calculation Sheet'!$H$40=""),IF($I$4="(nonblank)",--('Final Calculation Sheet'!$H$40&lt;&gt;""),--ISNUMBER(SEARCH($I$4,'Final Calculation Sheet'!$H$40)))))</f>
        <v/>
      </c>
      <c r="DO95">
        <f>IF($J$4="",1,IF($J$4="(blank)",--('Final Calculation Sheet'!$I$40=""),IF($J$4="(nonblank)",--('Final Calculation Sheet'!$I$40&lt;&gt;""),--ISNUMBER(SEARCH($J$4,'Final Calculation Sheet'!$I$40)))))</f>
        <v/>
      </c>
      <c r="DP95">
        <f>IF($K$4="",1,IF($K$4="(blank)",--('Final Calculation Sheet'!$J$40=""),IF($K$4="(nonblank)",--('Final Calculation Sheet'!$J$40&lt;&gt;""),--ISNUMBER(SEARCH($K$4,'Final Calculation Sheet'!$J$40)))))</f>
        <v/>
      </c>
      <c r="DQ95">
        <f>IF($L$4="",1,IF($L$4="(blank)",--('Final Calculation Sheet'!$K$40=""),IF($L$4="(nonblank)",--('Final Calculation Sheet'!$K$40&lt;&gt;""),--ISNUMBER(SEARCH($L$4,'Final Calculation Sheet'!$K$40)))))</f>
        <v/>
      </c>
      <c r="DR95">
        <f>IF($M$4="",1,IF($M$4="(blank)",--('Final Calculation Sheet'!$L$40=""),IF($M$4="(nonblank)",--('Final Calculation Sheet'!$L$40&lt;&gt;""),--ISNUMBER(SEARCH($M$4,'Final Calculation Sheet'!$L$40)))))</f>
        <v/>
      </c>
      <c r="DS95">
        <f>IF($N$4="",1,IF($N$4="(blank)",--('Final Calculation Sheet'!$M$40=""),IF($N$4="(nonblank)",--('Final Calculation Sheet'!$M$40&lt;&gt;""),--ISNUMBER(SEARCH($N$4,'Final Calculation Sheet'!$M$40)))))</f>
        <v/>
      </c>
      <c r="DT95">
        <f>IF($O$4="",1,IF($O$4="(blank)",--('Final Calculation Sheet'!$N$40=""),IF($O$4="(nonblank)",--('Final Calculation Sheet'!$N$40&lt;&gt;""),--ISNUMBER(SEARCH($O$4,'Final Calculation Sheet'!$N$40)))))</f>
        <v/>
      </c>
      <c r="DU95">
        <f>IF($P$4="",1,IF($P$4="(blank)",--('Final Calculation Sheet'!$O$40=""),IF($P$4="(nonblank)",--('Final Calculation Sheet'!$O$40&lt;&gt;""),--ISNUMBER(SEARCH($P$4,'Final Calculation Sheet'!$O$40)))))</f>
        <v/>
      </c>
      <c r="DV95">
        <f>IF($Q$4="",1,IF($Q$4="(blank)",--('Final Calculation Sheet'!$P$40=""),IF($Q$4="(nonblank)",--('Final Calculation Sheet'!$P$40&lt;&gt;""),--ISNUMBER(SEARCH($Q$4,'Final Calculation Sheet'!$P$40)))))</f>
        <v/>
      </c>
      <c r="DW95">
        <f>IF($R$4="",1,IF($R$4="(blank)",--('Final Calculation Sheet'!$Q$40=""),IF($R$4="(nonblank)",--('Final Calculation Sheet'!$Q$40&lt;&gt;""),--ISNUMBER(SEARCH($R$4,'Final Calculation Sheet'!$Q$40)))))</f>
        <v/>
      </c>
      <c r="DX95">
        <f>IF($S$4="",1,IF($S$4="(blank)",--('Final Calculation Sheet'!$R$40=""),IF($S$4="(nonblank)",--('Final Calculation Sheet'!$R$40&lt;&gt;""),--ISNUMBER(SEARCH($S$4,'Final Calculation Sheet'!$R$40)))))</f>
        <v/>
      </c>
      <c r="DY95">
        <f>IF($T$4="",1,IF($T$4="(blank)",--('Final Calculation Sheet'!$S$40=""),IF($T$4="(nonblank)",--('Final Calculation Sheet'!$S$40&lt;&gt;""),--ISNUMBER(SEARCH($T$4,'Final Calculation Sheet'!$S$40)))))</f>
        <v/>
      </c>
      <c r="DZ95">
        <f>IF($U$4="",1,IF($U$4="(blank)",--('Final Calculation Sheet'!$T$40=""),IF($U$4="(nonblank)",--('Final Calculation Sheet'!$T$40&lt;&gt;""),--ISNUMBER(SEARCH($U$4,'Final Calculation Sheet'!$T$40)))))</f>
        <v/>
      </c>
      <c r="EA95">
        <f>IF($V$4="",1,IF($V$4="(blank)",--('Final Calculation Sheet'!$U$40=""),IF($V$4="(nonblank)",--('Final Calculation Sheet'!$U$40&lt;&gt;""),--ISNUMBER(SEARCH($V$4,'Final Calculation Sheet'!$U$40)))))</f>
        <v/>
      </c>
      <c r="EB95">
        <f>IF($W$4="",1,IF($W$4="(blank)",--('Final Calculation Sheet'!$V$40=""),IF($W$4="(nonblank)",--('Final Calculation Sheet'!$V$40&lt;&gt;""),--ISNUMBER(SEARCH($W$4,'Final Calculation Sheet'!$V$40)))))</f>
        <v/>
      </c>
      <c r="EC95">
        <f>IF($X$4="",1,IF($X$4="(blank)",--('Final Calculation Sheet'!$W$40=""),IF($X$4="(nonblank)",--('Final Calculation Sheet'!$W$40&lt;&gt;""),--ISNUMBER(SEARCH($X$4,'Final Calculation Sheet'!$W$40)))))</f>
        <v/>
      </c>
      <c r="ED95">
        <f>IF($Y$4="",1,IF($Y$4="(blank)",--('Final Calculation Sheet'!$X$40=""),IF($Y$4="(nonblank)",--('Final Calculation Sheet'!$X$40&lt;&gt;""),--ISNUMBER(SEARCH($Y$4,'Final Calculation Sheet'!$X$40)))))</f>
        <v/>
      </c>
      <c r="EE95">
        <f>IF($Z$4="",1,IF($Z$4="(blank)",--('Final Calculation Sheet'!$Y$40=""),IF($Z$4="(nonblank)",--('Final Calculation Sheet'!$Y$40&lt;&gt;""),--ISNUMBER(SEARCH($Z$4,'Final Calculation Sheet'!$Y$40)))))</f>
        <v/>
      </c>
      <c r="EF95">
        <f>IF($AA$4="",1,IF($AA$4="(blank)",--('Final Calculation Sheet'!$Z$40=""),IF($AA$4="(nonblank)",--('Final Calculation Sheet'!$Z$40&lt;&gt;""),--ISNUMBER(SEARCH($AA$4,'Final Calculation Sheet'!$Z$40)))))</f>
        <v/>
      </c>
      <c r="EG95">
        <f>IF($AB$4="",1,IF($AB$4="(blank)",--('Final Calculation Sheet'!$AA$40=""),IF($AB$4="(nonblank)",--('Final Calculation Sheet'!$AA$40&lt;&gt;""),--ISNUMBER(SEARCH($AB$4,'Final Calculation Sheet'!$AA$40)))))</f>
        <v/>
      </c>
      <c r="EH95">
        <f>IF($AC$4="",1,IF($AC$4="(blank)",--('Final Calculation Sheet'!$AB$40=""),IF($AC$4="(nonblank)",--('Final Calculation Sheet'!$AB$40&lt;&gt;""),--ISNUMBER(SEARCH($AC$4,'Final Calculation Sheet'!$AB$40)))))</f>
        <v/>
      </c>
      <c r="EI95">
        <f>IF($AD$4="",1,IF($AD$4="(blank)",--('Final Calculation Sheet'!$AC$40=""),IF($AD$4="(nonblank)",--('Final Calculation Sheet'!$AC$40&lt;&gt;""),--ISNUMBER(SEARCH($AD$4,'Final Calculation Sheet'!$AC$40)))))</f>
        <v/>
      </c>
      <c r="EJ95">
        <f>IF($AE$4="",1,IF($AE$4="(blank)",--('Final Calculation Sheet'!$AD$40=""),IF($AE$4="(nonblank)",--('Final Calculation Sheet'!$AD$40&lt;&gt;""),--ISNUMBER(SEARCH($AE$4,'Final Calculation Sheet'!$AD$40)))))</f>
        <v/>
      </c>
      <c r="EK95">
        <f>IF($AF$4="",1,IF($AF$4="(blank)",--(IF('Final Calculation Sheet'!$AD$40&lt;=5,"SETTLED","OUTSTANDING")=""),IF($AF$4="(nonblank)",--(IF('Final Calculation Sheet'!$AD$40&lt;=5,"SETTLED","OUTSTANDING")&lt;&gt;""),--ISNUMBER(SEARCH($AF$4,IF('Final Calculation Sheet'!$AD$40&lt;=5,"SETTLED","OUTSTANDING"))))))</f>
        <v/>
      </c>
      <c r="EL95">
        <f>IF($AG$4="",1,IF($AG$4="(blank)",--('Final Calculation Sheet'!$AF$40=""),IF($AG$4="(nonblank)",--('Final Calculation Sheet'!$AF$40&lt;&gt;""),--ISNUMBER(SEARCH($AG$4,'Final Calculation Sheet'!$AF$40)))))</f>
        <v/>
      </c>
      <c r="EM95">
        <f>IF($AH$4="",1,IF($AH$4="(blank)",--('Final Calculation Sheet'!$AG$40=""),IF($AH$4="(nonblank)",--('Final Calculation Sheet'!$AG$40&lt;&gt;""),--ISNUMBER(SEARCH($AH$4,'Final Calculation Sheet'!$AG$40)))))</f>
        <v/>
      </c>
      <c r="EN95">
        <f>IF($AI$4="",1,IF($AI$4="(blank)",--('Final Calculation Sheet'!$AH$40=""),IF($AI$4="(nonblank)",--('Final Calculation Sheet'!$AH$40&lt;&gt;""),--ISNUMBER(SEARCH($AI$4,'Final Calculation Sheet'!$AH$40)))))</f>
        <v/>
      </c>
    </row>
  </sheetData>
  <mergeCells count="2">
    <mergeCell ref="A2:AI2"/>
    <mergeCell ref="A1:AI1"/>
  </mergeCells>
  <conditionalFormatting sqref="A7:AI58">
    <cfRule type="expression" priority="1" dxfId="50">
      <formula>AND(ISNUMBER($A7),$B7&lt;&gt;"",COUNTIF($B$4:$AI$4,"&lt;&gt;")&gt;0,$AJ7=0)</formula>
    </cfRule>
  </conditionalFormatting>
  <conditionalFormatting sqref="AE7:AE58">
    <cfRule type="cellIs" priority="2" operator="greaterThan" dxfId="0">
      <formula>5</formula>
    </cfRule>
  </conditionalFormatting>
  <conditionalFormatting sqref="AF7:AF58">
    <cfRule type="cellIs" priority="3" operator="equal" dxfId="2">
      <formula>"SETTLED"</formula>
    </cfRule>
    <cfRule type="cellIs" priority="4" operator="equal" dxfId="0">
      <formula>"OUTSTANDING"</formula>
    </cfRule>
  </conditionalFormatting>
  <conditionalFormatting sqref="B7:B56">
    <cfRule type="expression" priority="5" dxfId="3">
      <formula>AND(ISNUMBER($A7),$B$4&lt;&gt;"",IF($B$4="(blank)",B7="",IF($B$4="(nonblank)",B7&lt;&gt;"",ISNUMBER(SEARCH($B$4,B7)))))</formula>
    </cfRule>
  </conditionalFormatting>
  <conditionalFormatting sqref="C7:C56">
    <cfRule type="expression" priority="6" dxfId="3">
      <formula>AND(ISNUMBER($A7),$C$4&lt;&gt;"",IF($C$4="(blank)",C7="",IF($C$4="(nonblank)",C7&lt;&gt;"",ISNUMBER(SEARCH($C$4,C7)))))</formula>
    </cfRule>
  </conditionalFormatting>
  <conditionalFormatting sqref="D7:D56">
    <cfRule type="expression" priority="7" dxfId="3">
      <formula>AND(ISNUMBER($A7),$D$4&lt;&gt;"",IF($D$4="(blank)",D7="",IF($D$4="(nonblank)",D7&lt;&gt;"",ISNUMBER(SEARCH($D$4,D7)))))</formula>
    </cfRule>
  </conditionalFormatting>
  <conditionalFormatting sqref="E7:E56">
    <cfRule type="expression" priority="8" dxfId="3">
      <formula>AND(ISNUMBER($A7),$E$4&lt;&gt;"",IF($E$4="(blank)",E7="",IF($E$4="(nonblank)",E7&lt;&gt;"",ISNUMBER(SEARCH($E$4,E7)))))</formula>
    </cfRule>
  </conditionalFormatting>
  <conditionalFormatting sqref="F7:F56">
    <cfRule type="expression" priority="9" dxfId="3">
      <formula>AND(ISNUMBER($A7),$F$4&lt;&gt;"",IF($F$4="(blank)",F7="",IF($F$4="(nonblank)",F7&lt;&gt;"",ISNUMBER(SEARCH($F$4,F7)))))</formula>
    </cfRule>
  </conditionalFormatting>
  <conditionalFormatting sqref="G7:G56">
    <cfRule type="expression" priority="10" dxfId="3">
      <formula>AND(ISNUMBER($A7),$G$4&lt;&gt;"",IF($G$4="(blank)",G7="",IF($G$4="(nonblank)",G7&lt;&gt;"",ISNUMBER(SEARCH($G$4,G7)))))</formula>
    </cfRule>
  </conditionalFormatting>
  <conditionalFormatting sqref="H7:H56">
    <cfRule type="expression" priority="11" dxfId="3">
      <formula>AND(ISNUMBER($A7),$H$4&lt;&gt;"",IF($H$4="(blank)",H7="",IF($H$4="(nonblank)",H7&lt;&gt;"",ISNUMBER(SEARCH($H$4,H7)))))</formula>
    </cfRule>
  </conditionalFormatting>
  <conditionalFormatting sqref="I7:I56">
    <cfRule type="expression" priority="12" dxfId="3">
      <formula>AND(ISNUMBER($A7),$I$4&lt;&gt;"",IF($I$4="(blank)",I7="",IF($I$4="(nonblank)",I7&lt;&gt;"",ISNUMBER(SEARCH($I$4,I7)))))</formula>
    </cfRule>
  </conditionalFormatting>
  <conditionalFormatting sqref="J7:J56">
    <cfRule type="expression" priority="13" dxfId="3">
      <formula>AND(ISNUMBER($A7),$J$4&lt;&gt;"",IF($J$4="(blank)",J7="",IF($J$4="(nonblank)",J7&lt;&gt;"",ISNUMBER(SEARCH($J$4,J7)))))</formula>
    </cfRule>
  </conditionalFormatting>
  <conditionalFormatting sqref="K7:K56">
    <cfRule type="expression" priority="14" dxfId="3">
      <formula>AND(ISNUMBER($A7),$K$4&lt;&gt;"",IF($K$4="(blank)",K7="",IF($K$4="(nonblank)",K7&lt;&gt;"",ISNUMBER(SEARCH($K$4,K7)))))</formula>
    </cfRule>
  </conditionalFormatting>
  <conditionalFormatting sqref="L7:L56">
    <cfRule type="expression" priority="15" dxfId="3">
      <formula>AND(ISNUMBER($A7),$L$4&lt;&gt;"",IF($L$4="(blank)",L7="",IF($L$4="(nonblank)",L7&lt;&gt;"",ISNUMBER(SEARCH($L$4,L7)))))</formula>
    </cfRule>
  </conditionalFormatting>
  <conditionalFormatting sqref="M7:M56">
    <cfRule type="expression" priority="16" dxfId="3">
      <formula>AND(ISNUMBER($A7),$M$4&lt;&gt;"",IF($M$4="(blank)",M7="",IF($M$4="(nonblank)",M7&lt;&gt;"",ISNUMBER(SEARCH($M$4,M7)))))</formula>
    </cfRule>
  </conditionalFormatting>
  <conditionalFormatting sqref="N7:N56">
    <cfRule type="expression" priority="17" dxfId="3">
      <formula>AND(ISNUMBER($A7),$N$4&lt;&gt;"",IF($N$4="(blank)",N7="",IF($N$4="(nonblank)",N7&lt;&gt;"",ISNUMBER(SEARCH($N$4,N7)))))</formula>
    </cfRule>
  </conditionalFormatting>
  <conditionalFormatting sqref="O7:O56">
    <cfRule type="expression" priority="18" dxfId="3">
      <formula>AND(ISNUMBER($A7),$O$4&lt;&gt;"",IF($O$4="(blank)",O7="",IF($O$4="(nonblank)",O7&lt;&gt;"",ISNUMBER(SEARCH($O$4,O7)))))</formula>
    </cfRule>
  </conditionalFormatting>
  <conditionalFormatting sqref="P7:P56">
    <cfRule type="expression" priority="19" dxfId="3">
      <formula>AND(ISNUMBER($A7),$P$4&lt;&gt;"",IF($P$4="(blank)",P7="",IF($P$4="(nonblank)",P7&lt;&gt;"",ISNUMBER(SEARCH($P$4,P7)))))</formula>
    </cfRule>
  </conditionalFormatting>
  <conditionalFormatting sqref="Q7:Q56">
    <cfRule type="expression" priority="20" dxfId="3">
      <formula>AND(ISNUMBER($A7),$Q$4&lt;&gt;"",IF($Q$4="(blank)",Q7="",IF($Q$4="(nonblank)",Q7&lt;&gt;"",ISNUMBER(SEARCH($Q$4,Q7)))))</formula>
    </cfRule>
  </conditionalFormatting>
  <conditionalFormatting sqref="R7:R56">
    <cfRule type="expression" priority="21" dxfId="3">
      <formula>AND(ISNUMBER($A7),$R$4&lt;&gt;"",IF($R$4="(blank)",R7="",IF($R$4="(nonblank)",R7&lt;&gt;"",ISNUMBER(SEARCH($R$4,R7)))))</formula>
    </cfRule>
  </conditionalFormatting>
  <conditionalFormatting sqref="S7:S56">
    <cfRule type="expression" priority="22" dxfId="3">
      <formula>AND(ISNUMBER($A7),$S$4&lt;&gt;"",IF($S$4="(blank)",S7="",IF($S$4="(nonblank)",S7&lt;&gt;"",ISNUMBER(SEARCH($S$4,S7)))))</formula>
    </cfRule>
  </conditionalFormatting>
  <conditionalFormatting sqref="T7:T56">
    <cfRule type="expression" priority="23" dxfId="3">
      <formula>AND(ISNUMBER($A7),$T$4&lt;&gt;"",IF($T$4="(blank)",T7="",IF($T$4="(nonblank)",T7&lt;&gt;"",ISNUMBER(SEARCH($T$4,T7)))))</formula>
    </cfRule>
  </conditionalFormatting>
  <conditionalFormatting sqref="U7:U56">
    <cfRule type="expression" priority="24" dxfId="3">
      <formula>AND(ISNUMBER($A7),$U$4&lt;&gt;"",IF($U$4="(blank)",U7="",IF($U$4="(nonblank)",U7&lt;&gt;"",ISNUMBER(SEARCH($U$4,U7)))))</formula>
    </cfRule>
  </conditionalFormatting>
  <conditionalFormatting sqref="V7:V56">
    <cfRule type="expression" priority="25" dxfId="3">
      <formula>AND(ISNUMBER($A7),$V$4&lt;&gt;"",IF($V$4="(blank)",V7="",IF($V$4="(nonblank)",V7&lt;&gt;"",ISNUMBER(SEARCH($V$4,V7)))))</formula>
    </cfRule>
  </conditionalFormatting>
  <conditionalFormatting sqref="W7:W56">
    <cfRule type="expression" priority="26" dxfId="3">
      <formula>AND(ISNUMBER($A7),$W$4&lt;&gt;"",IF($W$4="(blank)",W7="",IF($W$4="(nonblank)",W7&lt;&gt;"",ISNUMBER(SEARCH($W$4,W7)))))</formula>
    </cfRule>
  </conditionalFormatting>
  <conditionalFormatting sqref="X7:X56">
    <cfRule type="expression" priority="27" dxfId="3">
      <formula>AND(ISNUMBER($A7),$X$4&lt;&gt;"",IF($X$4="(blank)",X7="",IF($X$4="(nonblank)",X7&lt;&gt;"",ISNUMBER(SEARCH($X$4,X7)))))</formula>
    </cfRule>
  </conditionalFormatting>
  <conditionalFormatting sqref="Y7:Y56">
    <cfRule type="expression" priority="28" dxfId="3">
      <formula>AND(ISNUMBER($A7),$Y$4&lt;&gt;"",IF($Y$4="(blank)",Y7="",IF($Y$4="(nonblank)",Y7&lt;&gt;"",ISNUMBER(SEARCH($Y$4,Y7)))))</formula>
    </cfRule>
  </conditionalFormatting>
  <conditionalFormatting sqref="Z7:Z56">
    <cfRule type="expression" priority="29" dxfId="3">
      <formula>AND(ISNUMBER($A7),$Z$4&lt;&gt;"",IF($Z$4="(blank)",Z7="",IF($Z$4="(nonblank)",Z7&lt;&gt;"",ISNUMBER(SEARCH($Z$4,Z7)))))</formula>
    </cfRule>
  </conditionalFormatting>
  <conditionalFormatting sqref="AA7:AA56">
    <cfRule type="expression" priority="30" dxfId="3">
      <formula>AND(ISNUMBER($A7),$AA$4&lt;&gt;"",IF($AA$4="(blank)",AA7="",IF($AA$4="(nonblank)",AA7&lt;&gt;"",ISNUMBER(SEARCH($AA$4,AA7)))))</formula>
    </cfRule>
  </conditionalFormatting>
  <conditionalFormatting sqref="AB7:AB56">
    <cfRule type="expression" priority="31" dxfId="3">
      <formula>AND(ISNUMBER($A7),$AB$4&lt;&gt;"",IF($AB$4="(blank)",AB7="",IF($AB$4="(nonblank)",AB7&lt;&gt;"",ISNUMBER(SEARCH($AB$4,AB7)))))</formula>
    </cfRule>
  </conditionalFormatting>
  <conditionalFormatting sqref="AC7:AC56">
    <cfRule type="expression" priority="32" dxfId="3">
      <formula>AND(ISNUMBER($A7),$AC$4&lt;&gt;"",IF($AC$4="(blank)",AC7="",IF($AC$4="(nonblank)",AC7&lt;&gt;"",ISNUMBER(SEARCH($AC$4,AC7)))))</formula>
    </cfRule>
  </conditionalFormatting>
  <conditionalFormatting sqref="AD7:AD56">
    <cfRule type="expression" priority="33" dxfId="3">
      <formula>AND(ISNUMBER($A7),$AD$4&lt;&gt;"",IF($AD$4="(blank)",AD7="",IF($AD$4="(nonblank)",AD7&lt;&gt;"",ISNUMBER(SEARCH($AD$4,AD7)))))</formula>
    </cfRule>
  </conditionalFormatting>
  <conditionalFormatting sqref="AE7:AE56">
    <cfRule type="expression" priority="34" dxfId="3">
      <formula>AND(ISNUMBER($A7),$AE$4&lt;&gt;"",IF($AE$4="(blank)",AE7="",IF($AE$4="(nonblank)",AE7&lt;&gt;"",ISNUMBER(SEARCH($AE$4,AE7)))))</formula>
    </cfRule>
  </conditionalFormatting>
  <conditionalFormatting sqref="AG7:AG56">
    <cfRule type="expression" priority="35" dxfId="3">
      <formula>AND(ISNUMBER($A7),$AG$4&lt;&gt;"",IF($AG$4="(blank)",AG7="",IF($AG$4="(nonblank)",AG7&lt;&gt;"",ISNUMBER(SEARCH($AG$4,AG7)))))</formula>
    </cfRule>
  </conditionalFormatting>
  <conditionalFormatting sqref="AH7:AH56">
    <cfRule type="expression" priority="36" dxfId="3">
      <formula>AND(ISNUMBER($A7),$AH$4&lt;&gt;"",IF($AH$4="(blank)",AH7="",IF($AH$4="(nonblank)",AH7&lt;&gt;"",ISNUMBER(SEARCH($AH$4,AH7)))))</formula>
    </cfRule>
  </conditionalFormatting>
  <conditionalFormatting sqref="AI7:AI56">
    <cfRule type="expression" priority="37" dxfId="3">
      <formula>AND(ISNUMBER($A7),$AI$4&lt;&gt;"",IF($AI$4="(blank)",AI7="",IF($AI$4="(nonblank)",AI7&lt;&gt;"",ISNUMBER(SEARCH($AI$4,AI7)))))</formula>
    </cfRule>
  </conditionalFormatting>
  <conditionalFormatting sqref="AF7:AF56">
    <cfRule type="expression" priority="38" dxfId="3">
      <formula>AND(ISNUMBER($A7),$AF$4&lt;&gt;"",IF($AF$4="(blank)",AF7="",IF($AF$4="(nonblank)",AF7&lt;&gt;"",ISNUMBER(SEARCH($AF$4,AF7)))))</formula>
    </cfRule>
  </conditionalFormatting>
  <dataValidations count="34">
    <dataValidation sqref="B4" showDropDown="0" showInputMessage="0" showErrorMessage="0" allowBlank="0" type="list">
      <formula1>SUGN_B</formula1>
      <formula2>0</formula2>
    </dataValidation>
    <dataValidation sqref="C4" showDropDown="0" showInputMessage="0" showErrorMessage="0" allowBlank="0" type="list">
      <formula1>SUGN_C</formula1>
      <formula2>0</formula2>
    </dataValidation>
    <dataValidation sqref="D4" showDropDown="0" showInputMessage="0" showErrorMessage="0" allowBlank="0" type="list">
      <formula1>SUGN_D</formula1>
      <formula2>0</formula2>
    </dataValidation>
    <dataValidation sqref="E4" showDropDown="0" showInputMessage="0" showErrorMessage="0" allowBlank="0" type="list">
      <formula1>SUGN_E</formula1>
      <formula2>0</formula2>
    </dataValidation>
    <dataValidation sqref="F4" showDropDown="0" showInputMessage="0" showErrorMessage="0" allowBlank="0" type="list">
      <formula1>SUGN_F</formula1>
      <formula2>0</formula2>
    </dataValidation>
    <dataValidation sqref="G4" showDropDown="0" showInputMessage="0" showErrorMessage="0" allowBlank="0" type="list">
      <formula1>SUGN_G</formula1>
      <formula2>0</formula2>
    </dataValidation>
    <dataValidation sqref="H4" showDropDown="0" showInputMessage="0" showErrorMessage="0" allowBlank="0" type="list">
      <formula1>SUGN_H</formula1>
      <formula2>0</formula2>
    </dataValidation>
    <dataValidation sqref="I4" showDropDown="0" showInputMessage="0" showErrorMessage="0" allowBlank="0" type="list">
      <formula1>SUGN_I</formula1>
      <formula2>0</formula2>
    </dataValidation>
    <dataValidation sqref="J4" showDropDown="0" showInputMessage="0" showErrorMessage="0" allowBlank="0" type="list">
      <formula1>SUGN_J</formula1>
      <formula2>0</formula2>
    </dataValidation>
    <dataValidation sqref="K4" showDropDown="0" showInputMessage="0" showErrorMessage="0" allowBlank="0" type="list">
      <formula1>SUGN_K</formula1>
      <formula2>0</formula2>
    </dataValidation>
    <dataValidation sqref="L4" showDropDown="0" showInputMessage="0" showErrorMessage="0" allowBlank="0" type="list">
      <formula1>SUGN_L</formula1>
      <formula2>0</formula2>
    </dataValidation>
    <dataValidation sqref="M4" showDropDown="0" showInputMessage="0" showErrorMessage="0" allowBlank="0" type="list">
      <formula1>SUGN_M</formula1>
      <formula2>0</formula2>
    </dataValidation>
    <dataValidation sqref="N4" showDropDown="0" showInputMessage="0" showErrorMessage="0" allowBlank="0" type="list">
      <formula1>SUGN_N</formula1>
      <formula2>0</formula2>
    </dataValidation>
    <dataValidation sqref="O4" showDropDown="0" showInputMessage="0" showErrorMessage="0" allowBlank="0" type="list">
      <formula1>SUGN_O</formula1>
      <formula2>0</formula2>
    </dataValidation>
    <dataValidation sqref="P4" showDropDown="0" showInputMessage="0" showErrorMessage="0" allowBlank="0" type="list">
      <formula1>SUGN_P</formula1>
      <formula2>0</formula2>
    </dataValidation>
    <dataValidation sqref="Q4" showDropDown="0" showInputMessage="0" showErrorMessage="0" allowBlank="0" type="list">
      <formula1>SUGN_Q</formula1>
      <formula2>0</formula2>
    </dataValidation>
    <dataValidation sqref="R4" showDropDown="0" showInputMessage="0" showErrorMessage="0" allowBlank="0" type="list">
      <formula1>SUGN_R</formula1>
      <formula2>0</formula2>
    </dataValidation>
    <dataValidation sqref="S4" showDropDown="0" showInputMessage="0" showErrorMessage="0" allowBlank="0" type="list">
      <formula1>SUGN_S</formula1>
      <formula2>0</formula2>
    </dataValidation>
    <dataValidation sqref="T4" showDropDown="0" showInputMessage="0" showErrorMessage="0" allowBlank="0" type="list">
      <formula1>SUGN_T</formula1>
      <formula2>0</formula2>
    </dataValidation>
    <dataValidation sqref="U4" showDropDown="0" showInputMessage="0" showErrorMessage="0" allowBlank="0" type="list">
      <formula1>SUGN_U</formula1>
      <formula2>0</formula2>
    </dataValidation>
    <dataValidation sqref="V4" showDropDown="0" showInputMessage="0" showErrorMessage="0" allowBlank="0" type="list">
      <formula1>SUGN_V</formula1>
      <formula2>0</formula2>
    </dataValidation>
    <dataValidation sqref="W4" showDropDown="0" showInputMessage="0" showErrorMessage="0" allowBlank="0" type="list">
      <formula1>SUGN_W</formula1>
      <formula2>0</formula2>
    </dataValidation>
    <dataValidation sqref="X4" showDropDown="0" showInputMessage="0" showErrorMessage="0" allowBlank="0" type="list">
      <formula1>SUGN_X</formula1>
      <formula2>0</formula2>
    </dataValidation>
    <dataValidation sqref="Y4" showDropDown="0" showInputMessage="0" showErrorMessage="0" allowBlank="0" type="list">
      <formula1>SUGN_Y</formula1>
      <formula2>0</formula2>
    </dataValidation>
    <dataValidation sqref="Z4" showDropDown="0" showInputMessage="0" showErrorMessage="0" allowBlank="0" type="list">
      <formula1>SUGN_Z</formula1>
      <formula2>0</formula2>
    </dataValidation>
    <dataValidation sqref="AA4" showDropDown="0" showInputMessage="0" showErrorMessage="0" allowBlank="0" type="list">
      <formula1>SUGN_AA</formula1>
      <formula2>0</formula2>
    </dataValidation>
    <dataValidation sqref="AB4" showDropDown="0" showInputMessage="0" showErrorMessage="0" allowBlank="0" type="list">
      <formula1>SUGN_AB</formula1>
      <formula2>0</formula2>
    </dataValidation>
    <dataValidation sqref="AC4" showDropDown="0" showInputMessage="0" showErrorMessage="0" allowBlank="0" type="list">
      <formula1>SUGN_AC</formula1>
      <formula2>0</formula2>
    </dataValidation>
    <dataValidation sqref="AD4" showDropDown="0" showInputMessage="0" showErrorMessage="0" allowBlank="0" type="list">
      <formula1>SUGN_AD</formula1>
      <formula2>0</formula2>
    </dataValidation>
    <dataValidation sqref="AE4" showDropDown="0" showInputMessage="0" showErrorMessage="0" allowBlank="0" type="list">
      <formula1>SUGN_AE</formula1>
      <formula2>0</formula2>
    </dataValidation>
    <dataValidation sqref="AG4" showDropDown="0" showInputMessage="0" showErrorMessage="0" allowBlank="0" type="list">
      <formula1>SUGN_AF</formula1>
      <formula2>0</formula2>
    </dataValidation>
    <dataValidation sqref="AH4" showDropDown="0" showInputMessage="0" showErrorMessage="0" allowBlank="0" type="list">
      <formula1>SUGN_AG</formula1>
      <formula2>0</formula2>
    </dataValidation>
    <dataValidation sqref="AI4" showDropDown="0" showInputMessage="0" showErrorMessage="0" allowBlank="0" type="list">
      <formula1>SUGN_AH</formula1>
      <formula2>0</formula2>
    </dataValidation>
    <dataValidation sqref="AF4" showDropDown="0" showInputMessage="0" showErrorMessage="0" allowBlank="0" type="list">
      <formula1>SUGN_AI</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codeName="Sheet4">
    <outlinePr summaryBelow="1" summaryRight="1"/>
    <pageSetUpPr/>
  </sheetPr>
  <dimension ref="A1:VU114"/>
  <sheetViews>
    <sheetView zoomScaleNormal="100" workbookViewId="0">
      <selection activeCell="A1" sqref="A1"/>
    </sheetView>
  </sheetViews>
  <sheetFormatPr baseColWidth="8" defaultColWidth="8.7109375" defaultRowHeight="15"/>
  <cols>
    <col width="30" customWidth="1" style="137" min="1" max="1"/>
    <col width="30" customWidth="1" style="137" min="5" max="6"/>
    <col width="30" customWidth="1" style="137" min="10" max="11"/>
    <col width="30" customWidth="1" style="137" min="15" max="16"/>
    <col width="30" customWidth="1" style="137" min="20" max="21"/>
    <col width="30" customWidth="1" style="137" min="25" max="26"/>
    <col width="30" customWidth="1" style="137" min="30" max="31"/>
    <col width="30" customWidth="1" style="137" min="35" max="36"/>
    <col width="30" customWidth="1" style="137" min="40" max="41"/>
    <col width="30" customWidth="1" style="137" min="45" max="46"/>
    <col width="30" customWidth="1" style="137" min="50" max="51"/>
    <col width="30" customWidth="1" style="137" min="55" max="56"/>
    <col width="30" customWidth="1" style="137" min="60" max="61"/>
    <col width="30" customWidth="1" style="137" min="65" max="66"/>
    <col width="30" customWidth="1" style="137" min="70" max="71"/>
    <col width="30" customWidth="1" style="137" min="75" max="76"/>
    <col width="30" customWidth="1" style="137" min="80" max="81"/>
    <col width="30" customWidth="1" style="137" min="85" max="86"/>
    <col width="30" customWidth="1" style="137" min="90" max="91"/>
    <col width="30" customWidth="1" style="137" min="95" max="96"/>
    <col width="30" customWidth="1" style="137" min="100" max="101"/>
    <col width="30" customWidth="1" style="137" min="105" max="106"/>
    <col width="30" customWidth="1" style="137" min="110" max="111"/>
    <col width="30" customWidth="1" style="137" min="115" max="116"/>
    <col width="30" customWidth="1" style="137" min="120" max="121"/>
    <col width="30" customWidth="1" style="137" min="125" max="126"/>
    <col width="30" customWidth="1" style="137" min="130" max="131"/>
    <col width="30" customWidth="1" style="137" min="135" max="136"/>
    <col width="30" customWidth="1" style="137" min="140" max="141"/>
    <col width="30" customWidth="1" style="137" min="145" max="146"/>
    <col width="30" customWidth="1" style="137" min="150" max="151"/>
    <col width="30" customWidth="1" style="137" min="155" max="156"/>
    <col width="30" customWidth="1" style="137" min="160" max="161"/>
    <col width="30" customWidth="1" style="137" min="165" max="166"/>
    <col width="30" customWidth="1" style="137" min="170" max="171"/>
    <col width="30" customWidth="1" style="137" min="175" max="176"/>
    <col width="30" customWidth="1" style="137" min="180" max="180"/>
  </cols>
  <sheetData>
    <row r="1">
      <c r="A1" t="inlineStr">
        <is>
          <t>Search-dropdown lists — live from Final Calculation Sheet, sorted ascending. SUG_* = Live Search cascading dropdowns (cols FY–LD). SUGN_* = Buyer Groups cascading dropdowns (cols LE–QJ), driven by hidden match helpers Buyer Groups!DG:EN. Do not edit.</t>
        </is>
      </c>
    </row>
    <row r="3">
      <c r="A3" t="inlineStr">
        <is>
          <t>MAIN (B3): lot no + buyer + lot name</t>
        </is>
      </c>
      <c r="F3" t="inlineStr">
        <is>
          <t>A (#): 1..37</t>
        </is>
      </c>
      <c r="K3" t="inlineStr">
        <is>
          <t>B (Final F)</t>
        </is>
      </c>
      <c r="P3" t="inlineStr">
        <is>
          <t>C (Final G)</t>
        </is>
      </c>
      <c r="U3" t="inlineStr">
        <is>
          <t>D (Final B)</t>
        </is>
      </c>
      <c r="Z3" t="inlineStr">
        <is>
          <t>E (Final D)</t>
        </is>
      </c>
      <c r="AE3" t="inlineStr">
        <is>
          <t>F (Final A)</t>
        </is>
      </c>
      <c r="AJ3" t="inlineStr">
        <is>
          <t>G (Final E)</t>
        </is>
      </c>
      <c r="AO3" t="inlineStr">
        <is>
          <t>H (Final C)</t>
        </is>
      </c>
      <c r="AT3" t="inlineStr">
        <is>
          <t>I (Final H)</t>
        </is>
      </c>
      <c r="AY3" t="inlineStr">
        <is>
          <t>J (Final I)</t>
        </is>
      </c>
      <c r="BD3" t="inlineStr">
        <is>
          <t>K (Final J)</t>
        </is>
      </c>
      <c r="BI3" t="inlineStr">
        <is>
          <t>L (Final K)</t>
        </is>
      </c>
      <c r="BN3" t="inlineStr">
        <is>
          <t>M (Final L)</t>
        </is>
      </c>
      <c r="BS3" t="inlineStr">
        <is>
          <t>N (Final M)</t>
        </is>
      </c>
      <c r="BX3" t="inlineStr">
        <is>
          <t>O (Final N)</t>
        </is>
      </c>
      <c r="CC3" t="inlineStr">
        <is>
          <t>P (Final O)</t>
        </is>
      </c>
      <c r="CH3" t="inlineStr">
        <is>
          <t>Q (Final P)</t>
        </is>
      </c>
      <c r="CM3" t="inlineStr">
        <is>
          <t>R (Final Q)</t>
        </is>
      </c>
      <c r="CR3" t="inlineStr">
        <is>
          <t>S (Final R)</t>
        </is>
      </c>
      <c r="CW3" t="inlineStr">
        <is>
          <t>T (Final S)</t>
        </is>
      </c>
      <c r="DB3" t="inlineStr">
        <is>
          <t>U (Final T)</t>
        </is>
      </c>
      <c r="DG3" t="inlineStr">
        <is>
          <t>V (Final U)</t>
        </is>
      </c>
      <c r="DL3" t="inlineStr">
        <is>
          <t>W (Final V)</t>
        </is>
      </c>
      <c r="DQ3" t="inlineStr">
        <is>
          <t>X (Final W)</t>
        </is>
      </c>
      <c r="DV3" t="inlineStr">
        <is>
          <t>Y (Final X)</t>
        </is>
      </c>
      <c r="EA3" t="inlineStr">
        <is>
          <t>Z (Final Y)</t>
        </is>
      </c>
      <c r="EF3" t="inlineStr">
        <is>
          <t>AA (Final Z)</t>
        </is>
      </c>
      <c r="EK3" t="inlineStr">
        <is>
          <t>AB (Final AA)</t>
        </is>
      </c>
      <c r="EP3" t="inlineStr">
        <is>
          <t>AC (Final AB)</t>
        </is>
      </c>
      <c r="EU3" t="inlineStr">
        <is>
          <t>AD (Final AC)</t>
        </is>
      </c>
      <c r="EZ3" t="inlineStr">
        <is>
          <t>AE (Final AD)</t>
        </is>
      </c>
      <c r="FE3" t="inlineStr">
        <is>
          <t>AF (Final AE)</t>
        </is>
      </c>
      <c r="FJ3" t="inlineStr">
        <is>
          <t>AG (Final AF)</t>
        </is>
      </c>
      <c r="FO3" t="inlineStr">
        <is>
          <t>AH (Final AG)</t>
        </is>
      </c>
      <c r="FT3" t="inlineStr">
        <is>
          <t>AI (Payment Status)</t>
        </is>
      </c>
      <c r="GC3" t="inlineStr">
        <is>
          <t>B cascade: FY (all-other-filters flag)</t>
        </is>
      </c>
      <c r="GD3" t="inlineStr">
        <is>
          <t>B cascade: FZ (candidate present flag)</t>
        </is>
      </c>
      <c r="GE3" t="inlineStr">
        <is>
          <t>B cascade: GA (running count)</t>
        </is>
      </c>
      <c r="GF3" t="inlineStr">
        <is>
          <t>B cascade: GB (dynamic dropdown list)</t>
        </is>
      </c>
      <c r="GG3" t="inlineStr">
        <is>
          <t>C cascade: FY (all-other-filters flag)</t>
        </is>
      </c>
      <c r="GH3" t="inlineStr">
        <is>
          <t>C cascade: FZ (candidate present flag)</t>
        </is>
      </c>
      <c r="GI3" t="inlineStr">
        <is>
          <t>C cascade: GA (running count)</t>
        </is>
      </c>
      <c r="GJ3" t="inlineStr">
        <is>
          <t>C cascade: GB (dynamic dropdown list)</t>
        </is>
      </c>
      <c r="GK3" t="inlineStr">
        <is>
          <t>E cascade: FY (all-other-filters flag)</t>
        </is>
      </c>
      <c r="GL3" t="inlineStr">
        <is>
          <t>E cascade: FZ (candidate present flag)</t>
        </is>
      </c>
      <c r="GM3" t="inlineStr">
        <is>
          <t>E cascade: GA (running count)</t>
        </is>
      </c>
      <c r="GN3" t="inlineStr">
        <is>
          <t>E cascade: GB (dynamic dropdown list)</t>
        </is>
      </c>
      <c r="GO3" t="inlineStr">
        <is>
          <t>F cascade: FY (all-other-filters flag)</t>
        </is>
      </c>
      <c r="GP3" t="inlineStr">
        <is>
          <t>F cascade: FZ (candidate present flag)</t>
        </is>
      </c>
      <c r="GQ3" t="inlineStr">
        <is>
          <t>F cascade: GA (running count)</t>
        </is>
      </c>
      <c r="GR3" t="inlineStr">
        <is>
          <t>F cascade: GB (dynamic dropdown list)</t>
        </is>
      </c>
      <c r="GS3" t="inlineStr">
        <is>
          <t>G cascade: FY (all-other-filters flag)</t>
        </is>
      </c>
      <c r="GT3" t="inlineStr">
        <is>
          <t>G cascade: FZ (candidate present flag)</t>
        </is>
      </c>
      <c r="GU3" t="inlineStr">
        <is>
          <t>G cascade: GA (running count)</t>
        </is>
      </c>
      <c r="GV3" t="inlineStr">
        <is>
          <t>G cascade: GB (dynamic dropdown list)</t>
        </is>
      </c>
      <c r="GW3" t="inlineStr">
        <is>
          <t>H cascade: FY (all-other-filters flag)</t>
        </is>
      </c>
      <c r="GX3" t="inlineStr">
        <is>
          <t>H cascade: FZ (candidate present flag)</t>
        </is>
      </c>
      <c r="GY3" t="inlineStr">
        <is>
          <t>H cascade: GA (running count)</t>
        </is>
      </c>
      <c r="GZ3" t="inlineStr">
        <is>
          <t>H cascade: GB (dynamic dropdown list)</t>
        </is>
      </c>
      <c r="HA3" t="inlineStr">
        <is>
          <t>I cascade: FY (all-other-filters flag)</t>
        </is>
      </c>
      <c r="HB3" t="inlineStr">
        <is>
          <t>I cascade: FZ (candidate present flag)</t>
        </is>
      </c>
      <c r="HC3" t="inlineStr">
        <is>
          <t>I cascade: GA (running count)</t>
        </is>
      </c>
      <c r="HD3" t="inlineStr">
        <is>
          <t>I cascade: GB (dynamic dropdown list)</t>
        </is>
      </c>
      <c r="HE3" t="inlineStr">
        <is>
          <t>J cascade: FY (all-other-filters flag)</t>
        </is>
      </c>
      <c r="HF3" t="inlineStr">
        <is>
          <t>J cascade: FZ (candidate present flag)</t>
        </is>
      </c>
      <c r="HG3" t="inlineStr">
        <is>
          <t>J cascade: GA (running count)</t>
        </is>
      </c>
      <c r="HH3" t="inlineStr">
        <is>
          <t>J cascade: GB (dynamic dropdown list)</t>
        </is>
      </c>
      <c r="HI3" t="inlineStr">
        <is>
          <t>K cascade: FY (all-other-filters flag)</t>
        </is>
      </c>
      <c r="HJ3" t="inlineStr">
        <is>
          <t>K cascade: FZ (candidate present flag)</t>
        </is>
      </c>
      <c r="HK3" t="inlineStr">
        <is>
          <t>K cascade: GA (running count)</t>
        </is>
      </c>
      <c r="HL3" t="inlineStr">
        <is>
          <t>K cascade: GB (dynamic dropdown list)</t>
        </is>
      </c>
      <c r="HM3" t="inlineStr">
        <is>
          <t>L cascade: FY (all-other-filters flag)</t>
        </is>
      </c>
      <c r="HN3" t="inlineStr">
        <is>
          <t>L cascade: FZ (candidate present flag)</t>
        </is>
      </c>
      <c r="HO3" t="inlineStr">
        <is>
          <t>L cascade: GA (running count)</t>
        </is>
      </c>
      <c r="HP3" t="inlineStr">
        <is>
          <t>L cascade: GB (dynamic dropdown list)</t>
        </is>
      </c>
      <c r="HQ3" t="inlineStr">
        <is>
          <t>M cascade: FY (all-other-filters flag)</t>
        </is>
      </c>
      <c r="HR3" t="inlineStr">
        <is>
          <t>M cascade: FZ (candidate present flag)</t>
        </is>
      </c>
      <c r="HS3" t="inlineStr">
        <is>
          <t>M cascade: GA (running count)</t>
        </is>
      </c>
      <c r="HT3" t="inlineStr">
        <is>
          <t>M cascade: GB (dynamic dropdown list)</t>
        </is>
      </c>
      <c r="HU3" t="inlineStr">
        <is>
          <t>N cascade: FY (all-other-filters flag)</t>
        </is>
      </c>
      <c r="HV3" t="inlineStr">
        <is>
          <t>N cascade: FZ (candidate present flag)</t>
        </is>
      </c>
      <c r="HW3" t="inlineStr">
        <is>
          <t>N cascade: GA (running count)</t>
        </is>
      </c>
      <c r="HX3" t="inlineStr">
        <is>
          <t>N cascade: GB (dynamic dropdown list)</t>
        </is>
      </c>
      <c r="HY3" t="inlineStr">
        <is>
          <t>O cascade: FY (all-other-filters flag)</t>
        </is>
      </c>
      <c r="HZ3" t="inlineStr">
        <is>
          <t>O cascade: FZ (candidate present flag)</t>
        </is>
      </c>
      <c r="IA3" t="inlineStr">
        <is>
          <t>O cascade: GA (running count)</t>
        </is>
      </c>
      <c r="IB3" t="inlineStr">
        <is>
          <t>O cascade: GB (dynamic dropdown list)</t>
        </is>
      </c>
      <c r="IC3" t="inlineStr">
        <is>
          <t>P cascade: FY (all-other-filters flag)</t>
        </is>
      </c>
      <c r="ID3" t="inlineStr">
        <is>
          <t>P cascade: FZ (candidate present flag)</t>
        </is>
      </c>
      <c r="IE3" t="inlineStr">
        <is>
          <t>P cascade: GA (running count)</t>
        </is>
      </c>
      <c r="IF3" t="inlineStr">
        <is>
          <t>P cascade: GB (dynamic dropdown list)</t>
        </is>
      </c>
      <c r="IG3" t="inlineStr">
        <is>
          <t>Q cascade: FY (all-other-filters flag)</t>
        </is>
      </c>
      <c r="IH3" t="inlineStr">
        <is>
          <t>Q cascade: FZ (candidate present flag)</t>
        </is>
      </c>
      <c r="II3" t="inlineStr">
        <is>
          <t>Q cascade: GA (running count)</t>
        </is>
      </c>
      <c r="IJ3" t="inlineStr">
        <is>
          <t>Q cascade: GB (dynamic dropdown list)</t>
        </is>
      </c>
      <c r="IK3" t="inlineStr">
        <is>
          <t>R cascade: FY (all-other-filters flag)</t>
        </is>
      </c>
      <c r="IL3" t="inlineStr">
        <is>
          <t>R cascade: FZ (candidate present flag)</t>
        </is>
      </c>
      <c r="IM3" t="inlineStr">
        <is>
          <t>R cascade: GA (running count)</t>
        </is>
      </c>
      <c r="IN3" t="inlineStr">
        <is>
          <t>R cascade: GB (dynamic dropdown list)</t>
        </is>
      </c>
      <c r="IO3" t="inlineStr">
        <is>
          <t>S cascade: FY (all-other-filters flag)</t>
        </is>
      </c>
      <c r="IP3" t="inlineStr">
        <is>
          <t>S cascade: FZ (candidate present flag)</t>
        </is>
      </c>
      <c r="IQ3" t="inlineStr">
        <is>
          <t>S cascade: GA (running count)</t>
        </is>
      </c>
      <c r="IR3" t="inlineStr">
        <is>
          <t>S cascade: GB (dynamic dropdown list)</t>
        </is>
      </c>
      <c r="IS3" t="inlineStr">
        <is>
          <t>T cascade: FY (all-other-filters flag)</t>
        </is>
      </c>
      <c r="IT3" t="inlineStr">
        <is>
          <t>T cascade: FZ (candidate present flag)</t>
        </is>
      </c>
      <c r="IU3" t="inlineStr">
        <is>
          <t>T cascade: GA (running count)</t>
        </is>
      </c>
      <c r="IV3" t="inlineStr">
        <is>
          <t>T cascade: GB (dynamic dropdown list)</t>
        </is>
      </c>
      <c r="IW3" t="inlineStr">
        <is>
          <t>U cascade: FY (all-other-filters flag)</t>
        </is>
      </c>
      <c r="IX3" t="inlineStr">
        <is>
          <t>U cascade: FZ (candidate present flag)</t>
        </is>
      </c>
      <c r="IY3" t="inlineStr">
        <is>
          <t>U cascade: GA (running count)</t>
        </is>
      </c>
      <c r="IZ3" t="inlineStr">
        <is>
          <t>U cascade: GB (dynamic dropdown list)</t>
        </is>
      </c>
      <c r="JA3" t="inlineStr">
        <is>
          <t>V cascade: FY (all-other-filters flag)</t>
        </is>
      </c>
      <c r="JB3" t="inlineStr">
        <is>
          <t>V cascade: FZ (candidate present flag)</t>
        </is>
      </c>
      <c r="JC3" t="inlineStr">
        <is>
          <t>V cascade: GA (running count)</t>
        </is>
      </c>
      <c r="JD3" t="inlineStr">
        <is>
          <t>V cascade: GB (dynamic dropdown list)</t>
        </is>
      </c>
      <c r="JE3" t="inlineStr">
        <is>
          <t>W cascade: FY (all-other-filters flag)</t>
        </is>
      </c>
      <c r="JF3" t="inlineStr">
        <is>
          <t>W cascade: FZ (candidate present flag)</t>
        </is>
      </c>
      <c r="JG3" t="inlineStr">
        <is>
          <t>W cascade: GA (running count)</t>
        </is>
      </c>
      <c r="JH3" t="inlineStr">
        <is>
          <t>W cascade: GB (dynamic dropdown list)</t>
        </is>
      </c>
      <c r="JI3" t="inlineStr">
        <is>
          <t>X cascade: FY (all-other-filters flag)</t>
        </is>
      </c>
      <c r="JJ3" t="inlineStr">
        <is>
          <t>X cascade: FZ (candidate present flag)</t>
        </is>
      </c>
      <c r="JK3" t="inlineStr">
        <is>
          <t>X cascade: GA (running count)</t>
        </is>
      </c>
      <c r="JL3" t="inlineStr">
        <is>
          <t>X cascade: GB (dynamic dropdown list)</t>
        </is>
      </c>
      <c r="JM3" t="inlineStr">
        <is>
          <t>Y cascade: FY (all-other-filters flag)</t>
        </is>
      </c>
      <c r="JN3" t="inlineStr">
        <is>
          <t>Y cascade: FZ (candidate present flag)</t>
        </is>
      </c>
      <c r="JO3" t="inlineStr">
        <is>
          <t>Y cascade: GA (running count)</t>
        </is>
      </c>
      <c r="JP3" t="inlineStr">
        <is>
          <t>Y cascade: GB (dynamic dropdown list)</t>
        </is>
      </c>
      <c r="JQ3" t="inlineStr">
        <is>
          <t>Z cascade: FY (all-other-filters flag)</t>
        </is>
      </c>
      <c r="JR3" t="inlineStr">
        <is>
          <t>Z cascade: FZ (candidate present flag)</t>
        </is>
      </c>
      <c r="JS3" t="inlineStr">
        <is>
          <t>Z cascade: GA (running count)</t>
        </is>
      </c>
      <c r="JT3" t="inlineStr">
        <is>
          <t>Z cascade: GB (dynamic dropdown list)</t>
        </is>
      </c>
      <c r="JU3" t="inlineStr">
        <is>
          <t>AA cascade: FY (all-other-filters flag)</t>
        </is>
      </c>
      <c r="JV3" t="inlineStr">
        <is>
          <t>AA cascade: FZ (candidate present flag)</t>
        </is>
      </c>
      <c r="JW3" t="inlineStr">
        <is>
          <t>AA cascade: GA (running count)</t>
        </is>
      </c>
      <c r="JX3" t="inlineStr">
        <is>
          <t>AA cascade: GB (dynamic dropdown list)</t>
        </is>
      </c>
      <c r="JY3" t="inlineStr">
        <is>
          <t>AB cascade: FY (all-other-filters flag)</t>
        </is>
      </c>
      <c r="JZ3" t="inlineStr">
        <is>
          <t>AB cascade: FZ (candidate present flag)</t>
        </is>
      </c>
      <c r="KA3" t="inlineStr">
        <is>
          <t>AB cascade: GA (running count)</t>
        </is>
      </c>
      <c r="KB3" t="inlineStr">
        <is>
          <t>AB cascade: GB (dynamic dropdown list)</t>
        </is>
      </c>
      <c r="KC3" t="inlineStr">
        <is>
          <t>AC cascade: FY (all-other-filters flag)</t>
        </is>
      </c>
      <c r="KD3" t="inlineStr">
        <is>
          <t>AC cascade: FZ (candidate present flag)</t>
        </is>
      </c>
      <c r="KE3" t="inlineStr">
        <is>
          <t>AC cascade: GA (running count)</t>
        </is>
      </c>
      <c r="KF3" t="inlineStr">
        <is>
          <t>AC cascade: GB (dynamic dropdown list)</t>
        </is>
      </c>
      <c r="KG3" t="inlineStr">
        <is>
          <t>AD cascade: FY (all-other-filters flag)</t>
        </is>
      </c>
      <c r="KH3" t="inlineStr">
        <is>
          <t>AD cascade: FZ (candidate present flag)</t>
        </is>
      </c>
      <c r="KI3" t="inlineStr">
        <is>
          <t>AD cascade: GA (running count)</t>
        </is>
      </c>
      <c r="KJ3" t="inlineStr">
        <is>
          <t>AD cascade: GB (dynamic dropdown list)</t>
        </is>
      </c>
      <c r="KK3" t="inlineStr">
        <is>
          <t>AE cascade: FY (all-other-filters flag)</t>
        </is>
      </c>
      <c r="KL3" t="inlineStr">
        <is>
          <t>AE cascade: FZ (candidate present flag)</t>
        </is>
      </c>
      <c r="KM3" t="inlineStr">
        <is>
          <t>AE cascade: GA (running count)</t>
        </is>
      </c>
      <c r="KN3" t="inlineStr">
        <is>
          <t>AE cascade: GB (dynamic dropdown list)</t>
        </is>
      </c>
      <c r="KO3" t="inlineStr">
        <is>
          <t>AF cascade: FY (all-other-filters flag)</t>
        </is>
      </c>
      <c r="KP3" t="inlineStr">
        <is>
          <t>AF cascade: FZ (candidate present flag)</t>
        </is>
      </c>
      <c r="KQ3" t="inlineStr">
        <is>
          <t>AF cascade: GA (running count)</t>
        </is>
      </c>
      <c r="KR3" t="inlineStr">
        <is>
          <t>AF cascade: GB (dynamic dropdown list)</t>
        </is>
      </c>
      <c r="KS3" t="inlineStr">
        <is>
          <t>AG cascade: FY (all-other-filters flag)</t>
        </is>
      </c>
      <c r="KT3" t="inlineStr">
        <is>
          <t>AG cascade: FZ (candidate present flag)</t>
        </is>
      </c>
      <c r="KU3" t="inlineStr">
        <is>
          <t>AG cascade: GA (running count)</t>
        </is>
      </c>
      <c r="KV3" t="inlineStr">
        <is>
          <t>AG cascade: GB (dynamic dropdown list)</t>
        </is>
      </c>
      <c r="KW3" t="inlineStr">
        <is>
          <t>AH cascade: FY (all-other-filters flag)</t>
        </is>
      </c>
      <c r="KX3" t="inlineStr">
        <is>
          <t>AH cascade: FZ (candidate present flag)</t>
        </is>
      </c>
      <c r="KY3" t="inlineStr">
        <is>
          <t>AH cascade: GA (running count)</t>
        </is>
      </c>
      <c r="KZ3" t="inlineStr">
        <is>
          <t>AH cascade: GB (dynamic dropdown list)</t>
        </is>
      </c>
      <c r="LA3" t="inlineStr">
        <is>
          <t>AI cascade: FY (all-other-filters flag)</t>
        </is>
      </c>
      <c r="LB3" t="inlineStr">
        <is>
          <t>AI cascade: FZ (candidate present flag)</t>
        </is>
      </c>
      <c r="LC3" t="inlineStr">
        <is>
          <t>AI cascade: GA (running count)</t>
        </is>
      </c>
      <c r="LD3" t="inlineStr">
        <is>
          <t>AI cascade: GB (dynamic dropdown list)</t>
        </is>
      </c>
      <c r="LE3" t="inlineStr">
        <is>
          <t>BG B cascade: FY (all-other-filters flag)</t>
        </is>
      </c>
      <c r="LF3" t="inlineStr">
        <is>
          <t>BG B cascade: FZ (candidate present flag)</t>
        </is>
      </c>
      <c r="LG3" t="inlineStr">
        <is>
          <t>BG B cascade: GA (running count)</t>
        </is>
      </c>
      <c r="LH3" t="inlineStr">
        <is>
          <t>BG B cascade: GB (dynamic dropdown list)</t>
        </is>
      </c>
      <c r="LI3" t="inlineStr">
        <is>
          <t>BG C cascade: FY (all-other-filters flag)</t>
        </is>
      </c>
      <c r="LJ3" t="inlineStr">
        <is>
          <t>BG C cascade: FZ (candidate present flag)</t>
        </is>
      </c>
      <c r="LK3" t="inlineStr">
        <is>
          <t>BG C cascade: GA (running count)</t>
        </is>
      </c>
      <c r="LL3" t="inlineStr">
        <is>
          <t>BG C cascade: GB (dynamic dropdown list)</t>
        </is>
      </c>
      <c r="LM3" t="inlineStr">
        <is>
          <t>BG D cascade: FY (all-other-filters flag)</t>
        </is>
      </c>
      <c r="LN3" t="inlineStr">
        <is>
          <t>BG D cascade: FZ (candidate present flag)</t>
        </is>
      </c>
      <c r="LO3" t="inlineStr">
        <is>
          <t>BG D cascade: GA (running count)</t>
        </is>
      </c>
      <c r="LP3" t="inlineStr">
        <is>
          <t>BG D cascade: GB (dynamic dropdown list)</t>
        </is>
      </c>
      <c r="LQ3" t="inlineStr">
        <is>
          <t>BG E cascade: FY (all-other-filters flag)</t>
        </is>
      </c>
      <c r="LR3" t="inlineStr">
        <is>
          <t>BG E cascade: FZ (candidate present flag)</t>
        </is>
      </c>
      <c r="LS3" t="inlineStr">
        <is>
          <t>BG E cascade: GA (running count)</t>
        </is>
      </c>
      <c r="LT3" t="inlineStr">
        <is>
          <t>BG E cascade: GB (dynamic dropdown list)</t>
        </is>
      </c>
      <c r="LU3" t="inlineStr">
        <is>
          <t>BG F cascade: FY (all-other-filters flag)</t>
        </is>
      </c>
      <c r="LV3" t="inlineStr">
        <is>
          <t>BG F cascade: FZ (candidate present flag)</t>
        </is>
      </c>
      <c r="LW3" t="inlineStr">
        <is>
          <t>BG F cascade: GA (running count)</t>
        </is>
      </c>
      <c r="LX3" t="inlineStr">
        <is>
          <t>BG F cascade: GB (dynamic dropdown list)</t>
        </is>
      </c>
      <c r="LY3" t="inlineStr">
        <is>
          <t>BG G cascade: FY (all-other-filters flag)</t>
        </is>
      </c>
      <c r="LZ3" t="inlineStr">
        <is>
          <t>BG G cascade: FZ (candidate present flag)</t>
        </is>
      </c>
      <c r="MA3" t="inlineStr">
        <is>
          <t>BG G cascade: GA (running count)</t>
        </is>
      </c>
      <c r="MB3" t="inlineStr">
        <is>
          <t>BG G cascade: GB (dynamic dropdown list)</t>
        </is>
      </c>
      <c r="MC3" t="inlineStr">
        <is>
          <t>BG H cascade: FY (all-other-filters flag)</t>
        </is>
      </c>
      <c r="MD3" t="inlineStr">
        <is>
          <t>BG H cascade: FZ (candidate present flag)</t>
        </is>
      </c>
      <c r="ME3" t="inlineStr">
        <is>
          <t>BG H cascade: GA (running count)</t>
        </is>
      </c>
      <c r="MF3" t="inlineStr">
        <is>
          <t>BG H cascade: GB (dynamic dropdown list)</t>
        </is>
      </c>
      <c r="MG3" t="inlineStr">
        <is>
          <t>BG I cascade: FY (all-other-filters flag)</t>
        </is>
      </c>
      <c r="MH3" t="inlineStr">
        <is>
          <t>BG I cascade: FZ (candidate present flag)</t>
        </is>
      </c>
      <c r="MI3" t="inlineStr">
        <is>
          <t>BG I cascade: GA (running count)</t>
        </is>
      </c>
      <c r="MJ3" t="inlineStr">
        <is>
          <t>BG I cascade: GB (dynamic dropdown list)</t>
        </is>
      </c>
      <c r="MK3" t="inlineStr">
        <is>
          <t>BG J cascade: FY (all-other-filters flag)</t>
        </is>
      </c>
      <c r="ML3" t="inlineStr">
        <is>
          <t>BG J cascade: FZ (candidate present flag)</t>
        </is>
      </c>
      <c r="MM3" t="inlineStr">
        <is>
          <t>BG J cascade: GA (running count)</t>
        </is>
      </c>
      <c r="MN3" t="inlineStr">
        <is>
          <t>BG J cascade: GB (dynamic dropdown list)</t>
        </is>
      </c>
      <c r="MO3" t="inlineStr">
        <is>
          <t>BG K cascade: FY (all-other-filters flag)</t>
        </is>
      </c>
      <c r="MP3" t="inlineStr">
        <is>
          <t>BG K cascade: FZ (candidate present flag)</t>
        </is>
      </c>
      <c r="MQ3" t="inlineStr">
        <is>
          <t>BG K cascade: GA (running count)</t>
        </is>
      </c>
      <c r="MR3" t="inlineStr">
        <is>
          <t>BG K cascade: GB (dynamic dropdown list)</t>
        </is>
      </c>
      <c r="MS3" t="inlineStr">
        <is>
          <t>BG L cascade: FY (all-other-filters flag)</t>
        </is>
      </c>
      <c r="MT3" t="inlineStr">
        <is>
          <t>BG L cascade: FZ (candidate present flag)</t>
        </is>
      </c>
      <c r="MU3" t="inlineStr">
        <is>
          <t>BG L cascade: GA (running count)</t>
        </is>
      </c>
      <c r="MV3" t="inlineStr">
        <is>
          <t>BG L cascade: GB (dynamic dropdown list)</t>
        </is>
      </c>
      <c r="MW3" t="inlineStr">
        <is>
          <t>BG M cascade: FY (all-other-filters flag)</t>
        </is>
      </c>
      <c r="MX3" t="inlineStr">
        <is>
          <t>BG M cascade: FZ (candidate present flag)</t>
        </is>
      </c>
      <c r="MY3" t="inlineStr">
        <is>
          <t>BG M cascade: GA (running count)</t>
        </is>
      </c>
      <c r="MZ3" t="inlineStr">
        <is>
          <t>BG M cascade: GB (dynamic dropdown list)</t>
        </is>
      </c>
      <c r="NA3" t="inlineStr">
        <is>
          <t>BG N cascade: FY (all-other-filters flag)</t>
        </is>
      </c>
      <c r="NB3" t="inlineStr">
        <is>
          <t>BG N cascade: FZ (candidate present flag)</t>
        </is>
      </c>
      <c r="NC3" t="inlineStr">
        <is>
          <t>BG N cascade: GA (running count)</t>
        </is>
      </c>
      <c r="ND3" t="inlineStr">
        <is>
          <t>BG N cascade: GB (dynamic dropdown list)</t>
        </is>
      </c>
      <c r="NE3" t="inlineStr">
        <is>
          <t>BG O cascade: FY (all-other-filters flag)</t>
        </is>
      </c>
      <c r="NF3" t="inlineStr">
        <is>
          <t>BG O cascade: FZ (candidate present flag)</t>
        </is>
      </c>
      <c r="NG3" t="inlineStr">
        <is>
          <t>BG O cascade: GA (running count)</t>
        </is>
      </c>
      <c r="NH3" t="inlineStr">
        <is>
          <t>BG O cascade: GB (dynamic dropdown list)</t>
        </is>
      </c>
      <c r="NI3" t="inlineStr">
        <is>
          <t>BG P cascade: FY (all-other-filters flag)</t>
        </is>
      </c>
      <c r="NJ3" t="inlineStr">
        <is>
          <t>BG P cascade: FZ (candidate present flag)</t>
        </is>
      </c>
      <c r="NK3" t="inlineStr">
        <is>
          <t>BG P cascade: GA (running count)</t>
        </is>
      </c>
      <c r="NL3" t="inlineStr">
        <is>
          <t>BG P cascade: GB (dynamic dropdown list)</t>
        </is>
      </c>
      <c r="NM3" t="inlineStr">
        <is>
          <t>BG Q cascade: FY (all-other-filters flag)</t>
        </is>
      </c>
      <c r="NN3" t="inlineStr">
        <is>
          <t>BG Q cascade: FZ (candidate present flag)</t>
        </is>
      </c>
      <c r="NO3" t="inlineStr">
        <is>
          <t>BG Q cascade: GA (running count)</t>
        </is>
      </c>
      <c r="NP3" t="inlineStr">
        <is>
          <t>BG Q cascade: GB (dynamic dropdown list)</t>
        </is>
      </c>
      <c r="NQ3" t="inlineStr">
        <is>
          <t>BG R cascade: FY (all-other-filters flag)</t>
        </is>
      </c>
      <c r="NR3" t="inlineStr">
        <is>
          <t>BG R cascade: FZ (candidate present flag)</t>
        </is>
      </c>
      <c r="NS3" t="inlineStr">
        <is>
          <t>BG R cascade: GA (running count)</t>
        </is>
      </c>
      <c r="NT3" t="inlineStr">
        <is>
          <t>BG R cascade: GB (dynamic dropdown list)</t>
        </is>
      </c>
      <c r="NU3" t="inlineStr">
        <is>
          <t>BG S cascade: FY (all-other-filters flag)</t>
        </is>
      </c>
      <c r="NV3" t="inlineStr">
        <is>
          <t>BG S cascade: FZ (candidate present flag)</t>
        </is>
      </c>
      <c r="NW3" t="inlineStr">
        <is>
          <t>BG S cascade: GA (running count)</t>
        </is>
      </c>
      <c r="NX3" t="inlineStr">
        <is>
          <t>BG S cascade: GB (dynamic dropdown list)</t>
        </is>
      </c>
      <c r="NY3" t="inlineStr">
        <is>
          <t>BG T cascade: FY (all-other-filters flag)</t>
        </is>
      </c>
      <c r="NZ3" t="inlineStr">
        <is>
          <t>BG T cascade: FZ (candidate present flag)</t>
        </is>
      </c>
      <c r="OA3" t="inlineStr">
        <is>
          <t>BG T cascade: GA (running count)</t>
        </is>
      </c>
      <c r="OB3" t="inlineStr">
        <is>
          <t>BG T cascade: GB (dynamic dropdown list)</t>
        </is>
      </c>
      <c r="OC3" t="inlineStr">
        <is>
          <t>BG U cascade: FY (all-other-filters flag)</t>
        </is>
      </c>
      <c r="OD3" t="inlineStr">
        <is>
          <t>BG U cascade: FZ (candidate present flag)</t>
        </is>
      </c>
      <c r="OE3" t="inlineStr">
        <is>
          <t>BG U cascade: GA (running count)</t>
        </is>
      </c>
      <c r="OF3" t="inlineStr">
        <is>
          <t>BG U cascade: GB (dynamic dropdown list)</t>
        </is>
      </c>
      <c r="OG3" t="inlineStr">
        <is>
          <t>BG V cascade: FY (all-other-filters flag)</t>
        </is>
      </c>
      <c r="OH3" t="inlineStr">
        <is>
          <t>BG V cascade: FZ (candidate present flag)</t>
        </is>
      </c>
      <c r="OI3" t="inlineStr">
        <is>
          <t>BG V cascade: GA (running count)</t>
        </is>
      </c>
      <c r="OJ3" t="inlineStr">
        <is>
          <t>BG V cascade: GB (dynamic dropdown list)</t>
        </is>
      </c>
      <c r="OK3" t="inlineStr">
        <is>
          <t>BG W cascade: FY (all-other-filters flag)</t>
        </is>
      </c>
      <c r="OL3" t="inlineStr">
        <is>
          <t>BG W cascade: FZ (candidate present flag)</t>
        </is>
      </c>
      <c r="OM3" t="inlineStr">
        <is>
          <t>BG W cascade: GA (running count)</t>
        </is>
      </c>
      <c r="ON3" t="inlineStr">
        <is>
          <t>BG W cascade: GB (dynamic dropdown list)</t>
        </is>
      </c>
      <c r="OO3" t="inlineStr">
        <is>
          <t>BG X cascade: FY (all-other-filters flag)</t>
        </is>
      </c>
      <c r="OP3" t="inlineStr">
        <is>
          <t>BG X cascade: FZ (candidate present flag)</t>
        </is>
      </c>
      <c r="OQ3" t="inlineStr">
        <is>
          <t>BG X cascade: GA (running count)</t>
        </is>
      </c>
      <c r="OR3" t="inlineStr">
        <is>
          <t>BG X cascade: GB (dynamic dropdown list)</t>
        </is>
      </c>
      <c r="OS3" t="inlineStr">
        <is>
          <t>BG Y cascade: FY (all-other-filters flag)</t>
        </is>
      </c>
      <c r="OT3" t="inlineStr">
        <is>
          <t>BG Y cascade: FZ (candidate present flag)</t>
        </is>
      </c>
      <c r="OU3" t="inlineStr">
        <is>
          <t>BG Y cascade: GA (running count)</t>
        </is>
      </c>
      <c r="OV3" t="inlineStr">
        <is>
          <t>BG Y cascade: GB (dynamic dropdown list)</t>
        </is>
      </c>
      <c r="OW3" t="inlineStr">
        <is>
          <t>BG Z cascade: FY (all-other-filters flag)</t>
        </is>
      </c>
      <c r="OX3" t="inlineStr">
        <is>
          <t>BG Z cascade: FZ (candidate present flag)</t>
        </is>
      </c>
      <c r="OY3" t="inlineStr">
        <is>
          <t>BG Z cascade: GA (running count)</t>
        </is>
      </c>
      <c r="OZ3" t="inlineStr">
        <is>
          <t>BG Z cascade: GB (dynamic dropdown list)</t>
        </is>
      </c>
      <c r="PA3" t="inlineStr">
        <is>
          <t>BG AA cascade: FY (all-other-filters flag)</t>
        </is>
      </c>
      <c r="PB3" t="inlineStr">
        <is>
          <t>BG AA cascade: FZ (candidate present flag)</t>
        </is>
      </c>
      <c r="PC3" t="inlineStr">
        <is>
          <t>BG AA cascade: GA (running count)</t>
        </is>
      </c>
      <c r="PD3" t="inlineStr">
        <is>
          <t>BG AA cascade: GB (dynamic dropdown list)</t>
        </is>
      </c>
      <c r="PE3" t="inlineStr">
        <is>
          <t>BG AB cascade: FY (all-other-filters flag)</t>
        </is>
      </c>
      <c r="PF3" t="inlineStr">
        <is>
          <t>BG AB cascade: FZ (candidate present flag)</t>
        </is>
      </c>
      <c r="PG3" t="inlineStr">
        <is>
          <t>BG AB cascade: GA (running count)</t>
        </is>
      </c>
      <c r="PH3" t="inlineStr">
        <is>
          <t>BG AB cascade: GB (dynamic dropdown list)</t>
        </is>
      </c>
      <c r="PI3" t="inlineStr">
        <is>
          <t>BG AC cascade: FY (all-other-filters flag)</t>
        </is>
      </c>
      <c r="PJ3" t="inlineStr">
        <is>
          <t>BG AC cascade: FZ (candidate present flag)</t>
        </is>
      </c>
      <c r="PK3" t="inlineStr">
        <is>
          <t>BG AC cascade: GA (running count)</t>
        </is>
      </c>
      <c r="PL3" t="inlineStr">
        <is>
          <t>BG AC cascade: GB (dynamic dropdown list)</t>
        </is>
      </c>
      <c r="PM3" t="inlineStr">
        <is>
          <t>BG AD cascade: FY (all-other-filters flag)</t>
        </is>
      </c>
      <c r="PN3" t="inlineStr">
        <is>
          <t>BG AD cascade: FZ (candidate present flag)</t>
        </is>
      </c>
      <c r="PO3" t="inlineStr">
        <is>
          <t>BG AD cascade: GA (running count)</t>
        </is>
      </c>
      <c r="PP3" t="inlineStr">
        <is>
          <t>BG AD cascade: GB (dynamic dropdown list)</t>
        </is>
      </c>
      <c r="PQ3" t="inlineStr">
        <is>
          <t>BG AE cascade: FY (all-other-filters flag)</t>
        </is>
      </c>
      <c r="PR3" t="inlineStr">
        <is>
          <t>BG AE cascade: FZ (candidate present flag)</t>
        </is>
      </c>
      <c r="PS3" t="inlineStr">
        <is>
          <t>BG AE cascade: GA (running count)</t>
        </is>
      </c>
      <c r="PT3" t="inlineStr">
        <is>
          <t>BG AE cascade: GB (dynamic dropdown list)</t>
        </is>
      </c>
      <c r="PU3" t="inlineStr">
        <is>
          <t>BG AF cascade: FY (all-other-filters flag)</t>
        </is>
      </c>
      <c r="PV3" t="inlineStr">
        <is>
          <t>BG AF cascade: FZ (candidate present flag)</t>
        </is>
      </c>
      <c r="PW3" t="inlineStr">
        <is>
          <t>BG AF cascade: GA (running count)</t>
        </is>
      </c>
      <c r="PX3" t="inlineStr">
        <is>
          <t>BG AF cascade: GB (dynamic dropdown list)</t>
        </is>
      </c>
      <c r="PY3" t="inlineStr">
        <is>
          <t>BG AG cascade: FY (all-other-filters flag)</t>
        </is>
      </c>
      <c r="PZ3" t="inlineStr">
        <is>
          <t>BG AG cascade: FZ (candidate present flag)</t>
        </is>
      </c>
      <c r="QA3" t="inlineStr">
        <is>
          <t>BG AG cascade: GA (running count)</t>
        </is>
      </c>
      <c r="QB3" t="inlineStr">
        <is>
          <t>BG AG cascade: GB (dynamic dropdown list)</t>
        </is>
      </c>
      <c r="QC3" t="inlineStr">
        <is>
          <t>BG AH cascade: FY (all-other-filters flag)</t>
        </is>
      </c>
      <c r="QD3" t="inlineStr">
        <is>
          <t>BG AH cascade: FZ (candidate present flag)</t>
        </is>
      </c>
      <c r="QE3" t="inlineStr">
        <is>
          <t>BG AH cascade: GA (running count)</t>
        </is>
      </c>
      <c r="QF3" t="inlineStr">
        <is>
          <t>BG AH cascade: GB (dynamic dropdown list)</t>
        </is>
      </c>
      <c r="QG3" t="inlineStr">
        <is>
          <t>BG AI cascade: FY (all-other-filters flag)</t>
        </is>
      </c>
      <c r="QH3" t="inlineStr">
        <is>
          <t>BG AI cascade: FZ (candidate present flag)</t>
        </is>
      </c>
      <c r="QI3" t="inlineStr">
        <is>
          <t>BG AI cascade: GA (running count)</t>
        </is>
      </c>
      <c r="QJ3" t="inlineStr">
        <is>
          <t>BG AI cascade: GB (dynamic dropdown list)</t>
        </is>
      </c>
      <c r="QK3" t="inlineStr">
        <is>
          <t xml:space="preserve">FCS AH (Final AH)</t>
        </is>
      </c>
      <c r="QP3" t="inlineStr">
        <is>
          <t xml:space="preserve">FCS A cascade: FY (all-other-filters flag)</t>
        </is>
      </c>
      <c r="QQ3" t="inlineStr">
        <is>
          <t xml:space="preserve">FCS A cascade: FZ (candidate present flag)</t>
        </is>
      </c>
      <c r="QR3" t="inlineStr">
        <is>
          <t xml:space="preserve">FCS A cascade: GA (running count)</t>
        </is>
      </c>
      <c r="QS3" t="inlineStr">
        <is>
          <t xml:space="preserve">FCS A cascade: GB (dynamic dropdown list)</t>
        </is>
      </c>
      <c r="QT3" t="inlineStr">
        <is>
          <t xml:space="preserve">FCS B cascade: FY (all-other-filters flag)</t>
        </is>
      </c>
      <c r="QU3" t="inlineStr">
        <is>
          <t xml:space="preserve">FCS B cascade: FZ (candidate present flag)</t>
        </is>
      </c>
      <c r="QV3" t="inlineStr">
        <is>
          <t xml:space="preserve">FCS B cascade: GA (running count)</t>
        </is>
      </c>
      <c r="QW3" t="inlineStr">
        <is>
          <t xml:space="preserve">FCS B cascade: GB (dynamic dropdown list)</t>
        </is>
      </c>
      <c r="QX3" t="inlineStr">
        <is>
          <t xml:space="preserve">FCS C cascade: FY (all-other-filters flag)</t>
        </is>
      </c>
      <c r="QY3" t="inlineStr">
        <is>
          <t xml:space="preserve">FCS C cascade: FZ (candidate present flag)</t>
        </is>
      </c>
      <c r="QZ3" t="inlineStr">
        <is>
          <t xml:space="preserve">FCS C cascade: GA (running count)</t>
        </is>
      </c>
      <c r="RA3" t="inlineStr">
        <is>
          <t xml:space="preserve">FCS C cascade: GB (dynamic dropdown list)</t>
        </is>
      </c>
      <c r="RB3" t="inlineStr">
        <is>
          <t xml:space="preserve">FCS D cascade: FY (all-other-filters flag)</t>
        </is>
      </c>
      <c r="RC3" t="inlineStr">
        <is>
          <t xml:space="preserve">FCS D cascade: FZ (candidate present flag)</t>
        </is>
      </c>
      <c r="RD3" t="inlineStr">
        <is>
          <t xml:space="preserve">FCS D cascade: GA (running count)</t>
        </is>
      </c>
      <c r="RE3" t="inlineStr">
        <is>
          <t xml:space="preserve">FCS D cascade: GB (dynamic dropdown list)</t>
        </is>
      </c>
      <c r="RF3" t="inlineStr">
        <is>
          <t xml:space="preserve">FCS E cascade: FY (all-other-filters flag)</t>
        </is>
      </c>
      <c r="RG3" t="inlineStr">
        <is>
          <t xml:space="preserve">FCS E cascade: FZ (candidate present flag)</t>
        </is>
      </c>
      <c r="RH3" t="inlineStr">
        <is>
          <t xml:space="preserve">FCS E cascade: GA (running count)</t>
        </is>
      </c>
      <c r="RI3" t="inlineStr">
        <is>
          <t xml:space="preserve">FCS E cascade: GB (dynamic dropdown list)</t>
        </is>
      </c>
      <c r="RJ3" t="inlineStr">
        <is>
          <t xml:space="preserve">FCS F cascade: FY (all-other-filters flag)</t>
        </is>
      </c>
      <c r="RK3" t="inlineStr">
        <is>
          <t xml:space="preserve">FCS F cascade: FZ (candidate present flag)</t>
        </is>
      </c>
      <c r="RL3" t="inlineStr">
        <is>
          <t xml:space="preserve">FCS F cascade: GA (running count)</t>
        </is>
      </c>
      <c r="RM3" t="inlineStr">
        <is>
          <t xml:space="preserve">FCS F cascade: GB (dynamic dropdown list)</t>
        </is>
      </c>
      <c r="RN3" t="inlineStr">
        <is>
          <t xml:space="preserve">FCS G cascade: FY (all-other-filters flag)</t>
        </is>
      </c>
      <c r="RO3" t="inlineStr">
        <is>
          <t xml:space="preserve">FCS G cascade: FZ (candidate present flag)</t>
        </is>
      </c>
      <c r="RP3" t="inlineStr">
        <is>
          <t xml:space="preserve">FCS G cascade: GA (running count)</t>
        </is>
      </c>
      <c r="RQ3" t="inlineStr">
        <is>
          <t xml:space="preserve">FCS G cascade: GB (dynamic dropdown list)</t>
        </is>
      </c>
      <c r="RR3" t="inlineStr">
        <is>
          <t xml:space="preserve">FCS H cascade: FY (all-other-filters flag)</t>
        </is>
      </c>
      <c r="RS3" t="inlineStr">
        <is>
          <t xml:space="preserve">FCS H cascade: FZ (candidate present flag)</t>
        </is>
      </c>
      <c r="RT3" t="inlineStr">
        <is>
          <t xml:space="preserve">FCS H cascade: GA (running count)</t>
        </is>
      </c>
      <c r="RU3" t="inlineStr">
        <is>
          <t xml:space="preserve">FCS H cascade: GB (dynamic dropdown list)</t>
        </is>
      </c>
      <c r="RV3" t="inlineStr">
        <is>
          <t xml:space="preserve">FCS I cascade: FY (all-other-filters flag)</t>
        </is>
      </c>
      <c r="RW3" t="inlineStr">
        <is>
          <t xml:space="preserve">FCS I cascade: FZ (candidate present flag)</t>
        </is>
      </c>
      <c r="RX3" t="inlineStr">
        <is>
          <t xml:space="preserve">FCS I cascade: GA (running count)</t>
        </is>
      </c>
      <c r="RY3" t="inlineStr">
        <is>
          <t xml:space="preserve">FCS I cascade: GB (dynamic dropdown list)</t>
        </is>
      </c>
      <c r="RZ3" t="inlineStr">
        <is>
          <t xml:space="preserve">FCS J cascade: FY (all-other-filters flag)</t>
        </is>
      </c>
      <c r="SA3" t="inlineStr">
        <is>
          <t xml:space="preserve">FCS J cascade: FZ (candidate present flag)</t>
        </is>
      </c>
      <c r="SB3" t="inlineStr">
        <is>
          <t xml:space="preserve">FCS J cascade: GA (running count)</t>
        </is>
      </c>
      <c r="SC3" t="inlineStr">
        <is>
          <t xml:space="preserve">FCS J cascade: GB (dynamic dropdown list)</t>
        </is>
      </c>
      <c r="SD3" t="inlineStr">
        <is>
          <t xml:space="preserve">FCS K cascade: FY (all-other-filters flag)</t>
        </is>
      </c>
      <c r="SE3" t="inlineStr">
        <is>
          <t xml:space="preserve">FCS K cascade: FZ (candidate present flag)</t>
        </is>
      </c>
      <c r="SF3" t="inlineStr">
        <is>
          <t xml:space="preserve">FCS K cascade: GA (running count)</t>
        </is>
      </c>
      <c r="SG3" t="inlineStr">
        <is>
          <t xml:space="preserve">FCS K cascade: GB (dynamic dropdown list)</t>
        </is>
      </c>
      <c r="SH3" t="inlineStr">
        <is>
          <t xml:space="preserve">FCS L cascade: FY (all-other-filters flag)</t>
        </is>
      </c>
      <c r="SI3" t="inlineStr">
        <is>
          <t xml:space="preserve">FCS L cascade: FZ (candidate present flag)</t>
        </is>
      </c>
      <c r="SJ3" t="inlineStr">
        <is>
          <t xml:space="preserve">FCS L cascade: GA (running count)</t>
        </is>
      </c>
      <c r="SK3" t="inlineStr">
        <is>
          <t xml:space="preserve">FCS L cascade: GB (dynamic dropdown list)</t>
        </is>
      </c>
      <c r="SL3" t="inlineStr">
        <is>
          <t xml:space="preserve">FCS M cascade: FY (all-other-filters flag)</t>
        </is>
      </c>
      <c r="SM3" t="inlineStr">
        <is>
          <t xml:space="preserve">FCS M cascade: FZ (candidate present flag)</t>
        </is>
      </c>
      <c r="SN3" t="inlineStr">
        <is>
          <t xml:space="preserve">FCS M cascade: GA (running count)</t>
        </is>
      </c>
      <c r="SO3" t="inlineStr">
        <is>
          <t xml:space="preserve">FCS M cascade: GB (dynamic dropdown list)</t>
        </is>
      </c>
      <c r="SP3" t="inlineStr">
        <is>
          <t xml:space="preserve">FCS N cascade: FY (all-other-filters flag)</t>
        </is>
      </c>
      <c r="SQ3" t="inlineStr">
        <is>
          <t xml:space="preserve">FCS N cascade: FZ (candidate present flag)</t>
        </is>
      </c>
      <c r="SR3" t="inlineStr">
        <is>
          <t xml:space="preserve">FCS N cascade: GA (running count)</t>
        </is>
      </c>
      <c r="SS3" t="inlineStr">
        <is>
          <t xml:space="preserve">FCS N cascade: GB (dynamic dropdown list)</t>
        </is>
      </c>
      <c r="ST3" t="inlineStr">
        <is>
          <t xml:space="preserve">FCS O cascade: FY (all-other-filters flag)</t>
        </is>
      </c>
      <c r="SU3" t="inlineStr">
        <is>
          <t xml:space="preserve">FCS O cascade: FZ (candidate present flag)</t>
        </is>
      </c>
      <c r="SV3" t="inlineStr">
        <is>
          <t xml:space="preserve">FCS O cascade: GA (running count)</t>
        </is>
      </c>
      <c r="SW3" t="inlineStr">
        <is>
          <t xml:space="preserve">FCS O cascade: GB (dynamic dropdown list)</t>
        </is>
      </c>
      <c r="SX3" t="inlineStr">
        <is>
          <t xml:space="preserve">FCS P cascade: FY (all-other-filters flag)</t>
        </is>
      </c>
      <c r="SY3" t="inlineStr">
        <is>
          <t xml:space="preserve">FCS P cascade: FZ (candidate present flag)</t>
        </is>
      </c>
      <c r="SZ3" t="inlineStr">
        <is>
          <t xml:space="preserve">FCS P cascade: GA (running count)</t>
        </is>
      </c>
      <c r="TA3" t="inlineStr">
        <is>
          <t xml:space="preserve">FCS P cascade: GB (dynamic dropdown list)</t>
        </is>
      </c>
      <c r="TB3" t="inlineStr">
        <is>
          <t xml:space="preserve">FCS Q cascade: FY (all-other-filters flag)</t>
        </is>
      </c>
      <c r="TC3" t="inlineStr">
        <is>
          <t xml:space="preserve">FCS Q cascade: FZ (candidate present flag)</t>
        </is>
      </c>
      <c r="TD3" t="inlineStr">
        <is>
          <t xml:space="preserve">FCS Q cascade: GA (running count)</t>
        </is>
      </c>
      <c r="TE3" t="inlineStr">
        <is>
          <t xml:space="preserve">FCS Q cascade: GB (dynamic dropdown list)</t>
        </is>
      </c>
      <c r="TF3" t="inlineStr">
        <is>
          <t xml:space="preserve">FCS R cascade: FY (all-other-filters flag)</t>
        </is>
      </c>
      <c r="TG3" t="inlineStr">
        <is>
          <t xml:space="preserve">FCS R cascade: FZ (candidate present flag)</t>
        </is>
      </c>
      <c r="TH3" t="inlineStr">
        <is>
          <t xml:space="preserve">FCS R cascade: GA (running count)</t>
        </is>
      </c>
      <c r="TI3" t="inlineStr">
        <is>
          <t xml:space="preserve">FCS R cascade: GB (dynamic dropdown list)</t>
        </is>
      </c>
      <c r="TJ3" t="inlineStr">
        <is>
          <t xml:space="preserve">FCS S cascade: FY (all-other-filters flag)</t>
        </is>
      </c>
      <c r="TK3" t="inlineStr">
        <is>
          <t xml:space="preserve">FCS S cascade: FZ (candidate present flag)</t>
        </is>
      </c>
      <c r="TL3" t="inlineStr">
        <is>
          <t xml:space="preserve">FCS S cascade: GA (running count)</t>
        </is>
      </c>
      <c r="TM3" t="inlineStr">
        <is>
          <t xml:space="preserve">FCS S cascade: GB (dynamic dropdown list)</t>
        </is>
      </c>
      <c r="TN3" t="inlineStr">
        <is>
          <t xml:space="preserve">FCS T cascade: FY (all-other-filters flag)</t>
        </is>
      </c>
      <c r="TO3" t="inlineStr">
        <is>
          <t xml:space="preserve">FCS T cascade: FZ (candidate present flag)</t>
        </is>
      </c>
      <c r="TP3" t="inlineStr">
        <is>
          <t xml:space="preserve">FCS T cascade: GA (running count)</t>
        </is>
      </c>
      <c r="TQ3" t="inlineStr">
        <is>
          <t xml:space="preserve">FCS T cascade: GB (dynamic dropdown list)</t>
        </is>
      </c>
      <c r="TR3" t="inlineStr">
        <is>
          <t xml:space="preserve">FCS U cascade: FY (all-other-filters flag)</t>
        </is>
      </c>
      <c r="TS3" t="inlineStr">
        <is>
          <t xml:space="preserve">FCS U cascade: FZ (candidate present flag)</t>
        </is>
      </c>
      <c r="TT3" t="inlineStr">
        <is>
          <t xml:space="preserve">FCS U cascade: GA (running count)</t>
        </is>
      </c>
      <c r="TU3" t="inlineStr">
        <is>
          <t xml:space="preserve">FCS U cascade: GB (dynamic dropdown list)</t>
        </is>
      </c>
      <c r="TV3" t="inlineStr">
        <is>
          <t xml:space="preserve">FCS V cascade: FY (all-other-filters flag)</t>
        </is>
      </c>
      <c r="TW3" t="inlineStr">
        <is>
          <t xml:space="preserve">FCS V cascade: FZ (candidate present flag)</t>
        </is>
      </c>
      <c r="TX3" t="inlineStr">
        <is>
          <t xml:space="preserve">FCS V cascade: GA (running count)</t>
        </is>
      </c>
      <c r="TY3" t="inlineStr">
        <is>
          <t xml:space="preserve">FCS V cascade: GB (dynamic dropdown list)</t>
        </is>
      </c>
      <c r="TZ3" t="inlineStr">
        <is>
          <t xml:space="preserve">FCS W cascade: FY (all-other-filters flag)</t>
        </is>
      </c>
      <c r="UA3" t="inlineStr">
        <is>
          <t xml:space="preserve">FCS W cascade: FZ (candidate present flag)</t>
        </is>
      </c>
      <c r="UB3" t="inlineStr">
        <is>
          <t xml:space="preserve">FCS W cascade: GA (running count)</t>
        </is>
      </c>
      <c r="UC3" t="inlineStr">
        <is>
          <t xml:space="preserve">FCS W cascade: GB (dynamic dropdown list)</t>
        </is>
      </c>
      <c r="UD3" t="inlineStr">
        <is>
          <t xml:space="preserve">FCS X cascade: FY (all-other-filters flag)</t>
        </is>
      </c>
      <c r="UE3" t="inlineStr">
        <is>
          <t xml:space="preserve">FCS X cascade: FZ (candidate present flag)</t>
        </is>
      </c>
      <c r="UF3" t="inlineStr">
        <is>
          <t xml:space="preserve">FCS X cascade: GA (running count)</t>
        </is>
      </c>
      <c r="UG3" t="inlineStr">
        <is>
          <t xml:space="preserve">FCS X cascade: GB (dynamic dropdown list)</t>
        </is>
      </c>
      <c r="UH3" t="inlineStr">
        <is>
          <t xml:space="preserve">FCS Y cascade: FY (all-other-filters flag)</t>
        </is>
      </c>
      <c r="UI3" t="inlineStr">
        <is>
          <t xml:space="preserve">FCS Y cascade: FZ (candidate present flag)</t>
        </is>
      </c>
      <c r="UJ3" t="inlineStr">
        <is>
          <t xml:space="preserve">FCS Y cascade: GA (running count)</t>
        </is>
      </c>
      <c r="UK3" t="inlineStr">
        <is>
          <t xml:space="preserve">FCS Y cascade: GB (dynamic dropdown list)</t>
        </is>
      </c>
      <c r="UL3" t="inlineStr">
        <is>
          <t xml:space="preserve">FCS Z cascade: FY (all-other-filters flag)</t>
        </is>
      </c>
      <c r="UM3" t="inlineStr">
        <is>
          <t xml:space="preserve">FCS Z cascade: FZ (candidate present flag)</t>
        </is>
      </c>
      <c r="UN3" t="inlineStr">
        <is>
          <t xml:space="preserve">FCS Z cascade: GA (running count)</t>
        </is>
      </c>
      <c r="UO3" t="inlineStr">
        <is>
          <t xml:space="preserve">FCS Z cascade: GB (dynamic dropdown list)</t>
        </is>
      </c>
      <c r="UP3" t="inlineStr">
        <is>
          <t xml:space="preserve">FCS AA cascade: FY (all-other-filters flag)</t>
        </is>
      </c>
      <c r="UQ3" t="inlineStr">
        <is>
          <t xml:space="preserve">FCS AA cascade: FZ (candidate present flag)</t>
        </is>
      </c>
      <c r="UR3" t="inlineStr">
        <is>
          <t xml:space="preserve">FCS AA cascade: GA (running count)</t>
        </is>
      </c>
      <c r="US3" t="inlineStr">
        <is>
          <t xml:space="preserve">FCS AA cascade: GB (dynamic dropdown list)</t>
        </is>
      </c>
      <c r="UT3" t="inlineStr">
        <is>
          <t xml:space="preserve">FCS AB cascade: FY (all-other-filters flag)</t>
        </is>
      </c>
      <c r="UU3" t="inlineStr">
        <is>
          <t xml:space="preserve">FCS AB cascade: FZ (candidate present flag)</t>
        </is>
      </c>
      <c r="UV3" t="inlineStr">
        <is>
          <t xml:space="preserve">FCS AB cascade: GA (running count)</t>
        </is>
      </c>
      <c r="UW3" t="inlineStr">
        <is>
          <t xml:space="preserve">FCS AB cascade: GB (dynamic dropdown list)</t>
        </is>
      </c>
      <c r="UX3" t="inlineStr">
        <is>
          <t xml:space="preserve">FCS AC cascade: FY (all-other-filters flag)</t>
        </is>
      </c>
      <c r="UY3" t="inlineStr">
        <is>
          <t xml:space="preserve">FCS AC cascade: FZ (candidate present flag)</t>
        </is>
      </c>
      <c r="UZ3" t="inlineStr">
        <is>
          <t xml:space="preserve">FCS AC cascade: GA (running count)</t>
        </is>
      </c>
      <c r="VA3" t="inlineStr">
        <is>
          <t xml:space="preserve">FCS AC cascade: GB (dynamic dropdown list)</t>
        </is>
      </c>
      <c r="VB3" t="inlineStr">
        <is>
          <t xml:space="preserve">FCS AD cascade: FY (all-other-filters flag)</t>
        </is>
      </c>
      <c r="VC3" t="inlineStr">
        <is>
          <t xml:space="preserve">FCS AD cascade: FZ (candidate present flag)</t>
        </is>
      </c>
      <c r="VD3" t="inlineStr">
        <is>
          <t xml:space="preserve">FCS AD cascade: GA (running count)</t>
        </is>
      </c>
      <c r="VE3" t="inlineStr">
        <is>
          <t xml:space="preserve">FCS AD cascade: GB (dynamic dropdown list)</t>
        </is>
      </c>
      <c r="VF3" t="inlineStr">
        <is>
          <t xml:space="preserve">FCS AE cascade: FY (all-other-filters flag)</t>
        </is>
      </c>
      <c r="VG3" t="inlineStr">
        <is>
          <t xml:space="preserve">FCS AE cascade: FZ (candidate present flag)</t>
        </is>
      </c>
      <c r="VH3" t="inlineStr">
        <is>
          <t xml:space="preserve">FCS AE cascade: GA (running count)</t>
        </is>
      </c>
      <c r="VI3" t="inlineStr">
        <is>
          <t xml:space="preserve">FCS AE cascade: GB (dynamic dropdown list)</t>
        </is>
      </c>
      <c r="VJ3" t="inlineStr">
        <is>
          <t xml:space="preserve">FCS AF cascade: FY (all-other-filters flag)</t>
        </is>
      </c>
      <c r="VK3" t="inlineStr">
        <is>
          <t xml:space="preserve">FCS AF cascade: FZ (candidate present flag)</t>
        </is>
      </c>
      <c r="VL3" t="inlineStr">
        <is>
          <t xml:space="preserve">FCS AF cascade: GA (running count)</t>
        </is>
      </c>
      <c r="VM3" t="inlineStr">
        <is>
          <t xml:space="preserve">FCS AF cascade: GB (dynamic dropdown list)</t>
        </is>
      </c>
      <c r="VN3" t="inlineStr">
        <is>
          <t xml:space="preserve">FCS AG cascade: FY (all-other-filters flag)</t>
        </is>
      </c>
      <c r="VO3" t="inlineStr">
        <is>
          <t xml:space="preserve">FCS AG cascade: FZ (candidate present flag)</t>
        </is>
      </c>
      <c r="VP3" t="inlineStr">
        <is>
          <t xml:space="preserve">FCS AG cascade: GA (running count)</t>
        </is>
      </c>
      <c r="VQ3" t="inlineStr">
        <is>
          <t xml:space="preserve">FCS AG cascade: GB (dynamic dropdown list)</t>
        </is>
      </c>
      <c r="VR3" t="inlineStr">
        <is>
          <t xml:space="preserve">FCS AH cascade: FY (all-other-filters flag)</t>
        </is>
      </c>
      <c r="VS3" t="inlineStr">
        <is>
          <t xml:space="preserve">FCS AH cascade: FZ (candidate present flag)</t>
        </is>
      </c>
      <c r="VT3" t="inlineStr">
        <is>
          <t xml:space="preserve">FCS AH cascade: GA (running count)</t>
        </is>
      </c>
      <c r="VU3" t="inlineStr">
        <is>
          <t xml:space="preserve">FCS AH cascade: GB (dynamic dropdown list)</t>
        </is>
      </c>
    </row>
    <row r="4">
      <c r="A4">
        <f>IF('Final Calculation Sheet'!$F$4="","",'Final Calculation Sheet'!$F$4)</f>
        <v/>
      </c>
      <c r="B4">
        <f>IF(A4="","",COUNTIFS(A$4:A$114,"&lt;"&amp;A4,A$4:A$114,"&lt;&gt;"&amp;"")+COUNTIF(A$4:A4,A4))</f>
        <v/>
      </c>
      <c r="C4">
        <f>IF(ROW()-3&gt;COUNTIF(A$4:A$114,"&lt;&gt;"&amp;""),"",INDEX(A$4:A$114,MATCH(ROW()-3,B$4:B$114,0)))</f>
        <v/>
      </c>
      <c r="D4">
        <f>IF(AND(C4&lt;&gt;"",COUNTIF(C$4:C4,C4)=1),1,0)</f>
        <v/>
      </c>
      <c r="E4">
        <f>IF(ROW()-3&gt;MAX(D$4:D$114),"",INDEX(C$4:C$114,MATCH(ROW()-3,D$4:D$114,0)))</f>
        <v/>
      </c>
      <c r="F4">
        <f>ROW()-3</f>
        <v/>
      </c>
      <c r="G4">
        <f>IF(F4="","",COUNTIFS(F$4:F$40,"&lt;"&amp;F4,F$4:F$40,"&lt;&gt;"&amp;"")+COUNTIF(F$4:F4,F4))</f>
        <v/>
      </c>
      <c r="H4">
        <f>IF(ROW()-3&gt;COUNTIF(F$4:F$40,"&lt;&gt;"&amp;""),"",INDEX(F$4:F$40,MATCH(ROW()-3,G$4:G$40,0)))</f>
        <v/>
      </c>
      <c r="I4">
        <f>IF(AND(H4&lt;&gt;"",COUNTIF(H$4:H4,H4)=1),1,0)</f>
        <v/>
      </c>
      <c r="J4">
        <f>IF(ROW()-3&gt;MAX(I$4:I$40),"",INDEX(H$4:H$40,MATCH(ROW()-3,I$4:I$40,0)))</f>
        <v/>
      </c>
      <c r="K4">
        <f>IF('Final Calculation Sheet'!$F$4="","",'Final Calculation Sheet'!$F$4)</f>
        <v/>
      </c>
      <c r="L4">
        <f>IF(K4="","",COUNTIFS(K$4:K$40,"&lt;"&amp;K4,K$4:K$40,"&lt;&gt;"&amp;"")+COUNTIF(K$4:K4,K4))</f>
        <v/>
      </c>
      <c r="M4">
        <f>IF(ROW()-3&gt;COUNTIF(K$4:K$40,"&lt;&gt;"&amp;""),"",INDEX(K$4:K$40,MATCH(ROW()-3,L$4:L$40,0)))</f>
        <v/>
      </c>
      <c r="N4">
        <f>IF(AND(M4&lt;&gt;"",COUNTIF(M$4:M4,M4)=1),1,0)</f>
        <v/>
      </c>
      <c r="O4">
        <f>IF(ROW()-3&gt;MAX(N$4:N$40),"",INDEX(M$4:M$40,MATCH(ROW()-3,N$4:N$40,0)))</f>
        <v/>
      </c>
      <c r="P4">
        <f>IF('Final Calculation Sheet'!$G$4="","",'Final Calculation Sheet'!$G$4)</f>
        <v/>
      </c>
      <c r="Q4">
        <f>IF(P4="","",COUNTIFS(P$4:P$40,"&lt;"&amp;P4,P$4:P$40,"&lt;&gt;"&amp;"")+COUNTIF(P$4:P4,P4))</f>
        <v/>
      </c>
      <c r="R4">
        <f>IF(ROW()-3&gt;COUNTIF(P$4:P$40,"&lt;&gt;"&amp;""),"",INDEX(P$4:P$40,MATCH(ROW()-3,Q$4:Q$40,0)))</f>
        <v/>
      </c>
      <c r="S4">
        <f>IF(AND(R4&lt;&gt;"",COUNTIF(R$4:R4,R4)=1),1,0)</f>
        <v/>
      </c>
      <c r="T4">
        <f>IF(ROW()-3&gt;MAX(S$4:S$40),"",INDEX(R$4:R$40,MATCH(ROW()-3,S$4:S$40,0)))</f>
        <v/>
      </c>
      <c r="U4">
        <f>IF('Final Calculation Sheet'!$B$4="","",'Final Calculation Sheet'!$B$4)</f>
        <v/>
      </c>
      <c r="V4">
        <f>IF(U4="","",COUNTIFS(U$4:U$40,"&lt;"&amp;U4,U$4:U$40,"&lt;&gt;"&amp;"")+COUNTIF(U$4:U4,U4))</f>
        <v/>
      </c>
      <c r="W4">
        <f>IF(ROW()-3&gt;COUNTIF(U$4:U$40,"&lt;&gt;"&amp;""),"",INDEX(U$4:U$40,MATCH(ROW()-3,V$4:V$40,0)))</f>
        <v/>
      </c>
      <c r="X4">
        <f>IF(AND(W4&lt;&gt;"",COUNTIF(W$4:W4,W4)=1),1,0)</f>
        <v/>
      </c>
      <c r="Y4">
        <f>IF(ROW()-3&gt;MAX(X$4:X$40),"",INDEX(W$4:W$40,MATCH(ROW()-3,X$4:X$40,0)))</f>
        <v/>
      </c>
      <c r="Z4">
        <f>IF('Final Calculation Sheet'!$D$4="","",'Final Calculation Sheet'!$D$4)</f>
        <v/>
      </c>
      <c r="AA4">
        <f>IF(Z4="","",COUNTIFS(Z$4:Z$40,"&lt;"&amp;Z4,Z$4:Z$40,"&lt;&gt;"&amp;"")+COUNTIF(Z$4:Z4,Z4))</f>
        <v/>
      </c>
      <c r="AB4">
        <f>IF(ROW()-3&gt;COUNTIF(Z$4:Z$40,"&lt;&gt;"&amp;""),"",INDEX(Z$4:Z$40,MATCH(ROW()-3,AA$4:AA$40,0)))</f>
        <v/>
      </c>
      <c r="AC4">
        <f>IF(AND(AB4&lt;&gt;"",COUNTIF(AB$4:AB4,AB4)=1),1,0)</f>
        <v/>
      </c>
      <c r="AD4">
        <f>IF(ROW()-3&gt;MAX(AC$4:AC$40),"",INDEX(AB$4:AB$40,MATCH(ROW()-3,AC$4:AC$40,0)))</f>
        <v/>
      </c>
      <c r="AE4">
        <f>IF('Final Calculation Sheet'!$A$4="","",'Final Calculation Sheet'!$A$4)</f>
        <v/>
      </c>
      <c r="AF4">
        <f>IF(AE4="","",COUNTIFS(AE$4:AE$40,"&lt;"&amp;AE4,AE$4:AE$40,"&lt;&gt;"&amp;"")+COUNTIF(AE$4:AE4,AE4))</f>
        <v/>
      </c>
      <c r="AG4">
        <f>IF(ROW()-3&gt;COUNTIF(AE$4:AE$40,"&lt;&gt;"&amp;""),"",INDEX(AE$4:AE$40,MATCH(ROW()-3,AF$4:AF$40,0)))</f>
        <v/>
      </c>
      <c r="AH4">
        <f>IF(AND(AG4&lt;&gt;"",COUNTIF(AG$4:AG4,AG4)=1),1,0)</f>
        <v/>
      </c>
      <c r="AI4">
        <f>IF(ROW()-3&gt;MAX(AH$4:AH$40),"",INDEX(AG$4:AG$40,MATCH(ROW()-3,AH$4:AH$40,0)))</f>
        <v/>
      </c>
      <c r="AJ4">
        <f>IF('Final Calculation Sheet'!$E$4="","",'Final Calculation Sheet'!$E$4)</f>
        <v/>
      </c>
      <c r="AK4">
        <f>IF(AJ4="","",COUNTIFS(AJ$4:AJ$40,"&lt;"&amp;AJ4,AJ$4:AJ$40,"&lt;&gt;"&amp;"")+COUNTIF(AJ$4:AJ4,AJ4))</f>
        <v/>
      </c>
      <c r="AL4">
        <f>IF(ROW()-3&gt;COUNTIF(AJ$4:AJ$40,"&lt;&gt;"&amp;""),"",INDEX(AJ$4:AJ$40,MATCH(ROW()-3,AK$4:AK$40,0)))</f>
        <v/>
      </c>
      <c r="AM4">
        <f>IF(AND(AL4&lt;&gt;"",COUNTIF(AL$4:AL4,AL4)=1),1,0)</f>
        <v/>
      </c>
      <c r="AN4">
        <f>IF(ROW()-3&gt;MAX(AM$4:AM$40),"",INDEX(AL$4:AL$40,MATCH(ROW()-3,AM$4:AM$40,0)))</f>
        <v/>
      </c>
      <c r="AO4" s="55">
        <f>IF('Final Calculation Sheet'!$C$4="","",'Final Calculation Sheet'!$C$4)</f>
        <v/>
      </c>
      <c r="AP4">
        <f>IF(AO4="","",COUNTIFS(AO$4:AO$40,"&lt;"&amp;AO4,AO$4:AO$40,"&lt;&gt;"&amp;"")+COUNTIF(AO$4:AO4,AO4))</f>
        <v/>
      </c>
      <c r="AQ4" s="55">
        <f>IF(ROW()-3&gt;COUNTIF(AO$4:AO$40,"&lt;&gt;"&amp;""),"",INDEX(AO$4:AO$40,MATCH(ROW()-3,AP$4:AP$40,0)))</f>
        <v/>
      </c>
      <c r="AR4">
        <f>IF(AND(AQ4&lt;&gt;"",COUNTIF(AQ$4:AQ4,AQ4)=1),1,0)</f>
        <v/>
      </c>
      <c r="AS4" s="55">
        <f>IF(ROW()-3&gt;MAX(AR$4:AR$40),"",INDEX(AQ$4:AQ$40,MATCH(ROW()-3,AR$4:AR$40,0)))</f>
        <v/>
      </c>
      <c r="AT4" s="55">
        <f>IF('Final Calculation Sheet'!$H$4="","",'Final Calculation Sheet'!$H$4)</f>
        <v/>
      </c>
      <c r="AU4">
        <f>IF(AT4="","",COUNTIFS(AT$4:AT$40,"&lt;"&amp;AT4,AT$4:AT$40,"&lt;&gt;"&amp;"")+COUNTIF(AT$4:AT4,AT4))</f>
        <v/>
      </c>
      <c r="AV4" s="55">
        <f>IF(ROW()-3&gt;COUNTIF(AT$4:AT$40,"&lt;&gt;"&amp;""),"",INDEX(AT$4:AT$40,MATCH(ROW()-3,AU$4:AU$40,0)))</f>
        <v/>
      </c>
      <c r="AW4">
        <f>IF(AND(AV4&lt;&gt;"",COUNTIF(AV$4:AV4,AV4)=1),1,0)</f>
        <v/>
      </c>
      <c r="AX4" s="55">
        <f>IF(ROW()-3&gt;MAX(AW$4:AW$40),"",INDEX(AV$4:AV$40,MATCH(ROW()-3,AW$4:AW$40,0)))</f>
        <v/>
      </c>
      <c r="AY4" s="55">
        <f>IF('Final Calculation Sheet'!$I$4="","",'Final Calculation Sheet'!$I$4)</f>
        <v/>
      </c>
      <c r="AZ4">
        <f>IF(AY4="","",COUNTIFS(AY$4:AY$40,"&lt;"&amp;AY4,AY$4:AY$40,"&lt;&gt;"&amp;"")+COUNTIF(AY$4:AY4,AY4))</f>
        <v/>
      </c>
      <c r="BA4" s="55">
        <f>IF(ROW()-3&gt;COUNTIF(AY$4:AY$40,"&lt;&gt;"&amp;""),"",INDEX(AY$4:AY$40,MATCH(ROW()-3,AZ$4:AZ$40,0)))</f>
        <v/>
      </c>
      <c r="BB4">
        <f>IF(AND(BA4&lt;&gt;"",COUNTIF(BA$4:BA4,BA4)=1),1,0)</f>
        <v/>
      </c>
      <c r="BC4" s="55">
        <f>IF(ROW()-3&gt;MAX(BB$4:BB$40),"",INDEX(BA$4:BA$40,MATCH(ROW()-3,BB$4:BB$40,0)))</f>
        <v/>
      </c>
      <c r="BD4" s="55">
        <f>IF('Final Calculation Sheet'!$J$4="","",'Final Calculation Sheet'!$J$4)</f>
        <v/>
      </c>
      <c r="BE4">
        <f>IF(BD4="","",COUNTIFS(BD$4:BD$40,"&lt;"&amp;BD4,BD$4:BD$40,"&lt;&gt;"&amp;"")+COUNTIF(BD$4:BD4,BD4))</f>
        <v/>
      </c>
      <c r="BF4" s="55">
        <f>IF(ROW()-3&gt;COUNTIF(BD$4:BD$40,"&lt;&gt;"&amp;""),"",INDEX(BD$4:BD$40,MATCH(ROW()-3,BE$4:BE$40,0)))</f>
        <v/>
      </c>
      <c r="BG4">
        <f>IF(AND(BF4&lt;&gt;"",COUNTIF(BF$4:BF4,BF4)=1),1,0)</f>
        <v/>
      </c>
      <c r="BH4" s="55">
        <f>IF(ROW()-3&gt;MAX(BG$4:BG$40),"",INDEX(BF$4:BF$40,MATCH(ROW()-3,BG$4:BG$40,0)))</f>
        <v/>
      </c>
      <c r="BI4" s="55">
        <f>IF('Final Calculation Sheet'!$K$4="","",'Final Calculation Sheet'!$K$4)</f>
        <v/>
      </c>
      <c r="BJ4">
        <f>IF(BI4="","",COUNTIFS(BI$4:BI$40,"&lt;"&amp;BI4,BI$4:BI$40,"&lt;&gt;"&amp;"")+COUNTIF(BI$4:BI4,BI4))</f>
        <v/>
      </c>
      <c r="BK4" s="55">
        <f>IF(ROW()-3&gt;COUNTIF(BI$4:BI$40,"&lt;&gt;"&amp;""),"",INDEX(BI$4:BI$40,MATCH(ROW()-3,BJ$4:BJ$40,0)))</f>
        <v/>
      </c>
      <c r="BL4">
        <f>IF(AND(BK4&lt;&gt;"",COUNTIF(BK$4:BK4,BK4)=1),1,0)</f>
        <v/>
      </c>
      <c r="BM4" s="55">
        <f>IF(ROW()-3&gt;MAX(BL$4:BL$40),"",INDEX(BK$4:BK$40,MATCH(ROW()-3,BL$4:BL$40,0)))</f>
        <v/>
      </c>
      <c r="BN4" s="55">
        <f>IF('Final Calculation Sheet'!$L$4="","",'Final Calculation Sheet'!$L$4)</f>
        <v/>
      </c>
      <c r="BO4">
        <f>IF(BN4="","",COUNTIFS(BN$4:BN$40,"&lt;"&amp;BN4,BN$4:BN$40,"&lt;&gt;"&amp;"")+COUNTIF(BN$4:BN4,BN4))</f>
        <v/>
      </c>
      <c r="BP4" s="55">
        <f>IF(ROW()-3&gt;COUNTIF(BN$4:BN$40,"&lt;&gt;"&amp;""),"",INDEX(BN$4:BN$40,MATCH(ROW()-3,BO$4:BO$40,0)))</f>
        <v/>
      </c>
      <c r="BQ4">
        <f>IF(AND(BP4&lt;&gt;"",COUNTIF(BP$4:BP4,BP4)=1),1,0)</f>
        <v/>
      </c>
      <c r="BR4" s="55">
        <f>IF(ROW()-3&gt;MAX(BQ$4:BQ$40),"",INDEX(BP$4:BP$40,MATCH(ROW()-3,BQ$4:BQ$40,0)))</f>
        <v/>
      </c>
      <c r="BS4" s="55">
        <f>IF('Final Calculation Sheet'!$M$4="","",'Final Calculation Sheet'!$M$4)</f>
        <v/>
      </c>
      <c r="BT4">
        <f>IF(BS4="","",COUNTIFS(BS$4:BS$40,"&lt;"&amp;BS4,BS$4:BS$40,"&lt;&gt;"&amp;"")+COUNTIF(BS$4:BS4,BS4))</f>
        <v/>
      </c>
      <c r="BU4" s="55">
        <f>IF(ROW()-3&gt;COUNTIF(BS$4:BS$40,"&lt;&gt;"&amp;""),"",INDEX(BS$4:BS$40,MATCH(ROW()-3,BT$4:BT$40,0)))</f>
        <v/>
      </c>
      <c r="BV4">
        <f>IF(AND(BU4&lt;&gt;"",COUNTIF(BU$4:BU4,BU4)=1),1,0)</f>
        <v/>
      </c>
      <c r="BW4" s="55">
        <f>IF(ROW()-3&gt;MAX(BV$4:BV$40),"",INDEX(BU$4:BU$40,MATCH(ROW()-3,BV$4:BV$40,0)))</f>
        <v/>
      </c>
      <c r="BX4" s="138">
        <f>IF('Final Calculation Sheet'!$N$4="","",'Final Calculation Sheet'!$N$4)</f>
        <v/>
      </c>
      <c r="BY4">
        <f>IF(BX4="","",COUNTIFS(BX$4:BX$40,"&lt;"&amp;BX4,BX$4:BX$40,"&lt;&gt;"&amp;"")+COUNTIF(BX$4:BX4,BX4))</f>
        <v/>
      </c>
      <c r="BZ4" s="138">
        <f>IF(ROW()-3&gt;COUNTIF(BX$4:BX$40,"&lt;&gt;"&amp;""),"",INDEX(BX$4:BX$40,MATCH(ROW()-3,BY$4:BY$40,0)))</f>
        <v/>
      </c>
      <c r="CA4">
        <f>IF(AND(BZ4&lt;&gt;"",COUNTIF(BZ$4:BZ4,BZ4)=1),1,0)</f>
        <v/>
      </c>
      <c r="CB4" s="138">
        <f>IF(ROW()-3&gt;MAX(CA$4:CA$40),"",INDEX(BZ$4:BZ$40,MATCH(ROW()-3,CA$4:CA$40,0)))</f>
        <v/>
      </c>
      <c r="CC4" s="55">
        <f>IF('Final Calculation Sheet'!$O$4="","",'Final Calculation Sheet'!$O$4)</f>
        <v/>
      </c>
      <c r="CD4">
        <f>IF(CC4="","",COUNTIFS(CC$4:CC$40,"&lt;"&amp;CC4,CC$4:CC$40,"&lt;&gt;"&amp;"")+COUNTIF(CC$4:CC4,CC4))</f>
        <v/>
      </c>
      <c r="CE4" s="55">
        <f>IF(ROW()-3&gt;COUNTIF(CC$4:CC$40,"&lt;&gt;"&amp;""),"",INDEX(CC$4:CC$40,MATCH(ROW()-3,CD$4:CD$40,0)))</f>
        <v/>
      </c>
      <c r="CF4">
        <f>IF(AND(CE4&lt;&gt;"",COUNTIF(CE$4:CE4,CE4)=1),1,0)</f>
        <v/>
      </c>
      <c r="CG4" s="55">
        <f>IF(ROW()-3&gt;MAX(CF$4:CF$40),"",INDEX(CE$4:CE$40,MATCH(ROW()-3,CF$4:CF$40,0)))</f>
        <v/>
      </c>
      <c r="CH4" s="55">
        <f>IF('Final Calculation Sheet'!$P$4="","",'Final Calculation Sheet'!$P$4)</f>
        <v/>
      </c>
      <c r="CI4">
        <f>IF(CH4="","",COUNTIFS(CH$4:CH$40,"&lt;"&amp;CH4,CH$4:CH$40,"&lt;&gt;"&amp;"")+COUNTIF(CH$4:CH4,CH4))</f>
        <v/>
      </c>
      <c r="CJ4" s="55">
        <f>IF(ROW()-3&gt;COUNTIF(CH$4:CH$40,"&lt;&gt;"&amp;""),"",INDEX(CH$4:CH$40,MATCH(ROW()-3,CI$4:CI$40,0)))</f>
        <v/>
      </c>
      <c r="CK4">
        <f>IF(AND(CJ4&lt;&gt;"",COUNTIF(CJ$4:CJ4,CJ4)=1),1,0)</f>
        <v/>
      </c>
      <c r="CL4" s="55">
        <f>IF(ROW()-3&gt;MAX(CK$4:CK$40),"",INDEX(CJ$4:CJ$40,MATCH(ROW()-3,CK$4:CK$40,0)))</f>
        <v/>
      </c>
      <c r="CM4" s="139">
        <f>IF('Final Calculation Sheet'!$Q$4="","",'Final Calculation Sheet'!$Q$4)</f>
        <v/>
      </c>
      <c r="CN4">
        <f>IF(CM4="","",COUNTIFS(CM$4:CM$40,"&lt;"&amp;CM4,CM$4:CM$40,"&lt;&gt;"&amp;"")+COUNTIF(CM$4:CM4,CM4))</f>
        <v/>
      </c>
      <c r="CO4" s="139">
        <f>IF(ROW()-3&gt;COUNTIF(CM$4:CM$40,"&lt;&gt;"&amp;""),"",INDEX(CM$4:CM$40,MATCH(ROW()-3,CN$4:CN$40,0)))</f>
        <v/>
      </c>
      <c r="CP4">
        <f>IF(AND(CO4&lt;&gt;"",COUNTIF(CO$4:CO4,CO4)=1),1,0)</f>
        <v/>
      </c>
      <c r="CQ4" s="139">
        <f>IF(ROW()-3&gt;MAX(CP$4:CP$40),"",INDEX(CO$4:CO$40,MATCH(ROW()-3,CP$4:CP$40,0)))</f>
        <v/>
      </c>
      <c r="CR4" s="55">
        <f>IF('Final Calculation Sheet'!$R$4="","",'Final Calculation Sheet'!$R$4)</f>
        <v/>
      </c>
      <c r="CS4">
        <f>IF(CR4="","",COUNTIFS(CR$4:CR$40,"&lt;"&amp;CR4,CR$4:CR$40,"&lt;&gt;"&amp;"")+COUNTIF(CR$4:CR4,CR4))</f>
        <v/>
      </c>
      <c r="CT4" s="55">
        <f>IF(ROW()-3&gt;COUNTIF(CR$4:CR$40,"&lt;&gt;"&amp;""),"",INDEX(CR$4:CR$40,MATCH(ROW()-3,CS$4:CS$40,0)))</f>
        <v/>
      </c>
      <c r="CU4">
        <f>IF(AND(CT4&lt;&gt;"",COUNTIF(CT$4:CT4,CT4)=1),1,0)</f>
        <v/>
      </c>
      <c r="CV4" s="55">
        <f>IF(ROW()-3&gt;MAX(CU$4:CU$40),"",INDEX(CT$4:CT$40,MATCH(ROW()-3,CU$4:CU$40,0)))</f>
        <v/>
      </c>
      <c r="CW4" s="55">
        <f>IF('Final Calculation Sheet'!$S$4="","",'Final Calculation Sheet'!$S$4)</f>
        <v/>
      </c>
      <c r="CX4">
        <f>IF(CW4="","",COUNTIFS(CW$4:CW$40,"&lt;"&amp;CW4,CW$4:CW$40,"&lt;&gt;"&amp;"")+COUNTIF(CW$4:CW4,CW4))</f>
        <v/>
      </c>
      <c r="CY4" s="55">
        <f>IF(ROW()-3&gt;COUNTIF(CW$4:CW$40,"&lt;&gt;"&amp;""),"",INDEX(CW$4:CW$40,MATCH(ROW()-3,CX$4:CX$40,0)))</f>
        <v/>
      </c>
      <c r="CZ4">
        <f>IF(AND(CY4&lt;&gt;"",COUNTIF(CY$4:CY4,CY4)=1),1,0)</f>
        <v/>
      </c>
      <c r="DA4" s="55">
        <f>IF(ROW()-3&gt;MAX(CZ$4:CZ$40),"",INDEX(CY$4:CY$40,MATCH(ROW()-3,CZ$4:CZ$40,0)))</f>
        <v/>
      </c>
      <c r="DB4" s="55">
        <f>IF('Final Calculation Sheet'!$T$4="","",'Final Calculation Sheet'!$T$4)</f>
        <v/>
      </c>
      <c r="DC4">
        <f>IF(DB4="","",COUNTIFS(DB$4:DB$40,"&lt;"&amp;DB4,DB$4:DB$40,"&lt;&gt;"&amp;"")+COUNTIF(DB$4:DB4,DB4))</f>
        <v/>
      </c>
      <c r="DD4" s="55">
        <f>IF(ROW()-3&gt;COUNTIF(DB$4:DB$40,"&lt;&gt;"&amp;""),"",INDEX(DB$4:DB$40,MATCH(ROW()-3,DC$4:DC$40,0)))</f>
        <v/>
      </c>
      <c r="DE4">
        <f>IF(AND(DD4&lt;&gt;"",COUNTIF(DD$4:DD4,DD4)=1),1,0)</f>
        <v/>
      </c>
      <c r="DF4" s="55">
        <f>IF(ROW()-3&gt;MAX(DE$4:DE$40),"",INDEX(DD$4:DD$40,MATCH(ROW()-3,DE$4:DE$40,0)))</f>
        <v/>
      </c>
      <c r="DG4" s="140">
        <f>IF('Final Calculation Sheet'!$U$4="","",'Final Calculation Sheet'!$U$4)</f>
        <v/>
      </c>
      <c r="DH4">
        <f>IF(DG4="","",COUNTIFS(DG$4:DG$40,"&lt;"&amp;DG4,DG$4:DG$40,"&lt;&gt;"&amp;"")+COUNTIF(DG$4:DG4,DG4))</f>
        <v/>
      </c>
      <c r="DI4" s="140">
        <f>IF(ROW()-3&gt;COUNTIF(DG$4:DG$40,"&lt;&gt;"&amp;""),"",INDEX(DG$4:DG$40,MATCH(ROW()-3,DH$4:DH$40,0)))</f>
        <v/>
      </c>
      <c r="DJ4">
        <f>IF(AND(DI4&lt;&gt;"",COUNTIF(DI$4:DI4,DI4)=1),1,0)</f>
        <v/>
      </c>
      <c r="DK4" s="140">
        <f>IF(ROW()-3&gt;MAX(DJ$4:DJ$40),"",INDEX(DI$4:DI$40,MATCH(ROW()-3,DJ$4:DJ$40,0)))</f>
        <v/>
      </c>
      <c r="DL4">
        <f>IF('Final Calculation Sheet'!$V$4="","",'Final Calculation Sheet'!$V$4)</f>
        <v/>
      </c>
      <c r="DM4">
        <f>IF(DL4="","",COUNTIFS(DL$4:DL$40,"&lt;"&amp;DL4,DL$4:DL$40,"&lt;&gt;"&amp;"")+COUNTIF(DL$4:DL4,DL4))</f>
        <v/>
      </c>
      <c r="DN4">
        <f>IF(ROW()-3&gt;COUNTIF(DL$4:DL$40,"&lt;&gt;"&amp;""),"",INDEX(DL$4:DL$40,MATCH(ROW()-3,DM$4:DM$40,0)))</f>
        <v/>
      </c>
      <c r="DO4">
        <f>IF(AND(DN4&lt;&gt;"",COUNTIF(DN$4:DN4,DN4)=1),1,0)</f>
        <v/>
      </c>
      <c r="DP4">
        <f>IF(ROW()-3&gt;MAX(DO$4:DO$40),"",INDEX(DN$4:DN$40,MATCH(ROW()-3,DO$4:DO$40,0)))</f>
        <v/>
      </c>
      <c r="DQ4" s="55">
        <f>IF('Final Calculation Sheet'!$W$4="","",'Final Calculation Sheet'!$W$4)</f>
        <v/>
      </c>
      <c r="DR4">
        <f>IF(DQ4="","",COUNTIFS(DQ$4:DQ$40,"&lt;"&amp;DQ4,DQ$4:DQ$40,"&lt;&gt;"&amp;"")+COUNTIF(DQ$4:DQ4,DQ4))</f>
        <v/>
      </c>
      <c r="DS4" s="55">
        <f>IF(ROW()-3&gt;COUNTIF(DQ$4:DQ$40,"&lt;&gt;"&amp;""),"",INDEX(DQ$4:DQ$40,MATCH(ROW()-3,DR$4:DR$40,0)))</f>
        <v/>
      </c>
      <c r="DT4">
        <f>IF(AND(DS4&lt;&gt;"",COUNTIF(DS$4:DS4,DS4)=1),1,0)</f>
        <v/>
      </c>
      <c r="DU4" s="55">
        <f>IF(ROW()-3&gt;MAX(DT$4:DT$40),"",INDEX(DS$4:DS$40,MATCH(ROW()-3,DT$4:DT$40,0)))</f>
        <v/>
      </c>
      <c r="DV4" s="55">
        <f>IF('Final Calculation Sheet'!$X$4="","",'Final Calculation Sheet'!$X$4)</f>
        <v/>
      </c>
      <c r="DW4">
        <f>IF(DV4="","",COUNTIFS(DV$4:DV$40,"&lt;"&amp;DV4,DV$4:DV$40,"&lt;&gt;"&amp;"")+COUNTIF(DV$4:DV4,DV4))</f>
        <v/>
      </c>
      <c r="DX4" s="55">
        <f>IF(ROW()-3&gt;COUNTIF(DV$4:DV$40,"&lt;&gt;"&amp;""),"",INDEX(DV$4:DV$40,MATCH(ROW()-3,DW$4:DW$40,0)))</f>
        <v/>
      </c>
      <c r="DY4">
        <f>IF(AND(DX4&lt;&gt;"",COUNTIF(DX$4:DX4,DX4)=1),1,0)</f>
        <v/>
      </c>
      <c r="DZ4">
        <f>IF(ROW()-3&gt;MAX(DY$4:DY$40),"",INDEX(DX$4:DX$40,MATCH(ROW()-3,DY$4:DY$40,0)))</f>
        <v/>
      </c>
      <c r="EA4">
        <f>IF('Final Calculation Sheet'!$Y$4="","",'Final Calculation Sheet'!$Y$4)</f>
        <v/>
      </c>
      <c r="EB4">
        <f>IF(EA4="","",COUNTIFS(EA$4:EA$40,"&lt;"&amp;EA4,EA$4:EA$40,"&lt;&gt;"&amp;"")+COUNTIF(EA$4:EA4,EA4))</f>
        <v/>
      </c>
      <c r="EC4" s="55">
        <f>IF(ROW()-3&gt;COUNTIF(EA$4:EA$40,"&lt;&gt;"&amp;""),"",INDEX(EA$4:EA$40,MATCH(ROW()-3,EB$4:EB$40,0)))</f>
        <v/>
      </c>
      <c r="ED4">
        <f>IF(AND(EC4&lt;&gt;"",COUNTIF(EC$4:EC4,EC4)=1),1,0)</f>
        <v/>
      </c>
      <c r="EE4">
        <f>IF(ROW()-3&gt;MAX(ED$4:ED$40),"",INDEX(EC$4:EC$40,MATCH(ROW()-3,ED$4:ED$40,0)))</f>
        <v/>
      </c>
      <c r="EF4" s="55">
        <f>IF('Final Calculation Sheet'!$Z$4="","",'Final Calculation Sheet'!$Z$4)</f>
        <v/>
      </c>
      <c r="EG4">
        <f>IF(EF4="","",COUNTIFS(EF$4:EF$40,"&lt;"&amp;EF4,EF$4:EF$40,"&lt;&gt;"&amp;"")+COUNTIF(EF$4:EF4,EF4))</f>
        <v/>
      </c>
      <c r="EH4" s="55">
        <f>IF(ROW()-3&gt;COUNTIF(EF$4:EF$40,"&lt;&gt;"&amp;""),"",INDEX(EF$4:EF$40,MATCH(ROW()-3,EG$4:EG$40,0)))</f>
        <v/>
      </c>
      <c r="EI4">
        <f>IF(AND(EH4&lt;&gt;"",COUNTIF(EH$4:EH4,EH4)=1),1,0)</f>
        <v/>
      </c>
      <c r="EJ4" s="55">
        <f>IF(ROW()-3&gt;MAX(EI$4:EI$40),"",INDEX(EH$4:EH$40,MATCH(ROW()-3,EI$4:EI$40,0)))</f>
        <v/>
      </c>
      <c r="EK4">
        <f>IF('Final Calculation Sheet'!$AA$4="","",'Final Calculation Sheet'!$AA$4)</f>
        <v/>
      </c>
      <c r="EL4">
        <f>IF(EK4="","",COUNTIFS(EK$4:EK$40,"&lt;"&amp;EK4,EK$4:EK$40,"&lt;&gt;"&amp;"")+COUNTIF(EK$4:EK4,EK4))</f>
        <v/>
      </c>
      <c r="EM4" s="55">
        <f>IF(ROW()-3&gt;COUNTIF(EK$4:EK$40,"&lt;&gt;"&amp;""),"",INDEX(EK$4:EK$40,MATCH(ROW()-3,EL$4:EL$40,0)))</f>
        <v/>
      </c>
      <c r="EN4">
        <f>IF(AND(EM4&lt;&gt;"",COUNTIF(EM$4:EM4,EM4)=1),1,0)</f>
        <v/>
      </c>
      <c r="EO4">
        <f>IF(ROW()-3&gt;MAX(EN$4:EN$40),"",INDEX(EM$4:EM$40,MATCH(ROW()-3,EN$4:EN$40,0)))</f>
        <v/>
      </c>
      <c r="EP4">
        <f>IF('Final Calculation Sheet'!$AB$4="","",'Final Calculation Sheet'!$AB$4)</f>
        <v/>
      </c>
      <c r="EQ4">
        <f>IF(EP4="","",COUNTIFS(EP$4:EP$40,"&lt;"&amp;EP4,EP$4:EP$40,"&lt;&gt;"&amp;"")+COUNTIF(EP$4:EP4,EP4))</f>
        <v/>
      </c>
      <c r="ER4">
        <f>IF(ROW()-3&gt;COUNTIF(EP$4:EP$40,"&lt;&gt;"&amp;""),"",INDEX(EP$4:EP$40,MATCH(ROW()-3,EQ$4:EQ$40,0)))</f>
        <v/>
      </c>
      <c r="ES4">
        <f>IF(AND(ER4&lt;&gt;"",COUNTIF(ER$4:ER4,ER4)=1),1,0)</f>
        <v/>
      </c>
      <c r="ET4">
        <f>IF(ROW()-3&gt;MAX(ES$4:ES$40),"",INDEX(ER$4:ER$40,MATCH(ROW()-3,ES$4:ES$40,0)))</f>
        <v/>
      </c>
      <c r="EU4" s="55">
        <f>IF('Final Calculation Sheet'!$AC$4="","",'Final Calculation Sheet'!$AC$4)</f>
        <v/>
      </c>
      <c r="EV4">
        <f>IF(EU4="","",COUNTIFS(EU$4:EU$40,"&lt;"&amp;EU4,EU$4:EU$40,"&lt;&gt;"&amp;"")+COUNTIF(EU$4:EU4,EU4))</f>
        <v/>
      </c>
      <c r="EW4" s="55">
        <f>IF(ROW()-3&gt;COUNTIF(EU$4:EU$40,"&lt;&gt;"&amp;""),"",INDEX(EU$4:EU$40,MATCH(ROW()-3,EV$4:EV$40,0)))</f>
        <v/>
      </c>
      <c r="EX4">
        <f>IF(AND(EW4&lt;&gt;"",COUNTIF(EW$4:EW4,EW4)=1),1,0)</f>
        <v/>
      </c>
      <c r="EY4" s="55">
        <f>IF(ROW()-3&gt;MAX(EX$4:EX$40),"",INDEX(EW$4:EW$40,MATCH(ROW()-3,EX$4:EX$40,0)))</f>
        <v/>
      </c>
      <c r="EZ4" s="55">
        <f>IF('Final Calculation Sheet'!$AD$4="","",'Final Calculation Sheet'!$AD$4)</f>
        <v/>
      </c>
      <c r="FA4">
        <f>IF(EZ4="","",COUNTIFS(EZ$4:EZ$40,"&lt;"&amp;EZ4,EZ$4:EZ$40,"&lt;&gt;"&amp;"")+COUNTIF(EZ$4:EZ4,EZ4))</f>
        <v/>
      </c>
      <c r="FB4" s="55">
        <f>IF(ROW()-3&gt;COUNTIF(EZ$4:EZ$40,"&lt;&gt;"&amp;""),"",INDEX(EZ$4:EZ$40,MATCH(ROW()-3,FA$4:FA$40,0)))</f>
        <v/>
      </c>
      <c r="FC4">
        <f>IF(AND(FB4&lt;&gt;"",COUNTIF(FB$4:FB4,FB4)=1),1,0)</f>
        <v/>
      </c>
      <c r="FD4" s="55">
        <f>IF(ROW()-3&gt;MAX(FC$4:FC$40),"",INDEX(FB$4:FB$40,MATCH(ROW()-3,FC$4:FC$40,0)))</f>
        <v/>
      </c>
      <c r="FE4">
        <f>IF('Final Calculation Sheet'!$AF$4="","",'Final Calculation Sheet'!$AF$4)</f>
        <v/>
      </c>
      <c r="FF4">
        <f>IF(FE4="","",COUNTIFS(FE$4:FE$40,"&lt;"&amp;FE4,FE$4:FE$40,"&lt;&gt;"&amp;"")+COUNTIF(FE$4:FE4,FE4))</f>
        <v/>
      </c>
      <c r="FG4">
        <f>IF(ROW()-3&gt;COUNTIF(FE$4:FE$40,"&lt;&gt;"&amp;""),"",INDEX(FE$4:FE$40,MATCH(ROW()-3,FF$4:FF$40,0)))</f>
        <v/>
      </c>
      <c r="FH4">
        <f>IF(AND(FG4&lt;&gt;"",COUNTIF(FG$4:FG4,FG4)=1),1,0)</f>
        <v/>
      </c>
      <c r="FI4">
        <f>IF(ROW()-3&gt;MAX(FH$4:FH$40),"",INDEX(FG$4:FG$40,MATCH(ROW()-3,FH$4:FH$40,0)))</f>
        <v/>
      </c>
      <c r="FJ4" s="141">
        <f>IF('Final Calculation Sheet'!$AG$4="","",'Final Calculation Sheet'!$AG$4)</f>
        <v/>
      </c>
      <c r="FK4">
        <f>IF(FJ4="","",COUNTIFS(FJ$4:FJ$40,"&lt;"&amp;FJ4,FJ$4:FJ$40,"&lt;&gt;"&amp;"")+COUNTIF(FJ$4:FJ4,FJ4))</f>
        <v/>
      </c>
      <c r="FL4" s="141">
        <f>IF(ROW()-3&gt;COUNTIF(FJ$4:FJ$40,"&lt;&gt;"&amp;""),"",INDEX(FJ$4:FJ$40,MATCH(ROW()-3,FK$4:FK$40,0)))</f>
        <v/>
      </c>
      <c r="FM4">
        <f>IF(AND(FL4&lt;&gt;"",COUNTIF(FL$4:FL4,FL4)=1),1,0)</f>
        <v/>
      </c>
      <c r="FN4">
        <f>IF(ROW()-3&gt;MAX(FM$4:FM$40),"",INDEX(FL$4:FL$40,MATCH(ROW()-3,FM$4:FM$40,0)))</f>
        <v/>
      </c>
      <c r="FO4">
        <f>IF('Final Calculation Sheet'!$AH$4="","",'Final Calculation Sheet'!$AH$4)</f>
        <v/>
      </c>
      <c r="FP4">
        <f>IF(FO4="","",COUNTIFS(FO$4:FO$40,"&lt;"&amp;FO4,FO$4:FO$40,"&lt;&gt;"&amp;"")+COUNTIF(FO$4:FO4,FO4))</f>
        <v/>
      </c>
      <c r="FQ4">
        <f>IF(ROW()-3&gt;COUNTIF(FO$4:FO$40,"&lt;&gt;"&amp;""),"",INDEX(FO$4:FO$40,MATCH(ROW()-3,FP$4:FP$40,0)))</f>
        <v/>
      </c>
      <c r="FR4">
        <f>IF(AND(FQ4&lt;&gt;"",COUNTIF(FQ$4:FQ4,FQ4)=1),1,0)</f>
        <v/>
      </c>
      <c r="FS4">
        <f>IF(ROW()-3&gt;MAX(FR$4:FR$40),"",INDEX(FQ$4:FQ$40,MATCH(ROW()-3,FR$4:FR$40,0)))</f>
        <v/>
      </c>
      <c r="FT4" t="inlineStr">
        <is>
          <t>SETTLED</t>
        </is>
      </c>
      <c r="FU4">
        <f>IF(FT4="","",COUNTIFS(FT$4:FT$40,"&lt;"&amp;FT4,FT$4:FT$40,"&lt;&gt;"&amp;"")+COUNTIF(FT$4:FT4,FT4))</f>
        <v/>
      </c>
      <c r="FV4">
        <f>IF(ROW()-3&gt;COUNTIF(FT$4:FT$40,"&lt;&gt;"&amp;""),"",INDEX(FT$4:FT$40,MATCH(ROW()-3,FU$4:FU$40,0)))</f>
        <v/>
      </c>
      <c r="FW4">
        <f>IF(AND(FV4&lt;&gt;"",COUNTIF(FV$4:FV4,FV4)=1),1,0)</f>
        <v/>
      </c>
      <c r="FX4">
        <f>IF(ROW()-3&gt;MAX(FW$4:FW$40),"",INDEX(FV$4:FV$40,MATCH(ROW()-3,FW$4:FW$40,0)))</f>
        <v/>
      </c>
      <c r="FZ4">
        <f>IF($Y$4="",FALSE,SUMPRODUCT(('Final Calculation Sheet'!$B$4:$B$40=$Y$4)*($FY$6:$FY$42=1))&gt;0)</f>
        <v/>
      </c>
      <c r="GA4">
        <f>--($FZ$4)</f>
        <v/>
      </c>
      <c r="GB4">
        <f>IF(ROW()-3&gt;MAX($GA$4:$GA$40),"",INDEX($Y$4:$Y$40,MATCH(ROW()-3,$GA$4:$GA$40,0)))</f>
        <v/>
      </c>
      <c r="GD4">
        <f>IF($O$4="",FALSE,SUMPRODUCT(('Final Calculation Sheet'!$F$4:$F$40=$O$4)*($GC$6:$GC$42=1))&gt;0)</f>
        <v/>
      </c>
      <c r="GE4">
        <f>--($GD$4)</f>
        <v/>
      </c>
      <c r="GF4">
        <f>IF(ROW()-3&gt;MAX($GE$4:$GE$40),"",INDEX($O$4:$O$40,MATCH(ROW()-3,$GE$4:$GE$40,0)))</f>
        <v/>
      </c>
      <c r="GH4">
        <f>IF($T$4="",FALSE,SUMPRODUCT(('Final Calculation Sheet'!$G$4:$G$40=$T$4)*($GG$6:$GG$42=1))&gt;0)</f>
        <v/>
      </c>
      <c r="GI4">
        <f>--($GH$4)</f>
        <v/>
      </c>
      <c r="GJ4">
        <f>IF(ROW()-3&gt;MAX($GI$4:$GI$40),"",INDEX($T$4:$T$40,MATCH(ROW()-3,$GI$4:$GI$40,0)))</f>
        <v/>
      </c>
      <c r="GL4">
        <f>IF($AD$4="",FALSE,SUMPRODUCT(('Final Calculation Sheet'!$D$4:$D$40=$AD$4)*($GK$6:$GK$42=1))&gt;0)</f>
        <v/>
      </c>
      <c r="GM4">
        <f>--($GL$4)</f>
        <v/>
      </c>
      <c r="GN4">
        <f>IF(ROW()-3&gt;MAX($GM$4:$GM$40),"",INDEX($AD$4:$AD$40,MATCH(ROW()-3,$GM$4:$GM$40,0)))</f>
        <v/>
      </c>
      <c r="GP4">
        <f>IF($AI$4="",FALSE,SUMPRODUCT(('Final Calculation Sheet'!$A$4:$A$40=$AI$4)*($GO$6:$GO$42=1))&gt;0)</f>
        <v/>
      </c>
      <c r="GQ4">
        <f>--($GP$4)</f>
        <v/>
      </c>
      <c r="GR4">
        <f>IF(ROW()-3&gt;MAX($GQ$4:$GQ$40),"",INDEX($AI$4:$AI$40,MATCH(ROW()-3,$GQ$4:$GQ$40,0)))</f>
        <v/>
      </c>
      <c r="GT4">
        <f>IF($AN$4="",FALSE,SUMPRODUCT(('Final Calculation Sheet'!$E$4:$E$40=$AN$4)*($GS$6:$GS$42=1))&gt;0)</f>
        <v/>
      </c>
      <c r="GU4">
        <f>--($GT$4)</f>
        <v/>
      </c>
      <c r="GV4">
        <f>IF(ROW()-3&gt;MAX($GU$4:$GU$40),"",INDEX($AN$4:$AN$40,MATCH(ROW()-3,$GU$4:$GU$40,0)))</f>
        <v/>
      </c>
      <c r="GX4">
        <f>IF($AS$4="",FALSE,SUMPRODUCT(('Final Calculation Sheet'!$C$4:$C$40=$AS$4)*($GW$6:$GW$42=1))&gt;0)</f>
        <v/>
      </c>
      <c r="GY4">
        <f>--($GX$4)</f>
        <v/>
      </c>
      <c r="GZ4">
        <f>IF(ROW()-3&gt;MAX($GY$4:$GY$40),"",INDEX($AS$4:$AS$40,MATCH(ROW()-3,$GY$4:$GY$40,0)))</f>
        <v/>
      </c>
      <c r="HB4">
        <f>IF($AX$4="",FALSE,SUMPRODUCT(('Final Calculation Sheet'!$H$4:$H$40=$AX$4)*($HA$6:$HA$42=1))&gt;0)</f>
        <v/>
      </c>
      <c r="HC4">
        <f>--($HB$4)</f>
        <v/>
      </c>
      <c r="HD4">
        <f>IF(ROW()-3&gt;MAX($HC$4:$HC$40),"",INDEX($AX$4:$AX$40,MATCH(ROW()-3,$HC$4:$HC$40,0)))</f>
        <v/>
      </c>
      <c r="HF4">
        <f>IF($BC$4="",FALSE,SUMPRODUCT(('Final Calculation Sheet'!$I$4:$I$40=$BC$4)*($HE$6:$HE$42=1))&gt;0)</f>
        <v/>
      </c>
      <c r="HG4">
        <f>--($HF$4)</f>
        <v/>
      </c>
      <c r="HH4">
        <f>IF(ROW()-3&gt;MAX($HG$4:$HG$40),"",INDEX($BC$4:$BC$40,MATCH(ROW()-3,$HG$4:$HG$40,0)))</f>
        <v/>
      </c>
      <c r="HJ4">
        <f>IF($BH$4="",FALSE,SUMPRODUCT(('Final Calculation Sheet'!$J$4:$J$40=$BH$4)*($HI$6:$HI$42=1))&gt;0)</f>
        <v/>
      </c>
      <c r="HK4">
        <f>--($HJ$4)</f>
        <v/>
      </c>
      <c r="HL4">
        <f>IF(ROW()-3&gt;MAX($HK$4:$HK$40),"",INDEX($BH$4:$BH$40,MATCH(ROW()-3,$HK$4:$HK$40,0)))</f>
        <v/>
      </c>
      <c r="HN4">
        <f>IF($BM$4="",FALSE,SUMPRODUCT(('Final Calculation Sheet'!$K$4:$K$40=$BM$4)*($HM$6:$HM$42=1))&gt;0)</f>
        <v/>
      </c>
      <c r="HO4">
        <f>--($HN$4)</f>
        <v/>
      </c>
      <c r="HP4">
        <f>IF(ROW()-3&gt;MAX($HO$4:$HO$40),"",INDEX($BM$4:$BM$40,MATCH(ROW()-3,$HO$4:$HO$40,0)))</f>
        <v/>
      </c>
      <c r="HR4">
        <f>IF($BR$4="",FALSE,SUMPRODUCT(('Final Calculation Sheet'!$L$4:$L$40=$BR$4)*($HQ$6:$HQ$42=1))&gt;0)</f>
        <v/>
      </c>
      <c r="HS4">
        <f>--($HR$4)</f>
        <v/>
      </c>
      <c r="HT4">
        <f>IF(ROW()-3&gt;MAX($HS$4:$HS$40),"",INDEX($BR$4:$BR$40,MATCH(ROW()-3,$HS$4:$HS$40,0)))</f>
        <v/>
      </c>
      <c r="HV4">
        <f>IF($BW$4="",FALSE,SUMPRODUCT(('Final Calculation Sheet'!$M$4:$M$40=$BW$4)*($HU$6:$HU$42=1))&gt;0)</f>
        <v/>
      </c>
      <c r="HW4">
        <f>--($HV$4)</f>
        <v/>
      </c>
      <c r="HX4">
        <f>IF(ROW()-3&gt;MAX($HW$4:$HW$40),"",INDEX($BW$4:$BW$40,MATCH(ROW()-3,$HW$4:$HW$40,0)))</f>
        <v/>
      </c>
      <c r="HZ4">
        <f>IF($CB$4="",FALSE,SUMPRODUCT(('Final Calculation Sheet'!$N$4:$N$40=$CB$4)*($HY$6:$HY$42=1))&gt;0)</f>
        <v/>
      </c>
      <c r="IA4">
        <f>--($HZ$4)</f>
        <v/>
      </c>
      <c r="IB4">
        <f>IF(ROW()-3&gt;MAX($IA$4:$IA$40),"",INDEX($CB$4:$CB$40,MATCH(ROW()-3,$IA$4:$IA$40,0)))</f>
        <v/>
      </c>
      <c r="ID4">
        <f>IF($CG$4="",FALSE,SUMPRODUCT(('Final Calculation Sheet'!$O$4:$O$40=$CG$4)*($IC$6:$IC$42=1))&gt;0)</f>
        <v/>
      </c>
      <c r="IE4">
        <f>--($ID$4)</f>
        <v/>
      </c>
      <c r="IF4">
        <f>IF(ROW()-3&gt;MAX($IE$4:$IE$40),"",INDEX($CG$4:$CG$40,MATCH(ROW()-3,$IE$4:$IE$40,0)))</f>
        <v/>
      </c>
      <c r="IH4">
        <f>IF($CL$4="",FALSE,SUMPRODUCT(('Final Calculation Sheet'!$P$4:$P$40=$CL$4)*($IG$6:$IG$42=1))&gt;0)</f>
        <v/>
      </c>
      <c r="II4">
        <f>--($IH$4)</f>
        <v/>
      </c>
      <c r="IJ4">
        <f>IF(ROW()-3&gt;MAX($II$4:$II$40),"",INDEX($CL$4:$CL$40,MATCH(ROW()-3,$II$4:$II$40,0)))</f>
        <v/>
      </c>
      <c r="IL4">
        <f>IF($CQ$4="",FALSE,SUMPRODUCT(('Final Calculation Sheet'!$Q$4:$Q$40=$CQ$4)*($IK$6:$IK$42=1))&gt;0)</f>
        <v/>
      </c>
      <c r="IM4">
        <f>--($IL$4)</f>
        <v/>
      </c>
      <c r="IN4">
        <f>IF(ROW()-3&gt;MAX($IM$4:$IM$40),"",INDEX($CQ$4:$CQ$40,MATCH(ROW()-3,$IM$4:$IM$40,0)))</f>
        <v/>
      </c>
      <c r="IP4">
        <f>IF($CV$4="",FALSE,SUMPRODUCT(('Final Calculation Sheet'!$R$4:$R$40=$CV$4)*($IO$6:$IO$42=1))&gt;0)</f>
        <v/>
      </c>
      <c r="IQ4">
        <f>--($IP$4)</f>
        <v/>
      </c>
      <c r="IR4">
        <f>IF(ROW()-3&gt;MAX($IQ$4:$IQ$40),"",INDEX($CV$4:$CV$40,MATCH(ROW()-3,$IQ$4:$IQ$40,0)))</f>
        <v/>
      </c>
      <c r="IT4">
        <f>IF($DA$4="",FALSE,SUMPRODUCT(('Final Calculation Sheet'!$S$4:$S$40=$DA$4)*($IS$6:$IS$42=1))&gt;0)</f>
        <v/>
      </c>
      <c r="IU4">
        <f>--($IT$4)</f>
        <v/>
      </c>
      <c r="IV4">
        <f>IF(ROW()-3&gt;MAX($IU$4:$IU$40),"",INDEX($DA$4:$DA$40,MATCH(ROW()-3,$IU$4:$IU$40,0)))</f>
        <v/>
      </c>
      <c r="IX4">
        <f>IF($DF$4="",FALSE,SUMPRODUCT(('Final Calculation Sheet'!$T$4:$T$40=$DF$4)*($IW$6:$IW$42=1))&gt;0)</f>
        <v/>
      </c>
      <c r="IY4">
        <f>--($IX$4)</f>
        <v/>
      </c>
      <c r="IZ4">
        <f>IF(ROW()-3&gt;MAX($IY$4:$IY$40),"",INDEX($DF$4:$DF$40,MATCH(ROW()-3,$IY$4:$IY$40,0)))</f>
        <v/>
      </c>
      <c r="JB4">
        <f>IF($DK$4="",FALSE,SUMPRODUCT(('Final Calculation Sheet'!$U$4:$U$40=$DK$4)*($JA$6:$JA$42=1))&gt;0)</f>
        <v/>
      </c>
      <c r="JC4">
        <f>--($JB$4)</f>
        <v/>
      </c>
      <c r="JD4">
        <f>IF(ROW()-3&gt;MAX($JC$4:$JC$40),"",INDEX($DK$4:$DK$40,MATCH(ROW()-3,$JC$4:$JC$40,0)))</f>
        <v/>
      </c>
      <c r="JF4">
        <f>IF($DP$4="",FALSE,SUMPRODUCT(('Final Calculation Sheet'!$V$4:$V$40=$DP$4)*($JE$6:$JE$42=1))&gt;0)</f>
        <v/>
      </c>
      <c r="JG4">
        <f>--($JF$4)</f>
        <v/>
      </c>
      <c r="JH4">
        <f>IF(ROW()-3&gt;MAX($JG$4:$JG$40),"",INDEX($DP$4:$DP$40,MATCH(ROW()-3,$JG$4:$JG$40,0)))</f>
        <v/>
      </c>
      <c r="JJ4">
        <f>IF($DU$4="",FALSE,SUMPRODUCT(('Final Calculation Sheet'!$W$4:$W$40=$DU$4)*($JI$6:$JI$42=1))&gt;0)</f>
        <v/>
      </c>
      <c r="JK4">
        <f>--($JJ$4)</f>
        <v/>
      </c>
      <c r="JL4">
        <f>IF(ROW()-3&gt;MAX($JK$4:$JK$40),"",INDEX($DU$4:$DU$40,MATCH(ROW()-3,$JK$4:$JK$40,0)))</f>
        <v/>
      </c>
      <c r="JN4">
        <f>IF($DZ$4="",FALSE,SUMPRODUCT(('Final Calculation Sheet'!$X$4:$X$40=$DZ$4)*($JM$6:$JM$42=1))&gt;0)</f>
        <v/>
      </c>
      <c r="JO4">
        <f>--($JN$4)</f>
        <v/>
      </c>
      <c r="JP4">
        <f>IF(ROW()-3&gt;MAX($JO$4:$JO$40),"",INDEX($DZ$4:$DZ$40,MATCH(ROW()-3,$JO$4:$JO$40,0)))</f>
        <v/>
      </c>
      <c r="JR4">
        <f>IF($EE$4="",FALSE,SUMPRODUCT(('Final Calculation Sheet'!$Y$4:$Y$40=$EE$4)*($JQ$6:$JQ$42=1))&gt;0)</f>
        <v/>
      </c>
      <c r="JS4">
        <f>--($JR$4)</f>
        <v/>
      </c>
      <c r="JT4">
        <f>IF(ROW()-3&gt;MAX($JS$4:$JS$40),"",INDEX($EE$4:$EE$40,MATCH(ROW()-3,$JS$4:$JS$40,0)))</f>
        <v/>
      </c>
      <c r="JV4">
        <f>IF($EJ$4="",FALSE,SUMPRODUCT(('Final Calculation Sheet'!$Z$4:$Z$40=$EJ$4)*($JU$6:$JU$42=1))&gt;0)</f>
        <v/>
      </c>
      <c r="JW4">
        <f>--($JV$4)</f>
        <v/>
      </c>
      <c r="JX4">
        <f>IF(ROW()-3&gt;MAX($JW$4:$JW$40),"",INDEX($EJ$4:$EJ$40,MATCH(ROW()-3,$JW$4:$JW$40,0)))</f>
        <v/>
      </c>
      <c r="JZ4">
        <f>IF($EO$4="",FALSE,SUMPRODUCT(('Final Calculation Sheet'!$AA$4:$AA$40=$EO$4)*($JY$6:$JY$42=1))&gt;0)</f>
        <v/>
      </c>
      <c r="KA4">
        <f>--($JZ$4)</f>
        <v/>
      </c>
      <c r="KB4">
        <f>IF(ROW()-3&gt;MAX($KA$4:$KA$40),"",INDEX($EO$4:$EO$40,MATCH(ROW()-3,$KA$4:$KA$40,0)))</f>
        <v/>
      </c>
      <c r="KD4">
        <f>IF($ET$4="",FALSE,SUMPRODUCT(('Final Calculation Sheet'!$AB$4:$AB$40=$ET$4)*($KC$6:$KC$42=1))&gt;0)</f>
        <v/>
      </c>
      <c r="KE4">
        <f>--($KD$4)</f>
        <v/>
      </c>
      <c r="KF4">
        <f>IF(ROW()-3&gt;MAX($KE$4:$KE$40),"",INDEX($ET$4:$ET$40,MATCH(ROW()-3,$KE$4:$KE$40,0)))</f>
        <v/>
      </c>
      <c r="KH4">
        <f>IF($EY$4="",FALSE,SUMPRODUCT(('Final Calculation Sheet'!$AC$4:$AC$40=$EY$4)*($KG$6:$KG$42=1))&gt;0)</f>
        <v/>
      </c>
      <c r="KI4">
        <f>--($KH$4)</f>
        <v/>
      </c>
      <c r="KJ4">
        <f>IF(ROW()-3&gt;MAX($KI$4:$KI$40),"",INDEX($EY$4:$EY$40,MATCH(ROW()-3,$KI$4:$KI$40,0)))</f>
        <v/>
      </c>
      <c r="KL4">
        <f>IF($FD$4="",FALSE,SUMPRODUCT(('Final Calculation Sheet'!$AD$4:$AD$40=$FD$4)*($KK$6:$KK$42=1))&gt;0)</f>
        <v/>
      </c>
      <c r="KM4">
        <f>--($KL$4)</f>
        <v/>
      </c>
      <c r="KN4">
        <f>IF(ROW()-3&gt;MAX($KM$4:$KM$40),"",INDEX($FD$4:$FD$40,MATCH(ROW()-3,$KM$4:$KM$40,0)))</f>
        <v/>
      </c>
      <c r="KP4">
        <f>IF($FX$4="",FALSE,SUMPRODUCT((IF('Final Calculation Sheet'!$AD$4:$AD$40&lt;=5,"SETTLED","OUTSTANDING")=$FX$4)*($KO$6:$KO$42=1))&gt;0)</f>
        <v/>
      </c>
      <c r="KQ4">
        <f>--($KP$4)</f>
        <v/>
      </c>
      <c r="KR4">
        <f>IF(ROW()-3&gt;MAX($KQ$4:$KQ$40),"",INDEX($FX$4:$FX$40,MATCH(ROW()-3,$KQ$4:$KQ$40,0)))</f>
        <v/>
      </c>
      <c r="KT4">
        <f>IF($FI$4="",FALSE,SUMPRODUCT(('Final Calculation Sheet'!$AF$4:$AF$40=$FI$4)*($KS$6:$KS$42=1))&gt;0)</f>
        <v/>
      </c>
      <c r="KU4">
        <f>--($KT$4)</f>
        <v/>
      </c>
      <c r="KV4">
        <f>IF(ROW()-3&gt;MAX($KU$4:$KU$40),"",INDEX($FI$4:$FI$40,MATCH(ROW()-3,$KU$4:$KU$40,0)))</f>
        <v/>
      </c>
      <c r="KX4">
        <f>IF($FN$4="",FALSE,SUMPRODUCT(('Final Calculation Sheet'!$AG$4:$AG$40=$FN$4)*($KW$6:$KW$42=1))&gt;0)</f>
        <v/>
      </c>
      <c r="KY4">
        <f>--($KX$4)</f>
        <v/>
      </c>
      <c r="KZ4">
        <f>IF(ROW()-3&gt;MAX($KY$4:$KY$40),"",INDEX($FN$4:$FN$40,MATCH(ROW()-3,$KY$4:$KY$40,0)))</f>
        <v/>
      </c>
      <c r="LB4">
        <f>IF($FS$4="",FALSE,SUMPRODUCT(('Final Calculation Sheet'!$AH$4:$AH$40=$FS$4)*($LA$6:$LA$42=1))&gt;0)</f>
        <v/>
      </c>
      <c r="LC4">
        <f>--($LB$4)</f>
        <v/>
      </c>
      <c r="LD4">
        <f>IF(ROW()-3&gt;MAX($LC$4:$LC$40),"",INDEX($FS$4:$FS$40,MATCH(ROW()-3,$LC$4:$LC$40,0)))</f>
        <v/>
      </c>
      <c r="LF4">
        <f>IF($O$4="",FALSE,SUMPRODUCT(('Final Calculation Sheet'!$F$4:$F$40=$O$4)*($LE$6:$LE$42=1))&gt;0)</f>
        <v/>
      </c>
      <c r="LG4">
        <f>--($LF$4)</f>
        <v/>
      </c>
      <c r="LH4">
        <f>IF(ROW()-3&gt;MAX($LG$4:$LG$40),"",INDEX($O$4:$O$40,MATCH(ROW()-3,$LG$4:$LG$40,0)))</f>
        <v/>
      </c>
      <c r="LJ4">
        <f>IF($T$4="",FALSE,SUMPRODUCT(('Final Calculation Sheet'!$G$4:$G$40=$T$4)*($LI$6:$LI$42=1))&gt;0)</f>
        <v/>
      </c>
      <c r="LK4">
        <f>--($LJ$4)</f>
        <v/>
      </c>
      <c r="LL4">
        <f>IF(ROW()-3&gt;MAX($LK$4:$LK$40),"",INDEX($T$4:$T$40,MATCH(ROW()-3,$LK$4:$LK$40,0)))</f>
        <v/>
      </c>
      <c r="LN4">
        <f>IF($Y$4="",FALSE,SUMPRODUCT(('Final Calculation Sheet'!$B$4:$B$40=$Y$4)*($LM$6:$LM$42=1))&gt;0)</f>
        <v/>
      </c>
      <c r="LO4">
        <f>--($LN$4)</f>
        <v/>
      </c>
      <c r="LP4">
        <f>IF(ROW()-3&gt;MAX($LO$4:$LO$40),"",INDEX($Y$4:$Y$40,MATCH(ROW()-3,$LO$4:$LO$40,0)))</f>
        <v/>
      </c>
      <c r="LR4">
        <f>IF($AD$4="",FALSE,SUMPRODUCT(('Final Calculation Sheet'!$D$4:$D$40=$AD$4)*($LQ$6:$LQ$42=1))&gt;0)</f>
        <v/>
      </c>
      <c r="LS4">
        <f>--($LR$4)</f>
        <v/>
      </c>
      <c r="LT4">
        <f>IF(ROW()-3&gt;MAX($LS$4:$LS$40),"",INDEX($AD$4:$AD$40,MATCH(ROW()-3,$LS$4:$LS$40,0)))</f>
        <v/>
      </c>
      <c r="LV4">
        <f>IF($AI$4="",FALSE,SUMPRODUCT(('Final Calculation Sheet'!$A$4:$A$40=$AI$4)*($LU$6:$LU$42=1))&gt;0)</f>
        <v/>
      </c>
      <c r="LW4">
        <f>--($LV$4)</f>
        <v/>
      </c>
      <c r="LX4">
        <f>IF(ROW()-3&gt;MAX($LW$4:$LW$40),"",INDEX($AI$4:$AI$40,MATCH(ROW()-3,$LW$4:$LW$40,0)))</f>
        <v/>
      </c>
      <c r="LZ4">
        <f>IF($AN$4="",FALSE,SUMPRODUCT(('Final Calculation Sheet'!$E$4:$E$40=$AN$4)*($LY$6:$LY$42=1))&gt;0)</f>
        <v/>
      </c>
      <c r="MA4">
        <f>--($LZ$4)</f>
        <v/>
      </c>
      <c r="MB4">
        <f>IF(ROW()-3&gt;MAX($MA$4:$MA$40),"",INDEX($AN$4:$AN$40,MATCH(ROW()-3,$MA$4:$MA$40,0)))</f>
        <v/>
      </c>
      <c r="MD4">
        <f>IF($AS$4="",FALSE,SUMPRODUCT(('Final Calculation Sheet'!$C$4:$C$40=$AS$4)*($MC$6:$MC$42=1))&gt;0)</f>
        <v/>
      </c>
      <c r="ME4">
        <f>--($MD$4)</f>
        <v/>
      </c>
      <c r="MF4">
        <f>IF(ROW()-3&gt;MAX($ME$4:$ME$40),"",INDEX($AS$4:$AS$40,MATCH(ROW()-3,$ME$4:$ME$40,0)))</f>
        <v/>
      </c>
      <c r="MH4">
        <f>IF($AX$4="",FALSE,SUMPRODUCT(('Final Calculation Sheet'!$H$4:$H$40=$AX$4)*($MG$6:$MG$42=1))&gt;0)</f>
        <v/>
      </c>
      <c r="MI4">
        <f>--($MH$4)</f>
        <v/>
      </c>
      <c r="MJ4">
        <f>IF(ROW()-3&gt;MAX($MI$4:$MI$40),"",INDEX($AX$4:$AX$40,MATCH(ROW()-3,$MI$4:$MI$40,0)))</f>
        <v/>
      </c>
      <c r="ML4">
        <f>IF($BC$4="",FALSE,SUMPRODUCT(('Final Calculation Sheet'!$I$4:$I$40=$BC$4)*($MK$6:$MK$42=1))&gt;0)</f>
        <v/>
      </c>
      <c r="MM4">
        <f>--($ML$4)</f>
        <v/>
      </c>
      <c r="MN4">
        <f>IF(ROW()-3&gt;MAX($MM$4:$MM$40),"",INDEX($BC$4:$BC$40,MATCH(ROW()-3,$MM$4:$MM$40,0)))</f>
        <v/>
      </c>
      <c r="MP4">
        <f>IF($BH$4="",FALSE,SUMPRODUCT(('Final Calculation Sheet'!$J$4:$J$40=$BH$4)*($MO$6:$MO$42=1))&gt;0)</f>
        <v/>
      </c>
      <c r="MQ4">
        <f>--($MP$4)</f>
        <v/>
      </c>
      <c r="MR4">
        <f>IF(ROW()-3&gt;MAX($MQ$4:$MQ$40),"",INDEX($BH$4:$BH$40,MATCH(ROW()-3,$MQ$4:$MQ$40,0)))</f>
        <v/>
      </c>
      <c r="MT4">
        <f>IF($BM$4="",FALSE,SUMPRODUCT(('Final Calculation Sheet'!$K$4:$K$40=$BM$4)*($MS$6:$MS$42=1))&gt;0)</f>
        <v/>
      </c>
      <c r="MU4">
        <f>--($MT$4)</f>
        <v/>
      </c>
      <c r="MV4">
        <f>IF(ROW()-3&gt;MAX($MU$4:$MU$40),"",INDEX($BM$4:$BM$40,MATCH(ROW()-3,$MU$4:$MU$40,0)))</f>
        <v/>
      </c>
      <c r="MX4">
        <f>IF($BR$4="",FALSE,SUMPRODUCT(('Final Calculation Sheet'!$L$4:$L$40=$BR$4)*($MW$6:$MW$42=1))&gt;0)</f>
        <v/>
      </c>
      <c r="MY4">
        <f>--($MX$4)</f>
        <v/>
      </c>
      <c r="MZ4">
        <f>IF(ROW()-3&gt;MAX($MY$4:$MY$40),"",INDEX($BR$4:$BR$40,MATCH(ROW()-3,$MY$4:$MY$40,0)))</f>
        <v/>
      </c>
      <c r="NB4">
        <f>IF($BW$4="",FALSE,SUMPRODUCT(('Final Calculation Sheet'!$M$4:$M$40=$BW$4)*($NA$6:$NA$42=1))&gt;0)</f>
        <v/>
      </c>
      <c r="NC4">
        <f>--($NB$4)</f>
        <v/>
      </c>
      <c r="ND4">
        <f>IF(ROW()-3&gt;MAX($NC$4:$NC$40),"",INDEX($BW$4:$BW$40,MATCH(ROW()-3,$NC$4:$NC$40,0)))</f>
        <v/>
      </c>
      <c r="NF4">
        <f>IF($CB$4="",FALSE,SUMPRODUCT(('Final Calculation Sheet'!$N$4:$N$40=$CB$4)*($NE$6:$NE$42=1))&gt;0)</f>
        <v/>
      </c>
      <c r="NG4">
        <f>--($NF$4)</f>
        <v/>
      </c>
      <c r="NH4">
        <f>IF(ROW()-3&gt;MAX($NG$4:$NG$40),"",INDEX($CB$4:$CB$40,MATCH(ROW()-3,$NG$4:$NG$40,0)))</f>
        <v/>
      </c>
      <c r="NJ4">
        <f>IF($CG$4="",FALSE,SUMPRODUCT(('Final Calculation Sheet'!$O$4:$O$40=$CG$4)*($NI$6:$NI$42=1))&gt;0)</f>
        <v/>
      </c>
      <c r="NK4">
        <f>--($NJ$4)</f>
        <v/>
      </c>
      <c r="NL4">
        <f>IF(ROW()-3&gt;MAX($NK$4:$NK$40),"",INDEX($CG$4:$CG$40,MATCH(ROW()-3,$NK$4:$NK$40,0)))</f>
        <v/>
      </c>
      <c r="NN4">
        <f>IF($CL$4="",FALSE,SUMPRODUCT(('Final Calculation Sheet'!$P$4:$P$40=$CL$4)*($NM$6:$NM$42=1))&gt;0)</f>
        <v/>
      </c>
      <c r="NO4">
        <f>--($NN$4)</f>
        <v/>
      </c>
      <c r="NP4">
        <f>IF(ROW()-3&gt;MAX($NO$4:$NO$40),"",INDEX($CL$4:$CL$40,MATCH(ROW()-3,$NO$4:$NO$40,0)))</f>
        <v/>
      </c>
      <c r="NR4">
        <f>IF($CQ$4="",FALSE,SUMPRODUCT(('Final Calculation Sheet'!$Q$4:$Q$40=$CQ$4)*($NQ$6:$NQ$42=1))&gt;0)</f>
        <v/>
      </c>
      <c r="NS4">
        <f>--($NR$4)</f>
        <v/>
      </c>
      <c r="NT4">
        <f>IF(ROW()-3&gt;MAX($NS$4:$NS$40),"",INDEX($CQ$4:$CQ$40,MATCH(ROW()-3,$NS$4:$NS$40,0)))</f>
        <v/>
      </c>
      <c r="NV4">
        <f>IF($CV$4="",FALSE,SUMPRODUCT(('Final Calculation Sheet'!$R$4:$R$40=$CV$4)*($NU$6:$NU$42=1))&gt;0)</f>
        <v/>
      </c>
      <c r="NW4">
        <f>--($NV$4)</f>
        <v/>
      </c>
      <c r="NX4">
        <f>IF(ROW()-3&gt;MAX($NW$4:$NW$40),"",INDEX($CV$4:$CV$40,MATCH(ROW()-3,$NW$4:$NW$40,0)))</f>
        <v/>
      </c>
      <c r="NZ4">
        <f>IF($DA$4="",FALSE,SUMPRODUCT(('Final Calculation Sheet'!$S$4:$S$40=$DA$4)*($NY$6:$NY$42=1))&gt;0)</f>
        <v/>
      </c>
      <c r="OA4">
        <f>--($NZ$4)</f>
        <v/>
      </c>
      <c r="OB4">
        <f>IF(ROW()-3&gt;MAX($OA$4:$OA$40),"",INDEX($DA$4:$DA$40,MATCH(ROW()-3,$OA$4:$OA$40,0)))</f>
        <v/>
      </c>
      <c r="OD4">
        <f>IF($DF$4="",FALSE,SUMPRODUCT(('Final Calculation Sheet'!$T$4:$T$40=$DF$4)*($OC$6:$OC$42=1))&gt;0)</f>
        <v/>
      </c>
      <c r="OE4">
        <f>--($OD$4)</f>
        <v/>
      </c>
      <c r="OF4">
        <f>IF(ROW()-3&gt;MAX($OE$4:$OE$40),"",INDEX($DF$4:$DF$40,MATCH(ROW()-3,$OE$4:$OE$40,0)))</f>
        <v/>
      </c>
      <c r="OH4">
        <f>IF($DK$4="",FALSE,SUMPRODUCT(('Final Calculation Sheet'!$U$4:$U$40=$DK$4)*($OG$6:$OG$42=1))&gt;0)</f>
        <v/>
      </c>
      <c r="OI4">
        <f>--($OH$4)</f>
        <v/>
      </c>
      <c r="OJ4">
        <f>IF(ROW()-3&gt;MAX($OI$4:$OI$40),"",INDEX($DK$4:$DK$40,MATCH(ROW()-3,$OI$4:$OI$40,0)))</f>
        <v/>
      </c>
      <c r="OL4">
        <f>IF($DP$4="",FALSE,SUMPRODUCT(('Final Calculation Sheet'!$V$4:$V$40=$DP$4)*($OK$6:$OK$42=1))&gt;0)</f>
        <v/>
      </c>
      <c r="OM4">
        <f>--($OL$4)</f>
        <v/>
      </c>
      <c r="ON4">
        <f>IF(ROW()-3&gt;MAX($OM$4:$OM$40),"",INDEX($DP$4:$DP$40,MATCH(ROW()-3,$OM$4:$OM$40,0)))</f>
        <v/>
      </c>
      <c r="OP4">
        <f>IF($DU$4="",FALSE,SUMPRODUCT(('Final Calculation Sheet'!$W$4:$W$40=$DU$4)*($OO$6:$OO$42=1))&gt;0)</f>
        <v/>
      </c>
      <c r="OQ4">
        <f>--($OP$4)</f>
        <v/>
      </c>
      <c r="OR4">
        <f>IF(ROW()-3&gt;MAX($OQ$4:$OQ$40),"",INDEX($DU$4:$DU$40,MATCH(ROW()-3,$OQ$4:$OQ$40,0)))</f>
        <v/>
      </c>
      <c r="OT4">
        <f>IF($DZ$4="",FALSE,SUMPRODUCT(('Final Calculation Sheet'!$X$4:$X$40=$DZ$4)*($OS$6:$OS$42=1))&gt;0)</f>
        <v/>
      </c>
      <c r="OU4">
        <f>--($OT$4)</f>
        <v/>
      </c>
      <c r="OV4">
        <f>IF(ROW()-3&gt;MAX($OU$4:$OU$40),"",INDEX($DZ$4:$DZ$40,MATCH(ROW()-3,$OU$4:$OU$40,0)))</f>
        <v/>
      </c>
      <c r="OX4">
        <f>IF($EE$4="",FALSE,SUMPRODUCT(('Final Calculation Sheet'!$Y$4:$Y$40=$EE$4)*($OW$6:$OW$42=1))&gt;0)</f>
        <v/>
      </c>
      <c r="OY4">
        <f>--($OX$4)</f>
        <v/>
      </c>
      <c r="OZ4">
        <f>IF(ROW()-3&gt;MAX($OY$4:$OY$40),"",INDEX($EE$4:$EE$40,MATCH(ROW()-3,$OY$4:$OY$40,0)))</f>
        <v/>
      </c>
      <c r="PB4">
        <f>IF($EJ$4="",FALSE,SUMPRODUCT(('Final Calculation Sheet'!$Z$4:$Z$40=$EJ$4)*($PA$6:$PA$42=1))&gt;0)</f>
        <v/>
      </c>
      <c r="PC4">
        <f>--($PB$4)</f>
        <v/>
      </c>
      <c r="PD4">
        <f>IF(ROW()-3&gt;MAX($PC$4:$PC$40),"",INDEX($EJ$4:$EJ$40,MATCH(ROW()-3,$PC$4:$PC$40,0)))</f>
        <v/>
      </c>
      <c r="PF4">
        <f>IF($EO$4="",FALSE,SUMPRODUCT(('Final Calculation Sheet'!$AA$4:$AA$40=$EO$4)*($PE$6:$PE$42=1))&gt;0)</f>
        <v/>
      </c>
      <c r="PG4">
        <f>--($PF$4)</f>
        <v/>
      </c>
      <c r="PH4">
        <f>IF(ROW()-3&gt;MAX($PG$4:$PG$40),"",INDEX($EO$4:$EO$40,MATCH(ROW()-3,$PG$4:$PG$40,0)))</f>
        <v/>
      </c>
      <c r="PJ4">
        <f>IF($ET$4="",FALSE,SUMPRODUCT(('Final Calculation Sheet'!$AB$4:$AB$40=$ET$4)*($PI$6:$PI$42=1))&gt;0)</f>
        <v/>
      </c>
      <c r="PK4">
        <f>--($PJ$4)</f>
        <v/>
      </c>
      <c r="PL4">
        <f>IF(ROW()-3&gt;MAX($PK$4:$PK$40),"",INDEX($ET$4:$ET$40,MATCH(ROW()-3,$PK$4:$PK$40,0)))</f>
        <v/>
      </c>
      <c r="PN4">
        <f>IF($EY$4="",FALSE,SUMPRODUCT(('Final Calculation Sheet'!$AC$4:$AC$40=$EY$4)*($PM$6:$PM$42=1))&gt;0)</f>
        <v/>
      </c>
      <c r="PO4">
        <f>--($PN$4)</f>
        <v/>
      </c>
      <c r="PP4">
        <f>IF(ROW()-3&gt;MAX($PO$4:$PO$40),"",INDEX($EY$4:$EY$40,MATCH(ROW()-3,$PO$4:$PO$40,0)))</f>
        <v/>
      </c>
      <c r="PR4">
        <f>IF($FD$4="",FALSE,SUMPRODUCT(('Final Calculation Sheet'!$AD$4:$AD$40=$FD$4)*($PQ$6:$PQ$42=1))&gt;0)</f>
        <v/>
      </c>
      <c r="PS4">
        <f>--($PR$4)</f>
        <v/>
      </c>
      <c r="PT4">
        <f>IF(ROW()-3&gt;MAX($PS$4:$PS$40),"",INDEX($FD$4:$FD$40,MATCH(ROW()-3,$PS$4:$PS$40,0)))</f>
        <v/>
      </c>
      <c r="PV4">
        <f>IF($FX$4="",FALSE,SUMPRODUCT((IF('Final Calculation Sheet'!$AD$4:$AD$40&lt;=5,"SETTLED","OUTSTANDING")=$FX$4)*($PU$6:$PU$42=1))&gt;0)</f>
        <v/>
      </c>
      <c r="PW4">
        <f>--($PV$4)</f>
        <v/>
      </c>
      <c r="PX4">
        <f>IF(ROW()-3&gt;MAX($PW$4:$PW$40),"",INDEX($FX$4:$FX$40,MATCH(ROW()-3,$PW$4:$PW$40,0)))</f>
        <v/>
      </c>
      <c r="PZ4">
        <f>IF($FI$4="",FALSE,SUMPRODUCT(('Final Calculation Sheet'!$AF$4:$AF$40=$FI$4)*($PY$6:$PY$42=1))&gt;0)</f>
        <v/>
      </c>
      <c r="QA4">
        <f>--($PZ$4)</f>
        <v/>
      </c>
      <c r="QB4">
        <f>IF(ROW()-3&gt;MAX($QA$4:$QA$40),"",INDEX($FI$4:$FI$40,MATCH(ROW()-3,$QA$4:$QA$40,0)))</f>
        <v/>
      </c>
      <c r="QD4">
        <f>IF($FN$4="",FALSE,SUMPRODUCT(('Final Calculation Sheet'!$AG$4:$AG$40=$FN$4)*($QC$6:$QC$42=1))&gt;0)</f>
        <v/>
      </c>
      <c r="QE4">
        <f>--($QD$4)</f>
        <v/>
      </c>
      <c r="QF4">
        <f>IF(ROW()-3&gt;MAX($QE$4:$QE$40),"",INDEX($FN$4:$FN$40,MATCH(ROW()-3,$QE$4:$QE$40,0)))</f>
        <v/>
      </c>
      <c r="QH4">
        <f>IF($FS$4="",FALSE,SUMPRODUCT(('Final Calculation Sheet'!$AH$4:$AH$40=$FS$4)*($QG$6:$QG$42=1))&gt;0)</f>
        <v/>
      </c>
      <c r="QI4">
        <f>--($QH$4)</f>
        <v/>
      </c>
      <c r="QJ4">
        <f>IF(ROW()-3&gt;MAX($QI$4:$QI$40),"",INDEX($FS$4:$FS$40,MATCH(ROW()-3,$QI$4:$QI$40,0)))</f>
        <v/>
      </c>
      <c r="QK4" t="str">
        <f>IF('Final Calculation Sheet'!$AH$4="","",'Final Calculation Sheet'!$AH$4)</f>
      </c>
      <c r="QL4" t="str">
        <f>IF(QK4="","",COUNTIFS(QK$4:QK$40,"&lt;"&amp;QK4,QK$4:QK$40,"&lt;&gt;"&amp;"")+COUNTIF(QK$4:QK4,QK4))</f>
      </c>
      <c r="QM4" t="str">
        <f>IF(ROW()-3&gt;COUNTIF(QK$4:QK$40,"&lt;&gt;"&amp;""),"",INDEX(QK$4:QK$40,MATCH(ROW()-3,QL$4:QL$40,0)))</f>
      </c>
      <c r="QN4" t="str">
        <f>IF(AND(QM4&lt;&gt;"",COUNTIF(QM$4:QM4,QM4)=1),1,0)</f>
      </c>
      <c r="QO4" t="str">
        <f>IF(ROW()-3&gt;MAX(QN$4:QN$40),"",INDEX(QM$4:QM$40,MATCH(ROW()-3,QN$4:QN$40,0)))</f>
      </c>
      <c r="QP4" t="str">
        <f>IF(COUNTIF('Final Calculation Sheet'!$AM4:$BS4,0)&gt;0,0,1)</f>
      </c>
      <c r="QQ4" t="str">
        <f>IF($AI$4="",FALSE,SUMPRODUCT(('Final Calculation Sheet'!$A$4:$A$40=$AI$4)*($QP$4:$QP$40=1))&gt;0)</f>
      </c>
      <c r="QR4" t="str">
        <f>--($QQ$4)</f>
      </c>
      <c r="QS4" t="str">
        <f>IF(ROW()-3&gt;MAX($QR$4:$QR$40),"",INDEX($AI$4:$AI$40,MATCH(ROW()-3,$QR$4:$QR$40,0)))</f>
      </c>
      <c r="QT4" t="str">
        <f>IF(COUNTIF('Final Calculation Sheet'!$AL4:$AL4,0)+COUNTIF('Final Calculation Sheet'!$AN4:$BS4,0)&gt;0,0,1)</f>
      </c>
      <c r="QU4" t="str">
        <f>IF($Y$4="",FALSE,SUMPRODUCT(('Final Calculation Sheet'!$B$4:$B$40=$Y$4)*($QT$4:$QT$40=1))&gt;0)</f>
      </c>
      <c r="QV4" t="str">
        <f>--($QU$4)</f>
      </c>
      <c r="QW4" t="str">
        <f>IF(ROW()-3&gt;MAX($QV$4:$QV$40),"",INDEX($Y$4:$Y$40,MATCH(ROW()-3,$QV$4:$QV$40,0)))</f>
      </c>
      <c r="QX4" t="str">
        <f>IF(COUNTIF('Final Calculation Sheet'!$AL4:$AM4,0)+COUNTIF('Final Calculation Sheet'!$AO4:$BS4,0)&gt;0,0,1)</f>
      </c>
      <c r="QY4" t="str">
        <f>IF($AS$4="",FALSE,SUMPRODUCT(('Final Calculation Sheet'!$C$4:$C$40=$AS$4)*($QX$4:$QX$40=1))&gt;0)</f>
      </c>
      <c r="QZ4" t="str">
        <f>--($QY$4)</f>
      </c>
      <c r="RA4" t="str">
        <f>IF(ROW()-3&gt;MAX($QZ$4:$QZ$40),"",INDEX($AS$4:$AS$40,MATCH(ROW()-3,$QZ$4:$QZ$40,0)))</f>
      </c>
      <c r="RB4" t="str">
        <f>IF(COUNTIF('Final Calculation Sheet'!$AL4:$AN4,0)+COUNTIF('Final Calculation Sheet'!$AP4:$BS4,0)&gt;0,0,1)</f>
      </c>
      <c r="RC4" t="str">
        <f>IF($AD$4="",FALSE,SUMPRODUCT(('Final Calculation Sheet'!$D$4:$D$40=$AD$4)*($RB$4:$RB$40=1))&gt;0)</f>
      </c>
      <c r="RD4" t="str">
        <f>--($RC$4)</f>
      </c>
      <c r="RE4" t="str">
        <f>IF(ROW()-3&gt;MAX($RD$4:$RD$40),"",INDEX($AD$4:$AD$40,MATCH(ROW()-3,$RD$4:$RD$40,0)))</f>
      </c>
      <c r="RF4" t="str">
        <f>IF(COUNTIF('Final Calculation Sheet'!$AL4:$AO4,0)+COUNTIF('Final Calculation Sheet'!$AQ4:$BS4,0)&gt;0,0,1)</f>
      </c>
      <c r="RG4" t="str">
        <f>IF($AN$4="",FALSE,SUMPRODUCT(('Final Calculation Sheet'!$E$4:$E$40=$AN$4)*($RF$4:$RF$40=1))&gt;0)</f>
      </c>
      <c r="RH4" t="str">
        <f>--($RG$4)</f>
      </c>
      <c r="RI4" t="str">
        <f>IF(ROW()-3&gt;MAX($RH$4:$RH$40),"",INDEX($AN$4:$AN$40,MATCH(ROW()-3,$RH$4:$RH$40,0)))</f>
      </c>
      <c r="RJ4" t="str">
        <f>IF(COUNTIF('Final Calculation Sheet'!$AL4:$AP4,0)+COUNTIF('Final Calculation Sheet'!$AR4:$BS4,0)&gt;0,0,1)</f>
      </c>
      <c r="RK4" t="str">
        <f>IF($O$4="",FALSE,SUMPRODUCT(('Final Calculation Sheet'!$F$4:$F$40=$O$4)*($RJ$4:$RJ$40=1))&gt;0)</f>
      </c>
      <c r="RL4" t="str">
        <f>--($RK$4)</f>
      </c>
      <c r="RM4" t="str">
        <f>IF(ROW()-3&gt;MAX($RL$4:$RL$40),"",INDEX($O$4:$O$40,MATCH(ROW()-3,$RL$4:$RL$40,0)))</f>
      </c>
      <c r="RN4" t="str">
        <f>IF(COUNTIF('Final Calculation Sheet'!$AL4:$AQ4,0)+COUNTIF('Final Calculation Sheet'!$AS4:$BS4,0)&gt;0,0,1)</f>
      </c>
      <c r="RO4" t="str">
        <f>IF($T$4="",FALSE,SUMPRODUCT(('Final Calculation Sheet'!$G$4:$G$40=$T$4)*($RN$4:$RN$40=1))&gt;0)</f>
      </c>
      <c r="RP4" t="str">
        <f>--($RO$4)</f>
      </c>
      <c r="RQ4" t="str">
        <f>IF(ROW()-3&gt;MAX($RP$4:$RP$40),"",INDEX($T$4:$T$40,MATCH(ROW()-3,$RP$4:$RP$40,0)))</f>
      </c>
      <c r="RR4" t="str">
        <f>IF(COUNTIF('Final Calculation Sheet'!$AL4:$AR4,0)+COUNTIF('Final Calculation Sheet'!$AT4:$BS4,0)&gt;0,0,1)</f>
      </c>
      <c r="RS4" t="str">
        <f>IF($AX$4="",FALSE,SUMPRODUCT(('Final Calculation Sheet'!$H$4:$H$40=$AX$4)*($RR$4:$RR$40=1))&gt;0)</f>
      </c>
      <c r="RT4" t="str">
        <f>--($RS$4)</f>
      </c>
      <c r="RU4" t="str">
        <f>IF(ROW()-3&gt;MAX($RT$4:$RT$40),"",INDEX($AX$4:$AX$40,MATCH(ROW()-3,$RT$4:$RT$40,0)))</f>
      </c>
      <c r="RV4" t="str">
        <f>IF(COUNTIF('Final Calculation Sheet'!$AL4:$AS4,0)+COUNTIF('Final Calculation Sheet'!$AU4:$BS4,0)&gt;0,0,1)</f>
      </c>
      <c r="RW4" t="str">
        <f>IF($BC$4="",FALSE,SUMPRODUCT(('Final Calculation Sheet'!$I$4:$I$40=$BC$4)*($RV$4:$RV$40=1))&gt;0)</f>
      </c>
      <c r="RX4" t="str">
        <f>--($RW$4)</f>
      </c>
      <c r="RY4" t="str">
        <f>IF(ROW()-3&gt;MAX($RX$4:$RX$40),"",INDEX($BC$4:$BC$40,MATCH(ROW()-3,$RX$4:$RX$40,0)))</f>
      </c>
      <c r="RZ4" t="str">
        <f>IF(COUNTIF('Final Calculation Sheet'!$AL4:$AT4,0)+COUNTIF('Final Calculation Sheet'!$AV4:$BS4,0)&gt;0,0,1)</f>
      </c>
      <c r="SA4" t="str">
        <f>IF($BH$4="",FALSE,SUMPRODUCT(('Final Calculation Sheet'!$J$4:$J$40=$BH$4)*($RZ$4:$RZ$40=1))&gt;0)</f>
      </c>
      <c r="SB4" t="str">
        <f>--($SA$4)</f>
      </c>
      <c r="SC4" t="str">
        <f>IF(ROW()-3&gt;MAX($SB$4:$SB$40),"",INDEX($BH$4:$BH$40,MATCH(ROW()-3,$SB$4:$SB$40,0)))</f>
      </c>
      <c r="SD4" t="str">
        <f>IF(COUNTIF('Final Calculation Sheet'!$AL4:$AU4,0)+COUNTIF('Final Calculation Sheet'!$AW4:$BS4,0)&gt;0,0,1)</f>
      </c>
      <c r="SE4" t="str">
        <f>IF($BM$4="",FALSE,SUMPRODUCT(('Final Calculation Sheet'!$K$4:$K$40=$BM$4)*($SD$4:$SD$40=1))&gt;0)</f>
      </c>
      <c r="SF4" t="str">
        <f>--($SE$4)</f>
      </c>
      <c r="SG4" t="str">
        <f>IF(ROW()-3&gt;MAX($SF$4:$SF$40),"",INDEX($BM$4:$BM$40,MATCH(ROW()-3,$SF$4:$SF$40,0)))</f>
      </c>
      <c r="SH4" t="str">
        <f>IF(COUNTIF('Final Calculation Sheet'!$AL4:$AV4,0)+COUNTIF('Final Calculation Sheet'!$AX4:$BS4,0)&gt;0,0,1)</f>
      </c>
      <c r="SI4" t="str">
        <f>IF($BR$4="",FALSE,SUMPRODUCT(('Final Calculation Sheet'!$L$4:$L$40=$BR$4)*($SH$4:$SH$40=1))&gt;0)</f>
      </c>
      <c r="SJ4" t="str">
        <f>--($SI$4)</f>
      </c>
      <c r="SK4" t="str">
        <f>IF(ROW()-3&gt;MAX($SJ$4:$SJ$40),"",INDEX($BR$4:$BR$40,MATCH(ROW()-3,$SJ$4:$SJ$40,0)))</f>
      </c>
      <c r="SL4" t="str">
        <f>IF(COUNTIF('Final Calculation Sheet'!$AL4:$AW4,0)+COUNTIF('Final Calculation Sheet'!$AY4:$BS4,0)&gt;0,0,1)</f>
      </c>
      <c r="SM4" t="str">
        <f>IF($BW$4="",FALSE,SUMPRODUCT(('Final Calculation Sheet'!$M$4:$M$40=$BW$4)*($SL$4:$SL$40=1))&gt;0)</f>
      </c>
      <c r="SN4" t="str">
        <f>--($SM$4)</f>
      </c>
      <c r="SO4" t="str">
        <f>IF(ROW()-3&gt;MAX($SN$4:$SN$40),"",INDEX($BW$4:$BW$40,MATCH(ROW()-3,$SN$4:$SN$40,0)))</f>
      </c>
      <c r="SP4" t="str">
        <f>IF(COUNTIF('Final Calculation Sheet'!$AL4:$AX4,0)+COUNTIF('Final Calculation Sheet'!$AZ4:$BS4,0)&gt;0,0,1)</f>
      </c>
      <c r="SQ4" t="str">
        <f>IF($CB$4="",FALSE,SUMPRODUCT(('Final Calculation Sheet'!$N$4:$N$40=$CB$4)*($SP$4:$SP$40=1))&gt;0)</f>
      </c>
      <c r="SR4" t="str">
        <f>--($SQ$4)</f>
      </c>
      <c r="SS4" t="str">
        <f>IF(ROW()-3&gt;MAX($SR$4:$SR$40),"",INDEX($CB$4:$CB$40,MATCH(ROW()-3,$SR$4:$SR$40,0)))</f>
      </c>
      <c r="ST4" t="str">
        <f>IF(COUNTIF('Final Calculation Sheet'!$AL4:$AY4,0)+COUNTIF('Final Calculation Sheet'!$BA4:$BS4,0)&gt;0,0,1)</f>
      </c>
      <c r="SU4" t="str">
        <f>IF($CG$4="",FALSE,SUMPRODUCT(('Final Calculation Sheet'!$O$4:$O$40=$CG$4)*($ST$4:$ST$40=1))&gt;0)</f>
      </c>
      <c r="SV4" t="str">
        <f>--($SU$4)</f>
      </c>
      <c r="SW4" t="str">
        <f>IF(ROW()-3&gt;MAX($SV$4:$SV$40),"",INDEX($CG$4:$CG$40,MATCH(ROW()-3,$SV$4:$SV$40,0)))</f>
      </c>
      <c r="SX4" t="str">
        <f>IF(COUNTIF('Final Calculation Sheet'!$AL4:$AZ4,0)+COUNTIF('Final Calculation Sheet'!$BB4:$BS4,0)&gt;0,0,1)</f>
      </c>
      <c r="SY4" t="str">
        <f>IF($CL$4="",FALSE,SUMPRODUCT(('Final Calculation Sheet'!$P$4:$P$40=$CL$4)*($SX$4:$SX$40=1))&gt;0)</f>
      </c>
      <c r="SZ4" t="str">
        <f>--($SY$4)</f>
      </c>
      <c r="TA4" t="str">
        <f>IF(ROW()-3&gt;MAX($SZ$4:$SZ$40),"",INDEX($CL$4:$CL$40,MATCH(ROW()-3,$SZ$4:$SZ$40,0)))</f>
      </c>
      <c r="TB4" t="str">
        <f>IF(COUNTIF('Final Calculation Sheet'!$AL4:$BA4,0)+COUNTIF('Final Calculation Sheet'!$BC4:$BS4,0)&gt;0,0,1)</f>
      </c>
      <c r="TC4" t="str">
        <f>IF($CQ$4="",FALSE,SUMPRODUCT(('Final Calculation Sheet'!$Q$4:$Q$40=$CQ$4)*($TB$4:$TB$40=1))&gt;0)</f>
      </c>
      <c r="TD4" t="str">
        <f>--($TC$4)</f>
      </c>
      <c r="TE4" t="str">
        <f>IF(ROW()-3&gt;MAX($TD$4:$TD$40),"",INDEX($CQ$4:$CQ$40,MATCH(ROW()-3,$TD$4:$TD$40,0)))</f>
      </c>
      <c r="TF4" t="str">
        <f>IF(COUNTIF('Final Calculation Sheet'!$AL4:$BB4,0)+COUNTIF('Final Calculation Sheet'!$BD4:$BS4,0)&gt;0,0,1)</f>
      </c>
      <c r="TG4" t="str">
        <f>IF($CV$4="",FALSE,SUMPRODUCT(('Final Calculation Sheet'!$R$4:$R$40=$CV$4)*($TF$4:$TF$40=1))&gt;0)</f>
      </c>
      <c r="TH4" t="str">
        <f>--($TG$4)</f>
      </c>
      <c r="TI4" t="str">
        <f>IF(ROW()-3&gt;MAX($TH$4:$TH$40),"",INDEX($CV$4:$CV$40,MATCH(ROW()-3,$TH$4:$TH$40,0)))</f>
      </c>
      <c r="TJ4" t="str">
        <f>IF(COUNTIF('Final Calculation Sheet'!$AL4:$BC4,0)+COUNTIF('Final Calculation Sheet'!$BE4:$BS4,0)&gt;0,0,1)</f>
      </c>
      <c r="TK4" t="str">
        <f>IF($DA$4="",FALSE,SUMPRODUCT(('Final Calculation Sheet'!$S$4:$S$40=$DA$4)*($TJ$4:$TJ$40=1))&gt;0)</f>
      </c>
      <c r="TL4" t="str">
        <f>--($TK$4)</f>
      </c>
      <c r="TM4" t="str">
        <f>IF(ROW()-3&gt;MAX($TL$4:$TL$40),"",INDEX($DA$4:$DA$40,MATCH(ROW()-3,$TL$4:$TL$40,0)))</f>
      </c>
      <c r="TN4" t="str">
        <f>IF(COUNTIF('Final Calculation Sheet'!$AL4:$BD4,0)+COUNTIF('Final Calculation Sheet'!$BF4:$BS4,0)&gt;0,0,1)</f>
      </c>
      <c r="TO4" t="str">
        <f>IF($DF$4="",FALSE,SUMPRODUCT(('Final Calculation Sheet'!$T$4:$T$40=$DF$4)*($TN$4:$TN$40=1))&gt;0)</f>
      </c>
      <c r="TP4" t="str">
        <f>--($TO$4)</f>
      </c>
      <c r="TQ4" t="str">
        <f>IF(ROW()-3&gt;MAX($TP$4:$TP$40),"",INDEX($DF$4:$DF$40,MATCH(ROW()-3,$TP$4:$TP$40,0)))</f>
      </c>
      <c r="TR4" t="str">
        <f>IF(COUNTIF('Final Calculation Sheet'!$AL4:$BE4,0)+COUNTIF('Final Calculation Sheet'!$BG4:$BS4,0)&gt;0,0,1)</f>
      </c>
      <c r="TS4" t="str">
        <f>IF($DK$4="",FALSE,SUMPRODUCT(('Final Calculation Sheet'!$U$4:$U$40=$DK$4)*($TR$4:$TR$40=1))&gt;0)</f>
      </c>
      <c r="TT4" t="str">
        <f>--($TS$4)</f>
      </c>
      <c r="TU4" t="str">
        <f>IF(ROW()-3&gt;MAX($TT$4:$TT$40),"",INDEX($DK$4:$DK$40,MATCH(ROW()-3,$TT$4:$TT$40,0)))</f>
      </c>
      <c r="TV4" t="str">
        <f>IF(COUNTIF('Final Calculation Sheet'!$AL4:$BF4,0)+COUNTIF('Final Calculation Sheet'!$BH4:$BS4,0)&gt;0,0,1)</f>
      </c>
      <c r="TW4" t="str">
        <f>IF($DP$4="",FALSE,SUMPRODUCT(('Final Calculation Sheet'!$V$4:$V$40=$DP$4)*($TV$4:$TV$40=1))&gt;0)</f>
      </c>
      <c r="TX4" t="str">
        <f>--($TW$4)</f>
      </c>
      <c r="TY4" t="str">
        <f>IF(ROW()-3&gt;MAX($TX$4:$TX$40),"",INDEX($DP$4:$DP$40,MATCH(ROW()-3,$TX$4:$TX$40,0)))</f>
      </c>
      <c r="TZ4" t="str">
        <f>IF(COUNTIF('Final Calculation Sheet'!$AL4:$BG4,0)+COUNTIF('Final Calculation Sheet'!$BI4:$BS4,0)&gt;0,0,1)</f>
      </c>
      <c r="UA4" t="str">
        <f>IF($DU$4="",FALSE,SUMPRODUCT(('Final Calculation Sheet'!$W$4:$W$40=$DU$4)*($TZ$4:$TZ$40=1))&gt;0)</f>
      </c>
      <c r="UB4" t="str">
        <f>--($UA$4)</f>
      </c>
      <c r="UC4" t="str">
        <f>IF(ROW()-3&gt;MAX($UB$4:$UB$40),"",INDEX($DU$4:$DU$40,MATCH(ROW()-3,$UB$4:$UB$40,0)))</f>
      </c>
      <c r="UD4" t="str">
        <f>IF(COUNTIF('Final Calculation Sheet'!$AL4:$BH4,0)+COUNTIF('Final Calculation Sheet'!$BJ4:$BS4,0)&gt;0,0,1)</f>
      </c>
      <c r="UE4" t="str">
        <f>IF($DZ$4="",FALSE,SUMPRODUCT(('Final Calculation Sheet'!$X$4:$X$40=$DZ$4)*($UD$4:$UD$40=1))&gt;0)</f>
      </c>
      <c r="UF4" t="str">
        <f>--($UE$4)</f>
      </c>
      <c r="UG4" t="str">
        <f>IF(ROW()-3&gt;MAX($UF$4:$UF$40),"",INDEX($DZ$4:$DZ$40,MATCH(ROW()-3,$UF$4:$UF$40,0)))</f>
      </c>
      <c r="UH4" t="str">
        <f>IF(COUNTIF('Final Calculation Sheet'!$AL4:$BI4,0)+COUNTIF('Final Calculation Sheet'!$BK4:$BS4,0)&gt;0,0,1)</f>
      </c>
      <c r="UI4" t="str">
        <f>IF($EE$4="",FALSE,SUMPRODUCT(('Final Calculation Sheet'!$Y$4:$Y$40=$EE$4)*($UH$4:$UH$40=1))&gt;0)</f>
      </c>
      <c r="UJ4" t="str">
        <f>--($UI$4)</f>
      </c>
      <c r="UK4" t="str">
        <f>IF(ROW()-3&gt;MAX($UJ$4:$UJ$40),"",INDEX($EE$4:$EE$40,MATCH(ROW()-3,$UJ$4:$UJ$40,0)))</f>
      </c>
      <c r="UL4" t="str">
        <f>IF(COUNTIF('Final Calculation Sheet'!$AL4:$BJ4,0)+COUNTIF('Final Calculation Sheet'!$BL4:$BS4,0)&gt;0,0,1)</f>
      </c>
      <c r="UM4" t="str">
        <f>IF($EJ$4="",FALSE,SUMPRODUCT(('Final Calculation Sheet'!$Z$4:$Z$40=$EJ$4)*($UL$4:$UL$40=1))&gt;0)</f>
      </c>
      <c r="UN4" t="str">
        <f>--($UM$4)</f>
      </c>
      <c r="UO4" t="str">
        <f>IF(ROW()-3&gt;MAX($UN$4:$UN$40),"",INDEX($EJ$4:$EJ$40,MATCH(ROW()-3,$UN$4:$UN$40,0)))</f>
      </c>
      <c r="UP4" t="str">
        <f>IF(COUNTIF('Final Calculation Sheet'!$AL4:$BK4,0)+COUNTIF('Final Calculation Sheet'!$BM4:$BS4,0)&gt;0,0,1)</f>
      </c>
      <c r="UQ4" t="str">
        <f>IF($EO$4="",FALSE,SUMPRODUCT(('Final Calculation Sheet'!$AA$4:$AA$40=$EO$4)*($UP$4:$UP$40=1))&gt;0)</f>
      </c>
      <c r="UR4" t="str">
        <f>--($UQ$4)</f>
      </c>
      <c r="US4" t="str">
        <f>IF(ROW()-3&gt;MAX($UR$4:$UR$40),"",INDEX($EO$4:$EO$40,MATCH(ROW()-3,$UR$4:$UR$40,0)))</f>
      </c>
      <c r="UT4" t="str">
        <f>IF(COUNTIF('Final Calculation Sheet'!$AL4:$BL4,0)+COUNTIF('Final Calculation Sheet'!$BN4:$BS4,0)&gt;0,0,1)</f>
      </c>
      <c r="UU4" t="str">
        <f>IF($ET$4="",FALSE,SUMPRODUCT(('Final Calculation Sheet'!$AB$4:$AB$40=$ET$4)*($UT$4:$UT$40=1))&gt;0)</f>
      </c>
      <c r="UV4" t="str">
        <f>--($UU$4)</f>
      </c>
      <c r="UW4" t="str">
        <f>IF(ROW()-3&gt;MAX($UV$4:$UV$40),"",INDEX($ET$4:$ET$40,MATCH(ROW()-3,$UV$4:$UV$40,0)))</f>
      </c>
      <c r="UX4" t="str">
        <f>IF(COUNTIF('Final Calculation Sheet'!$AL4:$BM4,0)+COUNTIF('Final Calculation Sheet'!$BO4:$BS4,0)&gt;0,0,1)</f>
      </c>
      <c r="UY4" t="str">
        <f>IF($EY$4="",FALSE,SUMPRODUCT(('Final Calculation Sheet'!$AC$4:$AC$40=$EY$4)*($UX$4:$UX$40=1))&gt;0)</f>
      </c>
      <c r="UZ4" t="str">
        <f>--($UY$4)</f>
      </c>
      <c r="VA4" t="str">
        <f>IF(ROW()-3&gt;MAX($UZ$4:$UZ$40),"",INDEX($EY$4:$EY$40,MATCH(ROW()-3,$UZ$4:$UZ$40,0)))</f>
      </c>
      <c r="VB4" t="str">
        <f>IF(COUNTIF('Final Calculation Sheet'!$AL4:$BN4,0)+COUNTIF('Final Calculation Sheet'!$BP4:$BS4,0)&gt;0,0,1)</f>
      </c>
      <c r="VC4" t="str">
        <f>IF($FD$4="",FALSE,SUMPRODUCT(('Final Calculation Sheet'!$AD$4:$AD$40=$FD$4)*($VB$4:$VB$40=1))&gt;0)</f>
      </c>
      <c r="VD4" t="str">
        <f>--($VC$4)</f>
      </c>
      <c r="VE4" t="str">
        <f>IF(ROW()-3&gt;MAX($VD$4:$VD$40),"",INDEX($FD$4:$FD$40,MATCH(ROW()-3,$VD$4:$VD$40,0)))</f>
      </c>
      <c r="VF4" t="str">
        <f>IF(COUNTIF('Final Calculation Sheet'!$AL4:$BO4,0)+COUNTIF('Final Calculation Sheet'!$BQ4:$BS4,0)&gt;0,0,1)</f>
      </c>
      <c r="VG4" t="str">
        <f>IF($FI$4="",FALSE,SUMPRODUCT(('Final Calculation Sheet'!$AE$4:$AE$40=$FI$4)*($VF$4:$VF$40=1))&gt;0)</f>
      </c>
      <c r="VH4" t="str">
        <f>--($VG$4)</f>
      </c>
      <c r="VI4" t="str">
        <f>IF(ROW()-3&gt;MAX($VH$4:$VH$40),"",INDEX($FI$4:$FI$40,MATCH(ROW()-3,$VH$4:$VH$40,0)))</f>
      </c>
      <c r="VJ4" t="str">
        <f>IF(COUNTIF('Final Calculation Sheet'!$AL4:$BP4,0)+COUNTIF('Final Calculation Sheet'!$BR4:$BS4,0)&gt;0,0,1)</f>
      </c>
      <c r="VK4" t="str">
        <f>IF($FN$4="",FALSE,SUMPRODUCT(('Final Calculation Sheet'!$AF$4:$AF$40=$FN$4)*($VJ$4:$VJ$40=1))&gt;0)</f>
      </c>
      <c r="VL4" t="str">
        <f>--($VK$4)</f>
      </c>
      <c r="VM4" t="str">
        <f>IF(ROW()-3&gt;MAX($VL$4:$VL$40),"",INDEX($FN$4:$FN$40,MATCH(ROW()-3,$VL$4:$VL$40,0)))</f>
      </c>
      <c r="VN4" t="str">
        <f>IF(COUNTIF('Final Calculation Sheet'!$AL4:$BQ4,0)+COUNTIF('Final Calculation Sheet'!$BS4:$BS4,0)&gt;0,0,1)</f>
      </c>
      <c r="VO4" t="str">
        <f>IF($FS$4="",FALSE,SUMPRODUCT(('Final Calculation Sheet'!$AG$4:$AG$40=$FS$4)*($VN$4:$VN$40=1))&gt;0)</f>
      </c>
      <c r="VP4" t="str">
        <f>--($VO$4)</f>
      </c>
      <c r="VQ4" t="str">
        <f>IF(ROW()-3&gt;MAX($VP$4:$VP$40),"",INDEX($FS$4:$FS$40,MATCH(ROW()-3,$VP$4:$VP$40,0)))</f>
      </c>
      <c r="VR4" t="str">
        <f>IF(COUNTIF('Final Calculation Sheet'!$AL4:$BR4,0)&gt;0,0,1)</f>
      </c>
      <c r="VS4" t="str">
        <f>IF($QO$4="",FALSE,SUMPRODUCT(('Final Calculation Sheet'!$AH$4:$AH$40=$QO$4)*($VR$4:$VR$40=1))&gt;0)</f>
      </c>
      <c r="VT4" t="str">
        <f>--($VS$4)</f>
      </c>
      <c r="VU4" t="str">
        <f>IF(ROW()-3&gt;MAX($VT$4:$VT$40),"",INDEX($QO$4:$QO$40,MATCH(ROW()-3,$VT$4:$VT$40,0)))</f>
      </c>
    </row>
    <row r="5">
      <c r="A5">
        <f>IF('Final Calculation Sheet'!$F$5="","",'Final Calculation Sheet'!$F$5)</f>
        <v/>
      </c>
      <c r="B5">
        <f>IF(A5="","",COUNTIFS(A$4:A$114,"&lt;"&amp;A5,A$4:A$114,"&lt;&gt;"&amp;"")+COUNTIF(A$4:A5,A5))</f>
        <v/>
      </c>
      <c r="C5">
        <f>IF(ROW()-3&gt;COUNTIF(A$4:A$114,"&lt;&gt;"&amp;""),"",INDEX(A$4:A$114,MATCH(ROW()-3,B$4:B$114,0)))</f>
        <v/>
      </c>
      <c r="D5">
        <f>D4+IF(AND(C5&lt;&gt;"",COUNTIF(C$4:C5,C5)=1),1,0)</f>
        <v/>
      </c>
      <c r="E5">
        <f>IF(ROW()-3&gt;MAX(D$4:D$114),"",INDEX(C$4:C$114,MATCH(ROW()-3,D$4:D$114,0)))</f>
        <v/>
      </c>
      <c r="F5">
        <f>ROW()-3</f>
        <v/>
      </c>
      <c r="G5">
        <f>IF(F5="","",COUNTIFS(F$4:F$40,"&lt;"&amp;F5,F$4:F$40,"&lt;&gt;"&amp;"")+COUNTIF(F$4:F5,F5))</f>
        <v/>
      </c>
      <c r="H5">
        <f>IF(ROW()-3&gt;COUNTIF(F$4:F$40,"&lt;&gt;"&amp;""),"",INDEX(F$4:F$40,MATCH(ROW()-3,G$4:G$40,0)))</f>
        <v/>
      </c>
      <c r="I5">
        <f>I4+IF(AND(H5&lt;&gt;"",COUNTIF(H$4:H5,H5)=1),1,0)</f>
        <v/>
      </c>
      <c r="J5">
        <f>IF(ROW()-3&gt;MAX(I$4:I$40),"",INDEX(H$4:H$40,MATCH(ROW()-3,I$4:I$40,0)))</f>
        <v/>
      </c>
      <c r="K5">
        <f>IF('Final Calculation Sheet'!$F$5="","",'Final Calculation Sheet'!$F$5)</f>
        <v/>
      </c>
      <c r="L5">
        <f>IF(K5="","",COUNTIFS(K$4:K$40,"&lt;"&amp;K5,K$4:K$40,"&lt;&gt;"&amp;"")+COUNTIF(K$4:K5,K5))</f>
        <v/>
      </c>
      <c r="M5">
        <f>IF(ROW()-3&gt;COUNTIF(K$4:K$40,"&lt;&gt;"&amp;""),"",INDEX(K$4:K$40,MATCH(ROW()-3,L$4:L$40,0)))</f>
        <v/>
      </c>
      <c r="N5">
        <f>N4+IF(AND(M5&lt;&gt;"",COUNTIF(M$4:M5,M5)=1),1,0)</f>
        <v/>
      </c>
      <c r="O5">
        <f>IF(ROW()-3&gt;MAX(N$4:N$40),"",INDEX(M$4:M$40,MATCH(ROW()-3,N$4:N$40,0)))</f>
        <v/>
      </c>
      <c r="P5">
        <f>IF('Final Calculation Sheet'!$G$5="","",'Final Calculation Sheet'!$G$5)</f>
        <v/>
      </c>
      <c r="Q5">
        <f>IF(P5="","",COUNTIFS(P$4:P$40,"&lt;"&amp;P5,P$4:P$40,"&lt;&gt;"&amp;"")+COUNTIF(P$4:P5,P5))</f>
        <v/>
      </c>
      <c r="R5">
        <f>IF(ROW()-3&gt;COUNTIF(P$4:P$40,"&lt;&gt;"&amp;""),"",INDEX(P$4:P$40,MATCH(ROW()-3,Q$4:Q$40,0)))</f>
        <v/>
      </c>
      <c r="S5">
        <f>S4+IF(AND(R5&lt;&gt;"",COUNTIF(R$4:R5,R5)=1),1,0)</f>
        <v/>
      </c>
      <c r="T5">
        <f>IF(ROW()-3&gt;MAX(S$4:S$40),"",INDEX(R$4:R$40,MATCH(ROW()-3,S$4:S$40,0)))</f>
        <v/>
      </c>
      <c r="U5">
        <f>IF('Final Calculation Sheet'!$B$5="","",'Final Calculation Sheet'!$B$5)</f>
        <v/>
      </c>
      <c r="V5">
        <f>IF(U5="","",COUNTIFS(U$4:U$40,"&lt;"&amp;U5,U$4:U$40,"&lt;&gt;"&amp;"")+COUNTIF(U$4:U5,U5))</f>
        <v/>
      </c>
      <c r="W5">
        <f>IF(ROW()-3&gt;COUNTIF(U$4:U$40,"&lt;&gt;"&amp;""),"",INDEX(U$4:U$40,MATCH(ROW()-3,V$4:V$40,0)))</f>
        <v/>
      </c>
      <c r="X5">
        <f>X4+IF(AND(W5&lt;&gt;"",COUNTIF(W$4:W5,W5)=1),1,0)</f>
        <v/>
      </c>
      <c r="Y5">
        <f>IF(ROW()-3&gt;MAX(X$4:X$40),"",INDEX(W$4:W$40,MATCH(ROW()-3,X$4:X$40,0)))</f>
        <v/>
      </c>
      <c r="Z5">
        <f>IF('Final Calculation Sheet'!$D$5="","",'Final Calculation Sheet'!$D$5)</f>
        <v/>
      </c>
      <c r="AA5">
        <f>IF(Z5="","",COUNTIFS(Z$4:Z$40,"&lt;"&amp;Z5,Z$4:Z$40,"&lt;&gt;"&amp;"")+COUNTIF(Z$4:Z5,Z5))</f>
        <v/>
      </c>
      <c r="AB5">
        <f>IF(ROW()-3&gt;COUNTIF(Z$4:Z$40,"&lt;&gt;"&amp;""),"",INDEX(Z$4:Z$40,MATCH(ROW()-3,AA$4:AA$40,0)))</f>
        <v/>
      </c>
      <c r="AC5">
        <f>AC4+IF(AND(AB5&lt;&gt;"",COUNTIF(AB$4:AB5,AB5)=1),1,0)</f>
        <v/>
      </c>
      <c r="AD5">
        <f>IF(ROW()-3&gt;MAX(AC$4:AC$40),"",INDEX(AB$4:AB$40,MATCH(ROW()-3,AC$4:AC$40,0)))</f>
        <v/>
      </c>
      <c r="AE5">
        <f>IF('Final Calculation Sheet'!$A$5="","",'Final Calculation Sheet'!$A$5)</f>
        <v/>
      </c>
      <c r="AF5">
        <f>IF(AE5="","",COUNTIFS(AE$4:AE$40,"&lt;"&amp;AE5,AE$4:AE$40,"&lt;&gt;"&amp;"")+COUNTIF(AE$4:AE5,AE5))</f>
        <v/>
      </c>
      <c r="AG5">
        <f>IF(ROW()-3&gt;COUNTIF(AE$4:AE$40,"&lt;&gt;"&amp;""),"",INDEX(AE$4:AE$40,MATCH(ROW()-3,AF$4:AF$40,0)))</f>
        <v/>
      </c>
      <c r="AH5">
        <f>AH4+IF(AND(AG5&lt;&gt;"",COUNTIF(AG$4:AG5,AG5)=1),1,0)</f>
        <v/>
      </c>
      <c r="AI5">
        <f>IF(ROW()-3&gt;MAX(AH$4:AH$40),"",INDEX(AG$4:AG$40,MATCH(ROW()-3,AH$4:AH$40,0)))</f>
        <v/>
      </c>
      <c r="AJ5">
        <f>IF('Final Calculation Sheet'!$E$5="","",'Final Calculation Sheet'!$E$5)</f>
        <v/>
      </c>
      <c r="AK5">
        <f>IF(AJ5="","",COUNTIFS(AJ$4:AJ$40,"&lt;"&amp;AJ5,AJ$4:AJ$40,"&lt;&gt;"&amp;"")+COUNTIF(AJ$4:AJ5,AJ5))</f>
        <v/>
      </c>
      <c r="AL5">
        <f>IF(ROW()-3&gt;COUNTIF(AJ$4:AJ$40,"&lt;&gt;"&amp;""),"",INDEX(AJ$4:AJ$40,MATCH(ROW()-3,AK$4:AK$40,0)))</f>
        <v/>
      </c>
      <c r="AM5">
        <f>AM4+IF(AND(AL5&lt;&gt;"",COUNTIF(AL$4:AL5,AL5)=1),1,0)</f>
        <v/>
      </c>
      <c r="AN5">
        <f>IF(ROW()-3&gt;MAX(AM$4:AM$40),"",INDEX(AL$4:AL$40,MATCH(ROW()-3,AM$4:AM$40,0)))</f>
        <v/>
      </c>
      <c r="AO5" s="55">
        <f>IF('Final Calculation Sheet'!$C$5="","",'Final Calculation Sheet'!$C$5)</f>
        <v/>
      </c>
      <c r="AP5">
        <f>IF(AO5="","",COUNTIFS(AO$4:AO$40,"&lt;"&amp;AO5,AO$4:AO$40,"&lt;&gt;"&amp;"")+COUNTIF(AO$4:AO5,AO5))</f>
        <v/>
      </c>
      <c r="AQ5" s="55">
        <f>IF(ROW()-3&gt;COUNTIF(AO$4:AO$40,"&lt;&gt;"&amp;""),"",INDEX(AO$4:AO$40,MATCH(ROW()-3,AP$4:AP$40,0)))</f>
        <v/>
      </c>
      <c r="AR5">
        <f>AR4+IF(AND(AQ5&lt;&gt;"",COUNTIF(AQ$4:AQ5,AQ5)=1),1,0)</f>
        <v/>
      </c>
      <c r="AS5" s="55">
        <f>IF(ROW()-3&gt;MAX(AR$4:AR$40),"",INDEX(AQ$4:AQ$40,MATCH(ROW()-3,AR$4:AR$40,0)))</f>
        <v/>
      </c>
      <c r="AT5" s="55">
        <f>IF('Final Calculation Sheet'!$H$5="","",'Final Calculation Sheet'!$H$5)</f>
        <v/>
      </c>
      <c r="AU5">
        <f>IF(AT5="","",COUNTIFS(AT$4:AT$40,"&lt;"&amp;AT5,AT$4:AT$40,"&lt;&gt;"&amp;"")+COUNTIF(AT$4:AT5,AT5))</f>
        <v/>
      </c>
      <c r="AV5" s="55">
        <f>IF(ROW()-3&gt;COUNTIF(AT$4:AT$40,"&lt;&gt;"&amp;""),"",INDEX(AT$4:AT$40,MATCH(ROW()-3,AU$4:AU$40,0)))</f>
        <v/>
      </c>
      <c r="AW5">
        <f>AW4+IF(AND(AV5&lt;&gt;"",COUNTIF(AV$4:AV5,AV5)=1),1,0)</f>
        <v/>
      </c>
      <c r="AX5" s="55">
        <f>IF(ROW()-3&gt;MAX(AW$4:AW$40),"",INDEX(AV$4:AV$40,MATCH(ROW()-3,AW$4:AW$40,0)))</f>
        <v/>
      </c>
      <c r="AY5" s="55">
        <f>IF('Final Calculation Sheet'!$I$5="","",'Final Calculation Sheet'!$I$5)</f>
        <v/>
      </c>
      <c r="AZ5">
        <f>IF(AY5="","",COUNTIFS(AY$4:AY$40,"&lt;"&amp;AY5,AY$4:AY$40,"&lt;&gt;"&amp;"")+COUNTIF(AY$4:AY5,AY5))</f>
        <v/>
      </c>
      <c r="BA5" s="55">
        <f>IF(ROW()-3&gt;COUNTIF(AY$4:AY$40,"&lt;&gt;"&amp;""),"",INDEX(AY$4:AY$40,MATCH(ROW()-3,AZ$4:AZ$40,0)))</f>
        <v/>
      </c>
      <c r="BB5">
        <f>BB4+IF(AND(BA5&lt;&gt;"",COUNTIF(BA$4:BA5,BA5)=1),1,0)</f>
        <v/>
      </c>
      <c r="BC5" s="55">
        <f>IF(ROW()-3&gt;MAX(BB$4:BB$40),"",INDEX(BA$4:BA$40,MATCH(ROW()-3,BB$4:BB$40,0)))</f>
        <v/>
      </c>
      <c r="BD5" s="55">
        <f>IF('Final Calculation Sheet'!$J$5="","",'Final Calculation Sheet'!$J$5)</f>
        <v/>
      </c>
      <c r="BE5">
        <f>IF(BD5="","",COUNTIFS(BD$4:BD$40,"&lt;"&amp;BD5,BD$4:BD$40,"&lt;&gt;"&amp;"")+COUNTIF(BD$4:BD5,BD5))</f>
        <v/>
      </c>
      <c r="BF5" s="55">
        <f>IF(ROW()-3&gt;COUNTIF(BD$4:BD$40,"&lt;&gt;"&amp;""),"",INDEX(BD$4:BD$40,MATCH(ROW()-3,BE$4:BE$40,0)))</f>
        <v/>
      </c>
      <c r="BG5">
        <f>BG4+IF(AND(BF5&lt;&gt;"",COUNTIF(BF$4:BF5,BF5)=1),1,0)</f>
        <v/>
      </c>
      <c r="BH5" s="55">
        <f>IF(ROW()-3&gt;MAX(BG$4:BG$40),"",INDEX(BF$4:BF$40,MATCH(ROW()-3,BG$4:BG$40,0)))</f>
        <v/>
      </c>
      <c r="BI5" s="55">
        <f>IF('Final Calculation Sheet'!$K$5="","",'Final Calculation Sheet'!$K$5)</f>
        <v/>
      </c>
      <c r="BJ5">
        <f>IF(BI5="","",COUNTIFS(BI$4:BI$40,"&lt;"&amp;BI5,BI$4:BI$40,"&lt;&gt;"&amp;"")+COUNTIF(BI$4:BI5,BI5))</f>
        <v/>
      </c>
      <c r="BK5" s="55">
        <f>IF(ROW()-3&gt;COUNTIF(BI$4:BI$40,"&lt;&gt;"&amp;""),"",INDEX(BI$4:BI$40,MATCH(ROW()-3,BJ$4:BJ$40,0)))</f>
        <v/>
      </c>
      <c r="BL5">
        <f>BL4+IF(AND(BK5&lt;&gt;"",COUNTIF(BK$4:BK5,BK5)=1),1,0)</f>
        <v/>
      </c>
      <c r="BM5" s="55">
        <f>IF(ROW()-3&gt;MAX(BL$4:BL$40),"",INDEX(BK$4:BK$40,MATCH(ROW()-3,BL$4:BL$40,0)))</f>
        <v/>
      </c>
      <c r="BN5" s="55">
        <f>IF('Final Calculation Sheet'!$L$5="","",'Final Calculation Sheet'!$L$5)</f>
        <v/>
      </c>
      <c r="BO5">
        <f>IF(BN5="","",COUNTIFS(BN$4:BN$40,"&lt;"&amp;BN5,BN$4:BN$40,"&lt;&gt;"&amp;"")+COUNTIF(BN$4:BN5,BN5))</f>
        <v/>
      </c>
      <c r="BP5" s="55">
        <f>IF(ROW()-3&gt;COUNTIF(BN$4:BN$40,"&lt;&gt;"&amp;""),"",INDEX(BN$4:BN$40,MATCH(ROW()-3,BO$4:BO$40,0)))</f>
        <v/>
      </c>
      <c r="BQ5">
        <f>BQ4+IF(AND(BP5&lt;&gt;"",COUNTIF(BP$4:BP5,BP5)=1),1,0)</f>
        <v/>
      </c>
      <c r="BR5" s="55">
        <f>IF(ROW()-3&gt;MAX(BQ$4:BQ$40),"",INDEX(BP$4:BP$40,MATCH(ROW()-3,BQ$4:BQ$40,0)))</f>
        <v/>
      </c>
      <c r="BS5" s="55">
        <f>IF('Final Calculation Sheet'!$M$5="","",'Final Calculation Sheet'!$M$5)</f>
        <v/>
      </c>
      <c r="BT5">
        <f>IF(BS5="","",COUNTIFS(BS$4:BS$40,"&lt;"&amp;BS5,BS$4:BS$40,"&lt;&gt;"&amp;"")+COUNTIF(BS$4:BS5,BS5))</f>
        <v/>
      </c>
      <c r="BU5" s="55">
        <f>IF(ROW()-3&gt;COUNTIF(BS$4:BS$40,"&lt;&gt;"&amp;""),"",INDEX(BS$4:BS$40,MATCH(ROW()-3,BT$4:BT$40,0)))</f>
        <v/>
      </c>
      <c r="BV5">
        <f>BV4+IF(AND(BU5&lt;&gt;"",COUNTIF(BU$4:BU5,BU5)=1),1,0)</f>
        <v/>
      </c>
      <c r="BW5" s="55">
        <f>IF(ROW()-3&gt;MAX(BV$4:BV$40),"",INDEX(BU$4:BU$40,MATCH(ROW()-3,BV$4:BV$40,0)))</f>
        <v/>
      </c>
      <c r="BX5" s="138">
        <f>IF('Final Calculation Sheet'!$N$5="","",'Final Calculation Sheet'!$N$5)</f>
        <v/>
      </c>
      <c r="BY5">
        <f>IF(BX5="","",COUNTIFS(BX$4:BX$40,"&lt;"&amp;BX5,BX$4:BX$40,"&lt;&gt;"&amp;"")+COUNTIF(BX$4:BX5,BX5))</f>
        <v/>
      </c>
      <c r="BZ5" s="138">
        <f>IF(ROW()-3&gt;COUNTIF(BX$4:BX$40,"&lt;&gt;"&amp;""),"",INDEX(BX$4:BX$40,MATCH(ROW()-3,BY$4:BY$40,0)))</f>
        <v/>
      </c>
      <c r="CA5">
        <f>CA4+IF(AND(BZ5&lt;&gt;"",COUNTIF(BZ$4:BZ5,BZ5)=1),1,0)</f>
        <v/>
      </c>
      <c r="CB5" s="138">
        <f>IF(ROW()-3&gt;MAX(CA$4:CA$40),"",INDEX(BZ$4:BZ$40,MATCH(ROW()-3,CA$4:CA$40,0)))</f>
        <v/>
      </c>
      <c r="CC5" s="55">
        <f>IF('Final Calculation Sheet'!$O$5="","",'Final Calculation Sheet'!$O$5)</f>
        <v/>
      </c>
      <c r="CD5">
        <f>IF(CC5="","",COUNTIFS(CC$4:CC$40,"&lt;"&amp;CC5,CC$4:CC$40,"&lt;&gt;"&amp;"")+COUNTIF(CC$4:CC5,CC5))</f>
        <v/>
      </c>
      <c r="CE5" s="55">
        <f>IF(ROW()-3&gt;COUNTIF(CC$4:CC$40,"&lt;&gt;"&amp;""),"",INDEX(CC$4:CC$40,MATCH(ROW()-3,CD$4:CD$40,0)))</f>
        <v/>
      </c>
      <c r="CF5">
        <f>CF4+IF(AND(CE5&lt;&gt;"",COUNTIF(CE$4:CE5,CE5)=1),1,0)</f>
        <v/>
      </c>
      <c r="CG5" s="55">
        <f>IF(ROW()-3&gt;MAX(CF$4:CF$40),"",INDEX(CE$4:CE$40,MATCH(ROW()-3,CF$4:CF$40,0)))</f>
        <v/>
      </c>
      <c r="CH5" s="55">
        <f>IF('Final Calculation Sheet'!$P$5="","",'Final Calculation Sheet'!$P$5)</f>
        <v/>
      </c>
      <c r="CI5">
        <f>IF(CH5="","",COUNTIFS(CH$4:CH$40,"&lt;"&amp;CH5,CH$4:CH$40,"&lt;&gt;"&amp;"")+COUNTIF(CH$4:CH5,CH5))</f>
        <v/>
      </c>
      <c r="CJ5" s="55">
        <f>IF(ROW()-3&gt;COUNTIF(CH$4:CH$40,"&lt;&gt;"&amp;""),"",INDEX(CH$4:CH$40,MATCH(ROW()-3,CI$4:CI$40,0)))</f>
        <v/>
      </c>
      <c r="CK5">
        <f>CK4+IF(AND(CJ5&lt;&gt;"",COUNTIF(CJ$4:CJ5,CJ5)=1),1,0)</f>
        <v/>
      </c>
      <c r="CL5" s="55">
        <f>IF(ROW()-3&gt;MAX(CK$4:CK$40),"",INDEX(CJ$4:CJ$40,MATCH(ROW()-3,CK$4:CK$40,0)))</f>
        <v/>
      </c>
      <c r="CM5" s="139">
        <f>IF('Final Calculation Sheet'!$Q$5="","",'Final Calculation Sheet'!$Q$5)</f>
        <v/>
      </c>
      <c r="CN5">
        <f>IF(CM5="","",COUNTIFS(CM$4:CM$40,"&lt;"&amp;CM5,CM$4:CM$40,"&lt;&gt;"&amp;"")+COUNTIF(CM$4:CM5,CM5))</f>
        <v/>
      </c>
      <c r="CO5" s="139">
        <f>IF(ROW()-3&gt;COUNTIF(CM$4:CM$40,"&lt;&gt;"&amp;""),"",INDEX(CM$4:CM$40,MATCH(ROW()-3,CN$4:CN$40,0)))</f>
        <v/>
      </c>
      <c r="CP5">
        <f>CP4+IF(AND(CO5&lt;&gt;"",COUNTIF(CO$4:CO5,CO5)=1),1,0)</f>
        <v/>
      </c>
      <c r="CQ5" s="139">
        <f>IF(ROW()-3&gt;MAX(CP$4:CP$40),"",INDEX(CO$4:CO$40,MATCH(ROW()-3,CP$4:CP$40,0)))</f>
        <v/>
      </c>
      <c r="CR5" s="55">
        <f>IF('Final Calculation Sheet'!$R$5="","",'Final Calculation Sheet'!$R$5)</f>
        <v/>
      </c>
      <c r="CS5">
        <f>IF(CR5="","",COUNTIFS(CR$4:CR$40,"&lt;"&amp;CR5,CR$4:CR$40,"&lt;&gt;"&amp;"")+COUNTIF(CR$4:CR5,CR5))</f>
        <v/>
      </c>
      <c r="CT5" s="55">
        <f>IF(ROW()-3&gt;COUNTIF(CR$4:CR$40,"&lt;&gt;"&amp;""),"",INDEX(CR$4:CR$40,MATCH(ROW()-3,CS$4:CS$40,0)))</f>
        <v/>
      </c>
      <c r="CU5">
        <f>CU4+IF(AND(CT5&lt;&gt;"",COUNTIF(CT$4:CT5,CT5)=1),1,0)</f>
        <v/>
      </c>
      <c r="CV5" s="55">
        <f>IF(ROW()-3&gt;MAX(CU$4:CU$40),"",INDEX(CT$4:CT$40,MATCH(ROW()-3,CU$4:CU$40,0)))</f>
        <v/>
      </c>
      <c r="CW5" s="55">
        <f>IF('Final Calculation Sheet'!$S$5="","",'Final Calculation Sheet'!$S$5)</f>
        <v/>
      </c>
      <c r="CX5">
        <f>IF(CW5="","",COUNTIFS(CW$4:CW$40,"&lt;"&amp;CW5,CW$4:CW$40,"&lt;&gt;"&amp;"")+COUNTIF(CW$4:CW5,CW5))</f>
        <v/>
      </c>
      <c r="CY5" s="55">
        <f>IF(ROW()-3&gt;COUNTIF(CW$4:CW$40,"&lt;&gt;"&amp;""),"",INDEX(CW$4:CW$40,MATCH(ROW()-3,CX$4:CX$40,0)))</f>
        <v/>
      </c>
      <c r="CZ5">
        <f>CZ4+IF(AND(CY5&lt;&gt;"",COUNTIF(CY$4:CY5,CY5)=1),1,0)</f>
        <v/>
      </c>
      <c r="DA5" s="55">
        <f>IF(ROW()-3&gt;MAX(CZ$4:CZ$40),"",INDEX(CY$4:CY$40,MATCH(ROW()-3,CZ$4:CZ$40,0)))</f>
        <v/>
      </c>
      <c r="DB5" s="55">
        <f>IF('Final Calculation Sheet'!$T$5="","",'Final Calculation Sheet'!$T$5)</f>
        <v/>
      </c>
      <c r="DC5">
        <f>IF(DB5="","",COUNTIFS(DB$4:DB$40,"&lt;"&amp;DB5,DB$4:DB$40,"&lt;&gt;"&amp;"")+COUNTIF(DB$4:DB5,DB5))</f>
        <v/>
      </c>
      <c r="DD5" s="55">
        <f>IF(ROW()-3&gt;COUNTIF(DB$4:DB$40,"&lt;&gt;"&amp;""),"",INDEX(DB$4:DB$40,MATCH(ROW()-3,DC$4:DC$40,0)))</f>
        <v/>
      </c>
      <c r="DE5">
        <f>DE4+IF(AND(DD5&lt;&gt;"",COUNTIF(DD$4:DD5,DD5)=1),1,0)</f>
        <v/>
      </c>
      <c r="DF5" s="55">
        <f>IF(ROW()-3&gt;MAX(DE$4:DE$40),"",INDEX(DD$4:DD$40,MATCH(ROW()-3,DE$4:DE$40,0)))</f>
        <v/>
      </c>
      <c r="DG5" s="140">
        <f>IF('Final Calculation Sheet'!$U$5="","",'Final Calculation Sheet'!$U$5)</f>
        <v/>
      </c>
      <c r="DH5">
        <f>IF(DG5="","",COUNTIFS(DG$4:DG$40,"&lt;"&amp;DG5,DG$4:DG$40,"&lt;&gt;"&amp;"")+COUNTIF(DG$4:DG5,DG5))</f>
        <v/>
      </c>
      <c r="DI5" s="140">
        <f>IF(ROW()-3&gt;COUNTIF(DG$4:DG$40,"&lt;&gt;"&amp;""),"",INDEX(DG$4:DG$40,MATCH(ROW()-3,DH$4:DH$40,0)))</f>
        <v/>
      </c>
      <c r="DJ5">
        <f>DJ4+IF(AND(DI5&lt;&gt;"",COUNTIF(DI$4:DI5,DI5)=1),1,0)</f>
        <v/>
      </c>
      <c r="DK5" s="140">
        <f>IF(ROW()-3&gt;MAX(DJ$4:DJ$40),"",INDEX(DI$4:DI$40,MATCH(ROW()-3,DJ$4:DJ$40,0)))</f>
        <v/>
      </c>
      <c r="DL5">
        <f>IF('Final Calculation Sheet'!$V$5="","",'Final Calculation Sheet'!$V$5)</f>
        <v/>
      </c>
      <c r="DM5">
        <f>IF(DL5="","",COUNTIFS(DL$4:DL$40,"&lt;"&amp;DL5,DL$4:DL$40,"&lt;&gt;"&amp;"")+COUNTIF(DL$4:DL5,DL5))</f>
        <v/>
      </c>
      <c r="DN5">
        <f>IF(ROW()-3&gt;COUNTIF(DL$4:DL$40,"&lt;&gt;"&amp;""),"",INDEX(DL$4:DL$40,MATCH(ROW()-3,DM$4:DM$40,0)))</f>
        <v/>
      </c>
      <c r="DO5">
        <f>DO4+IF(AND(DN5&lt;&gt;"",COUNTIF(DN$4:DN5,DN5)=1),1,0)</f>
        <v/>
      </c>
      <c r="DP5">
        <f>IF(ROW()-3&gt;MAX(DO$4:DO$40),"",INDEX(DN$4:DN$40,MATCH(ROW()-3,DO$4:DO$40,0)))</f>
        <v/>
      </c>
      <c r="DQ5" s="55">
        <f>IF('Final Calculation Sheet'!$W$5="","",'Final Calculation Sheet'!$W$5)</f>
        <v/>
      </c>
      <c r="DR5">
        <f>IF(DQ5="","",COUNTIFS(DQ$4:DQ$40,"&lt;"&amp;DQ5,DQ$4:DQ$40,"&lt;&gt;"&amp;"")+COUNTIF(DQ$4:DQ5,DQ5))</f>
        <v/>
      </c>
      <c r="DS5" s="55">
        <f>IF(ROW()-3&gt;COUNTIF(DQ$4:DQ$40,"&lt;&gt;"&amp;""),"",INDEX(DQ$4:DQ$40,MATCH(ROW()-3,DR$4:DR$40,0)))</f>
        <v/>
      </c>
      <c r="DT5">
        <f>DT4+IF(AND(DS5&lt;&gt;"",COUNTIF(DS$4:DS5,DS5)=1),1,0)</f>
        <v/>
      </c>
      <c r="DU5" s="55">
        <f>IF(ROW()-3&gt;MAX(DT$4:DT$40),"",INDEX(DS$4:DS$40,MATCH(ROW()-3,DT$4:DT$40,0)))</f>
        <v/>
      </c>
      <c r="DV5" s="55">
        <f>IF('Final Calculation Sheet'!$X$5="","",'Final Calculation Sheet'!$X$5)</f>
        <v/>
      </c>
      <c r="DW5">
        <f>IF(DV5="","",COUNTIFS(DV$4:DV$40,"&lt;"&amp;DV5,DV$4:DV$40,"&lt;&gt;"&amp;"")+COUNTIF(DV$4:DV5,DV5))</f>
        <v/>
      </c>
      <c r="DX5" s="55">
        <f>IF(ROW()-3&gt;COUNTIF(DV$4:DV$40,"&lt;&gt;"&amp;""),"",INDEX(DV$4:DV$40,MATCH(ROW()-3,DW$4:DW$40,0)))</f>
        <v/>
      </c>
      <c r="DY5">
        <f>DY4+IF(AND(DX5&lt;&gt;"",COUNTIF(DX$4:DX5,DX5)=1),1,0)</f>
        <v/>
      </c>
      <c r="DZ5">
        <f>IF(ROW()-3&gt;MAX(DY$4:DY$40),"",INDEX(DX$4:DX$40,MATCH(ROW()-3,DY$4:DY$40,0)))</f>
        <v/>
      </c>
      <c r="EA5">
        <f>IF('Final Calculation Sheet'!$Y$5="","",'Final Calculation Sheet'!$Y$5)</f>
        <v/>
      </c>
      <c r="EB5">
        <f>IF(EA5="","",COUNTIFS(EA$4:EA$40,"&lt;"&amp;EA5,EA$4:EA$40,"&lt;&gt;"&amp;"")+COUNTIF(EA$4:EA5,EA5))</f>
        <v/>
      </c>
      <c r="EC5" s="55">
        <f>IF(ROW()-3&gt;COUNTIF(EA$4:EA$40,"&lt;&gt;"&amp;""),"",INDEX(EA$4:EA$40,MATCH(ROW()-3,EB$4:EB$40,0)))</f>
        <v/>
      </c>
      <c r="ED5">
        <f>ED4+IF(AND(EC5&lt;&gt;"",COUNTIF(EC$4:EC5,EC5)=1),1,0)</f>
        <v/>
      </c>
      <c r="EE5">
        <f>IF(ROW()-3&gt;MAX(ED$4:ED$40),"",INDEX(EC$4:EC$40,MATCH(ROW()-3,ED$4:ED$40,0)))</f>
        <v/>
      </c>
      <c r="EF5" s="55">
        <f>IF('Final Calculation Sheet'!$Z$5="","",'Final Calculation Sheet'!$Z$5)</f>
        <v/>
      </c>
      <c r="EG5">
        <f>IF(EF5="","",COUNTIFS(EF$4:EF$40,"&lt;"&amp;EF5,EF$4:EF$40,"&lt;&gt;"&amp;"")+COUNTIF(EF$4:EF5,EF5))</f>
        <v/>
      </c>
      <c r="EH5" s="55">
        <f>IF(ROW()-3&gt;COUNTIF(EF$4:EF$40,"&lt;&gt;"&amp;""),"",INDEX(EF$4:EF$40,MATCH(ROW()-3,EG$4:EG$40,0)))</f>
        <v/>
      </c>
      <c r="EI5">
        <f>EI4+IF(AND(EH5&lt;&gt;"",COUNTIF(EH$4:EH5,EH5)=1),1,0)</f>
        <v/>
      </c>
      <c r="EJ5" s="55">
        <f>IF(ROW()-3&gt;MAX(EI$4:EI$40),"",INDEX(EH$4:EH$40,MATCH(ROW()-3,EI$4:EI$40,0)))</f>
        <v/>
      </c>
      <c r="EK5">
        <f>IF('Final Calculation Sheet'!$AA$5="","",'Final Calculation Sheet'!$AA$5)</f>
        <v/>
      </c>
      <c r="EL5">
        <f>IF(EK5="","",COUNTIFS(EK$4:EK$40,"&lt;"&amp;EK5,EK$4:EK$40,"&lt;&gt;"&amp;"")+COUNTIF(EK$4:EK5,EK5))</f>
        <v/>
      </c>
      <c r="EM5" s="55">
        <f>IF(ROW()-3&gt;COUNTIF(EK$4:EK$40,"&lt;&gt;"&amp;""),"",INDEX(EK$4:EK$40,MATCH(ROW()-3,EL$4:EL$40,0)))</f>
        <v/>
      </c>
      <c r="EN5">
        <f>EN4+IF(AND(EM5&lt;&gt;"",COUNTIF(EM$4:EM5,EM5)=1),1,0)</f>
        <v/>
      </c>
      <c r="EO5">
        <f>IF(ROW()-3&gt;MAX(EN$4:EN$40),"",INDEX(EM$4:EM$40,MATCH(ROW()-3,EN$4:EN$40,0)))</f>
        <v/>
      </c>
      <c r="EP5">
        <f>IF('Final Calculation Sheet'!$AB$5="","",'Final Calculation Sheet'!$AB$5)</f>
        <v/>
      </c>
      <c r="EQ5">
        <f>IF(EP5="","",COUNTIFS(EP$4:EP$40,"&lt;"&amp;EP5,EP$4:EP$40,"&lt;&gt;"&amp;"")+COUNTIF(EP$4:EP5,EP5))</f>
        <v/>
      </c>
      <c r="ER5">
        <f>IF(ROW()-3&gt;COUNTIF(EP$4:EP$40,"&lt;&gt;"&amp;""),"",INDEX(EP$4:EP$40,MATCH(ROW()-3,EQ$4:EQ$40,0)))</f>
        <v/>
      </c>
      <c r="ES5">
        <f>ES4+IF(AND(ER5&lt;&gt;"",COUNTIF(ER$4:ER5,ER5)=1),1,0)</f>
        <v/>
      </c>
      <c r="ET5">
        <f>IF(ROW()-3&gt;MAX(ES$4:ES$40),"",INDEX(ER$4:ER$40,MATCH(ROW()-3,ES$4:ES$40,0)))</f>
        <v/>
      </c>
      <c r="EU5" s="55">
        <f>IF('Final Calculation Sheet'!$AC$5="","",'Final Calculation Sheet'!$AC$5)</f>
        <v/>
      </c>
      <c r="EV5">
        <f>IF(EU5="","",COUNTIFS(EU$4:EU$40,"&lt;"&amp;EU5,EU$4:EU$40,"&lt;&gt;"&amp;"")+COUNTIF(EU$4:EU5,EU5))</f>
        <v/>
      </c>
      <c r="EW5" s="55">
        <f>IF(ROW()-3&gt;COUNTIF(EU$4:EU$40,"&lt;&gt;"&amp;""),"",INDEX(EU$4:EU$40,MATCH(ROW()-3,EV$4:EV$40,0)))</f>
        <v/>
      </c>
      <c r="EX5">
        <f>EX4+IF(AND(EW5&lt;&gt;"",COUNTIF(EW$4:EW5,EW5)=1),1,0)</f>
        <v/>
      </c>
      <c r="EY5" s="55">
        <f>IF(ROW()-3&gt;MAX(EX$4:EX$40),"",INDEX(EW$4:EW$40,MATCH(ROW()-3,EX$4:EX$40,0)))</f>
        <v/>
      </c>
      <c r="EZ5" s="55">
        <f>IF('Final Calculation Sheet'!$AD$5="","",'Final Calculation Sheet'!$AD$5)</f>
        <v/>
      </c>
      <c r="FA5">
        <f>IF(EZ5="","",COUNTIFS(EZ$4:EZ$40,"&lt;"&amp;EZ5,EZ$4:EZ$40,"&lt;&gt;"&amp;"")+COUNTIF(EZ$4:EZ5,EZ5))</f>
        <v/>
      </c>
      <c r="FB5" s="55">
        <f>IF(ROW()-3&gt;COUNTIF(EZ$4:EZ$40,"&lt;&gt;"&amp;""),"",INDEX(EZ$4:EZ$40,MATCH(ROW()-3,FA$4:FA$40,0)))</f>
        <v/>
      </c>
      <c r="FC5">
        <f>FC4+IF(AND(FB5&lt;&gt;"",COUNTIF(FB$4:FB5,FB5)=1),1,0)</f>
        <v/>
      </c>
      <c r="FD5" s="55">
        <f>IF(ROW()-3&gt;MAX(FC$4:FC$40),"",INDEX(FB$4:FB$40,MATCH(ROW()-3,FC$4:FC$40,0)))</f>
        <v/>
      </c>
      <c r="FE5">
        <f>IF('Final Calculation Sheet'!$AF$5="","",'Final Calculation Sheet'!$AF$5)</f>
        <v/>
      </c>
      <c r="FF5">
        <f>IF(FE5="","",COUNTIFS(FE$4:FE$40,"&lt;"&amp;FE5,FE$4:FE$40,"&lt;&gt;"&amp;"")+COUNTIF(FE$4:FE5,FE5))</f>
        <v/>
      </c>
      <c r="FG5">
        <f>IF(ROW()-3&gt;COUNTIF(FE$4:FE$40,"&lt;&gt;"&amp;""),"",INDEX(FE$4:FE$40,MATCH(ROW()-3,FF$4:FF$40,0)))</f>
        <v/>
      </c>
      <c r="FH5">
        <f>FH4+IF(AND(FG5&lt;&gt;"",COUNTIF(FG$4:FG5,FG5)=1),1,0)</f>
        <v/>
      </c>
      <c r="FI5">
        <f>IF(ROW()-3&gt;MAX(FH$4:FH$40),"",INDEX(FG$4:FG$40,MATCH(ROW()-3,FH$4:FH$40,0)))</f>
        <v/>
      </c>
      <c r="FJ5" s="141">
        <f>IF('Final Calculation Sheet'!$AG$5="","",'Final Calculation Sheet'!$AG$5)</f>
        <v/>
      </c>
      <c r="FK5">
        <f>IF(FJ5="","",COUNTIFS(FJ$4:FJ$40,"&lt;"&amp;FJ5,FJ$4:FJ$40,"&lt;&gt;"&amp;"")+COUNTIF(FJ$4:FJ5,FJ5))</f>
        <v/>
      </c>
      <c r="FL5" s="141">
        <f>IF(ROW()-3&gt;COUNTIF(FJ$4:FJ$40,"&lt;&gt;"&amp;""),"",INDEX(FJ$4:FJ$40,MATCH(ROW()-3,FK$4:FK$40,0)))</f>
        <v/>
      </c>
      <c r="FM5">
        <f>FM4+IF(AND(FL5&lt;&gt;"",COUNTIF(FL$4:FL5,FL5)=1),1,0)</f>
        <v/>
      </c>
      <c r="FN5">
        <f>IF(ROW()-3&gt;MAX(FM$4:FM$40),"",INDEX(FL$4:FL$40,MATCH(ROW()-3,FM$4:FM$40,0)))</f>
        <v/>
      </c>
      <c r="FO5">
        <f>IF('Final Calculation Sheet'!$AH$5="","",'Final Calculation Sheet'!$AH$5)</f>
        <v/>
      </c>
      <c r="FP5">
        <f>IF(FO5="","",COUNTIFS(FO$4:FO$40,"&lt;"&amp;FO5,FO$4:FO$40,"&lt;&gt;"&amp;"")+COUNTIF(FO$4:FO5,FO5))</f>
        <v/>
      </c>
      <c r="FQ5">
        <f>IF(ROW()-3&gt;COUNTIF(FO$4:FO$40,"&lt;&gt;"&amp;""),"",INDEX(FO$4:FO$40,MATCH(ROW()-3,FP$4:FP$40,0)))</f>
        <v/>
      </c>
      <c r="FR5">
        <f>FR4+IF(AND(FQ5&lt;&gt;"",COUNTIF(FQ$4:FQ5,FQ5)=1),1,0)</f>
        <v/>
      </c>
      <c r="FS5">
        <f>IF(ROW()-3&gt;MAX(FR$4:FR$40),"",INDEX(FQ$4:FQ$40,MATCH(ROW()-3,FR$4:FR$40,0)))</f>
        <v/>
      </c>
      <c r="FT5" t="inlineStr">
        <is>
          <t>OUTSTANDING</t>
        </is>
      </c>
      <c r="FU5">
        <f>IF(FT5="","",COUNTIFS(FT$4:FT$40,"&lt;"&amp;FT5,FT$4:FT$40,"&lt;&gt;"&amp;"")+COUNTIF(FT$4:FT5,FT5))</f>
        <v/>
      </c>
      <c r="FV5">
        <f>IF(ROW()-3&gt;COUNTIF(FT$4:FT$40,"&lt;&gt;"&amp;""),"",INDEX(FT$4:FT$40,MATCH(ROW()-3,FU$4:FU$40,0)))</f>
        <v/>
      </c>
      <c r="FW5">
        <f>FW4+IF(AND(FV5&lt;&gt;"",COUNTIF(FV$4:FV5,FV5)=1),1,0)</f>
        <v/>
      </c>
      <c r="FX5">
        <f>IF(ROW()-3&gt;MAX(FW$4:FW$40),"",INDEX(FV$4:FV$40,MATCH(ROW()-3,FW$4:FW$40,0)))</f>
        <v/>
      </c>
      <c r="FZ5">
        <f>IF($Y$5="",FALSE,SUMPRODUCT(('Final Calculation Sheet'!$B$4:$B$40=$Y$5)*($FY$6:$FY$42=1))&gt;0)</f>
        <v/>
      </c>
      <c r="GA5">
        <f>$GA$4+--($FZ$5)</f>
        <v/>
      </c>
      <c r="GB5">
        <f>IF(ROW()-3&gt;MAX($GA$4:$GA$40),"",INDEX($Y$4:$Y$40,MATCH(ROW()-3,$GA$4:$GA$40,0)))</f>
        <v/>
      </c>
      <c r="GD5">
        <f>IF($O$5="",FALSE,SUMPRODUCT(('Final Calculation Sheet'!$F$4:$F$40=$O$5)*($GC$6:$GC$42=1))&gt;0)</f>
        <v/>
      </c>
      <c r="GE5">
        <f>$GE$4+--($GD5)</f>
        <v/>
      </c>
      <c r="GF5">
        <f>IF(ROW()-3&gt;MAX($GE$4:$GE$40),"",INDEX($O$4:$O$40,MATCH(ROW()-3,$GE$4:$GE$40,0)))</f>
        <v/>
      </c>
      <c r="GH5">
        <f>IF($T$5="",FALSE,SUMPRODUCT(('Final Calculation Sheet'!$G$4:$G$40=$T$5)*($GG$6:$GG$42=1))&gt;0)</f>
        <v/>
      </c>
      <c r="GI5">
        <f>$GI$4+--($GH5)</f>
        <v/>
      </c>
      <c r="GJ5">
        <f>IF(ROW()-3&gt;MAX($GI$4:$GI$40),"",INDEX($T$4:$T$40,MATCH(ROW()-3,$GI$4:$GI$40,0)))</f>
        <v/>
      </c>
      <c r="GL5">
        <f>IF($AD$5="",FALSE,SUMPRODUCT(('Final Calculation Sheet'!$D$4:$D$40=$AD$5)*($GK$6:$GK$42=1))&gt;0)</f>
        <v/>
      </c>
      <c r="GM5">
        <f>$GM$4+--($GL5)</f>
        <v/>
      </c>
      <c r="GN5">
        <f>IF(ROW()-3&gt;MAX($GM$4:$GM$40),"",INDEX($AD$4:$AD$40,MATCH(ROW()-3,$GM$4:$GM$40,0)))</f>
        <v/>
      </c>
      <c r="GP5">
        <f>IF($AI$5="",FALSE,SUMPRODUCT(('Final Calculation Sheet'!$A$4:$A$40=$AI$5)*($GO$6:$GO$42=1))&gt;0)</f>
        <v/>
      </c>
      <c r="GQ5">
        <f>$GQ$4+--($GP5)</f>
        <v/>
      </c>
      <c r="GR5">
        <f>IF(ROW()-3&gt;MAX($GQ$4:$GQ$40),"",INDEX($AI$4:$AI$40,MATCH(ROW()-3,$GQ$4:$GQ$40,0)))</f>
        <v/>
      </c>
      <c r="GT5">
        <f>IF($AN$5="",FALSE,SUMPRODUCT(('Final Calculation Sheet'!$E$4:$E$40=$AN$5)*($GS$6:$GS$42=1))&gt;0)</f>
        <v/>
      </c>
      <c r="GU5">
        <f>$GU$4+--($GT5)</f>
        <v/>
      </c>
      <c r="GV5">
        <f>IF(ROW()-3&gt;MAX($GU$4:$GU$40),"",INDEX($AN$4:$AN$40,MATCH(ROW()-3,$GU$4:$GU$40,0)))</f>
        <v/>
      </c>
      <c r="GX5">
        <f>IF($AS$5="",FALSE,SUMPRODUCT(('Final Calculation Sheet'!$C$4:$C$40=$AS$5)*($GW$6:$GW$42=1))&gt;0)</f>
        <v/>
      </c>
      <c r="GY5">
        <f>$GY$4+--($GX5)</f>
        <v/>
      </c>
      <c r="GZ5">
        <f>IF(ROW()-3&gt;MAX($GY$4:$GY$40),"",INDEX($AS$4:$AS$40,MATCH(ROW()-3,$GY$4:$GY$40,0)))</f>
        <v/>
      </c>
      <c r="HB5">
        <f>IF($AX$5="",FALSE,SUMPRODUCT(('Final Calculation Sheet'!$H$4:$H$40=$AX$5)*($HA$6:$HA$42=1))&gt;0)</f>
        <v/>
      </c>
      <c r="HC5">
        <f>$HC$4+--($HB5)</f>
        <v/>
      </c>
      <c r="HD5">
        <f>IF(ROW()-3&gt;MAX($HC$4:$HC$40),"",INDEX($AX$4:$AX$40,MATCH(ROW()-3,$HC$4:$HC$40,0)))</f>
        <v/>
      </c>
      <c r="HF5">
        <f>IF($BC$5="",FALSE,SUMPRODUCT(('Final Calculation Sheet'!$I$4:$I$40=$BC$5)*($HE$6:$HE$42=1))&gt;0)</f>
        <v/>
      </c>
      <c r="HG5">
        <f>$HG$4+--($HF5)</f>
        <v/>
      </c>
      <c r="HH5">
        <f>IF(ROW()-3&gt;MAX($HG$4:$HG$40),"",INDEX($BC$4:$BC$40,MATCH(ROW()-3,$HG$4:$HG$40,0)))</f>
        <v/>
      </c>
      <c r="HJ5">
        <f>IF($BH$5="",FALSE,SUMPRODUCT(('Final Calculation Sheet'!$J$4:$J$40=$BH$5)*($HI$6:$HI$42=1))&gt;0)</f>
        <v/>
      </c>
      <c r="HK5">
        <f>$HK$4+--($HJ5)</f>
        <v/>
      </c>
      <c r="HL5">
        <f>IF(ROW()-3&gt;MAX($HK$4:$HK$40),"",INDEX($BH$4:$BH$40,MATCH(ROW()-3,$HK$4:$HK$40,0)))</f>
        <v/>
      </c>
      <c r="HN5">
        <f>IF($BM$5="",FALSE,SUMPRODUCT(('Final Calculation Sheet'!$K$4:$K$40=$BM$5)*($HM$6:$HM$42=1))&gt;0)</f>
        <v/>
      </c>
      <c r="HO5">
        <f>$HO$4+--($HN5)</f>
        <v/>
      </c>
      <c r="HP5">
        <f>IF(ROW()-3&gt;MAX($HO$4:$HO$40),"",INDEX($BM$4:$BM$40,MATCH(ROW()-3,$HO$4:$HO$40,0)))</f>
        <v/>
      </c>
      <c r="HR5">
        <f>IF($BR$5="",FALSE,SUMPRODUCT(('Final Calculation Sheet'!$L$4:$L$40=$BR$5)*($HQ$6:$HQ$42=1))&gt;0)</f>
        <v/>
      </c>
      <c r="HS5">
        <f>$HS$4+--($HR5)</f>
        <v/>
      </c>
      <c r="HT5">
        <f>IF(ROW()-3&gt;MAX($HS$4:$HS$40),"",INDEX($BR$4:$BR$40,MATCH(ROW()-3,$HS$4:$HS$40,0)))</f>
        <v/>
      </c>
      <c r="HV5">
        <f>IF($BW$5="",FALSE,SUMPRODUCT(('Final Calculation Sheet'!$M$4:$M$40=$BW$5)*($HU$6:$HU$42=1))&gt;0)</f>
        <v/>
      </c>
      <c r="HW5">
        <f>$HW$4+--($HV5)</f>
        <v/>
      </c>
      <c r="HX5">
        <f>IF(ROW()-3&gt;MAX($HW$4:$HW$40),"",INDEX($BW$4:$BW$40,MATCH(ROW()-3,$HW$4:$HW$40,0)))</f>
        <v/>
      </c>
      <c r="HZ5">
        <f>IF($CB$5="",FALSE,SUMPRODUCT(('Final Calculation Sheet'!$N$4:$N$40=$CB$5)*($HY$6:$HY$42=1))&gt;0)</f>
        <v/>
      </c>
      <c r="IA5">
        <f>$IA$4+--($HZ5)</f>
        <v/>
      </c>
      <c r="IB5">
        <f>IF(ROW()-3&gt;MAX($IA$4:$IA$40),"",INDEX($CB$4:$CB$40,MATCH(ROW()-3,$IA$4:$IA$40,0)))</f>
        <v/>
      </c>
      <c r="ID5">
        <f>IF($CG$5="",FALSE,SUMPRODUCT(('Final Calculation Sheet'!$O$4:$O$40=$CG$5)*($IC$6:$IC$42=1))&gt;0)</f>
        <v/>
      </c>
      <c r="IE5">
        <f>$IE$4+--($ID5)</f>
        <v/>
      </c>
      <c r="IF5">
        <f>IF(ROW()-3&gt;MAX($IE$4:$IE$40),"",INDEX($CG$4:$CG$40,MATCH(ROW()-3,$IE$4:$IE$40,0)))</f>
        <v/>
      </c>
      <c r="IH5">
        <f>IF($CL$5="",FALSE,SUMPRODUCT(('Final Calculation Sheet'!$P$4:$P$40=$CL$5)*($IG$6:$IG$42=1))&gt;0)</f>
        <v/>
      </c>
      <c r="II5">
        <f>$II$4+--($IH5)</f>
        <v/>
      </c>
      <c r="IJ5">
        <f>IF(ROW()-3&gt;MAX($II$4:$II$40),"",INDEX($CL$4:$CL$40,MATCH(ROW()-3,$II$4:$II$40,0)))</f>
        <v/>
      </c>
      <c r="IL5">
        <f>IF($CQ$5="",FALSE,SUMPRODUCT(('Final Calculation Sheet'!$Q$4:$Q$40=$CQ$5)*($IK$6:$IK$42=1))&gt;0)</f>
        <v/>
      </c>
      <c r="IM5">
        <f>$IM$4+--($IL5)</f>
        <v/>
      </c>
      <c r="IN5">
        <f>IF(ROW()-3&gt;MAX($IM$4:$IM$40),"",INDEX($CQ$4:$CQ$40,MATCH(ROW()-3,$IM$4:$IM$40,0)))</f>
        <v/>
      </c>
      <c r="IP5">
        <f>IF($CV$5="",FALSE,SUMPRODUCT(('Final Calculation Sheet'!$R$4:$R$40=$CV$5)*($IO$6:$IO$42=1))&gt;0)</f>
        <v/>
      </c>
      <c r="IQ5">
        <f>$IQ$4+--($IP5)</f>
        <v/>
      </c>
      <c r="IR5">
        <f>IF(ROW()-3&gt;MAX($IQ$4:$IQ$40),"",INDEX($CV$4:$CV$40,MATCH(ROW()-3,$IQ$4:$IQ$40,0)))</f>
        <v/>
      </c>
      <c r="IT5">
        <f>IF($DA$5="",FALSE,SUMPRODUCT(('Final Calculation Sheet'!$S$4:$S$40=$DA$5)*($IS$6:$IS$42=1))&gt;0)</f>
        <v/>
      </c>
      <c r="IU5">
        <f>$IU$4+--($IT5)</f>
        <v/>
      </c>
      <c r="IV5">
        <f>IF(ROW()-3&gt;MAX($IU$4:$IU$40),"",INDEX($DA$4:$DA$40,MATCH(ROW()-3,$IU$4:$IU$40,0)))</f>
        <v/>
      </c>
      <c r="IX5">
        <f>IF($DF$5="",FALSE,SUMPRODUCT(('Final Calculation Sheet'!$T$4:$T$40=$DF$5)*($IW$6:$IW$42=1))&gt;0)</f>
        <v/>
      </c>
      <c r="IY5">
        <f>$IY$4+--($IX5)</f>
        <v/>
      </c>
      <c r="IZ5">
        <f>IF(ROW()-3&gt;MAX($IY$4:$IY$40),"",INDEX($DF$4:$DF$40,MATCH(ROW()-3,$IY$4:$IY$40,0)))</f>
        <v/>
      </c>
      <c r="JB5">
        <f>IF($DK$5="",FALSE,SUMPRODUCT(('Final Calculation Sheet'!$U$4:$U$40=$DK$5)*($JA$6:$JA$42=1))&gt;0)</f>
        <v/>
      </c>
      <c r="JC5">
        <f>$JC$4+--($JB5)</f>
        <v/>
      </c>
      <c r="JD5">
        <f>IF(ROW()-3&gt;MAX($JC$4:$JC$40),"",INDEX($DK$4:$DK$40,MATCH(ROW()-3,$JC$4:$JC$40,0)))</f>
        <v/>
      </c>
      <c r="JF5">
        <f>IF($DP$5="",FALSE,SUMPRODUCT(('Final Calculation Sheet'!$V$4:$V$40=$DP$5)*($JE$6:$JE$42=1))&gt;0)</f>
        <v/>
      </c>
      <c r="JG5">
        <f>$JG$4+--($JF5)</f>
        <v/>
      </c>
      <c r="JH5">
        <f>IF(ROW()-3&gt;MAX($JG$4:$JG$40),"",INDEX($DP$4:$DP$40,MATCH(ROW()-3,$JG$4:$JG$40,0)))</f>
        <v/>
      </c>
      <c r="JJ5">
        <f>IF($DU$5="",FALSE,SUMPRODUCT(('Final Calculation Sheet'!$W$4:$W$40=$DU$5)*($JI$6:$JI$42=1))&gt;0)</f>
        <v/>
      </c>
      <c r="JK5">
        <f>$JK$4+--($JJ5)</f>
        <v/>
      </c>
      <c r="JL5">
        <f>IF(ROW()-3&gt;MAX($JK$4:$JK$40),"",INDEX($DU$4:$DU$40,MATCH(ROW()-3,$JK$4:$JK$40,0)))</f>
        <v/>
      </c>
      <c r="JN5">
        <f>IF($DZ$5="",FALSE,SUMPRODUCT(('Final Calculation Sheet'!$X$4:$X$40=$DZ$5)*($JM$6:$JM$42=1))&gt;0)</f>
        <v/>
      </c>
      <c r="JO5">
        <f>$JO$4+--($JN5)</f>
        <v/>
      </c>
      <c r="JP5">
        <f>IF(ROW()-3&gt;MAX($JO$4:$JO$40),"",INDEX($DZ$4:$DZ$40,MATCH(ROW()-3,$JO$4:$JO$40,0)))</f>
        <v/>
      </c>
      <c r="JR5">
        <f>IF($EE$5="",FALSE,SUMPRODUCT(('Final Calculation Sheet'!$Y$4:$Y$40=$EE$5)*($JQ$6:$JQ$42=1))&gt;0)</f>
        <v/>
      </c>
      <c r="JS5">
        <f>$JS$4+--($JR5)</f>
        <v/>
      </c>
      <c r="JT5">
        <f>IF(ROW()-3&gt;MAX($JS$4:$JS$40),"",INDEX($EE$4:$EE$40,MATCH(ROW()-3,$JS$4:$JS$40,0)))</f>
        <v/>
      </c>
      <c r="JV5">
        <f>IF($EJ$5="",FALSE,SUMPRODUCT(('Final Calculation Sheet'!$Z$4:$Z$40=$EJ$5)*($JU$6:$JU$42=1))&gt;0)</f>
        <v/>
      </c>
      <c r="JW5">
        <f>$JW$4+--($JV5)</f>
        <v/>
      </c>
      <c r="JX5">
        <f>IF(ROW()-3&gt;MAX($JW$4:$JW$40),"",INDEX($EJ$4:$EJ$40,MATCH(ROW()-3,$JW$4:$JW$40,0)))</f>
        <v/>
      </c>
      <c r="JZ5">
        <f>IF($EO$5="",FALSE,SUMPRODUCT(('Final Calculation Sheet'!$AA$4:$AA$40=$EO$5)*($JY$6:$JY$42=1))&gt;0)</f>
        <v/>
      </c>
      <c r="KA5">
        <f>$KA$4+--($JZ5)</f>
        <v/>
      </c>
      <c r="KB5">
        <f>IF(ROW()-3&gt;MAX($KA$4:$KA$40),"",INDEX($EO$4:$EO$40,MATCH(ROW()-3,$KA$4:$KA$40,0)))</f>
        <v/>
      </c>
      <c r="KD5">
        <f>IF($ET$5="",FALSE,SUMPRODUCT(('Final Calculation Sheet'!$AB$4:$AB$40=$ET$5)*($KC$6:$KC$42=1))&gt;0)</f>
        <v/>
      </c>
      <c r="KE5">
        <f>$KE$4+--($KD5)</f>
        <v/>
      </c>
      <c r="KF5">
        <f>IF(ROW()-3&gt;MAX($KE$4:$KE$40),"",INDEX($ET$4:$ET$40,MATCH(ROW()-3,$KE$4:$KE$40,0)))</f>
        <v/>
      </c>
      <c r="KH5">
        <f>IF($EY$5="",FALSE,SUMPRODUCT(('Final Calculation Sheet'!$AC$4:$AC$40=$EY$5)*($KG$6:$KG$42=1))&gt;0)</f>
        <v/>
      </c>
      <c r="KI5">
        <f>$KI$4+--($KH5)</f>
        <v/>
      </c>
      <c r="KJ5">
        <f>IF(ROW()-3&gt;MAX($KI$4:$KI$40),"",INDEX($EY$4:$EY$40,MATCH(ROW()-3,$KI$4:$KI$40,0)))</f>
        <v/>
      </c>
      <c r="KL5">
        <f>IF($FD$5="",FALSE,SUMPRODUCT(('Final Calculation Sheet'!$AD$4:$AD$40=$FD$5)*($KK$6:$KK$42=1))&gt;0)</f>
        <v/>
      </c>
      <c r="KM5">
        <f>$KM$4+--($KL5)</f>
        <v/>
      </c>
      <c r="KN5">
        <f>IF(ROW()-3&gt;MAX($KM$4:$KM$40),"",INDEX($FD$4:$FD$40,MATCH(ROW()-3,$KM$4:$KM$40,0)))</f>
        <v/>
      </c>
      <c r="KP5">
        <f>IF($FX$5="",FALSE,SUMPRODUCT((IF('Final Calculation Sheet'!$AD$4:$AD$40&lt;=5,"SETTLED","OUTSTANDING")=$FX$5)*($KO$6:$KO$42=1))&gt;0)</f>
        <v/>
      </c>
      <c r="KQ5">
        <f>$KQ$4+--($KP5)</f>
        <v/>
      </c>
      <c r="KR5">
        <f>IF(ROW()-3&gt;MAX($KQ$4:$KQ$40),"",INDEX($FX$4:$FX$40,MATCH(ROW()-3,$KQ$4:$KQ$40,0)))</f>
        <v/>
      </c>
      <c r="KT5">
        <f>IF($FI$5="",FALSE,SUMPRODUCT(('Final Calculation Sheet'!$AF$4:$AF$40=$FI$5)*($KS$6:$KS$42=1))&gt;0)</f>
        <v/>
      </c>
      <c r="KU5">
        <f>$KU$4+--($KT5)</f>
        <v/>
      </c>
      <c r="KV5">
        <f>IF(ROW()-3&gt;MAX($KU$4:$KU$40),"",INDEX($FI$4:$FI$40,MATCH(ROW()-3,$KU$4:$KU$40,0)))</f>
        <v/>
      </c>
      <c r="KX5">
        <f>IF($FN$5="",FALSE,SUMPRODUCT(('Final Calculation Sheet'!$AG$4:$AG$40=$FN$5)*($KW$6:$KW$42=1))&gt;0)</f>
        <v/>
      </c>
      <c r="KY5">
        <f>$KY$4+--($KX5)</f>
        <v/>
      </c>
      <c r="KZ5">
        <f>IF(ROW()-3&gt;MAX($KY$4:$KY$40),"",INDEX($FN$4:$FN$40,MATCH(ROW()-3,$KY$4:$KY$40,0)))</f>
        <v/>
      </c>
      <c r="LB5">
        <f>IF($FS$5="",FALSE,SUMPRODUCT(('Final Calculation Sheet'!$AH$4:$AH$40=$FS$5)*($LA$6:$LA$42=1))&gt;0)</f>
        <v/>
      </c>
      <c r="LC5">
        <f>$LC$4+--($LB5)</f>
        <v/>
      </c>
      <c r="LD5">
        <f>IF(ROW()-3&gt;MAX($LC$4:$LC$40),"",INDEX($FS$4:$FS$40,MATCH(ROW()-3,$LC$4:$LC$40,0)))</f>
        <v/>
      </c>
      <c r="LF5">
        <f>IF($O$5="",FALSE,SUMPRODUCT(('Final Calculation Sheet'!$F$4:$F$40=$O$5)*($LE$6:$LE$42=1))&gt;0)</f>
        <v/>
      </c>
      <c r="LG5">
        <f>$LG$4+--($LF5)</f>
        <v/>
      </c>
      <c r="LH5">
        <f>IF(ROW()-3&gt;MAX($LG$4:$LG$40),"",INDEX($O$4:$O$40,MATCH(ROW()-3,$LG$4:$LG$40,0)))</f>
        <v/>
      </c>
      <c r="LJ5">
        <f>IF($T$5="",FALSE,SUMPRODUCT(('Final Calculation Sheet'!$G$4:$G$40=$T$5)*($LI$6:$LI$42=1))&gt;0)</f>
        <v/>
      </c>
      <c r="LK5">
        <f>$LK$4+--($LJ5)</f>
        <v/>
      </c>
      <c r="LL5">
        <f>IF(ROW()-3&gt;MAX($LK$4:$LK$40),"",INDEX($T$4:$T$40,MATCH(ROW()-3,$LK$4:$LK$40,0)))</f>
        <v/>
      </c>
      <c r="LN5">
        <f>IF($Y$5="",FALSE,SUMPRODUCT(('Final Calculation Sheet'!$B$4:$B$40=$Y$5)*($LM$6:$LM$42=1))&gt;0)</f>
        <v/>
      </c>
      <c r="LO5">
        <f>$LO$4+--($LN5)</f>
        <v/>
      </c>
      <c r="LP5">
        <f>IF(ROW()-3&gt;MAX($LO$4:$LO$40),"",INDEX($Y$4:$Y$40,MATCH(ROW()-3,$LO$4:$LO$40,0)))</f>
        <v/>
      </c>
      <c r="LR5">
        <f>IF($AD$5="",FALSE,SUMPRODUCT(('Final Calculation Sheet'!$D$4:$D$40=$AD$5)*($LQ$6:$LQ$42=1))&gt;0)</f>
        <v/>
      </c>
      <c r="LS5">
        <f>$LS$4+--($LR5)</f>
        <v/>
      </c>
      <c r="LT5">
        <f>IF(ROW()-3&gt;MAX($LS$4:$LS$40),"",INDEX($AD$4:$AD$40,MATCH(ROW()-3,$LS$4:$LS$40,0)))</f>
        <v/>
      </c>
      <c r="LV5">
        <f>IF($AI$5="",FALSE,SUMPRODUCT(('Final Calculation Sheet'!$A$4:$A$40=$AI$5)*($LU$6:$LU$42=1))&gt;0)</f>
        <v/>
      </c>
      <c r="LW5">
        <f>$LW$4+--($LV5)</f>
        <v/>
      </c>
      <c r="LX5">
        <f>IF(ROW()-3&gt;MAX($LW$4:$LW$40),"",INDEX($AI$4:$AI$40,MATCH(ROW()-3,$LW$4:$LW$40,0)))</f>
        <v/>
      </c>
      <c r="LZ5">
        <f>IF($AN$5="",FALSE,SUMPRODUCT(('Final Calculation Sheet'!$E$4:$E$40=$AN$5)*($LY$6:$LY$42=1))&gt;0)</f>
        <v/>
      </c>
      <c r="MA5">
        <f>$MA$4+--($LZ5)</f>
        <v/>
      </c>
      <c r="MB5">
        <f>IF(ROW()-3&gt;MAX($MA$4:$MA$40),"",INDEX($AN$4:$AN$40,MATCH(ROW()-3,$MA$4:$MA$40,0)))</f>
        <v/>
      </c>
      <c r="MD5">
        <f>IF($AS$5="",FALSE,SUMPRODUCT(('Final Calculation Sheet'!$C$4:$C$40=$AS$5)*($MC$6:$MC$42=1))&gt;0)</f>
        <v/>
      </c>
      <c r="ME5">
        <f>$ME$4+--($MD5)</f>
        <v/>
      </c>
      <c r="MF5">
        <f>IF(ROW()-3&gt;MAX($ME$4:$ME$40),"",INDEX($AS$4:$AS$40,MATCH(ROW()-3,$ME$4:$ME$40,0)))</f>
        <v/>
      </c>
      <c r="MH5">
        <f>IF($AX$5="",FALSE,SUMPRODUCT(('Final Calculation Sheet'!$H$4:$H$40=$AX$5)*($MG$6:$MG$42=1))&gt;0)</f>
        <v/>
      </c>
      <c r="MI5">
        <f>$MI$4+--($MH5)</f>
        <v/>
      </c>
      <c r="MJ5">
        <f>IF(ROW()-3&gt;MAX($MI$4:$MI$40),"",INDEX($AX$4:$AX$40,MATCH(ROW()-3,$MI$4:$MI$40,0)))</f>
        <v/>
      </c>
      <c r="ML5">
        <f>IF($BC$5="",FALSE,SUMPRODUCT(('Final Calculation Sheet'!$I$4:$I$40=$BC$5)*($MK$6:$MK$42=1))&gt;0)</f>
        <v/>
      </c>
      <c r="MM5">
        <f>$MM$4+--($ML5)</f>
        <v/>
      </c>
      <c r="MN5">
        <f>IF(ROW()-3&gt;MAX($MM$4:$MM$40),"",INDEX($BC$4:$BC$40,MATCH(ROW()-3,$MM$4:$MM$40,0)))</f>
        <v/>
      </c>
      <c r="MP5">
        <f>IF($BH$5="",FALSE,SUMPRODUCT(('Final Calculation Sheet'!$J$4:$J$40=$BH$5)*($MO$6:$MO$42=1))&gt;0)</f>
        <v/>
      </c>
      <c r="MQ5">
        <f>$MQ$4+--($MP5)</f>
        <v/>
      </c>
      <c r="MR5">
        <f>IF(ROW()-3&gt;MAX($MQ$4:$MQ$40),"",INDEX($BH$4:$BH$40,MATCH(ROW()-3,$MQ$4:$MQ$40,0)))</f>
        <v/>
      </c>
      <c r="MT5">
        <f>IF($BM$5="",FALSE,SUMPRODUCT(('Final Calculation Sheet'!$K$4:$K$40=$BM$5)*($MS$6:$MS$42=1))&gt;0)</f>
        <v/>
      </c>
      <c r="MU5">
        <f>$MU$4+--($MT5)</f>
        <v/>
      </c>
      <c r="MV5">
        <f>IF(ROW()-3&gt;MAX($MU$4:$MU$40),"",INDEX($BM$4:$BM$40,MATCH(ROW()-3,$MU$4:$MU$40,0)))</f>
        <v/>
      </c>
      <c r="MX5">
        <f>IF($BR$5="",FALSE,SUMPRODUCT(('Final Calculation Sheet'!$L$4:$L$40=$BR$5)*($MW$6:$MW$42=1))&gt;0)</f>
        <v/>
      </c>
      <c r="MY5">
        <f>$MY$4+--($MX5)</f>
        <v/>
      </c>
      <c r="MZ5">
        <f>IF(ROW()-3&gt;MAX($MY$4:$MY$40),"",INDEX($BR$4:$BR$40,MATCH(ROW()-3,$MY$4:$MY$40,0)))</f>
        <v/>
      </c>
      <c r="NB5">
        <f>IF($BW$5="",FALSE,SUMPRODUCT(('Final Calculation Sheet'!$M$4:$M$40=$BW$5)*($NA$6:$NA$42=1))&gt;0)</f>
        <v/>
      </c>
      <c r="NC5">
        <f>$NC$4+--($NB5)</f>
        <v/>
      </c>
      <c r="ND5">
        <f>IF(ROW()-3&gt;MAX($NC$4:$NC$40),"",INDEX($BW$4:$BW$40,MATCH(ROW()-3,$NC$4:$NC$40,0)))</f>
        <v/>
      </c>
      <c r="NF5">
        <f>IF($CB$5="",FALSE,SUMPRODUCT(('Final Calculation Sheet'!$N$4:$N$40=$CB$5)*($NE$6:$NE$42=1))&gt;0)</f>
        <v/>
      </c>
      <c r="NG5">
        <f>$NG$4+--($NF5)</f>
        <v/>
      </c>
      <c r="NH5">
        <f>IF(ROW()-3&gt;MAX($NG$4:$NG$40),"",INDEX($CB$4:$CB$40,MATCH(ROW()-3,$NG$4:$NG$40,0)))</f>
        <v/>
      </c>
      <c r="NJ5">
        <f>IF($CG$5="",FALSE,SUMPRODUCT(('Final Calculation Sheet'!$O$4:$O$40=$CG$5)*($NI$6:$NI$42=1))&gt;0)</f>
        <v/>
      </c>
      <c r="NK5">
        <f>$NK$4+--($NJ5)</f>
        <v/>
      </c>
      <c r="NL5">
        <f>IF(ROW()-3&gt;MAX($NK$4:$NK$40),"",INDEX($CG$4:$CG$40,MATCH(ROW()-3,$NK$4:$NK$40,0)))</f>
        <v/>
      </c>
      <c r="NN5">
        <f>IF($CL$5="",FALSE,SUMPRODUCT(('Final Calculation Sheet'!$P$4:$P$40=$CL$5)*($NM$6:$NM$42=1))&gt;0)</f>
        <v/>
      </c>
      <c r="NO5">
        <f>$NO$4+--($NN5)</f>
        <v/>
      </c>
      <c r="NP5">
        <f>IF(ROW()-3&gt;MAX($NO$4:$NO$40),"",INDEX($CL$4:$CL$40,MATCH(ROW()-3,$NO$4:$NO$40,0)))</f>
        <v/>
      </c>
      <c r="NR5">
        <f>IF($CQ$5="",FALSE,SUMPRODUCT(('Final Calculation Sheet'!$Q$4:$Q$40=$CQ$5)*($NQ$6:$NQ$42=1))&gt;0)</f>
        <v/>
      </c>
      <c r="NS5">
        <f>$NS$4+--($NR5)</f>
        <v/>
      </c>
      <c r="NT5">
        <f>IF(ROW()-3&gt;MAX($NS$4:$NS$40),"",INDEX($CQ$4:$CQ$40,MATCH(ROW()-3,$NS$4:$NS$40,0)))</f>
        <v/>
      </c>
      <c r="NV5">
        <f>IF($CV$5="",FALSE,SUMPRODUCT(('Final Calculation Sheet'!$R$4:$R$40=$CV$5)*($NU$6:$NU$42=1))&gt;0)</f>
        <v/>
      </c>
      <c r="NW5">
        <f>$NW$4+--($NV5)</f>
        <v/>
      </c>
      <c r="NX5">
        <f>IF(ROW()-3&gt;MAX($NW$4:$NW$40),"",INDEX($CV$4:$CV$40,MATCH(ROW()-3,$NW$4:$NW$40,0)))</f>
        <v/>
      </c>
      <c r="NZ5">
        <f>IF($DA$5="",FALSE,SUMPRODUCT(('Final Calculation Sheet'!$S$4:$S$40=$DA$5)*($NY$6:$NY$42=1))&gt;0)</f>
        <v/>
      </c>
      <c r="OA5">
        <f>$OA$4+--($NZ5)</f>
        <v/>
      </c>
      <c r="OB5">
        <f>IF(ROW()-3&gt;MAX($OA$4:$OA$40),"",INDEX($DA$4:$DA$40,MATCH(ROW()-3,$OA$4:$OA$40,0)))</f>
        <v/>
      </c>
      <c r="OD5">
        <f>IF($DF$5="",FALSE,SUMPRODUCT(('Final Calculation Sheet'!$T$4:$T$40=$DF$5)*($OC$6:$OC$42=1))&gt;0)</f>
        <v/>
      </c>
      <c r="OE5">
        <f>$OE$4+--($OD5)</f>
        <v/>
      </c>
      <c r="OF5">
        <f>IF(ROW()-3&gt;MAX($OE$4:$OE$40),"",INDEX($DF$4:$DF$40,MATCH(ROW()-3,$OE$4:$OE$40,0)))</f>
        <v/>
      </c>
      <c r="OH5">
        <f>IF($DK$5="",FALSE,SUMPRODUCT(('Final Calculation Sheet'!$U$4:$U$40=$DK$5)*($OG$6:$OG$42=1))&gt;0)</f>
        <v/>
      </c>
      <c r="OI5">
        <f>$OI$4+--($OH5)</f>
        <v/>
      </c>
      <c r="OJ5">
        <f>IF(ROW()-3&gt;MAX($OI$4:$OI$40),"",INDEX($DK$4:$DK$40,MATCH(ROW()-3,$OI$4:$OI$40,0)))</f>
        <v/>
      </c>
      <c r="OL5">
        <f>IF($DP$5="",FALSE,SUMPRODUCT(('Final Calculation Sheet'!$V$4:$V$40=$DP$5)*($OK$6:$OK$42=1))&gt;0)</f>
        <v/>
      </c>
      <c r="OM5">
        <f>$OM$4+--($OL5)</f>
        <v/>
      </c>
      <c r="ON5">
        <f>IF(ROW()-3&gt;MAX($OM$4:$OM$40),"",INDEX($DP$4:$DP$40,MATCH(ROW()-3,$OM$4:$OM$40,0)))</f>
        <v/>
      </c>
      <c r="OP5">
        <f>IF($DU$5="",FALSE,SUMPRODUCT(('Final Calculation Sheet'!$W$4:$W$40=$DU$5)*($OO$6:$OO$42=1))&gt;0)</f>
        <v/>
      </c>
      <c r="OQ5">
        <f>$OQ$4+--($OP5)</f>
        <v/>
      </c>
      <c r="OR5">
        <f>IF(ROW()-3&gt;MAX($OQ$4:$OQ$40),"",INDEX($DU$4:$DU$40,MATCH(ROW()-3,$OQ$4:$OQ$40,0)))</f>
        <v/>
      </c>
      <c r="OT5">
        <f>IF($DZ$5="",FALSE,SUMPRODUCT(('Final Calculation Sheet'!$X$4:$X$40=$DZ$5)*($OS$6:$OS$42=1))&gt;0)</f>
        <v/>
      </c>
      <c r="OU5">
        <f>$OU$4+--($OT5)</f>
        <v/>
      </c>
      <c r="OV5">
        <f>IF(ROW()-3&gt;MAX($OU$4:$OU$40),"",INDEX($DZ$4:$DZ$40,MATCH(ROW()-3,$OU$4:$OU$40,0)))</f>
        <v/>
      </c>
      <c r="OX5">
        <f>IF($EE$5="",FALSE,SUMPRODUCT(('Final Calculation Sheet'!$Y$4:$Y$40=$EE$5)*($OW$6:$OW$42=1))&gt;0)</f>
        <v/>
      </c>
      <c r="OY5">
        <f>$OY$4+--($OX5)</f>
        <v/>
      </c>
      <c r="OZ5">
        <f>IF(ROW()-3&gt;MAX($OY$4:$OY$40),"",INDEX($EE$4:$EE$40,MATCH(ROW()-3,$OY$4:$OY$40,0)))</f>
        <v/>
      </c>
      <c r="PB5">
        <f>IF($EJ$5="",FALSE,SUMPRODUCT(('Final Calculation Sheet'!$Z$4:$Z$40=$EJ$5)*($PA$6:$PA$42=1))&gt;0)</f>
        <v/>
      </c>
      <c r="PC5">
        <f>$PC$4+--($PB5)</f>
        <v/>
      </c>
      <c r="PD5">
        <f>IF(ROW()-3&gt;MAX($PC$4:$PC$40),"",INDEX($EJ$4:$EJ$40,MATCH(ROW()-3,$PC$4:$PC$40,0)))</f>
        <v/>
      </c>
      <c r="PF5">
        <f>IF($EO$5="",FALSE,SUMPRODUCT(('Final Calculation Sheet'!$AA$4:$AA$40=$EO$5)*($PE$6:$PE$42=1))&gt;0)</f>
        <v/>
      </c>
      <c r="PG5">
        <f>$PG$4+--($PF5)</f>
        <v/>
      </c>
      <c r="PH5">
        <f>IF(ROW()-3&gt;MAX($PG$4:$PG$40),"",INDEX($EO$4:$EO$40,MATCH(ROW()-3,$PG$4:$PG$40,0)))</f>
        <v/>
      </c>
      <c r="PJ5">
        <f>IF($ET$5="",FALSE,SUMPRODUCT(('Final Calculation Sheet'!$AB$4:$AB$40=$ET$5)*($PI$6:$PI$42=1))&gt;0)</f>
        <v/>
      </c>
      <c r="PK5">
        <f>$PK$4+--($PJ5)</f>
        <v/>
      </c>
      <c r="PL5">
        <f>IF(ROW()-3&gt;MAX($PK$4:$PK$40),"",INDEX($ET$4:$ET$40,MATCH(ROW()-3,$PK$4:$PK$40,0)))</f>
        <v/>
      </c>
      <c r="PN5">
        <f>IF($EY$5="",FALSE,SUMPRODUCT(('Final Calculation Sheet'!$AC$4:$AC$40=$EY$5)*($PM$6:$PM$42=1))&gt;0)</f>
        <v/>
      </c>
      <c r="PO5">
        <f>$PO$4+--($PN5)</f>
        <v/>
      </c>
      <c r="PP5">
        <f>IF(ROW()-3&gt;MAX($PO$4:$PO$40),"",INDEX($EY$4:$EY$40,MATCH(ROW()-3,$PO$4:$PO$40,0)))</f>
        <v/>
      </c>
      <c r="PR5">
        <f>IF($FD$5="",FALSE,SUMPRODUCT(('Final Calculation Sheet'!$AD$4:$AD$40=$FD$5)*($PQ$6:$PQ$42=1))&gt;0)</f>
        <v/>
      </c>
      <c r="PS5">
        <f>$PS$4+--($PR5)</f>
        <v/>
      </c>
      <c r="PT5">
        <f>IF(ROW()-3&gt;MAX($PS$4:$PS$40),"",INDEX($FD$4:$FD$40,MATCH(ROW()-3,$PS$4:$PS$40,0)))</f>
        <v/>
      </c>
      <c r="PV5">
        <f>IF($FX$5="",FALSE,SUMPRODUCT((IF('Final Calculation Sheet'!$AD$4:$AD$40&lt;=5,"SETTLED","OUTSTANDING")=$FX$5)*($PU$6:$PU$42=1))&gt;0)</f>
        <v/>
      </c>
      <c r="PW5">
        <f>$PW$4+--($PV5)</f>
        <v/>
      </c>
      <c r="PX5">
        <f>IF(ROW()-3&gt;MAX($PW$4:$PW$40),"",INDEX($FX$4:$FX$40,MATCH(ROW()-3,$PW$4:$PW$40,0)))</f>
        <v/>
      </c>
      <c r="PZ5">
        <f>IF($FI$5="",FALSE,SUMPRODUCT(('Final Calculation Sheet'!$AF$4:$AF$40=$FI$5)*($PY$6:$PY$42=1))&gt;0)</f>
        <v/>
      </c>
      <c r="QA5">
        <f>$QA$4+--($PZ5)</f>
        <v/>
      </c>
      <c r="QB5">
        <f>IF(ROW()-3&gt;MAX($QA$4:$QA$40),"",INDEX($FI$4:$FI$40,MATCH(ROW()-3,$QA$4:$QA$40,0)))</f>
        <v/>
      </c>
      <c r="QD5">
        <f>IF($FN$5="",FALSE,SUMPRODUCT(('Final Calculation Sheet'!$AG$4:$AG$40=$FN$5)*($QC$6:$QC$42=1))&gt;0)</f>
        <v/>
      </c>
      <c r="QE5">
        <f>$QE$4+--($QD5)</f>
        <v/>
      </c>
      <c r="QF5">
        <f>IF(ROW()-3&gt;MAX($QE$4:$QE$40),"",INDEX($FN$4:$FN$40,MATCH(ROW()-3,$QE$4:$QE$40,0)))</f>
        <v/>
      </c>
      <c r="QH5">
        <f>IF($FS$5="",FALSE,SUMPRODUCT(('Final Calculation Sheet'!$AH$4:$AH$40=$FS$5)*($QG$6:$QG$42=1))&gt;0)</f>
        <v/>
      </c>
      <c r="QI5">
        <f>$QI$4+--($QH5)</f>
        <v/>
      </c>
      <c r="QJ5">
        <f>IF(ROW()-3&gt;MAX($QI$4:$QI$40),"",INDEX($FS$4:$FS$40,MATCH(ROW()-3,$QI$4:$QI$40,0)))</f>
        <v/>
      </c>
      <c r="QK5" t="str">
        <f>IF('Final Calculation Sheet'!$AH$5="","",'Final Calculation Sheet'!$AH$5)</f>
      </c>
      <c r="QL5" t="str">
        <f>IF(QK5="","",COUNTIFS(QK$4:QK$40,"&lt;"&amp;QK5,QK$4:QK$40,"&lt;&gt;"&amp;"")+COUNTIF(QK$4:QK5,QK5))</f>
      </c>
      <c r="QM5" t="str">
        <f>IF(ROW()-3&gt;COUNTIF(QK$4:QK$40,"&lt;&gt;"&amp;""),"",INDEX(QK$4:QK$40,MATCH(ROW()-3,QL$4:QL$40,0)))</f>
      </c>
      <c r="QN5" t="str">
        <f>=QN4+F(AND(QM5&lt;&gt;"",COUNTIF(QM$4:QM5,QM5)=1),1,0)</f>
      </c>
      <c r="QO5" t="str">
        <f>IF(ROW()-3&gt;MAX(QN$4:QN$40),"",INDEX(QM$4:QM$40,MATCH(ROW()-3,QN$4:QN$40,0)))</f>
      </c>
      <c r="QP5" t="str">
        <f>IF(COUNTIF('Final Calculation Sheet'!$AM5:$BS5,0)&gt;0,0,1)</f>
      </c>
      <c r="QQ5" t="str">
        <f>IF($AI$5="",FALSE,SUMPRODUCT(('Final Calculation Sheet'!$A$4:$A$40=$AI$5)*($QP$4:$QP$40=1))&gt;0)</f>
      </c>
      <c r="QR5" t="str">
        <f>=$QR4+--($QQ5)</f>
      </c>
      <c r="QS5" t="str">
        <f>IF(ROW()-3&gt;MAX($QR$4:$QR$40),"",INDEX($AI$4:$AI$40,MATCH(ROW()-3,$QR$4:$QR$40,0)))</f>
      </c>
      <c r="QT5" t="str">
        <f>IF(COUNTIF('Final Calculation Sheet'!$AL5:$AL5,0)+COUNTIF('Final Calculation Sheet'!$AN5:$BS5,0)&gt;0,0,1)</f>
      </c>
      <c r="QU5" t="str">
        <f>IF($Y$5="",FALSE,SUMPRODUCT(('Final Calculation Sheet'!$B$4:$B$40=$Y$5)*($QT$4:$QT$40=1))&gt;0)</f>
      </c>
      <c r="QV5" t="str">
        <f>=$QV4+--($QU5)</f>
      </c>
      <c r="QW5" t="str">
        <f>IF(ROW()-3&gt;MAX($QV$4:$QV$40),"",INDEX($Y$4:$Y$40,MATCH(ROW()-3,$QV$4:$QV$40,0)))</f>
      </c>
      <c r="QX5" t="str">
        <f>IF(COUNTIF('Final Calculation Sheet'!$AL5:$AM5,0)+COUNTIF('Final Calculation Sheet'!$AO5:$BS5,0)&gt;0,0,1)</f>
      </c>
      <c r="QY5" t="str">
        <f>IF($AS$5="",FALSE,SUMPRODUCT(('Final Calculation Sheet'!$C$4:$C$40=$AS$5)*($QX$4:$QX$40=1))&gt;0)</f>
      </c>
      <c r="QZ5" t="str">
        <f>=$QZ4+--($QY5)</f>
      </c>
      <c r="RA5" t="str">
        <f>IF(ROW()-3&gt;MAX($QZ$4:$QZ$40),"",INDEX($AS$4:$AS$40,MATCH(ROW()-3,$QZ$4:$QZ$40,0)))</f>
      </c>
      <c r="RB5" t="str">
        <f>IF(COUNTIF('Final Calculation Sheet'!$AL5:$AN5,0)+COUNTIF('Final Calculation Sheet'!$AP5:$BS5,0)&gt;0,0,1)</f>
      </c>
      <c r="RC5" t="str">
        <f>IF($AD$5="",FALSE,SUMPRODUCT(('Final Calculation Sheet'!$D$4:$D$40=$AD$5)*($RB$4:$RB$40=1))&gt;0)</f>
      </c>
      <c r="RD5" t="str">
        <f>=$RD4+--($RC5)</f>
      </c>
      <c r="RE5" t="str">
        <f>IF(ROW()-3&gt;MAX($RD$4:$RD$40),"",INDEX($AD$4:$AD$40,MATCH(ROW()-3,$RD$4:$RD$40,0)))</f>
      </c>
      <c r="RF5" t="str">
        <f>IF(COUNTIF('Final Calculation Sheet'!$AL5:$AO5,0)+COUNTIF('Final Calculation Sheet'!$AQ5:$BS5,0)&gt;0,0,1)</f>
      </c>
      <c r="RG5" t="str">
        <f>IF($AN$5="",FALSE,SUMPRODUCT(('Final Calculation Sheet'!$E$4:$E$40=$AN$5)*($RF$4:$RF$40=1))&gt;0)</f>
      </c>
      <c r="RH5" t="str">
        <f>=$RH4+--($RG5)</f>
      </c>
      <c r="RI5" t="str">
        <f>IF(ROW()-3&gt;MAX($RH$4:$RH$40),"",INDEX($AN$4:$AN$40,MATCH(ROW()-3,$RH$4:$RH$40,0)))</f>
      </c>
      <c r="RJ5" t="str">
        <f>IF(COUNTIF('Final Calculation Sheet'!$AL5:$AP5,0)+COUNTIF('Final Calculation Sheet'!$AR5:$BS5,0)&gt;0,0,1)</f>
      </c>
      <c r="RK5" t="str">
        <f>IF($O$5="",FALSE,SUMPRODUCT(('Final Calculation Sheet'!$F$4:$F$40=$O$5)*($RJ$4:$RJ$40=1))&gt;0)</f>
      </c>
      <c r="RL5" t="str">
        <f>=$RL4+--($RK5)</f>
      </c>
      <c r="RM5" t="str">
        <f>IF(ROW()-3&gt;MAX($RL$4:$RL$40),"",INDEX($O$4:$O$40,MATCH(ROW()-3,$RL$4:$RL$40,0)))</f>
      </c>
      <c r="RN5" t="str">
        <f>IF(COUNTIF('Final Calculation Sheet'!$AL5:$AQ5,0)+COUNTIF('Final Calculation Sheet'!$AS5:$BS5,0)&gt;0,0,1)</f>
      </c>
      <c r="RO5" t="str">
        <f>IF($T$5="",FALSE,SUMPRODUCT(('Final Calculation Sheet'!$G$4:$G$40=$T$5)*($RN$4:$RN$40=1))&gt;0)</f>
      </c>
      <c r="RP5" t="str">
        <f>=$RP4+--($RO5)</f>
      </c>
      <c r="RQ5" t="str">
        <f>IF(ROW()-3&gt;MAX($RP$4:$RP$40),"",INDEX($T$4:$T$40,MATCH(ROW()-3,$RP$4:$RP$40,0)))</f>
      </c>
      <c r="RR5" t="str">
        <f>IF(COUNTIF('Final Calculation Sheet'!$AL5:$AR5,0)+COUNTIF('Final Calculation Sheet'!$AT5:$BS5,0)&gt;0,0,1)</f>
      </c>
      <c r="RS5" t="str">
        <f>IF($AX$5="",FALSE,SUMPRODUCT(('Final Calculation Sheet'!$H$4:$H$40=$AX$5)*($RR$4:$RR$40=1))&gt;0)</f>
      </c>
      <c r="RT5" t="str">
        <f>=$RT4+--($RS5)</f>
      </c>
      <c r="RU5" t="str">
        <f>IF(ROW()-3&gt;MAX($RT$4:$RT$40),"",INDEX($AX$4:$AX$40,MATCH(ROW()-3,$RT$4:$RT$40,0)))</f>
      </c>
      <c r="RV5" t="str">
        <f>IF(COUNTIF('Final Calculation Sheet'!$AL5:$AS5,0)+COUNTIF('Final Calculation Sheet'!$AU5:$BS5,0)&gt;0,0,1)</f>
      </c>
      <c r="RW5" t="str">
        <f>IF($BC$5="",FALSE,SUMPRODUCT(('Final Calculation Sheet'!$I$4:$I$40=$BC$5)*($RV$4:$RV$40=1))&gt;0)</f>
      </c>
      <c r="RX5" t="str">
        <f>=$RX4+--($RW5)</f>
      </c>
      <c r="RY5" t="str">
        <f>IF(ROW()-3&gt;MAX($RX$4:$RX$40),"",INDEX($BC$4:$BC$40,MATCH(ROW()-3,$RX$4:$RX$40,0)))</f>
      </c>
      <c r="RZ5" t="str">
        <f>IF(COUNTIF('Final Calculation Sheet'!$AL5:$AT5,0)+COUNTIF('Final Calculation Sheet'!$AV5:$BS5,0)&gt;0,0,1)</f>
      </c>
      <c r="SA5" t="str">
        <f>IF($BH$5="",FALSE,SUMPRODUCT(('Final Calculation Sheet'!$J$4:$J$40=$BH$5)*($RZ$4:$RZ$40=1))&gt;0)</f>
      </c>
      <c r="SB5" t="str">
        <f>=$SB4+--($SA5)</f>
      </c>
      <c r="SC5" t="str">
        <f>IF(ROW()-3&gt;MAX($SB$4:$SB$40),"",INDEX($BH$4:$BH$40,MATCH(ROW()-3,$SB$4:$SB$40,0)))</f>
      </c>
      <c r="SD5" t="str">
        <f>IF(COUNTIF('Final Calculation Sheet'!$AL5:$AU5,0)+COUNTIF('Final Calculation Sheet'!$AW5:$BS5,0)&gt;0,0,1)</f>
      </c>
      <c r="SE5" t="str">
        <f>IF($BM$5="",FALSE,SUMPRODUCT(('Final Calculation Sheet'!$K$4:$K$40=$BM$5)*($SD$4:$SD$40=1))&gt;0)</f>
      </c>
      <c r="SF5" t="str">
        <f>=$SF4+--($SE5)</f>
      </c>
      <c r="SG5" t="str">
        <f>IF(ROW()-3&gt;MAX($SF$4:$SF$40),"",INDEX($BM$4:$BM$40,MATCH(ROW()-3,$SF$4:$SF$40,0)))</f>
      </c>
      <c r="SH5" t="str">
        <f>IF(COUNTIF('Final Calculation Sheet'!$AL5:$AV5,0)+COUNTIF('Final Calculation Sheet'!$AX5:$BS5,0)&gt;0,0,1)</f>
      </c>
      <c r="SI5" t="str">
        <f>IF($BR$5="",FALSE,SUMPRODUCT(('Final Calculation Sheet'!$L$4:$L$40=$BR$5)*($SH$4:$SH$40=1))&gt;0)</f>
      </c>
      <c r="SJ5" t="str">
        <f>=$SJ4+--($SI5)</f>
      </c>
      <c r="SK5" t="str">
        <f>IF(ROW()-3&gt;MAX($SJ$4:$SJ$40),"",INDEX($BR$4:$BR$40,MATCH(ROW()-3,$SJ$4:$SJ$40,0)))</f>
      </c>
      <c r="SL5" t="str">
        <f>IF(COUNTIF('Final Calculation Sheet'!$AL5:$AW5,0)+COUNTIF('Final Calculation Sheet'!$AY5:$BS5,0)&gt;0,0,1)</f>
      </c>
      <c r="SM5" t="str">
        <f>IF($BW$5="",FALSE,SUMPRODUCT(('Final Calculation Sheet'!$M$4:$M$40=$BW$5)*($SL$4:$SL$40=1))&gt;0)</f>
      </c>
      <c r="SN5" t="str">
        <f>=$SN4+--($SM5)</f>
      </c>
      <c r="SO5" t="str">
        <f>IF(ROW()-3&gt;MAX($SN$4:$SN$40),"",INDEX($BW$4:$BW$40,MATCH(ROW()-3,$SN$4:$SN$40,0)))</f>
      </c>
      <c r="SP5" t="str">
        <f>IF(COUNTIF('Final Calculation Sheet'!$AL5:$AX5,0)+COUNTIF('Final Calculation Sheet'!$AZ5:$BS5,0)&gt;0,0,1)</f>
      </c>
      <c r="SQ5" t="str">
        <f>IF($CB$5="",FALSE,SUMPRODUCT(('Final Calculation Sheet'!$N$4:$N$40=$CB$5)*($SP$4:$SP$40=1))&gt;0)</f>
      </c>
      <c r="SR5" t="str">
        <f>=$SR4+--($SQ5)</f>
      </c>
      <c r="SS5" t="str">
        <f>IF(ROW()-3&gt;MAX($SR$4:$SR$40),"",INDEX($CB$4:$CB$40,MATCH(ROW()-3,$SR$4:$SR$40,0)))</f>
      </c>
      <c r="ST5" t="str">
        <f>IF(COUNTIF('Final Calculation Sheet'!$AL5:$AY5,0)+COUNTIF('Final Calculation Sheet'!$BA5:$BS5,0)&gt;0,0,1)</f>
      </c>
      <c r="SU5" t="str">
        <f>IF($CG$5="",FALSE,SUMPRODUCT(('Final Calculation Sheet'!$O$4:$O$40=$CG$5)*($ST$4:$ST$40=1))&gt;0)</f>
      </c>
      <c r="SV5" t="str">
        <f>=$SV4+--($SU5)</f>
      </c>
      <c r="SW5" t="str">
        <f>IF(ROW()-3&gt;MAX($SV$4:$SV$40),"",INDEX($CG$4:$CG$40,MATCH(ROW()-3,$SV$4:$SV$40,0)))</f>
      </c>
      <c r="SX5" t="str">
        <f>IF(COUNTIF('Final Calculation Sheet'!$AL5:$AZ5,0)+COUNTIF('Final Calculation Sheet'!$BB5:$BS5,0)&gt;0,0,1)</f>
      </c>
      <c r="SY5" t="str">
        <f>IF($CL$5="",FALSE,SUMPRODUCT(('Final Calculation Sheet'!$P$4:$P$40=$CL$5)*($SX$4:$SX$40=1))&gt;0)</f>
      </c>
      <c r="SZ5" t="str">
        <f>=$SZ4+--($SY5)</f>
      </c>
      <c r="TA5" t="str">
        <f>IF(ROW()-3&gt;MAX($SZ$4:$SZ$40),"",INDEX($CL$4:$CL$40,MATCH(ROW()-3,$SZ$4:$SZ$40,0)))</f>
      </c>
      <c r="TB5" t="str">
        <f>IF(COUNTIF('Final Calculation Sheet'!$AL5:$BA5,0)+COUNTIF('Final Calculation Sheet'!$BC5:$BS5,0)&gt;0,0,1)</f>
      </c>
      <c r="TC5" t="str">
        <f>IF($CQ$5="",FALSE,SUMPRODUCT(('Final Calculation Sheet'!$Q$4:$Q$40=$CQ$5)*($TB$4:$TB$40=1))&gt;0)</f>
      </c>
      <c r="TD5" t="str">
        <f>=$TD4+--($TC5)</f>
      </c>
      <c r="TE5" t="str">
        <f>IF(ROW()-3&gt;MAX($TD$4:$TD$40),"",INDEX($CQ$4:$CQ$40,MATCH(ROW()-3,$TD$4:$TD$40,0)))</f>
      </c>
      <c r="TF5" t="str">
        <f>IF(COUNTIF('Final Calculation Sheet'!$AL5:$BB5,0)+COUNTIF('Final Calculation Sheet'!$BD5:$BS5,0)&gt;0,0,1)</f>
      </c>
      <c r="TG5" t="str">
        <f>IF($CV$5="",FALSE,SUMPRODUCT(('Final Calculation Sheet'!$R$4:$R$40=$CV$5)*($TF$4:$TF$40=1))&gt;0)</f>
      </c>
      <c r="TH5" t="str">
        <f>=$TH4+--($TG5)</f>
      </c>
      <c r="TI5" t="str">
        <f>IF(ROW()-3&gt;MAX($TH$4:$TH$40),"",INDEX($CV$4:$CV$40,MATCH(ROW()-3,$TH$4:$TH$40,0)))</f>
      </c>
      <c r="TJ5" t="str">
        <f>IF(COUNTIF('Final Calculation Sheet'!$AL5:$BC5,0)+COUNTIF('Final Calculation Sheet'!$BE5:$BS5,0)&gt;0,0,1)</f>
      </c>
      <c r="TK5" t="str">
        <f>IF($DA$5="",FALSE,SUMPRODUCT(('Final Calculation Sheet'!$S$4:$S$40=$DA$5)*($TJ$4:$TJ$40=1))&gt;0)</f>
      </c>
      <c r="TL5" t="str">
        <f>=$TL4+--($TK5)</f>
      </c>
      <c r="TM5" t="str">
        <f>IF(ROW()-3&gt;MAX($TL$4:$TL$40),"",INDEX($DA$4:$DA$40,MATCH(ROW()-3,$TL$4:$TL$40,0)))</f>
      </c>
      <c r="TN5" t="str">
        <f>IF(COUNTIF('Final Calculation Sheet'!$AL5:$BD5,0)+COUNTIF('Final Calculation Sheet'!$BF5:$BS5,0)&gt;0,0,1)</f>
      </c>
      <c r="TO5" t="str">
        <f>IF($DF$5="",FALSE,SUMPRODUCT(('Final Calculation Sheet'!$T$4:$T$40=$DF$5)*($TN$4:$TN$40=1))&gt;0)</f>
      </c>
      <c r="TP5" t="str">
        <f>=$TP4+--($TO5)</f>
      </c>
      <c r="TQ5" t="str">
        <f>IF(ROW()-3&gt;MAX($TP$4:$TP$40),"",INDEX($DF$4:$DF$40,MATCH(ROW()-3,$TP$4:$TP$40,0)))</f>
      </c>
      <c r="TR5" t="str">
        <f>IF(COUNTIF('Final Calculation Sheet'!$AL5:$BE5,0)+COUNTIF('Final Calculation Sheet'!$BG5:$BS5,0)&gt;0,0,1)</f>
      </c>
      <c r="TS5" t="str">
        <f>IF($DK$5="",FALSE,SUMPRODUCT(('Final Calculation Sheet'!$U$4:$U$40=$DK$5)*($TR$4:$TR$40=1))&gt;0)</f>
      </c>
      <c r="TT5" t="str">
        <f>=$TT4+--($TS5)</f>
      </c>
      <c r="TU5" t="str">
        <f>IF(ROW()-3&gt;MAX($TT$4:$TT$40),"",INDEX($DK$4:$DK$40,MATCH(ROW()-3,$TT$4:$TT$40,0)))</f>
      </c>
      <c r="TV5" t="str">
        <f>IF(COUNTIF('Final Calculation Sheet'!$AL5:$BF5,0)+COUNTIF('Final Calculation Sheet'!$BH5:$BS5,0)&gt;0,0,1)</f>
      </c>
      <c r="TW5" t="str">
        <f>IF($DP$5="",FALSE,SUMPRODUCT(('Final Calculation Sheet'!$V$4:$V$40=$DP$5)*($TV$4:$TV$40=1))&gt;0)</f>
      </c>
      <c r="TX5" t="str">
        <f>=$TX4+--($TW5)</f>
      </c>
      <c r="TY5" t="str">
        <f>IF(ROW()-3&gt;MAX($TX$4:$TX$40),"",INDEX($DP$4:$DP$40,MATCH(ROW()-3,$TX$4:$TX$40,0)))</f>
      </c>
      <c r="TZ5" t="str">
        <f>IF(COUNTIF('Final Calculation Sheet'!$AL5:$BG5,0)+COUNTIF('Final Calculation Sheet'!$BI5:$BS5,0)&gt;0,0,1)</f>
      </c>
      <c r="UA5" t="str">
        <f>IF($DU$5="",FALSE,SUMPRODUCT(('Final Calculation Sheet'!$W$4:$W$40=$DU$5)*($TZ$4:$TZ$40=1))&gt;0)</f>
      </c>
      <c r="UB5" t="str">
        <f>=$UB4+--($UA5)</f>
      </c>
      <c r="UC5" t="str">
        <f>IF(ROW()-3&gt;MAX($UB$4:$UB$40),"",INDEX($DU$4:$DU$40,MATCH(ROW()-3,$UB$4:$UB$40,0)))</f>
      </c>
      <c r="UD5" t="str">
        <f>IF(COUNTIF('Final Calculation Sheet'!$AL5:$BH5,0)+COUNTIF('Final Calculation Sheet'!$BJ5:$BS5,0)&gt;0,0,1)</f>
      </c>
      <c r="UE5" t="str">
        <f>IF($DZ$5="",FALSE,SUMPRODUCT(('Final Calculation Sheet'!$X$4:$X$40=$DZ$5)*($UD$4:$UD$40=1))&gt;0)</f>
      </c>
      <c r="UF5" t="str">
        <f>=$UF4+--($UE5)</f>
      </c>
      <c r="UG5" t="str">
        <f>IF(ROW()-3&gt;MAX($UF$4:$UF$40),"",INDEX($DZ$4:$DZ$40,MATCH(ROW()-3,$UF$4:$UF$40,0)))</f>
      </c>
      <c r="UH5" t="str">
        <f>IF(COUNTIF('Final Calculation Sheet'!$AL5:$BI5,0)+COUNTIF('Final Calculation Sheet'!$BK5:$BS5,0)&gt;0,0,1)</f>
      </c>
      <c r="UI5" t="str">
        <f>IF($EE$5="",FALSE,SUMPRODUCT(('Final Calculation Sheet'!$Y$4:$Y$40=$EE$5)*($UH$4:$UH$40=1))&gt;0)</f>
      </c>
      <c r="UJ5" t="str">
        <f>=$UJ4+--($UI5)</f>
      </c>
      <c r="UK5" t="str">
        <f>IF(ROW()-3&gt;MAX($UJ$4:$UJ$40),"",INDEX($EE$4:$EE$40,MATCH(ROW()-3,$UJ$4:$UJ$40,0)))</f>
      </c>
      <c r="UL5" t="str">
        <f>IF(COUNTIF('Final Calculation Sheet'!$AL5:$BJ5,0)+COUNTIF('Final Calculation Sheet'!$BL5:$BS5,0)&gt;0,0,1)</f>
      </c>
      <c r="UM5" t="str">
        <f>IF($EJ$5="",FALSE,SUMPRODUCT(('Final Calculation Sheet'!$Z$4:$Z$40=$EJ$5)*($UL$4:$UL$40=1))&gt;0)</f>
      </c>
      <c r="UN5" t="str">
        <f>=$UN4+--($UM5)</f>
      </c>
      <c r="UO5" t="str">
        <f>IF(ROW()-3&gt;MAX($UN$4:$UN$40),"",INDEX($EJ$4:$EJ$40,MATCH(ROW()-3,$UN$4:$UN$40,0)))</f>
      </c>
      <c r="UP5" t="str">
        <f>IF(COUNTIF('Final Calculation Sheet'!$AL5:$BK5,0)+COUNTIF('Final Calculation Sheet'!$BM5:$BS5,0)&gt;0,0,1)</f>
      </c>
      <c r="UQ5" t="str">
        <f>IF($EO$5="",FALSE,SUMPRODUCT(('Final Calculation Sheet'!$AA$4:$AA$40=$EO$5)*($UP$4:$UP$40=1))&gt;0)</f>
      </c>
      <c r="UR5" t="str">
        <f>=$UR4+--($UQ5)</f>
      </c>
      <c r="US5" t="str">
        <f>IF(ROW()-3&gt;MAX($UR$4:$UR$40),"",INDEX($EO$4:$EO$40,MATCH(ROW()-3,$UR$4:$UR$40,0)))</f>
      </c>
      <c r="UT5" t="str">
        <f>IF(COUNTIF('Final Calculation Sheet'!$AL5:$BL5,0)+COUNTIF('Final Calculation Sheet'!$BN5:$BS5,0)&gt;0,0,1)</f>
      </c>
      <c r="UU5" t="str">
        <f>IF($ET$5="",FALSE,SUMPRODUCT(('Final Calculation Sheet'!$AB$4:$AB$40=$ET$5)*($UT$4:$UT$40=1))&gt;0)</f>
      </c>
      <c r="UV5" t="str">
        <f>=$UV4+--($UU5)</f>
      </c>
      <c r="UW5" t="str">
        <f>IF(ROW()-3&gt;MAX($UV$4:$UV$40),"",INDEX($ET$4:$ET$40,MATCH(ROW()-3,$UV$4:$UV$40,0)))</f>
      </c>
      <c r="UX5" t="str">
        <f>IF(COUNTIF('Final Calculation Sheet'!$AL5:$BM5,0)+COUNTIF('Final Calculation Sheet'!$BO5:$BS5,0)&gt;0,0,1)</f>
      </c>
      <c r="UY5" t="str">
        <f>IF($EY$5="",FALSE,SUMPRODUCT(('Final Calculation Sheet'!$AC$4:$AC$40=$EY$5)*($UX$4:$UX$40=1))&gt;0)</f>
      </c>
      <c r="UZ5" t="str">
        <f>=$UZ4+--($UY5)</f>
      </c>
      <c r="VA5" t="str">
        <f>IF(ROW()-3&gt;MAX($UZ$4:$UZ$40),"",INDEX($EY$4:$EY$40,MATCH(ROW()-3,$UZ$4:$UZ$40,0)))</f>
      </c>
      <c r="VB5" t="str">
        <f>IF(COUNTIF('Final Calculation Sheet'!$AL5:$BN5,0)+COUNTIF('Final Calculation Sheet'!$BP5:$BS5,0)&gt;0,0,1)</f>
      </c>
      <c r="VC5" t="str">
        <f>IF($FD$5="",FALSE,SUMPRODUCT(('Final Calculation Sheet'!$AD$4:$AD$40=$FD$5)*($VB$4:$VB$40=1))&gt;0)</f>
      </c>
      <c r="VD5" t="str">
        <f>=$VD4+--($VC5)</f>
      </c>
      <c r="VE5" t="str">
        <f>IF(ROW()-3&gt;MAX($VD$4:$VD$40),"",INDEX($FD$4:$FD$40,MATCH(ROW()-3,$VD$4:$VD$40,0)))</f>
      </c>
      <c r="VF5" t="str">
        <f>IF(COUNTIF('Final Calculation Sheet'!$AL5:$BO5,0)+COUNTIF('Final Calculation Sheet'!$BQ5:$BS5,0)&gt;0,0,1)</f>
      </c>
      <c r="VG5" t="str">
        <f>IF($FI$5="",FALSE,SUMPRODUCT(('Final Calculation Sheet'!$AE$4:$AE$40=$FI$5)*($VF$4:$VF$40=1))&gt;0)</f>
      </c>
      <c r="VH5" t="str">
        <f>=$VH4+--($VG5)</f>
      </c>
      <c r="VI5" t="str">
        <f>IF(ROW()-3&gt;MAX($VH$4:$VH$40),"",INDEX($FI$4:$FI$40,MATCH(ROW()-3,$VH$4:$VH$40,0)))</f>
      </c>
      <c r="VJ5" t="str">
        <f>IF(COUNTIF('Final Calculation Sheet'!$AL5:$BP5,0)+COUNTIF('Final Calculation Sheet'!$BR5:$BS5,0)&gt;0,0,1)</f>
      </c>
      <c r="VK5" t="str">
        <f>IF($FN$5="",FALSE,SUMPRODUCT(('Final Calculation Sheet'!$AF$4:$AF$40=$FN$5)*($VJ$4:$VJ$40=1))&gt;0)</f>
      </c>
      <c r="VL5" t="str">
        <f>=$VL4+--($VK5)</f>
      </c>
      <c r="VM5" t="str">
        <f>IF(ROW()-3&gt;MAX($VL$4:$VL$40),"",INDEX($FN$4:$FN$40,MATCH(ROW()-3,$VL$4:$VL$40,0)))</f>
      </c>
      <c r="VN5" t="str">
        <f>IF(COUNTIF('Final Calculation Sheet'!$AL5:$BQ5,0)+COUNTIF('Final Calculation Sheet'!$BS5:$BS5,0)&gt;0,0,1)</f>
      </c>
      <c r="VO5" t="str">
        <f>IF($FS$5="",FALSE,SUMPRODUCT(('Final Calculation Sheet'!$AG$4:$AG$40=$FS$5)*($VN$4:$VN$40=1))&gt;0)</f>
      </c>
      <c r="VP5" t="str">
        <f>=$VP4+--($VO5)</f>
      </c>
      <c r="VQ5" t="str">
        <f>IF(ROW()-3&gt;MAX($VP$4:$VP$40),"",INDEX($FS$4:$FS$40,MATCH(ROW()-3,$VP$4:$VP$40,0)))</f>
      </c>
      <c r="VR5" t="str">
        <f>IF(COUNTIF('Final Calculation Sheet'!$AL5:$BR5,0)&gt;0,0,1)</f>
      </c>
      <c r="VS5" t="str">
        <f>IF($QO$5="",FALSE,SUMPRODUCT(('Final Calculation Sheet'!$AH$4:$AH$40=$QO$5)*($VR$4:$VR$40=1))&gt;0)</f>
      </c>
      <c r="VT5" t="str">
        <f>=$VT4+--($VS5)</f>
      </c>
      <c r="VU5" t="str">
        <f>IF(ROW()-3&gt;MAX($VT$4:$VT$40),"",INDEX($QO$4:$QO$40,MATCH(ROW()-3,$VT$4:$VT$40,0)))</f>
      </c>
    </row>
    <row r="6">
      <c r="A6">
        <f>IF('Final Calculation Sheet'!$F$6="","",'Final Calculation Sheet'!$F$6)</f>
        <v/>
      </c>
      <c r="B6">
        <f>IF(A6="","",COUNTIFS(A$4:A$114,"&lt;"&amp;A6,A$4:A$114,"&lt;&gt;"&amp;"")+COUNTIF(A$4:A6,A6))</f>
        <v/>
      </c>
      <c r="C6">
        <f>IF(ROW()-3&gt;COUNTIF(A$4:A$114,"&lt;&gt;"&amp;""),"",INDEX(A$4:A$114,MATCH(ROW()-3,B$4:B$114,0)))</f>
        <v/>
      </c>
      <c r="D6">
        <f>D5+IF(AND(C6&lt;&gt;"",COUNTIF(C$4:C6,C6)=1),1,0)</f>
        <v/>
      </c>
      <c r="E6">
        <f>IF(ROW()-3&gt;MAX(D$4:D$114),"",INDEX(C$4:C$114,MATCH(ROW()-3,D$4:D$114,0)))</f>
        <v/>
      </c>
      <c r="F6">
        <f>ROW()-3</f>
        <v/>
      </c>
      <c r="G6">
        <f>IF(F6="","",COUNTIFS(F$4:F$40,"&lt;"&amp;F6,F$4:F$40,"&lt;&gt;"&amp;"")+COUNTIF(F$4:F6,F6))</f>
        <v/>
      </c>
      <c r="H6">
        <f>IF(ROW()-3&gt;COUNTIF(F$4:F$40,"&lt;&gt;"&amp;""),"",INDEX(F$4:F$40,MATCH(ROW()-3,G$4:G$40,0)))</f>
        <v/>
      </c>
      <c r="I6">
        <f>I5+IF(AND(H6&lt;&gt;"",COUNTIF(H$4:H6,H6)=1),1,0)</f>
        <v/>
      </c>
      <c r="J6">
        <f>IF(ROW()-3&gt;MAX(I$4:I$40),"",INDEX(H$4:H$40,MATCH(ROW()-3,I$4:I$40,0)))</f>
        <v/>
      </c>
      <c r="K6">
        <f>IF('Final Calculation Sheet'!$F$6="","",'Final Calculation Sheet'!$F$6)</f>
        <v/>
      </c>
      <c r="L6">
        <f>IF(K6="","",COUNTIFS(K$4:K$40,"&lt;"&amp;K6,K$4:K$40,"&lt;&gt;"&amp;"")+COUNTIF(K$4:K6,K6))</f>
        <v/>
      </c>
      <c r="M6">
        <f>IF(ROW()-3&gt;COUNTIF(K$4:K$40,"&lt;&gt;"&amp;""),"",INDEX(K$4:K$40,MATCH(ROW()-3,L$4:L$40,0)))</f>
        <v/>
      </c>
      <c r="N6">
        <f>N5+IF(AND(M6&lt;&gt;"",COUNTIF(M$4:M6,M6)=1),1,0)</f>
        <v/>
      </c>
      <c r="O6">
        <f>IF(ROW()-3&gt;MAX(N$4:N$40),"",INDEX(M$4:M$40,MATCH(ROW()-3,N$4:N$40,0)))</f>
        <v/>
      </c>
      <c r="P6">
        <f>IF('Final Calculation Sheet'!$G$6="","",'Final Calculation Sheet'!$G$6)</f>
        <v/>
      </c>
      <c r="Q6">
        <f>IF(P6="","",COUNTIFS(P$4:P$40,"&lt;"&amp;P6,P$4:P$40,"&lt;&gt;"&amp;"")+COUNTIF(P$4:P6,P6))</f>
        <v/>
      </c>
      <c r="R6">
        <f>IF(ROW()-3&gt;COUNTIF(P$4:P$40,"&lt;&gt;"&amp;""),"",INDEX(P$4:P$40,MATCH(ROW()-3,Q$4:Q$40,0)))</f>
        <v/>
      </c>
      <c r="S6">
        <f>S5+IF(AND(R6&lt;&gt;"",COUNTIF(R$4:R6,R6)=1),1,0)</f>
        <v/>
      </c>
      <c r="T6">
        <f>IF(ROW()-3&gt;MAX(S$4:S$40),"",INDEX(R$4:R$40,MATCH(ROW()-3,S$4:S$40,0)))</f>
        <v/>
      </c>
      <c r="U6">
        <f>IF('Final Calculation Sheet'!$B$6="","",'Final Calculation Sheet'!$B$6)</f>
        <v/>
      </c>
      <c r="V6">
        <f>IF(U6="","",COUNTIFS(U$4:U$40,"&lt;"&amp;U6,U$4:U$40,"&lt;&gt;"&amp;"")+COUNTIF(U$4:U6,U6))</f>
        <v/>
      </c>
      <c r="W6">
        <f>IF(ROW()-3&gt;COUNTIF(U$4:U$40,"&lt;&gt;"&amp;""),"",INDEX(U$4:U$40,MATCH(ROW()-3,V$4:V$40,0)))</f>
        <v/>
      </c>
      <c r="X6">
        <f>X5+IF(AND(W6&lt;&gt;"",COUNTIF(W$4:W6,W6)=1),1,0)</f>
        <v/>
      </c>
      <c r="Y6">
        <f>IF(ROW()-3&gt;MAX(X$4:X$40),"",INDEX(W$4:W$40,MATCH(ROW()-3,X$4:X$40,0)))</f>
        <v/>
      </c>
      <c r="Z6">
        <f>IF('Final Calculation Sheet'!$D$6="","",'Final Calculation Sheet'!$D$6)</f>
        <v/>
      </c>
      <c r="AA6">
        <f>IF(Z6="","",COUNTIFS(Z$4:Z$40,"&lt;"&amp;Z6,Z$4:Z$40,"&lt;&gt;"&amp;"")+COUNTIF(Z$4:Z6,Z6))</f>
        <v/>
      </c>
      <c r="AB6">
        <f>IF(ROW()-3&gt;COUNTIF(Z$4:Z$40,"&lt;&gt;"&amp;""),"",INDEX(Z$4:Z$40,MATCH(ROW()-3,AA$4:AA$40,0)))</f>
        <v/>
      </c>
      <c r="AC6">
        <f>AC5+IF(AND(AB6&lt;&gt;"",COUNTIF(AB$4:AB6,AB6)=1),1,0)</f>
        <v/>
      </c>
      <c r="AD6">
        <f>IF(ROW()-3&gt;MAX(AC$4:AC$40),"",INDEX(AB$4:AB$40,MATCH(ROW()-3,AC$4:AC$40,0)))</f>
        <v/>
      </c>
      <c r="AE6">
        <f>IF('Final Calculation Sheet'!$A$6="","",'Final Calculation Sheet'!$A$6)</f>
        <v/>
      </c>
      <c r="AF6">
        <f>IF(AE6="","",COUNTIFS(AE$4:AE$40,"&lt;"&amp;AE6,AE$4:AE$40,"&lt;&gt;"&amp;"")+COUNTIF(AE$4:AE6,AE6))</f>
        <v/>
      </c>
      <c r="AG6">
        <f>IF(ROW()-3&gt;COUNTIF(AE$4:AE$40,"&lt;&gt;"&amp;""),"",INDEX(AE$4:AE$40,MATCH(ROW()-3,AF$4:AF$40,0)))</f>
        <v/>
      </c>
      <c r="AH6">
        <f>AH5+IF(AND(AG6&lt;&gt;"",COUNTIF(AG$4:AG6,AG6)=1),1,0)</f>
        <v/>
      </c>
      <c r="AI6">
        <f>IF(ROW()-3&gt;MAX(AH$4:AH$40),"",INDEX(AG$4:AG$40,MATCH(ROW()-3,AH$4:AH$40,0)))</f>
        <v/>
      </c>
      <c r="AJ6">
        <f>IF('Final Calculation Sheet'!$E$6="","",'Final Calculation Sheet'!$E$6)</f>
        <v/>
      </c>
      <c r="AK6">
        <f>IF(AJ6="","",COUNTIFS(AJ$4:AJ$40,"&lt;"&amp;AJ6,AJ$4:AJ$40,"&lt;&gt;"&amp;"")+COUNTIF(AJ$4:AJ6,AJ6))</f>
        <v/>
      </c>
      <c r="AL6">
        <f>IF(ROW()-3&gt;COUNTIF(AJ$4:AJ$40,"&lt;&gt;"&amp;""),"",INDEX(AJ$4:AJ$40,MATCH(ROW()-3,AK$4:AK$40,0)))</f>
        <v/>
      </c>
      <c r="AM6">
        <f>AM5+IF(AND(AL6&lt;&gt;"",COUNTIF(AL$4:AL6,AL6)=1),1,0)</f>
        <v/>
      </c>
      <c r="AN6">
        <f>IF(ROW()-3&gt;MAX(AM$4:AM$40),"",INDEX(AL$4:AL$40,MATCH(ROW()-3,AM$4:AM$40,0)))</f>
        <v/>
      </c>
      <c r="AO6" s="55">
        <f>IF('Final Calculation Sheet'!$C$6="","",'Final Calculation Sheet'!$C$6)</f>
        <v/>
      </c>
      <c r="AP6">
        <f>IF(AO6="","",COUNTIFS(AO$4:AO$40,"&lt;"&amp;AO6,AO$4:AO$40,"&lt;&gt;"&amp;"")+COUNTIF(AO$4:AO6,AO6))</f>
        <v/>
      </c>
      <c r="AQ6" s="55">
        <f>IF(ROW()-3&gt;COUNTIF(AO$4:AO$40,"&lt;&gt;"&amp;""),"",INDEX(AO$4:AO$40,MATCH(ROW()-3,AP$4:AP$40,0)))</f>
        <v/>
      </c>
      <c r="AR6">
        <f>AR5+IF(AND(AQ6&lt;&gt;"",COUNTIF(AQ$4:AQ6,AQ6)=1),1,0)</f>
        <v/>
      </c>
      <c r="AS6" s="55">
        <f>IF(ROW()-3&gt;MAX(AR$4:AR$40),"",INDEX(AQ$4:AQ$40,MATCH(ROW()-3,AR$4:AR$40,0)))</f>
        <v/>
      </c>
      <c r="AT6" s="55">
        <f>IF('Final Calculation Sheet'!$H$6="","",'Final Calculation Sheet'!$H$6)</f>
        <v/>
      </c>
      <c r="AU6">
        <f>IF(AT6="","",COUNTIFS(AT$4:AT$40,"&lt;"&amp;AT6,AT$4:AT$40,"&lt;&gt;"&amp;"")+COUNTIF(AT$4:AT6,AT6))</f>
        <v/>
      </c>
      <c r="AV6" s="55">
        <f>IF(ROW()-3&gt;COUNTIF(AT$4:AT$40,"&lt;&gt;"&amp;""),"",INDEX(AT$4:AT$40,MATCH(ROW()-3,AU$4:AU$40,0)))</f>
        <v/>
      </c>
      <c r="AW6">
        <f>AW5+IF(AND(AV6&lt;&gt;"",COUNTIF(AV$4:AV6,AV6)=1),1,0)</f>
        <v/>
      </c>
      <c r="AX6" s="55">
        <f>IF(ROW()-3&gt;MAX(AW$4:AW$40),"",INDEX(AV$4:AV$40,MATCH(ROW()-3,AW$4:AW$40,0)))</f>
        <v/>
      </c>
      <c r="AY6" s="55">
        <f>IF('Final Calculation Sheet'!$I$6="","",'Final Calculation Sheet'!$I$6)</f>
        <v/>
      </c>
      <c r="AZ6">
        <f>IF(AY6="","",COUNTIFS(AY$4:AY$40,"&lt;"&amp;AY6,AY$4:AY$40,"&lt;&gt;"&amp;"")+COUNTIF(AY$4:AY6,AY6))</f>
        <v/>
      </c>
      <c r="BA6" s="55">
        <f>IF(ROW()-3&gt;COUNTIF(AY$4:AY$40,"&lt;&gt;"&amp;""),"",INDEX(AY$4:AY$40,MATCH(ROW()-3,AZ$4:AZ$40,0)))</f>
        <v/>
      </c>
      <c r="BB6">
        <f>BB5+IF(AND(BA6&lt;&gt;"",COUNTIF(BA$4:BA6,BA6)=1),1,0)</f>
        <v/>
      </c>
      <c r="BC6" s="55">
        <f>IF(ROW()-3&gt;MAX(BB$4:BB$40),"",INDEX(BA$4:BA$40,MATCH(ROW()-3,BB$4:BB$40,0)))</f>
        <v/>
      </c>
      <c r="BD6" s="55">
        <f>IF('Final Calculation Sheet'!$J$6="","",'Final Calculation Sheet'!$J$6)</f>
        <v/>
      </c>
      <c r="BE6">
        <f>IF(BD6="","",COUNTIFS(BD$4:BD$40,"&lt;"&amp;BD6,BD$4:BD$40,"&lt;&gt;"&amp;"")+COUNTIF(BD$4:BD6,BD6))</f>
        <v/>
      </c>
      <c r="BF6" s="55">
        <f>IF(ROW()-3&gt;COUNTIF(BD$4:BD$40,"&lt;&gt;"&amp;""),"",INDEX(BD$4:BD$40,MATCH(ROW()-3,BE$4:BE$40,0)))</f>
        <v/>
      </c>
      <c r="BG6">
        <f>BG5+IF(AND(BF6&lt;&gt;"",COUNTIF(BF$4:BF6,BF6)=1),1,0)</f>
        <v/>
      </c>
      <c r="BH6" s="55">
        <f>IF(ROW()-3&gt;MAX(BG$4:BG$40),"",INDEX(BF$4:BF$40,MATCH(ROW()-3,BG$4:BG$40,0)))</f>
        <v/>
      </c>
      <c r="BI6" s="55">
        <f>IF('Final Calculation Sheet'!$K$6="","",'Final Calculation Sheet'!$K$6)</f>
        <v/>
      </c>
      <c r="BJ6">
        <f>IF(BI6="","",COUNTIFS(BI$4:BI$40,"&lt;"&amp;BI6,BI$4:BI$40,"&lt;&gt;"&amp;"")+COUNTIF(BI$4:BI6,BI6))</f>
        <v/>
      </c>
      <c r="BK6" s="55">
        <f>IF(ROW()-3&gt;COUNTIF(BI$4:BI$40,"&lt;&gt;"&amp;""),"",INDEX(BI$4:BI$40,MATCH(ROW()-3,BJ$4:BJ$40,0)))</f>
        <v/>
      </c>
      <c r="BL6">
        <f>BL5+IF(AND(BK6&lt;&gt;"",COUNTIF(BK$4:BK6,BK6)=1),1,0)</f>
        <v/>
      </c>
      <c r="BM6" s="55">
        <f>IF(ROW()-3&gt;MAX(BL$4:BL$40),"",INDEX(BK$4:BK$40,MATCH(ROW()-3,BL$4:BL$40,0)))</f>
        <v/>
      </c>
      <c r="BN6" s="55">
        <f>IF('Final Calculation Sheet'!$L$6="","",'Final Calculation Sheet'!$L$6)</f>
        <v/>
      </c>
      <c r="BO6">
        <f>IF(BN6="","",COUNTIFS(BN$4:BN$40,"&lt;"&amp;BN6,BN$4:BN$40,"&lt;&gt;"&amp;"")+COUNTIF(BN$4:BN6,BN6))</f>
        <v/>
      </c>
      <c r="BP6" s="55">
        <f>IF(ROW()-3&gt;COUNTIF(BN$4:BN$40,"&lt;&gt;"&amp;""),"",INDEX(BN$4:BN$40,MATCH(ROW()-3,BO$4:BO$40,0)))</f>
        <v/>
      </c>
      <c r="BQ6">
        <f>BQ5+IF(AND(BP6&lt;&gt;"",COUNTIF(BP$4:BP6,BP6)=1),1,0)</f>
        <v/>
      </c>
      <c r="BR6" s="55">
        <f>IF(ROW()-3&gt;MAX(BQ$4:BQ$40),"",INDEX(BP$4:BP$40,MATCH(ROW()-3,BQ$4:BQ$40,0)))</f>
        <v/>
      </c>
      <c r="BS6" s="55">
        <f>IF('Final Calculation Sheet'!$M$6="","",'Final Calculation Sheet'!$M$6)</f>
        <v/>
      </c>
      <c r="BT6">
        <f>IF(BS6="","",COUNTIFS(BS$4:BS$40,"&lt;"&amp;BS6,BS$4:BS$40,"&lt;&gt;"&amp;"")+COUNTIF(BS$4:BS6,BS6))</f>
        <v/>
      </c>
      <c r="BU6" s="55">
        <f>IF(ROW()-3&gt;COUNTIF(BS$4:BS$40,"&lt;&gt;"&amp;""),"",INDEX(BS$4:BS$40,MATCH(ROW()-3,BT$4:BT$40,0)))</f>
        <v/>
      </c>
      <c r="BV6">
        <f>BV5+IF(AND(BU6&lt;&gt;"",COUNTIF(BU$4:BU6,BU6)=1),1,0)</f>
        <v/>
      </c>
      <c r="BW6" s="55">
        <f>IF(ROW()-3&gt;MAX(BV$4:BV$40),"",INDEX(BU$4:BU$40,MATCH(ROW()-3,BV$4:BV$40,0)))</f>
        <v/>
      </c>
      <c r="BX6" s="138">
        <f>IF('Final Calculation Sheet'!$N$6="","",'Final Calculation Sheet'!$N$6)</f>
        <v/>
      </c>
      <c r="BY6">
        <f>IF(BX6="","",COUNTIFS(BX$4:BX$40,"&lt;"&amp;BX6,BX$4:BX$40,"&lt;&gt;"&amp;"")+COUNTIF(BX$4:BX6,BX6))</f>
        <v/>
      </c>
      <c r="BZ6" s="138">
        <f>IF(ROW()-3&gt;COUNTIF(BX$4:BX$40,"&lt;&gt;"&amp;""),"",INDEX(BX$4:BX$40,MATCH(ROW()-3,BY$4:BY$40,0)))</f>
        <v/>
      </c>
      <c r="CA6">
        <f>CA5+IF(AND(BZ6&lt;&gt;"",COUNTIF(BZ$4:BZ6,BZ6)=1),1,0)</f>
        <v/>
      </c>
      <c r="CB6" s="138">
        <f>IF(ROW()-3&gt;MAX(CA$4:CA$40),"",INDEX(BZ$4:BZ$40,MATCH(ROW()-3,CA$4:CA$40,0)))</f>
        <v/>
      </c>
      <c r="CC6" s="55">
        <f>IF('Final Calculation Sheet'!$O$6="","",'Final Calculation Sheet'!$O$6)</f>
        <v/>
      </c>
      <c r="CD6">
        <f>IF(CC6="","",COUNTIFS(CC$4:CC$40,"&lt;"&amp;CC6,CC$4:CC$40,"&lt;&gt;"&amp;"")+COUNTIF(CC$4:CC6,CC6))</f>
        <v/>
      </c>
      <c r="CE6" s="55">
        <f>IF(ROW()-3&gt;COUNTIF(CC$4:CC$40,"&lt;&gt;"&amp;""),"",INDEX(CC$4:CC$40,MATCH(ROW()-3,CD$4:CD$40,0)))</f>
        <v/>
      </c>
      <c r="CF6">
        <f>CF5+IF(AND(CE6&lt;&gt;"",COUNTIF(CE$4:CE6,CE6)=1),1,0)</f>
        <v/>
      </c>
      <c r="CG6" s="55">
        <f>IF(ROW()-3&gt;MAX(CF$4:CF$40),"",INDEX(CE$4:CE$40,MATCH(ROW()-3,CF$4:CF$40,0)))</f>
        <v/>
      </c>
      <c r="CH6" s="55">
        <f>IF('Final Calculation Sheet'!$P$6="","",'Final Calculation Sheet'!$P$6)</f>
        <v/>
      </c>
      <c r="CI6">
        <f>IF(CH6="","",COUNTIFS(CH$4:CH$40,"&lt;"&amp;CH6,CH$4:CH$40,"&lt;&gt;"&amp;"")+COUNTIF(CH$4:CH6,CH6))</f>
        <v/>
      </c>
      <c r="CJ6" s="55">
        <f>IF(ROW()-3&gt;COUNTIF(CH$4:CH$40,"&lt;&gt;"&amp;""),"",INDEX(CH$4:CH$40,MATCH(ROW()-3,CI$4:CI$40,0)))</f>
        <v/>
      </c>
      <c r="CK6">
        <f>CK5+IF(AND(CJ6&lt;&gt;"",COUNTIF(CJ$4:CJ6,CJ6)=1),1,0)</f>
        <v/>
      </c>
      <c r="CL6" s="55">
        <f>IF(ROW()-3&gt;MAX(CK$4:CK$40),"",INDEX(CJ$4:CJ$40,MATCH(ROW()-3,CK$4:CK$40,0)))</f>
        <v/>
      </c>
      <c r="CM6" s="139">
        <f>IF('Final Calculation Sheet'!$Q$6="","",'Final Calculation Sheet'!$Q$6)</f>
        <v/>
      </c>
      <c r="CN6">
        <f>IF(CM6="","",COUNTIFS(CM$4:CM$40,"&lt;"&amp;CM6,CM$4:CM$40,"&lt;&gt;"&amp;"")+COUNTIF(CM$4:CM6,CM6))</f>
        <v/>
      </c>
      <c r="CO6" s="139">
        <f>IF(ROW()-3&gt;COUNTIF(CM$4:CM$40,"&lt;&gt;"&amp;""),"",INDEX(CM$4:CM$40,MATCH(ROW()-3,CN$4:CN$40,0)))</f>
        <v/>
      </c>
      <c r="CP6">
        <f>CP5+IF(AND(CO6&lt;&gt;"",COUNTIF(CO$4:CO6,CO6)=1),1,0)</f>
        <v/>
      </c>
      <c r="CQ6">
        <f>IF(ROW()-3&gt;MAX(CP$4:CP$40),"",INDEX(CO$4:CO$40,MATCH(ROW()-3,CP$4:CP$40,0)))</f>
        <v/>
      </c>
      <c r="CR6" s="55">
        <f>IF('Final Calculation Sheet'!$R$6="","",'Final Calculation Sheet'!$R$6)</f>
        <v/>
      </c>
      <c r="CS6">
        <f>IF(CR6="","",COUNTIFS(CR$4:CR$40,"&lt;"&amp;CR6,CR$4:CR$40,"&lt;&gt;"&amp;"")+COUNTIF(CR$4:CR6,CR6))</f>
        <v/>
      </c>
      <c r="CT6" s="55">
        <f>IF(ROW()-3&gt;COUNTIF(CR$4:CR$40,"&lt;&gt;"&amp;""),"",INDEX(CR$4:CR$40,MATCH(ROW()-3,CS$4:CS$40,0)))</f>
        <v/>
      </c>
      <c r="CU6">
        <f>CU5+IF(AND(CT6&lt;&gt;"",COUNTIF(CT$4:CT6,CT6)=1),1,0)</f>
        <v/>
      </c>
      <c r="CV6" s="55">
        <f>IF(ROW()-3&gt;MAX(CU$4:CU$40),"",INDEX(CT$4:CT$40,MATCH(ROW()-3,CU$4:CU$40,0)))</f>
        <v/>
      </c>
      <c r="CW6" s="55">
        <f>IF('Final Calculation Sheet'!$S$6="","",'Final Calculation Sheet'!$S$6)</f>
        <v/>
      </c>
      <c r="CX6">
        <f>IF(CW6="","",COUNTIFS(CW$4:CW$40,"&lt;"&amp;CW6,CW$4:CW$40,"&lt;&gt;"&amp;"")+COUNTIF(CW$4:CW6,CW6))</f>
        <v/>
      </c>
      <c r="CY6" s="55">
        <f>IF(ROW()-3&gt;COUNTIF(CW$4:CW$40,"&lt;&gt;"&amp;""),"",INDEX(CW$4:CW$40,MATCH(ROW()-3,CX$4:CX$40,0)))</f>
        <v/>
      </c>
      <c r="CZ6">
        <f>CZ5+IF(AND(CY6&lt;&gt;"",COUNTIF(CY$4:CY6,CY6)=1),1,0)</f>
        <v/>
      </c>
      <c r="DA6" s="55">
        <f>IF(ROW()-3&gt;MAX(CZ$4:CZ$40),"",INDEX(CY$4:CY$40,MATCH(ROW()-3,CZ$4:CZ$40,0)))</f>
        <v/>
      </c>
      <c r="DB6" s="55">
        <f>IF('Final Calculation Sheet'!$T$6="","",'Final Calculation Sheet'!$T$6)</f>
        <v/>
      </c>
      <c r="DC6">
        <f>IF(DB6="","",COUNTIFS(DB$4:DB$40,"&lt;"&amp;DB6,DB$4:DB$40,"&lt;&gt;"&amp;"")+COUNTIF(DB$4:DB6,DB6))</f>
        <v/>
      </c>
      <c r="DD6" s="55">
        <f>IF(ROW()-3&gt;COUNTIF(DB$4:DB$40,"&lt;&gt;"&amp;""),"",INDEX(DB$4:DB$40,MATCH(ROW()-3,DC$4:DC$40,0)))</f>
        <v/>
      </c>
      <c r="DE6">
        <f>DE5+IF(AND(DD6&lt;&gt;"",COUNTIF(DD$4:DD6,DD6)=1),1,0)</f>
        <v/>
      </c>
      <c r="DF6" s="55">
        <f>IF(ROW()-3&gt;MAX(DE$4:DE$40),"",INDEX(DD$4:DD$40,MATCH(ROW()-3,DE$4:DE$40,0)))</f>
        <v/>
      </c>
      <c r="DG6" s="140">
        <f>IF('Final Calculation Sheet'!$U$6="","",'Final Calculation Sheet'!$U$6)</f>
        <v/>
      </c>
      <c r="DH6">
        <f>IF(DG6="","",COUNTIFS(DG$4:DG$40,"&lt;"&amp;DG6,DG$4:DG$40,"&lt;&gt;"&amp;"")+COUNTIF(DG$4:DG6,DG6))</f>
        <v/>
      </c>
      <c r="DI6" s="140">
        <f>IF(ROW()-3&gt;COUNTIF(DG$4:DG$40,"&lt;&gt;"&amp;""),"",INDEX(DG$4:DG$40,MATCH(ROW()-3,DH$4:DH$40,0)))</f>
        <v/>
      </c>
      <c r="DJ6">
        <f>DJ5+IF(AND(DI6&lt;&gt;"",COUNTIF(DI$4:DI6,DI6)=1),1,0)</f>
        <v/>
      </c>
      <c r="DK6" s="140">
        <f>IF(ROW()-3&gt;MAX(DJ$4:DJ$40),"",INDEX(DI$4:DI$40,MATCH(ROW()-3,DJ$4:DJ$40,0)))</f>
        <v/>
      </c>
      <c r="DL6">
        <f>IF('Final Calculation Sheet'!$V$6="","",'Final Calculation Sheet'!$V$6)</f>
        <v/>
      </c>
      <c r="DM6">
        <f>IF(DL6="","",COUNTIFS(DL$4:DL$40,"&lt;"&amp;DL6,DL$4:DL$40,"&lt;&gt;"&amp;"")+COUNTIF(DL$4:DL6,DL6))</f>
        <v/>
      </c>
      <c r="DN6">
        <f>IF(ROW()-3&gt;COUNTIF(DL$4:DL$40,"&lt;&gt;"&amp;""),"",INDEX(DL$4:DL$40,MATCH(ROW()-3,DM$4:DM$40,0)))</f>
        <v/>
      </c>
      <c r="DO6">
        <f>DO5+IF(AND(DN6&lt;&gt;"",COUNTIF(DN$4:DN6,DN6)=1),1,0)</f>
        <v/>
      </c>
      <c r="DP6">
        <f>IF(ROW()-3&gt;MAX(DO$4:DO$40),"",INDEX(DN$4:DN$40,MATCH(ROW()-3,DO$4:DO$40,0)))</f>
        <v/>
      </c>
      <c r="DQ6" s="55">
        <f>IF('Final Calculation Sheet'!$W$6="","",'Final Calculation Sheet'!$W$6)</f>
        <v/>
      </c>
      <c r="DR6">
        <f>IF(DQ6="","",COUNTIFS(DQ$4:DQ$40,"&lt;"&amp;DQ6,DQ$4:DQ$40,"&lt;&gt;"&amp;"")+COUNTIF(DQ$4:DQ6,DQ6))</f>
        <v/>
      </c>
      <c r="DS6" s="55">
        <f>IF(ROW()-3&gt;COUNTIF(DQ$4:DQ$40,"&lt;&gt;"&amp;""),"",INDEX(DQ$4:DQ$40,MATCH(ROW()-3,DR$4:DR$40,0)))</f>
        <v/>
      </c>
      <c r="DT6">
        <f>DT5+IF(AND(DS6&lt;&gt;"",COUNTIF(DS$4:DS6,DS6)=1),1,0)</f>
        <v/>
      </c>
      <c r="DU6" s="55">
        <f>IF(ROW()-3&gt;MAX(DT$4:DT$40),"",INDEX(DS$4:DS$40,MATCH(ROW()-3,DT$4:DT$40,0)))</f>
        <v/>
      </c>
      <c r="DV6" s="55">
        <f>IF('Final Calculation Sheet'!$X$6="","",'Final Calculation Sheet'!$X$6)</f>
        <v/>
      </c>
      <c r="DW6">
        <f>IF(DV6="","",COUNTIFS(DV$4:DV$40,"&lt;"&amp;DV6,DV$4:DV$40,"&lt;&gt;"&amp;"")+COUNTIF(DV$4:DV6,DV6))</f>
        <v/>
      </c>
      <c r="DX6" s="55">
        <f>IF(ROW()-3&gt;COUNTIF(DV$4:DV$40,"&lt;&gt;"&amp;""),"",INDEX(DV$4:DV$40,MATCH(ROW()-3,DW$4:DW$40,0)))</f>
        <v/>
      </c>
      <c r="DY6">
        <f>DY5+IF(AND(DX6&lt;&gt;"",COUNTIF(DX$4:DX6,DX6)=1),1,0)</f>
        <v/>
      </c>
      <c r="DZ6">
        <f>IF(ROW()-3&gt;MAX(DY$4:DY$40),"",INDEX(DX$4:DX$40,MATCH(ROW()-3,DY$4:DY$40,0)))</f>
        <v/>
      </c>
      <c r="EA6">
        <f>IF('Final Calculation Sheet'!$Y$6="","",'Final Calculation Sheet'!$Y$6)</f>
        <v/>
      </c>
      <c r="EB6">
        <f>IF(EA6="","",COUNTIFS(EA$4:EA$40,"&lt;"&amp;EA6,EA$4:EA$40,"&lt;&gt;"&amp;"")+COUNTIF(EA$4:EA6,EA6))</f>
        <v/>
      </c>
      <c r="EC6">
        <f>IF(ROW()-3&gt;COUNTIF(EA$4:EA$40,"&lt;&gt;"&amp;""),"",INDEX(EA$4:EA$40,MATCH(ROW()-3,EB$4:EB$40,0)))</f>
        <v/>
      </c>
      <c r="ED6">
        <f>ED5+IF(AND(EC6&lt;&gt;"",COUNTIF(EC$4:EC6,EC6)=1),1,0)</f>
        <v/>
      </c>
      <c r="EE6">
        <f>IF(ROW()-3&gt;MAX(ED$4:ED$40),"",INDEX(EC$4:EC$40,MATCH(ROW()-3,ED$4:ED$40,0)))</f>
        <v/>
      </c>
      <c r="EF6" s="55">
        <f>IF('Final Calculation Sheet'!$Z$6="","",'Final Calculation Sheet'!$Z$6)</f>
        <v/>
      </c>
      <c r="EG6">
        <f>IF(EF6="","",COUNTIFS(EF$4:EF$40,"&lt;"&amp;EF6,EF$4:EF$40,"&lt;&gt;"&amp;"")+COUNTIF(EF$4:EF6,EF6))</f>
        <v/>
      </c>
      <c r="EH6" s="55">
        <f>IF(ROW()-3&gt;COUNTIF(EF$4:EF$40,"&lt;&gt;"&amp;""),"",INDEX(EF$4:EF$40,MATCH(ROW()-3,EG$4:EG$40,0)))</f>
        <v/>
      </c>
      <c r="EI6">
        <f>EI5+IF(AND(EH6&lt;&gt;"",COUNTIF(EH$4:EH6,EH6)=1),1,0)</f>
        <v/>
      </c>
      <c r="EJ6" s="55">
        <f>IF(ROW()-3&gt;MAX(EI$4:EI$40),"",INDEX(EH$4:EH$40,MATCH(ROW()-3,EI$4:EI$40,0)))</f>
        <v/>
      </c>
      <c r="EK6">
        <f>IF('Final Calculation Sheet'!$AA$6="","",'Final Calculation Sheet'!$AA$6)</f>
        <v/>
      </c>
      <c r="EL6">
        <f>IF(EK6="","",COUNTIFS(EK$4:EK$40,"&lt;"&amp;EK6,EK$4:EK$40,"&lt;&gt;"&amp;"")+COUNTIF(EK$4:EK6,EK6))</f>
        <v/>
      </c>
      <c r="EM6">
        <f>IF(ROW()-3&gt;COUNTIF(EK$4:EK$40,"&lt;&gt;"&amp;""),"",INDEX(EK$4:EK$40,MATCH(ROW()-3,EL$4:EL$40,0)))</f>
        <v/>
      </c>
      <c r="EN6">
        <f>EN5+IF(AND(EM6&lt;&gt;"",COUNTIF(EM$4:EM6,EM6)=1),1,0)</f>
        <v/>
      </c>
      <c r="EO6">
        <f>IF(ROW()-3&gt;MAX(EN$4:EN$40),"",INDEX(EM$4:EM$40,MATCH(ROW()-3,EN$4:EN$40,0)))</f>
        <v/>
      </c>
      <c r="EP6">
        <f>IF('Final Calculation Sheet'!$AB$6="","",'Final Calculation Sheet'!$AB$6)</f>
        <v/>
      </c>
      <c r="EQ6">
        <f>IF(EP6="","",COUNTIFS(EP$4:EP$40,"&lt;"&amp;EP6,EP$4:EP$40,"&lt;&gt;"&amp;"")+COUNTIF(EP$4:EP6,EP6))</f>
        <v/>
      </c>
      <c r="ER6">
        <f>IF(ROW()-3&gt;COUNTIF(EP$4:EP$40,"&lt;&gt;"&amp;""),"",INDEX(EP$4:EP$40,MATCH(ROW()-3,EQ$4:EQ$40,0)))</f>
        <v/>
      </c>
      <c r="ES6">
        <f>ES5+IF(AND(ER6&lt;&gt;"",COUNTIF(ER$4:ER6,ER6)=1),1,0)</f>
        <v/>
      </c>
      <c r="ET6">
        <f>IF(ROW()-3&gt;MAX(ES$4:ES$40),"",INDEX(ER$4:ER$40,MATCH(ROW()-3,ES$4:ES$40,0)))</f>
        <v/>
      </c>
      <c r="EU6" s="55">
        <f>IF('Final Calculation Sheet'!$AC$6="","",'Final Calculation Sheet'!$AC$6)</f>
        <v/>
      </c>
      <c r="EV6">
        <f>IF(EU6="","",COUNTIFS(EU$4:EU$40,"&lt;"&amp;EU6,EU$4:EU$40,"&lt;&gt;"&amp;"")+COUNTIF(EU$4:EU6,EU6))</f>
        <v/>
      </c>
      <c r="EW6" s="55">
        <f>IF(ROW()-3&gt;COUNTIF(EU$4:EU$40,"&lt;&gt;"&amp;""),"",INDEX(EU$4:EU$40,MATCH(ROW()-3,EV$4:EV$40,0)))</f>
        <v/>
      </c>
      <c r="EX6">
        <f>EX5+IF(AND(EW6&lt;&gt;"",COUNTIF(EW$4:EW6,EW6)=1),1,0)</f>
        <v/>
      </c>
      <c r="EY6" s="55">
        <f>IF(ROW()-3&gt;MAX(EX$4:EX$40),"",INDEX(EW$4:EW$40,MATCH(ROW()-3,EX$4:EX$40,0)))</f>
        <v/>
      </c>
      <c r="EZ6" s="55">
        <f>IF('Final Calculation Sheet'!$AD$6="","",'Final Calculation Sheet'!$AD$6)</f>
        <v/>
      </c>
      <c r="FA6">
        <f>IF(EZ6="","",COUNTIFS(EZ$4:EZ$40,"&lt;"&amp;EZ6,EZ$4:EZ$40,"&lt;&gt;"&amp;"")+COUNTIF(EZ$4:EZ6,EZ6))</f>
        <v/>
      </c>
      <c r="FB6" s="55">
        <f>IF(ROW()-3&gt;COUNTIF(EZ$4:EZ$40,"&lt;&gt;"&amp;""),"",INDEX(EZ$4:EZ$40,MATCH(ROW()-3,FA$4:FA$40,0)))</f>
        <v/>
      </c>
      <c r="FC6">
        <f>FC5+IF(AND(FB6&lt;&gt;"",COUNTIF(FB$4:FB6,FB6)=1),1,0)</f>
        <v/>
      </c>
      <c r="FD6" s="55">
        <f>IF(ROW()-3&gt;MAX(FC$4:FC$40),"",INDEX(FB$4:FB$40,MATCH(ROW()-3,FC$4:FC$40,0)))</f>
        <v/>
      </c>
      <c r="FE6">
        <f>IF('Final Calculation Sheet'!$AF$6="","",'Final Calculation Sheet'!$AF$6)</f>
        <v/>
      </c>
      <c r="FF6">
        <f>IF(FE6="","",COUNTIFS(FE$4:FE$40,"&lt;"&amp;FE6,FE$4:FE$40,"&lt;&gt;"&amp;"")+COUNTIF(FE$4:FE6,FE6))</f>
        <v/>
      </c>
      <c r="FG6">
        <f>IF(ROW()-3&gt;COUNTIF(FE$4:FE$40,"&lt;&gt;"&amp;""),"",INDEX(FE$4:FE$40,MATCH(ROW()-3,FF$4:FF$40,0)))</f>
        <v/>
      </c>
      <c r="FH6">
        <f>FH5+IF(AND(FG6&lt;&gt;"",COUNTIF(FG$4:FG6,FG6)=1),1,0)</f>
        <v/>
      </c>
      <c r="FI6">
        <f>IF(ROW()-3&gt;MAX(FH$4:FH$40),"",INDEX(FG$4:FG$40,MATCH(ROW()-3,FH$4:FH$40,0)))</f>
        <v/>
      </c>
      <c r="FJ6" s="141">
        <f>IF('Final Calculation Sheet'!$AG$6="","",'Final Calculation Sheet'!$AG$6)</f>
        <v/>
      </c>
      <c r="FK6">
        <f>IF(FJ6="","",COUNTIFS(FJ$4:FJ$40,"&lt;"&amp;FJ6,FJ$4:FJ$40,"&lt;&gt;"&amp;"")+COUNTIF(FJ$4:FJ6,FJ6))</f>
        <v/>
      </c>
      <c r="FL6" s="141">
        <f>IF(ROW()-3&gt;COUNTIF(FJ$4:FJ$40,"&lt;&gt;"&amp;""),"",INDEX(FJ$4:FJ$40,MATCH(ROW()-3,FK$4:FK$40,0)))</f>
        <v/>
      </c>
      <c r="FM6">
        <f>FM5+IF(AND(FL6&lt;&gt;"",COUNTIF(FL$4:FL6,FL6)=1),1,0)</f>
        <v/>
      </c>
      <c r="FN6">
        <f>IF(ROW()-3&gt;MAX(FM$4:FM$40),"",INDEX(FL$4:FL$40,MATCH(ROW()-3,FM$4:FM$40,0)))</f>
        <v/>
      </c>
      <c r="FO6">
        <f>IF('Final Calculation Sheet'!$AH$6="","",'Final Calculation Sheet'!$AH$6)</f>
        <v/>
      </c>
      <c r="FP6">
        <f>IF(FO6="","",COUNTIFS(FO$4:FO$40,"&lt;"&amp;FO6,FO$4:FO$40,"&lt;&gt;"&amp;"")+COUNTIF(FO$4:FO6,FO6))</f>
        <v/>
      </c>
      <c r="FQ6">
        <f>IF(ROW()-3&gt;COUNTIF(FO$4:FO$40,"&lt;&gt;"&amp;""),"",INDEX(FO$4:FO$40,MATCH(ROW()-3,FP$4:FP$40,0)))</f>
        <v/>
      </c>
      <c r="FR6">
        <f>FR5+IF(AND(FQ6&lt;&gt;"",COUNTIF(FQ$4:FQ6,FQ6)=1),1,0)</f>
        <v/>
      </c>
      <c r="FS6">
        <f>IF(ROW()-3&gt;MAX(FR$4:FR$40),"",INDEX(FQ$4:FQ$40,MATCH(ROW()-3,FR$4:FR$40,0)))</f>
        <v/>
      </c>
      <c r="FU6">
        <f>IF(FT6="","",COUNTIFS(FT$4:FT$40,"&lt;"&amp;FT6,FT$4:FT$40,"&lt;&gt;"&amp;"")+COUNTIF(FT$4:FT6,FT6))</f>
        <v/>
      </c>
      <c r="FV6">
        <f>IF(ROW()-3&gt;COUNTIF(FT$4:FT$40,"&lt;&gt;"&amp;""),"",INDEX(FT$4:FT$40,MATCH(ROW()-3,FU$4:FU$40,0)))</f>
        <v/>
      </c>
      <c r="FW6">
        <f>FW5+IF(AND(FV6&lt;&gt;"",COUNTIF(FV$4:FV6,FV6)=1),1,0)</f>
        <v/>
      </c>
      <c r="FX6">
        <f>IF(ROW()-3&gt;MAX(FW$4:FW$40),"",INDEX(FV$4:FV$40,MATCH(ROW()-3,FW$4:FW$40,0)))</f>
        <v/>
      </c>
      <c r="FY6">
        <f>IF(COUNTIF('Live Search'!BM$5:BO$5,0)+COUNTIF('Live Search'!BQ$5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6">
        <f>IF($Y$6="",FALSE,SUMPRODUCT(('Final Calculation Sheet'!$B$4:$B$40=$Y$6)*($FY$6:$FY$42=1))&gt;0)</f>
        <v/>
      </c>
      <c r="GA6">
        <f>$GA$5+--($FZ$6)</f>
        <v/>
      </c>
      <c r="GB6">
        <f>IF(ROW()-3&gt;MAX($GA$4:$GA$40),"",INDEX($Y$4:$Y$40,MATCH(ROW()-3,$GA$4:$GA$40,0)))</f>
        <v/>
      </c>
      <c r="GC6">
        <f>IF(COUNTIF('Live Search'!BM$5:BM$5,0)+COUNTIF('Live Search'!BO$5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GD6">
        <f>IF($O$6="",FALSE,SUMPRODUCT(('Final Calculation Sheet'!$F$4:$F$40=$O$6)*($GC$6:$GC$42=1))&gt;0)</f>
        <v/>
      </c>
      <c r="GE6">
        <f>$GE$5+--($GD6)</f>
        <v/>
      </c>
      <c r="GF6">
        <f>IF(ROW()-3&gt;MAX($GE$4:$GE$40),"",INDEX($O$4:$O$40,MATCH(ROW()-3,$GE$4:$GE$40,0)))</f>
        <v/>
      </c>
      <c r="GG6">
        <f>IF(COUNTIF('Live Search'!BM$5:BN$5,0)+COUNTIF('Live Search'!BP$5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GH6">
        <f>IF($T$6="",FALSE,SUMPRODUCT(('Final Calculation Sheet'!$G$4:$G$40=$T$6)*($GG$6:$GG$42=1))&gt;0)</f>
        <v/>
      </c>
      <c r="GI6">
        <f>$GI$5+--($GH6)</f>
        <v/>
      </c>
      <c r="GJ6">
        <f>IF(ROW()-3&gt;MAX($GI$4:$GI$40),"",INDEX($T$4:$T$40,MATCH(ROW()-3,$GI$4:$GI$40,0)))</f>
        <v/>
      </c>
      <c r="GK6">
        <f>IF(COUNTIF('Live Search'!BM$5:BP$5,0)+COUNTIF('Live Search'!BR$5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GL6">
        <f>IF($AD$6="",FALSE,SUMPRODUCT(('Final Calculation Sheet'!$D$4:$D$40=$AD$6)*($GK$6:$GK$42=1))&gt;0)</f>
        <v/>
      </c>
      <c r="GM6">
        <f>$GM$5+--($GL6)</f>
        <v/>
      </c>
      <c r="GN6">
        <f>IF(ROW()-3&gt;MAX($GM$4:$GM$40),"",INDEX($AD$4:$AD$40,MATCH(ROW()-3,$GM$4:$GM$40,0)))</f>
        <v/>
      </c>
      <c r="GO6">
        <f>IF(COUNTIF('Live Search'!BM$5:BQ$5,0)+COUNTIF('Live Search'!BS$5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GP6">
        <f>IF($AI$6="",FALSE,SUMPRODUCT(('Final Calculation Sheet'!$A$4:$A$40=$AI$6)*($GO$6:$GO$42=1))&gt;0)</f>
        <v/>
      </c>
      <c r="GQ6">
        <f>$GQ$5+--($GP6)</f>
        <v/>
      </c>
      <c r="GR6">
        <f>IF(ROW()-3&gt;MAX($GQ$4:$GQ$40),"",INDEX($AI$4:$AI$40,MATCH(ROW()-3,$GQ$4:$GQ$40,0)))</f>
        <v/>
      </c>
      <c r="GS6">
        <f>IF(COUNTIF('Live Search'!BM$5:BR$5,0)+COUNTIF('Live Search'!BT$5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GT6">
        <f>IF($AN$6="",FALSE,SUMPRODUCT(('Final Calculation Sheet'!$E$4:$E$40=$AN$6)*($GS$6:$GS$42=1))&gt;0)</f>
        <v/>
      </c>
      <c r="GU6">
        <f>$GU$5+--($GT6)</f>
        <v/>
      </c>
      <c r="GV6">
        <f>IF(ROW()-3&gt;MAX($GU$4:$GU$40),"",INDEX($AN$4:$AN$40,MATCH(ROW()-3,$GU$4:$GU$40,0)))</f>
        <v/>
      </c>
      <c r="GW6">
        <f>IF(COUNTIF('Live Search'!BM$5:BS$5,0)+COUNTIF('Live Search'!BU$5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GX6">
        <f>IF($AS$6="",FALSE,SUMPRODUCT(('Final Calculation Sheet'!$C$4:$C$40=$AS$6)*($GW$6:$GW$42=1))&gt;0)</f>
        <v/>
      </c>
      <c r="GY6">
        <f>$GY$5+--($GX6)</f>
        <v/>
      </c>
      <c r="GZ6">
        <f>IF(ROW()-3&gt;MAX($GY$4:$GY$40),"",INDEX($AS$4:$AS$40,MATCH(ROW()-3,$GY$4:$GY$40,0)))</f>
        <v/>
      </c>
      <c r="HA6">
        <f>IF(COUNTIF('Live Search'!BM$5:BT$5,0)+COUNTIF('Live Search'!BV$5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HB6">
        <f>IF($AX$6="",FALSE,SUMPRODUCT(('Final Calculation Sheet'!$H$4:$H$40=$AX$6)*($HA$6:$HA$42=1))&gt;0)</f>
        <v/>
      </c>
      <c r="HC6">
        <f>$HC$5+--($HB6)</f>
        <v/>
      </c>
      <c r="HD6">
        <f>IF(ROW()-3&gt;MAX($HC$4:$HC$40),"",INDEX($AX$4:$AX$40,MATCH(ROW()-3,$HC$4:$HC$40,0)))</f>
        <v/>
      </c>
      <c r="HE6">
        <f>IF(COUNTIF('Live Search'!BM$5:BU$5,0)+COUNTIF('Live Search'!BW$5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HF6">
        <f>IF($BC$6="",FALSE,SUMPRODUCT(('Final Calculation Sheet'!$I$4:$I$40=$BC$6)*($HE$6:$HE$42=1))&gt;0)</f>
        <v/>
      </c>
      <c r="HG6">
        <f>$HG$5+--($HF6)</f>
        <v/>
      </c>
      <c r="HH6">
        <f>IF(ROW()-3&gt;MAX($HG$4:$HG$40),"",INDEX($BC$4:$BC$40,MATCH(ROW()-3,$HG$4:$HG$40,0)))</f>
        <v/>
      </c>
      <c r="HI6">
        <f>IF(COUNTIF('Live Search'!BM$5:BV$5,0)+COUNTIF('Live Search'!BX$5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HJ6">
        <f>IF($BH$6="",FALSE,SUMPRODUCT(('Final Calculation Sheet'!$J$4:$J$40=$BH$6)*($HI$6:$HI$42=1))&gt;0)</f>
        <v/>
      </c>
      <c r="HK6">
        <f>$HK$5+--($HJ6)</f>
        <v/>
      </c>
      <c r="HL6">
        <f>IF(ROW()-3&gt;MAX($HK$4:$HK$40),"",INDEX($BH$4:$BH$40,MATCH(ROW()-3,$HK$4:$HK$40,0)))</f>
        <v/>
      </c>
      <c r="HM6">
        <f>IF(COUNTIF('Live Search'!BM$5:BW$5,0)+COUNTIF('Live Search'!BY$5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HN6">
        <f>IF($BM$6="",FALSE,SUMPRODUCT(('Final Calculation Sheet'!$K$4:$K$40=$BM$6)*($HM$6:$HM$42=1))&gt;0)</f>
        <v/>
      </c>
      <c r="HO6">
        <f>$HO$5+--($HN6)</f>
        <v/>
      </c>
      <c r="HP6">
        <f>IF(ROW()-3&gt;MAX($HO$4:$HO$40),"",INDEX($BM$4:$BM$40,MATCH(ROW()-3,$HO$4:$HO$40,0)))</f>
        <v/>
      </c>
      <c r="HQ6">
        <f>IF(COUNTIF('Live Search'!BM$5:BX$5,0)+COUNTIF('Live Search'!BZ$5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HR6">
        <f>IF($BR$6="",FALSE,SUMPRODUCT(('Final Calculation Sheet'!$L$4:$L$40=$BR$6)*($HQ$6:$HQ$42=1))&gt;0)</f>
        <v/>
      </c>
      <c r="HS6">
        <f>$HS$5+--($HR6)</f>
        <v/>
      </c>
      <c r="HT6">
        <f>IF(ROW()-3&gt;MAX($HS$4:$HS$40),"",INDEX($BR$4:$BR$40,MATCH(ROW()-3,$HS$4:$HS$40,0)))</f>
        <v/>
      </c>
      <c r="HU6">
        <f>IF(COUNTIF('Live Search'!BM$5:BY$5,0)+COUNTIF('Live Search'!CA$5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HV6">
        <f>IF($BW$6="",FALSE,SUMPRODUCT(('Final Calculation Sheet'!$M$4:$M$40=$BW$6)*($HU$6:$HU$42=1))&gt;0)</f>
        <v/>
      </c>
      <c r="HW6">
        <f>$HW$5+--($HV6)</f>
        <v/>
      </c>
      <c r="HX6">
        <f>IF(ROW()-3&gt;MAX($HW$4:$HW$40),"",INDEX($BW$4:$BW$40,MATCH(ROW()-3,$HW$4:$HW$40,0)))</f>
        <v/>
      </c>
      <c r="HY6">
        <f>IF(COUNTIF('Live Search'!BM$5:BZ$5,0)+COUNTIF('Live Search'!CB$5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HZ6">
        <f>IF($CB$6="",FALSE,SUMPRODUCT(('Final Calculation Sheet'!$N$4:$N$40=$CB$6)*($HY$6:$HY$42=1))&gt;0)</f>
        <v/>
      </c>
      <c r="IA6">
        <f>$IA$5+--($HZ6)</f>
        <v/>
      </c>
      <c r="IB6">
        <f>IF(ROW()-3&gt;MAX($IA$4:$IA$40),"",INDEX($CB$4:$CB$40,MATCH(ROW()-3,$IA$4:$IA$40,0)))</f>
        <v/>
      </c>
      <c r="IC6">
        <f>IF(COUNTIF('Live Search'!BM$5:CA$5,0)+COUNTIF('Live Search'!CC$5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ID6">
        <f>IF($CG$6="",FALSE,SUMPRODUCT(('Final Calculation Sheet'!$O$4:$O$40=$CG$6)*($IC$6:$IC$42=1))&gt;0)</f>
        <v/>
      </c>
      <c r="IE6">
        <f>$IE$5+--($ID6)</f>
        <v/>
      </c>
      <c r="IF6">
        <f>IF(ROW()-3&gt;MAX($IE$4:$IE$40),"",INDEX($CG$4:$CG$40,MATCH(ROW()-3,$IE$4:$IE$40,0)))</f>
        <v/>
      </c>
      <c r="IG6">
        <f>IF(COUNTIF('Live Search'!BM$5:CB$5,0)+COUNTIF('Live Search'!CD$5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IH6">
        <f>IF($CL$6="",FALSE,SUMPRODUCT(('Final Calculation Sheet'!$P$4:$P$40=$CL$6)*($IG$6:$IG$42=1))&gt;0)</f>
        <v/>
      </c>
      <c r="II6">
        <f>$II$5+--($IH6)</f>
        <v/>
      </c>
      <c r="IJ6">
        <f>IF(ROW()-3&gt;MAX($II$4:$II$40),"",INDEX($CL$4:$CL$40,MATCH(ROW()-3,$II$4:$II$40,0)))</f>
        <v/>
      </c>
      <c r="IK6">
        <f>IF(COUNTIF('Live Search'!BM$5:CC$5,0)+COUNTIF('Live Search'!CE$5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IL6">
        <f>IF($CQ$6="",FALSE,SUMPRODUCT(('Final Calculation Sheet'!$Q$4:$Q$40=$CQ$6)*($IK$6:$IK$42=1))&gt;0)</f>
        <v/>
      </c>
      <c r="IM6">
        <f>$IM$5+--($IL6)</f>
        <v/>
      </c>
      <c r="IN6">
        <f>IF(ROW()-3&gt;MAX($IM$4:$IM$40),"",INDEX($CQ$4:$CQ$40,MATCH(ROW()-3,$IM$4:$IM$40,0)))</f>
        <v/>
      </c>
      <c r="IO6">
        <f>IF(COUNTIF('Live Search'!BM$5:CD$5,0)+COUNTIF('Live Search'!CF$5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IP6">
        <f>IF($CV$6="",FALSE,SUMPRODUCT(('Final Calculation Sheet'!$R$4:$R$40=$CV$6)*($IO$6:$IO$42=1))&gt;0)</f>
        <v/>
      </c>
      <c r="IQ6">
        <f>$IQ$5+--($IP6)</f>
        <v/>
      </c>
      <c r="IR6">
        <f>IF(ROW()-3&gt;MAX($IQ$4:$IQ$40),"",INDEX($CV$4:$CV$40,MATCH(ROW()-3,$IQ$4:$IQ$40,0)))</f>
        <v/>
      </c>
      <c r="IS6">
        <f>IF(COUNTIF('Live Search'!BM$5:CE$5,0)+COUNTIF('Live Search'!CG$5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IT6">
        <f>IF($DA$6="",FALSE,SUMPRODUCT(('Final Calculation Sheet'!$S$4:$S$40=$DA$6)*($IS$6:$IS$42=1))&gt;0)</f>
        <v/>
      </c>
      <c r="IU6">
        <f>$IU$5+--($IT6)</f>
        <v/>
      </c>
      <c r="IV6">
        <f>IF(ROW()-3&gt;MAX($IU$4:$IU$40),"",INDEX($DA$4:$DA$40,MATCH(ROW()-3,$IU$4:$IU$40,0)))</f>
        <v/>
      </c>
      <c r="IW6">
        <f>IF(COUNTIF('Live Search'!BM$5:CF$5,0)+COUNTIF('Live Search'!CH$5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IX6">
        <f>IF($DF$6="",FALSE,SUMPRODUCT(('Final Calculation Sheet'!$T$4:$T$40=$DF$6)*($IW$6:$IW$42=1))&gt;0)</f>
        <v/>
      </c>
      <c r="IY6">
        <f>$IY$5+--($IX6)</f>
        <v/>
      </c>
      <c r="IZ6">
        <f>IF(ROW()-3&gt;MAX($IY$4:$IY$40),"",INDEX($DF$4:$DF$40,MATCH(ROW()-3,$IY$4:$IY$40,0)))</f>
        <v/>
      </c>
      <c r="JA6">
        <f>IF(COUNTIF('Live Search'!BM$5:CG$5,0)+COUNTIF('Live Search'!CI$5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JB6">
        <f>IF($DK$6="",FALSE,SUMPRODUCT(('Final Calculation Sheet'!$U$4:$U$40=$DK$6)*($JA$6:$JA$42=1))&gt;0)</f>
        <v/>
      </c>
      <c r="JC6">
        <f>$JC$5+--($JB6)</f>
        <v/>
      </c>
      <c r="JD6">
        <f>IF(ROW()-3&gt;MAX($JC$4:$JC$40),"",INDEX($DK$4:$DK$40,MATCH(ROW()-3,$JC$4:$JC$40,0)))</f>
        <v/>
      </c>
      <c r="JE6">
        <f>IF(COUNTIF('Live Search'!BM$5:CH$5,0)+COUNTIF('Live Search'!CJ$5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JF6">
        <f>IF($DP$6="",FALSE,SUMPRODUCT(('Final Calculation Sheet'!$V$4:$V$40=$DP$6)*($JE$6:$JE$42=1))&gt;0)</f>
        <v/>
      </c>
      <c r="JG6">
        <f>$JG$5+--($JF6)</f>
        <v/>
      </c>
      <c r="JH6">
        <f>IF(ROW()-3&gt;MAX($JG$4:$JG$40),"",INDEX($DP$4:$DP$40,MATCH(ROW()-3,$JG$4:$JG$40,0)))</f>
        <v/>
      </c>
      <c r="JI6">
        <f>IF(COUNTIF('Live Search'!BM$5:CI$5,0)+COUNTIF('Live Search'!CK$5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JJ6">
        <f>IF($DU$6="",FALSE,SUMPRODUCT(('Final Calculation Sheet'!$W$4:$W$40=$DU$6)*($JI$6:$JI$42=1))&gt;0)</f>
        <v/>
      </c>
      <c r="JK6">
        <f>$JK$5+--($JJ6)</f>
        <v/>
      </c>
      <c r="JL6">
        <f>IF(ROW()-3&gt;MAX($JK$4:$JK$40),"",INDEX($DU$4:$DU$40,MATCH(ROW()-3,$JK$4:$JK$40,0)))</f>
        <v/>
      </c>
      <c r="JM6">
        <f>IF(COUNTIF('Live Search'!BM$5:CJ$5,0)+COUNTIF('Live Search'!CL$5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JN6">
        <f>IF($DZ$6="",FALSE,SUMPRODUCT(('Final Calculation Sheet'!$X$4:$X$40=$DZ$6)*($JM$6:$JM$42=1))&gt;0)</f>
        <v/>
      </c>
      <c r="JO6">
        <f>$JO$5+--($JN6)</f>
        <v/>
      </c>
      <c r="JP6">
        <f>IF(ROW()-3&gt;MAX($JO$4:$JO$40),"",INDEX($DZ$4:$DZ$40,MATCH(ROW()-3,$JO$4:$JO$40,0)))</f>
        <v/>
      </c>
      <c r="JQ6">
        <f>IF(COUNTIF('Live Search'!BM$5:CK$5,0)+COUNTIF('Live Search'!CM$5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JR6">
        <f>IF($EE$6="",FALSE,SUMPRODUCT(('Final Calculation Sheet'!$Y$4:$Y$40=$EE$6)*($JQ$6:$JQ$42=1))&gt;0)</f>
        <v/>
      </c>
      <c r="JS6">
        <f>$JS$5+--($JR6)</f>
        <v/>
      </c>
      <c r="JT6">
        <f>IF(ROW()-3&gt;MAX($JS$4:$JS$40),"",INDEX($EE$4:$EE$40,MATCH(ROW()-3,$JS$4:$JS$40,0)))</f>
        <v/>
      </c>
      <c r="JU6">
        <f>IF(COUNTIF('Live Search'!BM$5:CL$5,0)+COUNTIF('Live Search'!CN$5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JV6">
        <f>IF($EJ$6="",FALSE,SUMPRODUCT(('Final Calculation Sheet'!$Z$4:$Z$40=$EJ$6)*($JU$6:$JU$42=1))&gt;0)</f>
        <v/>
      </c>
      <c r="JW6">
        <f>$JW$5+--($JV6)</f>
        <v/>
      </c>
      <c r="JX6">
        <f>IF(ROW()-3&gt;MAX($JW$4:$JW$40),"",INDEX($EJ$4:$EJ$40,MATCH(ROW()-3,$JW$4:$JW$40,0)))</f>
        <v/>
      </c>
      <c r="JY6">
        <f>IF(COUNTIF('Live Search'!BM$5:CM$5,0)+COUNTIF('Live Search'!CO$5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JZ6">
        <f>IF($EO$6="",FALSE,SUMPRODUCT(('Final Calculation Sheet'!$AA$4:$AA$40=$EO$6)*($JY$6:$JY$42=1))&gt;0)</f>
        <v/>
      </c>
      <c r="KA6">
        <f>$KA$5+--($JZ6)</f>
        <v/>
      </c>
      <c r="KB6">
        <f>IF(ROW()-3&gt;MAX($KA$4:$KA$40),"",INDEX($EO$4:$EO$40,MATCH(ROW()-3,$KA$4:$KA$40,0)))</f>
        <v/>
      </c>
      <c r="KC6">
        <f>IF(COUNTIF('Live Search'!BM$5:CN$5,0)+COUNTIF('Live Search'!CP$5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KD6">
        <f>IF($ET$6="",FALSE,SUMPRODUCT(('Final Calculation Sheet'!$AB$4:$AB$40=$ET$6)*($KC$6:$KC$42=1))&gt;0)</f>
        <v/>
      </c>
      <c r="KE6">
        <f>$KE$5+--($KD6)</f>
        <v/>
      </c>
      <c r="KF6">
        <f>IF(ROW()-3&gt;MAX($KE$4:$KE$40),"",INDEX($ET$4:$ET$40,MATCH(ROW()-3,$KE$4:$KE$40,0)))</f>
        <v/>
      </c>
      <c r="KG6">
        <f>IF(COUNTIF('Live Search'!BM$5:CO$5,0)+COUNTIF('Live Search'!CQ$5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KH6">
        <f>IF($EY$6="",FALSE,SUMPRODUCT(('Final Calculation Sheet'!$AC$4:$AC$40=$EY$6)*($KG$6:$KG$42=1))&gt;0)</f>
        <v/>
      </c>
      <c r="KI6">
        <f>$KI$5+--($KH6)</f>
        <v/>
      </c>
      <c r="KJ6">
        <f>IF(ROW()-3&gt;MAX($KI$4:$KI$40),"",INDEX($EY$4:$EY$40,MATCH(ROW()-3,$KI$4:$KI$40,0)))</f>
        <v/>
      </c>
      <c r="KK6">
        <f>IF(COUNTIF('Live Search'!BM$5:CP$5,0)+COUNTIF('Live Search'!CR$5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KL6">
        <f>IF($FD$6="",FALSE,SUMPRODUCT(('Final Calculation Sheet'!$AD$4:$AD$40=$FD$6)*($KK$6:$KK$42=1))&gt;0)</f>
        <v/>
      </c>
      <c r="KM6">
        <f>$KM$5+--($KL6)</f>
        <v/>
      </c>
      <c r="KN6">
        <f>IF(ROW()-3&gt;MAX($KM$4:$KM$40),"",INDEX($FD$4:$FD$40,MATCH(ROW()-3,$KM$4:$KM$40,0)))</f>
        <v/>
      </c>
      <c r="KO6">
        <f>IF(COUNTIF('Live Search'!BM$5:CT$5,0)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KP6">
        <f>IF($FX$6="",FALSE,SUMPRODUCT((IF('Final Calculation Sheet'!$AD$4:$AD$40&lt;=5,"SETTLED","OUTSTANDING")=$FX$6)*($KO$6:$KO$42=1))&gt;0)</f>
        <v/>
      </c>
      <c r="KQ6">
        <f>$KQ$5+--($KP6)</f>
        <v/>
      </c>
      <c r="KR6">
        <f>IF(ROW()-3&gt;MAX($KQ$4:$KQ$40),"",INDEX($FX$4:$FX$40,MATCH(ROW()-3,$KQ$4:$KQ$40,0)))</f>
        <v/>
      </c>
      <c r="KS6">
        <f>IF(COUNTIF('Live Search'!BM$5:CQ$5,0)+COUNTIF('Live Search'!CS$5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KT6">
        <f>IF($FI$6="",FALSE,SUMPRODUCT(('Final Calculation Sheet'!$AF$4:$AF$40=$FI$6)*($KS$6:$KS$42=1))&gt;0)</f>
        <v/>
      </c>
      <c r="KU6">
        <f>$KU$5+--($KT6)</f>
        <v/>
      </c>
      <c r="KV6">
        <f>IF(ROW()-3&gt;MAX($KU$4:$KU$40),"",INDEX($FI$4:$FI$40,MATCH(ROW()-3,$KU$4:$KU$40,0)))</f>
        <v/>
      </c>
      <c r="KW6">
        <f>IF(COUNTIF('Live Search'!BM$5:CR$5,0)+COUNTIF('Live Search'!CT$5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KX6">
        <f>IF($FN$6="",FALSE,SUMPRODUCT(('Final Calculation Sheet'!$AG$4:$AG$40=$FN$6)*($KW$6:$KW$42=1))&gt;0)</f>
        <v/>
      </c>
      <c r="KY6">
        <f>$KY$5+--($KX6)</f>
        <v/>
      </c>
      <c r="KZ6">
        <f>IF(ROW()-3&gt;MAX($KY$4:$KY$40),"",INDEX($FN$4:$FN$40,MATCH(ROW()-3,$KY$4:$KY$40,0)))</f>
        <v/>
      </c>
      <c r="LA6">
        <f>IF(COUNTIF('Live Search'!BM$5:CS$5,0)+COUNTIF('Live Search'!CU$5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LB6">
        <f>IF($FS$6="",FALSE,SUMPRODUCT(('Final Calculation Sheet'!$AH$4:$AH$40=$FS$6)*($LA$6:$LA$42=1))&gt;0)</f>
        <v/>
      </c>
      <c r="LC6">
        <f>$LC$5+--($LB6)</f>
        <v/>
      </c>
      <c r="LD6">
        <f>IF(ROW()-3&gt;MAX($LC$4:$LC$40),"",INDEX($FS$4:$FS$40,MATCH(ROW()-3,$LC$4:$LC$40,0)))</f>
        <v/>
      </c>
      <c r="LE6">
        <f>IF(COUNTIF('Buyer Groups'!DH59:EN59,0)&gt;0,0,1)</f>
        <v/>
      </c>
      <c r="LF6">
        <f>IF($O$6="",FALSE,SUMPRODUCT(('Final Calculation Sheet'!$F$4:$F$40=$O$6)*($LE$6:$LE$42=1))&gt;0)</f>
        <v/>
      </c>
      <c r="LG6">
        <f>$LG$5+--($LF6)</f>
        <v/>
      </c>
      <c r="LH6">
        <f>IF(ROW()-3&gt;MAX($LG$4:$LG$40),"",INDEX($O$4:$O$40,MATCH(ROW()-3,$LG$4:$LG$40,0)))</f>
        <v/>
      </c>
      <c r="LI6">
        <f>IF(COUNTIF('Buyer Groups'!DG59:DG59,0)+COUNTIF('Buyer Groups'!DI59:EN59,0)&gt;0,0,1)</f>
        <v/>
      </c>
      <c r="LJ6">
        <f>IF($T$6="",FALSE,SUMPRODUCT(('Final Calculation Sheet'!$G$4:$G$40=$T$6)*($LI$6:$LI$42=1))&gt;0)</f>
        <v/>
      </c>
      <c r="LK6">
        <f>$LK$5+--($LJ6)</f>
        <v/>
      </c>
      <c r="LL6">
        <f>IF(ROW()-3&gt;MAX($LK$4:$LK$40),"",INDEX($T$4:$T$40,MATCH(ROW()-3,$LK$4:$LK$40,0)))</f>
        <v/>
      </c>
      <c r="LM6">
        <f>IF(COUNTIF('Buyer Groups'!DG59:DH59,0)+COUNTIF('Buyer Groups'!DJ59:EN59,0)&gt;0,0,1)</f>
        <v/>
      </c>
      <c r="LN6">
        <f>IF($Y$6="",FALSE,SUMPRODUCT(('Final Calculation Sheet'!$B$4:$B$40=$Y$6)*($LM$6:$LM$42=1))&gt;0)</f>
        <v/>
      </c>
      <c r="LO6">
        <f>$LO$5+--($LN6)</f>
        <v/>
      </c>
      <c r="LP6">
        <f>IF(ROW()-3&gt;MAX($LO$4:$LO$40),"",INDEX($Y$4:$Y$40,MATCH(ROW()-3,$LO$4:$LO$40,0)))</f>
        <v/>
      </c>
      <c r="LQ6">
        <f>IF(COUNTIF('Buyer Groups'!DG59:DI59,0)+COUNTIF('Buyer Groups'!DK59:EN59,0)&gt;0,0,1)</f>
        <v/>
      </c>
      <c r="LR6">
        <f>IF($AD$6="",FALSE,SUMPRODUCT(('Final Calculation Sheet'!$D$4:$D$40=$AD$6)*($LQ$6:$LQ$42=1))&gt;0)</f>
        <v/>
      </c>
      <c r="LS6">
        <f>$LS$5+--($LR6)</f>
        <v/>
      </c>
      <c r="LT6">
        <f>IF(ROW()-3&gt;MAX($LS$4:$LS$40),"",INDEX($AD$4:$AD$40,MATCH(ROW()-3,$LS$4:$LS$40,0)))</f>
        <v/>
      </c>
      <c r="LU6">
        <f>IF(COUNTIF('Buyer Groups'!DG59:DJ59,0)+COUNTIF('Buyer Groups'!DL59:EN59,0)&gt;0,0,1)</f>
        <v/>
      </c>
      <c r="LV6">
        <f>IF($AI$6="",FALSE,SUMPRODUCT(('Final Calculation Sheet'!$A$4:$A$40=$AI$6)*($LU$6:$LU$42=1))&gt;0)</f>
        <v/>
      </c>
      <c r="LW6">
        <f>$LW$5+--($LV6)</f>
        <v/>
      </c>
      <c r="LX6">
        <f>IF(ROW()-3&gt;MAX($LW$4:$LW$40),"",INDEX($AI$4:$AI$40,MATCH(ROW()-3,$LW$4:$LW$40,0)))</f>
        <v/>
      </c>
      <c r="LY6">
        <f>IF(COUNTIF('Buyer Groups'!DG59:DK59,0)+COUNTIF('Buyer Groups'!DM59:EN59,0)&gt;0,0,1)</f>
        <v/>
      </c>
      <c r="LZ6">
        <f>IF($AN$6="",FALSE,SUMPRODUCT(('Final Calculation Sheet'!$E$4:$E$40=$AN$6)*($LY$6:$LY$42=1))&gt;0)</f>
        <v/>
      </c>
      <c r="MA6">
        <f>$MA$5+--($LZ6)</f>
        <v/>
      </c>
      <c r="MB6">
        <f>IF(ROW()-3&gt;MAX($MA$4:$MA$40),"",INDEX($AN$4:$AN$40,MATCH(ROW()-3,$MA$4:$MA$40,0)))</f>
        <v/>
      </c>
      <c r="MC6">
        <f>IF(COUNTIF('Buyer Groups'!DG59:DL59,0)+COUNTIF('Buyer Groups'!DN59:EN59,0)&gt;0,0,1)</f>
        <v/>
      </c>
      <c r="MD6">
        <f>IF($AS$6="",FALSE,SUMPRODUCT(('Final Calculation Sheet'!$C$4:$C$40=$AS$6)*($MC$6:$MC$42=1))&gt;0)</f>
        <v/>
      </c>
      <c r="ME6">
        <f>$ME$5+--($MD6)</f>
        <v/>
      </c>
      <c r="MF6">
        <f>IF(ROW()-3&gt;MAX($ME$4:$ME$40),"",INDEX($AS$4:$AS$40,MATCH(ROW()-3,$ME$4:$ME$40,0)))</f>
        <v/>
      </c>
      <c r="MG6">
        <f>IF(COUNTIF('Buyer Groups'!DG59:DM59,0)+COUNTIF('Buyer Groups'!DO59:EN59,0)&gt;0,0,1)</f>
        <v/>
      </c>
      <c r="MH6">
        <f>IF($AX$6="",FALSE,SUMPRODUCT(('Final Calculation Sheet'!$H$4:$H$40=$AX$6)*($MG$6:$MG$42=1))&gt;0)</f>
        <v/>
      </c>
      <c r="MI6">
        <f>$MI$5+--($MH6)</f>
        <v/>
      </c>
      <c r="MJ6">
        <f>IF(ROW()-3&gt;MAX($MI$4:$MI$40),"",INDEX($AX$4:$AX$40,MATCH(ROW()-3,$MI$4:$MI$40,0)))</f>
        <v/>
      </c>
      <c r="MK6">
        <f>IF(COUNTIF('Buyer Groups'!DG59:DN59,0)+COUNTIF('Buyer Groups'!DP59:EN59,0)&gt;0,0,1)</f>
        <v/>
      </c>
      <c r="ML6">
        <f>IF($BC$6="",FALSE,SUMPRODUCT(('Final Calculation Sheet'!$I$4:$I$40=$BC$6)*($MK$6:$MK$42=1))&gt;0)</f>
        <v/>
      </c>
      <c r="MM6">
        <f>$MM$5+--($ML6)</f>
        <v/>
      </c>
      <c r="MN6">
        <f>IF(ROW()-3&gt;MAX($MM$4:$MM$40),"",INDEX($BC$4:$BC$40,MATCH(ROW()-3,$MM$4:$MM$40,0)))</f>
        <v/>
      </c>
      <c r="MO6">
        <f>IF(COUNTIF('Buyer Groups'!DG59:DO59,0)+COUNTIF('Buyer Groups'!DQ59:EN59,0)&gt;0,0,1)</f>
        <v/>
      </c>
      <c r="MP6">
        <f>IF($BH$6="",FALSE,SUMPRODUCT(('Final Calculation Sheet'!$J$4:$J$40=$BH$6)*($MO$6:$MO$42=1))&gt;0)</f>
        <v/>
      </c>
      <c r="MQ6">
        <f>$MQ$5+--($MP6)</f>
        <v/>
      </c>
      <c r="MR6">
        <f>IF(ROW()-3&gt;MAX($MQ$4:$MQ$40),"",INDEX($BH$4:$BH$40,MATCH(ROW()-3,$MQ$4:$MQ$40,0)))</f>
        <v/>
      </c>
      <c r="MS6">
        <f>IF(COUNTIF('Buyer Groups'!DG59:DP59,0)+COUNTIF('Buyer Groups'!DR59:EN59,0)&gt;0,0,1)</f>
        <v/>
      </c>
      <c r="MT6">
        <f>IF($BM$6="",FALSE,SUMPRODUCT(('Final Calculation Sheet'!$K$4:$K$40=$BM$6)*($MS$6:$MS$42=1))&gt;0)</f>
        <v/>
      </c>
      <c r="MU6">
        <f>$MU$5+--($MT6)</f>
        <v/>
      </c>
      <c r="MV6">
        <f>IF(ROW()-3&gt;MAX($MU$4:$MU$40),"",INDEX($BM$4:$BM$40,MATCH(ROW()-3,$MU$4:$MU$40,0)))</f>
        <v/>
      </c>
      <c r="MW6">
        <f>IF(COUNTIF('Buyer Groups'!DG59:DQ59,0)+COUNTIF('Buyer Groups'!DS59:EN59,0)&gt;0,0,1)</f>
        <v/>
      </c>
      <c r="MX6">
        <f>IF($BR$6="",FALSE,SUMPRODUCT(('Final Calculation Sheet'!$L$4:$L$40=$BR$6)*($MW$6:$MW$42=1))&gt;0)</f>
        <v/>
      </c>
      <c r="MY6">
        <f>$MY$5+--($MX6)</f>
        <v/>
      </c>
      <c r="MZ6">
        <f>IF(ROW()-3&gt;MAX($MY$4:$MY$40),"",INDEX($BR$4:$BR$40,MATCH(ROW()-3,$MY$4:$MY$40,0)))</f>
        <v/>
      </c>
      <c r="NA6">
        <f>IF(COUNTIF('Buyer Groups'!DG59:DR59,0)+COUNTIF('Buyer Groups'!DT59:EN59,0)&gt;0,0,1)</f>
        <v/>
      </c>
      <c r="NB6">
        <f>IF($BW$6="",FALSE,SUMPRODUCT(('Final Calculation Sheet'!$M$4:$M$40=$BW$6)*($NA$6:$NA$42=1))&gt;0)</f>
        <v/>
      </c>
      <c r="NC6">
        <f>$NC$5+--($NB6)</f>
        <v/>
      </c>
      <c r="ND6">
        <f>IF(ROW()-3&gt;MAX($NC$4:$NC$40),"",INDEX($BW$4:$BW$40,MATCH(ROW()-3,$NC$4:$NC$40,0)))</f>
        <v/>
      </c>
      <c r="NE6">
        <f>IF(COUNTIF('Buyer Groups'!DG59:DS59,0)+COUNTIF('Buyer Groups'!DU59:EN59,0)&gt;0,0,1)</f>
        <v/>
      </c>
      <c r="NF6">
        <f>IF($CB$6="",FALSE,SUMPRODUCT(('Final Calculation Sheet'!$N$4:$N$40=$CB$6)*($NE$6:$NE$42=1))&gt;0)</f>
        <v/>
      </c>
      <c r="NG6">
        <f>$NG$5+--($NF6)</f>
        <v/>
      </c>
      <c r="NH6">
        <f>IF(ROW()-3&gt;MAX($NG$4:$NG$40),"",INDEX($CB$4:$CB$40,MATCH(ROW()-3,$NG$4:$NG$40,0)))</f>
        <v/>
      </c>
      <c r="NI6">
        <f>IF(COUNTIF('Buyer Groups'!DG59:DT59,0)+COUNTIF('Buyer Groups'!DV59:EN59,0)&gt;0,0,1)</f>
        <v/>
      </c>
      <c r="NJ6">
        <f>IF($CG$6="",FALSE,SUMPRODUCT(('Final Calculation Sheet'!$O$4:$O$40=$CG$6)*($NI$6:$NI$42=1))&gt;0)</f>
        <v/>
      </c>
      <c r="NK6">
        <f>$NK$5+--($NJ6)</f>
        <v/>
      </c>
      <c r="NL6">
        <f>IF(ROW()-3&gt;MAX($NK$4:$NK$40),"",INDEX($CG$4:$CG$40,MATCH(ROW()-3,$NK$4:$NK$40,0)))</f>
        <v/>
      </c>
      <c r="NM6">
        <f>IF(COUNTIF('Buyer Groups'!DG59:DU59,0)+COUNTIF('Buyer Groups'!DW59:EN59,0)&gt;0,0,1)</f>
        <v/>
      </c>
      <c r="NN6">
        <f>IF($CL$6="",FALSE,SUMPRODUCT(('Final Calculation Sheet'!$P$4:$P$40=$CL$6)*($NM$6:$NM$42=1))&gt;0)</f>
        <v/>
      </c>
      <c r="NO6">
        <f>$NO$5+--($NN6)</f>
        <v/>
      </c>
      <c r="NP6">
        <f>IF(ROW()-3&gt;MAX($NO$4:$NO$40),"",INDEX($CL$4:$CL$40,MATCH(ROW()-3,$NO$4:$NO$40,0)))</f>
        <v/>
      </c>
      <c r="NQ6">
        <f>IF(COUNTIF('Buyer Groups'!DG59:DV59,0)+COUNTIF('Buyer Groups'!DX59:EN59,0)&gt;0,0,1)</f>
        <v/>
      </c>
      <c r="NR6">
        <f>IF($CQ$6="",FALSE,SUMPRODUCT(('Final Calculation Sheet'!$Q$4:$Q$40=$CQ$6)*($NQ$6:$NQ$42=1))&gt;0)</f>
        <v/>
      </c>
      <c r="NS6">
        <f>$NS$5+--($NR6)</f>
        <v/>
      </c>
      <c r="NT6">
        <f>IF(ROW()-3&gt;MAX($NS$4:$NS$40),"",INDEX($CQ$4:$CQ$40,MATCH(ROW()-3,$NS$4:$NS$40,0)))</f>
        <v/>
      </c>
      <c r="NU6">
        <f>IF(COUNTIF('Buyer Groups'!DG59:DW59,0)+COUNTIF('Buyer Groups'!DY59:EN59,0)&gt;0,0,1)</f>
        <v/>
      </c>
      <c r="NV6">
        <f>IF($CV$6="",FALSE,SUMPRODUCT(('Final Calculation Sheet'!$R$4:$R$40=$CV$6)*($NU$6:$NU$42=1))&gt;0)</f>
        <v/>
      </c>
      <c r="NW6">
        <f>$NW$5+--($NV6)</f>
        <v/>
      </c>
      <c r="NX6">
        <f>IF(ROW()-3&gt;MAX($NW$4:$NW$40),"",INDEX($CV$4:$CV$40,MATCH(ROW()-3,$NW$4:$NW$40,0)))</f>
        <v/>
      </c>
      <c r="NY6">
        <f>IF(COUNTIF('Buyer Groups'!DG59:DX59,0)+COUNTIF('Buyer Groups'!DZ59:EN59,0)&gt;0,0,1)</f>
        <v/>
      </c>
      <c r="NZ6">
        <f>IF($DA$6="",FALSE,SUMPRODUCT(('Final Calculation Sheet'!$S$4:$S$40=$DA$6)*($NY$6:$NY$42=1))&gt;0)</f>
        <v/>
      </c>
      <c r="OA6">
        <f>$OA$5+--($NZ6)</f>
        <v/>
      </c>
      <c r="OB6">
        <f>IF(ROW()-3&gt;MAX($OA$4:$OA$40),"",INDEX($DA$4:$DA$40,MATCH(ROW()-3,$OA$4:$OA$40,0)))</f>
        <v/>
      </c>
      <c r="OC6">
        <f>IF(COUNTIF('Buyer Groups'!DG59:DY59,0)+COUNTIF('Buyer Groups'!EA59:EN59,0)&gt;0,0,1)</f>
        <v/>
      </c>
      <c r="OD6">
        <f>IF($DF$6="",FALSE,SUMPRODUCT(('Final Calculation Sheet'!$T$4:$T$40=$DF$6)*($OC$6:$OC$42=1))&gt;0)</f>
        <v/>
      </c>
      <c r="OE6">
        <f>$OE$5+--($OD6)</f>
        <v/>
      </c>
      <c r="OF6">
        <f>IF(ROW()-3&gt;MAX($OE$4:$OE$40),"",INDEX($DF$4:$DF$40,MATCH(ROW()-3,$OE$4:$OE$40,0)))</f>
        <v/>
      </c>
      <c r="OG6">
        <f>IF(COUNTIF('Buyer Groups'!DG59:DZ59,0)+COUNTIF('Buyer Groups'!EB59:EN59,0)&gt;0,0,1)</f>
        <v/>
      </c>
      <c r="OH6">
        <f>IF($DK$6="",FALSE,SUMPRODUCT(('Final Calculation Sheet'!$U$4:$U$40=$DK$6)*($OG$6:$OG$42=1))&gt;0)</f>
        <v/>
      </c>
      <c r="OI6">
        <f>$OI$5+--($OH6)</f>
        <v/>
      </c>
      <c r="OJ6">
        <f>IF(ROW()-3&gt;MAX($OI$4:$OI$40),"",INDEX($DK$4:$DK$40,MATCH(ROW()-3,$OI$4:$OI$40,0)))</f>
        <v/>
      </c>
      <c r="OK6">
        <f>IF(COUNTIF('Buyer Groups'!DG59:EA59,0)+COUNTIF('Buyer Groups'!EC59:EN59,0)&gt;0,0,1)</f>
        <v/>
      </c>
      <c r="OL6">
        <f>IF($DP$6="",FALSE,SUMPRODUCT(('Final Calculation Sheet'!$V$4:$V$40=$DP$6)*($OK$6:$OK$42=1))&gt;0)</f>
        <v/>
      </c>
      <c r="OM6">
        <f>$OM$5+--($OL6)</f>
        <v/>
      </c>
      <c r="ON6">
        <f>IF(ROW()-3&gt;MAX($OM$4:$OM$40),"",INDEX($DP$4:$DP$40,MATCH(ROW()-3,$OM$4:$OM$40,0)))</f>
        <v/>
      </c>
      <c r="OO6">
        <f>IF(COUNTIF('Buyer Groups'!DG59:EB59,0)+COUNTIF('Buyer Groups'!ED59:EN59,0)&gt;0,0,1)</f>
        <v/>
      </c>
      <c r="OP6">
        <f>IF($DU$6="",FALSE,SUMPRODUCT(('Final Calculation Sheet'!$W$4:$W$40=$DU$6)*($OO$6:$OO$42=1))&gt;0)</f>
        <v/>
      </c>
      <c r="OQ6">
        <f>$OQ$5+--($OP6)</f>
        <v/>
      </c>
      <c r="OR6">
        <f>IF(ROW()-3&gt;MAX($OQ$4:$OQ$40),"",INDEX($DU$4:$DU$40,MATCH(ROW()-3,$OQ$4:$OQ$40,0)))</f>
        <v/>
      </c>
      <c r="OS6">
        <f>IF(COUNTIF('Buyer Groups'!DG59:EC59,0)+COUNTIF('Buyer Groups'!EE59:EN59,0)&gt;0,0,1)</f>
        <v/>
      </c>
      <c r="OT6">
        <f>IF($DZ$6="",FALSE,SUMPRODUCT(('Final Calculation Sheet'!$X$4:$X$40=$DZ$6)*($OS$6:$OS$42=1))&gt;0)</f>
        <v/>
      </c>
      <c r="OU6">
        <f>$OU$5+--($OT6)</f>
        <v/>
      </c>
      <c r="OV6">
        <f>IF(ROW()-3&gt;MAX($OU$4:$OU$40),"",INDEX($DZ$4:$DZ$40,MATCH(ROW()-3,$OU$4:$OU$40,0)))</f>
        <v/>
      </c>
      <c r="OW6">
        <f>IF(COUNTIF('Buyer Groups'!DG59:ED59,0)+COUNTIF('Buyer Groups'!EF59:EN59,0)&gt;0,0,1)</f>
        <v/>
      </c>
      <c r="OX6">
        <f>IF($EE$6="",FALSE,SUMPRODUCT(('Final Calculation Sheet'!$Y$4:$Y$40=$EE$6)*($OW$6:$OW$42=1))&gt;0)</f>
        <v/>
      </c>
      <c r="OY6">
        <f>$OY$5+--($OX6)</f>
        <v/>
      </c>
      <c r="OZ6">
        <f>IF(ROW()-3&gt;MAX($OY$4:$OY$40),"",INDEX($EE$4:$EE$40,MATCH(ROW()-3,$OY$4:$OY$40,0)))</f>
        <v/>
      </c>
      <c r="PA6">
        <f>IF(COUNTIF('Buyer Groups'!DG59:EE59,0)+COUNTIF('Buyer Groups'!EG59:EN59,0)&gt;0,0,1)</f>
        <v/>
      </c>
      <c r="PB6">
        <f>IF($EJ$6="",FALSE,SUMPRODUCT(('Final Calculation Sheet'!$Z$4:$Z$40=$EJ$6)*($PA$6:$PA$42=1))&gt;0)</f>
        <v/>
      </c>
      <c r="PC6">
        <f>$PC$5+--($PB6)</f>
        <v/>
      </c>
      <c r="PD6">
        <f>IF(ROW()-3&gt;MAX($PC$4:$PC$40),"",INDEX($EJ$4:$EJ$40,MATCH(ROW()-3,$PC$4:$PC$40,0)))</f>
        <v/>
      </c>
      <c r="PE6">
        <f>IF(COUNTIF('Buyer Groups'!DG59:EF59,0)+COUNTIF('Buyer Groups'!EH59:EN59,0)&gt;0,0,1)</f>
        <v/>
      </c>
      <c r="PF6">
        <f>IF($EO$6="",FALSE,SUMPRODUCT(('Final Calculation Sheet'!$AA$4:$AA$40=$EO$6)*($PE$6:$PE$42=1))&gt;0)</f>
        <v/>
      </c>
      <c r="PG6">
        <f>$PG$5+--($PF6)</f>
        <v/>
      </c>
      <c r="PH6">
        <f>IF(ROW()-3&gt;MAX($PG$4:$PG$40),"",INDEX($EO$4:$EO$40,MATCH(ROW()-3,$PG$4:$PG$40,0)))</f>
        <v/>
      </c>
      <c r="PI6">
        <f>IF(COUNTIF('Buyer Groups'!DG59:EG59,0)+COUNTIF('Buyer Groups'!EI59:EN59,0)&gt;0,0,1)</f>
        <v/>
      </c>
      <c r="PJ6">
        <f>IF($ET$6="",FALSE,SUMPRODUCT(('Final Calculation Sheet'!$AB$4:$AB$40=$ET$6)*($PI$6:$PI$42=1))&gt;0)</f>
        <v/>
      </c>
      <c r="PK6">
        <f>$PK$5+--($PJ6)</f>
        <v/>
      </c>
      <c r="PL6">
        <f>IF(ROW()-3&gt;MAX($PK$4:$PK$40),"",INDEX($ET$4:$ET$40,MATCH(ROW()-3,$PK$4:$PK$40,0)))</f>
        <v/>
      </c>
      <c r="PM6">
        <f>IF(COUNTIF('Buyer Groups'!DG59:EH59,0)+COUNTIF('Buyer Groups'!EJ59:EN59,0)&gt;0,0,1)</f>
        <v/>
      </c>
      <c r="PN6">
        <f>IF($EY$6="",FALSE,SUMPRODUCT(('Final Calculation Sheet'!$AC$4:$AC$40=$EY$6)*($PM$6:$PM$42=1))&gt;0)</f>
        <v/>
      </c>
      <c r="PO6">
        <f>$PO$5+--($PN6)</f>
        <v/>
      </c>
      <c r="PP6">
        <f>IF(ROW()-3&gt;MAX($PO$4:$PO$40),"",INDEX($EY$4:$EY$40,MATCH(ROW()-3,$PO$4:$PO$40,0)))</f>
        <v/>
      </c>
      <c r="PQ6">
        <f>IF(COUNTIF('Buyer Groups'!DG59:EI59,0)+COUNTIF('Buyer Groups'!EK59:EN59,0)&gt;0,0,1)</f>
        <v/>
      </c>
      <c r="PR6">
        <f>IF($FD$6="",FALSE,SUMPRODUCT(('Final Calculation Sheet'!$AD$4:$AD$40=$FD$6)*($PQ$6:$PQ$42=1))&gt;0)</f>
        <v/>
      </c>
      <c r="PS6">
        <f>$PS$5+--($PR6)</f>
        <v/>
      </c>
      <c r="PT6">
        <f>IF(ROW()-3&gt;MAX($PS$4:$PS$40),"",INDEX($FD$4:$FD$40,MATCH(ROW()-3,$PS$4:$PS$40,0)))</f>
        <v/>
      </c>
      <c r="PU6">
        <f>IF(COUNTIF('Buyer Groups'!DG59:EJ59,0)+COUNTIF('Buyer Groups'!EL59:EN59,0)&gt;0,0,1)</f>
        <v/>
      </c>
      <c r="PV6">
        <f>IF($FX$6="",FALSE,SUMPRODUCT((IF('Final Calculation Sheet'!$AD$4:$AD$40&lt;=5,"SETTLED","OUTSTANDING")=$FX$6)*($PU$6:$PU$42=1))&gt;0)</f>
        <v/>
      </c>
      <c r="PW6">
        <f>$PW$5+--($PV6)</f>
        <v/>
      </c>
      <c r="PX6">
        <f>IF(ROW()-3&gt;MAX($PW$4:$PW$40),"",INDEX($FX$4:$FX$40,MATCH(ROW()-3,$PW$4:$PW$40,0)))</f>
        <v/>
      </c>
      <c r="PY6">
        <f>IF(COUNTIF('Buyer Groups'!DG59:EK59,0)+COUNTIF('Buyer Groups'!EM59:EN59,0)&gt;0,0,1)</f>
        <v/>
      </c>
      <c r="PZ6">
        <f>IF($FI$6="",FALSE,SUMPRODUCT(('Final Calculation Sheet'!$AF$4:$AF$40=$FI$6)*($PY$6:$PY$42=1))&gt;0)</f>
        <v/>
      </c>
      <c r="QA6">
        <f>$QA$5+--($PZ6)</f>
        <v/>
      </c>
      <c r="QB6">
        <f>IF(ROW()-3&gt;MAX($QA$4:$QA$40),"",INDEX($FI$4:$FI$40,MATCH(ROW()-3,$QA$4:$QA$40,0)))</f>
        <v/>
      </c>
      <c r="QC6">
        <f>IF(COUNTIF('Buyer Groups'!DG59:EL59,0)+COUNTIF('Buyer Groups'!EN59:EN59,0)&gt;0,0,1)</f>
        <v/>
      </c>
      <c r="QD6">
        <f>IF($FN$6="",FALSE,SUMPRODUCT(('Final Calculation Sheet'!$AG$4:$AG$40=$FN$6)*($QC$6:$QC$42=1))&gt;0)</f>
        <v/>
      </c>
      <c r="QE6">
        <f>$QE$5+--($QD6)</f>
        <v/>
      </c>
      <c r="QF6">
        <f>IF(ROW()-3&gt;MAX($QE$4:$QE$40),"",INDEX($FN$4:$FN$40,MATCH(ROW()-3,$QE$4:$QE$40,0)))</f>
        <v/>
      </c>
      <c r="QG6">
        <f>IF(COUNTIF('Buyer Groups'!DG59:EM59,0)&gt;0,0,1)</f>
        <v/>
      </c>
      <c r="QH6">
        <f>IF($FS$6="",FALSE,SUMPRODUCT(('Final Calculation Sheet'!$AH$4:$AH$40=$FS$6)*($QG$6:$QG$42=1))&gt;0)</f>
        <v/>
      </c>
      <c r="QI6">
        <f>$QI$5+--($QH6)</f>
        <v/>
      </c>
      <c r="QJ6">
        <f>IF(ROW()-3&gt;MAX($QI$4:$QI$40),"",INDEX($FS$4:$FS$40,MATCH(ROW()-3,$QI$4:$QI$40,0)))</f>
        <v/>
      </c>
      <c r="QK6" t="str">
        <f>IF('Final Calculation Sheet'!$AH$6="","",'Final Calculation Sheet'!$AH$6)</f>
      </c>
      <c r="QL6" t="str">
        <f>IF(QK6="","",COUNTIFS(QK$4:QK$40,"&lt;"&amp;QK6,QK$4:QK$40,"&lt;&gt;"&amp;"")+COUNTIF(QK$4:QK6,QK6))</f>
      </c>
      <c r="QM6" t="str">
        <f>IF(ROW()-3&gt;COUNTIF(QK$4:QK$40,"&lt;&gt;"&amp;""),"",INDEX(QK$4:QK$40,MATCH(ROW()-3,QL$4:QL$40,0)))</f>
      </c>
      <c r="QN6" t="str">
        <f>=QN5+F(AND(QM6&lt;&gt;"",COUNTIF(QM$4:QM6,QM6)=1),1,0)</f>
      </c>
      <c r="QO6" t="str">
        <f>IF(ROW()-3&gt;MAX(QN$4:QN$40),"",INDEX(QM$4:QM$40,MATCH(ROW()-3,QN$4:QN$40,0)))</f>
      </c>
      <c r="QP6" t="str">
        <f>IF(COUNTIF('Final Calculation Sheet'!$AM6:$BS6,0)&gt;0,0,1)</f>
      </c>
      <c r="QQ6" t="str">
        <f>IF($AI$6="",FALSE,SUMPRODUCT(('Final Calculation Sheet'!$A$4:$A$40=$AI$6)*($QP$4:$QP$40=1))&gt;0)</f>
      </c>
      <c r="QR6" t="str">
        <f>=$QR5+--($QQ6)</f>
      </c>
      <c r="QS6" t="str">
        <f>IF(ROW()-3&gt;MAX($QR$4:$QR$40),"",INDEX($AI$4:$AI$40,MATCH(ROW()-3,$QR$4:$QR$40,0)))</f>
      </c>
      <c r="QT6" t="str">
        <f>IF(COUNTIF('Final Calculation Sheet'!$AL6:$AL6,0)+COUNTIF('Final Calculation Sheet'!$AN6:$BS6,0)&gt;0,0,1)</f>
      </c>
      <c r="QU6" t="str">
        <f>IF($Y$6="",FALSE,SUMPRODUCT(('Final Calculation Sheet'!$B$4:$B$40=$Y$6)*($QT$4:$QT$40=1))&gt;0)</f>
      </c>
      <c r="QV6" t="str">
        <f>=$QV5+--($QU6)</f>
      </c>
      <c r="QW6" t="str">
        <f>IF(ROW()-3&gt;MAX($QV$4:$QV$40),"",INDEX($Y$4:$Y$40,MATCH(ROW()-3,$QV$4:$QV$40,0)))</f>
      </c>
      <c r="QX6" t="str">
        <f>IF(COUNTIF('Final Calculation Sheet'!$AL6:$AM6,0)+COUNTIF('Final Calculation Sheet'!$AO6:$BS6,0)&gt;0,0,1)</f>
      </c>
      <c r="QY6" t="str">
        <f>IF($AS$6="",FALSE,SUMPRODUCT(('Final Calculation Sheet'!$C$4:$C$40=$AS$6)*($QX$4:$QX$40=1))&gt;0)</f>
      </c>
      <c r="QZ6" t="str">
        <f>=$QZ5+--($QY6)</f>
      </c>
      <c r="RA6" t="str">
        <f>IF(ROW()-3&gt;MAX($QZ$4:$QZ$40),"",INDEX($AS$4:$AS$40,MATCH(ROW()-3,$QZ$4:$QZ$40,0)))</f>
      </c>
      <c r="RB6" t="str">
        <f>IF(COUNTIF('Final Calculation Sheet'!$AL6:$AN6,0)+COUNTIF('Final Calculation Sheet'!$AP6:$BS6,0)&gt;0,0,1)</f>
      </c>
      <c r="RC6" t="str">
        <f>IF($AD$6="",FALSE,SUMPRODUCT(('Final Calculation Sheet'!$D$4:$D$40=$AD$6)*($RB$4:$RB$40=1))&gt;0)</f>
      </c>
      <c r="RD6" t="str">
        <f>=$RD5+--($RC6)</f>
      </c>
      <c r="RE6" t="str">
        <f>IF(ROW()-3&gt;MAX($RD$4:$RD$40),"",INDEX($AD$4:$AD$40,MATCH(ROW()-3,$RD$4:$RD$40,0)))</f>
      </c>
      <c r="RF6" t="str">
        <f>IF(COUNTIF('Final Calculation Sheet'!$AL6:$AO6,0)+COUNTIF('Final Calculation Sheet'!$AQ6:$BS6,0)&gt;0,0,1)</f>
      </c>
      <c r="RG6" t="str">
        <f>IF($AN$6="",FALSE,SUMPRODUCT(('Final Calculation Sheet'!$E$4:$E$40=$AN$6)*($RF$4:$RF$40=1))&gt;0)</f>
      </c>
      <c r="RH6" t="str">
        <f>=$RH5+--($RG6)</f>
      </c>
      <c r="RI6" t="str">
        <f>IF(ROW()-3&gt;MAX($RH$4:$RH$40),"",INDEX($AN$4:$AN$40,MATCH(ROW()-3,$RH$4:$RH$40,0)))</f>
      </c>
      <c r="RJ6" t="str">
        <f>IF(COUNTIF('Final Calculation Sheet'!$AL6:$AP6,0)+COUNTIF('Final Calculation Sheet'!$AR6:$BS6,0)&gt;0,0,1)</f>
      </c>
      <c r="RK6" t="str">
        <f>IF($O$6="",FALSE,SUMPRODUCT(('Final Calculation Sheet'!$F$4:$F$40=$O$6)*($RJ$4:$RJ$40=1))&gt;0)</f>
      </c>
      <c r="RL6" t="str">
        <f>=$RL5+--($RK6)</f>
      </c>
      <c r="RM6" t="str">
        <f>IF(ROW()-3&gt;MAX($RL$4:$RL$40),"",INDEX($O$4:$O$40,MATCH(ROW()-3,$RL$4:$RL$40,0)))</f>
      </c>
      <c r="RN6" t="str">
        <f>IF(COUNTIF('Final Calculation Sheet'!$AL6:$AQ6,0)+COUNTIF('Final Calculation Sheet'!$AS6:$BS6,0)&gt;0,0,1)</f>
      </c>
      <c r="RO6" t="str">
        <f>IF($T$6="",FALSE,SUMPRODUCT(('Final Calculation Sheet'!$G$4:$G$40=$T$6)*($RN$4:$RN$40=1))&gt;0)</f>
      </c>
      <c r="RP6" t="str">
        <f>=$RP5+--($RO6)</f>
      </c>
      <c r="RQ6" t="str">
        <f>IF(ROW()-3&gt;MAX($RP$4:$RP$40),"",INDEX($T$4:$T$40,MATCH(ROW()-3,$RP$4:$RP$40,0)))</f>
      </c>
      <c r="RR6" t="str">
        <f>IF(COUNTIF('Final Calculation Sheet'!$AL6:$AR6,0)+COUNTIF('Final Calculation Sheet'!$AT6:$BS6,0)&gt;0,0,1)</f>
      </c>
      <c r="RS6" t="str">
        <f>IF($AX$6="",FALSE,SUMPRODUCT(('Final Calculation Sheet'!$H$4:$H$40=$AX$6)*($RR$4:$RR$40=1))&gt;0)</f>
      </c>
      <c r="RT6" t="str">
        <f>=$RT5+--($RS6)</f>
      </c>
      <c r="RU6" t="str">
        <f>IF(ROW()-3&gt;MAX($RT$4:$RT$40),"",INDEX($AX$4:$AX$40,MATCH(ROW()-3,$RT$4:$RT$40,0)))</f>
      </c>
      <c r="RV6" t="str">
        <f>IF(COUNTIF('Final Calculation Sheet'!$AL6:$AS6,0)+COUNTIF('Final Calculation Sheet'!$AU6:$BS6,0)&gt;0,0,1)</f>
      </c>
      <c r="RW6" t="str">
        <f>IF($BC$6="",FALSE,SUMPRODUCT(('Final Calculation Sheet'!$I$4:$I$40=$BC$6)*($RV$4:$RV$40=1))&gt;0)</f>
      </c>
      <c r="RX6" t="str">
        <f>=$RX5+--($RW6)</f>
      </c>
      <c r="RY6" t="str">
        <f>IF(ROW()-3&gt;MAX($RX$4:$RX$40),"",INDEX($BC$4:$BC$40,MATCH(ROW()-3,$RX$4:$RX$40,0)))</f>
      </c>
      <c r="RZ6" t="str">
        <f>IF(COUNTIF('Final Calculation Sheet'!$AL6:$AT6,0)+COUNTIF('Final Calculation Sheet'!$AV6:$BS6,0)&gt;0,0,1)</f>
      </c>
      <c r="SA6" t="str">
        <f>IF($BH$6="",FALSE,SUMPRODUCT(('Final Calculation Sheet'!$J$4:$J$40=$BH$6)*($RZ$4:$RZ$40=1))&gt;0)</f>
      </c>
      <c r="SB6" t="str">
        <f>=$SB5+--($SA6)</f>
      </c>
      <c r="SC6" t="str">
        <f>IF(ROW()-3&gt;MAX($SB$4:$SB$40),"",INDEX($BH$4:$BH$40,MATCH(ROW()-3,$SB$4:$SB$40,0)))</f>
      </c>
      <c r="SD6" t="str">
        <f>IF(COUNTIF('Final Calculation Sheet'!$AL6:$AU6,0)+COUNTIF('Final Calculation Sheet'!$AW6:$BS6,0)&gt;0,0,1)</f>
      </c>
      <c r="SE6" t="str">
        <f>IF($BM$6="",FALSE,SUMPRODUCT(('Final Calculation Sheet'!$K$4:$K$40=$BM$6)*($SD$4:$SD$40=1))&gt;0)</f>
      </c>
      <c r="SF6" t="str">
        <f>=$SF5+--($SE6)</f>
      </c>
      <c r="SG6" t="str">
        <f>IF(ROW()-3&gt;MAX($SF$4:$SF$40),"",INDEX($BM$4:$BM$40,MATCH(ROW()-3,$SF$4:$SF$40,0)))</f>
      </c>
      <c r="SH6" t="str">
        <f>IF(COUNTIF('Final Calculation Sheet'!$AL6:$AV6,0)+COUNTIF('Final Calculation Sheet'!$AX6:$BS6,0)&gt;0,0,1)</f>
      </c>
      <c r="SI6" t="str">
        <f>IF($BR$6="",FALSE,SUMPRODUCT(('Final Calculation Sheet'!$L$4:$L$40=$BR$6)*($SH$4:$SH$40=1))&gt;0)</f>
      </c>
      <c r="SJ6" t="str">
        <f>=$SJ5+--($SI6)</f>
      </c>
      <c r="SK6" t="str">
        <f>IF(ROW()-3&gt;MAX($SJ$4:$SJ$40),"",INDEX($BR$4:$BR$40,MATCH(ROW()-3,$SJ$4:$SJ$40,0)))</f>
      </c>
      <c r="SL6" t="str">
        <f>IF(COUNTIF('Final Calculation Sheet'!$AL6:$AW6,0)+COUNTIF('Final Calculation Sheet'!$AY6:$BS6,0)&gt;0,0,1)</f>
      </c>
      <c r="SM6" t="str">
        <f>IF($BW$6="",FALSE,SUMPRODUCT(('Final Calculation Sheet'!$M$4:$M$40=$BW$6)*($SL$4:$SL$40=1))&gt;0)</f>
      </c>
      <c r="SN6" t="str">
        <f>=$SN5+--($SM6)</f>
      </c>
      <c r="SO6" t="str">
        <f>IF(ROW()-3&gt;MAX($SN$4:$SN$40),"",INDEX($BW$4:$BW$40,MATCH(ROW()-3,$SN$4:$SN$40,0)))</f>
      </c>
      <c r="SP6" t="str">
        <f>IF(COUNTIF('Final Calculation Sheet'!$AL6:$AX6,0)+COUNTIF('Final Calculation Sheet'!$AZ6:$BS6,0)&gt;0,0,1)</f>
      </c>
      <c r="SQ6" t="str">
        <f>IF($CB$6="",FALSE,SUMPRODUCT(('Final Calculation Sheet'!$N$4:$N$40=$CB$6)*($SP$4:$SP$40=1))&gt;0)</f>
      </c>
      <c r="SR6" t="str">
        <f>=$SR5+--($SQ6)</f>
      </c>
      <c r="SS6" t="str">
        <f>IF(ROW()-3&gt;MAX($SR$4:$SR$40),"",INDEX($CB$4:$CB$40,MATCH(ROW()-3,$SR$4:$SR$40,0)))</f>
      </c>
      <c r="ST6" t="str">
        <f>IF(COUNTIF('Final Calculation Sheet'!$AL6:$AY6,0)+COUNTIF('Final Calculation Sheet'!$BA6:$BS6,0)&gt;0,0,1)</f>
      </c>
      <c r="SU6" t="str">
        <f>IF($CG$6="",FALSE,SUMPRODUCT(('Final Calculation Sheet'!$O$4:$O$40=$CG$6)*($ST$4:$ST$40=1))&gt;0)</f>
      </c>
      <c r="SV6" t="str">
        <f>=$SV5+--($SU6)</f>
      </c>
      <c r="SW6" t="str">
        <f>IF(ROW()-3&gt;MAX($SV$4:$SV$40),"",INDEX($CG$4:$CG$40,MATCH(ROW()-3,$SV$4:$SV$40,0)))</f>
      </c>
      <c r="SX6" t="str">
        <f>IF(COUNTIF('Final Calculation Sheet'!$AL6:$AZ6,0)+COUNTIF('Final Calculation Sheet'!$BB6:$BS6,0)&gt;0,0,1)</f>
      </c>
      <c r="SY6" t="str">
        <f>IF($CL$6="",FALSE,SUMPRODUCT(('Final Calculation Sheet'!$P$4:$P$40=$CL$6)*($SX$4:$SX$40=1))&gt;0)</f>
      </c>
      <c r="SZ6" t="str">
        <f>=$SZ5+--($SY6)</f>
      </c>
      <c r="TA6" t="str">
        <f>IF(ROW()-3&gt;MAX($SZ$4:$SZ$40),"",INDEX($CL$4:$CL$40,MATCH(ROW()-3,$SZ$4:$SZ$40,0)))</f>
      </c>
      <c r="TB6" t="str">
        <f>IF(COUNTIF('Final Calculation Sheet'!$AL6:$BA6,0)+COUNTIF('Final Calculation Sheet'!$BC6:$BS6,0)&gt;0,0,1)</f>
      </c>
      <c r="TC6" t="str">
        <f>IF($CQ$6="",FALSE,SUMPRODUCT(('Final Calculation Sheet'!$Q$4:$Q$40=$CQ$6)*($TB$4:$TB$40=1))&gt;0)</f>
      </c>
      <c r="TD6" t="str">
        <f>=$TD5+--($TC6)</f>
      </c>
      <c r="TE6" t="str">
        <f>IF(ROW()-3&gt;MAX($TD$4:$TD$40),"",INDEX($CQ$4:$CQ$40,MATCH(ROW()-3,$TD$4:$TD$40,0)))</f>
      </c>
      <c r="TF6" t="str">
        <f>IF(COUNTIF('Final Calculation Sheet'!$AL6:$BB6,0)+COUNTIF('Final Calculation Sheet'!$BD6:$BS6,0)&gt;0,0,1)</f>
      </c>
      <c r="TG6" t="str">
        <f>IF($CV$6="",FALSE,SUMPRODUCT(('Final Calculation Sheet'!$R$4:$R$40=$CV$6)*($TF$4:$TF$40=1))&gt;0)</f>
      </c>
      <c r="TH6" t="str">
        <f>=$TH5+--($TG6)</f>
      </c>
      <c r="TI6" t="str">
        <f>IF(ROW()-3&gt;MAX($TH$4:$TH$40),"",INDEX($CV$4:$CV$40,MATCH(ROW()-3,$TH$4:$TH$40,0)))</f>
      </c>
      <c r="TJ6" t="str">
        <f>IF(COUNTIF('Final Calculation Sheet'!$AL6:$BC6,0)+COUNTIF('Final Calculation Sheet'!$BE6:$BS6,0)&gt;0,0,1)</f>
      </c>
      <c r="TK6" t="str">
        <f>IF($DA$6="",FALSE,SUMPRODUCT(('Final Calculation Sheet'!$S$4:$S$40=$DA$6)*($TJ$4:$TJ$40=1))&gt;0)</f>
      </c>
      <c r="TL6" t="str">
        <f>=$TL5+--($TK6)</f>
      </c>
      <c r="TM6" t="str">
        <f>IF(ROW()-3&gt;MAX($TL$4:$TL$40),"",INDEX($DA$4:$DA$40,MATCH(ROW()-3,$TL$4:$TL$40,0)))</f>
      </c>
      <c r="TN6" t="str">
        <f>IF(COUNTIF('Final Calculation Sheet'!$AL6:$BD6,0)+COUNTIF('Final Calculation Sheet'!$BF6:$BS6,0)&gt;0,0,1)</f>
      </c>
      <c r="TO6" t="str">
        <f>IF($DF$6="",FALSE,SUMPRODUCT(('Final Calculation Sheet'!$T$4:$T$40=$DF$6)*($TN$4:$TN$40=1))&gt;0)</f>
      </c>
      <c r="TP6" t="str">
        <f>=$TP5+--($TO6)</f>
      </c>
      <c r="TQ6" t="str">
        <f>IF(ROW()-3&gt;MAX($TP$4:$TP$40),"",INDEX($DF$4:$DF$40,MATCH(ROW()-3,$TP$4:$TP$40,0)))</f>
      </c>
      <c r="TR6" t="str">
        <f>IF(COUNTIF('Final Calculation Sheet'!$AL6:$BE6,0)+COUNTIF('Final Calculation Sheet'!$BG6:$BS6,0)&gt;0,0,1)</f>
      </c>
      <c r="TS6" t="str">
        <f>IF($DK$6="",FALSE,SUMPRODUCT(('Final Calculation Sheet'!$U$4:$U$40=$DK$6)*($TR$4:$TR$40=1))&gt;0)</f>
      </c>
      <c r="TT6" t="str">
        <f>=$TT5+--($TS6)</f>
      </c>
      <c r="TU6" t="str">
        <f>IF(ROW()-3&gt;MAX($TT$4:$TT$40),"",INDEX($DK$4:$DK$40,MATCH(ROW()-3,$TT$4:$TT$40,0)))</f>
      </c>
      <c r="TV6" t="str">
        <f>IF(COUNTIF('Final Calculation Sheet'!$AL6:$BF6,0)+COUNTIF('Final Calculation Sheet'!$BH6:$BS6,0)&gt;0,0,1)</f>
      </c>
      <c r="TW6" t="str">
        <f>IF($DP$6="",FALSE,SUMPRODUCT(('Final Calculation Sheet'!$V$4:$V$40=$DP$6)*($TV$4:$TV$40=1))&gt;0)</f>
      </c>
      <c r="TX6" t="str">
        <f>=$TX5+--($TW6)</f>
      </c>
      <c r="TY6" t="str">
        <f>IF(ROW()-3&gt;MAX($TX$4:$TX$40),"",INDEX($DP$4:$DP$40,MATCH(ROW()-3,$TX$4:$TX$40,0)))</f>
      </c>
      <c r="TZ6" t="str">
        <f>IF(COUNTIF('Final Calculation Sheet'!$AL6:$BG6,0)+COUNTIF('Final Calculation Sheet'!$BI6:$BS6,0)&gt;0,0,1)</f>
      </c>
      <c r="UA6" t="str">
        <f>IF($DU$6="",FALSE,SUMPRODUCT(('Final Calculation Sheet'!$W$4:$W$40=$DU$6)*($TZ$4:$TZ$40=1))&gt;0)</f>
      </c>
      <c r="UB6" t="str">
        <f>=$UB5+--($UA6)</f>
      </c>
      <c r="UC6" t="str">
        <f>IF(ROW()-3&gt;MAX($UB$4:$UB$40),"",INDEX($DU$4:$DU$40,MATCH(ROW()-3,$UB$4:$UB$40,0)))</f>
      </c>
      <c r="UD6" t="str">
        <f>IF(COUNTIF('Final Calculation Sheet'!$AL6:$BH6,0)+COUNTIF('Final Calculation Sheet'!$BJ6:$BS6,0)&gt;0,0,1)</f>
      </c>
      <c r="UE6" t="str">
        <f>IF($DZ$6="",FALSE,SUMPRODUCT(('Final Calculation Sheet'!$X$4:$X$40=$DZ$6)*($UD$4:$UD$40=1))&gt;0)</f>
      </c>
      <c r="UF6" t="str">
        <f>=$UF5+--($UE6)</f>
      </c>
      <c r="UG6" t="str">
        <f>IF(ROW()-3&gt;MAX($UF$4:$UF$40),"",INDEX($DZ$4:$DZ$40,MATCH(ROW()-3,$UF$4:$UF$40,0)))</f>
      </c>
      <c r="UH6" t="str">
        <f>IF(COUNTIF('Final Calculation Sheet'!$AL6:$BI6,0)+COUNTIF('Final Calculation Sheet'!$BK6:$BS6,0)&gt;0,0,1)</f>
      </c>
      <c r="UI6" t="str">
        <f>IF($EE$6="",FALSE,SUMPRODUCT(('Final Calculation Sheet'!$Y$4:$Y$40=$EE$6)*($UH$4:$UH$40=1))&gt;0)</f>
      </c>
      <c r="UJ6" t="str">
        <f>=$UJ5+--($UI6)</f>
      </c>
      <c r="UK6" t="str">
        <f>IF(ROW()-3&gt;MAX($UJ$4:$UJ$40),"",INDEX($EE$4:$EE$40,MATCH(ROW()-3,$UJ$4:$UJ$40,0)))</f>
      </c>
      <c r="UL6" t="str">
        <f>IF(COUNTIF('Final Calculation Sheet'!$AL6:$BJ6,0)+COUNTIF('Final Calculation Sheet'!$BL6:$BS6,0)&gt;0,0,1)</f>
      </c>
      <c r="UM6" t="str">
        <f>IF($EJ$6="",FALSE,SUMPRODUCT(('Final Calculation Sheet'!$Z$4:$Z$40=$EJ$6)*($UL$4:$UL$40=1))&gt;0)</f>
      </c>
      <c r="UN6" t="str">
        <f>=$UN5+--($UM6)</f>
      </c>
      <c r="UO6" t="str">
        <f>IF(ROW()-3&gt;MAX($UN$4:$UN$40),"",INDEX($EJ$4:$EJ$40,MATCH(ROW()-3,$UN$4:$UN$40,0)))</f>
      </c>
      <c r="UP6" t="str">
        <f>IF(COUNTIF('Final Calculation Sheet'!$AL6:$BK6,0)+COUNTIF('Final Calculation Sheet'!$BM6:$BS6,0)&gt;0,0,1)</f>
      </c>
      <c r="UQ6" t="str">
        <f>IF($EO$6="",FALSE,SUMPRODUCT(('Final Calculation Sheet'!$AA$4:$AA$40=$EO$6)*($UP$4:$UP$40=1))&gt;0)</f>
      </c>
      <c r="UR6" t="str">
        <f>=$UR5+--($UQ6)</f>
      </c>
      <c r="US6" t="str">
        <f>IF(ROW()-3&gt;MAX($UR$4:$UR$40),"",INDEX($EO$4:$EO$40,MATCH(ROW()-3,$UR$4:$UR$40,0)))</f>
      </c>
      <c r="UT6" t="str">
        <f>IF(COUNTIF('Final Calculation Sheet'!$AL6:$BL6,0)+COUNTIF('Final Calculation Sheet'!$BN6:$BS6,0)&gt;0,0,1)</f>
      </c>
      <c r="UU6" t="str">
        <f>IF($ET$6="",FALSE,SUMPRODUCT(('Final Calculation Sheet'!$AB$4:$AB$40=$ET$6)*($UT$4:$UT$40=1))&gt;0)</f>
      </c>
      <c r="UV6" t="str">
        <f>=$UV5+--($UU6)</f>
      </c>
      <c r="UW6" t="str">
        <f>IF(ROW()-3&gt;MAX($UV$4:$UV$40),"",INDEX($ET$4:$ET$40,MATCH(ROW()-3,$UV$4:$UV$40,0)))</f>
      </c>
      <c r="UX6" t="str">
        <f>IF(COUNTIF('Final Calculation Sheet'!$AL6:$BM6,0)+COUNTIF('Final Calculation Sheet'!$BO6:$BS6,0)&gt;0,0,1)</f>
      </c>
      <c r="UY6" t="str">
        <f>IF($EY$6="",FALSE,SUMPRODUCT(('Final Calculation Sheet'!$AC$4:$AC$40=$EY$6)*($UX$4:$UX$40=1))&gt;0)</f>
      </c>
      <c r="UZ6" t="str">
        <f>=$UZ5+--($UY6)</f>
      </c>
      <c r="VA6" t="str">
        <f>IF(ROW()-3&gt;MAX($UZ$4:$UZ$40),"",INDEX($EY$4:$EY$40,MATCH(ROW()-3,$UZ$4:$UZ$40,0)))</f>
      </c>
      <c r="VB6" t="str">
        <f>IF(COUNTIF('Final Calculation Sheet'!$AL6:$BN6,0)+COUNTIF('Final Calculation Sheet'!$BP6:$BS6,0)&gt;0,0,1)</f>
      </c>
      <c r="VC6" t="str">
        <f>IF($FD$6="",FALSE,SUMPRODUCT(('Final Calculation Sheet'!$AD$4:$AD$40=$FD$6)*($VB$4:$VB$40=1))&gt;0)</f>
      </c>
      <c r="VD6" t="str">
        <f>=$VD5+--($VC6)</f>
      </c>
      <c r="VE6" t="str">
        <f>IF(ROW()-3&gt;MAX($VD$4:$VD$40),"",INDEX($FD$4:$FD$40,MATCH(ROW()-3,$VD$4:$VD$40,0)))</f>
      </c>
      <c r="VF6" t="str">
        <f>IF(COUNTIF('Final Calculation Sheet'!$AL6:$BO6,0)+COUNTIF('Final Calculation Sheet'!$BQ6:$BS6,0)&gt;0,0,1)</f>
      </c>
      <c r="VG6" t="str">
        <f>IF($FI$6="",FALSE,SUMPRODUCT(('Final Calculation Sheet'!$AE$4:$AE$40=$FI$6)*($VF$4:$VF$40=1))&gt;0)</f>
      </c>
      <c r="VH6" t="str">
        <f>=$VH5+--($VG6)</f>
      </c>
      <c r="VI6" t="str">
        <f>IF(ROW()-3&gt;MAX($VH$4:$VH$40),"",INDEX($FI$4:$FI$40,MATCH(ROW()-3,$VH$4:$VH$40,0)))</f>
      </c>
      <c r="VJ6" t="str">
        <f>IF(COUNTIF('Final Calculation Sheet'!$AL6:$BP6,0)+COUNTIF('Final Calculation Sheet'!$BR6:$BS6,0)&gt;0,0,1)</f>
      </c>
      <c r="VK6" t="str">
        <f>IF($FN$6="",FALSE,SUMPRODUCT(('Final Calculation Sheet'!$AF$4:$AF$40=$FN$6)*($VJ$4:$VJ$40=1))&gt;0)</f>
      </c>
      <c r="VL6" t="str">
        <f>=$VL5+--($VK6)</f>
      </c>
      <c r="VM6" t="str">
        <f>IF(ROW()-3&gt;MAX($VL$4:$VL$40),"",INDEX($FN$4:$FN$40,MATCH(ROW()-3,$VL$4:$VL$40,0)))</f>
      </c>
      <c r="VN6" t="str">
        <f>IF(COUNTIF('Final Calculation Sheet'!$AL6:$BQ6,0)+COUNTIF('Final Calculation Sheet'!$BS6:$BS6,0)&gt;0,0,1)</f>
      </c>
      <c r="VO6" t="str">
        <f>IF($FS$6="",FALSE,SUMPRODUCT(('Final Calculation Sheet'!$AG$4:$AG$40=$FS$6)*($VN$4:$VN$40=1))&gt;0)</f>
      </c>
      <c r="VP6" t="str">
        <f>=$VP5+--($VO6)</f>
      </c>
      <c r="VQ6" t="str">
        <f>IF(ROW()-3&gt;MAX($VP$4:$VP$40),"",INDEX($FS$4:$FS$40,MATCH(ROW()-3,$VP$4:$VP$40,0)))</f>
      </c>
      <c r="VR6" t="str">
        <f>IF(COUNTIF('Final Calculation Sheet'!$AL6:$BR6,0)&gt;0,0,1)</f>
      </c>
      <c r="VS6" t="str">
        <f>IF($QO$6="",FALSE,SUMPRODUCT(('Final Calculation Sheet'!$AH$4:$AH$40=$QO$6)*($VR$4:$VR$40=1))&gt;0)</f>
      </c>
      <c r="VT6" t="str">
        <f>=$VT5+--($VS6)</f>
      </c>
      <c r="VU6" t="str">
        <f>IF(ROW()-3&gt;MAX($VT$4:$VT$40),"",INDEX($QO$4:$QO$40,MATCH(ROW()-3,$VT$4:$VT$40,0)))</f>
      </c>
    </row>
    <row r="7">
      <c r="A7">
        <f>IF('Final Calculation Sheet'!$F$7="","",'Final Calculation Sheet'!$F$7)</f>
        <v/>
      </c>
      <c r="B7">
        <f>IF(A7="","",COUNTIFS(A$4:A$114,"&lt;"&amp;A7,A$4:A$114,"&lt;&gt;"&amp;"")+COUNTIF(A$4:A7,A7))</f>
        <v/>
      </c>
      <c r="C7">
        <f>IF(ROW()-3&gt;COUNTIF(A$4:A$114,"&lt;&gt;"&amp;""),"",INDEX(A$4:A$114,MATCH(ROW()-3,B$4:B$114,0)))</f>
        <v/>
      </c>
      <c r="D7">
        <f>D6+IF(AND(C7&lt;&gt;"",COUNTIF(C$4:C7,C7)=1),1,0)</f>
        <v/>
      </c>
      <c r="E7">
        <f>IF(ROW()-3&gt;MAX(D$4:D$114),"",INDEX(C$4:C$114,MATCH(ROW()-3,D$4:D$114,0)))</f>
        <v/>
      </c>
      <c r="F7">
        <f>ROW()-3</f>
        <v/>
      </c>
      <c r="G7">
        <f>IF(F7="","",COUNTIFS(F$4:F$40,"&lt;"&amp;F7,F$4:F$40,"&lt;&gt;"&amp;"")+COUNTIF(F$4:F7,F7))</f>
        <v/>
      </c>
      <c r="H7">
        <f>IF(ROW()-3&gt;COUNTIF(F$4:F$40,"&lt;&gt;"&amp;""),"",INDEX(F$4:F$40,MATCH(ROW()-3,G$4:G$40,0)))</f>
        <v/>
      </c>
      <c r="I7">
        <f>I6+IF(AND(H7&lt;&gt;"",COUNTIF(H$4:H7,H7)=1),1,0)</f>
        <v/>
      </c>
      <c r="J7">
        <f>IF(ROW()-3&gt;MAX(I$4:I$40),"",INDEX(H$4:H$40,MATCH(ROW()-3,I$4:I$40,0)))</f>
        <v/>
      </c>
      <c r="K7">
        <f>IF('Final Calculation Sheet'!$F$7="","",'Final Calculation Sheet'!$F$7)</f>
        <v/>
      </c>
      <c r="L7">
        <f>IF(K7="","",COUNTIFS(K$4:K$40,"&lt;"&amp;K7,K$4:K$40,"&lt;&gt;"&amp;"")+COUNTIF(K$4:K7,K7))</f>
        <v/>
      </c>
      <c r="M7">
        <f>IF(ROW()-3&gt;COUNTIF(K$4:K$40,"&lt;&gt;"&amp;""),"",INDEX(K$4:K$40,MATCH(ROW()-3,L$4:L$40,0)))</f>
        <v/>
      </c>
      <c r="N7">
        <f>N6+IF(AND(M7&lt;&gt;"",COUNTIF(M$4:M7,M7)=1),1,0)</f>
        <v/>
      </c>
      <c r="O7">
        <f>IF(ROW()-3&gt;MAX(N$4:N$40),"",INDEX(M$4:M$40,MATCH(ROW()-3,N$4:N$40,0)))</f>
        <v/>
      </c>
      <c r="P7">
        <f>IF('Final Calculation Sheet'!$G$7="","",'Final Calculation Sheet'!$G$7)</f>
        <v/>
      </c>
      <c r="Q7">
        <f>IF(P7="","",COUNTIFS(P$4:P$40,"&lt;"&amp;P7,P$4:P$40,"&lt;&gt;"&amp;"")+COUNTIF(P$4:P7,P7))</f>
        <v/>
      </c>
      <c r="R7">
        <f>IF(ROW()-3&gt;COUNTIF(P$4:P$40,"&lt;&gt;"&amp;""),"",INDEX(P$4:P$40,MATCH(ROW()-3,Q$4:Q$40,0)))</f>
        <v/>
      </c>
      <c r="S7">
        <f>S6+IF(AND(R7&lt;&gt;"",COUNTIF(R$4:R7,R7)=1),1,0)</f>
        <v/>
      </c>
      <c r="T7">
        <f>IF(ROW()-3&gt;MAX(S$4:S$40),"",INDEX(R$4:R$40,MATCH(ROW()-3,S$4:S$40,0)))</f>
        <v/>
      </c>
      <c r="U7">
        <f>IF('Final Calculation Sheet'!$B$7="","",'Final Calculation Sheet'!$B$7)</f>
        <v/>
      </c>
      <c r="V7">
        <f>IF(U7="","",COUNTIFS(U$4:U$40,"&lt;"&amp;U7,U$4:U$40,"&lt;&gt;"&amp;"")+COUNTIF(U$4:U7,U7))</f>
        <v/>
      </c>
      <c r="W7">
        <f>IF(ROW()-3&gt;COUNTIF(U$4:U$40,"&lt;&gt;"&amp;""),"",INDEX(U$4:U$40,MATCH(ROW()-3,V$4:V$40,0)))</f>
        <v/>
      </c>
      <c r="X7">
        <f>X6+IF(AND(W7&lt;&gt;"",COUNTIF(W$4:W7,W7)=1),1,0)</f>
        <v/>
      </c>
      <c r="Y7">
        <f>IF(ROW()-3&gt;MAX(X$4:X$40),"",INDEX(W$4:W$40,MATCH(ROW()-3,X$4:X$40,0)))</f>
        <v/>
      </c>
      <c r="Z7">
        <f>IF('Final Calculation Sheet'!$D$7="","",'Final Calculation Sheet'!$D$7)</f>
        <v/>
      </c>
      <c r="AA7">
        <f>IF(Z7="","",COUNTIFS(Z$4:Z$40,"&lt;"&amp;Z7,Z$4:Z$40,"&lt;&gt;"&amp;"")+COUNTIF(Z$4:Z7,Z7))</f>
        <v/>
      </c>
      <c r="AB7">
        <f>IF(ROW()-3&gt;COUNTIF(Z$4:Z$40,"&lt;&gt;"&amp;""),"",INDEX(Z$4:Z$40,MATCH(ROW()-3,AA$4:AA$40,0)))</f>
        <v/>
      </c>
      <c r="AC7">
        <f>AC6+IF(AND(AB7&lt;&gt;"",COUNTIF(AB$4:AB7,AB7)=1),1,0)</f>
        <v/>
      </c>
      <c r="AD7">
        <f>IF(ROW()-3&gt;MAX(AC$4:AC$40),"",INDEX(AB$4:AB$40,MATCH(ROW()-3,AC$4:AC$40,0)))</f>
        <v/>
      </c>
      <c r="AE7">
        <f>IF('Final Calculation Sheet'!$A$7="","",'Final Calculation Sheet'!$A$7)</f>
        <v/>
      </c>
      <c r="AF7">
        <f>IF(AE7="","",COUNTIFS(AE$4:AE$40,"&lt;"&amp;AE7,AE$4:AE$40,"&lt;&gt;"&amp;"")+COUNTIF(AE$4:AE7,AE7))</f>
        <v/>
      </c>
      <c r="AG7">
        <f>IF(ROW()-3&gt;COUNTIF(AE$4:AE$40,"&lt;&gt;"&amp;""),"",INDEX(AE$4:AE$40,MATCH(ROW()-3,AF$4:AF$40,0)))</f>
        <v/>
      </c>
      <c r="AH7">
        <f>AH6+IF(AND(AG7&lt;&gt;"",COUNTIF(AG$4:AG7,AG7)=1),1,0)</f>
        <v/>
      </c>
      <c r="AI7">
        <f>IF(ROW()-3&gt;MAX(AH$4:AH$40),"",INDEX(AG$4:AG$40,MATCH(ROW()-3,AH$4:AH$40,0)))</f>
        <v/>
      </c>
      <c r="AJ7">
        <f>IF('Final Calculation Sheet'!$E$7="","",'Final Calculation Sheet'!$E$7)</f>
        <v/>
      </c>
      <c r="AK7">
        <f>IF(AJ7="","",COUNTIFS(AJ$4:AJ$40,"&lt;"&amp;AJ7,AJ$4:AJ$40,"&lt;&gt;"&amp;"")+COUNTIF(AJ$4:AJ7,AJ7))</f>
        <v/>
      </c>
      <c r="AL7">
        <f>IF(ROW()-3&gt;COUNTIF(AJ$4:AJ$40,"&lt;&gt;"&amp;""),"",INDEX(AJ$4:AJ$40,MATCH(ROW()-3,AK$4:AK$40,0)))</f>
        <v/>
      </c>
      <c r="AM7">
        <f>AM6+IF(AND(AL7&lt;&gt;"",COUNTIF(AL$4:AL7,AL7)=1),1,0)</f>
        <v/>
      </c>
      <c r="AN7">
        <f>IF(ROW()-3&gt;MAX(AM$4:AM$40),"",INDEX(AL$4:AL$40,MATCH(ROW()-3,AM$4:AM$40,0)))</f>
        <v/>
      </c>
      <c r="AO7" s="55">
        <f>IF('Final Calculation Sheet'!$C$7="","",'Final Calculation Sheet'!$C$7)</f>
        <v/>
      </c>
      <c r="AP7">
        <f>IF(AO7="","",COUNTIFS(AO$4:AO$40,"&lt;"&amp;AO7,AO$4:AO$40,"&lt;&gt;"&amp;"")+COUNTIF(AO$4:AO7,AO7))</f>
        <v/>
      </c>
      <c r="AQ7" s="55">
        <f>IF(ROW()-3&gt;COUNTIF(AO$4:AO$40,"&lt;&gt;"&amp;""),"",INDEX(AO$4:AO$40,MATCH(ROW()-3,AP$4:AP$40,0)))</f>
        <v/>
      </c>
      <c r="AR7">
        <f>AR6+IF(AND(AQ7&lt;&gt;"",COUNTIF(AQ$4:AQ7,AQ7)=1),1,0)</f>
        <v/>
      </c>
      <c r="AS7" s="55">
        <f>IF(ROW()-3&gt;MAX(AR$4:AR$40),"",INDEX(AQ$4:AQ$40,MATCH(ROW()-3,AR$4:AR$40,0)))</f>
        <v/>
      </c>
      <c r="AT7" s="55">
        <f>IF('Final Calculation Sheet'!$H$7="","",'Final Calculation Sheet'!$H$7)</f>
        <v/>
      </c>
      <c r="AU7">
        <f>IF(AT7="","",COUNTIFS(AT$4:AT$40,"&lt;"&amp;AT7,AT$4:AT$40,"&lt;&gt;"&amp;"")+COUNTIF(AT$4:AT7,AT7))</f>
        <v/>
      </c>
      <c r="AV7" s="55">
        <f>IF(ROW()-3&gt;COUNTIF(AT$4:AT$40,"&lt;&gt;"&amp;""),"",INDEX(AT$4:AT$40,MATCH(ROW()-3,AU$4:AU$40,0)))</f>
        <v/>
      </c>
      <c r="AW7">
        <f>AW6+IF(AND(AV7&lt;&gt;"",COUNTIF(AV$4:AV7,AV7)=1),1,0)</f>
        <v/>
      </c>
      <c r="AX7" s="55">
        <f>IF(ROW()-3&gt;MAX(AW$4:AW$40),"",INDEX(AV$4:AV$40,MATCH(ROW()-3,AW$4:AW$40,0)))</f>
        <v/>
      </c>
      <c r="AY7" s="55">
        <f>IF('Final Calculation Sheet'!$I$7="","",'Final Calculation Sheet'!$I$7)</f>
        <v/>
      </c>
      <c r="AZ7">
        <f>IF(AY7="","",COUNTIFS(AY$4:AY$40,"&lt;"&amp;AY7,AY$4:AY$40,"&lt;&gt;"&amp;"")+COUNTIF(AY$4:AY7,AY7))</f>
        <v/>
      </c>
      <c r="BA7" s="55">
        <f>IF(ROW()-3&gt;COUNTIF(AY$4:AY$40,"&lt;&gt;"&amp;""),"",INDEX(AY$4:AY$40,MATCH(ROW()-3,AZ$4:AZ$40,0)))</f>
        <v/>
      </c>
      <c r="BB7">
        <f>BB6+IF(AND(BA7&lt;&gt;"",COUNTIF(BA$4:BA7,BA7)=1),1,0)</f>
        <v/>
      </c>
      <c r="BC7" s="55">
        <f>IF(ROW()-3&gt;MAX(BB$4:BB$40),"",INDEX(BA$4:BA$40,MATCH(ROW()-3,BB$4:BB$40,0)))</f>
        <v/>
      </c>
      <c r="BD7" s="55">
        <f>IF('Final Calculation Sheet'!$J$7="","",'Final Calculation Sheet'!$J$7)</f>
        <v/>
      </c>
      <c r="BE7">
        <f>IF(BD7="","",COUNTIFS(BD$4:BD$40,"&lt;"&amp;BD7,BD$4:BD$40,"&lt;&gt;"&amp;"")+COUNTIF(BD$4:BD7,BD7))</f>
        <v/>
      </c>
      <c r="BF7" s="55">
        <f>IF(ROW()-3&gt;COUNTIF(BD$4:BD$40,"&lt;&gt;"&amp;""),"",INDEX(BD$4:BD$40,MATCH(ROW()-3,BE$4:BE$40,0)))</f>
        <v/>
      </c>
      <c r="BG7">
        <f>BG6+IF(AND(BF7&lt;&gt;"",COUNTIF(BF$4:BF7,BF7)=1),1,0)</f>
        <v/>
      </c>
      <c r="BH7" s="55">
        <f>IF(ROW()-3&gt;MAX(BG$4:BG$40),"",INDEX(BF$4:BF$40,MATCH(ROW()-3,BG$4:BG$40,0)))</f>
        <v/>
      </c>
      <c r="BI7" s="55">
        <f>IF('Final Calculation Sheet'!$K$7="","",'Final Calculation Sheet'!$K$7)</f>
        <v/>
      </c>
      <c r="BJ7">
        <f>IF(BI7="","",COUNTIFS(BI$4:BI$40,"&lt;"&amp;BI7,BI$4:BI$40,"&lt;&gt;"&amp;"")+COUNTIF(BI$4:BI7,BI7))</f>
        <v/>
      </c>
      <c r="BK7" s="55">
        <f>IF(ROW()-3&gt;COUNTIF(BI$4:BI$40,"&lt;&gt;"&amp;""),"",INDEX(BI$4:BI$40,MATCH(ROW()-3,BJ$4:BJ$40,0)))</f>
        <v/>
      </c>
      <c r="BL7">
        <f>BL6+IF(AND(BK7&lt;&gt;"",COUNTIF(BK$4:BK7,BK7)=1),1,0)</f>
        <v/>
      </c>
      <c r="BM7" s="55">
        <f>IF(ROW()-3&gt;MAX(BL$4:BL$40),"",INDEX(BK$4:BK$40,MATCH(ROW()-3,BL$4:BL$40,0)))</f>
        <v/>
      </c>
      <c r="BN7" s="55">
        <f>IF('Final Calculation Sheet'!$L$7="","",'Final Calculation Sheet'!$L$7)</f>
        <v/>
      </c>
      <c r="BO7">
        <f>IF(BN7="","",COUNTIFS(BN$4:BN$40,"&lt;"&amp;BN7,BN$4:BN$40,"&lt;&gt;"&amp;"")+COUNTIF(BN$4:BN7,BN7))</f>
        <v/>
      </c>
      <c r="BP7" s="55">
        <f>IF(ROW()-3&gt;COUNTIF(BN$4:BN$40,"&lt;&gt;"&amp;""),"",INDEX(BN$4:BN$40,MATCH(ROW()-3,BO$4:BO$40,0)))</f>
        <v/>
      </c>
      <c r="BQ7">
        <f>BQ6+IF(AND(BP7&lt;&gt;"",COUNTIF(BP$4:BP7,BP7)=1),1,0)</f>
        <v/>
      </c>
      <c r="BR7" s="55">
        <f>IF(ROW()-3&gt;MAX(BQ$4:BQ$40),"",INDEX(BP$4:BP$40,MATCH(ROW()-3,BQ$4:BQ$40,0)))</f>
        <v/>
      </c>
      <c r="BS7" s="55">
        <f>IF('Final Calculation Sheet'!$M$7="","",'Final Calculation Sheet'!$M$7)</f>
        <v/>
      </c>
      <c r="BT7">
        <f>IF(BS7="","",COUNTIFS(BS$4:BS$40,"&lt;"&amp;BS7,BS$4:BS$40,"&lt;&gt;"&amp;"")+COUNTIF(BS$4:BS7,BS7))</f>
        <v/>
      </c>
      <c r="BU7" s="55">
        <f>IF(ROW()-3&gt;COUNTIF(BS$4:BS$40,"&lt;&gt;"&amp;""),"",INDEX(BS$4:BS$40,MATCH(ROW()-3,BT$4:BT$40,0)))</f>
        <v/>
      </c>
      <c r="BV7">
        <f>BV6+IF(AND(BU7&lt;&gt;"",COUNTIF(BU$4:BU7,BU7)=1),1,0)</f>
        <v/>
      </c>
      <c r="BW7" s="55">
        <f>IF(ROW()-3&gt;MAX(BV$4:BV$40),"",INDEX(BU$4:BU$40,MATCH(ROW()-3,BV$4:BV$40,0)))</f>
        <v/>
      </c>
      <c r="BX7" s="138">
        <f>IF('Final Calculation Sheet'!$N$7="","",'Final Calculation Sheet'!$N$7)</f>
        <v/>
      </c>
      <c r="BY7">
        <f>IF(BX7="","",COUNTIFS(BX$4:BX$40,"&lt;"&amp;BX7,BX$4:BX$40,"&lt;&gt;"&amp;"")+COUNTIF(BX$4:BX7,BX7))</f>
        <v/>
      </c>
      <c r="BZ7" s="138">
        <f>IF(ROW()-3&gt;COUNTIF(BX$4:BX$40,"&lt;&gt;"&amp;""),"",INDEX(BX$4:BX$40,MATCH(ROW()-3,BY$4:BY$40,0)))</f>
        <v/>
      </c>
      <c r="CA7">
        <f>CA6+IF(AND(BZ7&lt;&gt;"",COUNTIF(BZ$4:BZ7,BZ7)=1),1,0)</f>
        <v/>
      </c>
      <c r="CB7" s="138">
        <f>IF(ROW()-3&gt;MAX(CA$4:CA$40),"",INDEX(BZ$4:BZ$40,MATCH(ROW()-3,CA$4:CA$40,0)))</f>
        <v/>
      </c>
      <c r="CC7" s="55">
        <f>IF('Final Calculation Sheet'!$O$7="","",'Final Calculation Sheet'!$O$7)</f>
        <v/>
      </c>
      <c r="CD7">
        <f>IF(CC7="","",COUNTIFS(CC$4:CC$40,"&lt;"&amp;CC7,CC$4:CC$40,"&lt;&gt;"&amp;"")+COUNTIF(CC$4:CC7,CC7))</f>
        <v/>
      </c>
      <c r="CE7" s="55">
        <f>IF(ROW()-3&gt;COUNTIF(CC$4:CC$40,"&lt;&gt;"&amp;""),"",INDEX(CC$4:CC$40,MATCH(ROW()-3,CD$4:CD$40,0)))</f>
        <v/>
      </c>
      <c r="CF7">
        <f>CF6+IF(AND(CE7&lt;&gt;"",COUNTIF(CE$4:CE7,CE7)=1),1,0)</f>
        <v/>
      </c>
      <c r="CG7" s="55">
        <f>IF(ROW()-3&gt;MAX(CF$4:CF$40),"",INDEX(CE$4:CE$40,MATCH(ROW()-3,CF$4:CF$40,0)))</f>
        <v/>
      </c>
      <c r="CH7" s="55">
        <f>IF('Final Calculation Sheet'!$P$7="","",'Final Calculation Sheet'!$P$7)</f>
        <v/>
      </c>
      <c r="CI7">
        <f>IF(CH7="","",COUNTIFS(CH$4:CH$40,"&lt;"&amp;CH7,CH$4:CH$40,"&lt;&gt;"&amp;"")+COUNTIF(CH$4:CH7,CH7))</f>
        <v/>
      </c>
      <c r="CJ7" s="55">
        <f>IF(ROW()-3&gt;COUNTIF(CH$4:CH$40,"&lt;&gt;"&amp;""),"",INDEX(CH$4:CH$40,MATCH(ROW()-3,CI$4:CI$40,0)))</f>
        <v/>
      </c>
      <c r="CK7">
        <f>CK6+IF(AND(CJ7&lt;&gt;"",COUNTIF(CJ$4:CJ7,CJ7)=1),1,0)</f>
        <v/>
      </c>
      <c r="CL7" s="55">
        <f>IF(ROW()-3&gt;MAX(CK$4:CK$40),"",INDEX(CJ$4:CJ$40,MATCH(ROW()-3,CK$4:CK$40,0)))</f>
        <v/>
      </c>
      <c r="CM7" s="139">
        <f>IF('Final Calculation Sheet'!$Q$7="","",'Final Calculation Sheet'!$Q$7)</f>
        <v/>
      </c>
      <c r="CN7">
        <f>IF(CM7="","",COUNTIFS(CM$4:CM$40,"&lt;"&amp;CM7,CM$4:CM$40,"&lt;&gt;"&amp;"")+COUNTIF(CM$4:CM7,CM7))</f>
        <v/>
      </c>
      <c r="CO7" s="139">
        <f>IF(ROW()-3&gt;COUNTIF(CM$4:CM$40,"&lt;&gt;"&amp;""),"",INDEX(CM$4:CM$40,MATCH(ROW()-3,CN$4:CN$40,0)))</f>
        <v/>
      </c>
      <c r="CP7">
        <f>CP6+IF(AND(CO7&lt;&gt;"",COUNTIF(CO$4:CO7,CO7)=1),1,0)</f>
        <v/>
      </c>
      <c r="CQ7">
        <f>IF(ROW()-3&gt;MAX(CP$4:CP$40),"",INDEX(CO$4:CO$40,MATCH(ROW()-3,CP$4:CP$40,0)))</f>
        <v/>
      </c>
      <c r="CR7" s="55">
        <f>IF('Final Calculation Sheet'!$R$7="","",'Final Calculation Sheet'!$R$7)</f>
        <v/>
      </c>
      <c r="CS7">
        <f>IF(CR7="","",COUNTIFS(CR$4:CR$40,"&lt;"&amp;CR7,CR$4:CR$40,"&lt;&gt;"&amp;"")+COUNTIF(CR$4:CR7,CR7))</f>
        <v/>
      </c>
      <c r="CT7" s="55">
        <f>IF(ROW()-3&gt;COUNTIF(CR$4:CR$40,"&lt;&gt;"&amp;""),"",INDEX(CR$4:CR$40,MATCH(ROW()-3,CS$4:CS$40,0)))</f>
        <v/>
      </c>
      <c r="CU7">
        <f>CU6+IF(AND(CT7&lt;&gt;"",COUNTIF(CT$4:CT7,CT7)=1),1,0)</f>
        <v/>
      </c>
      <c r="CV7" s="55">
        <f>IF(ROW()-3&gt;MAX(CU$4:CU$40),"",INDEX(CT$4:CT$40,MATCH(ROW()-3,CU$4:CU$40,0)))</f>
        <v/>
      </c>
      <c r="CW7" s="55">
        <f>IF('Final Calculation Sheet'!$S$7="","",'Final Calculation Sheet'!$S$7)</f>
        <v/>
      </c>
      <c r="CX7">
        <f>IF(CW7="","",COUNTIFS(CW$4:CW$40,"&lt;"&amp;CW7,CW$4:CW$40,"&lt;&gt;"&amp;"")+COUNTIF(CW$4:CW7,CW7))</f>
        <v/>
      </c>
      <c r="CY7" s="55">
        <f>IF(ROW()-3&gt;COUNTIF(CW$4:CW$40,"&lt;&gt;"&amp;""),"",INDEX(CW$4:CW$40,MATCH(ROW()-3,CX$4:CX$40,0)))</f>
        <v/>
      </c>
      <c r="CZ7">
        <f>CZ6+IF(AND(CY7&lt;&gt;"",COUNTIF(CY$4:CY7,CY7)=1),1,0)</f>
        <v/>
      </c>
      <c r="DA7" s="55">
        <f>IF(ROW()-3&gt;MAX(CZ$4:CZ$40),"",INDEX(CY$4:CY$40,MATCH(ROW()-3,CZ$4:CZ$40,0)))</f>
        <v/>
      </c>
      <c r="DB7" s="55">
        <f>IF('Final Calculation Sheet'!$T$7="","",'Final Calculation Sheet'!$T$7)</f>
        <v/>
      </c>
      <c r="DC7">
        <f>IF(DB7="","",COUNTIFS(DB$4:DB$40,"&lt;"&amp;DB7,DB$4:DB$40,"&lt;&gt;"&amp;"")+COUNTIF(DB$4:DB7,DB7))</f>
        <v/>
      </c>
      <c r="DD7" s="55">
        <f>IF(ROW()-3&gt;COUNTIF(DB$4:DB$40,"&lt;&gt;"&amp;""),"",INDEX(DB$4:DB$40,MATCH(ROW()-3,DC$4:DC$40,0)))</f>
        <v/>
      </c>
      <c r="DE7">
        <f>DE6+IF(AND(DD7&lt;&gt;"",COUNTIF(DD$4:DD7,DD7)=1),1,0)</f>
        <v/>
      </c>
      <c r="DF7" s="55">
        <f>IF(ROW()-3&gt;MAX(DE$4:DE$40),"",INDEX(DD$4:DD$40,MATCH(ROW()-3,DE$4:DE$40,0)))</f>
        <v/>
      </c>
      <c r="DG7" s="140">
        <f>IF('Final Calculation Sheet'!$U$7="","",'Final Calculation Sheet'!$U$7)</f>
        <v/>
      </c>
      <c r="DH7">
        <f>IF(DG7="","",COUNTIFS(DG$4:DG$40,"&lt;"&amp;DG7,DG$4:DG$40,"&lt;&gt;"&amp;"")+COUNTIF(DG$4:DG7,DG7))</f>
        <v/>
      </c>
      <c r="DI7" s="140">
        <f>IF(ROW()-3&gt;COUNTIF(DG$4:DG$40,"&lt;&gt;"&amp;""),"",INDEX(DG$4:DG$40,MATCH(ROW()-3,DH$4:DH$40,0)))</f>
        <v/>
      </c>
      <c r="DJ7">
        <f>DJ6+IF(AND(DI7&lt;&gt;"",COUNTIF(DI$4:DI7,DI7)=1),1,0)</f>
        <v/>
      </c>
      <c r="DK7" s="140">
        <f>IF(ROW()-3&gt;MAX(DJ$4:DJ$40),"",INDEX(DI$4:DI$40,MATCH(ROW()-3,DJ$4:DJ$40,0)))</f>
        <v/>
      </c>
      <c r="DL7">
        <f>IF('Final Calculation Sheet'!$V$7="","",'Final Calculation Sheet'!$V$7)</f>
        <v/>
      </c>
      <c r="DM7">
        <f>IF(DL7="","",COUNTIFS(DL$4:DL$40,"&lt;"&amp;DL7,DL$4:DL$40,"&lt;&gt;"&amp;"")+COUNTIF(DL$4:DL7,DL7))</f>
        <v/>
      </c>
      <c r="DN7">
        <f>IF(ROW()-3&gt;COUNTIF(DL$4:DL$40,"&lt;&gt;"&amp;""),"",INDEX(DL$4:DL$40,MATCH(ROW()-3,DM$4:DM$40,0)))</f>
        <v/>
      </c>
      <c r="DO7">
        <f>DO6+IF(AND(DN7&lt;&gt;"",COUNTIF(DN$4:DN7,DN7)=1),1,0)</f>
        <v/>
      </c>
      <c r="DP7">
        <f>IF(ROW()-3&gt;MAX(DO$4:DO$40),"",INDEX(DN$4:DN$40,MATCH(ROW()-3,DO$4:DO$40,0)))</f>
        <v/>
      </c>
      <c r="DQ7" s="55">
        <f>IF('Final Calculation Sheet'!$W$7="","",'Final Calculation Sheet'!$W$7)</f>
        <v/>
      </c>
      <c r="DR7">
        <f>IF(DQ7="","",COUNTIFS(DQ$4:DQ$40,"&lt;"&amp;DQ7,DQ$4:DQ$40,"&lt;&gt;"&amp;"")+COUNTIF(DQ$4:DQ7,DQ7))</f>
        <v/>
      </c>
      <c r="DS7" s="55">
        <f>IF(ROW()-3&gt;COUNTIF(DQ$4:DQ$40,"&lt;&gt;"&amp;""),"",INDEX(DQ$4:DQ$40,MATCH(ROW()-3,DR$4:DR$40,0)))</f>
        <v/>
      </c>
      <c r="DT7">
        <f>DT6+IF(AND(DS7&lt;&gt;"",COUNTIF(DS$4:DS7,DS7)=1),1,0)</f>
        <v/>
      </c>
      <c r="DU7" s="55">
        <f>IF(ROW()-3&gt;MAX(DT$4:DT$40),"",INDEX(DS$4:DS$40,MATCH(ROW()-3,DT$4:DT$40,0)))</f>
        <v/>
      </c>
      <c r="DV7" s="55">
        <f>IF('Final Calculation Sheet'!$X$7="","",'Final Calculation Sheet'!$X$7)</f>
        <v/>
      </c>
      <c r="DW7">
        <f>IF(DV7="","",COUNTIFS(DV$4:DV$40,"&lt;"&amp;DV7,DV$4:DV$40,"&lt;&gt;"&amp;"")+COUNTIF(DV$4:DV7,DV7))</f>
        <v/>
      </c>
      <c r="DX7" s="55">
        <f>IF(ROW()-3&gt;COUNTIF(DV$4:DV$40,"&lt;&gt;"&amp;""),"",INDEX(DV$4:DV$40,MATCH(ROW()-3,DW$4:DW$40,0)))</f>
        <v/>
      </c>
      <c r="DY7">
        <f>DY6+IF(AND(DX7&lt;&gt;"",COUNTIF(DX$4:DX7,DX7)=1),1,0)</f>
        <v/>
      </c>
      <c r="DZ7">
        <f>IF(ROW()-3&gt;MAX(DY$4:DY$40),"",INDEX(DX$4:DX$40,MATCH(ROW()-3,DY$4:DY$40,0)))</f>
        <v/>
      </c>
      <c r="EA7">
        <f>IF('Final Calculation Sheet'!$Y$7="","",'Final Calculation Sheet'!$Y$7)</f>
        <v/>
      </c>
      <c r="EB7">
        <f>IF(EA7="","",COUNTIFS(EA$4:EA$40,"&lt;"&amp;EA7,EA$4:EA$40,"&lt;&gt;"&amp;"")+COUNTIF(EA$4:EA7,EA7))</f>
        <v/>
      </c>
      <c r="EC7">
        <f>IF(ROW()-3&gt;COUNTIF(EA$4:EA$40,"&lt;&gt;"&amp;""),"",INDEX(EA$4:EA$40,MATCH(ROW()-3,EB$4:EB$40,0)))</f>
        <v/>
      </c>
      <c r="ED7">
        <f>ED6+IF(AND(EC7&lt;&gt;"",COUNTIF(EC$4:EC7,EC7)=1),1,0)</f>
        <v/>
      </c>
      <c r="EE7">
        <f>IF(ROW()-3&gt;MAX(ED$4:ED$40),"",INDEX(EC$4:EC$40,MATCH(ROW()-3,ED$4:ED$40,0)))</f>
        <v/>
      </c>
      <c r="EF7" s="55">
        <f>IF('Final Calculation Sheet'!$Z$7="","",'Final Calculation Sheet'!$Z$7)</f>
        <v/>
      </c>
      <c r="EG7">
        <f>IF(EF7="","",COUNTIFS(EF$4:EF$40,"&lt;"&amp;EF7,EF$4:EF$40,"&lt;&gt;"&amp;"")+COUNTIF(EF$4:EF7,EF7))</f>
        <v/>
      </c>
      <c r="EH7" s="55">
        <f>IF(ROW()-3&gt;COUNTIF(EF$4:EF$40,"&lt;&gt;"&amp;""),"",INDEX(EF$4:EF$40,MATCH(ROW()-3,EG$4:EG$40,0)))</f>
        <v/>
      </c>
      <c r="EI7">
        <f>EI6+IF(AND(EH7&lt;&gt;"",COUNTIF(EH$4:EH7,EH7)=1),1,0)</f>
        <v/>
      </c>
      <c r="EJ7" s="55">
        <f>IF(ROW()-3&gt;MAX(EI$4:EI$40),"",INDEX(EH$4:EH$40,MATCH(ROW()-3,EI$4:EI$40,0)))</f>
        <v/>
      </c>
      <c r="EK7">
        <f>IF('Final Calculation Sheet'!$AA$7="","",'Final Calculation Sheet'!$AA$7)</f>
        <v/>
      </c>
      <c r="EL7">
        <f>IF(EK7="","",COUNTIFS(EK$4:EK$40,"&lt;"&amp;EK7,EK$4:EK$40,"&lt;&gt;"&amp;"")+COUNTIF(EK$4:EK7,EK7))</f>
        <v/>
      </c>
      <c r="EM7">
        <f>IF(ROW()-3&gt;COUNTIF(EK$4:EK$40,"&lt;&gt;"&amp;""),"",INDEX(EK$4:EK$40,MATCH(ROW()-3,EL$4:EL$40,0)))</f>
        <v/>
      </c>
      <c r="EN7">
        <f>EN6+IF(AND(EM7&lt;&gt;"",COUNTIF(EM$4:EM7,EM7)=1),1,0)</f>
        <v/>
      </c>
      <c r="EO7">
        <f>IF(ROW()-3&gt;MAX(EN$4:EN$40),"",INDEX(EM$4:EM$40,MATCH(ROW()-3,EN$4:EN$40,0)))</f>
        <v/>
      </c>
      <c r="EP7">
        <f>IF('Final Calculation Sheet'!$AB$7="","",'Final Calculation Sheet'!$AB$7)</f>
        <v/>
      </c>
      <c r="EQ7">
        <f>IF(EP7="","",COUNTIFS(EP$4:EP$40,"&lt;"&amp;EP7,EP$4:EP$40,"&lt;&gt;"&amp;"")+COUNTIF(EP$4:EP7,EP7))</f>
        <v/>
      </c>
      <c r="ER7">
        <f>IF(ROW()-3&gt;COUNTIF(EP$4:EP$40,"&lt;&gt;"&amp;""),"",INDEX(EP$4:EP$40,MATCH(ROW()-3,EQ$4:EQ$40,0)))</f>
        <v/>
      </c>
      <c r="ES7">
        <f>ES6+IF(AND(ER7&lt;&gt;"",COUNTIF(ER$4:ER7,ER7)=1),1,0)</f>
        <v/>
      </c>
      <c r="ET7">
        <f>IF(ROW()-3&gt;MAX(ES$4:ES$40),"",INDEX(ER$4:ER$40,MATCH(ROW()-3,ES$4:ES$40,0)))</f>
        <v/>
      </c>
      <c r="EU7" s="55">
        <f>IF('Final Calculation Sheet'!$AC$7="","",'Final Calculation Sheet'!$AC$7)</f>
        <v/>
      </c>
      <c r="EV7">
        <f>IF(EU7="","",COUNTIFS(EU$4:EU$40,"&lt;"&amp;EU7,EU$4:EU$40,"&lt;&gt;"&amp;"")+COUNTIF(EU$4:EU7,EU7))</f>
        <v/>
      </c>
      <c r="EW7" s="55">
        <f>IF(ROW()-3&gt;COUNTIF(EU$4:EU$40,"&lt;&gt;"&amp;""),"",INDEX(EU$4:EU$40,MATCH(ROW()-3,EV$4:EV$40,0)))</f>
        <v/>
      </c>
      <c r="EX7">
        <f>EX6+IF(AND(EW7&lt;&gt;"",COUNTIF(EW$4:EW7,EW7)=1),1,0)</f>
        <v/>
      </c>
      <c r="EY7" s="55">
        <f>IF(ROW()-3&gt;MAX(EX$4:EX$40),"",INDEX(EW$4:EW$40,MATCH(ROW()-3,EX$4:EX$40,0)))</f>
        <v/>
      </c>
      <c r="EZ7" s="55">
        <f>IF('Final Calculation Sheet'!$AD$7="","",'Final Calculation Sheet'!$AD$7)</f>
        <v/>
      </c>
      <c r="FA7">
        <f>IF(EZ7="","",COUNTIFS(EZ$4:EZ$40,"&lt;"&amp;EZ7,EZ$4:EZ$40,"&lt;&gt;"&amp;"")+COUNTIF(EZ$4:EZ7,EZ7))</f>
        <v/>
      </c>
      <c r="FB7" s="55">
        <f>IF(ROW()-3&gt;COUNTIF(EZ$4:EZ$40,"&lt;&gt;"&amp;""),"",INDEX(EZ$4:EZ$40,MATCH(ROW()-3,FA$4:FA$40,0)))</f>
        <v/>
      </c>
      <c r="FC7">
        <f>FC6+IF(AND(FB7&lt;&gt;"",COUNTIF(FB$4:FB7,FB7)=1),1,0)</f>
        <v/>
      </c>
      <c r="FD7" s="55">
        <f>IF(ROW()-3&gt;MAX(FC$4:FC$40),"",INDEX(FB$4:FB$40,MATCH(ROW()-3,FC$4:FC$40,0)))</f>
        <v/>
      </c>
      <c r="FE7">
        <f>IF('Final Calculation Sheet'!$AF$7="","",'Final Calculation Sheet'!$AF$7)</f>
        <v/>
      </c>
      <c r="FF7">
        <f>IF(FE7="","",COUNTIFS(FE$4:FE$40,"&lt;"&amp;FE7,FE$4:FE$40,"&lt;&gt;"&amp;"")+COUNTIF(FE$4:FE7,FE7))</f>
        <v/>
      </c>
      <c r="FG7">
        <f>IF(ROW()-3&gt;COUNTIF(FE$4:FE$40,"&lt;&gt;"&amp;""),"",INDEX(FE$4:FE$40,MATCH(ROW()-3,FF$4:FF$40,0)))</f>
        <v/>
      </c>
      <c r="FH7">
        <f>FH6+IF(AND(FG7&lt;&gt;"",COUNTIF(FG$4:FG7,FG7)=1),1,0)</f>
        <v/>
      </c>
      <c r="FI7">
        <f>IF(ROW()-3&gt;MAX(FH$4:FH$40),"",INDEX(FG$4:FG$40,MATCH(ROW()-3,FH$4:FH$40,0)))</f>
        <v/>
      </c>
      <c r="FJ7" s="141">
        <f>IF('Final Calculation Sheet'!$AG$7="","",'Final Calculation Sheet'!$AG$7)</f>
        <v/>
      </c>
      <c r="FK7">
        <f>IF(FJ7="","",COUNTIFS(FJ$4:FJ$40,"&lt;"&amp;FJ7,FJ$4:FJ$40,"&lt;&gt;"&amp;"")+COUNTIF(FJ$4:FJ7,FJ7))</f>
        <v/>
      </c>
      <c r="FL7" s="141">
        <f>IF(ROW()-3&gt;COUNTIF(FJ$4:FJ$40,"&lt;&gt;"&amp;""),"",INDEX(FJ$4:FJ$40,MATCH(ROW()-3,FK$4:FK$40,0)))</f>
        <v/>
      </c>
      <c r="FM7">
        <f>FM6+IF(AND(FL7&lt;&gt;"",COUNTIF(FL$4:FL7,FL7)=1),1,0)</f>
        <v/>
      </c>
      <c r="FN7">
        <f>IF(ROW()-3&gt;MAX(FM$4:FM$40),"",INDEX(FL$4:FL$40,MATCH(ROW()-3,FM$4:FM$40,0)))</f>
        <v/>
      </c>
      <c r="FO7">
        <f>IF('Final Calculation Sheet'!$AH$7="","",'Final Calculation Sheet'!$AH$7)</f>
        <v/>
      </c>
      <c r="FP7">
        <f>IF(FO7="","",COUNTIFS(FO$4:FO$40,"&lt;"&amp;FO7,FO$4:FO$40,"&lt;&gt;"&amp;"")+COUNTIF(FO$4:FO7,FO7))</f>
        <v/>
      </c>
      <c r="FQ7">
        <f>IF(ROW()-3&gt;COUNTIF(FO$4:FO$40,"&lt;&gt;"&amp;""),"",INDEX(FO$4:FO$40,MATCH(ROW()-3,FP$4:FP$40,0)))</f>
        <v/>
      </c>
      <c r="FR7">
        <f>FR6+IF(AND(FQ7&lt;&gt;"",COUNTIF(FQ$4:FQ7,FQ7)=1),1,0)</f>
        <v/>
      </c>
      <c r="FS7">
        <f>IF(ROW()-3&gt;MAX(FR$4:FR$40),"",INDEX(FQ$4:FQ$40,MATCH(ROW()-3,FR$4:FR$40,0)))</f>
        <v/>
      </c>
      <c r="FU7">
        <f>IF(FT7="","",COUNTIFS(FT$4:FT$40,"&lt;"&amp;FT7,FT$4:FT$40,"&lt;&gt;"&amp;"")+COUNTIF(FT$4:FT7,FT7))</f>
        <v/>
      </c>
      <c r="FV7">
        <f>IF(ROW()-3&gt;COUNTIF(FT$4:FT$40,"&lt;&gt;"&amp;""),"",INDEX(FT$4:FT$40,MATCH(ROW()-3,FU$4:FU$40,0)))</f>
        <v/>
      </c>
      <c r="FW7">
        <f>FW6+IF(AND(FV7&lt;&gt;"",COUNTIF(FV$4:FV7,FV7)=1),1,0)</f>
        <v/>
      </c>
      <c r="FX7">
        <f>IF(ROW()-3&gt;MAX(FW$4:FW$40),"",INDEX(FV$4:FV$40,MATCH(ROW()-3,FW$4:FW$40,0)))</f>
        <v/>
      </c>
      <c r="FY7">
        <f>IF(COUNTIF('Live Search'!BM$6:BO$6,0)+COUNTIF('Live Search'!BQ$6:CU$6,0)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7">
        <f>IF($Y$7="",FALSE,SUMPRODUCT(('Final Calculation Sheet'!$B$4:$B$40=$Y$7)*($FY$6:$FY$42=1))&gt;0)</f>
        <v/>
      </c>
      <c r="GA7">
        <f>$GA$6+--($FZ$7)</f>
        <v/>
      </c>
      <c r="GB7">
        <f>IF(ROW()-3&gt;MAX($GA$4:$GA$40),"",INDEX($Y$4:$Y$40,MATCH(ROW()-3,$GA$4:$GA$40,0)))</f>
        <v/>
      </c>
      <c r="GC7">
        <f>IF(COUNTIF('Live Search'!BM$6:BM$6,0)+COUNTIF('Live Search'!BO$6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GD7">
        <f>IF($O$7="",FALSE,SUMPRODUCT(('Final Calculation Sheet'!$F$4:$F$40=$O$7)*($GC$6:$GC$42=1))&gt;0)</f>
        <v/>
      </c>
      <c r="GE7">
        <f>$GE$6+--($GD7)</f>
        <v/>
      </c>
      <c r="GF7">
        <f>IF(ROW()-3&gt;MAX($GE$4:$GE$40),"",INDEX($O$4:$O$40,MATCH(ROW()-3,$GE$4:$GE$40,0)))</f>
        <v/>
      </c>
      <c r="GG7">
        <f>IF(COUNTIF('Live Search'!BM$6:BN$6,0)+COUNTIF('Live Search'!BP$6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GH7">
        <f>IF($T$7="",FALSE,SUMPRODUCT(('Final Calculation Sheet'!$G$4:$G$40=$T$7)*($GG$6:$GG$42=1))&gt;0)</f>
        <v/>
      </c>
      <c r="GI7">
        <f>$GI$6+--($GH7)</f>
        <v/>
      </c>
      <c r="GJ7">
        <f>IF(ROW()-3&gt;MAX($GI$4:$GI$40),"",INDEX($T$4:$T$40,MATCH(ROW()-3,$GI$4:$GI$40,0)))</f>
        <v/>
      </c>
      <c r="GK7">
        <f>IF(COUNTIF('Live Search'!BM$6:BP$6,0)+COUNTIF('Live Search'!BR$6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GL7">
        <f>IF($AD$7="",FALSE,SUMPRODUCT(('Final Calculation Sheet'!$D$4:$D$40=$AD$7)*($GK$6:$GK$42=1))&gt;0)</f>
        <v/>
      </c>
      <c r="GM7">
        <f>$GM$6+--($GL7)</f>
        <v/>
      </c>
      <c r="GN7">
        <f>IF(ROW()-3&gt;MAX($GM$4:$GM$40),"",INDEX($AD$4:$AD$40,MATCH(ROW()-3,$GM$4:$GM$40,0)))</f>
        <v/>
      </c>
      <c r="GO7">
        <f>IF(COUNTIF('Live Search'!BM$6:BQ$6,0)+COUNTIF('Live Search'!BS$6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GP7">
        <f>IF($AI$7="",FALSE,SUMPRODUCT(('Final Calculation Sheet'!$A$4:$A$40=$AI$7)*($GO$6:$GO$42=1))&gt;0)</f>
        <v/>
      </c>
      <c r="GQ7">
        <f>$GQ$6+--($GP7)</f>
        <v/>
      </c>
      <c r="GR7">
        <f>IF(ROW()-3&gt;MAX($GQ$4:$GQ$40),"",INDEX($AI$4:$AI$40,MATCH(ROW()-3,$GQ$4:$GQ$40,0)))</f>
        <v/>
      </c>
      <c r="GS7">
        <f>IF(COUNTIF('Live Search'!BM$6:BR$6,0)+COUNTIF('Live Search'!BT$6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GT7">
        <f>IF($AN$7="",FALSE,SUMPRODUCT(('Final Calculation Sheet'!$E$4:$E$40=$AN$7)*($GS$6:$GS$42=1))&gt;0)</f>
        <v/>
      </c>
      <c r="GU7">
        <f>$GU$6+--($GT7)</f>
        <v/>
      </c>
      <c r="GV7">
        <f>IF(ROW()-3&gt;MAX($GU$4:$GU$40),"",INDEX($AN$4:$AN$40,MATCH(ROW()-3,$GU$4:$GU$40,0)))</f>
        <v/>
      </c>
      <c r="GW7">
        <f>IF(COUNTIF('Live Search'!BM$6:BS$6,0)+COUNTIF('Live Search'!BU$6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GX7">
        <f>IF($AS$7="",FALSE,SUMPRODUCT(('Final Calculation Sheet'!$C$4:$C$40=$AS$7)*($GW$6:$GW$42=1))&gt;0)</f>
        <v/>
      </c>
      <c r="GY7">
        <f>$GY$6+--($GX7)</f>
        <v/>
      </c>
      <c r="GZ7">
        <f>IF(ROW()-3&gt;MAX($GY$4:$GY$40),"",INDEX($AS$4:$AS$40,MATCH(ROW()-3,$GY$4:$GY$40,0)))</f>
        <v/>
      </c>
      <c r="HA7">
        <f>IF(COUNTIF('Live Search'!BM$6:BT$6,0)+COUNTIF('Live Search'!BV$6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HB7">
        <f>IF($AX$7="",FALSE,SUMPRODUCT(('Final Calculation Sheet'!$H$4:$H$40=$AX$7)*($HA$6:$HA$42=1))&gt;0)</f>
        <v/>
      </c>
      <c r="HC7">
        <f>$HC$6+--($HB7)</f>
        <v/>
      </c>
      <c r="HD7">
        <f>IF(ROW()-3&gt;MAX($HC$4:$HC$40),"",INDEX($AX$4:$AX$40,MATCH(ROW()-3,$HC$4:$HC$40,0)))</f>
        <v/>
      </c>
      <c r="HE7">
        <f>IF(COUNTIF('Live Search'!BM$6:BU$6,0)+COUNTIF('Live Search'!BW$6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HF7">
        <f>IF($BC$7="",FALSE,SUMPRODUCT(('Final Calculation Sheet'!$I$4:$I$40=$BC$7)*($HE$6:$HE$42=1))&gt;0)</f>
        <v/>
      </c>
      <c r="HG7">
        <f>$HG$6+--($HF7)</f>
        <v/>
      </c>
      <c r="HH7">
        <f>IF(ROW()-3&gt;MAX($HG$4:$HG$40),"",INDEX($BC$4:$BC$40,MATCH(ROW()-3,$HG$4:$HG$40,0)))</f>
        <v/>
      </c>
      <c r="HI7">
        <f>IF(COUNTIF('Live Search'!BM$6:BV$6,0)+COUNTIF('Live Search'!BX$6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HJ7">
        <f>IF($BH$7="",FALSE,SUMPRODUCT(('Final Calculation Sheet'!$J$4:$J$40=$BH$7)*($HI$6:$HI$42=1))&gt;0)</f>
        <v/>
      </c>
      <c r="HK7">
        <f>$HK$6+--($HJ7)</f>
        <v/>
      </c>
      <c r="HL7">
        <f>IF(ROW()-3&gt;MAX($HK$4:$HK$40),"",INDEX($BH$4:$BH$40,MATCH(ROW()-3,$HK$4:$HK$40,0)))</f>
        <v/>
      </c>
      <c r="HM7">
        <f>IF(COUNTIF('Live Search'!BM$6:BW$6,0)+COUNTIF('Live Search'!BY$6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HN7">
        <f>IF($BM$7="",FALSE,SUMPRODUCT(('Final Calculation Sheet'!$K$4:$K$40=$BM$7)*($HM$6:$HM$42=1))&gt;0)</f>
        <v/>
      </c>
      <c r="HO7">
        <f>$HO$6+--($HN7)</f>
        <v/>
      </c>
      <c r="HP7">
        <f>IF(ROW()-3&gt;MAX($HO$4:$HO$40),"",INDEX($BM$4:$BM$40,MATCH(ROW()-3,$HO$4:$HO$40,0)))</f>
        <v/>
      </c>
      <c r="HQ7">
        <f>IF(COUNTIF('Live Search'!BM$6:BX$6,0)+COUNTIF('Live Search'!BZ$6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HR7">
        <f>IF($BR$7="",FALSE,SUMPRODUCT(('Final Calculation Sheet'!$L$4:$L$40=$BR$7)*($HQ$6:$HQ$42=1))&gt;0)</f>
        <v/>
      </c>
      <c r="HS7">
        <f>$HS$6+--($HR7)</f>
        <v/>
      </c>
      <c r="HT7">
        <f>IF(ROW()-3&gt;MAX($HS$4:$HS$40),"",INDEX($BR$4:$BR$40,MATCH(ROW()-3,$HS$4:$HS$40,0)))</f>
        <v/>
      </c>
      <c r="HU7">
        <f>IF(COUNTIF('Live Search'!BM$6:BY$6,0)+COUNTIF('Live Search'!CA$6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HV7">
        <f>IF($BW$7="",FALSE,SUMPRODUCT(('Final Calculation Sheet'!$M$4:$M$40=$BW$7)*($HU$6:$HU$42=1))&gt;0)</f>
        <v/>
      </c>
      <c r="HW7">
        <f>$HW$6+--($HV7)</f>
        <v/>
      </c>
      <c r="HX7">
        <f>IF(ROW()-3&gt;MAX($HW$4:$HW$40),"",INDEX($BW$4:$BW$40,MATCH(ROW()-3,$HW$4:$HW$40,0)))</f>
        <v/>
      </c>
      <c r="HY7">
        <f>IF(COUNTIF('Live Search'!BM$6:BZ$6,0)+COUNTIF('Live Search'!CB$6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HZ7">
        <f>IF($CB$7="",FALSE,SUMPRODUCT(('Final Calculation Sheet'!$N$4:$N$40=$CB$7)*($HY$6:$HY$42=1))&gt;0)</f>
        <v/>
      </c>
      <c r="IA7">
        <f>$IA$6+--($HZ7)</f>
        <v/>
      </c>
      <c r="IB7">
        <f>IF(ROW()-3&gt;MAX($IA$4:$IA$40),"",INDEX($CB$4:$CB$40,MATCH(ROW()-3,$IA$4:$IA$40,0)))</f>
        <v/>
      </c>
      <c r="IC7">
        <f>IF(COUNTIF('Live Search'!BM$6:CA$6,0)+COUNTIF('Live Search'!CC$6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ID7">
        <f>IF($CG$7="",FALSE,SUMPRODUCT(('Final Calculation Sheet'!$O$4:$O$40=$CG$7)*($IC$6:$IC$42=1))&gt;0)</f>
        <v/>
      </c>
      <c r="IE7">
        <f>$IE$6+--($ID7)</f>
        <v/>
      </c>
      <c r="IF7">
        <f>IF(ROW()-3&gt;MAX($IE$4:$IE$40),"",INDEX($CG$4:$CG$40,MATCH(ROW()-3,$IE$4:$IE$40,0)))</f>
        <v/>
      </c>
      <c r="IG7">
        <f>IF(COUNTIF('Live Search'!BM$6:CB$6,0)+COUNTIF('Live Search'!CD$6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IH7">
        <f>IF($CL$7="",FALSE,SUMPRODUCT(('Final Calculation Sheet'!$P$4:$P$40=$CL$7)*($IG$6:$IG$42=1))&gt;0)</f>
        <v/>
      </c>
      <c r="II7">
        <f>$II$6+--($IH7)</f>
        <v/>
      </c>
      <c r="IJ7">
        <f>IF(ROW()-3&gt;MAX($II$4:$II$40),"",INDEX($CL$4:$CL$40,MATCH(ROW()-3,$II$4:$II$40,0)))</f>
        <v/>
      </c>
      <c r="IK7">
        <f>IF(COUNTIF('Live Search'!BM$6:CC$6,0)+COUNTIF('Live Search'!CE$6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IL7">
        <f>IF($CQ$7="",FALSE,SUMPRODUCT(('Final Calculation Sheet'!$Q$4:$Q$40=$CQ$7)*($IK$6:$IK$42=1))&gt;0)</f>
        <v/>
      </c>
      <c r="IM7">
        <f>$IM$6+--($IL7)</f>
        <v/>
      </c>
      <c r="IN7">
        <f>IF(ROW()-3&gt;MAX($IM$4:$IM$40),"",INDEX($CQ$4:$CQ$40,MATCH(ROW()-3,$IM$4:$IM$40,0)))</f>
        <v/>
      </c>
      <c r="IO7">
        <f>IF(COUNTIF('Live Search'!BM$6:CD$6,0)+COUNTIF('Live Search'!CF$6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IP7">
        <f>IF($CV$7="",FALSE,SUMPRODUCT(('Final Calculation Sheet'!$R$4:$R$40=$CV$7)*($IO$6:$IO$42=1))&gt;0)</f>
        <v/>
      </c>
      <c r="IQ7">
        <f>$IQ$6+--($IP7)</f>
        <v/>
      </c>
      <c r="IR7">
        <f>IF(ROW()-3&gt;MAX($IQ$4:$IQ$40),"",INDEX($CV$4:$CV$40,MATCH(ROW()-3,$IQ$4:$IQ$40,0)))</f>
        <v/>
      </c>
      <c r="IS7">
        <f>IF(COUNTIF('Live Search'!BM$6:CE$6,0)+COUNTIF('Live Search'!CG$6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IT7">
        <f>IF($DA$7="",FALSE,SUMPRODUCT(('Final Calculation Sheet'!$S$4:$S$40=$DA$7)*($IS$6:$IS$42=1))&gt;0)</f>
        <v/>
      </c>
      <c r="IU7">
        <f>$IU$6+--($IT7)</f>
        <v/>
      </c>
      <c r="IV7">
        <f>IF(ROW()-3&gt;MAX($IU$4:$IU$40),"",INDEX($DA$4:$DA$40,MATCH(ROW()-3,$IU$4:$IU$40,0)))</f>
        <v/>
      </c>
      <c r="IW7">
        <f>IF(COUNTIF('Live Search'!BM$6:CF$6,0)+COUNTIF('Live Search'!CH$6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IX7">
        <f>IF($DF$7="",FALSE,SUMPRODUCT(('Final Calculation Sheet'!$T$4:$T$40=$DF$7)*($IW$6:$IW$42=1))&gt;0)</f>
        <v/>
      </c>
      <c r="IY7">
        <f>$IY$6+--($IX7)</f>
        <v/>
      </c>
      <c r="IZ7">
        <f>IF(ROW()-3&gt;MAX($IY$4:$IY$40),"",INDEX($DF$4:$DF$40,MATCH(ROW()-3,$IY$4:$IY$40,0)))</f>
        <v/>
      </c>
      <c r="JA7">
        <f>IF(COUNTIF('Live Search'!BM$6:CG$6,0)+COUNTIF('Live Search'!CI$6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JB7">
        <f>IF($DK$7="",FALSE,SUMPRODUCT(('Final Calculation Sheet'!$U$4:$U$40=$DK$7)*($JA$6:$JA$42=1))&gt;0)</f>
        <v/>
      </c>
      <c r="JC7">
        <f>$JC$6+--($JB7)</f>
        <v/>
      </c>
      <c r="JD7">
        <f>IF(ROW()-3&gt;MAX($JC$4:$JC$40),"",INDEX($DK$4:$DK$40,MATCH(ROW()-3,$JC$4:$JC$40,0)))</f>
        <v/>
      </c>
      <c r="JE7">
        <f>IF(COUNTIF('Live Search'!BM$6:CH$6,0)+COUNTIF('Live Search'!CJ$6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JF7">
        <f>IF($DP$7="",FALSE,SUMPRODUCT(('Final Calculation Sheet'!$V$4:$V$40=$DP$7)*($JE$6:$JE$42=1))&gt;0)</f>
        <v/>
      </c>
      <c r="JG7">
        <f>$JG$6+--($JF7)</f>
        <v/>
      </c>
      <c r="JH7">
        <f>IF(ROW()-3&gt;MAX($JG$4:$JG$40),"",INDEX($DP$4:$DP$40,MATCH(ROW()-3,$JG$4:$JG$40,0)))</f>
        <v/>
      </c>
      <c r="JI7">
        <f>IF(COUNTIF('Live Search'!BM$6:CI$6,0)+COUNTIF('Live Search'!CK$6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JJ7">
        <f>IF($DU$7="",FALSE,SUMPRODUCT(('Final Calculation Sheet'!$W$4:$W$40=$DU$7)*($JI$6:$JI$42=1))&gt;0)</f>
        <v/>
      </c>
      <c r="JK7">
        <f>$JK$6+--($JJ7)</f>
        <v/>
      </c>
      <c r="JL7">
        <f>IF(ROW()-3&gt;MAX($JK$4:$JK$40),"",INDEX($DU$4:$DU$40,MATCH(ROW()-3,$JK$4:$JK$40,0)))</f>
        <v/>
      </c>
      <c r="JM7">
        <f>IF(COUNTIF('Live Search'!BM$6:CJ$6,0)+COUNTIF('Live Search'!CL$6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JN7">
        <f>IF($DZ$7="",FALSE,SUMPRODUCT(('Final Calculation Sheet'!$X$4:$X$40=$DZ$7)*($JM$6:$JM$42=1))&gt;0)</f>
        <v/>
      </c>
      <c r="JO7">
        <f>$JO$6+--($JN7)</f>
        <v/>
      </c>
      <c r="JP7">
        <f>IF(ROW()-3&gt;MAX($JO$4:$JO$40),"",INDEX($DZ$4:$DZ$40,MATCH(ROW()-3,$JO$4:$JO$40,0)))</f>
        <v/>
      </c>
      <c r="JQ7">
        <f>IF(COUNTIF('Live Search'!BM$6:CK$6,0)+COUNTIF('Live Search'!CM$6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JR7">
        <f>IF($EE$7="",FALSE,SUMPRODUCT(('Final Calculation Sheet'!$Y$4:$Y$40=$EE$7)*($JQ$6:$JQ$42=1))&gt;0)</f>
        <v/>
      </c>
      <c r="JS7">
        <f>$JS$6+--($JR7)</f>
        <v/>
      </c>
      <c r="JT7">
        <f>IF(ROW()-3&gt;MAX($JS$4:$JS$40),"",INDEX($EE$4:$EE$40,MATCH(ROW()-3,$JS$4:$JS$40,0)))</f>
        <v/>
      </c>
      <c r="JU7">
        <f>IF(COUNTIF('Live Search'!BM$6:CL$6,0)+COUNTIF('Live Search'!CN$6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JV7">
        <f>IF($EJ$7="",FALSE,SUMPRODUCT(('Final Calculation Sheet'!$Z$4:$Z$40=$EJ$7)*($JU$6:$JU$42=1))&gt;0)</f>
        <v/>
      </c>
      <c r="JW7">
        <f>$JW$6+--($JV7)</f>
        <v/>
      </c>
      <c r="JX7">
        <f>IF(ROW()-3&gt;MAX($JW$4:$JW$40),"",INDEX($EJ$4:$EJ$40,MATCH(ROW()-3,$JW$4:$JW$40,0)))</f>
        <v/>
      </c>
      <c r="JY7">
        <f>IF(COUNTIF('Live Search'!BM$6:CM$6,0)+COUNTIF('Live Search'!CO$6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JZ7">
        <f>IF($EO$7="",FALSE,SUMPRODUCT(('Final Calculation Sheet'!$AA$4:$AA$40=$EO$7)*($JY$6:$JY$42=1))&gt;0)</f>
        <v/>
      </c>
      <c r="KA7">
        <f>$KA$6+--($JZ7)</f>
        <v/>
      </c>
      <c r="KB7">
        <f>IF(ROW()-3&gt;MAX($KA$4:$KA$40),"",INDEX($EO$4:$EO$40,MATCH(ROW()-3,$KA$4:$KA$40,0)))</f>
        <v/>
      </c>
      <c r="KC7">
        <f>IF(COUNTIF('Live Search'!BM$6:CN$6,0)+COUNTIF('Live Search'!CP$6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KD7">
        <f>IF($ET$7="",FALSE,SUMPRODUCT(('Final Calculation Sheet'!$AB$4:$AB$40=$ET$7)*($KC$6:$KC$42=1))&gt;0)</f>
        <v/>
      </c>
      <c r="KE7">
        <f>$KE$6+--($KD7)</f>
        <v/>
      </c>
      <c r="KF7">
        <f>IF(ROW()-3&gt;MAX($KE$4:$KE$40),"",INDEX($ET$4:$ET$40,MATCH(ROW()-3,$KE$4:$KE$40,0)))</f>
        <v/>
      </c>
      <c r="KG7">
        <f>IF(COUNTIF('Live Search'!BM$6:CO$6,0)+COUNTIF('Live Search'!CQ$6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KH7">
        <f>IF($EY$7="",FALSE,SUMPRODUCT(('Final Calculation Sheet'!$AC$4:$AC$40=$EY$7)*($KG$6:$KG$42=1))&gt;0)</f>
        <v/>
      </c>
      <c r="KI7">
        <f>$KI$6+--($KH7)</f>
        <v/>
      </c>
      <c r="KJ7">
        <f>IF(ROW()-3&gt;MAX($KI$4:$KI$40),"",INDEX($EY$4:$EY$40,MATCH(ROW()-3,$KI$4:$KI$40,0)))</f>
        <v/>
      </c>
      <c r="KK7">
        <f>IF(COUNTIF('Live Search'!BM$6:CP$6,0)+COUNTIF('Live Search'!CR$6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KL7">
        <f>IF($FD$7="",FALSE,SUMPRODUCT(('Final Calculation Sheet'!$AD$4:$AD$40=$FD$7)*($KK$6:$KK$42=1))&gt;0)</f>
        <v/>
      </c>
      <c r="KM7">
        <f>$KM$6+--($KL7)</f>
        <v/>
      </c>
      <c r="KN7">
        <f>IF(ROW()-3&gt;MAX($KM$4:$KM$40),"",INDEX($FD$4:$FD$40,MATCH(ROW()-3,$KM$4:$KM$40,0)))</f>
        <v/>
      </c>
      <c r="KO7">
        <f>IF(COUNTIF('Live Search'!BM$6:CT$6,0)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KP7">
        <f>IF($FX$7="",FALSE,SUMPRODUCT((IF('Final Calculation Sheet'!$AD$4:$AD$40&lt;=5,"SETTLED","OUTSTANDING")=$FX$7)*($KO$6:$KO$42=1))&gt;0)</f>
        <v/>
      </c>
      <c r="KQ7">
        <f>$KQ$6+--($KP7)</f>
        <v/>
      </c>
      <c r="KR7">
        <f>IF(ROW()-3&gt;MAX($KQ$4:$KQ$40),"",INDEX($FX$4:$FX$40,MATCH(ROW()-3,$KQ$4:$KQ$40,0)))</f>
        <v/>
      </c>
      <c r="KS7">
        <f>IF(COUNTIF('Live Search'!BM$6:CQ$6,0)+COUNTIF('Live Search'!CS$6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KT7">
        <f>IF($FI$7="",FALSE,SUMPRODUCT(('Final Calculation Sheet'!$AF$4:$AF$40=$FI$7)*($KS$6:$KS$42=1))&gt;0)</f>
        <v/>
      </c>
      <c r="KU7">
        <f>$KU$6+--($KT7)</f>
        <v/>
      </c>
      <c r="KV7">
        <f>IF(ROW()-3&gt;MAX($KU$4:$KU$40),"",INDEX($FI$4:$FI$40,MATCH(ROW()-3,$KU$4:$KU$40,0)))</f>
        <v/>
      </c>
      <c r="KW7">
        <f>IF(COUNTIF('Live Search'!BM$6:CR$6,0)+COUNTIF('Live Search'!CT$6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KX7">
        <f>IF($FN$7="",FALSE,SUMPRODUCT(('Final Calculation Sheet'!$AG$4:$AG$40=$FN$7)*($KW$6:$KW$42=1))&gt;0)</f>
        <v/>
      </c>
      <c r="KY7">
        <f>$KY$6+--($KX7)</f>
        <v/>
      </c>
      <c r="KZ7">
        <f>IF(ROW()-3&gt;MAX($KY$4:$KY$40),"",INDEX($FN$4:$FN$40,MATCH(ROW()-3,$KY$4:$KY$40,0)))</f>
        <v/>
      </c>
      <c r="LA7">
        <f>IF(COUNTIF('Live Search'!BM$6:CS$6,0)+COUNTIF('Live Search'!CU$6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LB7">
        <f>IF($FS$7="",FALSE,SUMPRODUCT(('Final Calculation Sheet'!$AH$4:$AH$40=$FS$7)*($LA$6:$LA$42=1))&gt;0)</f>
        <v/>
      </c>
      <c r="LC7">
        <f>$LC$6+--($LB7)</f>
        <v/>
      </c>
      <c r="LD7">
        <f>IF(ROW()-3&gt;MAX($LC$4:$LC$40),"",INDEX($FS$4:$FS$40,MATCH(ROW()-3,$LC$4:$LC$40,0)))</f>
        <v/>
      </c>
      <c r="LE7">
        <f>IF(COUNTIF('Buyer Groups'!DH60:EN60,0)&gt;0,0,1)</f>
        <v/>
      </c>
      <c r="LF7">
        <f>IF($O$7="",FALSE,SUMPRODUCT(('Final Calculation Sheet'!$F$4:$F$40=$O$7)*($LE$6:$LE$42=1))&gt;0)</f>
        <v/>
      </c>
      <c r="LG7">
        <f>$LG$6+--($LF7)</f>
        <v/>
      </c>
      <c r="LH7">
        <f>IF(ROW()-3&gt;MAX($LG$4:$LG$40),"",INDEX($O$4:$O$40,MATCH(ROW()-3,$LG$4:$LG$40,0)))</f>
        <v/>
      </c>
      <c r="LI7">
        <f>IF(COUNTIF('Buyer Groups'!DG60:DG60,0)+COUNTIF('Buyer Groups'!DI60:EN60,0)&gt;0,0,1)</f>
        <v/>
      </c>
      <c r="LJ7">
        <f>IF($T$7="",FALSE,SUMPRODUCT(('Final Calculation Sheet'!$G$4:$G$40=$T$7)*($LI$6:$LI$42=1))&gt;0)</f>
        <v/>
      </c>
      <c r="LK7">
        <f>$LK$6+--($LJ7)</f>
        <v/>
      </c>
      <c r="LL7">
        <f>IF(ROW()-3&gt;MAX($LK$4:$LK$40),"",INDEX($T$4:$T$40,MATCH(ROW()-3,$LK$4:$LK$40,0)))</f>
        <v/>
      </c>
      <c r="LM7">
        <f>IF(COUNTIF('Buyer Groups'!DG60:DH60,0)+COUNTIF('Buyer Groups'!DJ60:EN60,0)&gt;0,0,1)</f>
        <v/>
      </c>
      <c r="LN7">
        <f>IF($Y$7="",FALSE,SUMPRODUCT(('Final Calculation Sheet'!$B$4:$B$40=$Y$7)*($LM$6:$LM$42=1))&gt;0)</f>
        <v/>
      </c>
      <c r="LO7">
        <f>$LO$6+--($LN7)</f>
        <v/>
      </c>
      <c r="LP7">
        <f>IF(ROW()-3&gt;MAX($LO$4:$LO$40),"",INDEX($Y$4:$Y$40,MATCH(ROW()-3,$LO$4:$LO$40,0)))</f>
        <v/>
      </c>
      <c r="LQ7">
        <f>IF(COUNTIF('Buyer Groups'!DG60:DI60,0)+COUNTIF('Buyer Groups'!DK60:EN60,0)&gt;0,0,1)</f>
        <v/>
      </c>
      <c r="LR7">
        <f>IF($AD$7="",FALSE,SUMPRODUCT(('Final Calculation Sheet'!$D$4:$D$40=$AD$7)*($LQ$6:$LQ$42=1))&gt;0)</f>
        <v/>
      </c>
      <c r="LS7">
        <f>$LS$6+--($LR7)</f>
        <v/>
      </c>
      <c r="LT7">
        <f>IF(ROW()-3&gt;MAX($LS$4:$LS$40),"",INDEX($AD$4:$AD$40,MATCH(ROW()-3,$LS$4:$LS$40,0)))</f>
        <v/>
      </c>
      <c r="LU7">
        <f>IF(COUNTIF('Buyer Groups'!DG60:DJ60,0)+COUNTIF('Buyer Groups'!DL60:EN60,0)&gt;0,0,1)</f>
        <v/>
      </c>
      <c r="LV7">
        <f>IF($AI$7="",FALSE,SUMPRODUCT(('Final Calculation Sheet'!$A$4:$A$40=$AI$7)*($LU$6:$LU$42=1))&gt;0)</f>
        <v/>
      </c>
      <c r="LW7">
        <f>$LW$6+--($LV7)</f>
        <v/>
      </c>
      <c r="LX7">
        <f>IF(ROW()-3&gt;MAX($LW$4:$LW$40),"",INDEX($AI$4:$AI$40,MATCH(ROW()-3,$LW$4:$LW$40,0)))</f>
        <v/>
      </c>
      <c r="LY7">
        <f>IF(COUNTIF('Buyer Groups'!DG60:DK60,0)+COUNTIF('Buyer Groups'!DM60:EN60,0)&gt;0,0,1)</f>
        <v/>
      </c>
      <c r="LZ7">
        <f>IF($AN$7="",FALSE,SUMPRODUCT(('Final Calculation Sheet'!$E$4:$E$40=$AN$7)*($LY$6:$LY$42=1))&gt;0)</f>
        <v/>
      </c>
      <c r="MA7">
        <f>$MA$6+--($LZ7)</f>
        <v/>
      </c>
      <c r="MB7">
        <f>IF(ROW()-3&gt;MAX($MA$4:$MA$40),"",INDEX($AN$4:$AN$40,MATCH(ROW()-3,$MA$4:$MA$40,0)))</f>
        <v/>
      </c>
      <c r="MC7">
        <f>IF(COUNTIF('Buyer Groups'!DG60:DL60,0)+COUNTIF('Buyer Groups'!DN60:EN60,0)&gt;0,0,1)</f>
        <v/>
      </c>
      <c r="MD7">
        <f>IF($AS$7="",FALSE,SUMPRODUCT(('Final Calculation Sheet'!$C$4:$C$40=$AS$7)*($MC$6:$MC$42=1))&gt;0)</f>
        <v/>
      </c>
      <c r="ME7">
        <f>$ME$6+--($MD7)</f>
        <v/>
      </c>
      <c r="MF7">
        <f>IF(ROW()-3&gt;MAX($ME$4:$ME$40),"",INDEX($AS$4:$AS$40,MATCH(ROW()-3,$ME$4:$ME$40,0)))</f>
        <v/>
      </c>
      <c r="MG7">
        <f>IF(COUNTIF('Buyer Groups'!DG60:DM60,0)+COUNTIF('Buyer Groups'!DO60:EN60,0)&gt;0,0,1)</f>
        <v/>
      </c>
      <c r="MH7">
        <f>IF($AX$7="",FALSE,SUMPRODUCT(('Final Calculation Sheet'!$H$4:$H$40=$AX$7)*($MG$6:$MG$42=1))&gt;0)</f>
        <v/>
      </c>
      <c r="MI7">
        <f>$MI$6+--($MH7)</f>
        <v/>
      </c>
      <c r="MJ7">
        <f>IF(ROW()-3&gt;MAX($MI$4:$MI$40),"",INDEX($AX$4:$AX$40,MATCH(ROW()-3,$MI$4:$MI$40,0)))</f>
        <v/>
      </c>
      <c r="MK7">
        <f>IF(COUNTIF('Buyer Groups'!DG60:DN60,0)+COUNTIF('Buyer Groups'!DP60:EN60,0)&gt;0,0,1)</f>
        <v/>
      </c>
      <c r="ML7">
        <f>IF($BC$7="",FALSE,SUMPRODUCT(('Final Calculation Sheet'!$I$4:$I$40=$BC$7)*($MK$6:$MK$42=1))&gt;0)</f>
        <v/>
      </c>
      <c r="MM7">
        <f>$MM$6+--($ML7)</f>
        <v/>
      </c>
      <c r="MN7">
        <f>IF(ROW()-3&gt;MAX($MM$4:$MM$40),"",INDEX($BC$4:$BC$40,MATCH(ROW()-3,$MM$4:$MM$40,0)))</f>
        <v/>
      </c>
      <c r="MO7">
        <f>IF(COUNTIF('Buyer Groups'!DG60:DO60,0)+COUNTIF('Buyer Groups'!DQ60:EN60,0)&gt;0,0,1)</f>
        <v/>
      </c>
      <c r="MP7">
        <f>IF($BH$7="",FALSE,SUMPRODUCT(('Final Calculation Sheet'!$J$4:$J$40=$BH$7)*($MO$6:$MO$42=1))&gt;0)</f>
        <v/>
      </c>
      <c r="MQ7">
        <f>$MQ$6+--($MP7)</f>
        <v/>
      </c>
      <c r="MR7">
        <f>IF(ROW()-3&gt;MAX($MQ$4:$MQ$40),"",INDEX($BH$4:$BH$40,MATCH(ROW()-3,$MQ$4:$MQ$40,0)))</f>
        <v/>
      </c>
      <c r="MS7">
        <f>IF(COUNTIF('Buyer Groups'!DG60:DP60,0)+COUNTIF('Buyer Groups'!DR60:EN60,0)&gt;0,0,1)</f>
        <v/>
      </c>
      <c r="MT7">
        <f>IF($BM$7="",FALSE,SUMPRODUCT(('Final Calculation Sheet'!$K$4:$K$40=$BM$7)*($MS$6:$MS$42=1))&gt;0)</f>
        <v/>
      </c>
      <c r="MU7">
        <f>$MU$6+--($MT7)</f>
        <v/>
      </c>
      <c r="MV7">
        <f>IF(ROW()-3&gt;MAX($MU$4:$MU$40),"",INDEX($BM$4:$BM$40,MATCH(ROW()-3,$MU$4:$MU$40,0)))</f>
        <v/>
      </c>
      <c r="MW7">
        <f>IF(COUNTIF('Buyer Groups'!DG60:DQ60,0)+COUNTIF('Buyer Groups'!DS60:EN60,0)&gt;0,0,1)</f>
        <v/>
      </c>
      <c r="MX7">
        <f>IF($BR$7="",FALSE,SUMPRODUCT(('Final Calculation Sheet'!$L$4:$L$40=$BR$7)*($MW$6:$MW$42=1))&gt;0)</f>
        <v/>
      </c>
      <c r="MY7">
        <f>$MY$6+--($MX7)</f>
        <v/>
      </c>
      <c r="MZ7">
        <f>IF(ROW()-3&gt;MAX($MY$4:$MY$40),"",INDEX($BR$4:$BR$40,MATCH(ROW()-3,$MY$4:$MY$40,0)))</f>
        <v/>
      </c>
      <c r="NA7">
        <f>IF(COUNTIF('Buyer Groups'!DG60:DR60,0)+COUNTIF('Buyer Groups'!DT60:EN60,0)&gt;0,0,1)</f>
        <v/>
      </c>
      <c r="NB7">
        <f>IF($BW$7="",FALSE,SUMPRODUCT(('Final Calculation Sheet'!$M$4:$M$40=$BW$7)*($NA$6:$NA$42=1))&gt;0)</f>
        <v/>
      </c>
      <c r="NC7">
        <f>$NC$6+--($NB7)</f>
        <v/>
      </c>
      <c r="ND7">
        <f>IF(ROW()-3&gt;MAX($NC$4:$NC$40),"",INDEX($BW$4:$BW$40,MATCH(ROW()-3,$NC$4:$NC$40,0)))</f>
        <v/>
      </c>
      <c r="NE7">
        <f>IF(COUNTIF('Buyer Groups'!DG60:DS60,0)+COUNTIF('Buyer Groups'!DU60:EN60,0)&gt;0,0,1)</f>
        <v/>
      </c>
      <c r="NF7">
        <f>IF($CB$7="",FALSE,SUMPRODUCT(('Final Calculation Sheet'!$N$4:$N$40=$CB$7)*($NE$6:$NE$42=1))&gt;0)</f>
        <v/>
      </c>
      <c r="NG7">
        <f>$NG$6+--($NF7)</f>
        <v/>
      </c>
      <c r="NH7">
        <f>IF(ROW()-3&gt;MAX($NG$4:$NG$40),"",INDEX($CB$4:$CB$40,MATCH(ROW()-3,$NG$4:$NG$40,0)))</f>
        <v/>
      </c>
      <c r="NI7">
        <f>IF(COUNTIF('Buyer Groups'!DG60:DT60,0)+COUNTIF('Buyer Groups'!DV60:EN60,0)&gt;0,0,1)</f>
        <v/>
      </c>
      <c r="NJ7">
        <f>IF($CG$7="",FALSE,SUMPRODUCT(('Final Calculation Sheet'!$O$4:$O$40=$CG$7)*($NI$6:$NI$42=1))&gt;0)</f>
        <v/>
      </c>
      <c r="NK7">
        <f>$NK$6+--($NJ7)</f>
        <v/>
      </c>
      <c r="NL7">
        <f>IF(ROW()-3&gt;MAX($NK$4:$NK$40),"",INDEX($CG$4:$CG$40,MATCH(ROW()-3,$NK$4:$NK$40,0)))</f>
        <v/>
      </c>
      <c r="NM7">
        <f>IF(COUNTIF('Buyer Groups'!DG60:DU60,0)+COUNTIF('Buyer Groups'!DW60:EN60,0)&gt;0,0,1)</f>
        <v/>
      </c>
      <c r="NN7">
        <f>IF($CL$7="",FALSE,SUMPRODUCT(('Final Calculation Sheet'!$P$4:$P$40=$CL$7)*($NM$6:$NM$42=1))&gt;0)</f>
        <v/>
      </c>
      <c r="NO7">
        <f>$NO$6+--($NN7)</f>
        <v/>
      </c>
      <c r="NP7">
        <f>IF(ROW()-3&gt;MAX($NO$4:$NO$40),"",INDEX($CL$4:$CL$40,MATCH(ROW()-3,$NO$4:$NO$40,0)))</f>
        <v/>
      </c>
      <c r="NQ7">
        <f>IF(COUNTIF('Buyer Groups'!DG60:DV60,0)+COUNTIF('Buyer Groups'!DX60:EN60,0)&gt;0,0,1)</f>
        <v/>
      </c>
      <c r="NR7">
        <f>IF($CQ$7="",FALSE,SUMPRODUCT(('Final Calculation Sheet'!$Q$4:$Q$40=$CQ$7)*($NQ$6:$NQ$42=1))&gt;0)</f>
        <v/>
      </c>
      <c r="NS7">
        <f>$NS$6+--($NR7)</f>
        <v/>
      </c>
      <c r="NT7">
        <f>IF(ROW()-3&gt;MAX($NS$4:$NS$40),"",INDEX($CQ$4:$CQ$40,MATCH(ROW()-3,$NS$4:$NS$40,0)))</f>
        <v/>
      </c>
      <c r="NU7">
        <f>IF(COUNTIF('Buyer Groups'!DG60:DW60,0)+COUNTIF('Buyer Groups'!DY60:EN60,0)&gt;0,0,1)</f>
        <v/>
      </c>
      <c r="NV7">
        <f>IF($CV$7="",FALSE,SUMPRODUCT(('Final Calculation Sheet'!$R$4:$R$40=$CV$7)*($NU$6:$NU$42=1))&gt;0)</f>
        <v/>
      </c>
      <c r="NW7">
        <f>$NW$6+--($NV7)</f>
        <v/>
      </c>
      <c r="NX7">
        <f>IF(ROW()-3&gt;MAX($NW$4:$NW$40),"",INDEX($CV$4:$CV$40,MATCH(ROW()-3,$NW$4:$NW$40,0)))</f>
        <v/>
      </c>
      <c r="NY7">
        <f>IF(COUNTIF('Buyer Groups'!DG60:DX60,0)+COUNTIF('Buyer Groups'!DZ60:EN60,0)&gt;0,0,1)</f>
        <v/>
      </c>
      <c r="NZ7">
        <f>IF($DA$7="",FALSE,SUMPRODUCT(('Final Calculation Sheet'!$S$4:$S$40=$DA$7)*($NY$6:$NY$42=1))&gt;0)</f>
        <v/>
      </c>
      <c r="OA7">
        <f>$OA$6+--($NZ7)</f>
        <v/>
      </c>
      <c r="OB7">
        <f>IF(ROW()-3&gt;MAX($OA$4:$OA$40),"",INDEX($DA$4:$DA$40,MATCH(ROW()-3,$OA$4:$OA$40,0)))</f>
        <v/>
      </c>
      <c r="OC7">
        <f>IF(COUNTIF('Buyer Groups'!DG60:DY60,0)+COUNTIF('Buyer Groups'!EA60:EN60,0)&gt;0,0,1)</f>
        <v/>
      </c>
      <c r="OD7">
        <f>IF($DF$7="",FALSE,SUMPRODUCT(('Final Calculation Sheet'!$T$4:$T$40=$DF$7)*($OC$6:$OC$42=1))&gt;0)</f>
        <v/>
      </c>
      <c r="OE7">
        <f>$OE$6+--($OD7)</f>
        <v/>
      </c>
      <c r="OF7">
        <f>IF(ROW()-3&gt;MAX($OE$4:$OE$40),"",INDEX($DF$4:$DF$40,MATCH(ROW()-3,$OE$4:$OE$40,0)))</f>
        <v/>
      </c>
      <c r="OG7">
        <f>IF(COUNTIF('Buyer Groups'!DG60:DZ60,0)+COUNTIF('Buyer Groups'!EB60:EN60,0)&gt;0,0,1)</f>
        <v/>
      </c>
      <c r="OH7">
        <f>IF($DK$7="",FALSE,SUMPRODUCT(('Final Calculation Sheet'!$U$4:$U$40=$DK$7)*($OG$6:$OG$42=1))&gt;0)</f>
        <v/>
      </c>
      <c r="OI7">
        <f>$OI$6+--($OH7)</f>
        <v/>
      </c>
      <c r="OJ7">
        <f>IF(ROW()-3&gt;MAX($OI$4:$OI$40),"",INDEX($DK$4:$DK$40,MATCH(ROW()-3,$OI$4:$OI$40,0)))</f>
        <v/>
      </c>
      <c r="OK7">
        <f>IF(COUNTIF('Buyer Groups'!DG60:EA60,0)+COUNTIF('Buyer Groups'!EC60:EN60,0)&gt;0,0,1)</f>
        <v/>
      </c>
      <c r="OL7">
        <f>IF($DP$7="",FALSE,SUMPRODUCT(('Final Calculation Sheet'!$V$4:$V$40=$DP$7)*($OK$6:$OK$42=1))&gt;0)</f>
        <v/>
      </c>
      <c r="OM7">
        <f>$OM$6+--($OL7)</f>
        <v/>
      </c>
      <c r="ON7">
        <f>IF(ROW()-3&gt;MAX($OM$4:$OM$40),"",INDEX($DP$4:$DP$40,MATCH(ROW()-3,$OM$4:$OM$40,0)))</f>
        <v/>
      </c>
      <c r="OO7">
        <f>IF(COUNTIF('Buyer Groups'!DG60:EB60,0)+COUNTIF('Buyer Groups'!ED60:EN60,0)&gt;0,0,1)</f>
        <v/>
      </c>
      <c r="OP7">
        <f>IF($DU$7="",FALSE,SUMPRODUCT(('Final Calculation Sheet'!$W$4:$W$40=$DU$7)*($OO$6:$OO$42=1))&gt;0)</f>
        <v/>
      </c>
      <c r="OQ7">
        <f>$OQ$6+--($OP7)</f>
        <v/>
      </c>
      <c r="OR7">
        <f>IF(ROW()-3&gt;MAX($OQ$4:$OQ$40),"",INDEX($DU$4:$DU$40,MATCH(ROW()-3,$OQ$4:$OQ$40,0)))</f>
        <v/>
      </c>
      <c r="OS7">
        <f>IF(COUNTIF('Buyer Groups'!DG60:EC60,0)+COUNTIF('Buyer Groups'!EE60:EN60,0)&gt;0,0,1)</f>
        <v/>
      </c>
      <c r="OT7">
        <f>IF($DZ$7="",FALSE,SUMPRODUCT(('Final Calculation Sheet'!$X$4:$X$40=$DZ$7)*($OS$6:$OS$42=1))&gt;0)</f>
        <v/>
      </c>
      <c r="OU7">
        <f>$OU$6+--($OT7)</f>
        <v/>
      </c>
      <c r="OV7">
        <f>IF(ROW()-3&gt;MAX($OU$4:$OU$40),"",INDEX($DZ$4:$DZ$40,MATCH(ROW()-3,$OU$4:$OU$40,0)))</f>
        <v/>
      </c>
      <c r="OW7">
        <f>IF(COUNTIF('Buyer Groups'!DG60:ED60,0)+COUNTIF('Buyer Groups'!EF60:EN60,0)&gt;0,0,1)</f>
        <v/>
      </c>
      <c r="OX7">
        <f>IF($EE$7="",FALSE,SUMPRODUCT(('Final Calculation Sheet'!$Y$4:$Y$40=$EE$7)*($OW$6:$OW$42=1))&gt;0)</f>
        <v/>
      </c>
      <c r="OY7">
        <f>$OY$6+--($OX7)</f>
        <v/>
      </c>
      <c r="OZ7">
        <f>IF(ROW()-3&gt;MAX($OY$4:$OY$40),"",INDEX($EE$4:$EE$40,MATCH(ROW()-3,$OY$4:$OY$40,0)))</f>
        <v/>
      </c>
      <c r="PA7">
        <f>IF(COUNTIF('Buyer Groups'!DG60:EE60,0)+COUNTIF('Buyer Groups'!EG60:EN60,0)&gt;0,0,1)</f>
        <v/>
      </c>
      <c r="PB7">
        <f>IF($EJ$7="",FALSE,SUMPRODUCT(('Final Calculation Sheet'!$Z$4:$Z$40=$EJ$7)*($PA$6:$PA$42=1))&gt;0)</f>
        <v/>
      </c>
      <c r="PC7">
        <f>$PC$6+--($PB7)</f>
        <v/>
      </c>
      <c r="PD7">
        <f>IF(ROW()-3&gt;MAX($PC$4:$PC$40),"",INDEX($EJ$4:$EJ$40,MATCH(ROW()-3,$PC$4:$PC$40,0)))</f>
        <v/>
      </c>
      <c r="PE7">
        <f>IF(COUNTIF('Buyer Groups'!DG60:EF60,0)+COUNTIF('Buyer Groups'!EH60:EN60,0)&gt;0,0,1)</f>
        <v/>
      </c>
      <c r="PF7">
        <f>IF($EO$7="",FALSE,SUMPRODUCT(('Final Calculation Sheet'!$AA$4:$AA$40=$EO$7)*($PE$6:$PE$42=1))&gt;0)</f>
        <v/>
      </c>
      <c r="PG7">
        <f>$PG$6+--($PF7)</f>
        <v/>
      </c>
      <c r="PH7">
        <f>IF(ROW()-3&gt;MAX($PG$4:$PG$40),"",INDEX($EO$4:$EO$40,MATCH(ROW()-3,$PG$4:$PG$40,0)))</f>
        <v/>
      </c>
      <c r="PI7">
        <f>IF(COUNTIF('Buyer Groups'!DG60:EG60,0)+COUNTIF('Buyer Groups'!EI60:EN60,0)&gt;0,0,1)</f>
        <v/>
      </c>
      <c r="PJ7">
        <f>IF($ET$7="",FALSE,SUMPRODUCT(('Final Calculation Sheet'!$AB$4:$AB$40=$ET$7)*($PI$6:$PI$42=1))&gt;0)</f>
        <v/>
      </c>
      <c r="PK7">
        <f>$PK$6+--($PJ7)</f>
        <v/>
      </c>
      <c r="PL7">
        <f>IF(ROW()-3&gt;MAX($PK$4:$PK$40),"",INDEX($ET$4:$ET$40,MATCH(ROW()-3,$PK$4:$PK$40,0)))</f>
        <v/>
      </c>
      <c r="PM7">
        <f>IF(COUNTIF('Buyer Groups'!DG60:EH60,0)+COUNTIF('Buyer Groups'!EJ60:EN60,0)&gt;0,0,1)</f>
        <v/>
      </c>
      <c r="PN7">
        <f>IF($EY$7="",FALSE,SUMPRODUCT(('Final Calculation Sheet'!$AC$4:$AC$40=$EY$7)*($PM$6:$PM$42=1))&gt;0)</f>
        <v/>
      </c>
      <c r="PO7">
        <f>$PO$6+--($PN7)</f>
        <v/>
      </c>
      <c r="PP7">
        <f>IF(ROW()-3&gt;MAX($PO$4:$PO$40),"",INDEX($EY$4:$EY$40,MATCH(ROW()-3,$PO$4:$PO$40,0)))</f>
        <v/>
      </c>
      <c r="PQ7">
        <f>IF(COUNTIF('Buyer Groups'!DG60:EI60,0)+COUNTIF('Buyer Groups'!EK60:EN60,0)&gt;0,0,1)</f>
        <v/>
      </c>
      <c r="PR7">
        <f>IF($FD$7="",FALSE,SUMPRODUCT(('Final Calculation Sheet'!$AD$4:$AD$40=$FD$7)*($PQ$6:$PQ$42=1))&gt;0)</f>
        <v/>
      </c>
      <c r="PS7">
        <f>$PS$6+--($PR7)</f>
        <v/>
      </c>
      <c r="PT7">
        <f>IF(ROW()-3&gt;MAX($PS$4:$PS$40),"",INDEX($FD$4:$FD$40,MATCH(ROW()-3,$PS$4:$PS$40,0)))</f>
        <v/>
      </c>
      <c r="PU7">
        <f>IF(COUNTIF('Buyer Groups'!DG60:EJ60,0)+COUNTIF('Buyer Groups'!EL60:EN60,0)&gt;0,0,1)</f>
        <v/>
      </c>
      <c r="PV7">
        <f>IF($FX$7="",FALSE,SUMPRODUCT((IF('Final Calculation Sheet'!$AD$4:$AD$40&lt;=5,"SETTLED","OUTSTANDING")=$FX$7)*($PU$6:$PU$42=1))&gt;0)</f>
        <v/>
      </c>
      <c r="PW7">
        <f>$PW$6+--($PV7)</f>
        <v/>
      </c>
      <c r="PX7">
        <f>IF(ROW()-3&gt;MAX($PW$4:$PW$40),"",INDEX($FX$4:$FX$40,MATCH(ROW()-3,$PW$4:$PW$40,0)))</f>
        <v/>
      </c>
      <c r="PY7">
        <f>IF(COUNTIF('Buyer Groups'!DG60:EK60,0)+COUNTIF('Buyer Groups'!EM60:EN60,0)&gt;0,0,1)</f>
        <v/>
      </c>
      <c r="PZ7">
        <f>IF($FI$7="",FALSE,SUMPRODUCT(('Final Calculation Sheet'!$AF$4:$AF$40=$FI$7)*($PY$6:$PY$42=1))&gt;0)</f>
        <v/>
      </c>
      <c r="QA7">
        <f>$QA$6+--($PZ7)</f>
        <v/>
      </c>
      <c r="QB7">
        <f>IF(ROW()-3&gt;MAX($QA$4:$QA$40),"",INDEX($FI$4:$FI$40,MATCH(ROW()-3,$QA$4:$QA$40,0)))</f>
        <v/>
      </c>
      <c r="QC7">
        <f>IF(COUNTIF('Buyer Groups'!DG60:EL60,0)+COUNTIF('Buyer Groups'!EN60:EN60,0)&gt;0,0,1)</f>
        <v/>
      </c>
      <c r="QD7">
        <f>IF($FN$7="",FALSE,SUMPRODUCT(('Final Calculation Sheet'!$AG$4:$AG$40=$FN$7)*($QC$6:$QC$42=1))&gt;0)</f>
        <v/>
      </c>
      <c r="QE7">
        <f>$QE$6+--($QD7)</f>
        <v/>
      </c>
      <c r="QF7">
        <f>IF(ROW()-3&gt;MAX($QE$4:$QE$40),"",INDEX($FN$4:$FN$40,MATCH(ROW()-3,$QE$4:$QE$40,0)))</f>
        <v/>
      </c>
      <c r="QG7">
        <f>IF(COUNTIF('Buyer Groups'!DG60:EM60,0)&gt;0,0,1)</f>
        <v/>
      </c>
      <c r="QH7">
        <f>IF($FS$7="",FALSE,SUMPRODUCT(('Final Calculation Sheet'!$AH$4:$AH$40=$FS$7)*($QG$6:$QG$42=1))&gt;0)</f>
        <v/>
      </c>
      <c r="QI7">
        <f>$QI$6+--($QH7)</f>
        <v/>
      </c>
      <c r="QJ7">
        <f>IF(ROW()-3&gt;MAX($QI$4:$QI$40),"",INDEX($FS$4:$FS$40,MATCH(ROW()-3,$QI$4:$QI$40,0)))</f>
        <v/>
      </c>
      <c r="QK7" t="str">
        <f>IF('Final Calculation Sheet'!$AH$7="","",'Final Calculation Sheet'!$AH$7)</f>
      </c>
      <c r="QL7" t="str">
        <f>IF(QK7="","",COUNTIFS(QK$4:QK$40,"&lt;"&amp;QK7,QK$4:QK$40,"&lt;&gt;"&amp;"")+COUNTIF(QK$4:QK7,QK7))</f>
      </c>
      <c r="QM7" t="str">
        <f>IF(ROW()-3&gt;COUNTIF(QK$4:QK$40,"&lt;&gt;"&amp;""),"",INDEX(QK$4:QK$40,MATCH(ROW()-3,QL$4:QL$40,0)))</f>
      </c>
      <c r="QN7" t="str">
        <f>=QN6+F(AND(QM7&lt;&gt;"",COUNTIF(QM$4:QM7,QM7)=1),1,0)</f>
      </c>
      <c r="QO7" t="str">
        <f>IF(ROW()-3&gt;MAX(QN$4:QN$40),"",INDEX(QM$4:QM$40,MATCH(ROW()-3,QN$4:QN$40,0)))</f>
      </c>
      <c r="QP7" t="str">
        <f>IF(COUNTIF('Final Calculation Sheet'!$AM7:$BS7,0)&gt;0,0,1)</f>
      </c>
      <c r="QQ7" t="str">
        <f>IF($AI$7="",FALSE,SUMPRODUCT(('Final Calculation Sheet'!$A$4:$A$40=$AI$7)*($QP$4:$QP$40=1))&gt;0)</f>
      </c>
      <c r="QR7" t="str">
        <f>=$QR6+--($QQ7)</f>
      </c>
      <c r="QS7" t="str">
        <f>IF(ROW()-3&gt;MAX($QR$4:$QR$40),"",INDEX($AI$4:$AI$40,MATCH(ROW()-3,$QR$4:$QR$40,0)))</f>
      </c>
      <c r="QT7" t="str">
        <f>IF(COUNTIF('Final Calculation Sheet'!$AL7:$AL7,0)+COUNTIF('Final Calculation Sheet'!$AN7:$BS7,0)&gt;0,0,1)</f>
      </c>
      <c r="QU7" t="str">
        <f>IF($Y$7="",FALSE,SUMPRODUCT(('Final Calculation Sheet'!$B$4:$B$40=$Y$7)*($QT$4:$QT$40=1))&gt;0)</f>
      </c>
      <c r="QV7" t="str">
        <f>=$QV6+--($QU7)</f>
      </c>
      <c r="QW7" t="str">
        <f>IF(ROW()-3&gt;MAX($QV$4:$QV$40),"",INDEX($Y$4:$Y$40,MATCH(ROW()-3,$QV$4:$QV$40,0)))</f>
      </c>
      <c r="QX7" t="str">
        <f>IF(COUNTIF('Final Calculation Sheet'!$AL7:$AM7,0)+COUNTIF('Final Calculation Sheet'!$AO7:$BS7,0)&gt;0,0,1)</f>
      </c>
      <c r="QY7" t="str">
        <f>IF($AS$7="",FALSE,SUMPRODUCT(('Final Calculation Sheet'!$C$4:$C$40=$AS$7)*($QX$4:$QX$40=1))&gt;0)</f>
      </c>
      <c r="QZ7" t="str">
        <f>=$QZ6+--($QY7)</f>
      </c>
      <c r="RA7" t="str">
        <f>IF(ROW()-3&gt;MAX($QZ$4:$QZ$40),"",INDEX($AS$4:$AS$40,MATCH(ROW()-3,$QZ$4:$QZ$40,0)))</f>
      </c>
      <c r="RB7" t="str">
        <f>IF(COUNTIF('Final Calculation Sheet'!$AL7:$AN7,0)+COUNTIF('Final Calculation Sheet'!$AP7:$BS7,0)&gt;0,0,1)</f>
      </c>
      <c r="RC7" t="str">
        <f>IF($AD$7="",FALSE,SUMPRODUCT(('Final Calculation Sheet'!$D$4:$D$40=$AD$7)*($RB$4:$RB$40=1))&gt;0)</f>
      </c>
      <c r="RD7" t="str">
        <f>=$RD6+--($RC7)</f>
      </c>
      <c r="RE7" t="str">
        <f>IF(ROW()-3&gt;MAX($RD$4:$RD$40),"",INDEX($AD$4:$AD$40,MATCH(ROW()-3,$RD$4:$RD$40,0)))</f>
      </c>
      <c r="RF7" t="str">
        <f>IF(COUNTIF('Final Calculation Sheet'!$AL7:$AO7,0)+COUNTIF('Final Calculation Sheet'!$AQ7:$BS7,0)&gt;0,0,1)</f>
      </c>
      <c r="RG7" t="str">
        <f>IF($AN$7="",FALSE,SUMPRODUCT(('Final Calculation Sheet'!$E$4:$E$40=$AN$7)*($RF$4:$RF$40=1))&gt;0)</f>
      </c>
      <c r="RH7" t="str">
        <f>=$RH6+--($RG7)</f>
      </c>
      <c r="RI7" t="str">
        <f>IF(ROW()-3&gt;MAX($RH$4:$RH$40),"",INDEX($AN$4:$AN$40,MATCH(ROW()-3,$RH$4:$RH$40,0)))</f>
      </c>
      <c r="RJ7" t="str">
        <f>IF(COUNTIF('Final Calculation Sheet'!$AL7:$AP7,0)+COUNTIF('Final Calculation Sheet'!$AR7:$BS7,0)&gt;0,0,1)</f>
      </c>
      <c r="RK7" t="str">
        <f>IF($O$7="",FALSE,SUMPRODUCT(('Final Calculation Sheet'!$F$4:$F$40=$O$7)*($RJ$4:$RJ$40=1))&gt;0)</f>
      </c>
      <c r="RL7" t="str">
        <f>=$RL6+--($RK7)</f>
      </c>
      <c r="RM7" t="str">
        <f>IF(ROW()-3&gt;MAX($RL$4:$RL$40),"",INDEX($O$4:$O$40,MATCH(ROW()-3,$RL$4:$RL$40,0)))</f>
      </c>
      <c r="RN7" t="str">
        <f>IF(COUNTIF('Final Calculation Sheet'!$AL7:$AQ7,0)+COUNTIF('Final Calculation Sheet'!$AS7:$BS7,0)&gt;0,0,1)</f>
      </c>
      <c r="RO7" t="str">
        <f>IF($T$7="",FALSE,SUMPRODUCT(('Final Calculation Sheet'!$G$4:$G$40=$T$7)*($RN$4:$RN$40=1))&gt;0)</f>
      </c>
      <c r="RP7" t="str">
        <f>=$RP6+--($RO7)</f>
      </c>
      <c r="RQ7" t="str">
        <f>IF(ROW()-3&gt;MAX($RP$4:$RP$40),"",INDEX($T$4:$T$40,MATCH(ROW()-3,$RP$4:$RP$40,0)))</f>
      </c>
      <c r="RR7" t="str">
        <f>IF(COUNTIF('Final Calculation Sheet'!$AL7:$AR7,0)+COUNTIF('Final Calculation Sheet'!$AT7:$BS7,0)&gt;0,0,1)</f>
      </c>
      <c r="RS7" t="str">
        <f>IF($AX$7="",FALSE,SUMPRODUCT(('Final Calculation Sheet'!$H$4:$H$40=$AX$7)*($RR$4:$RR$40=1))&gt;0)</f>
      </c>
      <c r="RT7" t="str">
        <f>=$RT6+--($RS7)</f>
      </c>
      <c r="RU7" t="str">
        <f>IF(ROW()-3&gt;MAX($RT$4:$RT$40),"",INDEX($AX$4:$AX$40,MATCH(ROW()-3,$RT$4:$RT$40,0)))</f>
      </c>
      <c r="RV7" t="str">
        <f>IF(COUNTIF('Final Calculation Sheet'!$AL7:$AS7,0)+COUNTIF('Final Calculation Sheet'!$AU7:$BS7,0)&gt;0,0,1)</f>
      </c>
      <c r="RW7" t="str">
        <f>IF($BC$7="",FALSE,SUMPRODUCT(('Final Calculation Sheet'!$I$4:$I$40=$BC$7)*($RV$4:$RV$40=1))&gt;0)</f>
      </c>
      <c r="RX7" t="str">
        <f>=$RX6+--($RW7)</f>
      </c>
      <c r="RY7" t="str">
        <f>IF(ROW()-3&gt;MAX($RX$4:$RX$40),"",INDEX($BC$4:$BC$40,MATCH(ROW()-3,$RX$4:$RX$40,0)))</f>
      </c>
      <c r="RZ7" t="str">
        <f>IF(COUNTIF('Final Calculation Sheet'!$AL7:$AT7,0)+COUNTIF('Final Calculation Sheet'!$AV7:$BS7,0)&gt;0,0,1)</f>
      </c>
      <c r="SA7" t="str">
        <f>IF($BH$7="",FALSE,SUMPRODUCT(('Final Calculation Sheet'!$J$4:$J$40=$BH$7)*($RZ$4:$RZ$40=1))&gt;0)</f>
      </c>
      <c r="SB7" t="str">
        <f>=$SB6+--($SA7)</f>
      </c>
      <c r="SC7" t="str">
        <f>IF(ROW()-3&gt;MAX($SB$4:$SB$40),"",INDEX($BH$4:$BH$40,MATCH(ROW()-3,$SB$4:$SB$40,0)))</f>
      </c>
      <c r="SD7" t="str">
        <f>IF(COUNTIF('Final Calculation Sheet'!$AL7:$AU7,0)+COUNTIF('Final Calculation Sheet'!$AW7:$BS7,0)&gt;0,0,1)</f>
      </c>
      <c r="SE7" t="str">
        <f>IF($BM$7="",FALSE,SUMPRODUCT(('Final Calculation Sheet'!$K$4:$K$40=$BM$7)*($SD$4:$SD$40=1))&gt;0)</f>
      </c>
      <c r="SF7" t="str">
        <f>=$SF6+--($SE7)</f>
      </c>
      <c r="SG7" t="str">
        <f>IF(ROW()-3&gt;MAX($SF$4:$SF$40),"",INDEX($BM$4:$BM$40,MATCH(ROW()-3,$SF$4:$SF$40,0)))</f>
      </c>
      <c r="SH7" t="str">
        <f>IF(COUNTIF('Final Calculation Sheet'!$AL7:$AV7,0)+COUNTIF('Final Calculation Sheet'!$AX7:$BS7,0)&gt;0,0,1)</f>
      </c>
      <c r="SI7" t="str">
        <f>IF($BR$7="",FALSE,SUMPRODUCT(('Final Calculation Sheet'!$L$4:$L$40=$BR$7)*($SH$4:$SH$40=1))&gt;0)</f>
      </c>
      <c r="SJ7" t="str">
        <f>=$SJ6+--($SI7)</f>
      </c>
      <c r="SK7" t="str">
        <f>IF(ROW()-3&gt;MAX($SJ$4:$SJ$40),"",INDEX($BR$4:$BR$40,MATCH(ROW()-3,$SJ$4:$SJ$40,0)))</f>
      </c>
      <c r="SL7" t="str">
        <f>IF(COUNTIF('Final Calculation Sheet'!$AL7:$AW7,0)+COUNTIF('Final Calculation Sheet'!$AY7:$BS7,0)&gt;0,0,1)</f>
      </c>
      <c r="SM7" t="str">
        <f>IF($BW$7="",FALSE,SUMPRODUCT(('Final Calculation Sheet'!$M$4:$M$40=$BW$7)*($SL$4:$SL$40=1))&gt;0)</f>
      </c>
      <c r="SN7" t="str">
        <f>=$SN6+--($SM7)</f>
      </c>
      <c r="SO7" t="str">
        <f>IF(ROW()-3&gt;MAX($SN$4:$SN$40),"",INDEX($BW$4:$BW$40,MATCH(ROW()-3,$SN$4:$SN$40,0)))</f>
      </c>
      <c r="SP7" t="str">
        <f>IF(COUNTIF('Final Calculation Sheet'!$AL7:$AX7,0)+COUNTIF('Final Calculation Sheet'!$AZ7:$BS7,0)&gt;0,0,1)</f>
      </c>
      <c r="SQ7" t="str">
        <f>IF($CB$7="",FALSE,SUMPRODUCT(('Final Calculation Sheet'!$N$4:$N$40=$CB$7)*($SP$4:$SP$40=1))&gt;0)</f>
      </c>
      <c r="SR7" t="str">
        <f>=$SR6+--($SQ7)</f>
      </c>
      <c r="SS7" t="str">
        <f>IF(ROW()-3&gt;MAX($SR$4:$SR$40),"",INDEX($CB$4:$CB$40,MATCH(ROW()-3,$SR$4:$SR$40,0)))</f>
      </c>
      <c r="ST7" t="str">
        <f>IF(COUNTIF('Final Calculation Sheet'!$AL7:$AY7,0)+COUNTIF('Final Calculation Sheet'!$BA7:$BS7,0)&gt;0,0,1)</f>
      </c>
      <c r="SU7" t="str">
        <f>IF($CG$7="",FALSE,SUMPRODUCT(('Final Calculation Sheet'!$O$4:$O$40=$CG$7)*($ST$4:$ST$40=1))&gt;0)</f>
      </c>
      <c r="SV7" t="str">
        <f>=$SV6+--($SU7)</f>
      </c>
      <c r="SW7" t="str">
        <f>IF(ROW()-3&gt;MAX($SV$4:$SV$40),"",INDEX($CG$4:$CG$40,MATCH(ROW()-3,$SV$4:$SV$40,0)))</f>
      </c>
      <c r="SX7" t="str">
        <f>IF(COUNTIF('Final Calculation Sheet'!$AL7:$AZ7,0)+COUNTIF('Final Calculation Sheet'!$BB7:$BS7,0)&gt;0,0,1)</f>
      </c>
      <c r="SY7" t="str">
        <f>IF($CL$7="",FALSE,SUMPRODUCT(('Final Calculation Sheet'!$P$4:$P$40=$CL$7)*($SX$4:$SX$40=1))&gt;0)</f>
      </c>
      <c r="SZ7" t="str">
        <f>=$SZ6+--($SY7)</f>
      </c>
      <c r="TA7" t="str">
        <f>IF(ROW()-3&gt;MAX($SZ$4:$SZ$40),"",INDEX($CL$4:$CL$40,MATCH(ROW()-3,$SZ$4:$SZ$40,0)))</f>
      </c>
      <c r="TB7" t="str">
        <f>IF(COUNTIF('Final Calculation Sheet'!$AL7:$BA7,0)+COUNTIF('Final Calculation Sheet'!$BC7:$BS7,0)&gt;0,0,1)</f>
      </c>
      <c r="TC7" t="str">
        <f>IF($CQ$7="",FALSE,SUMPRODUCT(('Final Calculation Sheet'!$Q$4:$Q$40=$CQ$7)*($TB$4:$TB$40=1))&gt;0)</f>
      </c>
      <c r="TD7" t="str">
        <f>=$TD6+--($TC7)</f>
      </c>
      <c r="TE7" t="str">
        <f>IF(ROW()-3&gt;MAX($TD$4:$TD$40),"",INDEX($CQ$4:$CQ$40,MATCH(ROW()-3,$TD$4:$TD$40,0)))</f>
      </c>
      <c r="TF7" t="str">
        <f>IF(COUNTIF('Final Calculation Sheet'!$AL7:$BB7,0)+COUNTIF('Final Calculation Sheet'!$BD7:$BS7,0)&gt;0,0,1)</f>
      </c>
      <c r="TG7" t="str">
        <f>IF($CV$7="",FALSE,SUMPRODUCT(('Final Calculation Sheet'!$R$4:$R$40=$CV$7)*($TF$4:$TF$40=1))&gt;0)</f>
      </c>
      <c r="TH7" t="str">
        <f>=$TH6+--($TG7)</f>
      </c>
      <c r="TI7" t="str">
        <f>IF(ROW()-3&gt;MAX($TH$4:$TH$40),"",INDEX($CV$4:$CV$40,MATCH(ROW()-3,$TH$4:$TH$40,0)))</f>
      </c>
      <c r="TJ7" t="str">
        <f>IF(COUNTIF('Final Calculation Sheet'!$AL7:$BC7,0)+COUNTIF('Final Calculation Sheet'!$BE7:$BS7,0)&gt;0,0,1)</f>
      </c>
      <c r="TK7" t="str">
        <f>IF($DA$7="",FALSE,SUMPRODUCT(('Final Calculation Sheet'!$S$4:$S$40=$DA$7)*($TJ$4:$TJ$40=1))&gt;0)</f>
      </c>
      <c r="TL7" t="str">
        <f>=$TL6+--($TK7)</f>
      </c>
      <c r="TM7" t="str">
        <f>IF(ROW()-3&gt;MAX($TL$4:$TL$40),"",INDEX($DA$4:$DA$40,MATCH(ROW()-3,$TL$4:$TL$40,0)))</f>
      </c>
      <c r="TN7" t="str">
        <f>IF(COUNTIF('Final Calculation Sheet'!$AL7:$BD7,0)+COUNTIF('Final Calculation Sheet'!$BF7:$BS7,0)&gt;0,0,1)</f>
      </c>
      <c r="TO7" t="str">
        <f>IF($DF$7="",FALSE,SUMPRODUCT(('Final Calculation Sheet'!$T$4:$T$40=$DF$7)*($TN$4:$TN$40=1))&gt;0)</f>
      </c>
      <c r="TP7" t="str">
        <f>=$TP6+--($TO7)</f>
      </c>
      <c r="TQ7" t="str">
        <f>IF(ROW()-3&gt;MAX($TP$4:$TP$40),"",INDEX($DF$4:$DF$40,MATCH(ROW()-3,$TP$4:$TP$40,0)))</f>
      </c>
      <c r="TR7" t="str">
        <f>IF(COUNTIF('Final Calculation Sheet'!$AL7:$BE7,0)+COUNTIF('Final Calculation Sheet'!$BG7:$BS7,0)&gt;0,0,1)</f>
      </c>
      <c r="TS7" t="str">
        <f>IF($DK$7="",FALSE,SUMPRODUCT(('Final Calculation Sheet'!$U$4:$U$40=$DK$7)*($TR$4:$TR$40=1))&gt;0)</f>
      </c>
      <c r="TT7" t="str">
        <f>=$TT6+--($TS7)</f>
      </c>
      <c r="TU7" t="str">
        <f>IF(ROW()-3&gt;MAX($TT$4:$TT$40),"",INDEX($DK$4:$DK$40,MATCH(ROW()-3,$TT$4:$TT$40,0)))</f>
      </c>
      <c r="TV7" t="str">
        <f>IF(COUNTIF('Final Calculation Sheet'!$AL7:$BF7,0)+COUNTIF('Final Calculation Sheet'!$BH7:$BS7,0)&gt;0,0,1)</f>
      </c>
      <c r="TW7" t="str">
        <f>IF($DP$7="",FALSE,SUMPRODUCT(('Final Calculation Sheet'!$V$4:$V$40=$DP$7)*($TV$4:$TV$40=1))&gt;0)</f>
      </c>
      <c r="TX7" t="str">
        <f>=$TX6+--($TW7)</f>
      </c>
      <c r="TY7" t="str">
        <f>IF(ROW()-3&gt;MAX($TX$4:$TX$40),"",INDEX($DP$4:$DP$40,MATCH(ROW()-3,$TX$4:$TX$40,0)))</f>
      </c>
      <c r="TZ7" t="str">
        <f>IF(COUNTIF('Final Calculation Sheet'!$AL7:$BG7,0)+COUNTIF('Final Calculation Sheet'!$BI7:$BS7,0)&gt;0,0,1)</f>
      </c>
      <c r="UA7" t="str">
        <f>IF($DU$7="",FALSE,SUMPRODUCT(('Final Calculation Sheet'!$W$4:$W$40=$DU$7)*($TZ$4:$TZ$40=1))&gt;0)</f>
      </c>
      <c r="UB7" t="str">
        <f>=$UB6+--($UA7)</f>
      </c>
      <c r="UC7" t="str">
        <f>IF(ROW()-3&gt;MAX($UB$4:$UB$40),"",INDEX($DU$4:$DU$40,MATCH(ROW()-3,$UB$4:$UB$40,0)))</f>
      </c>
      <c r="UD7" t="str">
        <f>IF(COUNTIF('Final Calculation Sheet'!$AL7:$BH7,0)+COUNTIF('Final Calculation Sheet'!$BJ7:$BS7,0)&gt;0,0,1)</f>
      </c>
      <c r="UE7" t="str">
        <f>IF($DZ$7="",FALSE,SUMPRODUCT(('Final Calculation Sheet'!$X$4:$X$40=$DZ$7)*($UD$4:$UD$40=1))&gt;0)</f>
      </c>
      <c r="UF7" t="str">
        <f>=$UF6+--($UE7)</f>
      </c>
      <c r="UG7" t="str">
        <f>IF(ROW()-3&gt;MAX($UF$4:$UF$40),"",INDEX($DZ$4:$DZ$40,MATCH(ROW()-3,$UF$4:$UF$40,0)))</f>
      </c>
      <c r="UH7" t="str">
        <f>IF(COUNTIF('Final Calculation Sheet'!$AL7:$BI7,0)+COUNTIF('Final Calculation Sheet'!$BK7:$BS7,0)&gt;0,0,1)</f>
      </c>
      <c r="UI7" t="str">
        <f>IF($EE$7="",FALSE,SUMPRODUCT(('Final Calculation Sheet'!$Y$4:$Y$40=$EE$7)*($UH$4:$UH$40=1))&gt;0)</f>
      </c>
      <c r="UJ7" t="str">
        <f>=$UJ6+--($UI7)</f>
      </c>
      <c r="UK7" t="str">
        <f>IF(ROW()-3&gt;MAX($UJ$4:$UJ$40),"",INDEX($EE$4:$EE$40,MATCH(ROW()-3,$UJ$4:$UJ$40,0)))</f>
      </c>
      <c r="UL7" t="str">
        <f>IF(COUNTIF('Final Calculation Sheet'!$AL7:$BJ7,0)+COUNTIF('Final Calculation Sheet'!$BL7:$BS7,0)&gt;0,0,1)</f>
      </c>
      <c r="UM7" t="str">
        <f>IF($EJ$7="",FALSE,SUMPRODUCT(('Final Calculation Sheet'!$Z$4:$Z$40=$EJ$7)*($UL$4:$UL$40=1))&gt;0)</f>
      </c>
      <c r="UN7" t="str">
        <f>=$UN6+--($UM7)</f>
      </c>
      <c r="UO7" t="str">
        <f>IF(ROW()-3&gt;MAX($UN$4:$UN$40),"",INDEX($EJ$4:$EJ$40,MATCH(ROW()-3,$UN$4:$UN$40,0)))</f>
      </c>
      <c r="UP7" t="str">
        <f>IF(COUNTIF('Final Calculation Sheet'!$AL7:$BK7,0)+COUNTIF('Final Calculation Sheet'!$BM7:$BS7,0)&gt;0,0,1)</f>
      </c>
      <c r="UQ7" t="str">
        <f>IF($EO$7="",FALSE,SUMPRODUCT(('Final Calculation Sheet'!$AA$4:$AA$40=$EO$7)*($UP$4:$UP$40=1))&gt;0)</f>
      </c>
      <c r="UR7" t="str">
        <f>=$UR6+--($UQ7)</f>
      </c>
      <c r="US7" t="str">
        <f>IF(ROW()-3&gt;MAX($UR$4:$UR$40),"",INDEX($EO$4:$EO$40,MATCH(ROW()-3,$UR$4:$UR$40,0)))</f>
      </c>
      <c r="UT7" t="str">
        <f>IF(COUNTIF('Final Calculation Sheet'!$AL7:$BL7,0)+COUNTIF('Final Calculation Sheet'!$BN7:$BS7,0)&gt;0,0,1)</f>
      </c>
      <c r="UU7" t="str">
        <f>IF($ET$7="",FALSE,SUMPRODUCT(('Final Calculation Sheet'!$AB$4:$AB$40=$ET$7)*($UT$4:$UT$40=1))&gt;0)</f>
      </c>
      <c r="UV7" t="str">
        <f>=$UV6+--($UU7)</f>
      </c>
      <c r="UW7" t="str">
        <f>IF(ROW()-3&gt;MAX($UV$4:$UV$40),"",INDEX($ET$4:$ET$40,MATCH(ROW()-3,$UV$4:$UV$40,0)))</f>
      </c>
      <c r="UX7" t="str">
        <f>IF(COUNTIF('Final Calculation Sheet'!$AL7:$BM7,0)+COUNTIF('Final Calculation Sheet'!$BO7:$BS7,0)&gt;0,0,1)</f>
      </c>
      <c r="UY7" t="str">
        <f>IF($EY$7="",FALSE,SUMPRODUCT(('Final Calculation Sheet'!$AC$4:$AC$40=$EY$7)*($UX$4:$UX$40=1))&gt;0)</f>
      </c>
      <c r="UZ7" t="str">
        <f>=$UZ6+--($UY7)</f>
      </c>
      <c r="VA7" t="str">
        <f>IF(ROW()-3&gt;MAX($UZ$4:$UZ$40),"",INDEX($EY$4:$EY$40,MATCH(ROW()-3,$UZ$4:$UZ$40,0)))</f>
      </c>
      <c r="VB7" t="str">
        <f>IF(COUNTIF('Final Calculation Sheet'!$AL7:$BN7,0)+COUNTIF('Final Calculation Sheet'!$BP7:$BS7,0)&gt;0,0,1)</f>
      </c>
      <c r="VC7" t="str">
        <f>IF($FD$7="",FALSE,SUMPRODUCT(('Final Calculation Sheet'!$AD$4:$AD$40=$FD$7)*($VB$4:$VB$40=1))&gt;0)</f>
      </c>
      <c r="VD7" t="str">
        <f>=$VD6+--($VC7)</f>
      </c>
      <c r="VE7" t="str">
        <f>IF(ROW()-3&gt;MAX($VD$4:$VD$40),"",INDEX($FD$4:$FD$40,MATCH(ROW()-3,$VD$4:$VD$40,0)))</f>
      </c>
      <c r="VF7" t="str">
        <f>IF(COUNTIF('Final Calculation Sheet'!$AL7:$BO7,0)+COUNTIF('Final Calculation Sheet'!$BQ7:$BS7,0)&gt;0,0,1)</f>
      </c>
      <c r="VG7" t="str">
        <f>IF($FI$7="",FALSE,SUMPRODUCT(('Final Calculation Sheet'!$AE$4:$AE$40=$FI$7)*($VF$4:$VF$40=1))&gt;0)</f>
      </c>
      <c r="VH7" t="str">
        <f>=$VH6+--($VG7)</f>
      </c>
      <c r="VI7" t="str">
        <f>IF(ROW()-3&gt;MAX($VH$4:$VH$40),"",INDEX($FI$4:$FI$40,MATCH(ROW()-3,$VH$4:$VH$40,0)))</f>
      </c>
      <c r="VJ7" t="str">
        <f>IF(COUNTIF('Final Calculation Sheet'!$AL7:$BP7,0)+COUNTIF('Final Calculation Sheet'!$BR7:$BS7,0)&gt;0,0,1)</f>
      </c>
      <c r="VK7" t="str">
        <f>IF($FN$7="",FALSE,SUMPRODUCT(('Final Calculation Sheet'!$AF$4:$AF$40=$FN$7)*($VJ$4:$VJ$40=1))&gt;0)</f>
      </c>
      <c r="VL7" t="str">
        <f>=$VL6+--($VK7)</f>
      </c>
      <c r="VM7" t="str">
        <f>IF(ROW()-3&gt;MAX($VL$4:$VL$40),"",INDEX($FN$4:$FN$40,MATCH(ROW()-3,$VL$4:$VL$40,0)))</f>
      </c>
      <c r="VN7" t="str">
        <f>IF(COUNTIF('Final Calculation Sheet'!$AL7:$BQ7,0)+COUNTIF('Final Calculation Sheet'!$BS7:$BS7,0)&gt;0,0,1)</f>
      </c>
      <c r="VO7" t="str">
        <f>IF($FS$7="",FALSE,SUMPRODUCT(('Final Calculation Sheet'!$AG$4:$AG$40=$FS$7)*($VN$4:$VN$40=1))&gt;0)</f>
      </c>
      <c r="VP7" t="str">
        <f>=$VP6+--($VO7)</f>
      </c>
      <c r="VQ7" t="str">
        <f>IF(ROW()-3&gt;MAX($VP$4:$VP$40),"",INDEX($FS$4:$FS$40,MATCH(ROW()-3,$VP$4:$VP$40,0)))</f>
      </c>
      <c r="VR7" t="str">
        <f>IF(COUNTIF('Final Calculation Sheet'!$AL7:$BR7,0)&gt;0,0,1)</f>
      </c>
      <c r="VS7" t="str">
        <f>IF($QO$7="",FALSE,SUMPRODUCT(('Final Calculation Sheet'!$AH$4:$AH$40=$QO$7)*($VR$4:$VR$40=1))&gt;0)</f>
      </c>
      <c r="VT7" t="str">
        <f>=$VT6+--($VS7)</f>
      </c>
      <c r="VU7" t="str">
        <f>IF(ROW()-3&gt;MAX($VT$4:$VT$40),"",INDEX($QO$4:$QO$40,MATCH(ROW()-3,$VT$4:$VT$40,0)))</f>
      </c>
    </row>
    <row r="8">
      <c r="A8">
        <f>IF('Final Calculation Sheet'!$F$8="","",'Final Calculation Sheet'!$F$8)</f>
        <v/>
      </c>
      <c r="B8">
        <f>IF(A8="","",COUNTIFS(A$4:A$114,"&lt;"&amp;A8,A$4:A$114,"&lt;&gt;"&amp;"")+COUNTIF(A$4:A8,A8))</f>
        <v/>
      </c>
      <c r="C8">
        <f>IF(ROW()-3&gt;COUNTIF(A$4:A$114,"&lt;&gt;"&amp;""),"",INDEX(A$4:A$114,MATCH(ROW()-3,B$4:B$114,0)))</f>
        <v/>
      </c>
      <c r="D8">
        <f>D7+IF(AND(C8&lt;&gt;"",COUNTIF(C$4:C8,C8)=1),1,0)</f>
        <v/>
      </c>
      <c r="E8">
        <f>IF(ROW()-3&gt;MAX(D$4:D$114),"",INDEX(C$4:C$114,MATCH(ROW()-3,D$4:D$114,0)))</f>
        <v/>
      </c>
      <c r="F8">
        <f>ROW()-3</f>
        <v/>
      </c>
      <c r="G8">
        <f>IF(F8="","",COUNTIFS(F$4:F$40,"&lt;"&amp;F8,F$4:F$40,"&lt;&gt;"&amp;"")+COUNTIF(F$4:F8,F8))</f>
        <v/>
      </c>
      <c r="H8">
        <f>IF(ROW()-3&gt;COUNTIF(F$4:F$40,"&lt;&gt;"&amp;""),"",INDEX(F$4:F$40,MATCH(ROW()-3,G$4:G$40,0)))</f>
        <v/>
      </c>
      <c r="I8">
        <f>I7+IF(AND(H8&lt;&gt;"",COUNTIF(H$4:H8,H8)=1),1,0)</f>
        <v/>
      </c>
      <c r="J8">
        <f>IF(ROW()-3&gt;MAX(I$4:I$40),"",INDEX(H$4:H$40,MATCH(ROW()-3,I$4:I$40,0)))</f>
        <v/>
      </c>
      <c r="K8">
        <f>IF('Final Calculation Sheet'!$F$8="","",'Final Calculation Sheet'!$F$8)</f>
        <v/>
      </c>
      <c r="L8">
        <f>IF(K8="","",COUNTIFS(K$4:K$40,"&lt;"&amp;K8,K$4:K$40,"&lt;&gt;"&amp;"")+COUNTIF(K$4:K8,K8))</f>
        <v/>
      </c>
      <c r="M8">
        <f>IF(ROW()-3&gt;COUNTIF(K$4:K$40,"&lt;&gt;"&amp;""),"",INDEX(K$4:K$40,MATCH(ROW()-3,L$4:L$40,0)))</f>
        <v/>
      </c>
      <c r="N8">
        <f>N7+IF(AND(M8&lt;&gt;"",COUNTIF(M$4:M8,M8)=1),1,0)</f>
        <v/>
      </c>
      <c r="O8">
        <f>IF(ROW()-3&gt;MAX(N$4:N$40),"",INDEX(M$4:M$40,MATCH(ROW()-3,N$4:N$40,0)))</f>
        <v/>
      </c>
      <c r="P8">
        <f>IF('Final Calculation Sheet'!$G$8="","",'Final Calculation Sheet'!$G$8)</f>
        <v/>
      </c>
      <c r="Q8">
        <f>IF(P8="","",COUNTIFS(P$4:P$40,"&lt;"&amp;P8,P$4:P$40,"&lt;&gt;"&amp;"")+COUNTIF(P$4:P8,P8))</f>
        <v/>
      </c>
      <c r="R8">
        <f>IF(ROW()-3&gt;COUNTIF(P$4:P$40,"&lt;&gt;"&amp;""),"",INDEX(P$4:P$40,MATCH(ROW()-3,Q$4:Q$40,0)))</f>
        <v/>
      </c>
      <c r="S8">
        <f>S7+IF(AND(R8&lt;&gt;"",COUNTIF(R$4:R8,R8)=1),1,0)</f>
        <v/>
      </c>
      <c r="T8">
        <f>IF(ROW()-3&gt;MAX(S$4:S$40),"",INDEX(R$4:R$40,MATCH(ROW()-3,S$4:S$40,0)))</f>
        <v/>
      </c>
      <c r="U8">
        <f>IF('Final Calculation Sheet'!$B$8="","",'Final Calculation Sheet'!$B$8)</f>
        <v/>
      </c>
      <c r="V8">
        <f>IF(U8="","",COUNTIFS(U$4:U$40,"&lt;"&amp;U8,U$4:U$40,"&lt;&gt;"&amp;"")+COUNTIF(U$4:U8,U8))</f>
        <v/>
      </c>
      <c r="W8">
        <f>IF(ROW()-3&gt;COUNTIF(U$4:U$40,"&lt;&gt;"&amp;""),"",INDEX(U$4:U$40,MATCH(ROW()-3,V$4:V$40,0)))</f>
        <v/>
      </c>
      <c r="X8">
        <f>X7+IF(AND(W8&lt;&gt;"",COUNTIF(W$4:W8,W8)=1),1,0)</f>
        <v/>
      </c>
      <c r="Y8">
        <f>IF(ROW()-3&gt;MAX(X$4:X$40),"",INDEX(W$4:W$40,MATCH(ROW()-3,X$4:X$40,0)))</f>
        <v/>
      </c>
      <c r="Z8">
        <f>IF('Final Calculation Sheet'!$D$8="","",'Final Calculation Sheet'!$D$8)</f>
        <v/>
      </c>
      <c r="AA8">
        <f>IF(Z8="","",COUNTIFS(Z$4:Z$40,"&lt;"&amp;Z8,Z$4:Z$40,"&lt;&gt;"&amp;"")+COUNTIF(Z$4:Z8,Z8))</f>
        <v/>
      </c>
      <c r="AB8">
        <f>IF(ROW()-3&gt;COUNTIF(Z$4:Z$40,"&lt;&gt;"&amp;""),"",INDEX(Z$4:Z$40,MATCH(ROW()-3,AA$4:AA$40,0)))</f>
        <v/>
      </c>
      <c r="AC8">
        <f>AC7+IF(AND(AB8&lt;&gt;"",COUNTIF(AB$4:AB8,AB8)=1),1,0)</f>
        <v/>
      </c>
      <c r="AD8">
        <f>IF(ROW()-3&gt;MAX(AC$4:AC$40),"",INDEX(AB$4:AB$40,MATCH(ROW()-3,AC$4:AC$40,0)))</f>
        <v/>
      </c>
      <c r="AE8">
        <f>IF('Final Calculation Sheet'!$A$8="","",'Final Calculation Sheet'!$A$8)</f>
        <v/>
      </c>
      <c r="AF8">
        <f>IF(AE8="","",COUNTIFS(AE$4:AE$40,"&lt;"&amp;AE8,AE$4:AE$40,"&lt;&gt;"&amp;"")+COUNTIF(AE$4:AE8,AE8))</f>
        <v/>
      </c>
      <c r="AG8">
        <f>IF(ROW()-3&gt;COUNTIF(AE$4:AE$40,"&lt;&gt;"&amp;""),"",INDEX(AE$4:AE$40,MATCH(ROW()-3,AF$4:AF$40,0)))</f>
        <v/>
      </c>
      <c r="AH8">
        <f>AH7+IF(AND(AG8&lt;&gt;"",COUNTIF(AG$4:AG8,AG8)=1),1,0)</f>
        <v/>
      </c>
      <c r="AI8">
        <f>IF(ROW()-3&gt;MAX(AH$4:AH$40),"",INDEX(AG$4:AG$40,MATCH(ROW()-3,AH$4:AH$40,0)))</f>
        <v/>
      </c>
      <c r="AJ8">
        <f>IF('Final Calculation Sheet'!$E$8="","",'Final Calculation Sheet'!$E$8)</f>
        <v/>
      </c>
      <c r="AK8">
        <f>IF(AJ8="","",COUNTIFS(AJ$4:AJ$40,"&lt;"&amp;AJ8,AJ$4:AJ$40,"&lt;&gt;"&amp;"")+COUNTIF(AJ$4:AJ8,AJ8))</f>
        <v/>
      </c>
      <c r="AL8">
        <f>IF(ROW()-3&gt;COUNTIF(AJ$4:AJ$40,"&lt;&gt;"&amp;""),"",INDEX(AJ$4:AJ$40,MATCH(ROW()-3,AK$4:AK$40,0)))</f>
        <v/>
      </c>
      <c r="AM8">
        <f>AM7+IF(AND(AL8&lt;&gt;"",COUNTIF(AL$4:AL8,AL8)=1),1,0)</f>
        <v/>
      </c>
      <c r="AN8">
        <f>IF(ROW()-3&gt;MAX(AM$4:AM$40),"",INDEX(AL$4:AL$40,MATCH(ROW()-3,AM$4:AM$40,0)))</f>
        <v/>
      </c>
      <c r="AO8" s="55">
        <f>IF('Final Calculation Sheet'!$C$8="","",'Final Calculation Sheet'!$C$8)</f>
        <v/>
      </c>
      <c r="AP8">
        <f>IF(AO8="","",COUNTIFS(AO$4:AO$40,"&lt;"&amp;AO8,AO$4:AO$40,"&lt;&gt;"&amp;"")+COUNTIF(AO$4:AO8,AO8))</f>
        <v/>
      </c>
      <c r="AQ8" s="55">
        <f>IF(ROW()-3&gt;COUNTIF(AO$4:AO$40,"&lt;&gt;"&amp;""),"",INDEX(AO$4:AO$40,MATCH(ROW()-3,AP$4:AP$40,0)))</f>
        <v/>
      </c>
      <c r="AR8">
        <f>AR7+IF(AND(AQ8&lt;&gt;"",COUNTIF(AQ$4:AQ8,AQ8)=1),1,0)</f>
        <v/>
      </c>
      <c r="AS8" s="55">
        <f>IF(ROW()-3&gt;MAX(AR$4:AR$40),"",INDEX(AQ$4:AQ$40,MATCH(ROW()-3,AR$4:AR$40,0)))</f>
        <v/>
      </c>
      <c r="AT8" s="55">
        <f>IF('Final Calculation Sheet'!$H$8="","",'Final Calculation Sheet'!$H$8)</f>
        <v/>
      </c>
      <c r="AU8">
        <f>IF(AT8="","",COUNTIFS(AT$4:AT$40,"&lt;"&amp;AT8,AT$4:AT$40,"&lt;&gt;"&amp;"")+COUNTIF(AT$4:AT8,AT8))</f>
        <v/>
      </c>
      <c r="AV8" s="55">
        <f>IF(ROW()-3&gt;COUNTIF(AT$4:AT$40,"&lt;&gt;"&amp;""),"",INDEX(AT$4:AT$40,MATCH(ROW()-3,AU$4:AU$40,0)))</f>
        <v/>
      </c>
      <c r="AW8">
        <f>AW7+IF(AND(AV8&lt;&gt;"",COUNTIF(AV$4:AV8,AV8)=1),1,0)</f>
        <v/>
      </c>
      <c r="AX8" s="55">
        <f>IF(ROW()-3&gt;MAX(AW$4:AW$40),"",INDEX(AV$4:AV$40,MATCH(ROW()-3,AW$4:AW$40,0)))</f>
        <v/>
      </c>
      <c r="AY8" s="55">
        <f>IF('Final Calculation Sheet'!$I$8="","",'Final Calculation Sheet'!$I$8)</f>
        <v/>
      </c>
      <c r="AZ8">
        <f>IF(AY8="","",COUNTIFS(AY$4:AY$40,"&lt;"&amp;AY8,AY$4:AY$40,"&lt;&gt;"&amp;"")+COUNTIF(AY$4:AY8,AY8))</f>
        <v/>
      </c>
      <c r="BA8" s="55">
        <f>IF(ROW()-3&gt;COUNTIF(AY$4:AY$40,"&lt;&gt;"&amp;""),"",INDEX(AY$4:AY$40,MATCH(ROW()-3,AZ$4:AZ$40,0)))</f>
        <v/>
      </c>
      <c r="BB8">
        <f>BB7+IF(AND(BA8&lt;&gt;"",COUNTIF(BA$4:BA8,BA8)=1),1,0)</f>
        <v/>
      </c>
      <c r="BC8" s="55">
        <f>IF(ROW()-3&gt;MAX(BB$4:BB$40),"",INDEX(BA$4:BA$40,MATCH(ROW()-3,BB$4:BB$40,0)))</f>
        <v/>
      </c>
      <c r="BD8" s="55">
        <f>IF('Final Calculation Sheet'!$J$8="","",'Final Calculation Sheet'!$J$8)</f>
        <v/>
      </c>
      <c r="BE8">
        <f>IF(BD8="","",COUNTIFS(BD$4:BD$40,"&lt;"&amp;BD8,BD$4:BD$40,"&lt;&gt;"&amp;"")+COUNTIF(BD$4:BD8,BD8))</f>
        <v/>
      </c>
      <c r="BF8" s="55">
        <f>IF(ROW()-3&gt;COUNTIF(BD$4:BD$40,"&lt;&gt;"&amp;""),"",INDEX(BD$4:BD$40,MATCH(ROW()-3,BE$4:BE$40,0)))</f>
        <v/>
      </c>
      <c r="BG8">
        <f>BG7+IF(AND(BF8&lt;&gt;"",COUNTIF(BF$4:BF8,BF8)=1),1,0)</f>
        <v/>
      </c>
      <c r="BH8" s="55">
        <f>IF(ROW()-3&gt;MAX(BG$4:BG$40),"",INDEX(BF$4:BF$40,MATCH(ROW()-3,BG$4:BG$40,0)))</f>
        <v/>
      </c>
      <c r="BI8" s="55">
        <f>IF('Final Calculation Sheet'!$K$8="","",'Final Calculation Sheet'!$K$8)</f>
        <v/>
      </c>
      <c r="BJ8">
        <f>IF(BI8="","",COUNTIFS(BI$4:BI$40,"&lt;"&amp;BI8,BI$4:BI$40,"&lt;&gt;"&amp;"")+COUNTIF(BI$4:BI8,BI8))</f>
        <v/>
      </c>
      <c r="BK8" s="55">
        <f>IF(ROW()-3&gt;COUNTIF(BI$4:BI$40,"&lt;&gt;"&amp;""),"",INDEX(BI$4:BI$40,MATCH(ROW()-3,BJ$4:BJ$40,0)))</f>
        <v/>
      </c>
      <c r="BL8">
        <f>BL7+IF(AND(BK8&lt;&gt;"",COUNTIF(BK$4:BK8,BK8)=1),1,0)</f>
        <v/>
      </c>
      <c r="BM8" s="55">
        <f>IF(ROW()-3&gt;MAX(BL$4:BL$40),"",INDEX(BK$4:BK$40,MATCH(ROW()-3,BL$4:BL$40,0)))</f>
        <v/>
      </c>
      <c r="BN8" s="55">
        <f>IF('Final Calculation Sheet'!$L$8="","",'Final Calculation Sheet'!$L$8)</f>
        <v/>
      </c>
      <c r="BO8">
        <f>IF(BN8="","",COUNTIFS(BN$4:BN$40,"&lt;"&amp;BN8,BN$4:BN$40,"&lt;&gt;"&amp;"")+COUNTIF(BN$4:BN8,BN8))</f>
        <v/>
      </c>
      <c r="BP8" s="55">
        <f>IF(ROW()-3&gt;COUNTIF(BN$4:BN$40,"&lt;&gt;"&amp;""),"",INDEX(BN$4:BN$40,MATCH(ROW()-3,BO$4:BO$40,0)))</f>
        <v/>
      </c>
      <c r="BQ8">
        <f>BQ7+IF(AND(BP8&lt;&gt;"",COUNTIF(BP$4:BP8,BP8)=1),1,0)</f>
        <v/>
      </c>
      <c r="BR8" s="55">
        <f>IF(ROW()-3&gt;MAX(BQ$4:BQ$40),"",INDEX(BP$4:BP$40,MATCH(ROW()-3,BQ$4:BQ$40,0)))</f>
        <v/>
      </c>
      <c r="BS8" s="55">
        <f>IF('Final Calculation Sheet'!$M$8="","",'Final Calculation Sheet'!$M$8)</f>
        <v/>
      </c>
      <c r="BT8">
        <f>IF(BS8="","",COUNTIFS(BS$4:BS$40,"&lt;"&amp;BS8,BS$4:BS$40,"&lt;&gt;"&amp;"")+COUNTIF(BS$4:BS8,BS8))</f>
        <v/>
      </c>
      <c r="BU8" s="55">
        <f>IF(ROW()-3&gt;COUNTIF(BS$4:BS$40,"&lt;&gt;"&amp;""),"",INDEX(BS$4:BS$40,MATCH(ROW()-3,BT$4:BT$40,0)))</f>
        <v/>
      </c>
      <c r="BV8">
        <f>BV7+IF(AND(BU8&lt;&gt;"",COUNTIF(BU$4:BU8,BU8)=1),1,0)</f>
        <v/>
      </c>
      <c r="BW8" s="55">
        <f>IF(ROW()-3&gt;MAX(BV$4:BV$40),"",INDEX(BU$4:BU$40,MATCH(ROW()-3,BV$4:BV$40,0)))</f>
        <v/>
      </c>
      <c r="BX8" s="138">
        <f>IF('Final Calculation Sheet'!$N$8="","",'Final Calculation Sheet'!$N$8)</f>
        <v/>
      </c>
      <c r="BY8">
        <f>IF(BX8="","",COUNTIFS(BX$4:BX$40,"&lt;"&amp;BX8,BX$4:BX$40,"&lt;&gt;"&amp;"")+COUNTIF(BX$4:BX8,BX8))</f>
        <v/>
      </c>
      <c r="BZ8" s="138">
        <f>IF(ROW()-3&gt;COUNTIF(BX$4:BX$40,"&lt;&gt;"&amp;""),"",INDEX(BX$4:BX$40,MATCH(ROW()-3,BY$4:BY$40,0)))</f>
        <v/>
      </c>
      <c r="CA8">
        <f>CA7+IF(AND(BZ8&lt;&gt;"",COUNTIF(BZ$4:BZ8,BZ8)=1),1,0)</f>
        <v/>
      </c>
      <c r="CB8" s="138">
        <f>IF(ROW()-3&gt;MAX(CA$4:CA$40),"",INDEX(BZ$4:BZ$40,MATCH(ROW()-3,CA$4:CA$40,0)))</f>
        <v/>
      </c>
      <c r="CC8" s="55">
        <f>IF('Final Calculation Sheet'!$O$8="","",'Final Calculation Sheet'!$O$8)</f>
        <v/>
      </c>
      <c r="CD8">
        <f>IF(CC8="","",COUNTIFS(CC$4:CC$40,"&lt;"&amp;CC8,CC$4:CC$40,"&lt;&gt;"&amp;"")+COUNTIF(CC$4:CC8,CC8))</f>
        <v/>
      </c>
      <c r="CE8" s="55">
        <f>IF(ROW()-3&gt;COUNTIF(CC$4:CC$40,"&lt;&gt;"&amp;""),"",INDEX(CC$4:CC$40,MATCH(ROW()-3,CD$4:CD$40,0)))</f>
        <v/>
      </c>
      <c r="CF8">
        <f>CF7+IF(AND(CE8&lt;&gt;"",COUNTIF(CE$4:CE8,CE8)=1),1,0)</f>
        <v/>
      </c>
      <c r="CG8" s="55">
        <f>IF(ROW()-3&gt;MAX(CF$4:CF$40),"",INDEX(CE$4:CE$40,MATCH(ROW()-3,CF$4:CF$40,0)))</f>
        <v/>
      </c>
      <c r="CH8" s="55">
        <f>IF('Final Calculation Sheet'!$P$8="","",'Final Calculation Sheet'!$P$8)</f>
        <v/>
      </c>
      <c r="CI8">
        <f>IF(CH8="","",COUNTIFS(CH$4:CH$40,"&lt;"&amp;CH8,CH$4:CH$40,"&lt;&gt;"&amp;"")+COUNTIF(CH$4:CH8,CH8))</f>
        <v/>
      </c>
      <c r="CJ8" s="55">
        <f>IF(ROW()-3&gt;COUNTIF(CH$4:CH$40,"&lt;&gt;"&amp;""),"",INDEX(CH$4:CH$40,MATCH(ROW()-3,CI$4:CI$40,0)))</f>
        <v/>
      </c>
      <c r="CK8">
        <f>CK7+IF(AND(CJ8&lt;&gt;"",COUNTIF(CJ$4:CJ8,CJ8)=1),1,0)</f>
        <v/>
      </c>
      <c r="CL8" s="55">
        <f>IF(ROW()-3&gt;MAX(CK$4:CK$40),"",INDEX(CJ$4:CJ$40,MATCH(ROW()-3,CK$4:CK$40,0)))</f>
        <v/>
      </c>
      <c r="CM8" s="139">
        <f>IF('Final Calculation Sheet'!$Q$8="","",'Final Calculation Sheet'!$Q$8)</f>
        <v/>
      </c>
      <c r="CN8">
        <f>IF(CM8="","",COUNTIFS(CM$4:CM$40,"&lt;"&amp;CM8,CM$4:CM$40,"&lt;&gt;"&amp;"")+COUNTIF(CM$4:CM8,CM8))</f>
        <v/>
      </c>
      <c r="CO8" s="139">
        <f>IF(ROW()-3&gt;COUNTIF(CM$4:CM$40,"&lt;&gt;"&amp;""),"",INDEX(CM$4:CM$40,MATCH(ROW()-3,CN$4:CN$40,0)))</f>
        <v/>
      </c>
      <c r="CP8">
        <f>CP7+IF(AND(CO8&lt;&gt;"",COUNTIF(CO$4:CO8,CO8)=1),1,0)</f>
        <v/>
      </c>
      <c r="CQ8">
        <f>IF(ROW()-3&gt;MAX(CP$4:CP$40),"",INDEX(CO$4:CO$40,MATCH(ROW()-3,CP$4:CP$40,0)))</f>
        <v/>
      </c>
      <c r="CR8" s="55">
        <f>IF('Final Calculation Sheet'!$R$8="","",'Final Calculation Sheet'!$R$8)</f>
        <v/>
      </c>
      <c r="CS8">
        <f>IF(CR8="","",COUNTIFS(CR$4:CR$40,"&lt;"&amp;CR8,CR$4:CR$40,"&lt;&gt;"&amp;"")+COUNTIF(CR$4:CR8,CR8))</f>
        <v/>
      </c>
      <c r="CT8" s="55">
        <f>IF(ROW()-3&gt;COUNTIF(CR$4:CR$40,"&lt;&gt;"&amp;""),"",INDEX(CR$4:CR$40,MATCH(ROW()-3,CS$4:CS$40,0)))</f>
        <v/>
      </c>
      <c r="CU8">
        <f>CU7+IF(AND(CT8&lt;&gt;"",COUNTIF(CT$4:CT8,CT8)=1),1,0)</f>
        <v/>
      </c>
      <c r="CV8" s="55">
        <f>IF(ROW()-3&gt;MAX(CU$4:CU$40),"",INDEX(CT$4:CT$40,MATCH(ROW()-3,CU$4:CU$40,0)))</f>
        <v/>
      </c>
      <c r="CW8" s="55">
        <f>IF('Final Calculation Sheet'!$S$8="","",'Final Calculation Sheet'!$S$8)</f>
        <v/>
      </c>
      <c r="CX8">
        <f>IF(CW8="","",COUNTIFS(CW$4:CW$40,"&lt;"&amp;CW8,CW$4:CW$40,"&lt;&gt;"&amp;"")+COUNTIF(CW$4:CW8,CW8))</f>
        <v/>
      </c>
      <c r="CY8" s="55">
        <f>IF(ROW()-3&gt;COUNTIF(CW$4:CW$40,"&lt;&gt;"&amp;""),"",INDEX(CW$4:CW$40,MATCH(ROW()-3,CX$4:CX$40,0)))</f>
        <v/>
      </c>
      <c r="CZ8">
        <f>CZ7+IF(AND(CY8&lt;&gt;"",COUNTIF(CY$4:CY8,CY8)=1),1,0)</f>
        <v/>
      </c>
      <c r="DA8" s="55">
        <f>IF(ROW()-3&gt;MAX(CZ$4:CZ$40),"",INDEX(CY$4:CY$40,MATCH(ROW()-3,CZ$4:CZ$40,0)))</f>
        <v/>
      </c>
      <c r="DB8" s="55">
        <f>IF('Final Calculation Sheet'!$T$8="","",'Final Calculation Sheet'!$T$8)</f>
        <v/>
      </c>
      <c r="DC8">
        <f>IF(DB8="","",COUNTIFS(DB$4:DB$40,"&lt;"&amp;DB8,DB$4:DB$40,"&lt;&gt;"&amp;"")+COUNTIF(DB$4:DB8,DB8))</f>
        <v/>
      </c>
      <c r="DD8" s="55">
        <f>IF(ROW()-3&gt;COUNTIF(DB$4:DB$40,"&lt;&gt;"&amp;""),"",INDEX(DB$4:DB$40,MATCH(ROW()-3,DC$4:DC$40,0)))</f>
        <v/>
      </c>
      <c r="DE8">
        <f>DE7+IF(AND(DD8&lt;&gt;"",COUNTIF(DD$4:DD8,DD8)=1),1,0)</f>
        <v/>
      </c>
      <c r="DF8" s="55">
        <f>IF(ROW()-3&gt;MAX(DE$4:DE$40),"",INDEX(DD$4:DD$40,MATCH(ROW()-3,DE$4:DE$40,0)))</f>
        <v/>
      </c>
      <c r="DG8" s="140">
        <f>IF('Final Calculation Sheet'!$U$8="","",'Final Calculation Sheet'!$U$8)</f>
        <v/>
      </c>
      <c r="DH8">
        <f>IF(DG8="","",COUNTIFS(DG$4:DG$40,"&lt;"&amp;DG8,DG$4:DG$40,"&lt;&gt;"&amp;"")+COUNTIF(DG$4:DG8,DG8))</f>
        <v/>
      </c>
      <c r="DI8" s="140">
        <f>IF(ROW()-3&gt;COUNTIF(DG$4:DG$40,"&lt;&gt;"&amp;""),"",INDEX(DG$4:DG$40,MATCH(ROW()-3,DH$4:DH$40,0)))</f>
        <v/>
      </c>
      <c r="DJ8">
        <f>DJ7+IF(AND(DI8&lt;&gt;"",COUNTIF(DI$4:DI8,DI8)=1),1,0)</f>
        <v/>
      </c>
      <c r="DK8" s="140">
        <f>IF(ROW()-3&gt;MAX(DJ$4:DJ$40),"",INDEX(DI$4:DI$40,MATCH(ROW()-3,DJ$4:DJ$40,0)))</f>
        <v/>
      </c>
      <c r="DL8">
        <f>IF('Final Calculation Sheet'!$V$8="","",'Final Calculation Sheet'!$V$8)</f>
        <v/>
      </c>
      <c r="DM8">
        <f>IF(DL8="","",COUNTIFS(DL$4:DL$40,"&lt;"&amp;DL8,DL$4:DL$40,"&lt;&gt;"&amp;"")+COUNTIF(DL$4:DL8,DL8))</f>
        <v/>
      </c>
      <c r="DN8">
        <f>IF(ROW()-3&gt;COUNTIF(DL$4:DL$40,"&lt;&gt;"&amp;""),"",INDEX(DL$4:DL$40,MATCH(ROW()-3,DM$4:DM$40,0)))</f>
        <v/>
      </c>
      <c r="DO8">
        <f>DO7+IF(AND(DN8&lt;&gt;"",COUNTIF(DN$4:DN8,DN8)=1),1,0)</f>
        <v/>
      </c>
      <c r="DP8">
        <f>IF(ROW()-3&gt;MAX(DO$4:DO$40),"",INDEX(DN$4:DN$40,MATCH(ROW()-3,DO$4:DO$40,0)))</f>
        <v/>
      </c>
      <c r="DQ8" s="55">
        <f>IF('Final Calculation Sheet'!$W$8="","",'Final Calculation Sheet'!$W$8)</f>
        <v/>
      </c>
      <c r="DR8">
        <f>IF(DQ8="","",COUNTIFS(DQ$4:DQ$40,"&lt;"&amp;DQ8,DQ$4:DQ$40,"&lt;&gt;"&amp;"")+COUNTIF(DQ$4:DQ8,DQ8))</f>
        <v/>
      </c>
      <c r="DS8" s="55">
        <f>IF(ROW()-3&gt;COUNTIF(DQ$4:DQ$40,"&lt;&gt;"&amp;""),"",INDEX(DQ$4:DQ$40,MATCH(ROW()-3,DR$4:DR$40,0)))</f>
        <v/>
      </c>
      <c r="DT8">
        <f>DT7+IF(AND(DS8&lt;&gt;"",COUNTIF(DS$4:DS8,DS8)=1),1,0)</f>
        <v/>
      </c>
      <c r="DU8" s="55">
        <f>IF(ROW()-3&gt;MAX(DT$4:DT$40),"",INDEX(DS$4:DS$40,MATCH(ROW()-3,DT$4:DT$40,0)))</f>
        <v/>
      </c>
      <c r="DV8" s="55">
        <f>IF('Final Calculation Sheet'!$X$8="","",'Final Calculation Sheet'!$X$8)</f>
        <v/>
      </c>
      <c r="DW8">
        <f>IF(DV8="","",COUNTIFS(DV$4:DV$40,"&lt;"&amp;DV8,DV$4:DV$40,"&lt;&gt;"&amp;"")+COUNTIF(DV$4:DV8,DV8))</f>
        <v/>
      </c>
      <c r="DX8" s="55">
        <f>IF(ROW()-3&gt;COUNTIF(DV$4:DV$40,"&lt;&gt;"&amp;""),"",INDEX(DV$4:DV$40,MATCH(ROW()-3,DW$4:DW$40,0)))</f>
        <v/>
      </c>
      <c r="DY8">
        <f>DY7+IF(AND(DX8&lt;&gt;"",COUNTIF(DX$4:DX8,DX8)=1),1,0)</f>
        <v/>
      </c>
      <c r="DZ8">
        <f>IF(ROW()-3&gt;MAX(DY$4:DY$40),"",INDEX(DX$4:DX$40,MATCH(ROW()-3,DY$4:DY$40,0)))</f>
        <v/>
      </c>
      <c r="EA8">
        <f>IF('Final Calculation Sheet'!$Y$8="","",'Final Calculation Sheet'!$Y$8)</f>
        <v/>
      </c>
      <c r="EB8">
        <f>IF(EA8="","",COUNTIFS(EA$4:EA$40,"&lt;"&amp;EA8,EA$4:EA$40,"&lt;&gt;"&amp;"")+COUNTIF(EA$4:EA8,EA8))</f>
        <v/>
      </c>
      <c r="EC8">
        <f>IF(ROW()-3&gt;COUNTIF(EA$4:EA$40,"&lt;&gt;"&amp;""),"",INDEX(EA$4:EA$40,MATCH(ROW()-3,EB$4:EB$40,0)))</f>
        <v/>
      </c>
      <c r="ED8">
        <f>ED7+IF(AND(EC8&lt;&gt;"",COUNTIF(EC$4:EC8,EC8)=1),1,0)</f>
        <v/>
      </c>
      <c r="EE8">
        <f>IF(ROW()-3&gt;MAX(ED$4:ED$40),"",INDEX(EC$4:EC$40,MATCH(ROW()-3,ED$4:ED$40,0)))</f>
        <v/>
      </c>
      <c r="EF8" s="55">
        <f>IF('Final Calculation Sheet'!$Z$8="","",'Final Calculation Sheet'!$Z$8)</f>
        <v/>
      </c>
      <c r="EG8">
        <f>IF(EF8="","",COUNTIFS(EF$4:EF$40,"&lt;"&amp;EF8,EF$4:EF$40,"&lt;&gt;"&amp;"")+COUNTIF(EF$4:EF8,EF8))</f>
        <v/>
      </c>
      <c r="EH8" s="55">
        <f>IF(ROW()-3&gt;COUNTIF(EF$4:EF$40,"&lt;&gt;"&amp;""),"",INDEX(EF$4:EF$40,MATCH(ROW()-3,EG$4:EG$40,0)))</f>
        <v/>
      </c>
      <c r="EI8">
        <f>EI7+IF(AND(EH8&lt;&gt;"",COUNTIF(EH$4:EH8,EH8)=1),1,0)</f>
        <v/>
      </c>
      <c r="EJ8" s="55">
        <f>IF(ROW()-3&gt;MAX(EI$4:EI$40),"",INDEX(EH$4:EH$40,MATCH(ROW()-3,EI$4:EI$40,0)))</f>
        <v/>
      </c>
      <c r="EK8">
        <f>IF('Final Calculation Sheet'!$AA$8="","",'Final Calculation Sheet'!$AA$8)</f>
        <v/>
      </c>
      <c r="EL8">
        <f>IF(EK8="","",COUNTIFS(EK$4:EK$40,"&lt;"&amp;EK8,EK$4:EK$40,"&lt;&gt;"&amp;"")+COUNTIF(EK$4:EK8,EK8))</f>
        <v/>
      </c>
      <c r="EM8">
        <f>IF(ROW()-3&gt;COUNTIF(EK$4:EK$40,"&lt;&gt;"&amp;""),"",INDEX(EK$4:EK$40,MATCH(ROW()-3,EL$4:EL$40,0)))</f>
        <v/>
      </c>
      <c r="EN8">
        <f>EN7+IF(AND(EM8&lt;&gt;"",COUNTIF(EM$4:EM8,EM8)=1),1,0)</f>
        <v/>
      </c>
      <c r="EO8">
        <f>IF(ROW()-3&gt;MAX(EN$4:EN$40),"",INDEX(EM$4:EM$40,MATCH(ROW()-3,EN$4:EN$40,0)))</f>
        <v/>
      </c>
      <c r="EP8">
        <f>IF('Final Calculation Sheet'!$AB$8="","",'Final Calculation Sheet'!$AB$8)</f>
        <v/>
      </c>
      <c r="EQ8">
        <f>IF(EP8="","",COUNTIFS(EP$4:EP$40,"&lt;"&amp;EP8,EP$4:EP$40,"&lt;&gt;"&amp;"")+COUNTIF(EP$4:EP8,EP8))</f>
        <v/>
      </c>
      <c r="ER8">
        <f>IF(ROW()-3&gt;COUNTIF(EP$4:EP$40,"&lt;&gt;"&amp;""),"",INDEX(EP$4:EP$40,MATCH(ROW()-3,EQ$4:EQ$40,0)))</f>
        <v/>
      </c>
      <c r="ES8">
        <f>ES7+IF(AND(ER8&lt;&gt;"",COUNTIF(ER$4:ER8,ER8)=1),1,0)</f>
        <v/>
      </c>
      <c r="ET8">
        <f>IF(ROW()-3&gt;MAX(ES$4:ES$40),"",INDEX(ER$4:ER$40,MATCH(ROW()-3,ES$4:ES$40,0)))</f>
        <v/>
      </c>
      <c r="EU8" s="55">
        <f>IF('Final Calculation Sheet'!$AC$8="","",'Final Calculation Sheet'!$AC$8)</f>
        <v/>
      </c>
      <c r="EV8">
        <f>IF(EU8="","",COUNTIFS(EU$4:EU$40,"&lt;"&amp;EU8,EU$4:EU$40,"&lt;&gt;"&amp;"")+COUNTIF(EU$4:EU8,EU8))</f>
        <v/>
      </c>
      <c r="EW8" s="55">
        <f>IF(ROW()-3&gt;COUNTIF(EU$4:EU$40,"&lt;&gt;"&amp;""),"",INDEX(EU$4:EU$40,MATCH(ROW()-3,EV$4:EV$40,0)))</f>
        <v/>
      </c>
      <c r="EX8">
        <f>EX7+IF(AND(EW8&lt;&gt;"",COUNTIF(EW$4:EW8,EW8)=1),1,0)</f>
        <v/>
      </c>
      <c r="EY8" s="55">
        <f>IF(ROW()-3&gt;MAX(EX$4:EX$40),"",INDEX(EW$4:EW$40,MATCH(ROW()-3,EX$4:EX$40,0)))</f>
        <v/>
      </c>
      <c r="EZ8" s="55">
        <f>IF('Final Calculation Sheet'!$AD$8="","",'Final Calculation Sheet'!$AD$8)</f>
        <v/>
      </c>
      <c r="FA8">
        <f>IF(EZ8="","",COUNTIFS(EZ$4:EZ$40,"&lt;"&amp;EZ8,EZ$4:EZ$40,"&lt;&gt;"&amp;"")+COUNTIF(EZ$4:EZ8,EZ8))</f>
        <v/>
      </c>
      <c r="FB8" s="55">
        <f>IF(ROW()-3&gt;COUNTIF(EZ$4:EZ$40,"&lt;&gt;"&amp;""),"",INDEX(EZ$4:EZ$40,MATCH(ROW()-3,FA$4:FA$40,0)))</f>
        <v/>
      </c>
      <c r="FC8">
        <f>FC7+IF(AND(FB8&lt;&gt;"",COUNTIF(FB$4:FB8,FB8)=1),1,0)</f>
        <v/>
      </c>
      <c r="FD8" s="55">
        <f>IF(ROW()-3&gt;MAX(FC$4:FC$40),"",INDEX(FB$4:FB$40,MATCH(ROW()-3,FC$4:FC$40,0)))</f>
        <v/>
      </c>
      <c r="FE8">
        <f>IF('Final Calculation Sheet'!$AF$8="","",'Final Calculation Sheet'!$AF$8)</f>
        <v/>
      </c>
      <c r="FF8">
        <f>IF(FE8="","",COUNTIFS(FE$4:FE$40,"&lt;"&amp;FE8,FE$4:FE$40,"&lt;&gt;"&amp;"")+COUNTIF(FE$4:FE8,FE8))</f>
        <v/>
      </c>
      <c r="FG8">
        <f>IF(ROW()-3&gt;COUNTIF(FE$4:FE$40,"&lt;&gt;"&amp;""),"",INDEX(FE$4:FE$40,MATCH(ROW()-3,FF$4:FF$40,0)))</f>
        <v/>
      </c>
      <c r="FH8">
        <f>FH7+IF(AND(FG8&lt;&gt;"",COUNTIF(FG$4:FG8,FG8)=1),1,0)</f>
        <v/>
      </c>
      <c r="FI8">
        <f>IF(ROW()-3&gt;MAX(FH$4:FH$40),"",INDEX(FG$4:FG$40,MATCH(ROW()-3,FH$4:FH$40,0)))</f>
        <v/>
      </c>
      <c r="FJ8" s="141">
        <f>IF('Final Calculation Sheet'!$AG$8="","",'Final Calculation Sheet'!$AG$8)</f>
        <v/>
      </c>
      <c r="FK8">
        <f>IF(FJ8="","",COUNTIFS(FJ$4:FJ$40,"&lt;"&amp;FJ8,FJ$4:FJ$40,"&lt;&gt;"&amp;"")+COUNTIF(FJ$4:FJ8,FJ8))</f>
        <v/>
      </c>
      <c r="FL8" s="141">
        <f>IF(ROW()-3&gt;COUNTIF(FJ$4:FJ$40,"&lt;&gt;"&amp;""),"",INDEX(FJ$4:FJ$40,MATCH(ROW()-3,FK$4:FK$40,0)))</f>
        <v/>
      </c>
      <c r="FM8">
        <f>FM7+IF(AND(FL8&lt;&gt;"",COUNTIF(FL$4:FL8,FL8)=1),1,0)</f>
        <v/>
      </c>
      <c r="FN8">
        <f>IF(ROW()-3&gt;MAX(FM$4:FM$40),"",INDEX(FL$4:FL$40,MATCH(ROW()-3,FM$4:FM$40,0)))</f>
        <v/>
      </c>
      <c r="FO8">
        <f>IF('Final Calculation Sheet'!$AH$8="","",'Final Calculation Sheet'!$AH$8)</f>
        <v/>
      </c>
      <c r="FP8">
        <f>IF(FO8="","",COUNTIFS(FO$4:FO$40,"&lt;"&amp;FO8,FO$4:FO$40,"&lt;&gt;"&amp;"")+COUNTIF(FO$4:FO8,FO8))</f>
        <v/>
      </c>
      <c r="FQ8">
        <f>IF(ROW()-3&gt;COUNTIF(FO$4:FO$40,"&lt;&gt;"&amp;""),"",INDEX(FO$4:FO$40,MATCH(ROW()-3,FP$4:FP$40,0)))</f>
        <v/>
      </c>
      <c r="FR8">
        <f>FR7+IF(AND(FQ8&lt;&gt;"",COUNTIF(FQ$4:FQ8,FQ8)=1),1,0)</f>
        <v/>
      </c>
      <c r="FS8">
        <f>IF(ROW()-3&gt;MAX(FR$4:FR$40),"",INDEX(FQ$4:FQ$40,MATCH(ROW()-3,FR$4:FR$40,0)))</f>
        <v/>
      </c>
      <c r="FU8">
        <f>IF(FT8="","",COUNTIFS(FT$4:FT$40,"&lt;"&amp;FT8,FT$4:FT$40,"&lt;&gt;"&amp;"")+COUNTIF(FT$4:FT8,FT8))</f>
        <v/>
      </c>
      <c r="FV8">
        <f>IF(ROW()-3&gt;COUNTIF(FT$4:FT$40,"&lt;&gt;"&amp;""),"",INDEX(FT$4:FT$40,MATCH(ROW()-3,FU$4:FU$40,0)))</f>
        <v/>
      </c>
      <c r="FW8">
        <f>FW7+IF(AND(FV8&lt;&gt;"",COUNTIF(FV$4:FV8,FV8)=1),1,0)</f>
        <v/>
      </c>
      <c r="FX8">
        <f>IF(ROW()-3&gt;MAX(FW$4:FW$40),"",INDEX(FV$4:FV$40,MATCH(ROW()-3,FW$4:FW$40,0)))</f>
        <v/>
      </c>
      <c r="FY8">
        <f>IF(COUNTIF('Live Search'!BM$7:BO$7,0)+COUNTIF('Live Search'!BQ$7:CU$7,0)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8">
        <f>IF($Y$8="",FALSE,SUMPRODUCT(('Final Calculation Sheet'!$B$4:$B$40=$Y$8)*($FY$6:$FY$42=1))&gt;0)</f>
        <v/>
      </c>
      <c r="GA8">
        <f>$GA$7+--($FZ$8)</f>
        <v/>
      </c>
      <c r="GB8">
        <f>IF(ROW()-3&gt;MAX($GA$4:$GA$40),"",INDEX($Y$4:$Y$40,MATCH(ROW()-3,$GA$4:$GA$40,0)))</f>
        <v/>
      </c>
      <c r="GC8">
        <f>IF(COUNTIF('Live Search'!BM$7:BM$7,0)+COUNTIF('Live Search'!BO$7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GD8">
        <f>IF($O$8="",FALSE,SUMPRODUCT(('Final Calculation Sheet'!$F$4:$F$40=$O$8)*($GC$6:$GC$42=1))&gt;0)</f>
        <v/>
      </c>
      <c r="GE8">
        <f>$GE$7+--($GD8)</f>
        <v/>
      </c>
      <c r="GF8">
        <f>IF(ROW()-3&gt;MAX($GE$4:$GE$40),"",INDEX($O$4:$O$40,MATCH(ROW()-3,$GE$4:$GE$40,0)))</f>
        <v/>
      </c>
      <c r="GG8">
        <f>IF(COUNTIF('Live Search'!BM$7:BN$7,0)+COUNTIF('Live Search'!BP$7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GH8">
        <f>IF($T$8="",FALSE,SUMPRODUCT(('Final Calculation Sheet'!$G$4:$G$40=$T$8)*($GG$6:$GG$42=1))&gt;0)</f>
        <v/>
      </c>
      <c r="GI8">
        <f>$GI$7+--($GH8)</f>
        <v/>
      </c>
      <c r="GJ8">
        <f>IF(ROW()-3&gt;MAX($GI$4:$GI$40),"",INDEX($T$4:$T$40,MATCH(ROW()-3,$GI$4:$GI$40,0)))</f>
        <v/>
      </c>
      <c r="GK8">
        <f>IF(COUNTIF('Live Search'!BM$7:BP$7,0)+COUNTIF('Live Search'!BR$7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GL8">
        <f>IF($AD$8="",FALSE,SUMPRODUCT(('Final Calculation Sheet'!$D$4:$D$40=$AD$8)*($GK$6:$GK$42=1))&gt;0)</f>
        <v/>
      </c>
      <c r="GM8">
        <f>$GM$7+--($GL8)</f>
        <v/>
      </c>
      <c r="GN8">
        <f>IF(ROW()-3&gt;MAX($GM$4:$GM$40),"",INDEX($AD$4:$AD$40,MATCH(ROW()-3,$GM$4:$GM$40,0)))</f>
        <v/>
      </c>
      <c r="GO8">
        <f>IF(COUNTIF('Live Search'!BM$7:BQ$7,0)+COUNTIF('Live Search'!BS$7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GP8">
        <f>IF($AI$8="",FALSE,SUMPRODUCT(('Final Calculation Sheet'!$A$4:$A$40=$AI$8)*($GO$6:$GO$42=1))&gt;0)</f>
        <v/>
      </c>
      <c r="GQ8">
        <f>$GQ$7+--($GP8)</f>
        <v/>
      </c>
      <c r="GR8">
        <f>IF(ROW()-3&gt;MAX($GQ$4:$GQ$40),"",INDEX($AI$4:$AI$40,MATCH(ROW()-3,$GQ$4:$GQ$40,0)))</f>
        <v/>
      </c>
      <c r="GS8">
        <f>IF(COUNTIF('Live Search'!BM$7:BR$7,0)+COUNTIF('Live Search'!BT$7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GT8">
        <f>IF($AN$8="",FALSE,SUMPRODUCT(('Final Calculation Sheet'!$E$4:$E$40=$AN$8)*($GS$6:$GS$42=1))&gt;0)</f>
        <v/>
      </c>
      <c r="GU8">
        <f>$GU$7+--($GT8)</f>
        <v/>
      </c>
      <c r="GV8">
        <f>IF(ROW()-3&gt;MAX($GU$4:$GU$40),"",INDEX($AN$4:$AN$40,MATCH(ROW()-3,$GU$4:$GU$40,0)))</f>
        <v/>
      </c>
      <c r="GW8">
        <f>IF(COUNTIF('Live Search'!BM$7:BS$7,0)+COUNTIF('Live Search'!BU$7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GX8">
        <f>IF($AS$8="",FALSE,SUMPRODUCT(('Final Calculation Sheet'!$C$4:$C$40=$AS$8)*($GW$6:$GW$42=1))&gt;0)</f>
        <v/>
      </c>
      <c r="GY8">
        <f>$GY$7+--($GX8)</f>
        <v/>
      </c>
      <c r="GZ8">
        <f>IF(ROW()-3&gt;MAX($GY$4:$GY$40),"",INDEX($AS$4:$AS$40,MATCH(ROW()-3,$GY$4:$GY$40,0)))</f>
        <v/>
      </c>
      <c r="HA8">
        <f>IF(COUNTIF('Live Search'!BM$7:BT$7,0)+COUNTIF('Live Search'!BV$7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HB8">
        <f>IF($AX$8="",FALSE,SUMPRODUCT(('Final Calculation Sheet'!$H$4:$H$40=$AX$8)*($HA$6:$HA$42=1))&gt;0)</f>
        <v/>
      </c>
      <c r="HC8">
        <f>$HC$7+--($HB8)</f>
        <v/>
      </c>
      <c r="HD8">
        <f>IF(ROW()-3&gt;MAX($HC$4:$HC$40),"",INDEX($AX$4:$AX$40,MATCH(ROW()-3,$HC$4:$HC$40,0)))</f>
        <v/>
      </c>
      <c r="HE8">
        <f>IF(COUNTIF('Live Search'!BM$7:BU$7,0)+COUNTIF('Live Search'!BW$7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HF8">
        <f>IF($BC$8="",FALSE,SUMPRODUCT(('Final Calculation Sheet'!$I$4:$I$40=$BC$8)*($HE$6:$HE$42=1))&gt;0)</f>
        <v/>
      </c>
      <c r="HG8">
        <f>$HG$7+--($HF8)</f>
        <v/>
      </c>
      <c r="HH8">
        <f>IF(ROW()-3&gt;MAX($HG$4:$HG$40),"",INDEX($BC$4:$BC$40,MATCH(ROW()-3,$HG$4:$HG$40,0)))</f>
        <v/>
      </c>
      <c r="HI8">
        <f>IF(COUNTIF('Live Search'!BM$7:BV$7,0)+COUNTIF('Live Search'!BX$7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HJ8">
        <f>IF($BH$8="",FALSE,SUMPRODUCT(('Final Calculation Sheet'!$J$4:$J$40=$BH$8)*($HI$6:$HI$42=1))&gt;0)</f>
        <v/>
      </c>
      <c r="HK8">
        <f>$HK$7+--($HJ8)</f>
        <v/>
      </c>
      <c r="HL8">
        <f>IF(ROW()-3&gt;MAX($HK$4:$HK$40),"",INDEX($BH$4:$BH$40,MATCH(ROW()-3,$HK$4:$HK$40,0)))</f>
        <v/>
      </c>
      <c r="HM8">
        <f>IF(COUNTIF('Live Search'!BM$7:BW$7,0)+COUNTIF('Live Search'!BY$7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HN8">
        <f>IF($BM$8="",FALSE,SUMPRODUCT(('Final Calculation Sheet'!$K$4:$K$40=$BM$8)*($HM$6:$HM$42=1))&gt;0)</f>
        <v/>
      </c>
      <c r="HO8">
        <f>$HO$7+--($HN8)</f>
        <v/>
      </c>
      <c r="HP8">
        <f>IF(ROW()-3&gt;MAX($HO$4:$HO$40),"",INDEX($BM$4:$BM$40,MATCH(ROW()-3,$HO$4:$HO$40,0)))</f>
        <v/>
      </c>
      <c r="HQ8">
        <f>IF(COUNTIF('Live Search'!BM$7:BX$7,0)+COUNTIF('Live Search'!BZ$7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HR8">
        <f>IF($BR$8="",FALSE,SUMPRODUCT(('Final Calculation Sheet'!$L$4:$L$40=$BR$8)*($HQ$6:$HQ$42=1))&gt;0)</f>
        <v/>
      </c>
      <c r="HS8">
        <f>$HS$7+--($HR8)</f>
        <v/>
      </c>
      <c r="HT8">
        <f>IF(ROW()-3&gt;MAX($HS$4:$HS$40),"",INDEX($BR$4:$BR$40,MATCH(ROW()-3,$HS$4:$HS$40,0)))</f>
        <v/>
      </c>
      <c r="HU8">
        <f>IF(COUNTIF('Live Search'!BM$7:BY$7,0)+COUNTIF('Live Search'!CA$7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HV8">
        <f>IF($BW$8="",FALSE,SUMPRODUCT(('Final Calculation Sheet'!$M$4:$M$40=$BW$8)*($HU$6:$HU$42=1))&gt;0)</f>
        <v/>
      </c>
      <c r="HW8">
        <f>$HW$7+--($HV8)</f>
        <v/>
      </c>
      <c r="HX8">
        <f>IF(ROW()-3&gt;MAX($HW$4:$HW$40),"",INDEX($BW$4:$BW$40,MATCH(ROW()-3,$HW$4:$HW$40,0)))</f>
        <v/>
      </c>
      <c r="HY8">
        <f>IF(COUNTIF('Live Search'!BM$7:BZ$7,0)+COUNTIF('Live Search'!CB$7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HZ8">
        <f>IF($CB$8="",FALSE,SUMPRODUCT(('Final Calculation Sheet'!$N$4:$N$40=$CB$8)*($HY$6:$HY$42=1))&gt;0)</f>
        <v/>
      </c>
      <c r="IA8">
        <f>$IA$7+--($HZ8)</f>
        <v/>
      </c>
      <c r="IB8">
        <f>IF(ROW()-3&gt;MAX($IA$4:$IA$40),"",INDEX($CB$4:$CB$40,MATCH(ROW()-3,$IA$4:$IA$40,0)))</f>
        <v/>
      </c>
      <c r="IC8">
        <f>IF(COUNTIF('Live Search'!BM$7:CA$7,0)+COUNTIF('Live Search'!CC$7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ID8">
        <f>IF($CG$8="",FALSE,SUMPRODUCT(('Final Calculation Sheet'!$O$4:$O$40=$CG$8)*($IC$6:$IC$42=1))&gt;0)</f>
        <v/>
      </c>
      <c r="IE8">
        <f>$IE$7+--($ID8)</f>
        <v/>
      </c>
      <c r="IF8">
        <f>IF(ROW()-3&gt;MAX($IE$4:$IE$40),"",INDEX($CG$4:$CG$40,MATCH(ROW()-3,$IE$4:$IE$40,0)))</f>
        <v/>
      </c>
      <c r="IG8">
        <f>IF(COUNTIF('Live Search'!BM$7:CB$7,0)+COUNTIF('Live Search'!CD$7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IH8">
        <f>IF($CL$8="",FALSE,SUMPRODUCT(('Final Calculation Sheet'!$P$4:$P$40=$CL$8)*($IG$6:$IG$42=1))&gt;0)</f>
        <v/>
      </c>
      <c r="II8">
        <f>$II$7+--($IH8)</f>
        <v/>
      </c>
      <c r="IJ8">
        <f>IF(ROW()-3&gt;MAX($II$4:$II$40),"",INDEX($CL$4:$CL$40,MATCH(ROW()-3,$II$4:$II$40,0)))</f>
        <v/>
      </c>
      <c r="IK8">
        <f>IF(COUNTIF('Live Search'!BM$7:CC$7,0)+COUNTIF('Live Search'!CE$7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IL8">
        <f>IF($CQ$8="",FALSE,SUMPRODUCT(('Final Calculation Sheet'!$Q$4:$Q$40=$CQ$8)*($IK$6:$IK$42=1))&gt;0)</f>
        <v/>
      </c>
      <c r="IM8">
        <f>$IM$7+--($IL8)</f>
        <v/>
      </c>
      <c r="IN8">
        <f>IF(ROW()-3&gt;MAX($IM$4:$IM$40),"",INDEX($CQ$4:$CQ$40,MATCH(ROW()-3,$IM$4:$IM$40,0)))</f>
        <v/>
      </c>
      <c r="IO8">
        <f>IF(COUNTIF('Live Search'!BM$7:CD$7,0)+COUNTIF('Live Search'!CF$7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IP8">
        <f>IF($CV$8="",FALSE,SUMPRODUCT(('Final Calculation Sheet'!$R$4:$R$40=$CV$8)*($IO$6:$IO$42=1))&gt;0)</f>
        <v/>
      </c>
      <c r="IQ8">
        <f>$IQ$7+--($IP8)</f>
        <v/>
      </c>
      <c r="IR8">
        <f>IF(ROW()-3&gt;MAX($IQ$4:$IQ$40),"",INDEX($CV$4:$CV$40,MATCH(ROW()-3,$IQ$4:$IQ$40,0)))</f>
        <v/>
      </c>
      <c r="IS8">
        <f>IF(COUNTIF('Live Search'!BM$7:CE$7,0)+COUNTIF('Live Search'!CG$7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IT8">
        <f>IF($DA$8="",FALSE,SUMPRODUCT(('Final Calculation Sheet'!$S$4:$S$40=$DA$8)*($IS$6:$IS$42=1))&gt;0)</f>
        <v/>
      </c>
      <c r="IU8">
        <f>$IU$7+--($IT8)</f>
        <v/>
      </c>
      <c r="IV8">
        <f>IF(ROW()-3&gt;MAX($IU$4:$IU$40),"",INDEX($DA$4:$DA$40,MATCH(ROW()-3,$IU$4:$IU$40,0)))</f>
        <v/>
      </c>
      <c r="IW8">
        <f>IF(COUNTIF('Live Search'!BM$7:CF$7,0)+COUNTIF('Live Search'!CH$7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IX8">
        <f>IF($DF$8="",FALSE,SUMPRODUCT(('Final Calculation Sheet'!$T$4:$T$40=$DF$8)*($IW$6:$IW$42=1))&gt;0)</f>
        <v/>
      </c>
      <c r="IY8">
        <f>$IY$7+--($IX8)</f>
        <v/>
      </c>
      <c r="IZ8">
        <f>IF(ROW()-3&gt;MAX($IY$4:$IY$40),"",INDEX($DF$4:$DF$40,MATCH(ROW()-3,$IY$4:$IY$40,0)))</f>
        <v/>
      </c>
      <c r="JA8">
        <f>IF(COUNTIF('Live Search'!BM$7:CG$7,0)+COUNTIF('Live Search'!CI$7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JB8">
        <f>IF($DK$8="",FALSE,SUMPRODUCT(('Final Calculation Sheet'!$U$4:$U$40=$DK$8)*($JA$6:$JA$42=1))&gt;0)</f>
        <v/>
      </c>
      <c r="JC8">
        <f>$JC$7+--($JB8)</f>
        <v/>
      </c>
      <c r="JD8">
        <f>IF(ROW()-3&gt;MAX($JC$4:$JC$40),"",INDEX($DK$4:$DK$40,MATCH(ROW()-3,$JC$4:$JC$40,0)))</f>
        <v/>
      </c>
      <c r="JE8">
        <f>IF(COUNTIF('Live Search'!BM$7:CH$7,0)+COUNTIF('Live Search'!CJ$7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JF8">
        <f>IF($DP$8="",FALSE,SUMPRODUCT(('Final Calculation Sheet'!$V$4:$V$40=$DP$8)*($JE$6:$JE$42=1))&gt;0)</f>
        <v/>
      </c>
      <c r="JG8">
        <f>$JG$7+--($JF8)</f>
        <v/>
      </c>
      <c r="JH8">
        <f>IF(ROW()-3&gt;MAX($JG$4:$JG$40),"",INDEX($DP$4:$DP$40,MATCH(ROW()-3,$JG$4:$JG$40,0)))</f>
        <v/>
      </c>
      <c r="JI8">
        <f>IF(COUNTIF('Live Search'!BM$7:CI$7,0)+COUNTIF('Live Search'!CK$7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JJ8">
        <f>IF($DU$8="",FALSE,SUMPRODUCT(('Final Calculation Sheet'!$W$4:$W$40=$DU$8)*($JI$6:$JI$42=1))&gt;0)</f>
        <v/>
      </c>
      <c r="JK8">
        <f>$JK$7+--($JJ8)</f>
        <v/>
      </c>
      <c r="JL8">
        <f>IF(ROW()-3&gt;MAX($JK$4:$JK$40),"",INDEX($DU$4:$DU$40,MATCH(ROW()-3,$JK$4:$JK$40,0)))</f>
        <v/>
      </c>
      <c r="JM8">
        <f>IF(COUNTIF('Live Search'!BM$7:CJ$7,0)+COUNTIF('Live Search'!CL$7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JN8">
        <f>IF($DZ$8="",FALSE,SUMPRODUCT(('Final Calculation Sheet'!$X$4:$X$40=$DZ$8)*($JM$6:$JM$42=1))&gt;0)</f>
        <v/>
      </c>
      <c r="JO8">
        <f>$JO$7+--($JN8)</f>
        <v/>
      </c>
      <c r="JP8">
        <f>IF(ROW()-3&gt;MAX($JO$4:$JO$40),"",INDEX($DZ$4:$DZ$40,MATCH(ROW()-3,$JO$4:$JO$40,0)))</f>
        <v/>
      </c>
      <c r="JQ8">
        <f>IF(COUNTIF('Live Search'!BM$7:CK$7,0)+COUNTIF('Live Search'!CM$7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JR8">
        <f>IF($EE$8="",FALSE,SUMPRODUCT(('Final Calculation Sheet'!$Y$4:$Y$40=$EE$8)*($JQ$6:$JQ$42=1))&gt;0)</f>
        <v/>
      </c>
      <c r="JS8">
        <f>$JS$7+--($JR8)</f>
        <v/>
      </c>
      <c r="JT8">
        <f>IF(ROW()-3&gt;MAX($JS$4:$JS$40),"",INDEX($EE$4:$EE$40,MATCH(ROW()-3,$JS$4:$JS$40,0)))</f>
        <v/>
      </c>
      <c r="JU8">
        <f>IF(COUNTIF('Live Search'!BM$7:CL$7,0)+COUNTIF('Live Search'!CN$7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JV8">
        <f>IF($EJ$8="",FALSE,SUMPRODUCT(('Final Calculation Sheet'!$Z$4:$Z$40=$EJ$8)*($JU$6:$JU$42=1))&gt;0)</f>
        <v/>
      </c>
      <c r="JW8">
        <f>$JW$7+--($JV8)</f>
        <v/>
      </c>
      <c r="JX8">
        <f>IF(ROW()-3&gt;MAX($JW$4:$JW$40),"",INDEX($EJ$4:$EJ$40,MATCH(ROW()-3,$JW$4:$JW$40,0)))</f>
        <v/>
      </c>
      <c r="JY8">
        <f>IF(COUNTIF('Live Search'!BM$7:CM$7,0)+COUNTIF('Live Search'!CO$7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JZ8">
        <f>IF($EO$8="",FALSE,SUMPRODUCT(('Final Calculation Sheet'!$AA$4:$AA$40=$EO$8)*($JY$6:$JY$42=1))&gt;0)</f>
        <v/>
      </c>
      <c r="KA8">
        <f>$KA$7+--($JZ8)</f>
        <v/>
      </c>
      <c r="KB8">
        <f>IF(ROW()-3&gt;MAX($KA$4:$KA$40),"",INDEX($EO$4:$EO$40,MATCH(ROW()-3,$KA$4:$KA$40,0)))</f>
        <v/>
      </c>
      <c r="KC8">
        <f>IF(COUNTIF('Live Search'!BM$7:CN$7,0)+COUNTIF('Live Search'!CP$7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KD8">
        <f>IF($ET$8="",FALSE,SUMPRODUCT(('Final Calculation Sheet'!$AB$4:$AB$40=$ET$8)*($KC$6:$KC$42=1))&gt;0)</f>
        <v/>
      </c>
      <c r="KE8">
        <f>$KE$7+--($KD8)</f>
        <v/>
      </c>
      <c r="KF8">
        <f>IF(ROW()-3&gt;MAX($KE$4:$KE$40),"",INDEX($ET$4:$ET$40,MATCH(ROW()-3,$KE$4:$KE$40,0)))</f>
        <v/>
      </c>
      <c r="KG8">
        <f>IF(COUNTIF('Live Search'!BM$7:CO$7,0)+COUNTIF('Live Search'!CQ$7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KH8">
        <f>IF($EY$8="",FALSE,SUMPRODUCT(('Final Calculation Sheet'!$AC$4:$AC$40=$EY$8)*($KG$6:$KG$42=1))&gt;0)</f>
        <v/>
      </c>
      <c r="KI8">
        <f>$KI$7+--($KH8)</f>
        <v/>
      </c>
      <c r="KJ8">
        <f>IF(ROW()-3&gt;MAX($KI$4:$KI$40),"",INDEX($EY$4:$EY$40,MATCH(ROW()-3,$KI$4:$KI$40,0)))</f>
        <v/>
      </c>
      <c r="KK8">
        <f>IF(COUNTIF('Live Search'!BM$7:CP$7,0)+COUNTIF('Live Search'!CR$7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KL8">
        <f>IF($FD$8="",FALSE,SUMPRODUCT(('Final Calculation Sheet'!$AD$4:$AD$40=$FD$8)*($KK$6:$KK$42=1))&gt;0)</f>
        <v/>
      </c>
      <c r="KM8">
        <f>$KM$7+--($KL8)</f>
        <v/>
      </c>
      <c r="KN8">
        <f>IF(ROW()-3&gt;MAX($KM$4:$KM$40),"",INDEX($FD$4:$FD$40,MATCH(ROW()-3,$KM$4:$KM$40,0)))</f>
        <v/>
      </c>
      <c r="KO8">
        <f>IF(COUNTIF('Live Search'!BM$7:CT$7,0)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KP8">
        <f>IF($FX$8="",FALSE,SUMPRODUCT((IF('Final Calculation Sheet'!$AD$4:$AD$40&lt;=5,"SETTLED","OUTSTANDING")=$FX$8)*($KO$6:$KO$42=1))&gt;0)</f>
        <v/>
      </c>
      <c r="KQ8">
        <f>$KQ$7+--($KP8)</f>
        <v/>
      </c>
      <c r="KR8">
        <f>IF(ROW()-3&gt;MAX($KQ$4:$KQ$40),"",INDEX($FX$4:$FX$40,MATCH(ROW()-3,$KQ$4:$KQ$40,0)))</f>
        <v/>
      </c>
      <c r="KS8">
        <f>IF(COUNTIF('Live Search'!BM$7:CQ$7,0)+COUNTIF('Live Search'!CS$7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KT8">
        <f>IF($FI$8="",FALSE,SUMPRODUCT(('Final Calculation Sheet'!$AF$4:$AF$40=$FI$8)*($KS$6:$KS$42=1))&gt;0)</f>
        <v/>
      </c>
      <c r="KU8">
        <f>$KU$7+--($KT8)</f>
        <v/>
      </c>
      <c r="KV8">
        <f>IF(ROW()-3&gt;MAX($KU$4:$KU$40),"",INDEX($FI$4:$FI$40,MATCH(ROW()-3,$KU$4:$KU$40,0)))</f>
        <v/>
      </c>
      <c r="KW8">
        <f>IF(COUNTIF('Live Search'!BM$7:CR$7,0)+COUNTIF('Live Search'!CT$7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KX8">
        <f>IF($FN$8="",FALSE,SUMPRODUCT(('Final Calculation Sheet'!$AG$4:$AG$40=$FN$8)*($KW$6:$KW$42=1))&gt;0)</f>
        <v/>
      </c>
      <c r="KY8">
        <f>$KY$7+--($KX8)</f>
        <v/>
      </c>
      <c r="KZ8">
        <f>IF(ROW()-3&gt;MAX($KY$4:$KY$40),"",INDEX($FN$4:$FN$40,MATCH(ROW()-3,$KY$4:$KY$40,0)))</f>
        <v/>
      </c>
      <c r="LA8">
        <f>IF(COUNTIF('Live Search'!BM$7:CS$7,0)+COUNTIF('Live Search'!CU$7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LB8">
        <f>IF($FS$8="",FALSE,SUMPRODUCT(('Final Calculation Sheet'!$AH$4:$AH$40=$FS$8)*($LA$6:$LA$42=1))&gt;0)</f>
        <v/>
      </c>
      <c r="LC8">
        <f>$LC$7+--($LB8)</f>
        <v/>
      </c>
      <c r="LD8">
        <f>IF(ROW()-3&gt;MAX($LC$4:$LC$40),"",INDEX($FS$4:$FS$40,MATCH(ROW()-3,$LC$4:$LC$40,0)))</f>
        <v/>
      </c>
      <c r="LE8">
        <f>IF(COUNTIF('Buyer Groups'!DH61:EN61,0)&gt;0,0,1)</f>
        <v/>
      </c>
      <c r="LF8">
        <f>IF($O$8="",FALSE,SUMPRODUCT(('Final Calculation Sheet'!$F$4:$F$40=$O$8)*($LE$6:$LE$42=1))&gt;0)</f>
        <v/>
      </c>
      <c r="LG8">
        <f>$LG$7+--($LF8)</f>
        <v/>
      </c>
      <c r="LH8">
        <f>IF(ROW()-3&gt;MAX($LG$4:$LG$40),"",INDEX($O$4:$O$40,MATCH(ROW()-3,$LG$4:$LG$40,0)))</f>
        <v/>
      </c>
      <c r="LI8">
        <f>IF(COUNTIF('Buyer Groups'!DG61:DG61,0)+COUNTIF('Buyer Groups'!DI61:EN61,0)&gt;0,0,1)</f>
        <v/>
      </c>
      <c r="LJ8">
        <f>IF($T$8="",FALSE,SUMPRODUCT(('Final Calculation Sheet'!$G$4:$G$40=$T$8)*($LI$6:$LI$42=1))&gt;0)</f>
        <v/>
      </c>
      <c r="LK8">
        <f>$LK$7+--($LJ8)</f>
        <v/>
      </c>
      <c r="LL8">
        <f>IF(ROW()-3&gt;MAX($LK$4:$LK$40),"",INDEX($T$4:$T$40,MATCH(ROW()-3,$LK$4:$LK$40,0)))</f>
        <v/>
      </c>
      <c r="LM8">
        <f>IF(COUNTIF('Buyer Groups'!DG61:DH61,0)+COUNTIF('Buyer Groups'!DJ61:EN61,0)&gt;0,0,1)</f>
        <v/>
      </c>
      <c r="LN8">
        <f>IF($Y$8="",FALSE,SUMPRODUCT(('Final Calculation Sheet'!$B$4:$B$40=$Y$8)*($LM$6:$LM$42=1))&gt;0)</f>
        <v/>
      </c>
      <c r="LO8">
        <f>$LO$7+--($LN8)</f>
        <v/>
      </c>
      <c r="LP8">
        <f>IF(ROW()-3&gt;MAX($LO$4:$LO$40),"",INDEX($Y$4:$Y$40,MATCH(ROW()-3,$LO$4:$LO$40,0)))</f>
        <v/>
      </c>
      <c r="LQ8">
        <f>IF(COUNTIF('Buyer Groups'!DG61:DI61,0)+COUNTIF('Buyer Groups'!DK61:EN61,0)&gt;0,0,1)</f>
        <v/>
      </c>
      <c r="LR8">
        <f>IF($AD$8="",FALSE,SUMPRODUCT(('Final Calculation Sheet'!$D$4:$D$40=$AD$8)*($LQ$6:$LQ$42=1))&gt;0)</f>
        <v/>
      </c>
      <c r="LS8">
        <f>$LS$7+--($LR8)</f>
        <v/>
      </c>
      <c r="LT8">
        <f>IF(ROW()-3&gt;MAX($LS$4:$LS$40),"",INDEX($AD$4:$AD$40,MATCH(ROW()-3,$LS$4:$LS$40,0)))</f>
        <v/>
      </c>
      <c r="LU8">
        <f>IF(COUNTIF('Buyer Groups'!DG61:DJ61,0)+COUNTIF('Buyer Groups'!DL61:EN61,0)&gt;0,0,1)</f>
        <v/>
      </c>
      <c r="LV8">
        <f>IF($AI$8="",FALSE,SUMPRODUCT(('Final Calculation Sheet'!$A$4:$A$40=$AI$8)*($LU$6:$LU$42=1))&gt;0)</f>
        <v/>
      </c>
      <c r="LW8">
        <f>$LW$7+--($LV8)</f>
        <v/>
      </c>
      <c r="LX8">
        <f>IF(ROW()-3&gt;MAX($LW$4:$LW$40),"",INDEX($AI$4:$AI$40,MATCH(ROW()-3,$LW$4:$LW$40,0)))</f>
        <v/>
      </c>
      <c r="LY8">
        <f>IF(COUNTIF('Buyer Groups'!DG61:DK61,0)+COUNTIF('Buyer Groups'!DM61:EN61,0)&gt;0,0,1)</f>
        <v/>
      </c>
      <c r="LZ8">
        <f>IF($AN$8="",FALSE,SUMPRODUCT(('Final Calculation Sheet'!$E$4:$E$40=$AN$8)*($LY$6:$LY$42=1))&gt;0)</f>
        <v/>
      </c>
      <c r="MA8">
        <f>$MA$7+--($LZ8)</f>
        <v/>
      </c>
      <c r="MB8">
        <f>IF(ROW()-3&gt;MAX($MA$4:$MA$40),"",INDEX($AN$4:$AN$40,MATCH(ROW()-3,$MA$4:$MA$40,0)))</f>
        <v/>
      </c>
      <c r="MC8">
        <f>IF(COUNTIF('Buyer Groups'!DG61:DL61,0)+COUNTIF('Buyer Groups'!DN61:EN61,0)&gt;0,0,1)</f>
        <v/>
      </c>
      <c r="MD8">
        <f>IF($AS$8="",FALSE,SUMPRODUCT(('Final Calculation Sheet'!$C$4:$C$40=$AS$8)*($MC$6:$MC$42=1))&gt;0)</f>
        <v/>
      </c>
      <c r="ME8">
        <f>$ME$7+--($MD8)</f>
        <v/>
      </c>
      <c r="MF8">
        <f>IF(ROW()-3&gt;MAX($ME$4:$ME$40),"",INDEX($AS$4:$AS$40,MATCH(ROW()-3,$ME$4:$ME$40,0)))</f>
        <v/>
      </c>
      <c r="MG8">
        <f>IF(COUNTIF('Buyer Groups'!DG61:DM61,0)+COUNTIF('Buyer Groups'!DO61:EN61,0)&gt;0,0,1)</f>
        <v/>
      </c>
      <c r="MH8">
        <f>IF($AX$8="",FALSE,SUMPRODUCT(('Final Calculation Sheet'!$H$4:$H$40=$AX$8)*($MG$6:$MG$42=1))&gt;0)</f>
        <v/>
      </c>
      <c r="MI8">
        <f>$MI$7+--($MH8)</f>
        <v/>
      </c>
      <c r="MJ8">
        <f>IF(ROW()-3&gt;MAX($MI$4:$MI$40),"",INDEX($AX$4:$AX$40,MATCH(ROW()-3,$MI$4:$MI$40,0)))</f>
        <v/>
      </c>
      <c r="MK8">
        <f>IF(COUNTIF('Buyer Groups'!DG61:DN61,0)+COUNTIF('Buyer Groups'!DP61:EN61,0)&gt;0,0,1)</f>
        <v/>
      </c>
      <c r="ML8">
        <f>IF($BC$8="",FALSE,SUMPRODUCT(('Final Calculation Sheet'!$I$4:$I$40=$BC$8)*($MK$6:$MK$42=1))&gt;0)</f>
        <v/>
      </c>
      <c r="MM8">
        <f>$MM$7+--($ML8)</f>
        <v/>
      </c>
      <c r="MN8">
        <f>IF(ROW()-3&gt;MAX($MM$4:$MM$40),"",INDEX($BC$4:$BC$40,MATCH(ROW()-3,$MM$4:$MM$40,0)))</f>
        <v/>
      </c>
      <c r="MO8">
        <f>IF(COUNTIF('Buyer Groups'!DG61:DO61,0)+COUNTIF('Buyer Groups'!DQ61:EN61,0)&gt;0,0,1)</f>
        <v/>
      </c>
      <c r="MP8">
        <f>IF($BH$8="",FALSE,SUMPRODUCT(('Final Calculation Sheet'!$J$4:$J$40=$BH$8)*($MO$6:$MO$42=1))&gt;0)</f>
        <v/>
      </c>
      <c r="MQ8">
        <f>$MQ$7+--($MP8)</f>
        <v/>
      </c>
      <c r="MR8">
        <f>IF(ROW()-3&gt;MAX($MQ$4:$MQ$40),"",INDEX($BH$4:$BH$40,MATCH(ROW()-3,$MQ$4:$MQ$40,0)))</f>
        <v/>
      </c>
      <c r="MS8">
        <f>IF(COUNTIF('Buyer Groups'!DG61:DP61,0)+COUNTIF('Buyer Groups'!DR61:EN61,0)&gt;0,0,1)</f>
        <v/>
      </c>
      <c r="MT8">
        <f>IF($BM$8="",FALSE,SUMPRODUCT(('Final Calculation Sheet'!$K$4:$K$40=$BM$8)*($MS$6:$MS$42=1))&gt;0)</f>
        <v/>
      </c>
      <c r="MU8">
        <f>$MU$7+--($MT8)</f>
        <v/>
      </c>
      <c r="MV8">
        <f>IF(ROW()-3&gt;MAX($MU$4:$MU$40),"",INDEX($BM$4:$BM$40,MATCH(ROW()-3,$MU$4:$MU$40,0)))</f>
        <v/>
      </c>
      <c r="MW8">
        <f>IF(COUNTIF('Buyer Groups'!DG61:DQ61,0)+COUNTIF('Buyer Groups'!DS61:EN61,0)&gt;0,0,1)</f>
        <v/>
      </c>
      <c r="MX8">
        <f>IF($BR$8="",FALSE,SUMPRODUCT(('Final Calculation Sheet'!$L$4:$L$40=$BR$8)*($MW$6:$MW$42=1))&gt;0)</f>
        <v/>
      </c>
      <c r="MY8">
        <f>$MY$7+--($MX8)</f>
        <v/>
      </c>
      <c r="MZ8">
        <f>IF(ROW()-3&gt;MAX($MY$4:$MY$40),"",INDEX($BR$4:$BR$40,MATCH(ROW()-3,$MY$4:$MY$40,0)))</f>
        <v/>
      </c>
      <c r="NA8">
        <f>IF(COUNTIF('Buyer Groups'!DG61:DR61,0)+COUNTIF('Buyer Groups'!DT61:EN61,0)&gt;0,0,1)</f>
        <v/>
      </c>
      <c r="NB8">
        <f>IF($BW$8="",FALSE,SUMPRODUCT(('Final Calculation Sheet'!$M$4:$M$40=$BW$8)*($NA$6:$NA$42=1))&gt;0)</f>
        <v/>
      </c>
      <c r="NC8">
        <f>$NC$7+--($NB8)</f>
        <v/>
      </c>
      <c r="ND8">
        <f>IF(ROW()-3&gt;MAX($NC$4:$NC$40),"",INDEX($BW$4:$BW$40,MATCH(ROW()-3,$NC$4:$NC$40,0)))</f>
        <v/>
      </c>
      <c r="NE8">
        <f>IF(COUNTIF('Buyer Groups'!DG61:DS61,0)+COUNTIF('Buyer Groups'!DU61:EN61,0)&gt;0,0,1)</f>
        <v/>
      </c>
      <c r="NF8">
        <f>IF($CB$8="",FALSE,SUMPRODUCT(('Final Calculation Sheet'!$N$4:$N$40=$CB$8)*($NE$6:$NE$42=1))&gt;0)</f>
        <v/>
      </c>
      <c r="NG8">
        <f>$NG$7+--($NF8)</f>
        <v/>
      </c>
      <c r="NH8">
        <f>IF(ROW()-3&gt;MAX($NG$4:$NG$40),"",INDEX($CB$4:$CB$40,MATCH(ROW()-3,$NG$4:$NG$40,0)))</f>
        <v/>
      </c>
      <c r="NI8">
        <f>IF(COUNTIF('Buyer Groups'!DG61:DT61,0)+COUNTIF('Buyer Groups'!DV61:EN61,0)&gt;0,0,1)</f>
        <v/>
      </c>
      <c r="NJ8">
        <f>IF($CG$8="",FALSE,SUMPRODUCT(('Final Calculation Sheet'!$O$4:$O$40=$CG$8)*($NI$6:$NI$42=1))&gt;0)</f>
        <v/>
      </c>
      <c r="NK8">
        <f>$NK$7+--($NJ8)</f>
        <v/>
      </c>
      <c r="NL8">
        <f>IF(ROW()-3&gt;MAX($NK$4:$NK$40),"",INDEX($CG$4:$CG$40,MATCH(ROW()-3,$NK$4:$NK$40,0)))</f>
        <v/>
      </c>
      <c r="NM8">
        <f>IF(COUNTIF('Buyer Groups'!DG61:DU61,0)+COUNTIF('Buyer Groups'!DW61:EN61,0)&gt;0,0,1)</f>
        <v/>
      </c>
      <c r="NN8">
        <f>IF($CL$8="",FALSE,SUMPRODUCT(('Final Calculation Sheet'!$P$4:$P$40=$CL$8)*($NM$6:$NM$42=1))&gt;0)</f>
        <v/>
      </c>
      <c r="NO8">
        <f>$NO$7+--($NN8)</f>
        <v/>
      </c>
      <c r="NP8">
        <f>IF(ROW()-3&gt;MAX($NO$4:$NO$40),"",INDEX($CL$4:$CL$40,MATCH(ROW()-3,$NO$4:$NO$40,0)))</f>
        <v/>
      </c>
      <c r="NQ8">
        <f>IF(COUNTIF('Buyer Groups'!DG61:DV61,0)+COUNTIF('Buyer Groups'!DX61:EN61,0)&gt;0,0,1)</f>
        <v/>
      </c>
      <c r="NR8">
        <f>IF($CQ$8="",FALSE,SUMPRODUCT(('Final Calculation Sheet'!$Q$4:$Q$40=$CQ$8)*($NQ$6:$NQ$42=1))&gt;0)</f>
        <v/>
      </c>
      <c r="NS8">
        <f>$NS$7+--($NR8)</f>
        <v/>
      </c>
      <c r="NT8">
        <f>IF(ROW()-3&gt;MAX($NS$4:$NS$40),"",INDEX($CQ$4:$CQ$40,MATCH(ROW()-3,$NS$4:$NS$40,0)))</f>
        <v/>
      </c>
      <c r="NU8">
        <f>IF(COUNTIF('Buyer Groups'!DG61:DW61,0)+COUNTIF('Buyer Groups'!DY61:EN61,0)&gt;0,0,1)</f>
        <v/>
      </c>
      <c r="NV8">
        <f>IF($CV$8="",FALSE,SUMPRODUCT(('Final Calculation Sheet'!$R$4:$R$40=$CV$8)*($NU$6:$NU$42=1))&gt;0)</f>
        <v/>
      </c>
      <c r="NW8">
        <f>$NW$7+--($NV8)</f>
        <v/>
      </c>
      <c r="NX8">
        <f>IF(ROW()-3&gt;MAX($NW$4:$NW$40),"",INDEX($CV$4:$CV$40,MATCH(ROW()-3,$NW$4:$NW$40,0)))</f>
        <v/>
      </c>
      <c r="NY8">
        <f>IF(COUNTIF('Buyer Groups'!DG61:DX61,0)+COUNTIF('Buyer Groups'!DZ61:EN61,0)&gt;0,0,1)</f>
        <v/>
      </c>
      <c r="NZ8">
        <f>IF($DA$8="",FALSE,SUMPRODUCT(('Final Calculation Sheet'!$S$4:$S$40=$DA$8)*($NY$6:$NY$42=1))&gt;0)</f>
        <v/>
      </c>
      <c r="OA8">
        <f>$OA$7+--($NZ8)</f>
        <v/>
      </c>
      <c r="OB8">
        <f>IF(ROW()-3&gt;MAX($OA$4:$OA$40),"",INDEX($DA$4:$DA$40,MATCH(ROW()-3,$OA$4:$OA$40,0)))</f>
        <v/>
      </c>
      <c r="OC8">
        <f>IF(COUNTIF('Buyer Groups'!DG61:DY61,0)+COUNTIF('Buyer Groups'!EA61:EN61,0)&gt;0,0,1)</f>
        <v/>
      </c>
      <c r="OD8">
        <f>IF($DF$8="",FALSE,SUMPRODUCT(('Final Calculation Sheet'!$T$4:$T$40=$DF$8)*($OC$6:$OC$42=1))&gt;0)</f>
        <v/>
      </c>
      <c r="OE8">
        <f>$OE$7+--($OD8)</f>
        <v/>
      </c>
      <c r="OF8">
        <f>IF(ROW()-3&gt;MAX($OE$4:$OE$40),"",INDEX($DF$4:$DF$40,MATCH(ROW()-3,$OE$4:$OE$40,0)))</f>
        <v/>
      </c>
      <c r="OG8">
        <f>IF(COUNTIF('Buyer Groups'!DG61:DZ61,0)+COUNTIF('Buyer Groups'!EB61:EN61,0)&gt;0,0,1)</f>
        <v/>
      </c>
      <c r="OH8">
        <f>IF($DK$8="",FALSE,SUMPRODUCT(('Final Calculation Sheet'!$U$4:$U$40=$DK$8)*($OG$6:$OG$42=1))&gt;0)</f>
        <v/>
      </c>
      <c r="OI8">
        <f>$OI$7+--($OH8)</f>
        <v/>
      </c>
      <c r="OJ8">
        <f>IF(ROW()-3&gt;MAX($OI$4:$OI$40),"",INDEX($DK$4:$DK$40,MATCH(ROW()-3,$OI$4:$OI$40,0)))</f>
        <v/>
      </c>
      <c r="OK8">
        <f>IF(COUNTIF('Buyer Groups'!DG61:EA61,0)+COUNTIF('Buyer Groups'!EC61:EN61,0)&gt;0,0,1)</f>
        <v/>
      </c>
      <c r="OL8">
        <f>IF($DP$8="",FALSE,SUMPRODUCT(('Final Calculation Sheet'!$V$4:$V$40=$DP$8)*($OK$6:$OK$42=1))&gt;0)</f>
        <v/>
      </c>
      <c r="OM8">
        <f>$OM$7+--($OL8)</f>
        <v/>
      </c>
      <c r="ON8">
        <f>IF(ROW()-3&gt;MAX($OM$4:$OM$40),"",INDEX($DP$4:$DP$40,MATCH(ROW()-3,$OM$4:$OM$40,0)))</f>
        <v/>
      </c>
      <c r="OO8">
        <f>IF(COUNTIF('Buyer Groups'!DG61:EB61,0)+COUNTIF('Buyer Groups'!ED61:EN61,0)&gt;0,0,1)</f>
        <v/>
      </c>
      <c r="OP8">
        <f>IF($DU$8="",FALSE,SUMPRODUCT(('Final Calculation Sheet'!$W$4:$W$40=$DU$8)*($OO$6:$OO$42=1))&gt;0)</f>
        <v/>
      </c>
      <c r="OQ8">
        <f>$OQ$7+--($OP8)</f>
        <v/>
      </c>
      <c r="OR8">
        <f>IF(ROW()-3&gt;MAX($OQ$4:$OQ$40),"",INDEX($DU$4:$DU$40,MATCH(ROW()-3,$OQ$4:$OQ$40,0)))</f>
        <v/>
      </c>
      <c r="OS8">
        <f>IF(COUNTIF('Buyer Groups'!DG61:EC61,0)+COUNTIF('Buyer Groups'!EE61:EN61,0)&gt;0,0,1)</f>
        <v/>
      </c>
      <c r="OT8">
        <f>IF($DZ$8="",FALSE,SUMPRODUCT(('Final Calculation Sheet'!$X$4:$X$40=$DZ$8)*($OS$6:$OS$42=1))&gt;0)</f>
        <v/>
      </c>
      <c r="OU8">
        <f>$OU$7+--($OT8)</f>
        <v/>
      </c>
      <c r="OV8">
        <f>IF(ROW()-3&gt;MAX($OU$4:$OU$40),"",INDEX($DZ$4:$DZ$40,MATCH(ROW()-3,$OU$4:$OU$40,0)))</f>
        <v/>
      </c>
      <c r="OW8">
        <f>IF(COUNTIF('Buyer Groups'!DG61:ED61,0)+COUNTIF('Buyer Groups'!EF61:EN61,0)&gt;0,0,1)</f>
        <v/>
      </c>
      <c r="OX8">
        <f>IF($EE$8="",FALSE,SUMPRODUCT(('Final Calculation Sheet'!$Y$4:$Y$40=$EE$8)*($OW$6:$OW$42=1))&gt;0)</f>
        <v/>
      </c>
      <c r="OY8">
        <f>$OY$7+--($OX8)</f>
        <v/>
      </c>
      <c r="OZ8">
        <f>IF(ROW()-3&gt;MAX($OY$4:$OY$40),"",INDEX($EE$4:$EE$40,MATCH(ROW()-3,$OY$4:$OY$40,0)))</f>
        <v/>
      </c>
      <c r="PA8">
        <f>IF(COUNTIF('Buyer Groups'!DG61:EE61,0)+COUNTIF('Buyer Groups'!EG61:EN61,0)&gt;0,0,1)</f>
        <v/>
      </c>
      <c r="PB8">
        <f>IF($EJ$8="",FALSE,SUMPRODUCT(('Final Calculation Sheet'!$Z$4:$Z$40=$EJ$8)*($PA$6:$PA$42=1))&gt;0)</f>
        <v/>
      </c>
      <c r="PC8">
        <f>$PC$7+--($PB8)</f>
        <v/>
      </c>
      <c r="PD8">
        <f>IF(ROW()-3&gt;MAX($PC$4:$PC$40),"",INDEX($EJ$4:$EJ$40,MATCH(ROW()-3,$PC$4:$PC$40,0)))</f>
        <v/>
      </c>
      <c r="PE8">
        <f>IF(COUNTIF('Buyer Groups'!DG61:EF61,0)+COUNTIF('Buyer Groups'!EH61:EN61,0)&gt;0,0,1)</f>
        <v/>
      </c>
      <c r="PF8">
        <f>IF($EO$8="",FALSE,SUMPRODUCT(('Final Calculation Sheet'!$AA$4:$AA$40=$EO$8)*($PE$6:$PE$42=1))&gt;0)</f>
        <v/>
      </c>
      <c r="PG8">
        <f>$PG$7+--($PF8)</f>
        <v/>
      </c>
      <c r="PH8">
        <f>IF(ROW()-3&gt;MAX($PG$4:$PG$40),"",INDEX($EO$4:$EO$40,MATCH(ROW()-3,$PG$4:$PG$40,0)))</f>
        <v/>
      </c>
      <c r="PI8">
        <f>IF(COUNTIF('Buyer Groups'!DG61:EG61,0)+COUNTIF('Buyer Groups'!EI61:EN61,0)&gt;0,0,1)</f>
        <v/>
      </c>
      <c r="PJ8">
        <f>IF($ET$8="",FALSE,SUMPRODUCT(('Final Calculation Sheet'!$AB$4:$AB$40=$ET$8)*($PI$6:$PI$42=1))&gt;0)</f>
        <v/>
      </c>
      <c r="PK8">
        <f>$PK$7+--($PJ8)</f>
        <v/>
      </c>
      <c r="PL8">
        <f>IF(ROW()-3&gt;MAX($PK$4:$PK$40),"",INDEX($ET$4:$ET$40,MATCH(ROW()-3,$PK$4:$PK$40,0)))</f>
        <v/>
      </c>
      <c r="PM8">
        <f>IF(COUNTIF('Buyer Groups'!DG61:EH61,0)+COUNTIF('Buyer Groups'!EJ61:EN61,0)&gt;0,0,1)</f>
        <v/>
      </c>
      <c r="PN8">
        <f>IF($EY$8="",FALSE,SUMPRODUCT(('Final Calculation Sheet'!$AC$4:$AC$40=$EY$8)*($PM$6:$PM$42=1))&gt;0)</f>
        <v/>
      </c>
      <c r="PO8">
        <f>$PO$7+--($PN8)</f>
        <v/>
      </c>
      <c r="PP8">
        <f>IF(ROW()-3&gt;MAX($PO$4:$PO$40),"",INDEX($EY$4:$EY$40,MATCH(ROW()-3,$PO$4:$PO$40,0)))</f>
        <v/>
      </c>
      <c r="PQ8">
        <f>IF(COUNTIF('Buyer Groups'!DG61:EI61,0)+COUNTIF('Buyer Groups'!EK61:EN61,0)&gt;0,0,1)</f>
        <v/>
      </c>
      <c r="PR8">
        <f>IF($FD$8="",FALSE,SUMPRODUCT(('Final Calculation Sheet'!$AD$4:$AD$40=$FD$8)*($PQ$6:$PQ$42=1))&gt;0)</f>
        <v/>
      </c>
      <c r="PS8">
        <f>$PS$7+--($PR8)</f>
        <v/>
      </c>
      <c r="PT8">
        <f>IF(ROW()-3&gt;MAX($PS$4:$PS$40),"",INDEX($FD$4:$FD$40,MATCH(ROW()-3,$PS$4:$PS$40,0)))</f>
        <v/>
      </c>
      <c r="PU8">
        <f>IF(COUNTIF('Buyer Groups'!DG61:EJ61,0)+COUNTIF('Buyer Groups'!EL61:EN61,0)&gt;0,0,1)</f>
        <v/>
      </c>
      <c r="PV8">
        <f>IF($FX$8="",FALSE,SUMPRODUCT((IF('Final Calculation Sheet'!$AD$4:$AD$40&lt;=5,"SETTLED","OUTSTANDING")=$FX$8)*($PU$6:$PU$42=1))&gt;0)</f>
        <v/>
      </c>
      <c r="PW8">
        <f>$PW$7+--($PV8)</f>
        <v/>
      </c>
      <c r="PX8">
        <f>IF(ROW()-3&gt;MAX($PW$4:$PW$40),"",INDEX($FX$4:$FX$40,MATCH(ROW()-3,$PW$4:$PW$40,0)))</f>
        <v/>
      </c>
      <c r="PY8">
        <f>IF(COUNTIF('Buyer Groups'!DG61:EK61,0)+COUNTIF('Buyer Groups'!EM61:EN61,0)&gt;0,0,1)</f>
        <v/>
      </c>
      <c r="PZ8">
        <f>IF($FI$8="",FALSE,SUMPRODUCT(('Final Calculation Sheet'!$AF$4:$AF$40=$FI$8)*($PY$6:$PY$42=1))&gt;0)</f>
        <v/>
      </c>
      <c r="QA8">
        <f>$QA$7+--($PZ8)</f>
        <v/>
      </c>
      <c r="QB8">
        <f>IF(ROW()-3&gt;MAX($QA$4:$QA$40),"",INDEX($FI$4:$FI$40,MATCH(ROW()-3,$QA$4:$QA$40,0)))</f>
        <v/>
      </c>
      <c r="QC8">
        <f>IF(COUNTIF('Buyer Groups'!DG61:EL61,0)+COUNTIF('Buyer Groups'!EN61:EN61,0)&gt;0,0,1)</f>
        <v/>
      </c>
      <c r="QD8">
        <f>IF($FN$8="",FALSE,SUMPRODUCT(('Final Calculation Sheet'!$AG$4:$AG$40=$FN$8)*($QC$6:$QC$42=1))&gt;0)</f>
        <v/>
      </c>
      <c r="QE8">
        <f>$QE$7+--($QD8)</f>
        <v/>
      </c>
      <c r="QF8">
        <f>IF(ROW()-3&gt;MAX($QE$4:$QE$40),"",INDEX($FN$4:$FN$40,MATCH(ROW()-3,$QE$4:$QE$40,0)))</f>
        <v/>
      </c>
      <c r="QG8">
        <f>IF(COUNTIF('Buyer Groups'!DG61:EM61,0)&gt;0,0,1)</f>
        <v/>
      </c>
      <c r="QH8">
        <f>IF($FS$8="",FALSE,SUMPRODUCT(('Final Calculation Sheet'!$AH$4:$AH$40=$FS$8)*($QG$6:$QG$42=1))&gt;0)</f>
        <v/>
      </c>
      <c r="QI8">
        <f>$QI$7+--($QH8)</f>
        <v/>
      </c>
      <c r="QJ8">
        <f>IF(ROW()-3&gt;MAX($QI$4:$QI$40),"",INDEX($FS$4:$FS$40,MATCH(ROW()-3,$QI$4:$QI$40,0)))</f>
        <v/>
      </c>
      <c r="QK8" t="str">
        <f>IF('Final Calculation Sheet'!$AH$8="","",'Final Calculation Sheet'!$AH$8)</f>
      </c>
      <c r="QL8" t="str">
        <f>IF(QK8="","",COUNTIFS(QK$4:QK$40,"&lt;"&amp;QK8,QK$4:QK$40,"&lt;&gt;"&amp;"")+COUNTIF(QK$4:QK8,QK8))</f>
      </c>
      <c r="QM8" t="str">
        <f>IF(ROW()-3&gt;COUNTIF(QK$4:QK$40,"&lt;&gt;"&amp;""),"",INDEX(QK$4:QK$40,MATCH(ROW()-3,QL$4:QL$40,0)))</f>
      </c>
      <c r="QN8" t="str">
        <f>=QN7+F(AND(QM8&lt;&gt;"",COUNTIF(QM$4:QM8,QM8)=1),1,0)</f>
      </c>
      <c r="QO8" t="str">
        <f>IF(ROW()-3&gt;MAX(QN$4:QN$40),"",INDEX(QM$4:QM$40,MATCH(ROW()-3,QN$4:QN$40,0)))</f>
      </c>
      <c r="QP8" t="str">
        <f>IF(COUNTIF('Final Calculation Sheet'!$AM8:$BS8,0)&gt;0,0,1)</f>
      </c>
      <c r="QQ8" t="str">
        <f>IF($AI$8="",FALSE,SUMPRODUCT(('Final Calculation Sheet'!$A$4:$A$40=$AI$8)*($QP$4:$QP$40=1))&gt;0)</f>
      </c>
      <c r="QR8" t="str">
        <f>=$QR7+--($QQ8)</f>
      </c>
      <c r="QS8" t="str">
        <f>IF(ROW()-3&gt;MAX($QR$4:$QR$40),"",INDEX($AI$4:$AI$40,MATCH(ROW()-3,$QR$4:$QR$40,0)))</f>
      </c>
      <c r="QT8" t="str">
        <f>IF(COUNTIF('Final Calculation Sheet'!$AL8:$AL8,0)+COUNTIF('Final Calculation Sheet'!$AN8:$BS8,0)&gt;0,0,1)</f>
      </c>
      <c r="QU8" t="str">
        <f>IF($Y$8="",FALSE,SUMPRODUCT(('Final Calculation Sheet'!$B$4:$B$40=$Y$8)*($QT$4:$QT$40=1))&gt;0)</f>
      </c>
      <c r="QV8" t="str">
        <f>=$QV7+--($QU8)</f>
      </c>
      <c r="QW8" t="str">
        <f>IF(ROW()-3&gt;MAX($QV$4:$QV$40),"",INDEX($Y$4:$Y$40,MATCH(ROW()-3,$QV$4:$QV$40,0)))</f>
      </c>
      <c r="QX8" t="str">
        <f>IF(COUNTIF('Final Calculation Sheet'!$AL8:$AM8,0)+COUNTIF('Final Calculation Sheet'!$AO8:$BS8,0)&gt;0,0,1)</f>
      </c>
      <c r="QY8" t="str">
        <f>IF($AS$8="",FALSE,SUMPRODUCT(('Final Calculation Sheet'!$C$4:$C$40=$AS$8)*($QX$4:$QX$40=1))&gt;0)</f>
      </c>
      <c r="QZ8" t="str">
        <f>=$QZ7+--($QY8)</f>
      </c>
      <c r="RA8" t="str">
        <f>IF(ROW()-3&gt;MAX($QZ$4:$QZ$40),"",INDEX($AS$4:$AS$40,MATCH(ROW()-3,$QZ$4:$QZ$40,0)))</f>
      </c>
      <c r="RB8" t="str">
        <f>IF(COUNTIF('Final Calculation Sheet'!$AL8:$AN8,0)+COUNTIF('Final Calculation Sheet'!$AP8:$BS8,0)&gt;0,0,1)</f>
      </c>
      <c r="RC8" t="str">
        <f>IF($AD$8="",FALSE,SUMPRODUCT(('Final Calculation Sheet'!$D$4:$D$40=$AD$8)*($RB$4:$RB$40=1))&gt;0)</f>
      </c>
      <c r="RD8" t="str">
        <f>=$RD7+--($RC8)</f>
      </c>
      <c r="RE8" t="str">
        <f>IF(ROW()-3&gt;MAX($RD$4:$RD$40),"",INDEX($AD$4:$AD$40,MATCH(ROW()-3,$RD$4:$RD$40,0)))</f>
      </c>
      <c r="RF8" t="str">
        <f>IF(COUNTIF('Final Calculation Sheet'!$AL8:$AO8,0)+COUNTIF('Final Calculation Sheet'!$AQ8:$BS8,0)&gt;0,0,1)</f>
      </c>
      <c r="RG8" t="str">
        <f>IF($AN$8="",FALSE,SUMPRODUCT(('Final Calculation Sheet'!$E$4:$E$40=$AN$8)*($RF$4:$RF$40=1))&gt;0)</f>
      </c>
      <c r="RH8" t="str">
        <f>=$RH7+--($RG8)</f>
      </c>
      <c r="RI8" t="str">
        <f>IF(ROW()-3&gt;MAX($RH$4:$RH$40),"",INDEX($AN$4:$AN$40,MATCH(ROW()-3,$RH$4:$RH$40,0)))</f>
      </c>
      <c r="RJ8" t="str">
        <f>IF(COUNTIF('Final Calculation Sheet'!$AL8:$AP8,0)+COUNTIF('Final Calculation Sheet'!$AR8:$BS8,0)&gt;0,0,1)</f>
      </c>
      <c r="RK8" t="str">
        <f>IF($O$8="",FALSE,SUMPRODUCT(('Final Calculation Sheet'!$F$4:$F$40=$O$8)*($RJ$4:$RJ$40=1))&gt;0)</f>
      </c>
      <c r="RL8" t="str">
        <f>=$RL7+--($RK8)</f>
      </c>
      <c r="RM8" t="str">
        <f>IF(ROW()-3&gt;MAX($RL$4:$RL$40),"",INDEX($O$4:$O$40,MATCH(ROW()-3,$RL$4:$RL$40,0)))</f>
      </c>
      <c r="RN8" t="str">
        <f>IF(COUNTIF('Final Calculation Sheet'!$AL8:$AQ8,0)+COUNTIF('Final Calculation Sheet'!$AS8:$BS8,0)&gt;0,0,1)</f>
      </c>
      <c r="RO8" t="str">
        <f>IF($T$8="",FALSE,SUMPRODUCT(('Final Calculation Sheet'!$G$4:$G$40=$T$8)*($RN$4:$RN$40=1))&gt;0)</f>
      </c>
      <c r="RP8" t="str">
        <f>=$RP7+--($RO8)</f>
      </c>
      <c r="RQ8" t="str">
        <f>IF(ROW()-3&gt;MAX($RP$4:$RP$40),"",INDEX($T$4:$T$40,MATCH(ROW()-3,$RP$4:$RP$40,0)))</f>
      </c>
      <c r="RR8" t="str">
        <f>IF(COUNTIF('Final Calculation Sheet'!$AL8:$AR8,0)+COUNTIF('Final Calculation Sheet'!$AT8:$BS8,0)&gt;0,0,1)</f>
      </c>
      <c r="RS8" t="str">
        <f>IF($AX$8="",FALSE,SUMPRODUCT(('Final Calculation Sheet'!$H$4:$H$40=$AX$8)*($RR$4:$RR$40=1))&gt;0)</f>
      </c>
      <c r="RT8" t="str">
        <f>=$RT7+--($RS8)</f>
      </c>
      <c r="RU8" t="str">
        <f>IF(ROW()-3&gt;MAX($RT$4:$RT$40),"",INDEX($AX$4:$AX$40,MATCH(ROW()-3,$RT$4:$RT$40,0)))</f>
      </c>
      <c r="RV8" t="str">
        <f>IF(COUNTIF('Final Calculation Sheet'!$AL8:$AS8,0)+COUNTIF('Final Calculation Sheet'!$AU8:$BS8,0)&gt;0,0,1)</f>
      </c>
      <c r="RW8" t="str">
        <f>IF($BC$8="",FALSE,SUMPRODUCT(('Final Calculation Sheet'!$I$4:$I$40=$BC$8)*($RV$4:$RV$40=1))&gt;0)</f>
      </c>
      <c r="RX8" t="str">
        <f>=$RX7+--($RW8)</f>
      </c>
      <c r="RY8" t="str">
        <f>IF(ROW()-3&gt;MAX($RX$4:$RX$40),"",INDEX($BC$4:$BC$40,MATCH(ROW()-3,$RX$4:$RX$40,0)))</f>
      </c>
      <c r="RZ8" t="str">
        <f>IF(COUNTIF('Final Calculation Sheet'!$AL8:$AT8,0)+COUNTIF('Final Calculation Sheet'!$AV8:$BS8,0)&gt;0,0,1)</f>
      </c>
      <c r="SA8" t="str">
        <f>IF($BH$8="",FALSE,SUMPRODUCT(('Final Calculation Sheet'!$J$4:$J$40=$BH$8)*($RZ$4:$RZ$40=1))&gt;0)</f>
      </c>
      <c r="SB8" t="str">
        <f>=$SB7+--($SA8)</f>
      </c>
      <c r="SC8" t="str">
        <f>IF(ROW()-3&gt;MAX($SB$4:$SB$40),"",INDEX($BH$4:$BH$40,MATCH(ROW()-3,$SB$4:$SB$40,0)))</f>
      </c>
      <c r="SD8" t="str">
        <f>IF(COUNTIF('Final Calculation Sheet'!$AL8:$AU8,0)+COUNTIF('Final Calculation Sheet'!$AW8:$BS8,0)&gt;0,0,1)</f>
      </c>
      <c r="SE8" t="str">
        <f>IF($BM$8="",FALSE,SUMPRODUCT(('Final Calculation Sheet'!$K$4:$K$40=$BM$8)*($SD$4:$SD$40=1))&gt;0)</f>
      </c>
      <c r="SF8" t="str">
        <f>=$SF7+--($SE8)</f>
      </c>
      <c r="SG8" t="str">
        <f>IF(ROW()-3&gt;MAX($SF$4:$SF$40),"",INDEX($BM$4:$BM$40,MATCH(ROW()-3,$SF$4:$SF$40,0)))</f>
      </c>
      <c r="SH8" t="str">
        <f>IF(COUNTIF('Final Calculation Sheet'!$AL8:$AV8,0)+COUNTIF('Final Calculation Sheet'!$AX8:$BS8,0)&gt;0,0,1)</f>
      </c>
      <c r="SI8" t="str">
        <f>IF($BR$8="",FALSE,SUMPRODUCT(('Final Calculation Sheet'!$L$4:$L$40=$BR$8)*($SH$4:$SH$40=1))&gt;0)</f>
      </c>
      <c r="SJ8" t="str">
        <f>=$SJ7+--($SI8)</f>
      </c>
      <c r="SK8" t="str">
        <f>IF(ROW()-3&gt;MAX($SJ$4:$SJ$40),"",INDEX($BR$4:$BR$40,MATCH(ROW()-3,$SJ$4:$SJ$40,0)))</f>
      </c>
      <c r="SL8" t="str">
        <f>IF(COUNTIF('Final Calculation Sheet'!$AL8:$AW8,0)+COUNTIF('Final Calculation Sheet'!$AY8:$BS8,0)&gt;0,0,1)</f>
      </c>
      <c r="SM8" t="str">
        <f>IF($BW$8="",FALSE,SUMPRODUCT(('Final Calculation Sheet'!$M$4:$M$40=$BW$8)*($SL$4:$SL$40=1))&gt;0)</f>
      </c>
      <c r="SN8" t="str">
        <f>=$SN7+--($SM8)</f>
      </c>
      <c r="SO8" t="str">
        <f>IF(ROW()-3&gt;MAX($SN$4:$SN$40),"",INDEX($BW$4:$BW$40,MATCH(ROW()-3,$SN$4:$SN$40,0)))</f>
      </c>
      <c r="SP8" t="str">
        <f>IF(COUNTIF('Final Calculation Sheet'!$AL8:$AX8,0)+COUNTIF('Final Calculation Sheet'!$AZ8:$BS8,0)&gt;0,0,1)</f>
      </c>
      <c r="SQ8" t="str">
        <f>IF($CB$8="",FALSE,SUMPRODUCT(('Final Calculation Sheet'!$N$4:$N$40=$CB$8)*($SP$4:$SP$40=1))&gt;0)</f>
      </c>
      <c r="SR8" t="str">
        <f>=$SR7+--($SQ8)</f>
      </c>
      <c r="SS8" t="str">
        <f>IF(ROW()-3&gt;MAX($SR$4:$SR$40),"",INDEX($CB$4:$CB$40,MATCH(ROW()-3,$SR$4:$SR$40,0)))</f>
      </c>
      <c r="ST8" t="str">
        <f>IF(COUNTIF('Final Calculation Sheet'!$AL8:$AY8,0)+COUNTIF('Final Calculation Sheet'!$BA8:$BS8,0)&gt;0,0,1)</f>
      </c>
      <c r="SU8" t="str">
        <f>IF($CG$8="",FALSE,SUMPRODUCT(('Final Calculation Sheet'!$O$4:$O$40=$CG$8)*($ST$4:$ST$40=1))&gt;0)</f>
      </c>
      <c r="SV8" t="str">
        <f>=$SV7+--($SU8)</f>
      </c>
      <c r="SW8" t="str">
        <f>IF(ROW()-3&gt;MAX($SV$4:$SV$40),"",INDEX($CG$4:$CG$40,MATCH(ROW()-3,$SV$4:$SV$40,0)))</f>
      </c>
      <c r="SX8" t="str">
        <f>IF(COUNTIF('Final Calculation Sheet'!$AL8:$AZ8,0)+COUNTIF('Final Calculation Sheet'!$BB8:$BS8,0)&gt;0,0,1)</f>
      </c>
      <c r="SY8" t="str">
        <f>IF($CL$8="",FALSE,SUMPRODUCT(('Final Calculation Sheet'!$P$4:$P$40=$CL$8)*($SX$4:$SX$40=1))&gt;0)</f>
      </c>
      <c r="SZ8" t="str">
        <f>=$SZ7+--($SY8)</f>
      </c>
      <c r="TA8" t="str">
        <f>IF(ROW()-3&gt;MAX($SZ$4:$SZ$40),"",INDEX($CL$4:$CL$40,MATCH(ROW()-3,$SZ$4:$SZ$40,0)))</f>
      </c>
      <c r="TB8" t="str">
        <f>IF(COUNTIF('Final Calculation Sheet'!$AL8:$BA8,0)+COUNTIF('Final Calculation Sheet'!$BC8:$BS8,0)&gt;0,0,1)</f>
      </c>
      <c r="TC8" t="str">
        <f>IF($CQ$8="",FALSE,SUMPRODUCT(('Final Calculation Sheet'!$Q$4:$Q$40=$CQ$8)*($TB$4:$TB$40=1))&gt;0)</f>
      </c>
      <c r="TD8" t="str">
        <f>=$TD7+--($TC8)</f>
      </c>
      <c r="TE8" t="str">
        <f>IF(ROW()-3&gt;MAX($TD$4:$TD$40),"",INDEX($CQ$4:$CQ$40,MATCH(ROW()-3,$TD$4:$TD$40,0)))</f>
      </c>
      <c r="TF8" t="str">
        <f>IF(COUNTIF('Final Calculation Sheet'!$AL8:$BB8,0)+COUNTIF('Final Calculation Sheet'!$BD8:$BS8,0)&gt;0,0,1)</f>
      </c>
      <c r="TG8" t="str">
        <f>IF($CV$8="",FALSE,SUMPRODUCT(('Final Calculation Sheet'!$R$4:$R$40=$CV$8)*($TF$4:$TF$40=1))&gt;0)</f>
      </c>
      <c r="TH8" t="str">
        <f>=$TH7+--($TG8)</f>
      </c>
      <c r="TI8" t="str">
        <f>IF(ROW()-3&gt;MAX($TH$4:$TH$40),"",INDEX($CV$4:$CV$40,MATCH(ROW()-3,$TH$4:$TH$40,0)))</f>
      </c>
      <c r="TJ8" t="str">
        <f>IF(COUNTIF('Final Calculation Sheet'!$AL8:$BC8,0)+COUNTIF('Final Calculation Sheet'!$BE8:$BS8,0)&gt;0,0,1)</f>
      </c>
      <c r="TK8" t="str">
        <f>IF($DA$8="",FALSE,SUMPRODUCT(('Final Calculation Sheet'!$S$4:$S$40=$DA$8)*($TJ$4:$TJ$40=1))&gt;0)</f>
      </c>
      <c r="TL8" t="str">
        <f>=$TL7+--($TK8)</f>
      </c>
      <c r="TM8" t="str">
        <f>IF(ROW()-3&gt;MAX($TL$4:$TL$40),"",INDEX($DA$4:$DA$40,MATCH(ROW()-3,$TL$4:$TL$40,0)))</f>
      </c>
      <c r="TN8" t="str">
        <f>IF(COUNTIF('Final Calculation Sheet'!$AL8:$BD8,0)+COUNTIF('Final Calculation Sheet'!$BF8:$BS8,0)&gt;0,0,1)</f>
      </c>
      <c r="TO8" t="str">
        <f>IF($DF$8="",FALSE,SUMPRODUCT(('Final Calculation Sheet'!$T$4:$T$40=$DF$8)*($TN$4:$TN$40=1))&gt;0)</f>
      </c>
      <c r="TP8" t="str">
        <f>=$TP7+--($TO8)</f>
      </c>
      <c r="TQ8" t="str">
        <f>IF(ROW()-3&gt;MAX($TP$4:$TP$40),"",INDEX($DF$4:$DF$40,MATCH(ROW()-3,$TP$4:$TP$40,0)))</f>
      </c>
      <c r="TR8" t="str">
        <f>IF(COUNTIF('Final Calculation Sheet'!$AL8:$BE8,0)+COUNTIF('Final Calculation Sheet'!$BG8:$BS8,0)&gt;0,0,1)</f>
      </c>
      <c r="TS8" t="str">
        <f>IF($DK$8="",FALSE,SUMPRODUCT(('Final Calculation Sheet'!$U$4:$U$40=$DK$8)*($TR$4:$TR$40=1))&gt;0)</f>
      </c>
      <c r="TT8" t="str">
        <f>=$TT7+--($TS8)</f>
      </c>
      <c r="TU8" t="str">
        <f>IF(ROW()-3&gt;MAX($TT$4:$TT$40),"",INDEX($DK$4:$DK$40,MATCH(ROW()-3,$TT$4:$TT$40,0)))</f>
      </c>
      <c r="TV8" t="str">
        <f>IF(COUNTIF('Final Calculation Sheet'!$AL8:$BF8,0)+COUNTIF('Final Calculation Sheet'!$BH8:$BS8,0)&gt;0,0,1)</f>
      </c>
      <c r="TW8" t="str">
        <f>IF($DP$8="",FALSE,SUMPRODUCT(('Final Calculation Sheet'!$V$4:$V$40=$DP$8)*($TV$4:$TV$40=1))&gt;0)</f>
      </c>
      <c r="TX8" t="str">
        <f>=$TX7+--($TW8)</f>
      </c>
      <c r="TY8" t="str">
        <f>IF(ROW()-3&gt;MAX($TX$4:$TX$40),"",INDEX($DP$4:$DP$40,MATCH(ROW()-3,$TX$4:$TX$40,0)))</f>
      </c>
      <c r="TZ8" t="str">
        <f>IF(COUNTIF('Final Calculation Sheet'!$AL8:$BG8,0)+COUNTIF('Final Calculation Sheet'!$BI8:$BS8,0)&gt;0,0,1)</f>
      </c>
      <c r="UA8" t="str">
        <f>IF($DU$8="",FALSE,SUMPRODUCT(('Final Calculation Sheet'!$W$4:$W$40=$DU$8)*($TZ$4:$TZ$40=1))&gt;0)</f>
      </c>
      <c r="UB8" t="str">
        <f>=$UB7+--($UA8)</f>
      </c>
      <c r="UC8" t="str">
        <f>IF(ROW()-3&gt;MAX($UB$4:$UB$40),"",INDEX($DU$4:$DU$40,MATCH(ROW()-3,$UB$4:$UB$40,0)))</f>
      </c>
      <c r="UD8" t="str">
        <f>IF(COUNTIF('Final Calculation Sheet'!$AL8:$BH8,0)+COUNTIF('Final Calculation Sheet'!$BJ8:$BS8,0)&gt;0,0,1)</f>
      </c>
      <c r="UE8" t="str">
        <f>IF($DZ$8="",FALSE,SUMPRODUCT(('Final Calculation Sheet'!$X$4:$X$40=$DZ$8)*($UD$4:$UD$40=1))&gt;0)</f>
      </c>
      <c r="UF8" t="str">
        <f>=$UF7+--($UE8)</f>
      </c>
      <c r="UG8" t="str">
        <f>IF(ROW()-3&gt;MAX($UF$4:$UF$40),"",INDEX($DZ$4:$DZ$40,MATCH(ROW()-3,$UF$4:$UF$40,0)))</f>
      </c>
      <c r="UH8" t="str">
        <f>IF(COUNTIF('Final Calculation Sheet'!$AL8:$BI8,0)+COUNTIF('Final Calculation Sheet'!$BK8:$BS8,0)&gt;0,0,1)</f>
      </c>
      <c r="UI8" t="str">
        <f>IF($EE$8="",FALSE,SUMPRODUCT(('Final Calculation Sheet'!$Y$4:$Y$40=$EE$8)*($UH$4:$UH$40=1))&gt;0)</f>
      </c>
      <c r="UJ8" t="str">
        <f>=$UJ7+--($UI8)</f>
      </c>
      <c r="UK8" t="str">
        <f>IF(ROW()-3&gt;MAX($UJ$4:$UJ$40),"",INDEX($EE$4:$EE$40,MATCH(ROW()-3,$UJ$4:$UJ$40,0)))</f>
      </c>
      <c r="UL8" t="str">
        <f>IF(COUNTIF('Final Calculation Sheet'!$AL8:$BJ8,0)+COUNTIF('Final Calculation Sheet'!$BL8:$BS8,0)&gt;0,0,1)</f>
      </c>
      <c r="UM8" t="str">
        <f>IF($EJ$8="",FALSE,SUMPRODUCT(('Final Calculation Sheet'!$Z$4:$Z$40=$EJ$8)*($UL$4:$UL$40=1))&gt;0)</f>
      </c>
      <c r="UN8" t="str">
        <f>=$UN7+--($UM8)</f>
      </c>
      <c r="UO8" t="str">
        <f>IF(ROW()-3&gt;MAX($UN$4:$UN$40),"",INDEX($EJ$4:$EJ$40,MATCH(ROW()-3,$UN$4:$UN$40,0)))</f>
      </c>
      <c r="UP8" t="str">
        <f>IF(COUNTIF('Final Calculation Sheet'!$AL8:$BK8,0)+COUNTIF('Final Calculation Sheet'!$BM8:$BS8,0)&gt;0,0,1)</f>
      </c>
      <c r="UQ8" t="str">
        <f>IF($EO$8="",FALSE,SUMPRODUCT(('Final Calculation Sheet'!$AA$4:$AA$40=$EO$8)*($UP$4:$UP$40=1))&gt;0)</f>
      </c>
      <c r="UR8" t="str">
        <f>=$UR7+--($UQ8)</f>
      </c>
      <c r="US8" t="str">
        <f>IF(ROW()-3&gt;MAX($UR$4:$UR$40),"",INDEX($EO$4:$EO$40,MATCH(ROW()-3,$UR$4:$UR$40,0)))</f>
      </c>
      <c r="UT8" t="str">
        <f>IF(COUNTIF('Final Calculation Sheet'!$AL8:$BL8,0)+COUNTIF('Final Calculation Sheet'!$BN8:$BS8,0)&gt;0,0,1)</f>
      </c>
      <c r="UU8" t="str">
        <f>IF($ET$8="",FALSE,SUMPRODUCT(('Final Calculation Sheet'!$AB$4:$AB$40=$ET$8)*($UT$4:$UT$40=1))&gt;0)</f>
      </c>
      <c r="UV8" t="str">
        <f>=$UV7+--($UU8)</f>
      </c>
      <c r="UW8" t="str">
        <f>IF(ROW()-3&gt;MAX($UV$4:$UV$40),"",INDEX($ET$4:$ET$40,MATCH(ROW()-3,$UV$4:$UV$40,0)))</f>
      </c>
      <c r="UX8" t="str">
        <f>IF(COUNTIF('Final Calculation Sheet'!$AL8:$BM8,0)+COUNTIF('Final Calculation Sheet'!$BO8:$BS8,0)&gt;0,0,1)</f>
      </c>
      <c r="UY8" t="str">
        <f>IF($EY$8="",FALSE,SUMPRODUCT(('Final Calculation Sheet'!$AC$4:$AC$40=$EY$8)*($UX$4:$UX$40=1))&gt;0)</f>
      </c>
      <c r="UZ8" t="str">
        <f>=$UZ7+--($UY8)</f>
      </c>
      <c r="VA8" t="str">
        <f>IF(ROW()-3&gt;MAX($UZ$4:$UZ$40),"",INDEX($EY$4:$EY$40,MATCH(ROW()-3,$UZ$4:$UZ$40,0)))</f>
      </c>
      <c r="VB8" t="str">
        <f>IF(COUNTIF('Final Calculation Sheet'!$AL8:$BN8,0)+COUNTIF('Final Calculation Sheet'!$BP8:$BS8,0)&gt;0,0,1)</f>
      </c>
      <c r="VC8" t="str">
        <f>IF($FD$8="",FALSE,SUMPRODUCT(('Final Calculation Sheet'!$AD$4:$AD$40=$FD$8)*($VB$4:$VB$40=1))&gt;0)</f>
      </c>
      <c r="VD8" t="str">
        <f>=$VD7+--($VC8)</f>
      </c>
      <c r="VE8" t="str">
        <f>IF(ROW()-3&gt;MAX($VD$4:$VD$40),"",INDEX($FD$4:$FD$40,MATCH(ROW()-3,$VD$4:$VD$40,0)))</f>
      </c>
      <c r="VF8" t="str">
        <f>IF(COUNTIF('Final Calculation Sheet'!$AL8:$BO8,0)+COUNTIF('Final Calculation Sheet'!$BQ8:$BS8,0)&gt;0,0,1)</f>
      </c>
      <c r="VG8" t="str">
        <f>IF($FI$8="",FALSE,SUMPRODUCT(('Final Calculation Sheet'!$AE$4:$AE$40=$FI$8)*($VF$4:$VF$40=1))&gt;0)</f>
      </c>
      <c r="VH8" t="str">
        <f>=$VH7+--($VG8)</f>
      </c>
      <c r="VI8" t="str">
        <f>IF(ROW()-3&gt;MAX($VH$4:$VH$40),"",INDEX($FI$4:$FI$40,MATCH(ROW()-3,$VH$4:$VH$40,0)))</f>
      </c>
      <c r="VJ8" t="str">
        <f>IF(COUNTIF('Final Calculation Sheet'!$AL8:$BP8,0)+COUNTIF('Final Calculation Sheet'!$BR8:$BS8,0)&gt;0,0,1)</f>
      </c>
      <c r="VK8" t="str">
        <f>IF($FN$8="",FALSE,SUMPRODUCT(('Final Calculation Sheet'!$AF$4:$AF$40=$FN$8)*($VJ$4:$VJ$40=1))&gt;0)</f>
      </c>
      <c r="VL8" t="str">
        <f>=$VL7+--($VK8)</f>
      </c>
      <c r="VM8" t="str">
        <f>IF(ROW()-3&gt;MAX($VL$4:$VL$40),"",INDEX($FN$4:$FN$40,MATCH(ROW()-3,$VL$4:$VL$40,0)))</f>
      </c>
      <c r="VN8" t="str">
        <f>IF(COUNTIF('Final Calculation Sheet'!$AL8:$BQ8,0)+COUNTIF('Final Calculation Sheet'!$BS8:$BS8,0)&gt;0,0,1)</f>
      </c>
      <c r="VO8" t="str">
        <f>IF($FS$8="",FALSE,SUMPRODUCT(('Final Calculation Sheet'!$AG$4:$AG$40=$FS$8)*($VN$4:$VN$40=1))&gt;0)</f>
      </c>
      <c r="VP8" t="str">
        <f>=$VP7+--($VO8)</f>
      </c>
      <c r="VQ8" t="str">
        <f>IF(ROW()-3&gt;MAX($VP$4:$VP$40),"",INDEX($FS$4:$FS$40,MATCH(ROW()-3,$VP$4:$VP$40,0)))</f>
      </c>
      <c r="VR8" t="str">
        <f>IF(COUNTIF('Final Calculation Sheet'!$AL8:$BR8,0)&gt;0,0,1)</f>
      </c>
      <c r="VS8" t="str">
        <f>IF($QO$8="",FALSE,SUMPRODUCT(('Final Calculation Sheet'!$AH$4:$AH$40=$QO$8)*($VR$4:$VR$40=1))&gt;0)</f>
      </c>
      <c r="VT8" t="str">
        <f>=$VT7+--($VS8)</f>
      </c>
      <c r="VU8" t="str">
        <f>IF(ROW()-3&gt;MAX($VT$4:$VT$40),"",INDEX($QO$4:$QO$40,MATCH(ROW()-3,$VT$4:$VT$40,0)))</f>
      </c>
    </row>
    <row r="9">
      <c r="A9">
        <f>IF('Final Calculation Sheet'!$F$9="","",'Final Calculation Sheet'!$F$9)</f>
        <v/>
      </c>
      <c r="B9">
        <f>IF(A9="","",COUNTIFS(A$4:A$114,"&lt;"&amp;A9,A$4:A$114,"&lt;&gt;"&amp;"")+COUNTIF(A$4:A9,A9))</f>
        <v/>
      </c>
      <c r="C9">
        <f>IF(ROW()-3&gt;COUNTIF(A$4:A$114,"&lt;&gt;"&amp;""),"",INDEX(A$4:A$114,MATCH(ROW()-3,B$4:B$114,0)))</f>
        <v/>
      </c>
      <c r="D9">
        <f>D8+IF(AND(C9&lt;&gt;"",COUNTIF(C$4:C9,C9)=1),1,0)</f>
        <v/>
      </c>
      <c r="E9">
        <f>IF(ROW()-3&gt;MAX(D$4:D$114),"",INDEX(C$4:C$114,MATCH(ROW()-3,D$4:D$114,0)))</f>
        <v/>
      </c>
      <c r="F9">
        <f>ROW()-3</f>
        <v/>
      </c>
      <c r="G9">
        <f>IF(F9="","",COUNTIFS(F$4:F$40,"&lt;"&amp;F9,F$4:F$40,"&lt;&gt;"&amp;"")+COUNTIF(F$4:F9,F9))</f>
        <v/>
      </c>
      <c r="H9">
        <f>IF(ROW()-3&gt;COUNTIF(F$4:F$40,"&lt;&gt;"&amp;""),"",INDEX(F$4:F$40,MATCH(ROW()-3,G$4:G$40,0)))</f>
        <v/>
      </c>
      <c r="I9">
        <f>I8+IF(AND(H9&lt;&gt;"",COUNTIF(H$4:H9,H9)=1),1,0)</f>
        <v/>
      </c>
      <c r="J9">
        <f>IF(ROW()-3&gt;MAX(I$4:I$40),"",INDEX(H$4:H$40,MATCH(ROW()-3,I$4:I$40,0)))</f>
        <v/>
      </c>
      <c r="K9">
        <f>IF('Final Calculation Sheet'!$F$9="","",'Final Calculation Sheet'!$F$9)</f>
        <v/>
      </c>
      <c r="L9">
        <f>IF(K9="","",COUNTIFS(K$4:K$40,"&lt;"&amp;K9,K$4:K$40,"&lt;&gt;"&amp;"")+COUNTIF(K$4:K9,K9))</f>
        <v/>
      </c>
      <c r="M9">
        <f>IF(ROW()-3&gt;COUNTIF(K$4:K$40,"&lt;&gt;"&amp;""),"",INDEX(K$4:K$40,MATCH(ROW()-3,L$4:L$40,0)))</f>
        <v/>
      </c>
      <c r="N9">
        <f>N8+IF(AND(M9&lt;&gt;"",COUNTIF(M$4:M9,M9)=1),1,0)</f>
        <v/>
      </c>
      <c r="O9">
        <f>IF(ROW()-3&gt;MAX(N$4:N$40),"",INDEX(M$4:M$40,MATCH(ROW()-3,N$4:N$40,0)))</f>
        <v/>
      </c>
      <c r="P9">
        <f>IF('Final Calculation Sheet'!$G$9="","",'Final Calculation Sheet'!$G$9)</f>
        <v/>
      </c>
      <c r="Q9">
        <f>IF(P9="","",COUNTIFS(P$4:P$40,"&lt;"&amp;P9,P$4:P$40,"&lt;&gt;"&amp;"")+COUNTIF(P$4:P9,P9))</f>
        <v/>
      </c>
      <c r="R9">
        <f>IF(ROW()-3&gt;COUNTIF(P$4:P$40,"&lt;&gt;"&amp;""),"",INDEX(P$4:P$40,MATCH(ROW()-3,Q$4:Q$40,0)))</f>
        <v/>
      </c>
      <c r="S9">
        <f>S8+IF(AND(R9&lt;&gt;"",COUNTIF(R$4:R9,R9)=1),1,0)</f>
        <v/>
      </c>
      <c r="T9">
        <f>IF(ROW()-3&gt;MAX(S$4:S$40),"",INDEX(R$4:R$40,MATCH(ROW()-3,S$4:S$40,0)))</f>
        <v/>
      </c>
      <c r="U9">
        <f>IF('Final Calculation Sheet'!$B$9="","",'Final Calculation Sheet'!$B$9)</f>
        <v/>
      </c>
      <c r="V9">
        <f>IF(U9="","",COUNTIFS(U$4:U$40,"&lt;"&amp;U9,U$4:U$40,"&lt;&gt;"&amp;"")+COUNTIF(U$4:U9,U9))</f>
        <v/>
      </c>
      <c r="W9">
        <f>IF(ROW()-3&gt;COUNTIF(U$4:U$40,"&lt;&gt;"&amp;""),"",INDEX(U$4:U$40,MATCH(ROW()-3,V$4:V$40,0)))</f>
        <v/>
      </c>
      <c r="X9">
        <f>X8+IF(AND(W9&lt;&gt;"",COUNTIF(W$4:W9,W9)=1),1,0)</f>
        <v/>
      </c>
      <c r="Y9">
        <f>IF(ROW()-3&gt;MAX(X$4:X$40),"",INDEX(W$4:W$40,MATCH(ROW()-3,X$4:X$40,0)))</f>
        <v/>
      </c>
      <c r="Z9">
        <f>IF('Final Calculation Sheet'!$D$9="","",'Final Calculation Sheet'!$D$9)</f>
        <v/>
      </c>
      <c r="AA9">
        <f>IF(Z9="","",COUNTIFS(Z$4:Z$40,"&lt;"&amp;Z9,Z$4:Z$40,"&lt;&gt;"&amp;"")+COUNTIF(Z$4:Z9,Z9))</f>
        <v/>
      </c>
      <c r="AB9">
        <f>IF(ROW()-3&gt;COUNTIF(Z$4:Z$40,"&lt;&gt;"&amp;""),"",INDEX(Z$4:Z$40,MATCH(ROW()-3,AA$4:AA$40,0)))</f>
        <v/>
      </c>
      <c r="AC9">
        <f>AC8+IF(AND(AB9&lt;&gt;"",COUNTIF(AB$4:AB9,AB9)=1),1,0)</f>
        <v/>
      </c>
      <c r="AD9">
        <f>IF(ROW()-3&gt;MAX(AC$4:AC$40),"",INDEX(AB$4:AB$40,MATCH(ROW()-3,AC$4:AC$40,0)))</f>
        <v/>
      </c>
      <c r="AE9">
        <f>IF('Final Calculation Sheet'!$A$9="","",'Final Calculation Sheet'!$A$9)</f>
        <v/>
      </c>
      <c r="AF9">
        <f>IF(AE9="","",COUNTIFS(AE$4:AE$40,"&lt;"&amp;AE9,AE$4:AE$40,"&lt;&gt;"&amp;"")+COUNTIF(AE$4:AE9,AE9))</f>
        <v/>
      </c>
      <c r="AG9">
        <f>IF(ROW()-3&gt;COUNTIF(AE$4:AE$40,"&lt;&gt;"&amp;""),"",INDEX(AE$4:AE$40,MATCH(ROW()-3,AF$4:AF$40,0)))</f>
        <v/>
      </c>
      <c r="AH9">
        <f>AH8+IF(AND(AG9&lt;&gt;"",COUNTIF(AG$4:AG9,AG9)=1),1,0)</f>
        <v/>
      </c>
      <c r="AI9">
        <f>IF(ROW()-3&gt;MAX(AH$4:AH$40),"",INDEX(AG$4:AG$40,MATCH(ROW()-3,AH$4:AH$40,0)))</f>
        <v/>
      </c>
      <c r="AJ9">
        <f>IF('Final Calculation Sheet'!$E$9="","",'Final Calculation Sheet'!$E$9)</f>
        <v/>
      </c>
      <c r="AK9">
        <f>IF(AJ9="","",COUNTIFS(AJ$4:AJ$40,"&lt;"&amp;AJ9,AJ$4:AJ$40,"&lt;&gt;"&amp;"")+COUNTIF(AJ$4:AJ9,AJ9))</f>
        <v/>
      </c>
      <c r="AL9">
        <f>IF(ROW()-3&gt;COUNTIF(AJ$4:AJ$40,"&lt;&gt;"&amp;""),"",INDEX(AJ$4:AJ$40,MATCH(ROW()-3,AK$4:AK$40,0)))</f>
        <v/>
      </c>
      <c r="AM9">
        <f>AM8+IF(AND(AL9&lt;&gt;"",COUNTIF(AL$4:AL9,AL9)=1),1,0)</f>
        <v/>
      </c>
      <c r="AN9">
        <f>IF(ROW()-3&gt;MAX(AM$4:AM$40),"",INDEX(AL$4:AL$40,MATCH(ROW()-3,AM$4:AM$40,0)))</f>
        <v/>
      </c>
      <c r="AO9" s="55">
        <f>IF('Final Calculation Sheet'!$C$9="","",'Final Calculation Sheet'!$C$9)</f>
        <v/>
      </c>
      <c r="AP9">
        <f>IF(AO9="","",COUNTIFS(AO$4:AO$40,"&lt;"&amp;AO9,AO$4:AO$40,"&lt;&gt;"&amp;"")+COUNTIF(AO$4:AO9,AO9))</f>
        <v/>
      </c>
      <c r="AQ9" s="55">
        <f>IF(ROW()-3&gt;COUNTIF(AO$4:AO$40,"&lt;&gt;"&amp;""),"",INDEX(AO$4:AO$40,MATCH(ROW()-3,AP$4:AP$40,0)))</f>
        <v/>
      </c>
      <c r="AR9">
        <f>AR8+IF(AND(AQ9&lt;&gt;"",COUNTIF(AQ$4:AQ9,AQ9)=1),1,0)</f>
        <v/>
      </c>
      <c r="AS9" s="55">
        <f>IF(ROW()-3&gt;MAX(AR$4:AR$40),"",INDEX(AQ$4:AQ$40,MATCH(ROW()-3,AR$4:AR$40,0)))</f>
        <v/>
      </c>
      <c r="AT9" s="55">
        <f>IF('Final Calculation Sheet'!$H$9="","",'Final Calculation Sheet'!$H$9)</f>
        <v/>
      </c>
      <c r="AU9">
        <f>IF(AT9="","",COUNTIFS(AT$4:AT$40,"&lt;"&amp;AT9,AT$4:AT$40,"&lt;&gt;"&amp;"")+COUNTIF(AT$4:AT9,AT9))</f>
        <v/>
      </c>
      <c r="AV9" s="55">
        <f>IF(ROW()-3&gt;COUNTIF(AT$4:AT$40,"&lt;&gt;"&amp;""),"",INDEX(AT$4:AT$40,MATCH(ROW()-3,AU$4:AU$40,0)))</f>
        <v/>
      </c>
      <c r="AW9">
        <f>AW8+IF(AND(AV9&lt;&gt;"",COUNTIF(AV$4:AV9,AV9)=1),1,0)</f>
        <v/>
      </c>
      <c r="AX9" s="55">
        <f>IF(ROW()-3&gt;MAX(AW$4:AW$40),"",INDEX(AV$4:AV$40,MATCH(ROW()-3,AW$4:AW$40,0)))</f>
        <v/>
      </c>
      <c r="AY9" s="55">
        <f>IF('Final Calculation Sheet'!$I$9="","",'Final Calculation Sheet'!$I$9)</f>
        <v/>
      </c>
      <c r="AZ9">
        <f>IF(AY9="","",COUNTIFS(AY$4:AY$40,"&lt;"&amp;AY9,AY$4:AY$40,"&lt;&gt;"&amp;"")+COUNTIF(AY$4:AY9,AY9))</f>
        <v/>
      </c>
      <c r="BA9" s="55">
        <f>IF(ROW()-3&gt;COUNTIF(AY$4:AY$40,"&lt;&gt;"&amp;""),"",INDEX(AY$4:AY$40,MATCH(ROW()-3,AZ$4:AZ$40,0)))</f>
        <v/>
      </c>
      <c r="BB9">
        <f>BB8+IF(AND(BA9&lt;&gt;"",COUNTIF(BA$4:BA9,BA9)=1),1,0)</f>
        <v/>
      </c>
      <c r="BC9" s="55">
        <f>IF(ROW()-3&gt;MAX(BB$4:BB$40),"",INDEX(BA$4:BA$40,MATCH(ROW()-3,BB$4:BB$40,0)))</f>
        <v/>
      </c>
      <c r="BD9" s="55">
        <f>IF('Final Calculation Sheet'!$J$9="","",'Final Calculation Sheet'!$J$9)</f>
        <v/>
      </c>
      <c r="BE9">
        <f>IF(BD9="","",COUNTIFS(BD$4:BD$40,"&lt;"&amp;BD9,BD$4:BD$40,"&lt;&gt;"&amp;"")+COUNTIF(BD$4:BD9,BD9))</f>
        <v/>
      </c>
      <c r="BF9" s="55">
        <f>IF(ROW()-3&gt;COUNTIF(BD$4:BD$40,"&lt;&gt;"&amp;""),"",INDEX(BD$4:BD$40,MATCH(ROW()-3,BE$4:BE$40,0)))</f>
        <v/>
      </c>
      <c r="BG9">
        <f>BG8+IF(AND(BF9&lt;&gt;"",COUNTIF(BF$4:BF9,BF9)=1),1,0)</f>
        <v/>
      </c>
      <c r="BH9" s="55">
        <f>IF(ROW()-3&gt;MAX(BG$4:BG$40),"",INDEX(BF$4:BF$40,MATCH(ROW()-3,BG$4:BG$40,0)))</f>
        <v/>
      </c>
      <c r="BI9" s="55">
        <f>IF('Final Calculation Sheet'!$K$9="","",'Final Calculation Sheet'!$K$9)</f>
        <v/>
      </c>
      <c r="BJ9">
        <f>IF(BI9="","",COUNTIFS(BI$4:BI$40,"&lt;"&amp;BI9,BI$4:BI$40,"&lt;&gt;"&amp;"")+COUNTIF(BI$4:BI9,BI9))</f>
        <v/>
      </c>
      <c r="BK9" s="55">
        <f>IF(ROW()-3&gt;COUNTIF(BI$4:BI$40,"&lt;&gt;"&amp;""),"",INDEX(BI$4:BI$40,MATCH(ROW()-3,BJ$4:BJ$40,0)))</f>
        <v/>
      </c>
      <c r="BL9">
        <f>BL8+IF(AND(BK9&lt;&gt;"",COUNTIF(BK$4:BK9,BK9)=1),1,0)</f>
        <v/>
      </c>
      <c r="BM9" s="55">
        <f>IF(ROW()-3&gt;MAX(BL$4:BL$40),"",INDEX(BK$4:BK$40,MATCH(ROW()-3,BL$4:BL$40,0)))</f>
        <v/>
      </c>
      <c r="BN9" s="55">
        <f>IF('Final Calculation Sheet'!$L$9="","",'Final Calculation Sheet'!$L$9)</f>
        <v/>
      </c>
      <c r="BO9">
        <f>IF(BN9="","",COUNTIFS(BN$4:BN$40,"&lt;"&amp;BN9,BN$4:BN$40,"&lt;&gt;"&amp;"")+COUNTIF(BN$4:BN9,BN9))</f>
        <v/>
      </c>
      <c r="BP9" s="55">
        <f>IF(ROW()-3&gt;COUNTIF(BN$4:BN$40,"&lt;&gt;"&amp;""),"",INDEX(BN$4:BN$40,MATCH(ROW()-3,BO$4:BO$40,0)))</f>
        <v/>
      </c>
      <c r="BQ9">
        <f>BQ8+IF(AND(BP9&lt;&gt;"",COUNTIF(BP$4:BP9,BP9)=1),1,0)</f>
        <v/>
      </c>
      <c r="BR9" s="55">
        <f>IF(ROW()-3&gt;MAX(BQ$4:BQ$40),"",INDEX(BP$4:BP$40,MATCH(ROW()-3,BQ$4:BQ$40,0)))</f>
        <v/>
      </c>
      <c r="BS9" s="55">
        <f>IF('Final Calculation Sheet'!$M$9="","",'Final Calculation Sheet'!$M$9)</f>
        <v/>
      </c>
      <c r="BT9">
        <f>IF(BS9="","",COUNTIFS(BS$4:BS$40,"&lt;"&amp;BS9,BS$4:BS$40,"&lt;&gt;"&amp;"")+COUNTIF(BS$4:BS9,BS9))</f>
        <v/>
      </c>
      <c r="BU9" s="55">
        <f>IF(ROW()-3&gt;COUNTIF(BS$4:BS$40,"&lt;&gt;"&amp;""),"",INDEX(BS$4:BS$40,MATCH(ROW()-3,BT$4:BT$40,0)))</f>
        <v/>
      </c>
      <c r="BV9">
        <f>BV8+IF(AND(BU9&lt;&gt;"",COUNTIF(BU$4:BU9,BU9)=1),1,0)</f>
        <v/>
      </c>
      <c r="BW9" s="55">
        <f>IF(ROW()-3&gt;MAX(BV$4:BV$40),"",INDEX(BU$4:BU$40,MATCH(ROW()-3,BV$4:BV$40,0)))</f>
        <v/>
      </c>
      <c r="BX9" s="138">
        <f>IF('Final Calculation Sheet'!$N$9="","",'Final Calculation Sheet'!$N$9)</f>
        <v/>
      </c>
      <c r="BY9">
        <f>IF(BX9="","",COUNTIFS(BX$4:BX$40,"&lt;"&amp;BX9,BX$4:BX$40,"&lt;&gt;"&amp;"")+COUNTIF(BX$4:BX9,BX9))</f>
        <v/>
      </c>
      <c r="BZ9" s="138">
        <f>IF(ROW()-3&gt;COUNTIF(BX$4:BX$40,"&lt;&gt;"&amp;""),"",INDEX(BX$4:BX$40,MATCH(ROW()-3,BY$4:BY$40,0)))</f>
        <v/>
      </c>
      <c r="CA9">
        <f>CA8+IF(AND(BZ9&lt;&gt;"",COUNTIF(BZ$4:BZ9,BZ9)=1),1,0)</f>
        <v/>
      </c>
      <c r="CB9" s="138">
        <f>IF(ROW()-3&gt;MAX(CA$4:CA$40),"",INDEX(BZ$4:BZ$40,MATCH(ROW()-3,CA$4:CA$40,0)))</f>
        <v/>
      </c>
      <c r="CC9" s="55">
        <f>IF('Final Calculation Sheet'!$O$9="","",'Final Calculation Sheet'!$O$9)</f>
        <v/>
      </c>
      <c r="CD9">
        <f>IF(CC9="","",COUNTIFS(CC$4:CC$40,"&lt;"&amp;CC9,CC$4:CC$40,"&lt;&gt;"&amp;"")+COUNTIF(CC$4:CC9,CC9))</f>
        <v/>
      </c>
      <c r="CE9" s="55">
        <f>IF(ROW()-3&gt;COUNTIF(CC$4:CC$40,"&lt;&gt;"&amp;""),"",INDEX(CC$4:CC$40,MATCH(ROW()-3,CD$4:CD$40,0)))</f>
        <v/>
      </c>
      <c r="CF9">
        <f>CF8+IF(AND(CE9&lt;&gt;"",COUNTIF(CE$4:CE9,CE9)=1),1,0)</f>
        <v/>
      </c>
      <c r="CG9" s="55">
        <f>IF(ROW()-3&gt;MAX(CF$4:CF$40),"",INDEX(CE$4:CE$40,MATCH(ROW()-3,CF$4:CF$40,0)))</f>
        <v/>
      </c>
      <c r="CH9" s="55">
        <f>IF('Final Calculation Sheet'!$P$9="","",'Final Calculation Sheet'!$P$9)</f>
        <v/>
      </c>
      <c r="CI9">
        <f>IF(CH9="","",COUNTIFS(CH$4:CH$40,"&lt;"&amp;CH9,CH$4:CH$40,"&lt;&gt;"&amp;"")+COUNTIF(CH$4:CH9,CH9))</f>
        <v/>
      </c>
      <c r="CJ9" s="55">
        <f>IF(ROW()-3&gt;COUNTIF(CH$4:CH$40,"&lt;&gt;"&amp;""),"",INDEX(CH$4:CH$40,MATCH(ROW()-3,CI$4:CI$40,0)))</f>
        <v/>
      </c>
      <c r="CK9">
        <f>CK8+IF(AND(CJ9&lt;&gt;"",COUNTIF(CJ$4:CJ9,CJ9)=1),1,0)</f>
        <v/>
      </c>
      <c r="CL9" s="55">
        <f>IF(ROW()-3&gt;MAX(CK$4:CK$40),"",INDEX(CJ$4:CJ$40,MATCH(ROW()-3,CK$4:CK$40,0)))</f>
        <v/>
      </c>
      <c r="CM9" s="139">
        <f>IF('Final Calculation Sheet'!$Q$9="","",'Final Calculation Sheet'!$Q$9)</f>
        <v/>
      </c>
      <c r="CN9">
        <f>IF(CM9="","",COUNTIFS(CM$4:CM$40,"&lt;"&amp;CM9,CM$4:CM$40,"&lt;&gt;"&amp;"")+COUNTIF(CM$4:CM9,CM9))</f>
        <v/>
      </c>
      <c r="CO9" s="139">
        <f>IF(ROW()-3&gt;COUNTIF(CM$4:CM$40,"&lt;&gt;"&amp;""),"",INDEX(CM$4:CM$40,MATCH(ROW()-3,CN$4:CN$40,0)))</f>
        <v/>
      </c>
      <c r="CP9">
        <f>CP8+IF(AND(CO9&lt;&gt;"",COUNTIF(CO$4:CO9,CO9)=1),1,0)</f>
        <v/>
      </c>
      <c r="CQ9">
        <f>IF(ROW()-3&gt;MAX(CP$4:CP$40),"",INDEX(CO$4:CO$40,MATCH(ROW()-3,CP$4:CP$40,0)))</f>
        <v/>
      </c>
      <c r="CR9" s="55">
        <f>IF('Final Calculation Sheet'!$R$9="","",'Final Calculation Sheet'!$R$9)</f>
        <v/>
      </c>
      <c r="CS9">
        <f>IF(CR9="","",COUNTIFS(CR$4:CR$40,"&lt;"&amp;CR9,CR$4:CR$40,"&lt;&gt;"&amp;"")+COUNTIF(CR$4:CR9,CR9))</f>
        <v/>
      </c>
      <c r="CT9" s="55">
        <f>IF(ROW()-3&gt;COUNTIF(CR$4:CR$40,"&lt;&gt;"&amp;""),"",INDEX(CR$4:CR$40,MATCH(ROW()-3,CS$4:CS$40,0)))</f>
        <v/>
      </c>
      <c r="CU9">
        <f>CU8+IF(AND(CT9&lt;&gt;"",COUNTIF(CT$4:CT9,CT9)=1),1,0)</f>
        <v/>
      </c>
      <c r="CV9">
        <f>IF(ROW()-3&gt;MAX(CU$4:CU$40),"",INDEX(CT$4:CT$40,MATCH(ROW()-3,CU$4:CU$40,0)))</f>
        <v/>
      </c>
      <c r="CW9" s="55">
        <f>IF('Final Calculation Sheet'!$S$9="","",'Final Calculation Sheet'!$S$9)</f>
        <v/>
      </c>
      <c r="CX9">
        <f>IF(CW9="","",COUNTIFS(CW$4:CW$40,"&lt;"&amp;CW9,CW$4:CW$40,"&lt;&gt;"&amp;"")+COUNTIF(CW$4:CW9,CW9))</f>
        <v/>
      </c>
      <c r="CY9" s="55">
        <f>IF(ROW()-3&gt;COUNTIF(CW$4:CW$40,"&lt;&gt;"&amp;""),"",INDEX(CW$4:CW$40,MATCH(ROW()-3,CX$4:CX$40,0)))</f>
        <v/>
      </c>
      <c r="CZ9">
        <f>CZ8+IF(AND(CY9&lt;&gt;"",COUNTIF(CY$4:CY9,CY9)=1),1,0)</f>
        <v/>
      </c>
      <c r="DA9" s="55">
        <f>IF(ROW()-3&gt;MAX(CZ$4:CZ$40),"",INDEX(CY$4:CY$40,MATCH(ROW()-3,CZ$4:CZ$40,0)))</f>
        <v/>
      </c>
      <c r="DB9" s="55">
        <f>IF('Final Calculation Sheet'!$T$9="","",'Final Calculation Sheet'!$T$9)</f>
        <v/>
      </c>
      <c r="DC9">
        <f>IF(DB9="","",COUNTIFS(DB$4:DB$40,"&lt;"&amp;DB9,DB$4:DB$40,"&lt;&gt;"&amp;"")+COUNTIF(DB$4:DB9,DB9))</f>
        <v/>
      </c>
      <c r="DD9" s="55">
        <f>IF(ROW()-3&gt;COUNTIF(DB$4:DB$40,"&lt;&gt;"&amp;""),"",INDEX(DB$4:DB$40,MATCH(ROW()-3,DC$4:DC$40,0)))</f>
        <v/>
      </c>
      <c r="DE9">
        <f>DE8+IF(AND(DD9&lt;&gt;"",COUNTIF(DD$4:DD9,DD9)=1),1,0)</f>
        <v/>
      </c>
      <c r="DF9" s="55">
        <f>IF(ROW()-3&gt;MAX(DE$4:DE$40),"",INDEX(DD$4:DD$40,MATCH(ROW()-3,DE$4:DE$40,0)))</f>
        <v/>
      </c>
      <c r="DG9" s="140">
        <f>IF('Final Calculation Sheet'!$U$9="","",'Final Calculation Sheet'!$U$9)</f>
        <v/>
      </c>
      <c r="DH9">
        <f>IF(DG9="","",COUNTIFS(DG$4:DG$40,"&lt;"&amp;DG9,DG$4:DG$40,"&lt;&gt;"&amp;"")+COUNTIF(DG$4:DG9,DG9))</f>
        <v/>
      </c>
      <c r="DI9" s="140">
        <f>IF(ROW()-3&gt;COUNTIF(DG$4:DG$40,"&lt;&gt;"&amp;""),"",INDEX(DG$4:DG$40,MATCH(ROW()-3,DH$4:DH$40,0)))</f>
        <v/>
      </c>
      <c r="DJ9">
        <f>DJ8+IF(AND(DI9&lt;&gt;"",COUNTIF(DI$4:DI9,DI9)=1),1,0)</f>
        <v/>
      </c>
      <c r="DK9" s="140">
        <f>IF(ROW()-3&gt;MAX(DJ$4:DJ$40),"",INDEX(DI$4:DI$40,MATCH(ROW()-3,DJ$4:DJ$40,0)))</f>
        <v/>
      </c>
      <c r="DL9">
        <f>IF('Final Calculation Sheet'!$V$9="","",'Final Calculation Sheet'!$V$9)</f>
        <v/>
      </c>
      <c r="DM9">
        <f>IF(DL9="","",COUNTIFS(DL$4:DL$40,"&lt;"&amp;DL9,DL$4:DL$40,"&lt;&gt;"&amp;"")+COUNTIF(DL$4:DL9,DL9))</f>
        <v/>
      </c>
      <c r="DN9">
        <f>IF(ROW()-3&gt;COUNTIF(DL$4:DL$40,"&lt;&gt;"&amp;""),"",INDEX(DL$4:DL$40,MATCH(ROW()-3,DM$4:DM$40,0)))</f>
        <v/>
      </c>
      <c r="DO9">
        <f>DO8+IF(AND(DN9&lt;&gt;"",COUNTIF(DN$4:DN9,DN9)=1),1,0)</f>
        <v/>
      </c>
      <c r="DP9">
        <f>IF(ROW()-3&gt;MAX(DO$4:DO$40),"",INDEX(DN$4:DN$40,MATCH(ROW()-3,DO$4:DO$40,0)))</f>
        <v/>
      </c>
      <c r="DQ9" s="55">
        <f>IF('Final Calculation Sheet'!$W$9="","",'Final Calculation Sheet'!$W$9)</f>
        <v/>
      </c>
      <c r="DR9">
        <f>IF(DQ9="","",COUNTIFS(DQ$4:DQ$40,"&lt;"&amp;DQ9,DQ$4:DQ$40,"&lt;&gt;"&amp;"")+COUNTIF(DQ$4:DQ9,DQ9))</f>
        <v/>
      </c>
      <c r="DS9" s="55">
        <f>IF(ROW()-3&gt;COUNTIF(DQ$4:DQ$40,"&lt;&gt;"&amp;""),"",INDEX(DQ$4:DQ$40,MATCH(ROW()-3,DR$4:DR$40,0)))</f>
        <v/>
      </c>
      <c r="DT9">
        <f>DT8+IF(AND(DS9&lt;&gt;"",COUNTIF(DS$4:DS9,DS9)=1),1,0)</f>
        <v/>
      </c>
      <c r="DU9" s="55">
        <f>IF(ROW()-3&gt;MAX(DT$4:DT$40),"",INDEX(DS$4:DS$40,MATCH(ROW()-3,DT$4:DT$40,0)))</f>
        <v/>
      </c>
      <c r="DV9" s="55">
        <f>IF('Final Calculation Sheet'!$X$9="","",'Final Calculation Sheet'!$X$9)</f>
        <v/>
      </c>
      <c r="DW9">
        <f>IF(DV9="","",COUNTIFS(DV$4:DV$40,"&lt;"&amp;DV9,DV$4:DV$40,"&lt;&gt;"&amp;"")+COUNTIF(DV$4:DV9,DV9))</f>
        <v/>
      </c>
      <c r="DX9" s="55">
        <f>IF(ROW()-3&gt;COUNTIF(DV$4:DV$40,"&lt;&gt;"&amp;""),"",INDEX(DV$4:DV$40,MATCH(ROW()-3,DW$4:DW$40,0)))</f>
        <v/>
      </c>
      <c r="DY9">
        <f>DY8+IF(AND(DX9&lt;&gt;"",COUNTIF(DX$4:DX9,DX9)=1),1,0)</f>
        <v/>
      </c>
      <c r="DZ9">
        <f>IF(ROW()-3&gt;MAX(DY$4:DY$40),"",INDEX(DX$4:DX$40,MATCH(ROW()-3,DY$4:DY$40,0)))</f>
        <v/>
      </c>
      <c r="EA9">
        <f>IF('Final Calculation Sheet'!$Y$9="","",'Final Calculation Sheet'!$Y$9)</f>
        <v/>
      </c>
      <c r="EB9">
        <f>IF(EA9="","",COUNTIFS(EA$4:EA$40,"&lt;"&amp;EA9,EA$4:EA$40,"&lt;&gt;"&amp;"")+COUNTIF(EA$4:EA9,EA9))</f>
        <v/>
      </c>
      <c r="EC9">
        <f>IF(ROW()-3&gt;COUNTIF(EA$4:EA$40,"&lt;&gt;"&amp;""),"",INDEX(EA$4:EA$40,MATCH(ROW()-3,EB$4:EB$40,0)))</f>
        <v/>
      </c>
      <c r="ED9">
        <f>ED8+IF(AND(EC9&lt;&gt;"",COUNTIF(EC$4:EC9,EC9)=1),1,0)</f>
        <v/>
      </c>
      <c r="EE9">
        <f>IF(ROW()-3&gt;MAX(ED$4:ED$40),"",INDEX(EC$4:EC$40,MATCH(ROW()-3,ED$4:ED$40,0)))</f>
        <v/>
      </c>
      <c r="EF9" s="55">
        <f>IF('Final Calculation Sheet'!$Z$9="","",'Final Calculation Sheet'!$Z$9)</f>
        <v/>
      </c>
      <c r="EG9">
        <f>IF(EF9="","",COUNTIFS(EF$4:EF$40,"&lt;"&amp;EF9,EF$4:EF$40,"&lt;&gt;"&amp;"")+COUNTIF(EF$4:EF9,EF9))</f>
        <v/>
      </c>
      <c r="EH9" s="55">
        <f>IF(ROW()-3&gt;COUNTIF(EF$4:EF$40,"&lt;&gt;"&amp;""),"",INDEX(EF$4:EF$40,MATCH(ROW()-3,EG$4:EG$40,0)))</f>
        <v/>
      </c>
      <c r="EI9">
        <f>EI8+IF(AND(EH9&lt;&gt;"",COUNTIF(EH$4:EH9,EH9)=1),1,0)</f>
        <v/>
      </c>
      <c r="EJ9" s="55">
        <f>IF(ROW()-3&gt;MAX(EI$4:EI$40),"",INDEX(EH$4:EH$40,MATCH(ROW()-3,EI$4:EI$40,0)))</f>
        <v/>
      </c>
      <c r="EK9">
        <f>IF('Final Calculation Sheet'!$AA$9="","",'Final Calculation Sheet'!$AA$9)</f>
        <v/>
      </c>
      <c r="EL9">
        <f>IF(EK9="","",COUNTIFS(EK$4:EK$40,"&lt;"&amp;EK9,EK$4:EK$40,"&lt;&gt;"&amp;"")+COUNTIF(EK$4:EK9,EK9))</f>
        <v/>
      </c>
      <c r="EM9">
        <f>IF(ROW()-3&gt;COUNTIF(EK$4:EK$40,"&lt;&gt;"&amp;""),"",INDEX(EK$4:EK$40,MATCH(ROW()-3,EL$4:EL$40,0)))</f>
        <v/>
      </c>
      <c r="EN9">
        <f>EN8+IF(AND(EM9&lt;&gt;"",COUNTIF(EM$4:EM9,EM9)=1),1,0)</f>
        <v/>
      </c>
      <c r="EO9">
        <f>IF(ROW()-3&gt;MAX(EN$4:EN$40),"",INDEX(EM$4:EM$40,MATCH(ROW()-3,EN$4:EN$40,0)))</f>
        <v/>
      </c>
      <c r="EP9">
        <f>IF('Final Calculation Sheet'!$AB$9="","",'Final Calculation Sheet'!$AB$9)</f>
        <v/>
      </c>
      <c r="EQ9">
        <f>IF(EP9="","",COUNTIFS(EP$4:EP$40,"&lt;"&amp;EP9,EP$4:EP$40,"&lt;&gt;"&amp;"")+COUNTIF(EP$4:EP9,EP9))</f>
        <v/>
      </c>
      <c r="ER9">
        <f>IF(ROW()-3&gt;COUNTIF(EP$4:EP$40,"&lt;&gt;"&amp;""),"",INDEX(EP$4:EP$40,MATCH(ROW()-3,EQ$4:EQ$40,0)))</f>
        <v/>
      </c>
      <c r="ES9">
        <f>ES8+IF(AND(ER9&lt;&gt;"",COUNTIF(ER$4:ER9,ER9)=1),1,0)</f>
        <v/>
      </c>
      <c r="ET9">
        <f>IF(ROW()-3&gt;MAX(ES$4:ES$40),"",INDEX(ER$4:ER$40,MATCH(ROW()-3,ES$4:ES$40,0)))</f>
        <v/>
      </c>
      <c r="EU9" s="55">
        <f>IF('Final Calculation Sheet'!$AC$9="","",'Final Calculation Sheet'!$AC$9)</f>
        <v/>
      </c>
      <c r="EV9">
        <f>IF(EU9="","",COUNTIFS(EU$4:EU$40,"&lt;"&amp;EU9,EU$4:EU$40,"&lt;&gt;"&amp;"")+COUNTIF(EU$4:EU9,EU9))</f>
        <v/>
      </c>
      <c r="EW9" s="55">
        <f>IF(ROW()-3&gt;COUNTIF(EU$4:EU$40,"&lt;&gt;"&amp;""),"",INDEX(EU$4:EU$40,MATCH(ROW()-3,EV$4:EV$40,0)))</f>
        <v/>
      </c>
      <c r="EX9">
        <f>EX8+IF(AND(EW9&lt;&gt;"",COUNTIF(EW$4:EW9,EW9)=1),1,0)</f>
        <v/>
      </c>
      <c r="EY9" s="55">
        <f>IF(ROW()-3&gt;MAX(EX$4:EX$40),"",INDEX(EW$4:EW$40,MATCH(ROW()-3,EX$4:EX$40,0)))</f>
        <v/>
      </c>
      <c r="EZ9" s="55">
        <f>IF('Final Calculation Sheet'!$AD$9="","",'Final Calculation Sheet'!$AD$9)</f>
        <v/>
      </c>
      <c r="FA9">
        <f>IF(EZ9="","",COUNTIFS(EZ$4:EZ$40,"&lt;"&amp;EZ9,EZ$4:EZ$40,"&lt;&gt;"&amp;"")+COUNTIF(EZ$4:EZ9,EZ9))</f>
        <v/>
      </c>
      <c r="FB9" s="55">
        <f>IF(ROW()-3&gt;COUNTIF(EZ$4:EZ$40,"&lt;&gt;"&amp;""),"",INDEX(EZ$4:EZ$40,MATCH(ROW()-3,FA$4:FA$40,0)))</f>
        <v/>
      </c>
      <c r="FC9">
        <f>FC8+IF(AND(FB9&lt;&gt;"",COUNTIF(FB$4:FB9,FB9)=1),1,0)</f>
        <v/>
      </c>
      <c r="FD9" s="55">
        <f>IF(ROW()-3&gt;MAX(FC$4:FC$40),"",INDEX(FB$4:FB$40,MATCH(ROW()-3,FC$4:FC$40,0)))</f>
        <v/>
      </c>
      <c r="FE9">
        <f>IF('Final Calculation Sheet'!$AF$9="","",'Final Calculation Sheet'!$AF$9)</f>
        <v/>
      </c>
      <c r="FF9">
        <f>IF(FE9="","",COUNTIFS(FE$4:FE$40,"&lt;"&amp;FE9,FE$4:FE$40,"&lt;&gt;"&amp;"")+COUNTIF(FE$4:FE9,FE9))</f>
        <v/>
      </c>
      <c r="FG9">
        <f>IF(ROW()-3&gt;COUNTIF(FE$4:FE$40,"&lt;&gt;"&amp;""),"",INDEX(FE$4:FE$40,MATCH(ROW()-3,FF$4:FF$40,0)))</f>
        <v/>
      </c>
      <c r="FH9">
        <f>FH8+IF(AND(FG9&lt;&gt;"",COUNTIF(FG$4:FG9,FG9)=1),1,0)</f>
        <v/>
      </c>
      <c r="FI9">
        <f>IF(ROW()-3&gt;MAX(FH$4:FH$40),"",INDEX(FG$4:FG$40,MATCH(ROW()-3,FH$4:FH$40,0)))</f>
        <v/>
      </c>
      <c r="FJ9" s="141">
        <f>IF('Final Calculation Sheet'!$AG$9="","",'Final Calculation Sheet'!$AG$9)</f>
        <v/>
      </c>
      <c r="FK9">
        <f>IF(FJ9="","",COUNTIFS(FJ$4:FJ$40,"&lt;"&amp;FJ9,FJ$4:FJ$40,"&lt;&gt;"&amp;"")+COUNTIF(FJ$4:FJ9,FJ9))</f>
        <v/>
      </c>
      <c r="FL9" s="141">
        <f>IF(ROW()-3&gt;COUNTIF(FJ$4:FJ$40,"&lt;&gt;"&amp;""),"",INDEX(FJ$4:FJ$40,MATCH(ROW()-3,FK$4:FK$40,0)))</f>
        <v/>
      </c>
      <c r="FM9">
        <f>FM8+IF(AND(FL9&lt;&gt;"",COUNTIF(FL$4:FL9,FL9)=1),1,0)</f>
        <v/>
      </c>
      <c r="FN9">
        <f>IF(ROW()-3&gt;MAX(FM$4:FM$40),"",INDEX(FL$4:FL$40,MATCH(ROW()-3,FM$4:FM$40,0)))</f>
        <v/>
      </c>
      <c r="FO9">
        <f>IF('Final Calculation Sheet'!$AH$9="","",'Final Calculation Sheet'!$AH$9)</f>
        <v/>
      </c>
      <c r="FP9">
        <f>IF(FO9="","",COUNTIFS(FO$4:FO$40,"&lt;"&amp;FO9,FO$4:FO$40,"&lt;&gt;"&amp;"")+COUNTIF(FO$4:FO9,FO9))</f>
        <v/>
      </c>
      <c r="FQ9">
        <f>IF(ROW()-3&gt;COUNTIF(FO$4:FO$40,"&lt;&gt;"&amp;""),"",INDEX(FO$4:FO$40,MATCH(ROW()-3,FP$4:FP$40,0)))</f>
        <v/>
      </c>
      <c r="FR9">
        <f>FR8+IF(AND(FQ9&lt;&gt;"",COUNTIF(FQ$4:FQ9,FQ9)=1),1,0)</f>
        <v/>
      </c>
      <c r="FS9">
        <f>IF(ROW()-3&gt;MAX(FR$4:FR$40),"",INDEX(FQ$4:FQ$40,MATCH(ROW()-3,FR$4:FR$40,0)))</f>
        <v/>
      </c>
      <c r="FU9">
        <f>IF(FT9="","",COUNTIFS(FT$4:FT$40,"&lt;"&amp;FT9,FT$4:FT$40,"&lt;&gt;"&amp;"")+COUNTIF(FT$4:FT9,FT9))</f>
        <v/>
      </c>
      <c r="FV9">
        <f>IF(ROW()-3&gt;COUNTIF(FT$4:FT$40,"&lt;&gt;"&amp;""),"",INDEX(FT$4:FT$40,MATCH(ROW()-3,FU$4:FU$40,0)))</f>
        <v/>
      </c>
      <c r="FW9">
        <f>FW8+IF(AND(FV9&lt;&gt;"",COUNTIF(FV$4:FV9,FV9)=1),1,0)</f>
        <v/>
      </c>
      <c r="FX9">
        <f>IF(ROW()-3&gt;MAX(FW$4:FW$40),"",INDEX(FV$4:FV$40,MATCH(ROW()-3,FW$4:FW$40,0)))</f>
        <v/>
      </c>
      <c r="FY9">
        <f>IF(COUNTIF('Live Search'!BM$8:BO$8,0)+COUNTIF('Live Search'!BQ$8:CU$8,0)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9">
        <f>IF($Y$9="",FALSE,SUMPRODUCT(('Final Calculation Sheet'!$B$4:$B$40=$Y$9)*($FY$6:$FY$42=1))&gt;0)</f>
        <v/>
      </c>
      <c r="GA9">
        <f>$GA$8+--($FZ$9)</f>
        <v/>
      </c>
      <c r="GB9">
        <f>IF(ROW()-3&gt;MAX($GA$4:$GA$40),"",INDEX($Y$4:$Y$40,MATCH(ROW()-3,$GA$4:$GA$40,0)))</f>
        <v/>
      </c>
      <c r="GC9">
        <f>IF(COUNTIF('Live Search'!BM$8:BM$8,0)+COUNTIF('Live Search'!BO$8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GD9">
        <f>IF($O$9="",FALSE,SUMPRODUCT(('Final Calculation Sheet'!$F$4:$F$40=$O$9)*($GC$6:$GC$42=1))&gt;0)</f>
        <v/>
      </c>
      <c r="GE9">
        <f>$GE$8+--($GD9)</f>
        <v/>
      </c>
      <c r="GF9">
        <f>IF(ROW()-3&gt;MAX($GE$4:$GE$40),"",INDEX($O$4:$O$40,MATCH(ROW()-3,$GE$4:$GE$40,0)))</f>
        <v/>
      </c>
      <c r="GG9">
        <f>IF(COUNTIF('Live Search'!BM$8:BN$8,0)+COUNTIF('Live Search'!BP$8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GH9">
        <f>IF($T$9="",FALSE,SUMPRODUCT(('Final Calculation Sheet'!$G$4:$G$40=$T$9)*($GG$6:$GG$42=1))&gt;0)</f>
        <v/>
      </c>
      <c r="GI9">
        <f>$GI$8+--($GH9)</f>
        <v/>
      </c>
      <c r="GJ9">
        <f>IF(ROW()-3&gt;MAX($GI$4:$GI$40),"",INDEX($T$4:$T$40,MATCH(ROW()-3,$GI$4:$GI$40,0)))</f>
        <v/>
      </c>
      <c r="GK9">
        <f>IF(COUNTIF('Live Search'!BM$8:BP$8,0)+COUNTIF('Live Search'!BR$8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GL9">
        <f>IF($AD$9="",FALSE,SUMPRODUCT(('Final Calculation Sheet'!$D$4:$D$40=$AD$9)*($GK$6:$GK$42=1))&gt;0)</f>
        <v/>
      </c>
      <c r="GM9">
        <f>$GM$8+--($GL9)</f>
        <v/>
      </c>
      <c r="GN9">
        <f>IF(ROW()-3&gt;MAX($GM$4:$GM$40),"",INDEX($AD$4:$AD$40,MATCH(ROW()-3,$GM$4:$GM$40,0)))</f>
        <v/>
      </c>
      <c r="GO9">
        <f>IF(COUNTIF('Live Search'!BM$8:BQ$8,0)+COUNTIF('Live Search'!BS$8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GP9">
        <f>IF($AI$9="",FALSE,SUMPRODUCT(('Final Calculation Sheet'!$A$4:$A$40=$AI$9)*($GO$6:$GO$42=1))&gt;0)</f>
        <v/>
      </c>
      <c r="GQ9">
        <f>$GQ$8+--($GP9)</f>
        <v/>
      </c>
      <c r="GR9">
        <f>IF(ROW()-3&gt;MAX($GQ$4:$GQ$40),"",INDEX($AI$4:$AI$40,MATCH(ROW()-3,$GQ$4:$GQ$40,0)))</f>
        <v/>
      </c>
      <c r="GS9">
        <f>IF(COUNTIF('Live Search'!BM$8:BR$8,0)+COUNTIF('Live Search'!BT$8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GT9">
        <f>IF($AN$9="",FALSE,SUMPRODUCT(('Final Calculation Sheet'!$E$4:$E$40=$AN$9)*($GS$6:$GS$42=1))&gt;0)</f>
        <v/>
      </c>
      <c r="GU9">
        <f>$GU$8+--($GT9)</f>
        <v/>
      </c>
      <c r="GV9">
        <f>IF(ROW()-3&gt;MAX($GU$4:$GU$40),"",INDEX($AN$4:$AN$40,MATCH(ROW()-3,$GU$4:$GU$40,0)))</f>
        <v/>
      </c>
      <c r="GW9">
        <f>IF(COUNTIF('Live Search'!BM$8:BS$8,0)+COUNTIF('Live Search'!BU$8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GX9">
        <f>IF($AS$9="",FALSE,SUMPRODUCT(('Final Calculation Sheet'!$C$4:$C$40=$AS$9)*($GW$6:$GW$42=1))&gt;0)</f>
        <v/>
      </c>
      <c r="GY9">
        <f>$GY$8+--($GX9)</f>
        <v/>
      </c>
      <c r="GZ9">
        <f>IF(ROW()-3&gt;MAX($GY$4:$GY$40),"",INDEX($AS$4:$AS$40,MATCH(ROW()-3,$GY$4:$GY$40,0)))</f>
        <v/>
      </c>
      <c r="HA9">
        <f>IF(COUNTIF('Live Search'!BM$8:BT$8,0)+COUNTIF('Live Search'!BV$8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HB9">
        <f>IF($AX$9="",FALSE,SUMPRODUCT(('Final Calculation Sheet'!$H$4:$H$40=$AX$9)*($HA$6:$HA$42=1))&gt;0)</f>
        <v/>
      </c>
      <c r="HC9">
        <f>$HC$8+--($HB9)</f>
        <v/>
      </c>
      <c r="HD9">
        <f>IF(ROW()-3&gt;MAX($HC$4:$HC$40),"",INDEX($AX$4:$AX$40,MATCH(ROW()-3,$HC$4:$HC$40,0)))</f>
        <v/>
      </c>
      <c r="HE9">
        <f>IF(COUNTIF('Live Search'!BM$8:BU$8,0)+COUNTIF('Live Search'!BW$8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HF9">
        <f>IF($BC$9="",FALSE,SUMPRODUCT(('Final Calculation Sheet'!$I$4:$I$40=$BC$9)*($HE$6:$HE$42=1))&gt;0)</f>
        <v/>
      </c>
      <c r="HG9">
        <f>$HG$8+--($HF9)</f>
        <v/>
      </c>
      <c r="HH9">
        <f>IF(ROW()-3&gt;MAX($HG$4:$HG$40),"",INDEX($BC$4:$BC$40,MATCH(ROW()-3,$HG$4:$HG$40,0)))</f>
        <v/>
      </c>
      <c r="HI9">
        <f>IF(COUNTIF('Live Search'!BM$8:BV$8,0)+COUNTIF('Live Search'!BX$8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HJ9">
        <f>IF($BH$9="",FALSE,SUMPRODUCT(('Final Calculation Sheet'!$J$4:$J$40=$BH$9)*($HI$6:$HI$42=1))&gt;0)</f>
        <v/>
      </c>
      <c r="HK9">
        <f>$HK$8+--($HJ9)</f>
        <v/>
      </c>
      <c r="HL9">
        <f>IF(ROW()-3&gt;MAX($HK$4:$HK$40),"",INDEX($BH$4:$BH$40,MATCH(ROW()-3,$HK$4:$HK$40,0)))</f>
        <v/>
      </c>
      <c r="HM9">
        <f>IF(COUNTIF('Live Search'!BM$8:BW$8,0)+COUNTIF('Live Search'!BY$8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HN9">
        <f>IF($BM$9="",FALSE,SUMPRODUCT(('Final Calculation Sheet'!$K$4:$K$40=$BM$9)*($HM$6:$HM$42=1))&gt;0)</f>
        <v/>
      </c>
      <c r="HO9">
        <f>$HO$8+--($HN9)</f>
        <v/>
      </c>
      <c r="HP9">
        <f>IF(ROW()-3&gt;MAX($HO$4:$HO$40),"",INDEX($BM$4:$BM$40,MATCH(ROW()-3,$HO$4:$HO$40,0)))</f>
        <v/>
      </c>
      <c r="HQ9">
        <f>IF(COUNTIF('Live Search'!BM$8:BX$8,0)+COUNTIF('Live Search'!BZ$8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HR9">
        <f>IF($BR$9="",FALSE,SUMPRODUCT(('Final Calculation Sheet'!$L$4:$L$40=$BR$9)*($HQ$6:$HQ$42=1))&gt;0)</f>
        <v/>
      </c>
      <c r="HS9">
        <f>$HS$8+--($HR9)</f>
        <v/>
      </c>
      <c r="HT9">
        <f>IF(ROW()-3&gt;MAX($HS$4:$HS$40),"",INDEX($BR$4:$BR$40,MATCH(ROW()-3,$HS$4:$HS$40,0)))</f>
        <v/>
      </c>
      <c r="HU9">
        <f>IF(COUNTIF('Live Search'!BM$8:BY$8,0)+COUNTIF('Live Search'!CA$8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HV9">
        <f>IF($BW$9="",FALSE,SUMPRODUCT(('Final Calculation Sheet'!$M$4:$M$40=$BW$9)*($HU$6:$HU$42=1))&gt;0)</f>
        <v/>
      </c>
      <c r="HW9">
        <f>$HW$8+--($HV9)</f>
        <v/>
      </c>
      <c r="HX9">
        <f>IF(ROW()-3&gt;MAX($HW$4:$HW$40),"",INDEX($BW$4:$BW$40,MATCH(ROW()-3,$HW$4:$HW$40,0)))</f>
        <v/>
      </c>
      <c r="HY9">
        <f>IF(COUNTIF('Live Search'!BM$8:BZ$8,0)+COUNTIF('Live Search'!CB$8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HZ9">
        <f>IF($CB$9="",FALSE,SUMPRODUCT(('Final Calculation Sheet'!$N$4:$N$40=$CB$9)*($HY$6:$HY$42=1))&gt;0)</f>
        <v/>
      </c>
      <c r="IA9">
        <f>$IA$8+--($HZ9)</f>
        <v/>
      </c>
      <c r="IB9">
        <f>IF(ROW()-3&gt;MAX($IA$4:$IA$40),"",INDEX($CB$4:$CB$40,MATCH(ROW()-3,$IA$4:$IA$40,0)))</f>
        <v/>
      </c>
      <c r="IC9">
        <f>IF(COUNTIF('Live Search'!BM$8:CA$8,0)+COUNTIF('Live Search'!CC$8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ID9">
        <f>IF($CG$9="",FALSE,SUMPRODUCT(('Final Calculation Sheet'!$O$4:$O$40=$CG$9)*($IC$6:$IC$42=1))&gt;0)</f>
        <v/>
      </c>
      <c r="IE9">
        <f>$IE$8+--($ID9)</f>
        <v/>
      </c>
      <c r="IF9">
        <f>IF(ROW()-3&gt;MAX($IE$4:$IE$40),"",INDEX($CG$4:$CG$40,MATCH(ROW()-3,$IE$4:$IE$40,0)))</f>
        <v/>
      </c>
      <c r="IG9">
        <f>IF(COUNTIF('Live Search'!BM$8:CB$8,0)+COUNTIF('Live Search'!CD$8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IH9">
        <f>IF($CL$9="",FALSE,SUMPRODUCT(('Final Calculation Sheet'!$P$4:$P$40=$CL$9)*($IG$6:$IG$42=1))&gt;0)</f>
        <v/>
      </c>
      <c r="II9">
        <f>$II$8+--($IH9)</f>
        <v/>
      </c>
      <c r="IJ9">
        <f>IF(ROW()-3&gt;MAX($II$4:$II$40),"",INDEX($CL$4:$CL$40,MATCH(ROW()-3,$II$4:$II$40,0)))</f>
        <v/>
      </c>
      <c r="IK9">
        <f>IF(COUNTIF('Live Search'!BM$8:CC$8,0)+COUNTIF('Live Search'!CE$8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IL9">
        <f>IF($CQ$9="",FALSE,SUMPRODUCT(('Final Calculation Sheet'!$Q$4:$Q$40=$CQ$9)*($IK$6:$IK$42=1))&gt;0)</f>
        <v/>
      </c>
      <c r="IM9">
        <f>$IM$8+--($IL9)</f>
        <v/>
      </c>
      <c r="IN9">
        <f>IF(ROW()-3&gt;MAX($IM$4:$IM$40),"",INDEX($CQ$4:$CQ$40,MATCH(ROW()-3,$IM$4:$IM$40,0)))</f>
        <v/>
      </c>
      <c r="IO9">
        <f>IF(COUNTIF('Live Search'!BM$8:CD$8,0)+COUNTIF('Live Search'!CF$8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IP9">
        <f>IF($CV$9="",FALSE,SUMPRODUCT(('Final Calculation Sheet'!$R$4:$R$40=$CV$9)*($IO$6:$IO$42=1))&gt;0)</f>
        <v/>
      </c>
      <c r="IQ9">
        <f>$IQ$8+--($IP9)</f>
        <v/>
      </c>
      <c r="IR9">
        <f>IF(ROW()-3&gt;MAX($IQ$4:$IQ$40),"",INDEX($CV$4:$CV$40,MATCH(ROW()-3,$IQ$4:$IQ$40,0)))</f>
        <v/>
      </c>
      <c r="IS9">
        <f>IF(COUNTIF('Live Search'!BM$8:CE$8,0)+COUNTIF('Live Search'!CG$8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IT9">
        <f>IF($DA$9="",FALSE,SUMPRODUCT(('Final Calculation Sheet'!$S$4:$S$40=$DA$9)*($IS$6:$IS$42=1))&gt;0)</f>
        <v/>
      </c>
      <c r="IU9">
        <f>$IU$8+--($IT9)</f>
        <v/>
      </c>
      <c r="IV9">
        <f>IF(ROW()-3&gt;MAX($IU$4:$IU$40),"",INDEX($DA$4:$DA$40,MATCH(ROW()-3,$IU$4:$IU$40,0)))</f>
        <v/>
      </c>
      <c r="IW9">
        <f>IF(COUNTIF('Live Search'!BM$8:CF$8,0)+COUNTIF('Live Search'!CH$8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IX9">
        <f>IF($DF$9="",FALSE,SUMPRODUCT(('Final Calculation Sheet'!$T$4:$T$40=$DF$9)*($IW$6:$IW$42=1))&gt;0)</f>
        <v/>
      </c>
      <c r="IY9">
        <f>$IY$8+--($IX9)</f>
        <v/>
      </c>
      <c r="IZ9">
        <f>IF(ROW()-3&gt;MAX($IY$4:$IY$40),"",INDEX($DF$4:$DF$40,MATCH(ROW()-3,$IY$4:$IY$40,0)))</f>
        <v/>
      </c>
      <c r="JA9">
        <f>IF(COUNTIF('Live Search'!BM$8:CG$8,0)+COUNTIF('Live Search'!CI$8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JB9">
        <f>IF($DK$9="",FALSE,SUMPRODUCT(('Final Calculation Sheet'!$U$4:$U$40=$DK$9)*($JA$6:$JA$42=1))&gt;0)</f>
        <v/>
      </c>
      <c r="JC9">
        <f>$JC$8+--($JB9)</f>
        <v/>
      </c>
      <c r="JD9">
        <f>IF(ROW()-3&gt;MAX($JC$4:$JC$40),"",INDEX($DK$4:$DK$40,MATCH(ROW()-3,$JC$4:$JC$40,0)))</f>
        <v/>
      </c>
      <c r="JE9">
        <f>IF(COUNTIF('Live Search'!BM$8:CH$8,0)+COUNTIF('Live Search'!CJ$8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JF9">
        <f>IF($DP$9="",FALSE,SUMPRODUCT(('Final Calculation Sheet'!$V$4:$V$40=$DP$9)*($JE$6:$JE$42=1))&gt;0)</f>
        <v/>
      </c>
      <c r="JG9">
        <f>$JG$8+--($JF9)</f>
        <v/>
      </c>
      <c r="JH9">
        <f>IF(ROW()-3&gt;MAX($JG$4:$JG$40),"",INDEX($DP$4:$DP$40,MATCH(ROW()-3,$JG$4:$JG$40,0)))</f>
        <v/>
      </c>
      <c r="JI9">
        <f>IF(COUNTIF('Live Search'!BM$8:CI$8,0)+COUNTIF('Live Search'!CK$8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JJ9">
        <f>IF($DU$9="",FALSE,SUMPRODUCT(('Final Calculation Sheet'!$W$4:$W$40=$DU$9)*($JI$6:$JI$42=1))&gt;0)</f>
        <v/>
      </c>
      <c r="JK9">
        <f>$JK$8+--($JJ9)</f>
        <v/>
      </c>
      <c r="JL9">
        <f>IF(ROW()-3&gt;MAX($JK$4:$JK$40),"",INDEX($DU$4:$DU$40,MATCH(ROW()-3,$JK$4:$JK$40,0)))</f>
        <v/>
      </c>
      <c r="JM9">
        <f>IF(COUNTIF('Live Search'!BM$8:CJ$8,0)+COUNTIF('Live Search'!CL$8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JN9">
        <f>IF($DZ$9="",FALSE,SUMPRODUCT(('Final Calculation Sheet'!$X$4:$X$40=$DZ$9)*($JM$6:$JM$42=1))&gt;0)</f>
        <v/>
      </c>
      <c r="JO9">
        <f>$JO$8+--($JN9)</f>
        <v/>
      </c>
      <c r="JP9">
        <f>IF(ROW()-3&gt;MAX($JO$4:$JO$40),"",INDEX($DZ$4:$DZ$40,MATCH(ROW()-3,$JO$4:$JO$40,0)))</f>
        <v/>
      </c>
      <c r="JQ9">
        <f>IF(COUNTIF('Live Search'!BM$8:CK$8,0)+COUNTIF('Live Search'!CM$8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JR9">
        <f>IF($EE$9="",FALSE,SUMPRODUCT(('Final Calculation Sheet'!$Y$4:$Y$40=$EE$9)*($JQ$6:$JQ$42=1))&gt;0)</f>
        <v/>
      </c>
      <c r="JS9">
        <f>$JS$8+--($JR9)</f>
        <v/>
      </c>
      <c r="JT9">
        <f>IF(ROW()-3&gt;MAX($JS$4:$JS$40),"",INDEX($EE$4:$EE$40,MATCH(ROW()-3,$JS$4:$JS$40,0)))</f>
        <v/>
      </c>
      <c r="JU9">
        <f>IF(COUNTIF('Live Search'!BM$8:CL$8,0)+COUNTIF('Live Search'!CN$8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JV9">
        <f>IF($EJ$9="",FALSE,SUMPRODUCT(('Final Calculation Sheet'!$Z$4:$Z$40=$EJ$9)*($JU$6:$JU$42=1))&gt;0)</f>
        <v/>
      </c>
      <c r="JW9">
        <f>$JW$8+--($JV9)</f>
        <v/>
      </c>
      <c r="JX9">
        <f>IF(ROW()-3&gt;MAX($JW$4:$JW$40),"",INDEX($EJ$4:$EJ$40,MATCH(ROW()-3,$JW$4:$JW$40,0)))</f>
        <v/>
      </c>
      <c r="JY9">
        <f>IF(COUNTIF('Live Search'!BM$8:CM$8,0)+COUNTIF('Live Search'!CO$8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JZ9">
        <f>IF($EO$9="",FALSE,SUMPRODUCT(('Final Calculation Sheet'!$AA$4:$AA$40=$EO$9)*($JY$6:$JY$42=1))&gt;0)</f>
        <v/>
      </c>
      <c r="KA9">
        <f>$KA$8+--($JZ9)</f>
        <v/>
      </c>
      <c r="KB9">
        <f>IF(ROW()-3&gt;MAX($KA$4:$KA$40),"",INDEX($EO$4:$EO$40,MATCH(ROW()-3,$KA$4:$KA$40,0)))</f>
        <v/>
      </c>
      <c r="KC9">
        <f>IF(COUNTIF('Live Search'!BM$8:CN$8,0)+COUNTIF('Live Search'!CP$8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KD9">
        <f>IF($ET$9="",FALSE,SUMPRODUCT(('Final Calculation Sheet'!$AB$4:$AB$40=$ET$9)*($KC$6:$KC$42=1))&gt;0)</f>
        <v/>
      </c>
      <c r="KE9">
        <f>$KE$8+--($KD9)</f>
        <v/>
      </c>
      <c r="KF9">
        <f>IF(ROW()-3&gt;MAX($KE$4:$KE$40),"",INDEX($ET$4:$ET$40,MATCH(ROW()-3,$KE$4:$KE$40,0)))</f>
        <v/>
      </c>
      <c r="KG9">
        <f>IF(COUNTIF('Live Search'!BM$8:CO$8,0)+COUNTIF('Live Search'!CQ$8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KH9">
        <f>IF($EY$9="",FALSE,SUMPRODUCT(('Final Calculation Sheet'!$AC$4:$AC$40=$EY$9)*($KG$6:$KG$42=1))&gt;0)</f>
        <v/>
      </c>
      <c r="KI9">
        <f>$KI$8+--($KH9)</f>
        <v/>
      </c>
      <c r="KJ9">
        <f>IF(ROW()-3&gt;MAX($KI$4:$KI$40),"",INDEX($EY$4:$EY$40,MATCH(ROW()-3,$KI$4:$KI$40,0)))</f>
        <v/>
      </c>
      <c r="KK9">
        <f>IF(COUNTIF('Live Search'!BM$8:CP$8,0)+COUNTIF('Live Search'!CR$8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KL9">
        <f>IF($FD$9="",FALSE,SUMPRODUCT(('Final Calculation Sheet'!$AD$4:$AD$40=$FD$9)*($KK$6:$KK$42=1))&gt;0)</f>
        <v/>
      </c>
      <c r="KM9">
        <f>$KM$8+--($KL9)</f>
        <v/>
      </c>
      <c r="KN9">
        <f>IF(ROW()-3&gt;MAX($KM$4:$KM$40),"",INDEX($FD$4:$FD$40,MATCH(ROW()-3,$KM$4:$KM$40,0)))</f>
        <v/>
      </c>
      <c r="KO9">
        <f>IF(COUNTIF('Live Search'!BM$8:CT$8,0)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KP9">
        <f>IF($FX$9="",FALSE,SUMPRODUCT((IF('Final Calculation Sheet'!$AD$4:$AD$40&lt;=5,"SETTLED","OUTSTANDING")=$FX$9)*($KO$6:$KO$42=1))&gt;0)</f>
        <v/>
      </c>
      <c r="KQ9">
        <f>$KQ$8+--($KP9)</f>
        <v/>
      </c>
      <c r="KR9">
        <f>IF(ROW()-3&gt;MAX($KQ$4:$KQ$40),"",INDEX($FX$4:$FX$40,MATCH(ROW()-3,$KQ$4:$KQ$40,0)))</f>
        <v/>
      </c>
      <c r="KS9">
        <f>IF(COUNTIF('Live Search'!BM$8:CQ$8,0)+COUNTIF('Live Search'!CS$8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KT9">
        <f>IF($FI$9="",FALSE,SUMPRODUCT(('Final Calculation Sheet'!$AF$4:$AF$40=$FI$9)*($KS$6:$KS$42=1))&gt;0)</f>
        <v/>
      </c>
      <c r="KU9">
        <f>$KU$8+--($KT9)</f>
        <v/>
      </c>
      <c r="KV9">
        <f>IF(ROW()-3&gt;MAX($KU$4:$KU$40),"",INDEX($FI$4:$FI$40,MATCH(ROW()-3,$KU$4:$KU$40,0)))</f>
        <v/>
      </c>
      <c r="KW9">
        <f>IF(COUNTIF('Live Search'!BM$8:CR$8,0)+COUNTIF('Live Search'!CT$8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KX9">
        <f>IF($FN$9="",FALSE,SUMPRODUCT(('Final Calculation Sheet'!$AG$4:$AG$40=$FN$9)*($KW$6:$KW$42=1))&gt;0)</f>
        <v/>
      </c>
      <c r="KY9">
        <f>$KY$8+--($KX9)</f>
        <v/>
      </c>
      <c r="KZ9">
        <f>IF(ROW()-3&gt;MAX($KY$4:$KY$40),"",INDEX($FN$4:$FN$40,MATCH(ROW()-3,$KY$4:$KY$40,0)))</f>
        <v/>
      </c>
      <c r="LA9">
        <f>IF(COUNTIF('Live Search'!BM$8:CS$8,0)+COUNTIF('Live Search'!CU$8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LB9">
        <f>IF($FS$9="",FALSE,SUMPRODUCT(('Final Calculation Sheet'!$AH$4:$AH$40=$FS$9)*($LA$6:$LA$42=1))&gt;0)</f>
        <v/>
      </c>
      <c r="LC9">
        <f>$LC$8+--($LB9)</f>
        <v/>
      </c>
      <c r="LD9">
        <f>IF(ROW()-3&gt;MAX($LC$4:$LC$40),"",INDEX($FS$4:$FS$40,MATCH(ROW()-3,$LC$4:$LC$40,0)))</f>
        <v/>
      </c>
      <c r="LE9">
        <f>IF(COUNTIF('Buyer Groups'!DH62:EN62,0)&gt;0,0,1)</f>
        <v/>
      </c>
      <c r="LF9">
        <f>IF($O$9="",FALSE,SUMPRODUCT(('Final Calculation Sheet'!$F$4:$F$40=$O$9)*($LE$6:$LE$42=1))&gt;0)</f>
        <v/>
      </c>
      <c r="LG9">
        <f>$LG$8+--($LF9)</f>
        <v/>
      </c>
      <c r="LH9">
        <f>IF(ROW()-3&gt;MAX($LG$4:$LG$40),"",INDEX($O$4:$O$40,MATCH(ROW()-3,$LG$4:$LG$40,0)))</f>
        <v/>
      </c>
      <c r="LI9">
        <f>IF(COUNTIF('Buyer Groups'!DG62:DG62,0)+COUNTIF('Buyer Groups'!DI62:EN62,0)&gt;0,0,1)</f>
        <v/>
      </c>
      <c r="LJ9">
        <f>IF($T$9="",FALSE,SUMPRODUCT(('Final Calculation Sheet'!$G$4:$G$40=$T$9)*($LI$6:$LI$42=1))&gt;0)</f>
        <v/>
      </c>
      <c r="LK9">
        <f>$LK$8+--($LJ9)</f>
        <v/>
      </c>
      <c r="LL9">
        <f>IF(ROW()-3&gt;MAX($LK$4:$LK$40),"",INDEX($T$4:$T$40,MATCH(ROW()-3,$LK$4:$LK$40,0)))</f>
        <v/>
      </c>
      <c r="LM9">
        <f>IF(COUNTIF('Buyer Groups'!DG62:DH62,0)+COUNTIF('Buyer Groups'!DJ62:EN62,0)&gt;0,0,1)</f>
        <v/>
      </c>
      <c r="LN9">
        <f>IF($Y$9="",FALSE,SUMPRODUCT(('Final Calculation Sheet'!$B$4:$B$40=$Y$9)*($LM$6:$LM$42=1))&gt;0)</f>
        <v/>
      </c>
      <c r="LO9">
        <f>$LO$8+--($LN9)</f>
        <v/>
      </c>
      <c r="LP9">
        <f>IF(ROW()-3&gt;MAX($LO$4:$LO$40),"",INDEX($Y$4:$Y$40,MATCH(ROW()-3,$LO$4:$LO$40,0)))</f>
        <v/>
      </c>
      <c r="LQ9">
        <f>IF(COUNTIF('Buyer Groups'!DG62:DI62,0)+COUNTIF('Buyer Groups'!DK62:EN62,0)&gt;0,0,1)</f>
        <v/>
      </c>
      <c r="LR9">
        <f>IF($AD$9="",FALSE,SUMPRODUCT(('Final Calculation Sheet'!$D$4:$D$40=$AD$9)*($LQ$6:$LQ$42=1))&gt;0)</f>
        <v/>
      </c>
      <c r="LS9">
        <f>$LS$8+--($LR9)</f>
        <v/>
      </c>
      <c r="LT9">
        <f>IF(ROW()-3&gt;MAX($LS$4:$LS$40),"",INDEX($AD$4:$AD$40,MATCH(ROW()-3,$LS$4:$LS$40,0)))</f>
        <v/>
      </c>
      <c r="LU9">
        <f>IF(COUNTIF('Buyer Groups'!DG62:DJ62,0)+COUNTIF('Buyer Groups'!DL62:EN62,0)&gt;0,0,1)</f>
        <v/>
      </c>
      <c r="LV9">
        <f>IF($AI$9="",FALSE,SUMPRODUCT(('Final Calculation Sheet'!$A$4:$A$40=$AI$9)*($LU$6:$LU$42=1))&gt;0)</f>
        <v/>
      </c>
      <c r="LW9">
        <f>$LW$8+--($LV9)</f>
        <v/>
      </c>
      <c r="LX9">
        <f>IF(ROW()-3&gt;MAX($LW$4:$LW$40),"",INDEX($AI$4:$AI$40,MATCH(ROW()-3,$LW$4:$LW$40,0)))</f>
        <v/>
      </c>
      <c r="LY9">
        <f>IF(COUNTIF('Buyer Groups'!DG62:DK62,0)+COUNTIF('Buyer Groups'!DM62:EN62,0)&gt;0,0,1)</f>
        <v/>
      </c>
      <c r="LZ9">
        <f>IF($AN$9="",FALSE,SUMPRODUCT(('Final Calculation Sheet'!$E$4:$E$40=$AN$9)*($LY$6:$LY$42=1))&gt;0)</f>
        <v/>
      </c>
      <c r="MA9">
        <f>$MA$8+--($LZ9)</f>
        <v/>
      </c>
      <c r="MB9">
        <f>IF(ROW()-3&gt;MAX($MA$4:$MA$40),"",INDEX($AN$4:$AN$40,MATCH(ROW()-3,$MA$4:$MA$40,0)))</f>
        <v/>
      </c>
      <c r="MC9">
        <f>IF(COUNTIF('Buyer Groups'!DG62:DL62,0)+COUNTIF('Buyer Groups'!DN62:EN62,0)&gt;0,0,1)</f>
        <v/>
      </c>
      <c r="MD9">
        <f>IF($AS$9="",FALSE,SUMPRODUCT(('Final Calculation Sheet'!$C$4:$C$40=$AS$9)*($MC$6:$MC$42=1))&gt;0)</f>
        <v/>
      </c>
      <c r="ME9">
        <f>$ME$8+--($MD9)</f>
        <v/>
      </c>
      <c r="MF9">
        <f>IF(ROW()-3&gt;MAX($ME$4:$ME$40),"",INDEX($AS$4:$AS$40,MATCH(ROW()-3,$ME$4:$ME$40,0)))</f>
        <v/>
      </c>
      <c r="MG9">
        <f>IF(COUNTIF('Buyer Groups'!DG62:DM62,0)+COUNTIF('Buyer Groups'!DO62:EN62,0)&gt;0,0,1)</f>
        <v/>
      </c>
      <c r="MH9">
        <f>IF($AX$9="",FALSE,SUMPRODUCT(('Final Calculation Sheet'!$H$4:$H$40=$AX$9)*($MG$6:$MG$42=1))&gt;0)</f>
        <v/>
      </c>
      <c r="MI9">
        <f>$MI$8+--($MH9)</f>
        <v/>
      </c>
      <c r="MJ9">
        <f>IF(ROW()-3&gt;MAX($MI$4:$MI$40),"",INDEX($AX$4:$AX$40,MATCH(ROW()-3,$MI$4:$MI$40,0)))</f>
        <v/>
      </c>
      <c r="MK9">
        <f>IF(COUNTIF('Buyer Groups'!DG62:DN62,0)+COUNTIF('Buyer Groups'!DP62:EN62,0)&gt;0,0,1)</f>
        <v/>
      </c>
      <c r="ML9">
        <f>IF($BC$9="",FALSE,SUMPRODUCT(('Final Calculation Sheet'!$I$4:$I$40=$BC$9)*($MK$6:$MK$42=1))&gt;0)</f>
        <v/>
      </c>
      <c r="MM9">
        <f>$MM$8+--($ML9)</f>
        <v/>
      </c>
      <c r="MN9">
        <f>IF(ROW()-3&gt;MAX($MM$4:$MM$40),"",INDEX($BC$4:$BC$40,MATCH(ROW()-3,$MM$4:$MM$40,0)))</f>
        <v/>
      </c>
      <c r="MO9">
        <f>IF(COUNTIF('Buyer Groups'!DG62:DO62,0)+COUNTIF('Buyer Groups'!DQ62:EN62,0)&gt;0,0,1)</f>
        <v/>
      </c>
      <c r="MP9">
        <f>IF($BH$9="",FALSE,SUMPRODUCT(('Final Calculation Sheet'!$J$4:$J$40=$BH$9)*($MO$6:$MO$42=1))&gt;0)</f>
        <v/>
      </c>
      <c r="MQ9">
        <f>$MQ$8+--($MP9)</f>
        <v/>
      </c>
      <c r="MR9">
        <f>IF(ROW()-3&gt;MAX($MQ$4:$MQ$40),"",INDEX($BH$4:$BH$40,MATCH(ROW()-3,$MQ$4:$MQ$40,0)))</f>
        <v/>
      </c>
      <c r="MS9">
        <f>IF(COUNTIF('Buyer Groups'!DG62:DP62,0)+COUNTIF('Buyer Groups'!DR62:EN62,0)&gt;0,0,1)</f>
        <v/>
      </c>
      <c r="MT9">
        <f>IF($BM$9="",FALSE,SUMPRODUCT(('Final Calculation Sheet'!$K$4:$K$40=$BM$9)*($MS$6:$MS$42=1))&gt;0)</f>
        <v/>
      </c>
      <c r="MU9">
        <f>$MU$8+--($MT9)</f>
        <v/>
      </c>
      <c r="MV9">
        <f>IF(ROW()-3&gt;MAX($MU$4:$MU$40),"",INDEX($BM$4:$BM$40,MATCH(ROW()-3,$MU$4:$MU$40,0)))</f>
        <v/>
      </c>
      <c r="MW9">
        <f>IF(COUNTIF('Buyer Groups'!DG62:DQ62,0)+COUNTIF('Buyer Groups'!DS62:EN62,0)&gt;0,0,1)</f>
        <v/>
      </c>
      <c r="MX9">
        <f>IF($BR$9="",FALSE,SUMPRODUCT(('Final Calculation Sheet'!$L$4:$L$40=$BR$9)*($MW$6:$MW$42=1))&gt;0)</f>
        <v/>
      </c>
      <c r="MY9">
        <f>$MY$8+--($MX9)</f>
        <v/>
      </c>
      <c r="MZ9">
        <f>IF(ROW()-3&gt;MAX($MY$4:$MY$40),"",INDEX($BR$4:$BR$40,MATCH(ROW()-3,$MY$4:$MY$40,0)))</f>
        <v/>
      </c>
      <c r="NA9">
        <f>IF(COUNTIF('Buyer Groups'!DG62:DR62,0)+COUNTIF('Buyer Groups'!DT62:EN62,0)&gt;0,0,1)</f>
        <v/>
      </c>
      <c r="NB9">
        <f>IF($BW$9="",FALSE,SUMPRODUCT(('Final Calculation Sheet'!$M$4:$M$40=$BW$9)*($NA$6:$NA$42=1))&gt;0)</f>
        <v/>
      </c>
      <c r="NC9">
        <f>$NC$8+--($NB9)</f>
        <v/>
      </c>
      <c r="ND9">
        <f>IF(ROW()-3&gt;MAX($NC$4:$NC$40),"",INDEX($BW$4:$BW$40,MATCH(ROW()-3,$NC$4:$NC$40,0)))</f>
        <v/>
      </c>
      <c r="NE9">
        <f>IF(COUNTIF('Buyer Groups'!DG62:DS62,0)+COUNTIF('Buyer Groups'!DU62:EN62,0)&gt;0,0,1)</f>
        <v/>
      </c>
      <c r="NF9">
        <f>IF($CB$9="",FALSE,SUMPRODUCT(('Final Calculation Sheet'!$N$4:$N$40=$CB$9)*($NE$6:$NE$42=1))&gt;0)</f>
        <v/>
      </c>
      <c r="NG9">
        <f>$NG$8+--($NF9)</f>
        <v/>
      </c>
      <c r="NH9">
        <f>IF(ROW()-3&gt;MAX($NG$4:$NG$40),"",INDEX($CB$4:$CB$40,MATCH(ROW()-3,$NG$4:$NG$40,0)))</f>
        <v/>
      </c>
      <c r="NI9">
        <f>IF(COUNTIF('Buyer Groups'!DG62:DT62,0)+COUNTIF('Buyer Groups'!DV62:EN62,0)&gt;0,0,1)</f>
        <v/>
      </c>
      <c r="NJ9">
        <f>IF($CG$9="",FALSE,SUMPRODUCT(('Final Calculation Sheet'!$O$4:$O$40=$CG$9)*($NI$6:$NI$42=1))&gt;0)</f>
        <v/>
      </c>
      <c r="NK9">
        <f>$NK$8+--($NJ9)</f>
        <v/>
      </c>
      <c r="NL9">
        <f>IF(ROW()-3&gt;MAX($NK$4:$NK$40),"",INDEX($CG$4:$CG$40,MATCH(ROW()-3,$NK$4:$NK$40,0)))</f>
        <v/>
      </c>
      <c r="NM9">
        <f>IF(COUNTIF('Buyer Groups'!DG62:DU62,0)+COUNTIF('Buyer Groups'!DW62:EN62,0)&gt;0,0,1)</f>
        <v/>
      </c>
      <c r="NN9">
        <f>IF($CL$9="",FALSE,SUMPRODUCT(('Final Calculation Sheet'!$P$4:$P$40=$CL$9)*($NM$6:$NM$42=1))&gt;0)</f>
        <v/>
      </c>
      <c r="NO9">
        <f>$NO$8+--($NN9)</f>
        <v/>
      </c>
      <c r="NP9">
        <f>IF(ROW()-3&gt;MAX($NO$4:$NO$40),"",INDEX($CL$4:$CL$40,MATCH(ROW()-3,$NO$4:$NO$40,0)))</f>
        <v/>
      </c>
      <c r="NQ9">
        <f>IF(COUNTIF('Buyer Groups'!DG62:DV62,0)+COUNTIF('Buyer Groups'!DX62:EN62,0)&gt;0,0,1)</f>
        <v/>
      </c>
      <c r="NR9">
        <f>IF($CQ$9="",FALSE,SUMPRODUCT(('Final Calculation Sheet'!$Q$4:$Q$40=$CQ$9)*($NQ$6:$NQ$42=1))&gt;0)</f>
        <v/>
      </c>
      <c r="NS9">
        <f>$NS$8+--($NR9)</f>
        <v/>
      </c>
      <c r="NT9">
        <f>IF(ROW()-3&gt;MAX($NS$4:$NS$40),"",INDEX($CQ$4:$CQ$40,MATCH(ROW()-3,$NS$4:$NS$40,0)))</f>
        <v/>
      </c>
      <c r="NU9">
        <f>IF(COUNTIF('Buyer Groups'!DG62:DW62,0)+COUNTIF('Buyer Groups'!DY62:EN62,0)&gt;0,0,1)</f>
        <v/>
      </c>
      <c r="NV9">
        <f>IF($CV$9="",FALSE,SUMPRODUCT(('Final Calculation Sheet'!$R$4:$R$40=$CV$9)*($NU$6:$NU$42=1))&gt;0)</f>
        <v/>
      </c>
      <c r="NW9">
        <f>$NW$8+--($NV9)</f>
        <v/>
      </c>
      <c r="NX9">
        <f>IF(ROW()-3&gt;MAX($NW$4:$NW$40),"",INDEX($CV$4:$CV$40,MATCH(ROW()-3,$NW$4:$NW$40,0)))</f>
        <v/>
      </c>
      <c r="NY9">
        <f>IF(COUNTIF('Buyer Groups'!DG62:DX62,0)+COUNTIF('Buyer Groups'!DZ62:EN62,0)&gt;0,0,1)</f>
        <v/>
      </c>
      <c r="NZ9">
        <f>IF($DA$9="",FALSE,SUMPRODUCT(('Final Calculation Sheet'!$S$4:$S$40=$DA$9)*($NY$6:$NY$42=1))&gt;0)</f>
        <v/>
      </c>
      <c r="OA9">
        <f>$OA$8+--($NZ9)</f>
        <v/>
      </c>
      <c r="OB9">
        <f>IF(ROW()-3&gt;MAX($OA$4:$OA$40),"",INDEX($DA$4:$DA$40,MATCH(ROW()-3,$OA$4:$OA$40,0)))</f>
        <v/>
      </c>
      <c r="OC9">
        <f>IF(COUNTIF('Buyer Groups'!DG62:DY62,0)+COUNTIF('Buyer Groups'!EA62:EN62,0)&gt;0,0,1)</f>
        <v/>
      </c>
      <c r="OD9">
        <f>IF($DF$9="",FALSE,SUMPRODUCT(('Final Calculation Sheet'!$T$4:$T$40=$DF$9)*($OC$6:$OC$42=1))&gt;0)</f>
        <v/>
      </c>
      <c r="OE9">
        <f>$OE$8+--($OD9)</f>
        <v/>
      </c>
      <c r="OF9">
        <f>IF(ROW()-3&gt;MAX($OE$4:$OE$40),"",INDEX($DF$4:$DF$40,MATCH(ROW()-3,$OE$4:$OE$40,0)))</f>
        <v/>
      </c>
      <c r="OG9">
        <f>IF(COUNTIF('Buyer Groups'!DG62:DZ62,0)+COUNTIF('Buyer Groups'!EB62:EN62,0)&gt;0,0,1)</f>
        <v/>
      </c>
      <c r="OH9">
        <f>IF($DK$9="",FALSE,SUMPRODUCT(('Final Calculation Sheet'!$U$4:$U$40=$DK$9)*($OG$6:$OG$42=1))&gt;0)</f>
        <v/>
      </c>
      <c r="OI9">
        <f>$OI$8+--($OH9)</f>
        <v/>
      </c>
      <c r="OJ9">
        <f>IF(ROW()-3&gt;MAX($OI$4:$OI$40),"",INDEX($DK$4:$DK$40,MATCH(ROW()-3,$OI$4:$OI$40,0)))</f>
        <v/>
      </c>
      <c r="OK9">
        <f>IF(COUNTIF('Buyer Groups'!DG62:EA62,0)+COUNTIF('Buyer Groups'!EC62:EN62,0)&gt;0,0,1)</f>
        <v/>
      </c>
      <c r="OL9">
        <f>IF($DP$9="",FALSE,SUMPRODUCT(('Final Calculation Sheet'!$V$4:$V$40=$DP$9)*($OK$6:$OK$42=1))&gt;0)</f>
        <v/>
      </c>
      <c r="OM9">
        <f>$OM$8+--($OL9)</f>
        <v/>
      </c>
      <c r="ON9">
        <f>IF(ROW()-3&gt;MAX($OM$4:$OM$40),"",INDEX($DP$4:$DP$40,MATCH(ROW()-3,$OM$4:$OM$40,0)))</f>
        <v/>
      </c>
      <c r="OO9">
        <f>IF(COUNTIF('Buyer Groups'!DG62:EB62,0)+COUNTIF('Buyer Groups'!ED62:EN62,0)&gt;0,0,1)</f>
        <v/>
      </c>
      <c r="OP9">
        <f>IF($DU$9="",FALSE,SUMPRODUCT(('Final Calculation Sheet'!$W$4:$W$40=$DU$9)*($OO$6:$OO$42=1))&gt;0)</f>
        <v/>
      </c>
      <c r="OQ9">
        <f>$OQ$8+--($OP9)</f>
        <v/>
      </c>
      <c r="OR9">
        <f>IF(ROW()-3&gt;MAX($OQ$4:$OQ$40),"",INDEX($DU$4:$DU$40,MATCH(ROW()-3,$OQ$4:$OQ$40,0)))</f>
        <v/>
      </c>
      <c r="OS9">
        <f>IF(COUNTIF('Buyer Groups'!DG62:EC62,0)+COUNTIF('Buyer Groups'!EE62:EN62,0)&gt;0,0,1)</f>
        <v/>
      </c>
      <c r="OT9">
        <f>IF($DZ$9="",FALSE,SUMPRODUCT(('Final Calculation Sheet'!$X$4:$X$40=$DZ$9)*($OS$6:$OS$42=1))&gt;0)</f>
        <v/>
      </c>
      <c r="OU9">
        <f>$OU$8+--($OT9)</f>
        <v/>
      </c>
      <c r="OV9">
        <f>IF(ROW()-3&gt;MAX($OU$4:$OU$40),"",INDEX($DZ$4:$DZ$40,MATCH(ROW()-3,$OU$4:$OU$40,0)))</f>
        <v/>
      </c>
      <c r="OW9">
        <f>IF(COUNTIF('Buyer Groups'!DG62:ED62,0)+COUNTIF('Buyer Groups'!EF62:EN62,0)&gt;0,0,1)</f>
        <v/>
      </c>
      <c r="OX9">
        <f>IF($EE$9="",FALSE,SUMPRODUCT(('Final Calculation Sheet'!$Y$4:$Y$40=$EE$9)*($OW$6:$OW$42=1))&gt;0)</f>
        <v/>
      </c>
      <c r="OY9">
        <f>$OY$8+--($OX9)</f>
        <v/>
      </c>
      <c r="OZ9">
        <f>IF(ROW()-3&gt;MAX($OY$4:$OY$40),"",INDEX($EE$4:$EE$40,MATCH(ROW()-3,$OY$4:$OY$40,0)))</f>
        <v/>
      </c>
      <c r="PA9">
        <f>IF(COUNTIF('Buyer Groups'!DG62:EE62,0)+COUNTIF('Buyer Groups'!EG62:EN62,0)&gt;0,0,1)</f>
        <v/>
      </c>
      <c r="PB9">
        <f>IF($EJ$9="",FALSE,SUMPRODUCT(('Final Calculation Sheet'!$Z$4:$Z$40=$EJ$9)*($PA$6:$PA$42=1))&gt;0)</f>
        <v/>
      </c>
      <c r="PC9">
        <f>$PC$8+--($PB9)</f>
        <v/>
      </c>
      <c r="PD9">
        <f>IF(ROW()-3&gt;MAX($PC$4:$PC$40),"",INDEX($EJ$4:$EJ$40,MATCH(ROW()-3,$PC$4:$PC$40,0)))</f>
        <v/>
      </c>
      <c r="PE9">
        <f>IF(COUNTIF('Buyer Groups'!DG62:EF62,0)+COUNTIF('Buyer Groups'!EH62:EN62,0)&gt;0,0,1)</f>
        <v/>
      </c>
      <c r="PF9">
        <f>IF($EO$9="",FALSE,SUMPRODUCT(('Final Calculation Sheet'!$AA$4:$AA$40=$EO$9)*($PE$6:$PE$42=1))&gt;0)</f>
        <v/>
      </c>
      <c r="PG9">
        <f>$PG$8+--($PF9)</f>
        <v/>
      </c>
      <c r="PH9">
        <f>IF(ROW()-3&gt;MAX($PG$4:$PG$40),"",INDEX($EO$4:$EO$40,MATCH(ROW()-3,$PG$4:$PG$40,0)))</f>
        <v/>
      </c>
      <c r="PI9">
        <f>IF(COUNTIF('Buyer Groups'!DG62:EG62,0)+COUNTIF('Buyer Groups'!EI62:EN62,0)&gt;0,0,1)</f>
        <v/>
      </c>
      <c r="PJ9">
        <f>IF($ET$9="",FALSE,SUMPRODUCT(('Final Calculation Sheet'!$AB$4:$AB$40=$ET$9)*($PI$6:$PI$42=1))&gt;0)</f>
        <v/>
      </c>
      <c r="PK9">
        <f>$PK$8+--($PJ9)</f>
        <v/>
      </c>
      <c r="PL9">
        <f>IF(ROW()-3&gt;MAX($PK$4:$PK$40),"",INDEX($ET$4:$ET$40,MATCH(ROW()-3,$PK$4:$PK$40,0)))</f>
        <v/>
      </c>
      <c r="PM9">
        <f>IF(COUNTIF('Buyer Groups'!DG62:EH62,0)+COUNTIF('Buyer Groups'!EJ62:EN62,0)&gt;0,0,1)</f>
        <v/>
      </c>
      <c r="PN9">
        <f>IF($EY$9="",FALSE,SUMPRODUCT(('Final Calculation Sheet'!$AC$4:$AC$40=$EY$9)*($PM$6:$PM$42=1))&gt;0)</f>
        <v/>
      </c>
      <c r="PO9">
        <f>$PO$8+--($PN9)</f>
        <v/>
      </c>
      <c r="PP9">
        <f>IF(ROW()-3&gt;MAX($PO$4:$PO$40),"",INDEX($EY$4:$EY$40,MATCH(ROW()-3,$PO$4:$PO$40,0)))</f>
        <v/>
      </c>
      <c r="PQ9">
        <f>IF(COUNTIF('Buyer Groups'!DG62:EI62,0)+COUNTIF('Buyer Groups'!EK62:EN62,0)&gt;0,0,1)</f>
        <v/>
      </c>
      <c r="PR9">
        <f>IF($FD$9="",FALSE,SUMPRODUCT(('Final Calculation Sheet'!$AD$4:$AD$40=$FD$9)*($PQ$6:$PQ$42=1))&gt;0)</f>
        <v/>
      </c>
      <c r="PS9">
        <f>$PS$8+--($PR9)</f>
        <v/>
      </c>
      <c r="PT9">
        <f>IF(ROW()-3&gt;MAX($PS$4:$PS$40),"",INDEX($FD$4:$FD$40,MATCH(ROW()-3,$PS$4:$PS$40,0)))</f>
        <v/>
      </c>
      <c r="PU9">
        <f>IF(COUNTIF('Buyer Groups'!DG62:EJ62,0)+COUNTIF('Buyer Groups'!EL62:EN62,0)&gt;0,0,1)</f>
        <v/>
      </c>
      <c r="PV9">
        <f>IF($FX$9="",FALSE,SUMPRODUCT((IF('Final Calculation Sheet'!$AD$4:$AD$40&lt;=5,"SETTLED","OUTSTANDING")=$FX$9)*($PU$6:$PU$42=1))&gt;0)</f>
        <v/>
      </c>
      <c r="PW9">
        <f>$PW$8+--($PV9)</f>
        <v/>
      </c>
      <c r="PX9">
        <f>IF(ROW()-3&gt;MAX($PW$4:$PW$40),"",INDEX($FX$4:$FX$40,MATCH(ROW()-3,$PW$4:$PW$40,0)))</f>
        <v/>
      </c>
      <c r="PY9">
        <f>IF(COUNTIF('Buyer Groups'!DG62:EK62,0)+COUNTIF('Buyer Groups'!EM62:EN62,0)&gt;0,0,1)</f>
        <v/>
      </c>
      <c r="PZ9">
        <f>IF($FI$9="",FALSE,SUMPRODUCT(('Final Calculation Sheet'!$AF$4:$AF$40=$FI$9)*($PY$6:$PY$42=1))&gt;0)</f>
        <v/>
      </c>
      <c r="QA9">
        <f>$QA$8+--($PZ9)</f>
        <v/>
      </c>
      <c r="QB9">
        <f>IF(ROW()-3&gt;MAX($QA$4:$QA$40),"",INDEX($FI$4:$FI$40,MATCH(ROW()-3,$QA$4:$QA$40,0)))</f>
        <v/>
      </c>
      <c r="QC9">
        <f>IF(COUNTIF('Buyer Groups'!DG62:EL62,0)+COUNTIF('Buyer Groups'!EN62:EN62,0)&gt;0,0,1)</f>
        <v/>
      </c>
      <c r="QD9">
        <f>IF($FN$9="",FALSE,SUMPRODUCT(('Final Calculation Sheet'!$AG$4:$AG$40=$FN$9)*($QC$6:$QC$42=1))&gt;0)</f>
        <v/>
      </c>
      <c r="QE9">
        <f>$QE$8+--($QD9)</f>
        <v/>
      </c>
      <c r="QF9">
        <f>IF(ROW()-3&gt;MAX($QE$4:$QE$40),"",INDEX($FN$4:$FN$40,MATCH(ROW()-3,$QE$4:$QE$40,0)))</f>
        <v/>
      </c>
      <c r="QG9">
        <f>IF(COUNTIF('Buyer Groups'!DG62:EM62,0)&gt;0,0,1)</f>
        <v/>
      </c>
      <c r="QH9">
        <f>IF($FS$9="",FALSE,SUMPRODUCT(('Final Calculation Sheet'!$AH$4:$AH$40=$FS$9)*($QG$6:$QG$42=1))&gt;0)</f>
        <v/>
      </c>
      <c r="QI9">
        <f>$QI$8+--($QH9)</f>
        <v/>
      </c>
      <c r="QJ9">
        <f>IF(ROW()-3&gt;MAX($QI$4:$QI$40),"",INDEX($FS$4:$FS$40,MATCH(ROW()-3,$QI$4:$QI$40,0)))</f>
        <v/>
      </c>
      <c r="QK9" t="str">
        <f>IF('Final Calculation Sheet'!$AH$9="","",'Final Calculation Sheet'!$AH$9)</f>
      </c>
      <c r="QL9" t="str">
        <f>IF(QK9="","",COUNTIFS(QK$4:QK$40,"&lt;"&amp;QK9,QK$4:QK$40,"&lt;&gt;"&amp;"")+COUNTIF(QK$4:QK9,QK9))</f>
      </c>
      <c r="QM9" t="str">
        <f>IF(ROW()-3&gt;COUNTIF(QK$4:QK$40,"&lt;&gt;"&amp;""),"",INDEX(QK$4:QK$40,MATCH(ROW()-3,QL$4:QL$40,0)))</f>
      </c>
      <c r="QN9" t="str">
        <f>=QN8+F(AND(QM9&lt;&gt;"",COUNTIF(QM$4:QM9,QM9)=1),1,0)</f>
      </c>
      <c r="QO9" t="str">
        <f>IF(ROW()-3&gt;MAX(QN$4:QN$40),"",INDEX(QM$4:QM$40,MATCH(ROW()-3,QN$4:QN$40,0)))</f>
      </c>
      <c r="QP9" t="str">
        <f>IF(COUNTIF('Final Calculation Sheet'!$AM9:$BS9,0)&gt;0,0,1)</f>
      </c>
      <c r="QQ9" t="str">
        <f>IF($AI$9="",FALSE,SUMPRODUCT(('Final Calculation Sheet'!$A$4:$A$40=$AI$9)*($QP$4:$QP$40=1))&gt;0)</f>
      </c>
      <c r="QR9" t="str">
        <f>=$QR8+--($QQ9)</f>
      </c>
      <c r="QS9" t="str">
        <f>IF(ROW()-3&gt;MAX($QR$4:$QR$40),"",INDEX($AI$4:$AI$40,MATCH(ROW()-3,$QR$4:$QR$40,0)))</f>
      </c>
      <c r="QT9" t="str">
        <f>IF(COUNTIF('Final Calculation Sheet'!$AL9:$AL9,0)+COUNTIF('Final Calculation Sheet'!$AN9:$BS9,0)&gt;0,0,1)</f>
      </c>
      <c r="QU9" t="str">
        <f>IF($Y$9="",FALSE,SUMPRODUCT(('Final Calculation Sheet'!$B$4:$B$40=$Y$9)*($QT$4:$QT$40=1))&gt;0)</f>
      </c>
      <c r="QV9" t="str">
        <f>=$QV8+--($QU9)</f>
      </c>
      <c r="QW9" t="str">
        <f>IF(ROW()-3&gt;MAX($QV$4:$QV$40),"",INDEX($Y$4:$Y$40,MATCH(ROW()-3,$QV$4:$QV$40,0)))</f>
      </c>
      <c r="QX9" t="str">
        <f>IF(COUNTIF('Final Calculation Sheet'!$AL9:$AM9,0)+COUNTIF('Final Calculation Sheet'!$AO9:$BS9,0)&gt;0,0,1)</f>
      </c>
      <c r="QY9" t="str">
        <f>IF($AS$9="",FALSE,SUMPRODUCT(('Final Calculation Sheet'!$C$4:$C$40=$AS$9)*($QX$4:$QX$40=1))&gt;0)</f>
      </c>
      <c r="QZ9" t="str">
        <f>=$QZ8+--($QY9)</f>
      </c>
      <c r="RA9" t="str">
        <f>IF(ROW()-3&gt;MAX($QZ$4:$QZ$40),"",INDEX($AS$4:$AS$40,MATCH(ROW()-3,$QZ$4:$QZ$40,0)))</f>
      </c>
      <c r="RB9" t="str">
        <f>IF(COUNTIF('Final Calculation Sheet'!$AL9:$AN9,0)+COUNTIF('Final Calculation Sheet'!$AP9:$BS9,0)&gt;0,0,1)</f>
      </c>
      <c r="RC9" t="str">
        <f>IF($AD$9="",FALSE,SUMPRODUCT(('Final Calculation Sheet'!$D$4:$D$40=$AD$9)*($RB$4:$RB$40=1))&gt;0)</f>
      </c>
      <c r="RD9" t="str">
        <f>=$RD8+--($RC9)</f>
      </c>
      <c r="RE9" t="str">
        <f>IF(ROW()-3&gt;MAX($RD$4:$RD$40),"",INDEX($AD$4:$AD$40,MATCH(ROW()-3,$RD$4:$RD$40,0)))</f>
      </c>
      <c r="RF9" t="str">
        <f>IF(COUNTIF('Final Calculation Sheet'!$AL9:$AO9,0)+COUNTIF('Final Calculation Sheet'!$AQ9:$BS9,0)&gt;0,0,1)</f>
      </c>
      <c r="RG9" t="str">
        <f>IF($AN$9="",FALSE,SUMPRODUCT(('Final Calculation Sheet'!$E$4:$E$40=$AN$9)*($RF$4:$RF$40=1))&gt;0)</f>
      </c>
      <c r="RH9" t="str">
        <f>=$RH8+--($RG9)</f>
      </c>
      <c r="RI9" t="str">
        <f>IF(ROW()-3&gt;MAX($RH$4:$RH$40),"",INDEX($AN$4:$AN$40,MATCH(ROW()-3,$RH$4:$RH$40,0)))</f>
      </c>
      <c r="RJ9" t="str">
        <f>IF(COUNTIF('Final Calculation Sheet'!$AL9:$AP9,0)+COUNTIF('Final Calculation Sheet'!$AR9:$BS9,0)&gt;0,0,1)</f>
      </c>
      <c r="RK9" t="str">
        <f>IF($O$9="",FALSE,SUMPRODUCT(('Final Calculation Sheet'!$F$4:$F$40=$O$9)*($RJ$4:$RJ$40=1))&gt;0)</f>
      </c>
      <c r="RL9" t="str">
        <f>=$RL8+--($RK9)</f>
      </c>
      <c r="RM9" t="str">
        <f>IF(ROW()-3&gt;MAX($RL$4:$RL$40),"",INDEX($O$4:$O$40,MATCH(ROW()-3,$RL$4:$RL$40,0)))</f>
      </c>
      <c r="RN9" t="str">
        <f>IF(COUNTIF('Final Calculation Sheet'!$AL9:$AQ9,0)+COUNTIF('Final Calculation Sheet'!$AS9:$BS9,0)&gt;0,0,1)</f>
      </c>
      <c r="RO9" t="str">
        <f>IF($T$9="",FALSE,SUMPRODUCT(('Final Calculation Sheet'!$G$4:$G$40=$T$9)*($RN$4:$RN$40=1))&gt;0)</f>
      </c>
      <c r="RP9" t="str">
        <f>=$RP8+--($RO9)</f>
      </c>
      <c r="RQ9" t="str">
        <f>IF(ROW()-3&gt;MAX($RP$4:$RP$40),"",INDEX($T$4:$T$40,MATCH(ROW()-3,$RP$4:$RP$40,0)))</f>
      </c>
      <c r="RR9" t="str">
        <f>IF(COUNTIF('Final Calculation Sheet'!$AL9:$AR9,0)+COUNTIF('Final Calculation Sheet'!$AT9:$BS9,0)&gt;0,0,1)</f>
      </c>
      <c r="RS9" t="str">
        <f>IF($AX$9="",FALSE,SUMPRODUCT(('Final Calculation Sheet'!$H$4:$H$40=$AX$9)*($RR$4:$RR$40=1))&gt;0)</f>
      </c>
      <c r="RT9" t="str">
        <f>=$RT8+--($RS9)</f>
      </c>
      <c r="RU9" t="str">
        <f>IF(ROW()-3&gt;MAX($RT$4:$RT$40),"",INDEX($AX$4:$AX$40,MATCH(ROW()-3,$RT$4:$RT$40,0)))</f>
      </c>
      <c r="RV9" t="str">
        <f>IF(COUNTIF('Final Calculation Sheet'!$AL9:$AS9,0)+COUNTIF('Final Calculation Sheet'!$AU9:$BS9,0)&gt;0,0,1)</f>
      </c>
      <c r="RW9" t="str">
        <f>IF($BC$9="",FALSE,SUMPRODUCT(('Final Calculation Sheet'!$I$4:$I$40=$BC$9)*($RV$4:$RV$40=1))&gt;0)</f>
      </c>
      <c r="RX9" t="str">
        <f>=$RX8+--($RW9)</f>
      </c>
      <c r="RY9" t="str">
        <f>IF(ROW()-3&gt;MAX($RX$4:$RX$40),"",INDEX($BC$4:$BC$40,MATCH(ROW()-3,$RX$4:$RX$40,0)))</f>
      </c>
      <c r="RZ9" t="str">
        <f>IF(COUNTIF('Final Calculation Sheet'!$AL9:$AT9,0)+COUNTIF('Final Calculation Sheet'!$AV9:$BS9,0)&gt;0,0,1)</f>
      </c>
      <c r="SA9" t="str">
        <f>IF($BH$9="",FALSE,SUMPRODUCT(('Final Calculation Sheet'!$J$4:$J$40=$BH$9)*($RZ$4:$RZ$40=1))&gt;0)</f>
      </c>
      <c r="SB9" t="str">
        <f>=$SB8+--($SA9)</f>
      </c>
      <c r="SC9" t="str">
        <f>IF(ROW()-3&gt;MAX($SB$4:$SB$40),"",INDEX($BH$4:$BH$40,MATCH(ROW()-3,$SB$4:$SB$40,0)))</f>
      </c>
      <c r="SD9" t="str">
        <f>IF(COUNTIF('Final Calculation Sheet'!$AL9:$AU9,0)+COUNTIF('Final Calculation Sheet'!$AW9:$BS9,0)&gt;0,0,1)</f>
      </c>
      <c r="SE9" t="str">
        <f>IF($BM$9="",FALSE,SUMPRODUCT(('Final Calculation Sheet'!$K$4:$K$40=$BM$9)*($SD$4:$SD$40=1))&gt;0)</f>
      </c>
      <c r="SF9" t="str">
        <f>=$SF8+--($SE9)</f>
      </c>
      <c r="SG9" t="str">
        <f>IF(ROW()-3&gt;MAX($SF$4:$SF$40),"",INDEX($BM$4:$BM$40,MATCH(ROW()-3,$SF$4:$SF$40,0)))</f>
      </c>
      <c r="SH9" t="str">
        <f>IF(COUNTIF('Final Calculation Sheet'!$AL9:$AV9,0)+COUNTIF('Final Calculation Sheet'!$AX9:$BS9,0)&gt;0,0,1)</f>
      </c>
      <c r="SI9" t="str">
        <f>IF($BR$9="",FALSE,SUMPRODUCT(('Final Calculation Sheet'!$L$4:$L$40=$BR$9)*($SH$4:$SH$40=1))&gt;0)</f>
      </c>
      <c r="SJ9" t="str">
        <f>=$SJ8+--($SI9)</f>
      </c>
      <c r="SK9" t="str">
        <f>IF(ROW()-3&gt;MAX($SJ$4:$SJ$40),"",INDEX($BR$4:$BR$40,MATCH(ROW()-3,$SJ$4:$SJ$40,0)))</f>
      </c>
      <c r="SL9" t="str">
        <f>IF(COUNTIF('Final Calculation Sheet'!$AL9:$AW9,0)+COUNTIF('Final Calculation Sheet'!$AY9:$BS9,0)&gt;0,0,1)</f>
      </c>
      <c r="SM9" t="str">
        <f>IF($BW$9="",FALSE,SUMPRODUCT(('Final Calculation Sheet'!$M$4:$M$40=$BW$9)*($SL$4:$SL$40=1))&gt;0)</f>
      </c>
      <c r="SN9" t="str">
        <f>=$SN8+--($SM9)</f>
      </c>
      <c r="SO9" t="str">
        <f>IF(ROW()-3&gt;MAX($SN$4:$SN$40),"",INDEX($BW$4:$BW$40,MATCH(ROW()-3,$SN$4:$SN$40,0)))</f>
      </c>
      <c r="SP9" t="str">
        <f>IF(COUNTIF('Final Calculation Sheet'!$AL9:$AX9,0)+COUNTIF('Final Calculation Sheet'!$AZ9:$BS9,0)&gt;0,0,1)</f>
      </c>
      <c r="SQ9" t="str">
        <f>IF($CB$9="",FALSE,SUMPRODUCT(('Final Calculation Sheet'!$N$4:$N$40=$CB$9)*($SP$4:$SP$40=1))&gt;0)</f>
      </c>
      <c r="SR9" t="str">
        <f>=$SR8+--($SQ9)</f>
      </c>
      <c r="SS9" t="str">
        <f>IF(ROW()-3&gt;MAX($SR$4:$SR$40),"",INDEX($CB$4:$CB$40,MATCH(ROW()-3,$SR$4:$SR$40,0)))</f>
      </c>
      <c r="ST9" t="str">
        <f>IF(COUNTIF('Final Calculation Sheet'!$AL9:$AY9,0)+COUNTIF('Final Calculation Sheet'!$BA9:$BS9,0)&gt;0,0,1)</f>
      </c>
      <c r="SU9" t="str">
        <f>IF($CG$9="",FALSE,SUMPRODUCT(('Final Calculation Sheet'!$O$4:$O$40=$CG$9)*($ST$4:$ST$40=1))&gt;0)</f>
      </c>
      <c r="SV9" t="str">
        <f>=$SV8+--($SU9)</f>
      </c>
      <c r="SW9" t="str">
        <f>IF(ROW()-3&gt;MAX($SV$4:$SV$40),"",INDEX($CG$4:$CG$40,MATCH(ROW()-3,$SV$4:$SV$40,0)))</f>
      </c>
      <c r="SX9" t="str">
        <f>IF(COUNTIF('Final Calculation Sheet'!$AL9:$AZ9,0)+COUNTIF('Final Calculation Sheet'!$BB9:$BS9,0)&gt;0,0,1)</f>
      </c>
      <c r="SY9" t="str">
        <f>IF($CL$9="",FALSE,SUMPRODUCT(('Final Calculation Sheet'!$P$4:$P$40=$CL$9)*($SX$4:$SX$40=1))&gt;0)</f>
      </c>
      <c r="SZ9" t="str">
        <f>=$SZ8+--($SY9)</f>
      </c>
      <c r="TA9" t="str">
        <f>IF(ROW()-3&gt;MAX($SZ$4:$SZ$40),"",INDEX($CL$4:$CL$40,MATCH(ROW()-3,$SZ$4:$SZ$40,0)))</f>
      </c>
      <c r="TB9" t="str">
        <f>IF(COUNTIF('Final Calculation Sheet'!$AL9:$BA9,0)+COUNTIF('Final Calculation Sheet'!$BC9:$BS9,0)&gt;0,0,1)</f>
      </c>
      <c r="TC9" t="str">
        <f>IF($CQ$9="",FALSE,SUMPRODUCT(('Final Calculation Sheet'!$Q$4:$Q$40=$CQ$9)*($TB$4:$TB$40=1))&gt;0)</f>
      </c>
      <c r="TD9" t="str">
        <f>=$TD8+--($TC9)</f>
      </c>
      <c r="TE9" t="str">
        <f>IF(ROW()-3&gt;MAX($TD$4:$TD$40),"",INDEX($CQ$4:$CQ$40,MATCH(ROW()-3,$TD$4:$TD$40,0)))</f>
      </c>
      <c r="TF9" t="str">
        <f>IF(COUNTIF('Final Calculation Sheet'!$AL9:$BB9,0)+COUNTIF('Final Calculation Sheet'!$BD9:$BS9,0)&gt;0,0,1)</f>
      </c>
      <c r="TG9" t="str">
        <f>IF($CV$9="",FALSE,SUMPRODUCT(('Final Calculation Sheet'!$R$4:$R$40=$CV$9)*($TF$4:$TF$40=1))&gt;0)</f>
      </c>
      <c r="TH9" t="str">
        <f>=$TH8+--($TG9)</f>
      </c>
      <c r="TI9" t="str">
        <f>IF(ROW()-3&gt;MAX($TH$4:$TH$40),"",INDEX($CV$4:$CV$40,MATCH(ROW()-3,$TH$4:$TH$40,0)))</f>
      </c>
      <c r="TJ9" t="str">
        <f>IF(COUNTIF('Final Calculation Sheet'!$AL9:$BC9,0)+COUNTIF('Final Calculation Sheet'!$BE9:$BS9,0)&gt;0,0,1)</f>
      </c>
      <c r="TK9" t="str">
        <f>IF($DA$9="",FALSE,SUMPRODUCT(('Final Calculation Sheet'!$S$4:$S$40=$DA$9)*($TJ$4:$TJ$40=1))&gt;0)</f>
      </c>
      <c r="TL9" t="str">
        <f>=$TL8+--($TK9)</f>
      </c>
      <c r="TM9" t="str">
        <f>IF(ROW()-3&gt;MAX($TL$4:$TL$40),"",INDEX($DA$4:$DA$40,MATCH(ROW()-3,$TL$4:$TL$40,0)))</f>
      </c>
      <c r="TN9" t="str">
        <f>IF(COUNTIF('Final Calculation Sheet'!$AL9:$BD9,0)+COUNTIF('Final Calculation Sheet'!$BF9:$BS9,0)&gt;0,0,1)</f>
      </c>
      <c r="TO9" t="str">
        <f>IF($DF$9="",FALSE,SUMPRODUCT(('Final Calculation Sheet'!$T$4:$T$40=$DF$9)*($TN$4:$TN$40=1))&gt;0)</f>
      </c>
      <c r="TP9" t="str">
        <f>=$TP8+--($TO9)</f>
      </c>
      <c r="TQ9" t="str">
        <f>IF(ROW()-3&gt;MAX($TP$4:$TP$40),"",INDEX($DF$4:$DF$40,MATCH(ROW()-3,$TP$4:$TP$40,0)))</f>
      </c>
      <c r="TR9" t="str">
        <f>IF(COUNTIF('Final Calculation Sheet'!$AL9:$BE9,0)+COUNTIF('Final Calculation Sheet'!$BG9:$BS9,0)&gt;0,0,1)</f>
      </c>
      <c r="TS9" t="str">
        <f>IF($DK$9="",FALSE,SUMPRODUCT(('Final Calculation Sheet'!$U$4:$U$40=$DK$9)*($TR$4:$TR$40=1))&gt;0)</f>
      </c>
      <c r="TT9" t="str">
        <f>=$TT8+--($TS9)</f>
      </c>
      <c r="TU9" t="str">
        <f>IF(ROW()-3&gt;MAX($TT$4:$TT$40),"",INDEX($DK$4:$DK$40,MATCH(ROW()-3,$TT$4:$TT$40,0)))</f>
      </c>
      <c r="TV9" t="str">
        <f>IF(COUNTIF('Final Calculation Sheet'!$AL9:$BF9,0)+COUNTIF('Final Calculation Sheet'!$BH9:$BS9,0)&gt;0,0,1)</f>
      </c>
      <c r="TW9" t="str">
        <f>IF($DP$9="",FALSE,SUMPRODUCT(('Final Calculation Sheet'!$V$4:$V$40=$DP$9)*($TV$4:$TV$40=1))&gt;0)</f>
      </c>
      <c r="TX9" t="str">
        <f>=$TX8+--($TW9)</f>
      </c>
      <c r="TY9" t="str">
        <f>IF(ROW()-3&gt;MAX($TX$4:$TX$40),"",INDEX($DP$4:$DP$40,MATCH(ROW()-3,$TX$4:$TX$40,0)))</f>
      </c>
      <c r="TZ9" t="str">
        <f>IF(COUNTIF('Final Calculation Sheet'!$AL9:$BG9,0)+COUNTIF('Final Calculation Sheet'!$BI9:$BS9,0)&gt;0,0,1)</f>
      </c>
      <c r="UA9" t="str">
        <f>IF($DU$9="",FALSE,SUMPRODUCT(('Final Calculation Sheet'!$W$4:$W$40=$DU$9)*($TZ$4:$TZ$40=1))&gt;0)</f>
      </c>
      <c r="UB9" t="str">
        <f>=$UB8+--($UA9)</f>
      </c>
      <c r="UC9" t="str">
        <f>IF(ROW()-3&gt;MAX($UB$4:$UB$40),"",INDEX($DU$4:$DU$40,MATCH(ROW()-3,$UB$4:$UB$40,0)))</f>
      </c>
      <c r="UD9" t="str">
        <f>IF(COUNTIF('Final Calculation Sheet'!$AL9:$BH9,0)+COUNTIF('Final Calculation Sheet'!$BJ9:$BS9,0)&gt;0,0,1)</f>
      </c>
      <c r="UE9" t="str">
        <f>IF($DZ$9="",FALSE,SUMPRODUCT(('Final Calculation Sheet'!$X$4:$X$40=$DZ$9)*($UD$4:$UD$40=1))&gt;0)</f>
      </c>
      <c r="UF9" t="str">
        <f>=$UF8+--($UE9)</f>
      </c>
      <c r="UG9" t="str">
        <f>IF(ROW()-3&gt;MAX($UF$4:$UF$40),"",INDEX($DZ$4:$DZ$40,MATCH(ROW()-3,$UF$4:$UF$40,0)))</f>
      </c>
      <c r="UH9" t="str">
        <f>IF(COUNTIF('Final Calculation Sheet'!$AL9:$BI9,0)+COUNTIF('Final Calculation Sheet'!$BK9:$BS9,0)&gt;0,0,1)</f>
      </c>
      <c r="UI9" t="str">
        <f>IF($EE$9="",FALSE,SUMPRODUCT(('Final Calculation Sheet'!$Y$4:$Y$40=$EE$9)*($UH$4:$UH$40=1))&gt;0)</f>
      </c>
      <c r="UJ9" t="str">
        <f>=$UJ8+--($UI9)</f>
      </c>
      <c r="UK9" t="str">
        <f>IF(ROW()-3&gt;MAX($UJ$4:$UJ$40),"",INDEX($EE$4:$EE$40,MATCH(ROW()-3,$UJ$4:$UJ$40,0)))</f>
      </c>
      <c r="UL9" t="str">
        <f>IF(COUNTIF('Final Calculation Sheet'!$AL9:$BJ9,0)+COUNTIF('Final Calculation Sheet'!$BL9:$BS9,0)&gt;0,0,1)</f>
      </c>
      <c r="UM9" t="str">
        <f>IF($EJ$9="",FALSE,SUMPRODUCT(('Final Calculation Sheet'!$Z$4:$Z$40=$EJ$9)*($UL$4:$UL$40=1))&gt;0)</f>
      </c>
      <c r="UN9" t="str">
        <f>=$UN8+--($UM9)</f>
      </c>
      <c r="UO9" t="str">
        <f>IF(ROW()-3&gt;MAX($UN$4:$UN$40),"",INDEX($EJ$4:$EJ$40,MATCH(ROW()-3,$UN$4:$UN$40,0)))</f>
      </c>
      <c r="UP9" t="str">
        <f>IF(COUNTIF('Final Calculation Sheet'!$AL9:$BK9,0)+COUNTIF('Final Calculation Sheet'!$BM9:$BS9,0)&gt;0,0,1)</f>
      </c>
      <c r="UQ9" t="str">
        <f>IF($EO$9="",FALSE,SUMPRODUCT(('Final Calculation Sheet'!$AA$4:$AA$40=$EO$9)*($UP$4:$UP$40=1))&gt;0)</f>
      </c>
      <c r="UR9" t="str">
        <f>=$UR8+--($UQ9)</f>
      </c>
      <c r="US9" t="str">
        <f>IF(ROW()-3&gt;MAX($UR$4:$UR$40),"",INDEX($EO$4:$EO$40,MATCH(ROW()-3,$UR$4:$UR$40,0)))</f>
      </c>
      <c r="UT9" t="str">
        <f>IF(COUNTIF('Final Calculation Sheet'!$AL9:$BL9,0)+COUNTIF('Final Calculation Sheet'!$BN9:$BS9,0)&gt;0,0,1)</f>
      </c>
      <c r="UU9" t="str">
        <f>IF($ET$9="",FALSE,SUMPRODUCT(('Final Calculation Sheet'!$AB$4:$AB$40=$ET$9)*($UT$4:$UT$40=1))&gt;0)</f>
      </c>
      <c r="UV9" t="str">
        <f>=$UV8+--($UU9)</f>
      </c>
      <c r="UW9" t="str">
        <f>IF(ROW()-3&gt;MAX($UV$4:$UV$40),"",INDEX($ET$4:$ET$40,MATCH(ROW()-3,$UV$4:$UV$40,0)))</f>
      </c>
      <c r="UX9" t="str">
        <f>IF(COUNTIF('Final Calculation Sheet'!$AL9:$BM9,0)+COUNTIF('Final Calculation Sheet'!$BO9:$BS9,0)&gt;0,0,1)</f>
      </c>
      <c r="UY9" t="str">
        <f>IF($EY$9="",FALSE,SUMPRODUCT(('Final Calculation Sheet'!$AC$4:$AC$40=$EY$9)*($UX$4:$UX$40=1))&gt;0)</f>
      </c>
      <c r="UZ9" t="str">
        <f>=$UZ8+--($UY9)</f>
      </c>
      <c r="VA9" t="str">
        <f>IF(ROW()-3&gt;MAX($UZ$4:$UZ$40),"",INDEX($EY$4:$EY$40,MATCH(ROW()-3,$UZ$4:$UZ$40,0)))</f>
      </c>
      <c r="VB9" t="str">
        <f>IF(COUNTIF('Final Calculation Sheet'!$AL9:$BN9,0)+COUNTIF('Final Calculation Sheet'!$BP9:$BS9,0)&gt;0,0,1)</f>
      </c>
      <c r="VC9" t="str">
        <f>IF($FD$9="",FALSE,SUMPRODUCT(('Final Calculation Sheet'!$AD$4:$AD$40=$FD$9)*($VB$4:$VB$40=1))&gt;0)</f>
      </c>
      <c r="VD9" t="str">
        <f>=$VD8+--($VC9)</f>
      </c>
      <c r="VE9" t="str">
        <f>IF(ROW()-3&gt;MAX($VD$4:$VD$40),"",INDEX($FD$4:$FD$40,MATCH(ROW()-3,$VD$4:$VD$40,0)))</f>
      </c>
      <c r="VF9" t="str">
        <f>IF(COUNTIF('Final Calculation Sheet'!$AL9:$BO9,0)+COUNTIF('Final Calculation Sheet'!$BQ9:$BS9,0)&gt;0,0,1)</f>
      </c>
      <c r="VG9" t="str">
        <f>IF($FI$9="",FALSE,SUMPRODUCT(('Final Calculation Sheet'!$AE$4:$AE$40=$FI$9)*($VF$4:$VF$40=1))&gt;0)</f>
      </c>
      <c r="VH9" t="str">
        <f>=$VH8+--($VG9)</f>
      </c>
      <c r="VI9" t="str">
        <f>IF(ROW()-3&gt;MAX($VH$4:$VH$40),"",INDEX($FI$4:$FI$40,MATCH(ROW()-3,$VH$4:$VH$40,0)))</f>
      </c>
      <c r="VJ9" t="str">
        <f>IF(COUNTIF('Final Calculation Sheet'!$AL9:$BP9,0)+COUNTIF('Final Calculation Sheet'!$BR9:$BS9,0)&gt;0,0,1)</f>
      </c>
      <c r="VK9" t="str">
        <f>IF($FN$9="",FALSE,SUMPRODUCT(('Final Calculation Sheet'!$AF$4:$AF$40=$FN$9)*($VJ$4:$VJ$40=1))&gt;0)</f>
      </c>
      <c r="VL9" t="str">
        <f>=$VL8+--($VK9)</f>
      </c>
      <c r="VM9" t="str">
        <f>IF(ROW()-3&gt;MAX($VL$4:$VL$40),"",INDEX($FN$4:$FN$40,MATCH(ROW()-3,$VL$4:$VL$40,0)))</f>
      </c>
      <c r="VN9" t="str">
        <f>IF(COUNTIF('Final Calculation Sheet'!$AL9:$BQ9,0)+COUNTIF('Final Calculation Sheet'!$BS9:$BS9,0)&gt;0,0,1)</f>
      </c>
      <c r="VO9" t="str">
        <f>IF($FS$9="",FALSE,SUMPRODUCT(('Final Calculation Sheet'!$AG$4:$AG$40=$FS$9)*($VN$4:$VN$40=1))&gt;0)</f>
      </c>
      <c r="VP9" t="str">
        <f>=$VP8+--($VO9)</f>
      </c>
      <c r="VQ9" t="str">
        <f>IF(ROW()-3&gt;MAX($VP$4:$VP$40),"",INDEX($FS$4:$FS$40,MATCH(ROW()-3,$VP$4:$VP$40,0)))</f>
      </c>
      <c r="VR9" t="str">
        <f>IF(COUNTIF('Final Calculation Sheet'!$AL9:$BR9,0)&gt;0,0,1)</f>
      </c>
      <c r="VS9" t="str">
        <f>IF($QO$9="",FALSE,SUMPRODUCT(('Final Calculation Sheet'!$AH$4:$AH$40=$QO$9)*($VR$4:$VR$40=1))&gt;0)</f>
      </c>
      <c r="VT9" t="str">
        <f>=$VT8+--($VS9)</f>
      </c>
      <c r="VU9" t="str">
        <f>IF(ROW()-3&gt;MAX($VT$4:$VT$40),"",INDEX($QO$4:$QO$40,MATCH(ROW()-3,$VT$4:$VT$40,0)))</f>
      </c>
    </row>
    <row r="10">
      <c r="A10">
        <f>IF('Final Calculation Sheet'!$F$10="","",'Final Calculation Sheet'!$F$10)</f>
        <v/>
      </c>
      <c r="B10">
        <f>IF(A10="","",COUNTIFS(A$4:A$114,"&lt;"&amp;A10,A$4:A$114,"&lt;&gt;"&amp;"")+COUNTIF(A$4:A10,A10))</f>
        <v/>
      </c>
      <c r="C10">
        <f>IF(ROW()-3&gt;COUNTIF(A$4:A$114,"&lt;&gt;"&amp;""),"",INDEX(A$4:A$114,MATCH(ROW()-3,B$4:B$114,0)))</f>
        <v/>
      </c>
      <c r="D10">
        <f>D9+IF(AND(C10&lt;&gt;"",COUNTIF(C$4:C10,C10)=1),1,0)</f>
        <v/>
      </c>
      <c r="E10">
        <f>IF(ROW()-3&gt;MAX(D$4:D$114),"",INDEX(C$4:C$114,MATCH(ROW()-3,D$4:D$114,0)))</f>
        <v/>
      </c>
      <c r="F10">
        <f>ROW()-3</f>
        <v/>
      </c>
      <c r="G10">
        <f>IF(F10="","",COUNTIFS(F$4:F$40,"&lt;"&amp;F10,F$4:F$40,"&lt;&gt;"&amp;"")+COUNTIF(F$4:F10,F10))</f>
        <v/>
      </c>
      <c r="H10">
        <f>IF(ROW()-3&gt;COUNTIF(F$4:F$40,"&lt;&gt;"&amp;""),"",INDEX(F$4:F$40,MATCH(ROW()-3,G$4:G$40,0)))</f>
        <v/>
      </c>
      <c r="I10">
        <f>I9+IF(AND(H10&lt;&gt;"",COUNTIF(H$4:H10,H10)=1),1,0)</f>
        <v/>
      </c>
      <c r="J10">
        <f>IF(ROW()-3&gt;MAX(I$4:I$40),"",INDEX(H$4:H$40,MATCH(ROW()-3,I$4:I$40,0)))</f>
        <v/>
      </c>
      <c r="K10">
        <f>IF('Final Calculation Sheet'!$F$10="","",'Final Calculation Sheet'!$F$10)</f>
        <v/>
      </c>
      <c r="L10">
        <f>IF(K10="","",COUNTIFS(K$4:K$40,"&lt;"&amp;K10,K$4:K$40,"&lt;&gt;"&amp;"")+COUNTIF(K$4:K10,K10))</f>
        <v/>
      </c>
      <c r="M10">
        <f>IF(ROW()-3&gt;COUNTIF(K$4:K$40,"&lt;&gt;"&amp;""),"",INDEX(K$4:K$40,MATCH(ROW()-3,L$4:L$40,0)))</f>
        <v/>
      </c>
      <c r="N10">
        <f>N9+IF(AND(M10&lt;&gt;"",COUNTIF(M$4:M10,M10)=1),1,0)</f>
        <v/>
      </c>
      <c r="O10">
        <f>IF(ROW()-3&gt;MAX(N$4:N$40),"",INDEX(M$4:M$40,MATCH(ROW()-3,N$4:N$40,0)))</f>
        <v/>
      </c>
      <c r="P10">
        <f>IF('Final Calculation Sheet'!$G$10="","",'Final Calculation Sheet'!$G$10)</f>
        <v/>
      </c>
      <c r="Q10">
        <f>IF(P10="","",COUNTIFS(P$4:P$40,"&lt;"&amp;P10,P$4:P$40,"&lt;&gt;"&amp;"")+COUNTIF(P$4:P10,P10))</f>
        <v/>
      </c>
      <c r="R10">
        <f>IF(ROW()-3&gt;COUNTIF(P$4:P$40,"&lt;&gt;"&amp;""),"",INDEX(P$4:P$40,MATCH(ROW()-3,Q$4:Q$40,0)))</f>
        <v/>
      </c>
      <c r="S10">
        <f>S9+IF(AND(R10&lt;&gt;"",COUNTIF(R$4:R10,R10)=1),1,0)</f>
        <v/>
      </c>
      <c r="T10">
        <f>IF(ROW()-3&gt;MAX(S$4:S$40),"",INDEX(R$4:R$40,MATCH(ROW()-3,S$4:S$40,0)))</f>
        <v/>
      </c>
      <c r="U10">
        <f>IF('Final Calculation Sheet'!$B$10="","",'Final Calculation Sheet'!$B$10)</f>
        <v/>
      </c>
      <c r="V10">
        <f>IF(U10="","",COUNTIFS(U$4:U$40,"&lt;"&amp;U10,U$4:U$40,"&lt;&gt;"&amp;"")+COUNTIF(U$4:U10,U10))</f>
        <v/>
      </c>
      <c r="W10">
        <f>IF(ROW()-3&gt;COUNTIF(U$4:U$40,"&lt;&gt;"&amp;""),"",INDEX(U$4:U$40,MATCH(ROW()-3,V$4:V$40,0)))</f>
        <v/>
      </c>
      <c r="X10">
        <f>X9+IF(AND(W10&lt;&gt;"",COUNTIF(W$4:W10,W10)=1),1,0)</f>
        <v/>
      </c>
      <c r="Y10">
        <f>IF(ROW()-3&gt;MAX(X$4:X$40),"",INDEX(W$4:W$40,MATCH(ROW()-3,X$4:X$40,0)))</f>
        <v/>
      </c>
      <c r="Z10">
        <f>IF('Final Calculation Sheet'!$D$10="","",'Final Calculation Sheet'!$D$10)</f>
        <v/>
      </c>
      <c r="AA10">
        <f>IF(Z10="","",COUNTIFS(Z$4:Z$40,"&lt;"&amp;Z10,Z$4:Z$40,"&lt;&gt;"&amp;"")+COUNTIF(Z$4:Z10,Z10))</f>
        <v/>
      </c>
      <c r="AB10">
        <f>IF(ROW()-3&gt;COUNTIF(Z$4:Z$40,"&lt;&gt;"&amp;""),"",INDEX(Z$4:Z$40,MATCH(ROW()-3,AA$4:AA$40,0)))</f>
        <v/>
      </c>
      <c r="AC10">
        <f>AC9+IF(AND(AB10&lt;&gt;"",COUNTIF(AB$4:AB10,AB10)=1),1,0)</f>
        <v/>
      </c>
      <c r="AD10">
        <f>IF(ROW()-3&gt;MAX(AC$4:AC$40),"",INDEX(AB$4:AB$40,MATCH(ROW()-3,AC$4:AC$40,0)))</f>
        <v/>
      </c>
      <c r="AE10">
        <f>IF('Final Calculation Sheet'!$A$10="","",'Final Calculation Sheet'!$A$10)</f>
        <v/>
      </c>
      <c r="AF10">
        <f>IF(AE10="","",COUNTIFS(AE$4:AE$40,"&lt;"&amp;AE10,AE$4:AE$40,"&lt;&gt;"&amp;"")+COUNTIF(AE$4:AE10,AE10))</f>
        <v/>
      </c>
      <c r="AG10">
        <f>IF(ROW()-3&gt;COUNTIF(AE$4:AE$40,"&lt;&gt;"&amp;""),"",INDEX(AE$4:AE$40,MATCH(ROW()-3,AF$4:AF$40,0)))</f>
        <v/>
      </c>
      <c r="AH10">
        <f>AH9+IF(AND(AG10&lt;&gt;"",COUNTIF(AG$4:AG10,AG10)=1),1,0)</f>
        <v/>
      </c>
      <c r="AI10">
        <f>IF(ROW()-3&gt;MAX(AH$4:AH$40),"",INDEX(AG$4:AG$40,MATCH(ROW()-3,AH$4:AH$40,0)))</f>
        <v/>
      </c>
      <c r="AJ10">
        <f>IF('Final Calculation Sheet'!$E$10="","",'Final Calculation Sheet'!$E$10)</f>
        <v/>
      </c>
      <c r="AK10">
        <f>IF(AJ10="","",COUNTIFS(AJ$4:AJ$40,"&lt;"&amp;AJ10,AJ$4:AJ$40,"&lt;&gt;"&amp;"")+COUNTIF(AJ$4:AJ10,AJ10))</f>
        <v/>
      </c>
      <c r="AL10">
        <f>IF(ROW()-3&gt;COUNTIF(AJ$4:AJ$40,"&lt;&gt;"&amp;""),"",INDEX(AJ$4:AJ$40,MATCH(ROW()-3,AK$4:AK$40,0)))</f>
        <v/>
      </c>
      <c r="AM10">
        <f>AM9+IF(AND(AL10&lt;&gt;"",COUNTIF(AL$4:AL10,AL10)=1),1,0)</f>
        <v/>
      </c>
      <c r="AN10">
        <f>IF(ROW()-3&gt;MAX(AM$4:AM$40),"",INDEX(AL$4:AL$40,MATCH(ROW()-3,AM$4:AM$40,0)))</f>
        <v/>
      </c>
      <c r="AO10" s="55">
        <f>IF('Final Calculation Sheet'!$C$10="","",'Final Calculation Sheet'!$C$10)</f>
        <v/>
      </c>
      <c r="AP10">
        <f>IF(AO10="","",COUNTIFS(AO$4:AO$40,"&lt;"&amp;AO10,AO$4:AO$40,"&lt;&gt;"&amp;"")+COUNTIF(AO$4:AO10,AO10))</f>
        <v/>
      </c>
      <c r="AQ10" s="55">
        <f>IF(ROW()-3&gt;COUNTIF(AO$4:AO$40,"&lt;&gt;"&amp;""),"",INDEX(AO$4:AO$40,MATCH(ROW()-3,AP$4:AP$40,0)))</f>
        <v/>
      </c>
      <c r="AR10">
        <f>AR9+IF(AND(AQ10&lt;&gt;"",COUNTIF(AQ$4:AQ10,AQ10)=1),1,0)</f>
        <v/>
      </c>
      <c r="AS10" s="55">
        <f>IF(ROW()-3&gt;MAX(AR$4:AR$40),"",INDEX(AQ$4:AQ$40,MATCH(ROW()-3,AR$4:AR$40,0)))</f>
        <v/>
      </c>
      <c r="AT10" s="55">
        <f>IF('Final Calculation Sheet'!$H$10="","",'Final Calculation Sheet'!$H$10)</f>
        <v/>
      </c>
      <c r="AU10">
        <f>IF(AT10="","",COUNTIFS(AT$4:AT$40,"&lt;"&amp;AT10,AT$4:AT$40,"&lt;&gt;"&amp;"")+COUNTIF(AT$4:AT10,AT10))</f>
        <v/>
      </c>
      <c r="AV10" s="55">
        <f>IF(ROW()-3&gt;COUNTIF(AT$4:AT$40,"&lt;&gt;"&amp;""),"",INDEX(AT$4:AT$40,MATCH(ROW()-3,AU$4:AU$40,0)))</f>
        <v/>
      </c>
      <c r="AW10">
        <f>AW9+IF(AND(AV10&lt;&gt;"",COUNTIF(AV$4:AV10,AV10)=1),1,0)</f>
        <v/>
      </c>
      <c r="AX10" s="55">
        <f>IF(ROW()-3&gt;MAX(AW$4:AW$40),"",INDEX(AV$4:AV$40,MATCH(ROW()-3,AW$4:AW$40,0)))</f>
        <v/>
      </c>
      <c r="AY10" s="55">
        <f>IF('Final Calculation Sheet'!$I$10="","",'Final Calculation Sheet'!$I$10)</f>
        <v/>
      </c>
      <c r="AZ10">
        <f>IF(AY10="","",COUNTIFS(AY$4:AY$40,"&lt;"&amp;AY10,AY$4:AY$40,"&lt;&gt;"&amp;"")+COUNTIF(AY$4:AY10,AY10))</f>
        <v/>
      </c>
      <c r="BA10" s="55">
        <f>IF(ROW()-3&gt;COUNTIF(AY$4:AY$40,"&lt;&gt;"&amp;""),"",INDEX(AY$4:AY$40,MATCH(ROW()-3,AZ$4:AZ$40,0)))</f>
        <v/>
      </c>
      <c r="BB10">
        <f>BB9+IF(AND(BA10&lt;&gt;"",COUNTIF(BA$4:BA10,BA10)=1),1,0)</f>
        <v/>
      </c>
      <c r="BC10" s="55">
        <f>IF(ROW()-3&gt;MAX(BB$4:BB$40),"",INDEX(BA$4:BA$40,MATCH(ROW()-3,BB$4:BB$40,0)))</f>
        <v/>
      </c>
      <c r="BD10" s="55">
        <f>IF('Final Calculation Sheet'!$J$10="","",'Final Calculation Sheet'!$J$10)</f>
        <v/>
      </c>
      <c r="BE10">
        <f>IF(BD10="","",COUNTIFS(BD$4:BD$40,"&lt;"&amp;BD10,BD$4:BD$40,"&lt;&gt;"&amp;"")+COUNTIF(BD$4:BD10,BD10))</f>
        <v/>
      </c>
      <c r="BF10" s="55">
        <f>IF(ROW()-3&gt;COUNTIF(BD$4:BD$40,"&lt;&gt;"&amp;""),"",INDEX(BD$4:BD$40,MATCH(ROW()-3,BE$4:BE$40,0)))</f>
        <v/>
      </c>
      <c r="BG10">
        <f>BG9+IF(AND(BF10&lt;&gt;"",COUNTIF(BF$4:BF10,BF10)=1),1,0)</f>
        <v/>
      </c>
      <c r="BH10" s="55">
        <f>IF(ROW()-3&gt;MAX(BG$4:BG$40),"",INDEX(BF$4:BF$40,MATCH(ROW()-3,BG$4:BG$40,0)))</f>
        <v/>
      </c>
      <c r="BI10" s="55">
        <f>IF('Final Calculation Sheet'!$K$10="","",'Final Calculation Sheet'!$K$10)</f>
        <v/>
      </c>
      <c r="BJ10">
        <f>IF(BI10="","",COUNTIFS(BI$4:BI$40,"&lt;"&amp;BI10,BI$4:BI$40,"&lt;&gt;"&amp;"")+COUNTIF(BI$4:BI10,BI10))</f>
        <v/>
      </c>
      <c r="BK10" s="55">
        <f>IF(ROW()-3&gt;COUNTIF(BI$4:BI$40,"&lt;&gt;"&amp;""),"",INDEX(BI$4:BI$40,MATCH(ROW()-3,BJ$4:BJ$40,0)))</f>
        <v/>
      </c>
      <c r="BL10">
        <f>BL9+IF(AND(BK10&lt;&gt;"",COUNTIF(BK$4:BK10,BK10)=1),1,0)</f>
        <v/>
      </c>
      <c r="BM10" s="55">
        <f>IF(ROW()-3&gt;MAX(BL$4:BL$40),"",INDEX(BK$4:BK$40,MATCH(ROW()-3,BL$4:BL$40,0)))</f>
        <v/>
      </c>
      <c r="BN10" s="55">
        <f>IF('Final Calculation Sheet'!$L$10="","",'Final Calculation Sheet'!$L$10)</f>
        <v/>
      </c>
      <c r="BO10">
        <f>IF(BN10="","",COUNTIFS(BN$4:BN$40,"&lt;"&amp;BN10,BN$4:BN$40,"&lt;&gt;"&amp;"")+COUNTIF(BN$4:BN10,BN10))</f>
        <v/>
      </c>
      <c r="BP10" s="55">
        <f>IF(ROW()-3&gt;COUNTIF(BN$4:BN$40,"&lt;&gt;"&amp;""),"",INDEX(BN$4:BN$40,MATCH(ROW()-3,BO$4:BO$40,0)))</f>
        <v/>
      </c>
      <c r="BQ10">
        <f>BQ9+IF(AND(BP10&lt;&gt;"",COUNTIF(BP$4:BP10,BP10)=1),1,0)</f>
        <v/>
      </c>
      <c r="BR10" s="55">
        <f>IF(ROW()-3&gt;MAX(BQ$4:BQ$40),"",INDEX(BP$4:BP$40,MATCH(ROW()-3,BQ$4:BQ$40,0)))</f>
        <v/>
      </c>
      <c r="BS10" s="55">
        <f>IF('Final Calculation Sheet'!$M$10="","",'Final Calculation Sheet'!$M$10)</f>
        <v/>
      </c>
      <c r="BT10">
        <f>IF(BS10="","",COUNTIFS(BS$4:BS$40,"&lt;"&amp;BS10,BS$4:BS$40,"&lt;&gt;"&amp;"")+COUNTIF(BS$4:BS10,BS10))</f>
        <v/>
      </c>
      <c r="BU10" s="55">
        <f>IF(ROW()-3&gt;COUNTIF(BS$4:BS$40,"&lt;&gt;"&amp;""),"",INDEX(BS$4:BS$40,MATCH(ROW()-3,BT$4:BT$40,0)))</f>
        <v/>
      </c>
      <c r="BV10">
        <f>BV9+IF(AND(BU10&lt;&gt;"",COUNTIF(BU$4:BU10,BU10)=1),1,0)</f>
        <v/>
      </c>
      <c r="BW10" s="55">
        <f>IF(ROW()-3&gt;MAX(BV$4:BV$40),"",INDEX(BU$4:BU$40,MATCH(ROW()-3,BV$4:BV$40,0)))</f>
        <v/>
      </c>
      <c r="BX10" s="138">
        <f>IF('Final Calculation Sheet'!$N$10="","",'Final Calculation Sheet'!$N$10)</f>
        <v/>
      </c>
      <c r="BY10">
        <f>IF(BX10="","",COUNTIFS(BX$4:BX$40,"&lt;"&amp;BX10,BX$4:BX$40,"&lt;&gt;"&amp;"")+COUNTIF(BX$4:BX10,BX10))</f>
        <v/>
      </c>
      <c r="BZ10" s="138">
        <f>IF(ROW()-3&gt;COUNTIF(BX$4:BX$40,"&lt;&gt;"&amp;""),"",INDEX(BX$4:BX$40,MATCH(ROW()-3,BY$4:BY$40,0)))</f>
        <v/>
      </c>
      <c r="CA10">
        <f>CA9+IF(AND(BZ10&lt;&gt;"",COUNTIF(BZ$4:BZ10,BZ10)=1),1,0)</f>
        <v/>
      </c>
      <c r="CB10" s="138">
        <f>IF(ROW()-3&gt;MAX(CA$4:CA$40),"",INDEX(BZ$4:BZ$40,MATCH(ROW()-3,CA$4:CA$40,0)))</f>
        <v/>
      </c>
      <c r="CC10" s="55">
        <f>IF('Final Calculation Sheet'!$O$10="","",'Final Calculation Sheet'!$O$10)</f>
        <v/>
      </c>
      <c r="CD10">
        <f>IF(CC10="","",COUNTIFS(CC$4:CC$40,"&lt;"&amp;CC10,CC$4:CC$40,"&lt;&gt;"&amp;"")+COUNTIF(CC$4:CC10,CC10))</f>
        <v/>
      </c>
      <c r="CE10" s="55">
        <f>IF(ROW()-3&gt;COUNTIF(CC$4:CC$40,"&lt;&gt;"&amp;""),"",INDEX(CC$4:CC$40,MATCH(ROW()-3,CD$4:CD$40,0)))</f>
        <v/>
      </c>
      <c r="CF10">
        <f>CF9+IF(AND(CE10&lt;&gt;"",COUNTIF(CE$4:CE10,CE10)=1),1,0)</f>
        <v/>
      </c>
      <c r="CG10" s="55">
        <f>IF(ROW()-3&gt;MAX(CF$4:CF$40),"",INDEX(CE$4:CE$40,MATCH(ROW()-3,CF$4:CF$40,0)))</f>
        <v/>
      </c>
      <c r="CH10" s="55">
        <f>IF('Final Calculation Sheet'!$P$10="","",'Final Calculation Sheet'!$P$10)</f>
        <v/>
      </c>
      <c r="CI10">
        <f>IF(CH10="","",COUNTIFS(CH$4:CH$40,"&lt;"&amp;CH10,CH$4:CH$40,"&lt;&gt;"&amp;"")+COUNTIF(CH$4:CH10,CH10))</f>
        <v/>
      </c>
      <c r="CJ10" s="55">
        <f>IF(ROW()-3&gt;COUNTIF(CH$4:CH$40,"&lt;&gt;"&amp;""),"",INDEX(CH$4:CH$40,MATCH(ROW()-3,CI$4:CI$40,0)))</f>
        <v/>
      </c>
      <c r="CK10">
        <f>CK9+IF(AND(CJ10&lt;&gt;"",COUNTIF(CJ$4:CJ10,CJ10)=1),1,0)</f>
        <v/>
      </c>
      <c r="CL10" s="55">
        <f>IF(ROW()-3&gt;MAX(CK$4:CK$40),"",INDEX(CJ$4:CJ$40,MATCH(ROW()-3,CK$4:CK$40,0)))</f>
        <v/>
      </c>
      <c r="CM10" s="139">
        <f>IF('Final Calculation Sheet'!$Q$10="","",'Final Calculation Sheet'!$Q$10)</f>
        <v/>
      </c>
      <c r="CN10">
        <f>IF(CM10="","",COUNTIFS(CM$4:CM$40,"&lt;"&amp;CM10,CM$4:CM$40,"&lt;&gt;"&amp;"")+COUNTIF(CM$4:CM10,CM10))</f>
        <v/>
      </c>
      <c r="CO10" s="139">
        <f>IF(ROW()-3&gt;COUNTIF(CM$4:CM$40,"&lt;&gt;"&amp;""),"",INDEX(CM$4:CM$40,MATCH(ROW()-3,CN$4:CN$40,0)))</f>
        <v/>
      </c>
      <c r="CP10">
        <f>CP9+IF(AND(CO10&lt;&gt;"",COUNTIF(CO$4:CO10,CO10)=1),1,0)</f>
        <v/>
      </c>
      <c r="CQ10">
        <f>IF(ROW()-3&gt;MAX(CP$4:CP$40),"",INDEX(CO$4:CO$40,MATCH(ROW()-3,CP$4:CP$40,0)))</f>
        <v/>
      </c>
      <c r="CR10" s="55">
        <f>IF('Final Calculation Sheet'!$R$10="","",'Final Calculation Sheet'!$R$10)</f>
        <v/>
      </c>
      <c r="CS10">
        <f>IF(CR10="","",COUNTIFS(CR$4:CR$40,"&lt;"&amp;CR10,CR$4:CR$40,"&lt;&gt;"&amp;"")+COUNTIF(CR$4:CR10,CR10))</f>
        <v/>
      </c>
      <c r="CT10" s="55">
        <f>IF(ROW()-3&gt;COUNTIF(CR$4:CR$40,"&lt;&gt;"&amp;""),"",INDEX(CR$4:CR$40,MATCH(ROW()-3,CS$4:CS$40,0)))</f>
        <v/>
      </c>
      <c r="CU10">
        <f>CU9+IF(AND(CT10&lt;&gt;"",COUNTIF(CT$4:CT10,CT10)=1),1,0)</f>
        <v/>
      </c>
      <c r="CV10">
        <f>IF(ROW()-3&gt;MAX(CU$4:CU$40),"",INDEX(CT$4:CT$40,MATCH(ROW()-3,CU$4:CU$40,0)))</f>
        <v/>
      </c>
      <c r="CW10" s="55">
        <f>IF('Final Calculation Sheet'!$S$10="","",'Final Calculation Sheet'!$S$10)</f>
        <v/>
      </c>
      <c r="CX10">
        <f>IF(CW10="","",COUNTIFS(CW$4:CW$40,"&lt;"&amp;CW10,CW$4:CW$40,"&lt;&gt;"&amp;"")+COUNTIF(CW$4:CW10,CW10))</f>
        <v/>
      </c>
      <c r="CY10" s="55">
        <f>IF(ROW()-3&gt;COUNTIF(CW$4:CW$40,"&lt;&gt;"&amp;""),"",INDEX(CW$4:CW$40,MATCH(ROW()-3,CX$4:CX$40,0)))</f>
        <v/>
      </c>
      <c r="CZ10">
        <f>CZ9+IF(AND(CY10&lt;&gt;"",COUNTIF(CY$4:CY10,CY10)=1),1,0)</f>
        <v/>
      </c>
      <c r="DA10" s="55">
        <f>IF(ROW()-3&gt;MAX(CZ$4:CZ$40),"",INDEX(CY$4:CY$40,MATCH(ROW()-3,CZ$4:CZ$40,0)))</f>
        <v/>
      </c>
      <c r="DB10" s="55">
        <f>IF('Final Calculation Sheet'!$T$10="","",'Final Calculation Sheet'!$T$10)</f>
        <v/>
      </c>
      <c r="DC10">
        <f>IF(DB10="","",COUNTIFS(DB$4:DB$40,"&lt;"&amp;DB10,DB$4:DB$40,"&lt;&gt;"&amp;"")+COUNTIF(DB$4:DB10,DB10))</f>
        <v/>
      </c>
      <c r="DD10" s="55">
        <f>IF(ROW()-3&gt;COUNTIF(DB$4:DB$40,"&lt;&gt;"&amp;""),"",INDEX(DB$4:DB$40,MATCH(ROW()-3,DC$4:DC$40,0)))</f>
        <v/>
      </c>
      <c r="DE10">
        <f>DE9+IF(AND(DD10&lt;&gt;"",COUNTIF(DD$4:DD10,DD10)=1),1,0)</f>
        <v/>
      </c>
      <c r="DF10" s="55">
        <f>IF(ROW()-3&gt;MAX(DE$4:DE$40),"",INDEX(DD$4:DD$40,MATCH(ROW()-3,DE$4:DE$40,0)))</f>
        <v/>
      </c>
      <c r="DG10" s="140">
        <f>IF('Final Calculation Sheet'!$U$10="","",'Final Calculation Sheet'!$U$10)</f>
        <v/>
      </c>
      <c r="DH10">
        <f>IF(DG10="","",COUNTIFS(DG$4:DG$40,"&lt;"&amp;DG10,DG$4:DG$40,"&lt;&gt;"&amp;"")+COUNTIF(DG$4:DG10,DG10))</f>
        <v/>
      </c>
      <c r="DI10" s="140">
        <f>IF(ROW()-3&gt;COUNTIF(DG$4:DG$40,"&lt;&gt;"&amp;""),"",INDEX(DG$4:DG$40,MATCH(ROW()-3,DH$4:DH$40,0)))</f>
        <v/>
      </c>
      <c r="DJ10">
        <f>DJ9+IF(AND(DI10&lt;&gt;"",COUNTIF(DI$4:DI10,DI10)=1),1,0)</f>
        <v/>
      </c>
      <c r="DK10" s="140">
        <f>IF(ROW()-3&gt;MAX(DJ$4:DJ$40),"",INDEX(DI$4:DI$40,MATCH(ROW()-3,DJ$4:DJ$40,0)))</f>
        <v/>
      </c>
      <c r="DL10">
        <f>IF('Final Calculation Sheet'!$V$10="","",'Final Calculation Sheet'!$V$10)</f>
        <v/>
      </c>
      <c r="DM10">
        <f>IF(DL10="","",COUNTIFS(DL$4:DL$40,"&lt;"&amp;DL10,DL$4:DL$40,"&lt;&gt;"&amp;"")+COUNTIF(DL$4:DL10,DL10))</f>
        <v/>
      </c>
      <c r="DN10">
        <f>IF(ROW()-3&gt;COUNTIF(DL$4:DL$40,"&lt;&gt;"&amp;""),"",INDEX(DL$4:DL$40,MATCH(ROW()-3,DM$4:DM$40,0)))</f>
        <v/>
      </c>
      <c r="DO10">
        <f>DO9+IF(AND(DN10&lt;&gt;"",COUNTIF(DN$4:DN10,DN10)=1),1,0)</f>
        <v/>
      </c>
      <c r="DP10">
        <f>IF(ROW()-3&gt;MAX(DO$4:DO$40),"",INDEX(DN$4:DN$40,MATCH(ROW()-3,DO$4:DO$40,0)))</f>
        <v/>
      </c>
      <c r="DQ10" s="55">
        <f>IF('Final Calculation Sheet'!$W$10="","",'Final Calculation Sheet'!$W$10)</f>
        <v/>
      </c>
      <c r="DR10">
        <f>IF(DQ10="","",COUNTIFS(DQ$4:DQ$40,"&lt;"&amp;DQ10,DQ$4:DQ$40,"&lt;&gt;"&amp;"")+COUNTIF(DQ$4:DQ10,DQ10))</f>
        <v/>
      </c>
      <c r="DS10" s="55">
        <f>IF(ROW()-3&gt;COUNTIF(DQ$4:DQ$40,"&lt;&gt;"&amp;""),"",INDEX(DQ$4:DQ$40,MATCH(ROW()-3,DR$4:DR$40,0)))</f>
        <v/>
      </c>
      <c r="DT10">
        <f>DT9+IF(AND(DS10&lt;&gt;"",COUNTIF(DS$4:DS10,DS10)=1),1,0)</f>
        <v/>
      </c>
      <c r="DU10" s="55">
        <f>IF(ROW()-3&gt;MAX(DT$4:DT$40),"",INDEX(DS$4:DS$40,MATCH(ROW()-3,DT$4:DT$40,0)))</f>
        <v/>
      </c>
      <c r="DV10" s="55">
        <f>IF('Final Calculation Sheet'!$X$10="","",'Final Calculation Sheet'!$X$10)</f>
        <v/>
      </c>
      <c r="DW10">
        <f>IF(DV10="","",COUNTIFS(DV$4:DV$40,"&lt;"&amp;DV10,DV$4:DV$40,"&lt;&gt;"&amp;"")+COUNTIF(DV$4:DV10,DV10))</f>
        <v/>
      </c>
      <c r="DX10" s="55">
        <f>IF(ROW()-3&gt;COUNTIF(DV$4:DV$40,"&lt;&gt;"&amp;""),"",INDEX(DV$4:DV$40,MATCH(ROW()-3,DW$4:DW$40,0)))</f>
        <v/>
      </c>
      <c r="DY10">
        <f>DY9+IF(AND(DX10&lt;&gt;"",COUNTIF(DX$4:DX10,DX10)=1),1,0)</f>
        <v/>
      </c>
      <c r="DZ10">
        <f>IF(ROW()-3&gt;MAX(DY$4:DY$40),"",INDEX(DX$4:DX$40,MATCH(ROW()-3,DY$4:DY$40,0)))</f>
        <v/>
      </c>
      <c r="EA10">
        <f>IF('Final Calculation Sheet'!$Y$10="","",'Final Calculation Sheet'!$Y$10)</f>
        <v/>
      </c>
      <c r="EB10">
        <f>IF(EA10="","",COUNTIFS(EA$4:EA$40,"&lt;"&amp;EA10,EA$4:EA$40,"&lt;&gt;"&amp;"")+COUNTIF(EA$4:EA10,EA10))</f>
        <v/>
      </c>
      <c r="EC10">
        <f>IF(ROW()-3&gt;COUNTIF(EA$4:EA$40,"&lt;&gt;"&amp;""),"",INDEX(EA$4:EA$40,MATCH(ROW()-3,EB$4:EB$40,0)))</f>
        <v/>
      </c>
      <c r="ED10">
        <f>ED9+IF(AND(EC10&lt;&gt;"",COUNTIF(EC$4:EC10,EC10)=1),1,0)</f>
        <v/>
      </c>
      <c r="EE10">
        <f>IF(ROW()-3&gt;MAX(ED$4:ED$40),"",INDEX(EC$4:EC$40,MATCH(ROW()-3,ED$4:ED$40,0)))</f>
        <v/>
      </c>
      <c r="EF10" s="55">
        <f>IF('Final Calculation Sheet'!$Z$10="","",'Final Calculation Sheet'!$Z$10)</f>
        <v/>
      </c>
      <c r="EG10">
        <f>IF(EF10="","",COUNTIFS(EF$4:EF$40,"&lt;"&amp;EF10,EF$4:EF$40,"&lt;&gt;"&amp;"")+COUNTIF(EF$4:EF10,EF10))</f>
        <v/>
      </c>
      <c r="EH10" s="55">
        <f>IF(ROW()-3&gt;COUNTIF(EF$4:EF$40,"&lt;&gt;"&amp;""),"",INDEX(EF$4:EF$40,MATCH(ROW()-3,EG$4:EG$40,0)))</f>
        <v/>
      </c>
      <c r="EI10">
        <f>EI9+IF(AND(EH10&lt;&gt;"",COUNTIF(EH$4:EH10,EH10)=1),1,0)</f>
        <v/>
      </c>
      <c r="EJ10">
        <f>IF(ROW()-3&gt;MAX(EI$4:EI$40),"",INDEX(EH$4:EH$40,MATCH(ROW()-3,EI$4:EI$40,0)))</f>
        <v/>
      </c>
      <c r="EK10">
        <f>IF('Final Calculation Sheet'!$AA$10="","",'Final Calculation Sheet'!$AA$10)</f>
        <v/>
      </c>
      <c r="EL10">
        <f>IF(EK10="","",COUNTIFS(EK$4:EK$40,"&lt;"&amp;EK10,EK$4:EK$40,"&lt;&gt;"&amp;"")+COUNTIF(EK$4:EK10,EK10))</f>
        <v/>
      </c>
      <c r="EM10">
        <f>IF(ROW()-3&gt;COUNTIF(EK$4:EK$40,"&lt;&gt;"&amp;""),"",INDEX(EK$4:EK$40,MATCH(ROW()-3,EL$4:EL$40,0)))</f>
        <v/>
      </c>
      <c r="EN10">
        <f>EN9+IF(AND(EM10&lt;&gt;"",COUNTIF(EM$4:EM10,EM10)=1),1,0)</f>
        <v/>
      </c>
      <c r="EO10">
        <f>IF(ROW()-3&gt;MAX(EN$4:EN$40),"",INDEX(EM$4:EM$40,MATCH(ROW()-3,EN$4:EN$40,0)))</f>
        <v/>
      </c>
      <c r="EP10">
        <f>IF('Final Calculation Sheet'!$AB$10="","",'Final Calculation Sheet'!$AB$10)</f>
        <v/>
      </c>
      <c r="EQ10">
        <f>IF(EP10="","",COUNTIFS(EP$4:EP$40,"&lt;"&amp;EP10,EP$4:EP$40,"&lt;&gt;"&amp;"")+COUNTIF(EP$4:EP10,EP10))</f>
        <v/>
      </c>
      <c r="ER10">
        <f>IF(ROW()-3&gt;COUNTIF(EP$4:EP$40,"&lt;&gt;"&amp;""),"",INDEX(EP$4:EP$40,MATCH(ROW()-3,EQ$4:EQ$40,0)))</f>
        <v/>
      </c>
      <c r="ES10">
        <f>ES9+IF(AND(ER10&lt;&gt;"",COUNTIF(ER$4:ER10,ER10)=1),1,0)</f>
        <v/>
      </c>
      <c r="ET10">
        <f>IF(ROW()-3&gt;MAX(ES$4:ES$40),"",INDEX(ER$4:ER$40,MATCH(ROW()-3,ES$4:ES$40,0)))</f>
        <v/>
      </c>
      <c r="EU10" s="55">
        <f>IF('Final Calculation Sheet'!$AC$10="","",'Final Calculation Sheet'!$AC$10)</f>
        <v/>
      </c>
      <c r="EV10">
        <f>IF(EU10="","",COUNTIFS(EU$4:EU$40,"&lt;"&amp;EU10,EU$4:EU$40,"&lt;&gt;"&amp;"")+COUNTIF(EU$4:EU10,EU10))</f>
        <v/>
      </c>
      <c r="EW10" s="55">
        <f>IF(ROW()-3&gt;COUNTIF(EU$4:EU$40,"&lt;&gt;"&amp;""),"",INDEX(EU$4:EU$40,MATCH(ROW()-3,EV$4:EV$40,0)))</f>
        <v/>
      </c>
      <c r="EX10">
        <f>EX9+IF(AND(EW10&lt;&gt;"",COUNTIF(EW$4:EW10,EW10)=1),1,0)</f>
        <v/>
      </c>
      <c r="EY10" s="55">
        <f>IF(ROW()-3&gt;MAX(EX$4:EX$40),"",INDEX(EW$4:EW$40,MATCH(ROW()-3,EX$4:EX$40,0)))</f>
        <v/>
      </c>
      <c r="EZ10" s="55">
        <f>IF('Final Calculation Sheet'!$AD$10="","",'Final Calculation Sheet'!$AD$10)</f>
        <v/>
      </c>
      <c r="FA10">
        <f>IF(EZ10="","",COUNTIFS(EZ$4:EZ$40,"&lt;"&amp;EZ10,EZ$4:EZ$40,"&lt;&gt;"&amp;"")+COUNTIF(EZ$4:EZ10,EZ10))</f>
        <v/>
      </c>
      <c r="FB10" s="55">
        <f>IF(ROW()-3&gt;COUNTIF(EZ$4:EZ$40,"&lt;&gt;"&amp;""),"",INDEX(EZ$4:EZ$40,MATCH(ROW()-3,FA$4:FA$40,0)))</f>
        <v/>
      </c>
      <c r="FC10">
        <f>FC9+IF(AND(FB10&lt;&gt;"",COUNTIF(FB$4:FB10,FB10)=1),1,0)</f>
        <v/>
      </c>
      <c r="FD10" s="55">
        <f>IF(ROW()-3&gt;MAX(FC$4:FC$40),"",INDEX(FB$4:FB$40,MATCH(ROW()-3,FC$4:FC$40,0)))</f>
        <v/>
      </c>
      <c r="FE10">
        <f>IF('Final Calculation Sheet'!$AF$10="","",'Final Calculation Sheet'!$AF$10)</f>
        <v/>
      </c>
      <c r="FF10">
        <f>IF(FE10="","",COUNTIFS(FE$4:FE$40,"&lt;"&amp;FE10,FE$4:FE$40,"&lt;&gt;"&amp;"")+COUNTIF(FE$4:FE10,FE10))</f>
        <v/>
      </c>
      <c r="FG10">
        <f>IF(ROW()-3&gt;COUNTIF(FE$4:FE$40,"&lt;&gt;"&amp;""),"",INDEX(FE$4:FE$40,MATCH(ROW()-3,FF$4:FF$40,0)))</f>
        <v/>
      </c>
      <c r="FH10">
        <f>FH9+IF(AND(FG10&lt;&gt;"",COUNTIF(FG$4:FG10,FG10)=1),1,0)</f>
        <v/>
      </c>
      <c r="FI10">
        <f>IF(ROW()-3&gt;MAX(FH$4:FH$40),"",INDEX(FG$4:FG$40,MATCH(ROW()-3,FH$4:FH$40,0)))</f>
        <v/>
      </c>
      <c r="FJ10" s="141">
        <f>IF('Final Calculation Sheet'!$AG$10="","",'Final Calculation Sheet'!$AG$10)</f>
        <v/>
      </c>
      <c r="FK10">
        <f>IF(FJ10="","",COUNTIFS(FJ$4:FJ$40,"&lt;"&amp;FJ10,FJ$4:FJ$40,"&lt;&gt;"&amp;"")+COUNTIF(FJ$4:FJ10,FJ10))</f>
        <v/>
      </c>
      <c r="FL10" s="141">
        <f>IF(ROW()-3&gt;COUNTIF(FJ$4:FJ$40,"&lt;&gt;"&amp;""),"",INDEX(FJ$4:FJ$40,MATCH(ROW()-3,FK$4:FK$40,0)))</f>
        <v/>
      </c>
      <c r="FM10">
        <f>FM9+IF(AND(FL10&lt;&gt;"",COUNTIF(FL$4:FL10,FL10)=1),1,0)</f>
        <v/>
      </c>
      <c r="FN10">
        <f>IF(ROW()-3&gt;MAX(FM$4:FM$40),"",INDEX(FL$4:FL$40,MATCH(ROW()-3,FM$4:FM$40,0)))</f>
        <v/>
      </c>
      <c r="FO10">
        <f>IF('Final Calculation Sheet'!$AH$10="","",'Final Calculation Sheet'!$AH$10)</f>
        <v/>
      </c>
      <c r="FP10">
        <f>IF(FO10="","",COUNTIFS(FO$4:FO$40,"&lt;"&amp;FO10,FO$4:FO$40,"&lt;&gt;"&amp;"")+COUNTIF(FO$4:FO10,FO10))</f>
        <v/>
      </c>
      <c r="FQ10">
        <f>IF(ROW()-3&gt;COUNTIF(FO$4:FO$40,"&lt;&gt;"&amp;""),"",INDEX(FO$4:FO$40,MATCH(ROW()-3,FP$4:FP$40,0)))</f>
        <v/>
      </c>
      <c r="FR10">
        <f>FR9+IF(AND(FQ10&lt;&gt;"",COUNTIF(FQ$4:FQ10,FQ10)=1),1,0)</f>
        <v/>
      </c>
      <c r="FS10">
        <f>IF(ROW()-3&gt;MAX(FR$4:FR$40),"",INDEX(FQ$4:FQ$40,MATCH(ROW()-3,FR$4:FR$40,0)))</f>
        <v/>
      </c>
      <c r="FU10">
        <f>IF(FT10="","",COUNTIFS(FT$4:FT$40,"&lt;"&amp;FT10,FT$4:FT$40,"&lt;&gt;"&amp;"")+COUNTIF(FT$4:FT10,FT10))</f>
        <v/>
      </c>
      <c r="FV10">
        <f>IF(ROW()-3&gt;COUNTIF(FT$4:FT$40,"&lt;&gt;"&amp;""),"",INDEX(FT$4:FT$40,MATCH(ROW()-3,FU$4:FU$40,0)))</f>
        <v/>
      </c>
      <c r="FW10">
        <f>FW9+IF(AND(FV10&lt;&gt;"",COUNTIF(FV$4:FV10,FV10)=1),1,0)</f>
        <v/>
      </c>
      <c r="FX10">
        <f>IF(ROW()-3&gt;MAX(FW$4:FW$40),"",INDEX(FV$4:FV$40,MATCH(ROW()-3,FW$4:FW$40,0)))</f>
        <v/>
      </c>
      <c r="FY10">
        <f>IF(COUNTIF('Live Search'!BM$9:BO$9,0)+COUNTIF('Live Search'!BQ$9:CU$9,0)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0">
        <f>IF($Y$10="",FALSE,SUMPRODUCT(('Final Calculation Sheet'!$B$4:$B$40=$Y$10)*($FY$6:$FY$42=1))&gt;0)</f>
        <v/>
      </c>
      <c r="GA10">
        <f>$GA$9+--($FZ$10)</f>
        <v/>
      </c>
      <c r="GB10">
        <f>IF(ROW()-3&gt;MAX($GA$4:$GA$40),"",INDEX($Y$4:$Y$40,MATCH(ROW()-3,$GA$4:$GA$40,0)))</f>
        <v/>
      </c>
      <c r="GC10">
        <f>IF(COUNTIF('Live Search'!BM$9:BM$9,0)+COUNTIF('Live Search'!BO$9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GD10">
        <f>IF($O$10="",FALSE,SUMPRODUCT(('Final Calculation Sheet'!$F$4:$F$40=$O$10)*($GC$6:$GC$42=1))&gt;0)</f>
        <v/>
      </c>
      <c r="GE10">
        <f>$GE$9+--($GD10)</f>
        <v/>
      </c>
      <c r="GF10">
        <f>IF(ROW()-3&gt;MAX($GE$4:$GE$40),"",INDEX($O$4:$O$40,MATCH(ROW()-3,$GE$4:$GE$40,0)))</f>
        <v/>
      </c>
      <c r="GG10">
        <f>IF(COUNTIF('Live Search'!BM$9:BN$9,0)+COUNTIF('Live Search'!BP$9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GH10">
        <f>IF($T$10="",FALSE,SUMPRODUCT(('Final Calculation Sheet'!$G$4:$G$40=$T$10)*($GG$6:$GG$42=1))&gt;0)</f>
        <v/>
      </c>
      <c r="GI10">
        <f>$GI$9+--($GH10)</f>
        <v/>
      </c>
      <c r="GJ10">
        <f>IF(ROW()-3&gt;MAX($GI$4:$GI$40),"",INDEX($T$4:$T$40,MATCH(ROW()-3,$GI$4:$GI$40,0)))</f>
        <v/>
      </c>
      <c r="GK10">
        <f>IF(COUNTIF('Live Search'!BM$9:BP$9,0)+COUNTIF('Live Search'!BR$9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GL10">
        <f>IF($AD$10="",FALSE,SUMPRODUCT(('Final Calculation Sheet'!$D$4:$D$40=$AD$10)*($GK$6:$GK$42=1))&gt;0)</f>
        <v/>
      </c>
      <c r="GM10">
        <f>$GM$9+--($GL10)</f>
        <v/>
      </c>
      <c r="GN10">
        <f>IF(ROW()-3&gt;MAX($GM$4:$GM$40),"",INDEX($AD$4:$AD$40,MATCH(ROW()-3,$GM$4:$GM$40,0)))</f>
        <v/>
      </c>
      <c r="GO10">
        <f>IF(COUNTIF('Live Search'!BM$9:BQ$9,0)+COUNTIF('Live Search'!BS$9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GP10">
        <f>IF($AI$10="",FALSE,SUMPRODUCT(('Final Calculation Sheet'!$A$4:$A$40=$AI$10)*($GO$6:$GO$42=1))&gt;0)</f>
        <v/>
      </c>
      <c r="GQ10">
        <f>$GQ$9+--($GP10)</f>
        <v/>
      </c>
      <c r="GR10">
        <f>IF(ROW()-3&gt;MAX($GQ$4:$GQ$40),"",INDEX($AI$4:$AI$40,MATCH(ROW()-3,$GQ$4:$GQ$40,0)))</f>
        <v/>
      </c>
      <c r="GS10">
        <f>IF(COUNTIF('Live Search'!BM$9:BR$9,0)+COUNTIF('Live Search'!BT$9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GT10">
        <f>IF($AN$10="",FALSE,SUMPRODUCT(('Final Calculation Sheet'!$E$4:$E$40=$AN$10)*($GS$6:$GS$42=1))&gt;0)</f>
        <v/>
      </c>
      <c r="GU10">
        <f>$GU$9+--($GT10)</f>
        <v/>
      </c>
      <c r="GV10">
        <f>IF(ROW()-3&gt;MAX($GU$4:$GU$40),"",INDEX($AN$4:$AN$40,MATCH(ROW()-3,$GU$4:$GU$40,0)))</f>
        <v/>
      </c>
      <c r="GW10">
        <f>IF(COUNTIF('Live Search'!BM$9:BS$9,0)+COUNTIF('Live Search'!BU$9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GX10">
        <f>IF($AS$10="",FALSE,SUMPRODUCT(('Final Calculation Sheet'!$C$4:$C$40=$AS$10)*($GW$6:$GW$42=1))&gt;0)</f>
        <v/>
      </c>
      <c r="GY10">
        <f>$GY$9+--($GX10)</f>
        <v/>
      </c>
      <c r="GZ10">
        <f>IF(ROW()-3&gt;MAX($GY$4:$GY$40),"",INDEX($AS$4:$AS$40,MATCH(ROW()-3,$GY$4:$GY$40,0)))</f>
        <v/>
      </c>
      <c r="HA10">
        <f>IF(COUNTIF('Live Search'!BM$9:BT$9,0)+COUNTIF('Live Search'!BV$9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HB10">
        <f>IF($AX$10="",FALSE,SUMPRODUCT(('Final Calculation Sheet'!$H$4:$H$40=$AX$10)*($HA$6:$HA$42=1))&gt;0)</f>
        <v/>
      </c>
      <c r="HC10">
        <f>$HC$9+--($HB10)</f>
        <v/>
      </c>
      <c r="HD10">
        <f>IF(ROW()-3&gt;MAX($HC$4:$HC$40),"",INDEX($AX$4:$AX$40,MATCH(ROW()-3,$HC$4:$HC$40,0)))</f>
        <v/>
      </c>
      <c r="HE10">
        <f>IF(COUNTIF('Live Search'!BM$9:BU$9,0)+COUNTIF('Live Search'!BW$9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HF10">
        <f>IF($BC$10="",FALSE,SUMPRODUCT(('Final Calculation Sheet'!$I$4:$I$40=$BC$10)*($HE$6:$HE$42=1))&gt;0)</f>
        <v/>
      </c>
      <c r="HG10">
        <f>$HG$9+--($HF10)</f>
        <v/>
      </c>
      <c r="HH10">
        <f>IF(ROW()-3&gt;MAX($HG$4:$HG$40),"",INDEX($BC$4:$BC$40,MATCH(ROW()-3,$HG$4:$HG$40,0)))</f>
        <v/>
      </c>
      <c r="HI10">
        <f>IF(COUNTIF('Live Search'!BM$9:BV$9,0)+COUNTIF('Live Search'!BX$9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HJ10">
        <f>IF($BH$10="",FALSE,SUMPRODUCT(('Final Calculation Sheet'!$J$4:$J$40=$BH$10)*($HI$6:$HI$42=1))&gt;0)</f>
        <v/>
      </c>
      <c r="HK10">
        <f>$HK$9+--($HJ10)</f>
        <v/>
      </c>
      <c r="HL10">
        <f>IF(ROW()-3&gt;MAX($HK$4:$HK$40),"",INDEX($BH$4:$BH$40,MATCH(ROW()-3,$HK$4:$HK$40,0)))</f>
        <v/>
      </c>
      <c r="HM10">
        <f>IF(COUNTIF('Live Search'!BM$9:BW$9,0)+COUNTIF('Live Search'!BY$9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HN10">
        <f>IF($BM$10="",FALSE,SUMPRODUCT(('Final Calculation Sheet'!$K$4:$K$40=$BM$10)*($HM$6:$HM$42=1))&gt;0)</f>
        <v/>
      </c>
      <c r="HO10">
        <f>$HO$9+--($HN10)</f>
        <v/>
      </c>
      <c r="HP10">
        <f>IF(ROW()-3&gt;MAX($HO$4:$HO$40),"",INDEX($BM$4:$BM$40,MATCH(ROW()-3,$HO$4:$HO$40,0)))</f>
        <v/>
      </c>
      <c r="HQ10">
        <f>IF(COUNTIF('Live Search'!BM$9:BX$9,0)+COUNTIF('Live Search'!BZ$9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HR10">
        <f>IF($BR$10="",FALSE,SUMPRODUCT(('Final Calculation Sheet'!$L$4:$L$40=$BR$10)*($HQ$6:$HQ$42=1))&gt;0)</f>
        <v/>
      </c>
      <c r="HS10">
        <f>$HS$9+--($HR10)</f>
        <v/>
      </c>
      <c r="HT10">
        <f>IF(ROW()-3&gt;MAX($HS$4:$HS$40),"",INDEX($BR$4:$BR$40,MATCH(ROW()-3,$HS$4:$HS$40,0)))</f>
        <v/>
      </c>
      <c r="HU10">
        <f>IF(COUNTIF('Live Search'!BM$9:BY$9,0)+COUNTIF('Live Search'!CA$9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HV10">
        <f>IF($BW$10="",FALSE,SUMPRODUCT(('Final Calculation Sheet'!$M$4:$M$40=$BW$10)*($HU$6:$HU$42=1))&gt;0)</f>
        <v/>
      </c>
      <c r="HW10">
        <f>$HW$9+--($HV10)</f>
        <v/>
      </c>
      <c r="HX10">
        <f>IF(ROW()-3&gt;MAX($HW$4:$HW$40),"",INDEX($BW$4:$BW$40,MATCH(ROW()-3,$HW$4:$HW$40,0)))</f>
        <v/>
      </c>
      <c r="HY10">
        <f>IF(COUNTIF('Live Search'!BM$9:BZ$9,0)+COUNTIF('Live Search'!CB$9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HZ10">
        <f>IF($CB$10="",FALSE,SUMPRODUCT(('Final Calculation Sheet'!$N$4:$N$40=$CB$10)*($HY$6:$HY$42=1))&gt;0)</f>
        <v/>
      </c>
      <c r="IA10">
        <f>$IA$9+--($HZ10)</f>
        <v/>
      </c>
      <c r="IB10">
        <f>IF(ROW()-3&gt;MAX($IA$4:$IA$40),"",INDEX($CB$4:$CB$40,MATCH(ROW()-3,$IA$4:$IA$40,0)))</f>
        <v/>
      </c>
      <c r="IC10">
        <f>IF(COUNTIF('Live Search'!BM$9:CA$9,0)+COUNTIF('Live Search'!CC$9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ID10">
        <f>IF($CG$10="",FALSE,SUMPRODUCT(('Final Calculation Sheet'!$O$4:$O$40=$CG$10)*($IC$6:$IC$42=1))&gt;0)</f>
        <v/>
      </c>
      <c r="IE10">
        <f>$IE$9+--($ID10)</f>
        <v/>
      </c>
      <c r="IF10">
        <f>IF(ROW()-3&gt;MAX($IE$4:$IE$40),"",INDEX($CG$4:$CG$40,MATCH(ROW()-3,$IE$4:$IE$40,0)))</f>
        <v/>
      </c>
      <c r="IG10">
        <f>IF(COUNTIF('Live Search'!BM$9:CB$9,0)+COUNTIF('Live Search'!CD$9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IH10">
        <f>IF($CL$10="",FALSE,SUMPRODUCT(('Final Calculation Sheet'!$P$4:$P$40=$CL$10)*($IG$6:$IG$42=1))&gt;0)</f>
        <v/>
      </c>
      <c r="II10">
        <f>$II$9+--($IH10)</f>
        <v/>
      </c>
      <c r="IJ10">
        <f>IF(ROW()-3&gt;MAX($II$4:$II$40),"",INDEX($CL$4:$CL$40,MATCH(ROW()-3,$II$4:$II$40,0)))</f>
        <v/>
      </c>
      <c r="IK10">
        <f>IF(COUNTIF('Live Search'!BM$9:CC$9,0)+COUNTIF('Live Search'!CE$9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IL10">
        <f>IF($CQ$10="",FALSE,SUMPRODUCT(('Final Calculation Sheet'!$Q$4:$Q$40=$CQ$10)*($IK$6:$IK$42=1))&gt;0)</f>
        <v/>
      </c>
      <c r="IM10">
        <f>$IM$9+--($IL10)</f>
        <v/>
      </c>
      <c r="IN10">
        <f>IF(ROW()-3&gt;MAX($IM$4:$IM$40),"",INDEX($CQ$4:$CQ$40,MATCH(ROW()-3,$IM$4:$IM$40,0)))</f>
        <v/>
      </c>
      <c r="IO10">
        <f>IF(COUNTIF('Live Search'!BM$9:CD$9,0)+COUNTIF('Live Search'!CF$9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IP10">
        <f>IF($CV$10="",FALSE,SUMPRODUCT(('Final Calculation Sheet'!$R$4:$R$40=$CV$10)*($IO$6:$IO$42=1))&gt;0)</f>
        <v/>
      </c>
      <c r="IQ10">
        <f>$IQ$9+--($IP10)</f>
        <v/>
      </c>
      <c r="IR10">
        <f>IF(ROW()-3&gt;MAX($IQ$4:$IQ$40),"",INDEX($CV$4:$CV$40,MATCH(ROW()-3,$IQ$4:$IQ$40,0)))</f>
        <v/>
      </c>
      <c r="IS10">
        <f>IF(COUNTIF('Live Search'!BM$9:CE$9,0)+COUNTIF('Live Search'!CG$9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IT10">
        <f>IF($DA$10="",FALSE,SUMPRODUCT(('Final Calculation Sheet'!$S$4:$S$40=$DA$10)*($IS$6:$IS$42=1))&gt;0)</f>
        <v/>
      </c>
      <c r="IU10">
        <f>$IU$9+--($IT10)</f>
        <v/>
      </c>
      <c r="IV10">
        <f>IF(ROW()-3&gt;MAX($IU$4:$IU$40),"",INDEX($DA$4:$DA$40,MATCH(ROW()-3,$IU$4:$IU$40,0)))</f>
        <v/>
      </c>
      <c r="IW10">
        <f>IF(COUNTIF('Live Search'!BM$9:CF$9,0)+COUNTIF('Live Search'!CH$9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IX10">
        <f>IF($DF$10="",FALSE,SUMPRODUCT(('Final Calculation Sheet'!$T$4:$T$40=$DF$10)*($IW$6:$IW$42=1))&gt;0)</f>
        <v/>
      </c>
      <c r="IY10">
        <f>$IY$9+--($IX10)</f>
        <v/>
      </c>
      <c r="IZ10">
        <f>IF(ROW()-3&gt;MAX($IY$4:$IY$40),"",INDEX($DF$4:$DF$40,MATCH(ROW()-3,$IY$4:$IY$40,0)))</f>
        <v/>
      </c>
      <c r="JA10">
        <f>IF(COUNTIF('Live Search'!BM$9:CG$9,0)+COUNTIF('Live Search'!CI$9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JB10">
        <f>IF($DK$10="",FALSE,SUMPRODUCT(('Final Calculation Sheet'!$U$4:$U$40=$DK$10)*($JA$6:$JA$42=1))&gt;0)</f>
        <v/>
      </c>
      <c r="JC10">
        <f>$JC$9+--($JB10)</f>
        <v/>
      </c>
      <c r="JD10">
        <f>IF(ROW()-3&gt;MAX($JC$4:$JC$40),"",INDEX($DK$4:$DK$40,MATCH(ROW()-3,$JC$4:$JC$40,0)))</f>
        <v/>
      </c>
      <c r="JE10">
        <f>IF(COUNTIF('Live Search'!BM$9:CH$9,0)+COUNTIF('Live Search'!CJ$9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JF10">
        <f>IF($DP$10="",FALSE,SUMPRODUCT(('Final Calculation Sheet'!$V$4:$V$40=$DP$10)*($JE$6:$JE$42=1))&gt;0)</f>
        <v/>
      </c>
      <c r="JG10">
        <f>$JG$9+--($JF10)</f>
        <v/>
      </c>
      <c r="JH10">
        <f>IF(ROW()-3&gt;MAX($JG$4:$JG$40),"",INDEX($DP$4:$DP$40,MATCH(ROW()-3,$JG$4:$JG$40,0)))</f>
        <v/>
      </c>
      <c r="JI10">
        <f>IF(COUNTIF('Live Search'!BM$9:CI$9,0)+COUNTIF('Live Search'!CK$9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JJ10">
        <f>IF($DU$10="",FALSE,SUMPRODUCT(('Final Calculation Sheet'!$W$4:$W$40=$DU$10)*($JI$6:$JI$42=1))&gt;0)</f>
        <v/>
      </c>
      <c r="JK10">
        <f>$JK$9+--($JJ10)</f>
        <v/>
      </c>
      <c r="JL10">
        <f>IF(ROW()-3&gt;MAX($JK$4:$JK$40),"",INDEX($DU$4:$DU$40,MATCH(ROW()-3,$JK$4:$JK$40,0)))</f>
        <v/>
      </c>
      <c r="JM10">
        <f>IF(COUNTIF('Live Search'!BM$9:CJ$9,0)+COUNTIF('Live Search'!CL$9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JN10">
        <f>IF($DZ$10="",FALSE,SUMPRODUCT(('Final Calculation Sheet'!$X$4:$X$40=$DZ$10)*($JM$6:$JM$42=1))&gt;0)</f>
        <v/>
      </c>
      <c r="JO10">
        <f>$JO$9+--($JN10)</f>
        <v/>
      </c>
      <c r="JP10">
        <f>IF(ROW()-3&gt;MAX($JO$4:$JO$40),"",INDEX($DZ$4:$DZ$40,MATCH(ROW()-3,$JO$4:$JO$40,0)))</f>
        <v/>
      </c>
      <c r="JQ10">
        <f>IF(COUNTIF('Live Search'!BM$9:CK$9,0)+COUNTIF('Live Search'!CM$9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JR10">
        <f>IF($EE$10="",FALSE,SUMPRODUCT(('Final Calculation Sheet'!$Y$4:$Y$40=$EE$10)*($JQ$6:$JQ$42=1))&gt;0)</f>
        <v/>
      </c>
      <c r="JS10">
        <f>$JS$9+--($JR10)</f>
        <v/>
      </c>
      <c r="JT10">
        <f>IF(ROW()-3&gt;MAX($JS$4:$JS$40),"",INDEX($EE$4:$EE$40,MATCH(ROW()-3,$JS$4:$JS$40,0)))</f>
        <v/>
      </c>
      <c r="JU10">
        <f>IF(COUNTIF('Live Search'!BM$9:CL$9,0)+COUNTIF('Live Search'!CN$9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JV10">
        <f>IF($EJ$10="",FALSE,SUMPRODUCT(('Final Calculation Sheet'!$Z$4:$Z$40=$EJ$10)*($JU$6:$JU$42=1))&gt;0)</f>
        <v/>
      </c>
      <c r="JW10">
        <f>$JW$9+--($JV10)</f>
        <v/>
      </c>
      <c r="JX10">
        <f>IF(ROW()-3&gt;MAX($JW$4:$JW$40),"",INDEX($EJ$4:$EJ$40,MATCH(ROW()-3,$JW$4:$JW$40,0)))</f>
        <v/>
      </c>
      <c r="JY10">
        <f>IF(COUNTIF('Live Search'!BM$9:CM$9,0)+COUNTIF('Live Search'!CO$9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JZ10">
        <f>IF($EO$10="",FALSE,SUMPRODUCT(('Final Calculation Sheet'!$AA$4:$AA$40=$EO$10)*($JY$6:$JY$42=1))&gt;0)</f>
        <v/>
      </c>
      <c r="KA10">
        <f>$KA$9+--($JZ10)</f>
        <v/>
      </c>
      <c r="KB10">
        <f>IF(ROW()-3&gt;MAX($KA$4:$KA$40),"",INDEX($EO$4:$EO$40,MATCH(ROW()-3,$KA$4:$KA$40,0)))</f>
        <v/>
      </c>
      <c r="KC10">
        <f>IF(COUNTIF('Live Search'!BM$9:CN$9,0)+COUNTIF('Live Search'!CP$9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KD10">
        <f>IF($ET$10="",FALSE,SUMPRODUCT(('Final Calculation Sheet'!$AB$4:$AB$40=$ET$10)*($KC$6:$KC$42=1))&gt;0)</f>
        <v/>
      </c>
      <c r="KE10">
        <f>$KE$9+--($KD10)</f>
        <v/>
      </c>
      <c r="KF10">
        <f>IF(ROW()-3&gt;MAX($KE$4:$KE$40),"",INDEX($ET$4:$ET$40,MATCH(ROW()-3,$KE$4:$KE$40,0)))</f>
        <v/>
      </c>
      <c r="KG10">
        <f>IF(COUNTIF('Live Search'!BM$9:CO$9,0)+COUNTIF('Live Search'!CQ$9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KH10">
        <f>IF($EY$10="",FALSE,SUMPRODUCT(('Final Calculation Sheet'!$AC$4:$AC$40=$EY$10)*($KG$6:$KG$42=1))&gt;0)</f>
        <v/>
      </c>
      <c r="KI10">
        <f>$KI$9+--($KH10)</f>
        <v/>
      </c>
      <c r="KJ10">
        <f>IF(ROW()-3&gt;MAX($KI$4:$KI$40),"",INDEX($EY$4:$EY$40,MATCH(ROW()-3,$KI$4:$KI$40,0)))</f>
        <v/>
      </c>
      <c r="KK10">
        <f>IF(COUNTIF('Live Search'!BM$9:CP$9,0)+COUNTIF('Live Search'!CR$9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KL10">
        <f>IF($FD$10="",FALSE,SUMPRODUCT(('Final Calculation Sheet'!$AD$4:$AD$40=$FD$10)*($KK$6:$KK$42=1))&gt;0)</f>
        <v/>
      </c>
      <c r="KM10">
        <f>$KM$9+--($KL10)</f>
        <v/>
      </c>
      <c r="KN10">
        <f>IF(ROW()-3&gt;MAX($KM$4:$KM$40),"",INDEX($FD$4:$FD$40,MATCH(ROW()-3,$KM$4:$KM$40,0)))</f>
        <v/>
      </c>
      <c r="KO10">
        <f>IF(COUNTIF('Live Search'!BM$9:CT$9,0)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KP10">
        <f>IF($FX$10="",FALSE,SUMPRODUCT((IF('Final Calculation Sheet'!$AD$4:$AD$40&lt;=5,"SETTLED","OUTSTANDING")=$FX$10)*($KO$6:$KO$42=1))&gt;0)</f>
        <v/>
      </c>
      <c r="KQ10">
        <f>$KQ$9+--($KP10)</f>
        <v/>
      </c>
      <c r="KR10">
        <f>IF(ROW()-3&gt;MAX($KQ$4:$KQ$40),"",INDEX($FX$4:$FX$40,MATCH(ROW()-3,$KQ$4:$KQ$40,0)))</f>
        <v/>
      </c>
      <c r="KS10">
        <f>IF(COUNTIF('Live Search'!BM$9:CQ$9,0)+COUNTIF('Live Search'!CS$9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KT10">
        <f>IF($FI$10="",FALSE,SUMPRODUCT(('Final Calculation Sheet'!$AF$4:$AF$40=$FI$10)*($KS$6:$KS$42=1))&gt;0)</f>
        <v/>
      </c>
      <c r="KU10">
        <f>$KU$9+--($KT10)</f>
        <v/>
      </c>
      <c r="KV10">
        <f>IF(ROW()-3&gt;MAX($KU$4:$KU$40),"",INDEX($FI$4:$FI$40,MATCH(ROW()-3,$KU$4:$KU$40,0)))</f>
        <v/>
      </c>
      <c r="KW10">
        <f>IF(COUNTIF('Live Search'!BM$9:CR$9,0)+COUNTIF('Live Search'!CT$9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KX10">
        <f>IF($FN$10="",FALSE,SUMPRODUCT(('Final Calculation Sheet'!$AG$4:$AG$40=$FN$10)*($KW$6:$KW$42=1))&gt;0)</f>
        <v/>
      </c>
      <c r="KY10">
        <f>$KY$9+--($KX10)</f>
        <v/>
      </c>
      <c r="KZ10">
        <f>IF(ROW()-3&gt;MAX($KY$4:$KY$40),"",INDEX($FN$4:$FN$40,MATCH(ROW()-3,$KY$4:$KY$40,0)))</f>
        <v/>
      </c>
      <c r="LA10">
        <f>IF(COUNTIF('Live Search'!BM$9:CS$9,0)+COUNTIF('Live Search'!CU$9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LB10">
        <f>IF($FS$10="",FALSE,SUMPRODUCT(('Final Calculation Sheet'!$AH$4:$AH$40=$FS$10)*($LA$6:$LA$42=1))&gt;0)</f>
        <v/>
      </c>
      <c r="LC10">
        <f>$LC$9+--($LB10)</f>
        <v/>
      </c>
      <c r="LD10">
        <f>IF(ROW()-3&gt;MAX($LC$4:$LC$40),"",INDEX($FS$4:$FS$40,MATCH(ROW()-3,$LC$4:$LC$40,0)))</f>
        <v/>
      </c>
      <c r="LE10">
        <f>IF(COUNTIF('Buyer Groups'!DH63:EN63,0)&gt;0,0,1)</f>
        <v/>
      </c>
      <c r="LF10">
        <f>IF($O$10="",FALSE,SUMPRODUCT(('Final Calculation Sheet'!$F$4:$F$40=$O$10)*($LE$6:$LE$42=1))&gt;0)</f>
        <v/>
      </c>
      <c r="LG10">
        <f>$LG$9+--($LF10)</f>
        <v/>
      </c>
      <c r="LH10">
        <f>IF(ROW()-3&gt;MAX($LG$4:$LG$40),"",INDEX($O$4:$O$40,MATCH(ROW()-3,$LG$4:$LG$40,0)))</f>
        <v/>
      </c>
      <c r="LI10">
        <f>IF(COUNTIF('Buyer Groups'!DG63:DG63,0)+COUNTIF('Buyer Groups'!DI63:EN63,0)&gt;0,0,1)</f>
        <v/>
      </c>
      <c r="LJ10">
        <f>IF($T$10="",FALSE,SUMPRODUCT(('Final Calculation Sheet'!$G$4:$G$40=$T$10)*($LI$6:$LI$42=1))&gt;0)</f>
        <v/>
      </c>
      <c r="LK10">
        <f>$LK$9+--($LJ10)</f>
        <v/>
      </c>
      <c r="LL10">
        <f>IF(ROW()-3&gt;MAX($LK$4:$LK$40),"",INDEX($T$4:$T$40,MATCH(ROW()-3,$LK$4:$LK$40,0)))</f>
        <v/>
      </c>
      <c r="LM10">
        <f>IF(COUNTIF('Buyer Groups'!DG63:DH63,0)+COUNTIF('Buyer Groups'!DJ63:EN63,0)&gt;0,0,1)</f>
        <v/>
      </c>
      <c r="LN10">
        <f>IF($Y$10="",FALSE,SUMPRODUCT(('Final Calculation Sheet'!$B$4:$B$40=$Y$10)*($LM$6:$LM$42=1))&gt;0)</f>
        <v/>
      </c>
      <c r="LO10">
        <f>$LO$9+--($LN10)</f>
        <v/>
      </c>
      <c r="LP10">
        <f>IF(ROW()-3&gt;MAX($LO$4:$LO$40),"",INDEX($Y$4:$Y$40,MATCH(ROW()-3,$LO$4:$LO$40,0)))</f>
        <v/>
      </c>
      <c r="LQ10">
        <f>IF(COUNTIF('Buyer Groups'!DG63:DI63,0)+COUNTIF('Buyer Groups'!DK63:EN63,0)&gt;0,0,1)</f>
        <v/>
      </c>
      <c r="LR10">
        <f>IF($AD$10="",FALSE,SUMPRODUCT(('Final Calculation Sheet'!$D$4:$D$40=$AD$10)*($LQ$6:$LQ$42=1))&gt;0)</f>
        <v/>
      </c>
      <c r="LS10">
        <f>$LS$9+--($LR10)</f>
        <v/>
      </c>
      <c r="LT10">
        <f>IF(ROW()-3&gt;MAX($LS$4:$LS$40),"",INDEX($AD$4:$AD$40,MATCH(ROW()-3,$LS$4:$LS$40,0)))</f>
        <v/>
      </c>
      <c r="LU10">
        <f>IF(COUNTIF('Buyer Groups'!DG63:DJ63,0)+COUNTIF('Buyer Groups'!DL63:EN63,0)&gt;0,0,1)</f>
        <v/>
      </c>
      <c r="LV10">
        <f>IF($AI$10="",FALSE,SUMPRODUCT(('Final Calculation Sheet'!$A$4:$A$40=$AI$10)*($LU$6:$LU$42=1))&gt;0)</f>
        <v/>
      </c>
      <c r="LW10">
        <f>$LW$9+--($LV10)</f>
        <v/>
      </c>
      <c r="LX10">
        <f>IF(ROW()-3&gt;MAX($LW$4:$LW$40),"",INDEX($AI$4:$AI$40,MATCH(ROW()-3,$LW$4:$LW$40,0)))</f>
        <v/>
      </c>
      <c r="LY10">
        <f>IF(COUNTIF('Buyer Groups'!DG63:DK63,0)+COUNTIF('Buyer Groups'!DM63:EN63,0)&gt;0,0,1)</f>
        <v/>
      </c>
      <c r="LZ10">
        <f>IF($AN$10="",FALSE,SUMPRODUCT(('Final Calculation Sheet'!$E$4:$E$40=$AN$10)*($LY$6:$LY$42=1))&gt;0)</f>
        <v/>
      </c>
      <c r="MA10">
        <f>$MA$9+--($LZ10)</f>
        <v/>
      </c>
      <c r="MB10">
        <f>IF(ROW()-3&gt;MAX($MA$4:$MA$40),"",INDEX($AN$4:$AN$40,MATCH(ROW()-3,$MA$4:$MA$40,0)))</f>
        <v/>
      </c>
      <c r="MC10">
        <f>IF(COUNTIF('Buyer Groups'!DG63:DL63,0)+COUNTIF('Buyer Groups'!DN63:EN63,0)&gt;0,0,1)</f>
        <v/>
      </c>
      <c r="MD10">
        <f>IF($AS$10="",FALSE,SUMPRODUCT(('Final Calculation Sheet'!$C$4:$C$40=$AS$10)*($MC$6:$MC$42=1))&gt;0)</f>
        <v/>
      </c>
      <c r="ME10">
        <f>$ME$9+--($MD10)</f>
        <v/>
      </c>
      <c r="MF10">
        <f>IF(ROW()-3&gt;MAX($ME$4:$ME$40),"",INDEX($AS$4:$AS$40,MATCH(ROW()-3,$ME$4:$ME$40,0)))</f>
        <v/>
      </c>
      <c r="MG10">
        <f>IF(COUNTIF('Buyer Groups'!DG63:DM63,0)+COUNTIF('Buyer Groups'!DO63:EN63,0)&gt;0,0,1)</f>
        <v/>
      </c>
      <c r="MH10">
        <f>IF($AX$10="",FALSE,SUMPRODUCT(('Final Calculation Sheet'!$H$4:$H$40=$AX$10)*($MG$6:$MG$42=1))&gt;0)</f>
        <v/>
      </c>
      <c r="MI10">
        <f>$MI$9+--($MH10)</f>
        <v/>
      </c>
      <c r="MJ10">
        <f>IF(ROW()-3&gt;MAX($MI$4:$MI$40),"",INDEX($AX$4:$AX$40,MATCH(ROW()-3,$MI$4:$MI$40,0)))</f>
        <v/>
      </c>
      <c r="MK10">
        <f>IF(COUNTIF('Buyer Groups'!DG63:DN63,0)+COUNTIF('Buyer Groups'!DP63:EN63,0)&gt;0,0,1)</f>
        <v/>
      </c>
      <c r="ML10">
        <f>IF($BC$10="",FALSE,SUMPRODUCT(('Final Calculation Sheet'!$I$4:$I$40=$BC$10)*($MK$6:$MK$42=1))&gt;0)</f>
        <v/>
      </c>
      <c r="MM10">
        <f>$MM$9+--($ML10)</f>
        <v/>
      </c>
      <c r="MN10">
        <f>IF(ROW()-3&gt;MAX($MM$4:$MM$40),"",INDEX($BC$4:$BC$40,MATCH(ROW()-3,$MM$4:$MM$40,0)))</f>
        <v/>
      </c>
      <c r="MO10">
        <f>IF(COUNTIF('Buyer Groups'!DG63:DO63,0)+COUNTIF('Buyer Groups'!DQ63:EN63,0)&gt;0,0,1)</f>
        <v/>
      </c>
      <c r="MP10">
        <f>IF($BH$10="",FALSE,SUMPRODUCT(('Final Calculation Sheet'!$J$4:$J$40=$BH$10)*($MO$6:$MO$42=1))&gt;0)</f>
        <v/>
      </c>
      <c r="MQ10">
        <f>$MQ$9+--($MP10)</f>
        <v/>
      </c>
      <c r="MR10">
        <f>IF(ROW()-3&gt;MAX($MQ$4:$MQ$40),"",INDEX($BH$4:$BH$40,MATCH(ROW()-3,$MQ$4:$MQ$40,0)))</f>
        <v/>
      </c>
      <c r="MS10">
        <f>IF(COUNTIF('Buyer Groups'!DG63:DP63,0)+COUNTIF('Buyer Groups'!DR63:EN63,0)&gt;0,0,1)</f>
        <v/>
      </c>
      <c r="MT10">
        <f>IF($BM$10="",FALSE,SUMPRODUCT(('Final Calculation Sheet'!$K$4:$K$40=$BM$10)*($MS$6:$MS$42=1))&gt;0)</f>
        <v/>
      </c>
      <c r="MU10">
        <f>$MU$9+--($MT10)</f>
        <v/>
      </c>
      <c r="MV10">
        <f>IF(ROW()-3&gt;MAX($MU$4:$MU$40),"",INDEX($BM$4:$BM$40,MATCH(ROW()-3,$MU$4:$MU$40,0)))</f>
        <v/>
      </c>
      <c r="MW10">
        <f>IF(COUNTIF('Buyer Groups'!DG63:DQ63,0)+COUNTIF('Buyer Groups'!DS63:EN63,0)&gt;0,0,1)</f>
        <v/>
      </c>
      <c r="MX10">
        <f>IF($BR$10="",FALSE,SUMPRODUCT(('Final Calculation Sheet'!$L$4:$L$40=$BR$10)*($MW$6:$MW$42=1))&gt;0)</f>
        <v/>
      </c>
      <c r="MY10">
        <f>$MY$9+--($MX10)</f>
        <v/>
      </c>
      <c r="MZ10">
        <f>IF(ROW()-3&gt;MAX($MY$4:$MY$40),"",INDEX($BR$4:$BR$40,MATCH(ROW()-3,$MY$4:$MY$40,0)))</f>
        <v/>
      </c>
      <c r="NA10">
        <f>IF(COUNTIF('Buyer Groups'!DG63:DR63,0)+COUNTIF('Buyer Groups'!DT63:EN63,0)&gt;0,0,1)</f>
        <v/>
      </c>
      <c r="NB10">
        <f>IF($BW$10="",FALSE,SUMPRODUCT(('Final Calculation Sheet'!$M$4:$M$40=$BW$10)*($NA$6:$NA$42=1))&gt;0)</f>
        <v/>
      </c>
      <c r="NC10">
        <f>$NC$9+--($NB10)</f>
        <v/>
      </c>
      <c r="ND10">
        <f>IF(ROW()-3&gt;MAX($NC$4:$NC$40),"",INDEX($BW$4:$BW$40,MATCH(ROW()-3,$NC$4:$NC$40,0)))</f>
        <v/>
      </c>
      <c r="NE10">
        <f>IF(COUNTIF('Buyer Groups'!DG63:DS63,0)+COUNTIF('Buyer Groups'!DU63:EN63,0)&gt;0,0,1)</f>
        <v/>
      </c>
      <c r="NF10">
        <f>IF($CB$10="",FALSE,SUMPRODUCT(('Final Calculation Sheet'!$N$4:$N$40=$CB$10)*($NE$6:$NE$42=1))&gt;0)</f>
        <v/>
      </c>
      <c r="NG10">
        <f>$NG$9+--($NF10)</f>
        <v/>
      </c>
      <c r="NH10">
        <f>IF(ROW()-3&gt;MAX($NG$4:$NG$40),"",INDEX($CB$4:$CB$40,MATCH(ROW()-3,$NG$4:$NG$40,0)))</f>
        <v/>
      </c>
      <c r="NI10">
        <f>IF(COUNTIF('Buyer Groups'!DG63:DT63,0)+COUNTIF('Buyer Groups'!DV63:EN63,0)&gt;0,0,1)</f>
        <v/>
      </c>
      <c r="NJ10">
        <f>IF($CG$10="",FALSE,SUMPRODUCT(('Final Calculation Sheet'!$O$4:$O$40=$CG$10)*($NI$6:$NI$42=1))&gt;0)</f>
        <v/>
      </c>
      <c r="NK10">
        <f>$NK$9+--($NJ10)</f>
        <v/>
      </c>
      <c r="NL10">
        <f>IF(ROW()-3&gt;MAX($NK$4:$NK$40),"",INDEX($CG$4:$CG$40,MATCH(ROW()-3,$NK$4:$NK$40,0)))</f>
        <v/>
      </c>
      <c r="NM10">
        <f>IF(COUNTIF('Buyer Groups'!DG63:DU63,0)+COUNTIF('Buyer Groups'!DW63:EN63,0)&gt;0,0,1)</f>
        <v/>
      </c>
      <c r="NN10">
        <f>IF($CL$10="",FALSE,SUMPRODUCT(('Final Calculation Sheet'!$P$4:$P$40=$CL$10)*($NM$6:$NM$42=1))&gt;0)</f>
        <v/>
      </c>
      <c r="NO10">
        <f>$NO$9+--($NN10)</f>
        <v/>
      </c>
      <c r="NP10">
        <f>IF(ROW()-3&gt;MAX($NO$4:$NO$40),"",INDEX($CL$4:$CL$40,MATCH(ROW()-3,$NO$4:$NO$40,0)))</f>
        <v/>
      </c>
      <c r="NQ10">
        <f>IF(COUNTIF('Buyer Groups'!DG63:DV63,0)+COUNTIF('Buyer Groups'!DX63:EN63,0)&gt;0,0,1)</f>
        <v/>
      </c>
      <c r="NR10">
        <f>IF($CQ$10="",FALSE,SUMPRODUCT(('Final Calculation Sheet'!$Q$4:$Q$40=$CQ$10)*($NQ$6:$NQ$42=1))&gt;0)</f>
        <v/>
      </c>
      <c r="NS10">
        <f>$NS$9+--($NR10)</f>
        <v/>
      </c>
      <c r="NT10">
        <f>IF(ROW()-3&gt;MAX($NS$4:$NS$40),"",INDEX($CQ$4:$CQ$40,MATCH(ROW()-3,$NS$4:$NS$40,0)))</f>
        <v/>
      </c>
      <c r="NU10">
        <f>IF(COUNTIF('Buyer Groups'!DG63:DW63,0)+COUNTIF('Buyer Groups'!DY63:EN63,0)&gt;0,0,1)</f>
        <v/>
      </c>
      <c r="NV10">
        <f>IF($CV$10="",FALSE,SUMPRODUCT(('Final Calculation Sheet'!$R$4:$R$40=$CV$10)*($NU$6:$NU$42=1))&gt;0)</f>
        <v/>
      </c>
      <c r="NW10">
        <f>$NW$9+--($NV10)</f>
        <v/>
      </c>
      <c r="NX10">
        <f>IF(ROW()-3&gt;MAX($NW$4:$NW$40),"",INDEX($CV$4:$CV$40,MATCH(ROW()-3,$NW$4:$NW$40,0)))</f>
        <v/>
      </c>
      <c r="NY10">
        <f>IF(COUNTIF('Buyer Groups'!DG63:DX63,0)+COUNTIF('Buyer Groups'!DZ63:EN63,0)&gt;0,0,1)</f>
        <v/>
      </c>
      <c r="NZ10">
        <f>IF($DA$10="",FALSE,SUMPRODUCT(('Final Calculation Sheet'!$S$4:$S$40=$DA$10)*($NY$6:$NY$42=1))&gt;0)</f>
        <v/>
      </c>
      <c r="OA10">
        <f>$OA$9+--($NZ10)</f>
        <v/>
      </c>
      <c r="OB10">
        <f>IF(ROW()-3&gt;MAX($OA$4:$OA$40),"",INDEX($DA$4:$DA$40,MATCH(ROW()-3,$OA$4:$OA$40,0)))</f>
        <v/>
      </c>
      <c r="OC10">
        <f>IF(COUNTIF('Buyer Groups'!DG63:DY63,0)+COUNTIF('Buyer Groups'!EA63:EN63,0)&gt;0,0,1)</f>
        <v/>
      </c>
      <c r="OD10">
        <f>IF($DF$10="",FALSE,SUMPRODUCT(('Final Calculation Sheet'!$T$4:$T$40=$DF$10)*($OC$6:$OC$42=1))&gt;0)</f>
        <v/>
      </c>
      <c r="OE10">
        <f>$OE$9+--($OD10)</f>
        <v/>
      </c>
      <c r="OF10">
        <f>IF(ROW()-3&gt;MAX($OE$4:$OE$40),"",INDEX($DF$4:$DF$40,MATCH(ROW()-3,$OE$4:$OE$40,0)))</f>
        <v/>
      </c>
      <c r="OG10">
        <f>IF(COUNTIF('Buyer Groups'!DG63:DZ63,0)+COUNTIF('Buyer Groups'!EB63:EN63,0)&gt;0,0,1)</f>
        <v/>
      </c>
      <c r="OH10">
        <f>IF($DK$10="",FALSE,SUMPRODUCT(('Final Calculation Sheet'!$U$4:$U$40=$DK$10)*($OG$6:$OG$42=1))&gt;0)</f>
        <v/>
      </c>
      <c r="OI10">
        <f>$OI$9+--($OH10)</f>
        <v/>
      </c>
      <c r="OJ10">
        <f>IF(ROW()-3&gt;MAX($OI$4:$OI$40),"",INDEX($DK$4:$DK$40,MATCH(ROW()-3,$OI$4:$OI$40,0)))</f>
        <v/>
      </c>
      <c r="OK10">
        <f>IF(COUNTIF('Buyer Groups'!DG63:EA63,0)+COUNTIF('Buyer Groups'!EC63:EN63,0)&gt;0,0,1)</f>
        <v/>
      </c>
      <c r="OL10">
        <f>IF($DP$10="",FALSE,SUMPRODUCT(('Final Calculation Sheet'!$V$4:$V$40=$DP$10)*($OK$6:$OK$42=1))&gt;0)</f>
        <v/>
      </c>
      <c r="OM10">
        <f>$OM$9+--($OL10)</f>
        <v/>
      </c>
      <c r="ON10">
        <f>IF(ROW()-3&gt;MAX($OM$4:$OM$40),"",INDEX($DP$4:$DP$40,MATCH(ROW()-3,$OM$4:$OM$40,0)))</f>
        <v/>
      </c>
      <c r="OO10">
        <f>IF(COUNTIF('Buyer Groups'!DG63:EB63,0)+COUNTIF('Buyer Groups'!ED63:EN63,0)&gt;0,0,1)</f>
        <v/>
      </c>
      <c r="OP10">
        <f>IF($DU$10="",FALSE,SUMPRODUCT(('Final Calculation Sheet'!$W$4:$W$40=$DU$10)*($OO$6:$OO$42=1))&gt;0)</f>
        <v/>
      </c>
      <c r="OQ10">
        <f>$OQ$9+--($OP10)</f>
        <v/>
      </c>
      <c r="OR10">
        <f>IF(ROW()-3&gt;MAX($OQ$4:$OQ$40),"",INDEX($DU$4:$DU$40,MATCH(ROW()-3,$OQ$4:$OQ$40,0)))</f>
        <v/>
      </c>
      <c r="OS10">
        <f>IF(COUNTIF('Buyer Groups'!DG63:EC63,0)+COUNTIF('Buyer Groups'!EE63:EN63,0)&gt;0,0,1)</f>
        <v/>
      </c>
      <c r="OT10">
        <f>IF($DZ$10="",FALSE,SUMPRODUCT(('Final Calculation Sheet'!$X$4:$X$40=$DZ$10)*($OS$6:$OS$42=1))&gt;0)</f>
        <v/>
      </c>
      <c r="OU10">
        <f>$OU$9+--($OT10)</f>
        <v/>
      </c>
      <c r="OV10">
        <f>IF(ROW()-3&gt;MAX($OU$4:$OU$40),"",INDEX($DZ$4:$DZ$40,MATCH(ROW()-3,$OU$4:$OU$40,0)))</f>
        <v/>
      </c>
      <c r="OW10">
        <f>IF(COUNTIF('Buyer Groups'!DG63:ED63,0)+COUNTIF('Buyer Groups'!EF63:EN63,0)&gt;0,0,1)</f>
        <v/>
      </c>
      <c r="OX10">
        <f>IF($EE$10="",FALSE,SUMPRODUCT(('Final Calculation Sheet'!$Y$4:$Y$40=$EE$10)*($OW$6:$OW$42=1))&gt;0)</f>
        <v/>
      </c>
      <c r="OY10">
        <f>$OY$9+--($OX10)</f>
        <v/>
      </c>
      <c r="OZ10">
        <f>IF(ROW()-3&gt;MAX($OY$4:$OY$40),"",INDEX($EE$4:$EE$40,MATCH(ROW()-3,$OY$4:$OY$40,0)))</f>
        <v/>
      </c>
      <c r="PA10">
        <f>IF(COUNTIF('Buyer Groups'!DG63:EE63,0)+COUNTIF('Buyer Groups'!EG63:EN63,0)&gt;0,0,1)</f>
        <v/>
      </c>
      <c r="PB10">
        <f>IF($EJ$10="",FALSE,SUMPRODUCT(('Final Calculation Sheet'!$Z$4:$Z$40=$EJ$10)*($PA$6:$PA$42=1))&gt;0)</f>
        <v/>
      </c>
      <c r="PC10">
        <f>$PC$9+--($PB10)</f>
        <v/>
      </c>
      <c r="PD10">
        <f>IF(ROW()-3&gt;MAX($PC$4:$PC$40),"",INDEX($EJ$4:$EJ$40,MATCH(ROW()-3,$PC$4:$PC$40,0)))</f>
        <v/>
      </c>
      <c r="PE10">
        <f>IF(COUNTIF('Buyer Groups'!DG63:EF63,0)+COUNTIF('Buyer Groups'!EH63:EN63,0)&gt;0,0,1)</f>
        <v/>
      </c>
      <c r="PF10">
        <f>IF($EO$10="",FALSE,SUMPRODUCT(('Final Calculation Sheet'!$AA$4:$AA$40=$EO$10)*($PE$6:$PE$42=1))&gt;0)</f>
        <v/>
      </c>
      <c r="PG10">
        <f>$PG$9+--($PF10)</f>
        <v/>
      </c>
      <c r="PH10">
        <f>IF(ROW()-3&gt;MAX($PG$4:$PG$40),"",INDEX($EO$4:$EO$40,MATCH(ROW()-3,$PG$4:$PG$40,0)))</f>
        <v/>
      </c>
      <c r="PI10">
        <f>IF(COUNTIF('Buyer Groups'!DG63:EG63,0)+COUNTIF('Buyer Groups'!EI63:EN63,0)&gt;0,0,1)</f>
        <v/>
      </c>
      <c r="PJ10">
        <f>IF($ET$10="",FALSE,SUMPRODUCT(('Final Calculation Sheet'!$AB$4:$AB$40=$ET$10)*($PI$6:$PI$42=1))&gt;0)</f>
        <v/>
      </c>
      <c r="PK10">
        <f>$PK$9+--($PJ10)</f>
        <v/>
      </c>
      <c r="PL10">
        <f>IF(ROW()-3&gt;MAX($PK$4:$PK$40),"",INDEX($ET$4:$ET$40,MATCH(ROW()-3,$PK$4:$PK$40,0)))</f>
        <v/>
      </c>
      <c r="PM10">
        <f>IF(COUNTIF('Buyer Groups'!DG63:EH63,0)+COUNTIF('Buyer Groups'!EJ63:EN63,0)&gt;0,0,1)</f>
        <v/>
      </c>
      <c r="PN10">
        <f>IF($EY$10="",FALSE,SUMPRODUCT(('Final Calculation Sheet'!$AC$4:$AC$40=$EY$10)*($PM$6:$PM$42=1))&gt;0)</f>
        <v/>
      </c>
      <c r="PO10">
        <f>$PO$9+--($PN10)</f>
        <v/>
      </c>
      <c r="PP10">
        <f>IF(ROW()-3&gt;MAX($PO$4:$PO$40),"",INDEX($EY$4:$EY$40,MATCH(ROW()-3,$PO$4:$PO$40,0)))</f>
        <v/>
      </c>
      <c r="PQ10">
        <f>IF(COUNTIF('Buyer Groups'!DG63:EI63,0)+COUNTIF('Buyer Groups'!EK63:EN63,0)&gt;0,0,1)</f>
        <v/>
      </c>
      <c r="PR10">
        <f>IF($FD$10="",FALSE,SUMPRODUCT(('Final Calculation Sheet'!$AD$4:$AD$40=$FD$10)*($PQ$6:$PQ$42=1))&gt;0)</f>
        <v/>
      </c>
      <c r="PS10">
        <f>$PS$9+--($PR10)</f>
        <v/>
      </c>
      <c r="PT10">
        <f>IF(ROW()-3&gt;MAX($PS$4:$PS$40),"",INDEX($FD$4:$FD$40,MATCH(ROW()-3,$PS$4:$PS$40,0)))</f>
        <v/>
      </c>
      <c r="PU10">
        <f>IF(COUNTIF('Buyer Groups'!DG63:EJ63,0)+COUNTIF('Buyer Groups'!EL63:EN63,0)&gt;0,0,1)</f>
        <v/>
      </c>
      <c r="PV10">
        <f>IF($FX$10="",FALSE,SUMPRODUCT((IF('Final Calculation Sheet'!$AD$4:$AD$40&lt;=5,"SETTLED","OUTSTANDING")=$FX$10)*($PU$6:$PU$42=1))&gt;0)</f>
        <v/>
      </c>
      <c r="PW10">
        <f>$PW$9+--($PV10)</f>
        <v/>
      </c>
      <c r="PX10">
        <f>IF(ROW()-3&gt;MAX($PW$4:$PW$40),"",INDEX($FX$4:$FX$40,MATCH(ROW()-3,$PW$4:$PW$40,0)))</f>
        <v/>
      </c>
      <c r="PY10">
        <f>IF(COUNTIF('Buyer Groups'!DG63:EK63,0)+COUNTIF('Buyer Groups'!EM63:EN63,0)&gt;0,0,1)</f>
        <v/>
      </c>
      <c r="PZ10">
        <f>IF($FI$10="",FALSE,SUMPRODUCT(('Final Calculation Sheet'!$AF$4:$AF$40=$FI$10)*($PY$6:$PY$42=1))&gt;0)</f>
        <v/>
      </c>
      <c r="QA10">
        <f>$QA$9+--($PZ10)</f>
        <v/>
      </c>
      <c r="QB10">
        <f>IF(ROW()-3&gt;MAX($QA$4:$QA$40),"",INDEX($FI$4:$FI$40,MATCH(ROW()-3,$QA$4:$QA$40,0)))</f>
        <v/>
      </c>
      <c r="QC10">
        <f>IF(COUNTIF('Buyer Groups'!DG63:EL63,0)+COUNTIF('Buyer Groups'!EN63:EN63,0)&gt;0,0,1)</f>
        <v/>
      </c>
      <c r="QD10">
        <f>IF($FN$10="",FALSE,SUMPRODUCT(('Final Calculation Sheet'!$AG$4:$AG$40=$FN$10)*($QC$6:$QC$42=1))&gt;0)</f>
        <v/>
      </c>
      <c r="QE10">
        <f>$QE$9+--($QD10)</f>
        <v/>
      </c>
      <c r="QF10">
        <f>IF(ROW()-3&gt;MAX($QE$4:$QE$40),"",INDEX($FN$4:$FN$40,MATCH(ROW()-3,$QE$4:$QE$40,0)))</f>
        <v/>
      </c>
      <c r="QG10">
        <f>IF(COUNTIF('Buyer Groups'!DG63:EM63,0)&gt;0,0,1)</f>
        <v/>
      </c>
      <c r="QH10">
        <f>IF($FS$10="",FALSE,SUMPRODUCT(('Final Calculation Sheet'!$AH$4:$AH$40=$FS$10)*($QG$6:$QG$42=1))&gt;0)</f>
        <v/>
      </c>
      <c r="QI10">
        <f>$QI$9+--($QH10)</f>
        <v/>
      </c>
      <c r="QJ10">
        <f>IF(ROW()-3&gt;MAX($QI$4:$QI$40),"",INDEX($FS$4:$FS$40,MATCH(ROW()-3,$QI$4:$QI$40,0)))</f>
        <v/>
      </c>
      <c r="QK10" t="str">
        <f>IF('Final Calculation Sheet'!$AH$10="","",'Final Calculation Sheet'!$AH$10)</f>
      </c>
      <c r="QL10" t="str">
        <f>IF(QK10="","",COUNTIFS(QK$4:QK$40,"&lt;"&amp;QK10,QK$4:QK$40,"&lt;&gt;"&amp;"")+COUNTIF(QK$4:QK10,QK10))</f>
      </c>
      <c r="QM10" t="str">
        <f>IF(ROW()-3&gt;COUNTIF(QK$4:QK$40,"&lt;&gt;"&amp;""),"",INDEX(QK$4:QK$40,MATCH(ROW()-3,QL$4:QL$40,0)))</f>
      </c>
      <c r="QN10" t="str">
        <f>=QN9+F(AND(QM10&lt;&gt;"",COUNTIF(QM$4:QM10,QM10)=1),1,0)</f>
      </c>
      <c r="QO10" t="str">
        <f>IF(ROW()-3&gt;MAX(QN$4:QN$40),"",INDEX(QM$4:QM$40,MATCH(ROW()-3,QN$4:QN$40,0)))</f>
      </c>
      <c r="QP10" t="str">
        <f>IF(COUNTIF('Final Calculation Sheet'!$AM10:$BS10,0)&gt;0,0,1)</f>
      </c>
      <c r="QQ10" t="str">
        <f>IF($AI$10="",FALSE,SUMPRODUCT(('Final Calculation Sheet'!$A$4:$A$40=$AI$10)*($QP$4:$QP$40=1))&gt;0)</f>
      </c>
      <c r="QR10" t="str">
        <f>=$QR9+--($QQ10)</f>
      </c>
      <c r="QS10" t="str">
        <f>IF(ROW()-3&gt;MAX($QR$4:$QR$40),"",INDEX($AI$4:$AI$40,MATCH(ROW()-3,$QR$4:$QR$40,0)))</f>
      </c>
      <c r="QT10" t="str">
        <f>IF(COUNTIF('Final Calculation Sheet'!$AL10:$AL10,0)+COUNTIF('Final Calculation Sheet'!$AN10:$BS10,0)&gt;0,0,1)</f>
      </c>
      <c r="QU10" t="str">
        <f>IF($Y$10="",FALSE,SUMPRODUCT(('Final Calculation Sheet'!$B$4:$B$40=$Y$10)*($QT$4:$QT$40=1))&gt;0)</f>
      </c>
      <c r="QV10" t="str">
        <f>=$QV9+--($QU10)</f>
      </c>
      <c r="QW10" t="str">
        <f>IF(ROW()-3&gt;MAX($QV$4:$QV$40),"",INDEX($Y$4:$Y$40,MATCH(ROW()-3,$QV$4:$QV$40,0)))</f>
      </c>
      <c r="QX10" t="str">
        <f>IF(COUNTIF('Final Calculation Sheet'!$AL10:$AM10,0)+COUNTIF('Final Calculation Sheet'!$AO10:$BS10,0)&gt;0,0,1)</f>
      </c>
      <c r="QY10" t="str">
        <f>IF($AS$10="",FALSE,SUMPRODUCT(('Final Calculation Sheet'!$C$4:$C$40=$AS$10)*($QX$4:$QX$40=1))&gt;0)</f>
      </c>
      <c r="QZ10" t="str">
        <f>=$QZ9+--($QY10)</f>
      </c>
      <c r="RA10" t="str">
        <f>IF(ROW()-3&gt;MAX($QZ$4:$QZ$40),"",INDEX($AS$4:$AS$40,MATCH(ROW()-3,$QZ$4:$QZ$40,0)))</f>
      </c>
      <c r="RB10" t="str">
        <f>IF(COUNTIF('Final Calculation Sheet'!$AL10:$AN10,0)+COUNTIF('Final Calculation Sheet'!$AP10:$BS10,0)&gt;0,0,1)</f>
      </c>
      <c r="RC10" t="str">
        <f>IF($AD$10="",FALSE,SUMPRODUCT(('Final Calculation Sheet'!$D$4:$D$40=$AD$10)*($RB$4:$RB$40=1))&gt;0)</f>
      </c>
      <c r="RD10" t="str">
        <f>=$RD9+--($RC10)</f>
      </c>
      <c r="RE10" t="str">
        <f>IF(ROW()-3&gt;MAX($RD$4:$RD$40),"",INDEX($AD$4:$AD$40,MATCH(ROW()-3,$RD$4:$RD$40,0)))</f>
      </c>
      <c r="RF10" t="str">
        <f>IF(COUNTIF('Final Calculation Sheet'!$AL10:$AO10,0)+COUNTIF('Final Calculation Sheet'!$AQ10:$BS10,0)&gt;0,0,1)</f>
      </c>
      <c r="RG10" t="str">
        <f>IF($AN$10="",FALSE,SUMPRODUCT(('Final Calculation Sheet'!$E$4:$E$40=$AN$10)*($RF$4:$RF$40=1))&gt;0)</f>
      </c>
      <c r="RH10" t="str">
        <f>=$RH9+--($RG10)</f>
      </c>
      <c r="RI10" t="str">
        <f>IF(ROW()-3&gt;MAX($RH$4:$RH$40),"",INDEX($AN$4:$AN$40,MATCH(ROW()-3,$RH$4:$RH$40,0)))</f>
      </c>
      <c r="RJ10" t="str">
        <f>IF(COUNTIF('Final Calculation Sheet'!$AL10:$AP10,0)+COUNTIF('Final Calculation Sheet'!$AR10:$BS10,0)&gt;0,0,1)</f>
      </c>
      <c r="RK10" t="str">
        <f>IF($O$10="",FALSE,SUMPRODUCT(('Final Calculation Sheet'!$F$4:$F$40=$O$10)*($RJ$4:$RJ$40=1))&gt;0)</f>
      </c>
      <c r="RL10" t="str">
        <f>=$RL9+--($RK10)</f>
      </c>
      <c r="RM10" t="str">
        <f>IF(ROW()-3&gt;MAX($RL$4:$RL$40),"",INDEX($O$4:$O$40,MATCH(ROW()-3,$RL$4:$RL$40,0)))</f>
      </c>
      <c r="RN10" t="str">
        <f>IF(COUNTIF('Final Calculation Sheet'!$AL10:$AQ10,0)+COUNTIF('Final Calculation Sheet'!$AS10:$BS10,0)&gt;0,0,1)</f>
      </c>
      <c r="RO10" t="str">
        <f>IF($T$10="",FALSE,SUMPRODUCT(('Final Calculation Sheet'!$G$4:$G$40=$T$10)*($RN$4:$RN$40=1))&gt;0)</f>
      </c>
      <c r="RP10" t="str">
        <f>=$RP9+--($RO10)</f>
      </c>
      <c r="RQ10" t="str">
        <f>IF(ROW()-3&gt;MAX($RP$4:$RP$40),"",INDEX($T$4:$T$40,MATCH(ROW()-3,$RP$4:$RP$40,0)))</f>
      </c>
      <c r="RR10" t="str">
        <f>IF(COUNTIF('Final Calculation Sheet'!$AL10:$AR10,0)+COUNTIF('Final Calculation Sheet'!$AT10:$BS10,0)&gt;0,0,1)</f>
      </c>
      <c r="RS10" t="str">
        <f>IF($AX$10="",FALSE,SUMPRODUCT(('Final Calculation Sheet'!$H$4:$H$40=$AX$10)*($RR$4:$RR$40=1))&gt;0)</f>
      </c>
      <c r="RT10" t="str">
        <f>=$RT9+--($RS10)</f>
      </c>
      <c r="RU10" t="str">
        <f>IF(ROW()-3&gt;MAX($RT$4:$RT$40),"",INDEX($AX$4:$AX$40,MATCH(ROW()-3,$RT$4:$RT$40,0)))</f>
      </c>
      <c r="RV10" t="str">
        <f>IF(COUNTIF('Final Calculation Sheet'!$AL10:$AS10,0)+COUNTIF('Final Calculation Sheet'!$AU10:$BS10,0)&gt;0,0,1)</f>
      </c>
      <c r="RW10" t="str">
        <f>IF($BC$10="",FALSE,SUMPRODUCT(('Final Calculation Sheet'!$I$4:$I$40=$BC$10)*($RV$4:$RV$40=1))&gt;0)</f>
      </c>
      <c r="RX10" t="str">
        <f>=$RX9+--($RW10)</f>
      </c>
      <c r="RY10" t="str">
        <f>IF(ROW()-3&gt;MAX($RX$4:$RX$40),"",INDEX($BC$4:$BC$40,MATCH(ROW()-3,$RX$4:$RX$40,0)))</f>
      </c>
      <c r="RZ10" t="str">
        <f>IF(COUNTIF('Final Calculation Sheet'!$AL10:$AT10,0)+COUNTIF('Final Calculation Sheet'!$AV10:$BS10,0)&gt;0,0,1)</f>
      </c>
      <c r="SA10" t="str">
        <f>IF($BH$10="",FALSE,SUMPRODUCT(('Final Calculation Sheet'!$J$4:$J$40=$BH$10)*($RZ$4:$RZ$40=1))&gt;0)</f>
      </c>
      <c r="SB10" t="str">
        <f>=$SB9+--($SA10)</f>
      </c>
      <c r="SC10" t="str">
        <f>IF(ROW()-3&gt;MAX($SB$4:$SB$40),"",INDEX($BH$4:$BH$40,MATCH(ROW()-3,$SB$4:$SB$40,0)))</f>
      </c>
      <c r="SD10" t="str">
        <f>IF(COUNTIF('Final Calculation Sheet'!$AL10:$AU10,0)+COUNTIF('Final Calculation Sheet'!$AW10:$BS10,0)&gt;0,0,1)</f>
      </c>
      <c r="SE10" t="str">
        <f>IF($BM$10="",FALSE,SUMPRODUCT(('Final Calculation Sheet'!$K$4:$K$40=$BM$10)*($SD$4:$SD$40=1))&gt;0)</f>
      </c>
      <c r="SF10" t="str">
        <f>=$SF9+--($SE10)</f>
      </c>
      <c r="SG10" t="str">
        <f>IF(ROW()-3&gt;MAX($SF$4:$SF$40),"",INDEX($BM$4:$BM$40,MATCH(ROW()-3,$SF$4:$SF$40,0)))</f>
      </c>
      <c r="SH10" t="str">
        <f>IF(COUNTIF('Final Calculation Sheet'!$AL10:$AV10,0)+COUNTIF('Final Calculation Sheet'!$AX10:$BS10,0)&gt;0,0,1)</f>
      </c>
      <c r="SI10" t="str">
        <f>IF($BR$10="",FALSE,SUMPRODUCT(('Final Calculation Sheet'!$L$4:$L$40=$BR$10)*($SH$4:$SH$40=1))&gt;0)</f>
      </c>
      <c r="SJ10" t="str">
        <f>=$SJ9+--($SI10)</f>
      </c>
      <c r="SK10" t="str">
        <f>IF(ROW()-3&gt;MAX($SJ$4:$SJ$40),"",INDEX($BR$4:$BR$40,MATCH(ROW()-3,$SJ$4:$SJ$40,0)))</f>
      </c>
      <c r="SL10" t="str">
        <f>IF(COUNTIF('Final Calculation Sheet'!$AL10:$AW10,0)+COUNTIF('Final Calculation Sheet'!$AY10:$BS10,0)&gt;0,0,1)</f>
      </c>
      <c r="SM10" t="str">
        <f>IF($BW$10="",FALSE,SUMPRODUCT(('Final Calculation Sheet'!$M$4:$M$40=$BW$10)*($SL$4:$SL$40=1))&gt;0)</f>
      </c>
      <c r="SN10" t="str">
        <f>=$SN9+--($SM10)</f>
      </c>
      <c r="SO10" t="str">
        <f>IF(ROW()-3&gt;MAX($SN$4:$SN$40),"",INDEX($BW$4:$BW$40,MATCH(ROW()-3,$SN$4:$SN$40,0)))</f>
      </c>
      <c r="SP10" t="str">
        <f>IF(COUNTIF('Final Calculation Sheet'!$AL10:$AX10,0)+COUNTIF('Final Calculation Sheet'!$AZ10:$BS10,0)&gt;0,0,1)</f>
      </c>
      <c r="SQ10" t="str">
        <f>IF($CB$10="",FALSE,SUMPRODUCT(('Final Calculation Sheet'!$N$4:$N$40=$CB$10)*($SP$4:$SP$40=1))&gt;0)</f>
      </c>
      <c r="SR10" t="str">
        <f>=$SR9+--($SQ10)</f>
      </c>
      <c r="SS10" t="str">
        <f>IF(ROW()-3&gt;MAX($SR$4:$SR$40),"",INDEX($CB$4:$CB$40,MATCH(ROW()-3,$SR$4:$SR$40,0)))</f>
      </c>
      <c r="ST10" t="str">
        <f>IF(COUNTIF('Final Calculation Sheet'!$AL10:$AY10,0)+COUNTIF('Final Calculation Sheet'!$BA10:$BS10,0)&gt;0,0,1)</f>
      </c>
      <c r="SU10" t="str">
        <f>IF($CG$10="",FALSE,SUMPRODUCT(('Final Calculation Sheet'!$O$4:$O$40=$CG$10)*($ST$4:$ST$40=1))&gt;0)</f>
      </c>
      <c r="SV10" t="str">
        <f>=$SV9+--($SU10)</f>
      </c>
      <c r="SW10" t="str">
        <f>IF(ROW()-3&gt;MAX($SV$4:$SV$40),"",INDEX($CG$4:$CG$40,MATCH(ROW()-3,$SV$4:$SV$40,0)))</f>
      </c>
      <c r="SX10" t="str">
        <f>IF(COUNTIF('Final Calculation Sheet'!$AL10:$AZ10,0)+COUNTIF('Final Calculation Sheet'!$BB10:$BS10,0)&gt;0,0,1)</f>
      </c>
      <c r="SY10" t="str">
        <f>IF($CL$10="",FALSE,SUMPRODUCT(('Final Calculation Sheet'!$P$4:$P$40=$CL$10)*($SX$4:$SX$40=1))&gt;0)</f>
      </c>
      <c r="SZ10" t="str">
        <f>=$SZ9+--($SY10)</f>
      </c>
      <c r="TA10" t="str">
        <f>IF(ROW()-3&gt;MAX($SZ$4:$SZ$40),"",INDEX($CL$4:$CL$40,MATCH(ROW()-3,$SZ$4:$SZ$40,0)))</f>
      </c>
      <c r="TB10" t="str">
        <f>IF(COUNTIF('Final Calculation Sheet'!$AL10:$BA10,0)+COUNTIF('Final Calculation Sheet'!$BC10:$BS10,0)&gt;0,0,1)</f>
      </c>
      <c r="TC10" t="str">
        <f>IF($CQ$10="",FALSE,SUMPRODUCT(('Final Calculation Sheet'!$Q$4:$Q$40=$CQ$10)*($TB$4:$TB$40=1))&gt;0)</f>
      </c>
      <c r="TD10" t="str">
        <f>=$TD9+--($TC10)</f>
      </c>
      <c r="TE10" t="str">
        <f>IF(ROW()-3&gt;MAX($TD$4:$TD$40),"",INDEX($CQ$4:$CQ$40,MATCH(ROW()-3,$TD$4:$TD$40,0)))</f>
      </c>
      <c r="TF10" t="str">
        <f>IF(COUNTIF('Final Calculation Sheet'!$AL10:$BB10,0)+COUNTIF('Final Calculation Sheet'!$BD10:$BS10,0)&gt;0,0,1)</f>
      </c>
      <c r="TG10" t="str">
        <f>IF($CV$10="",FALSE,SUMPRODUCT(('Final Calculation Sheet'!$R$4:$R$40=$CV$10)*($TF$4:$TF$40=1))&gt;0)</f>
      </c>
      <c r="TH10" t="str">
        <f>=$TH9+--($TG10)</f>
      </c>
      <c r="TI10" t="str">
        <f>IF(ROW()-3&gt;MAX($TH$4:$TH$40),"",INDEX($CV$4:$CV$40,MATCH(ROW()-3,$TH$4:$TH$40,0)))</f>
      </c>
      <c r="TJ10" t="str">
        <f>IF(COUNTIF('Final Calculation Sheet'!$AL10:$BC10,0)+COUNTIF('Final Calculation Sheet'!$BE10:$BS10,0)&gt;0,0,1)</f>
      </c>
      <c r="TK10" t="str">
        <f>IF($DA$10="",FALSE,SUMPRODUCT(('Final Calculation Sheet'!$S$4:$S$40=$DA$10)*($TJ$4:$TJ$40=1))&gt;0)</f>
      </c>
      <c r="TL10" t="str">
        <f>=$TL9+--($TK10)</f>
      </c>
      <c r="TM10" t="str">
        <f>IF(ROW()-3&gt;MAX($TL$4:$TL$40),"",INDEX($DA$4:$DA$40,MATCH(ROW()-3,$TL$4:$TL$40,0)))</f>
      </c>
      <c r="TN10" t="str">
        <f>IF(COUNTIF('Final Calculation Sheet'!$AL10:$BD10,0)+COUNTIF('Final Calculation Sheet'!$BF10:$BS10,0)&gt;0,0,1)</f>
      </c>
      <c r="TO10" t="str">
        <f>IF($DF$10="",FALSE,SUMPRODUCT(('Final Calculation Sheet'!$T$4:$T$40=$DF$10)*($TN$4:$TN$40=1))&gt;0)</f>
      </c>
      <c r="TP10" t="str">
        <f>=$TP9+--($TO10)</f>
      </c>
      <c r="TQ10" t="str">
        <f>IF(ROW()-3&gt;MAX($TP$4:$TP$40),"",INDEX($DF$4:$DF$40,MATCH(ROW()-3,$TP$4:$TP$40,0)))</f>
      </c>
      <c r="TR10" t="str">
        <f>IF(COUNTIF('Final Calculation Sheet'!$AL10:$BE10,0)+COUNTIF('Final Calculation Sheet'!$BG10:$BS10,0)&gt;0,0,1)</f>
      </c>
      <c r="TS10" t="str">
        <f>IF($DK$10="",FALSE,SUMPRODUCT(('Final Calculation Sheet'!$U$4:$U$40=$DK$10)*($TR$4:$TR$40=1))&gt;0)</f>
      </c>
      <c r="TT10" t="str">
        <f>=$TT9+--($TS10)</f>
      </c>
      <c r="TU10" t="str">
        <f>IF(ROW()-3&gt;MAX($TT$4:$TT$40),"",INDEX($DK$4:$DK$40,MATCH(ROW()-3,$TT$4:$TT$40,0)))</f>
      </c>
      <c r="TV10" t="str">
        <f>IF(COUNTIF('Final Calculation Sheet'!$AL10:$BF10,0)+COUNTIF('Final Calculation Sheet'!$BH10:$BS10,0)&gt;0,0,1)</f>
      </c>
      <c r="TW10" t="str">
        <f>IF($DP$10="",FALSE,SUMPRODUCT(('Final Calculation Sheet'!$V$4:$V$40=$DP$10)*($TV$4:$TV$40=1))&gt;0)</f>
      </c>
      <c r="TX10" t="str">
        <f>=$TX9+--($TW10)</f>
      </c>
      <c r="TY10" t="str">
        <f>IF(ROW()-3&gt;MAX($TX$4:$TX$40),"",INDEX($DP$4:$DP$40,MATCH(ROW()-3,$TX$4:$TX$40,0)))</f>
      </c>
      <c r="TZ10" t="str">
        <f>IF(COUNTIF('Final Calculation Sheet'!$AL10:$BG10,0)+COUNTIF('Final Calculation Sheet'!$BI10:$BS10,0)&gt;0,0,1)</f>
      </c>
      <c r="UA10" t="str">
        <f>IF($DU$10="",FALSE,SUMPRODUCT(('Final Calculation Sheet'!$W$4:$W$40=$DU$10)*($TZ$4:$TZ$40=1))&gt;0)</f>
      </c>
      <c r="UB10" t="str">
        <f>=$UB9+--($UA10)</f>
      </c>
      <c r="UC10" t="str">
        <f>IF(ROW()-3&gt;MAX($UB$4:$UB$40),"",INDEX($DU$4:$DU$40,MATCH(ROW()-3,$UB$4:$UB$40,0)))</f>
      </c>
      <c r="UD10" t="str">
        <f>IF(COUNTIF('Final Calculation Sheet'!$AL10:$BH10,0)+COUNTIF('Final Calculation Sheet'!$BJ10:$BS10,0)&gt;0,0,1)</f>
      </c>
      <c r="UE10" t="str">
        <f>IF($DZ$10="",FALSE,SUMPRODUCT(('Final Calculation Sheet'!$X$4:$X$40=$DZ$10)*($UD$4:$UD$40=1))&gt;0)</f>
      </c>
      <c r="UF10" t="str">
        <f>=$UF9+--($UE10)</f>
      </c>
      <c r="UG10" t="str">
        <f>IF(ROW()-3&gt;MAX($UF$4:$UF$40),"",INDEX($DZ$4:$DZ$40,MATCH(ROW()-3,$UF$4:$UF$40,0)))</f>
      </c>
      <c r="UH10" t="str">
        <f>IF(COUNTIF('Final Calculation Sheet'!$AL10:$BI10,0)+COUNTIF('Final Calculation Sheet'!$BK10:$BS10,0)&gt;0,0,1)</f>
      </c>
      <c r="UI10" t="str">
        <f>IF($EE$10="",FALSE,SUMPRODUCT(('Final Calculation Sheet'!$Y$4:$Y$40=$EE$10)*($UH$4:$UH$40=1))&gt;0)</f>
      </c>
      <c r="UJ10" t="str">
        <f>=$UJ9+--($UI10)</f>
      </c>
      <c r="UK10" t="str">
        <f>IF(ROW()-3&gt;MAX($UJ$4:$UJ$40),"",INDEX($EE$4:$EE$40,MATCH(ROW()-3,$UJ$4:$UJ$40,0)))</f>
      </c>
      <c r="UL10" t="str">
        <f>IF(COUNTIF('Final Calculation Sheet'!$AL10:$BJ10,0)+COUNTIF('Final Calculation Sheet'!$BL10:$BS10,0)&gt;0,0,1)</f>
      </c>
      <c r="UM10" t="str">
        <f>IF($EJ$10="",FALSE,SUMPRODUCT(('Final Calculation Sheet'!$Z$4:$Z$40=$EJ$10)*($UL$4:$UL$40=1))&gt;0)</f>
      </c>
      <c r="UN10" t="str">
        <f>=$UN9+--($UM10)</f>
      </c>
      <c r="UO10" t="str">
        <f>IF(ROW()-3&gt;MAX($UN$4:$UN$40),"",INDEX($EJ$4:$EJ$40,MATCH(ROW()-3,$UN$4:$UN$40,0)))</f>
      </c>
      <c r="UP10" t="str">
        <f>IF(COUNTIF('Final Calculation Sheet'!$AL10:$BK10,0)+COUNTIF('Final Calculation Sheet'!$BM10:$BS10,0)&gt;0,0,1)</f>
      </c>
      <c r="UQ10" t="str">
        <f>IF($EO$10="",FALSE,SUMPRODUCT(('Final Calculation Sheet'!$AA$4:$AA$40=$EO$10)*($UP$4:$UP$40=1))&gt;0)</f>
      </c>
      <c r="UR10" t="str">
        <f>=$UR9+--($UQ10)</f>
      </c>
      <c r="US10" t="str">
        <f>IF(ROW()-3&gt;MAX($UR$4:$UR$40),"",INDEX($EO$4:$EO$40,MATCH(ROW()-3,$UR$4:$UR$40,0)))</f>
      </c>
      <c r="UT10" t="str">
        <f>IF(COUNTIF('Final Calculation Sheet'!$AL10:$BL10,0)+COUNTIF('Final Calculation Sheet'!$BN10:$BS10,0)&gt;0,0,1)</f>
      </c>
      <c r="UU10" t="str">
        <f>IF($ET$10="",FALSE,SUMPRODUCT(('Final Calculation Sheet'!$AB$4:$AB$40=$ET$10)*($UT$4:$UT$40=1))&gt;0)</f>
      </c>
      <c r="UV10" t="str">
        <f>=$UV9+--($UU10)</f>
      </c>
      <c r="UW10" t="str">
        <f>IF(ROW()-3&gt;MAX($UV$4:$UV$40),"",INDEX($ET$4:$ET$40,MATCH(ROW()-3,$UV$4:$UV$40,0)))</f>
      </c>
      <c r="UX10" t="str">
        <f>IF(COUNTIF('Final Calculation Sheet'!$AL10:$BM10,0)+COUNTIF('Final Calculation Sheet'!$BO10:$BS10,0)&gt;0,0,1)</f>
      </c>
      <c r="UY10" t="str">
        <f>IF($EY$10="",FALSE,SUMPRODUCT(('Final Calculation Sheet'!$AC$4:$AC$40=$EY$10)*($UX$4:$UX$40=1))&gt;0)</f>
      </c>
      <c r="UZ10" t="str">
        <f>=$UZ9+--($UY10)</f>
      </c>
      <c r="VA10" t="str">
        <f>IF(ROW()-3&gt;MAX($UZ$4:$UZ$40),"",INDEX($EY$4:$EY$40,MATCH(ROW()-3,$UZ$4:$UZ$40,0)))</f>
      </c>
      <c r="VB10" t="str">
        <f>IF(COUNTIF('Final Calculation Sheet'!$AL10:$BN10,0)+COUNTIF('Final Calculation Sheet'!$BP10:$BS10,0)&gt;0,0,1)</f>
      </c>
      <c r="VC10" t="str">
        <f>IF($FD$10="",FALSE,SUMPRODUCT(('Final Calculation Sheet'!$AD$4:$AD$40=$FD$10)*($VB$4:$VB$40=1))&gt;0)</f>
      </c>
      <c r="VD10" t="str">
        <f>=$VD9+--($VC10)</f>
      </c>
      <c r="VE10" t="str">
        <f>IF(ROW()-3&gt;MAX($VD$4:$VD$40),"",INDEX($FD$4:$FD$40,MATCH(ROW()-3,$VD$4:$VD$40,0)))</f>
      </c>
      <c r="VF10" t="str">
        <f>IF(COUNTIF('Final Calculation Sheet'!$AL10:$BO10,0)+COUNTIF('Final Calculation Sheet'!$BQ10:$BS10,0)&gt;0,0,1)</f>
      </c>
      <c r="VG10" t="str">
        <f>IF($FI$10="",FALSE,SUMPRODUCT(('Final Calculation Sheet'!$AE$4:$AE$40=$FI$10)*($VF$4:$VF$40=1))&gt;0)</f>
      </c>
      <c r="VH10" t="str">
        <f>=$VH9+--($VG10)</f>
      </c>
      <c r="VI10" t="str">
        <f>IF(ROW()-3&gt;MAX($VH$4:$VH$40),"",INDEX($FI$4:$FI$40,MATCH(ROW()-3,$VH$4:$VH$40,0)))</f>
      </c>
      <c r="VJ10" t="str">
        <f>IF(COUNTIF('Final Calculation Sheet'!$AL10:$BP10,0)+COUNTIF('Final Calculation Sheet'!$BR10:$BS10,0)&gt;0,0,1)</f>
      </c>
      <c r="VK10" t="str">
        <f>IF($FN$10="",FALSE,SUMPRODUCT(('Final Calculation Sheet'!$AF$4:$AF$40=$FN$10)*($VJ$4:$VJ$40=1))&gt;0)</f>
      </c>
      <c r="VL10" t="str">
        <f>=$VL9+--($VK10)</f>
      </c>
      <c r="VM10" t="str">
        <f>IF(ROW()-3&gt;MAX($VL$4:$VL$40),"",INDEX($FN$4:$FN$40,MATCH(ROW()-3,$VL$4:$VL$40,0)))</f>
      </c>
      <c r="VN10" t="str">
        <f>IF(COUNTIF('Final Calculation Sheet'!$AL10:$BQ10,0)+COUNTIF('Final Calculation Sheet'!$BS10:$BS10,0)&gt;0,0,1)</f>
      </c>
      <c r="VO10" t="str">
        <f>IF($FS$10="",FALSE,SUMPRODUCT(('Final Calculation Sheet'!$AG$4:$AG$40=$FS$10)*($VN$4:$VN$40=1))&gt;0)</f>
      </c>
      <c r="VP10" t="str">
        <f>=$VP9+--($VO10)</f>
      </c>
      <c r="VQ10" t="str">
        <f>IF(ROW()-3&gt;MAX($VP$4:$VP$40),"",INDEX($FS$4:$FS$40,MATCH(ROW()-3,$VP$4:$VP$40,0)))</f>
      </c>
      <c r="VR10" t="str">
        <f>IF(COUNTIF('Final Calculation Sheet'!$AL10:$BR10,0)&gt;0,0,1)</f>
      </c>
      <c r="VS10" t="str">
        <f>IF($QO$10="",FALSE,SUMPRODUCT(('Final Calculation Sheet'!$AH$4:$AH$40=$QO$10)*($VR$4:$VR$40=1))&gt;0)</f>
      </c>
      <c r="VT10" t="str">
        <f>=$VT9+--($VS10)</f>
      </c>
      <c r="VU10" t="str">
        <f>IF(ROW()-3&gt;MAX($VT$4:$VT$40),"",INDEX($QO$4:$QO$40,MATCH(ROW()-3,$VT$4:$VT$40,0)))</f>
      </c>
    </row>
    <row r="11">
      <c r="A11">
        <f>IF('Final Calculation Sheet'!$F$11="","",'Final Calculation Sheet'!$F$11)</f>
        <v/>
      </c>
      <c r="B11">
        <f>IF(A11="","",COUNTIFS(A$4:A$114,"&lt;"&amp;A11,A$4:A$114,"&lt;&gt;"&amp;"")+COUNTIF(A$4:A11,A11))</f>
        <v/>
      </c>
      <c r="C11">
        <f>IF(ROW()-3&gt;COUNTIF(A$4:A$114,"&lt;&gt;"&amp;""),"",INDEX(A$4:A$114,MATCH(ROW()-3,B$4:B$114,0)))</f>
        <v/>
      </c>
      <c r="D11">
        <f>D10+IF(AND(C11&lt;&gt;"",COUNTIF(C$4:C11,C11)=1),1,0)</f>
        <v/>
      </c>
      <c r="E11">
        <f>IF(ROW()-3&gt;MAX(D$4:D$114),"",INDEX(C$4:C$114,MATCH(ROW()-3,D$4:D$114,0)))</f>
        <v/>
      </c>
      <c r="F11">
        <f>ROW()-3</f>
        <v/>
      </c>
      <c r="G11">
        <f>IF(F11="","",COUNTIFS(F$4:F$40,"&lt;"&amp;F11,F$4:F$40,"&lt;&gt;"&amp;"")+COUNTIF(F$4:F11,F11))</f>
        <v/>
      </c>
      <c r="H11">
        <f>IF(ROW()-3&gt;COUNTIF(F$4:F$40,"&lt;&gt;"&amp;""),"",INDEX(F$4:F$40,MATCH(ROW()-3,G$4:G$40,0)))</f>
        <v/>
      </c>
      <c r="I11">
        <f>I10+IF(AND(H11&lt;&gt;"",COUNTIF(H$4:H11,H11)=1),1,0)</f>
        <v/>
      </c>
      <c r="J11">
        <f>IF(ROW()-3&gt;MAX(I$4:I$40),"",INDEX(H$4:H$40,MATCH(ROW()-3,I$4:I$40,0)))</f>
        <v/>
      </c>
      <c r="K11">
        <f>IF('Final Calculation Sheet'!$F$11="","",'Final Calculation Sheet'!$F$11)</f>
        <v/>
      </c>
      <c r="L11">
        <f>IF(K11="","",COUNTIFS(K$4:K$40,"&lt;"&amp;K11,K$4:K$40,"&lt;&gt;"&amp;"")+COUNTIF(K$4:K11,K11))</f>
        <v/>
      </c>
      <c r="M11">
        <f>IF(ROW()-3&gt;COUNTIF(K$4:K$40,"&lt;&gt;"&amp;""),"",INDEX(K$4:K$40,MATCH(ROW()-3,L$4:L$40,0)))</f>
        <v/>
      </c>
      <c r="N11">
        <f>N10+IF(AND(M11&lt;&gt;"",COUNTIF(M$4:M11,M11)=1),1,0)</f>
        <v/>
      </c>
      <c r="O11">
        <f>IF(ROW()-3&gt;MAX(N$4:N$40),"",INDEX(M$4:M$40,MATCH(ROW()-3,N$4:N$40,0)))</f>
        <v/>
      </c>
      <c r="P11">
        <f>IF('Final Calculation Sheet'!$G$11="","",'Final Calculation Sheet'!$G$11)</f>
        <v/>
      </c>
      <c r="Q11">
        <f>IF(P11="","",COUNTIFS(P$4:P$40,"&lt;"&amp;P11,P$4:P$40,"&lt;&gt;"&amp;"")+COUNTIF(P$4:P11,P11))</f>
        <v/>
      </c>
      <c r="R11">
        <f>IF(ROW()-3&gt;COUNTIF(P$4:P$40,"&lt;&gt;"&amp;""),"",INDEX(P$4:P$40,MATCH(ROW()-3,Q$4:Q$40,0)))</f>
        <v/>
      </c>
      <c r="S11">
        <f>S10+IF(AND(R11&lt;&gt;"",COUNTIF(R$4:R11,R11)=1),1,0)</f>
        <v/>
      </c>
      <c r="T11">
        <f>IF(ROW()-3&gt;MAX(S$4:S$40),"",INDEX(R$4:R$40,MATCH(ROW()-3,S$4:S$40,0)))</f>
        <v/>
      </c>
      <c r="U11">
        <f>IF('Final Calculation Sheet'!$B$11="","",'Final Calculation Sheet'!$B$11)</f>
        <v/>
      </c>
      <c r="V11">
        <f>IF(U11="","",COUNTIFS(U$4:U$40,"&lt;"&amp;U11,U$4:U$40,"&lt;&gt;"&amp;"")+COUNTIF(U$4:U11,U11))</f>
        <v/>
      </c>
      <c r="W11">
        <f>IF(ROW()-3&gt;COUNTIF(U$4:U$40,"&lt;&gt;"&amp;""),"",INDEX(U$4:U$40,MATCH(ROW()-3,V$4:V$40,0)))</f>
        <v/>
      </c>
      <c r="X11">
        <f>X10+IF(AND(W11&lt;&gt;"",COUNTIF(W$4:W11,W11)=1),1,0)</f>
        <v/>
      </c>
      <c r="Y11">
        <f>IF(ROW()-3&gt;MAX(X$4:X$40),"",INDEX(W$4:W$40,MATCH(ROW()-3,X$4:X$40,0)))</f>
        <v/>
      </c>
      <c r="Z11">
        <f>IF('Final Calculation Sheet'!$D$11="","",'Final Calculation Sheet'!$D$11)</f>
        <v/>
      </c>
      <c r="AA11">
        <f>IF(Z11="","",COUNTIFS(Z$4:Z$40,"&lt;"&amp;Z11,Z$4:Z$40,"&lt;&gt;"&amp;"")+COUNTIF(Z$4:Z11,Z11))</f>
        <v/>
      </c>
      <c r="AB11">
        <f>IF(ROW()-3&gt;COUNTIF(Z$4:Z$40,"&lt;&gt;"&amp;""),"",INDEX(Z$4:Z$40,MATCH(ROW()-3,AA$4:AA$40,0)))</f>
        <v/>
      </c>
      <c r="AC11">
        <f>AC10+IF(AND(AB11&lt;&gt;"",COUNTIF(AB$4:AB11,AB11)=1),1,0)</f>
        <v/>
      </c>
      <c r="AD11">
        <f>IF(ROW()-3&gt;MAX(AC$4:AC$40),"",INDEX(AB$4:AB$40,MATCH(ROW()-3,AC$4:AC$40,0)))</f>
        <v/>
      </c>
      <c r="AE11">
        <f>IF('Final Calculation Sheet'!$A$11="","",'Final Calculation Sheet'!$A$11)</f>
        <v/>
      </c>
      <c r="AF11">
        <f>IF(AE11="","",COUNTIFS(AE$4:AE$40,"&lt;"&amp;AE11,AE$4:AE$40,"&lt;&gt;"&amp;"")+COUNTIF(AE$4:AE11,AE11))</f>
        <v/>
      </c>
      <c r="AG11">
        <f>IF(ROW()-3&gt;COUNTIF(AE$4:AE$40,"&lt;&gt;"&amp;""),"",INDEX(AE$4:AE$40,MATCH(ROW()-3,AF$4:AF$40,0)))</f>
        <v/>
      </c>
      <c r="AH11">
        <f>AH10+IF(AND(AG11&lt;&gt;"",COUNTIF(AG$4:AG11,AG11)=1),1,0)</f>
        <v/>
      </c>
      <c r="AI11">
        <f>IF(ROW()-3&gt;MAX(AH$4:AH$40),"",INDEX(AG$4:AG$40,MATCH(ROW()-3,AH$4:AH$40,0)))</f>
        <v/>
      </c>
      <c r="AJ11">
        <f>IF('Final Calculation Sheet'!$E$11="","",'Final Calculation Sheet'!$E$11)</f>
        <v/>
      </c>
      <c r="AK11">
        <f>IF(AJ11="","",COUNTIFS(AJ$4:AJ$40,"&lt;"&amp;AJ11,AJ$4:AJ$40,"&lt;&gt;"&amp;"")+COUNTIF(AJ$4:AJ11,AJ11))</f>
        <v/>
      </c>
      <c r="AL11">
        <f>IF(ROW()-3&gt;COUNTIF(AJ$4:AJ$40,"&lt;&gt;"&amp;""),"",INDEX(AJ$4:AJ$40,MATCH(ROW()-3,AK$4:AK$40,0)))</f>
        <v/>
      </c>
      <c r="AM11">
        <f>AM10+IF(AND(AL11&lt;&gt;"",COUNTIF(AL$4:AL11,AL11)=1),1,0)</f>
        <v/>
      </c>
      <c r="AN11">
        <f>IF(ROW()-3&gt;MAX(AM$4:AM$40),"",INDEX(AL$4:AL$40,MATCH(ROW()-3,AM$4:AM$40,0)))</f>
        <v/>
      </c>
      <c r="AO11" s="55">
        <f>IF('Final Calculation Sheet'!$C$11="","",'Final Calculation Sheet'!$C$11)</f>
        <v/>
      </c>
      <c r="AP11">
        <f>IF(AO11="","",COUNTIFS(AO$4:AO$40,"&lt;"&amp;AO11,AO$4:AO$40,"&lt;&gt;"&amp;"")+COUNTIF(AO$4:AO11,AO11))</f>
        <v/>
      </c>
      <c r="AQ11" s="55">
        <f>IF(ROW()-3&gt;COUNTIF(AO$4:AO$40,"&lt;&gt;"&amp;""),"",INDEX(AO$4:AO$40,MATCH(ROW()-3,AP$4:AP$40,0)))</f>
        <v/>
      </c>
      <c r="AR11">
        <f>AR10+IF(AND(AQ11&lt;&gt;"",COUNTIF(AQ$4:AQ11,AQ11)=1),1,0)</f>
        <v/>
      </c>
      <c r="AS11" s="55">
        <f>IF(ROW()-3&gt;MAX(AR$4:AR$40),"",INDEX(AQ$4:AQ$40,MATCH(ROW()-3,AR$4:AR$40,0)))</f>
        <v/>
      </c>
      <c r="AT11" s="55">
        <f>IF('Final Calculation Sheet'!$H$11="","",'Final Calculation Sheet'!$H$11)</f>
        <v/>
      </c>
      <c r="AU11">
        <f>IF(AT11="","",COUNTIFS(AT$4:AT$40,"&lt;"&amp;AT11,AT$4:AT$40,"&lt;&gt;"&amp;"")+COUNTIF(AT$4:AT11,AT11))</f>
        <v/>
      </c>
      <c r="AV11" s="55">
        <f>IF(ROW()-3&gt;COUNTIF(AT$4:AT$40,"&lt;&gt;"&amp;""),"",INDEX(AT$4:AT$40,MATCH(ROW()-3,AU$4:AU$40,0)))</f>
        <v/>
      </c>
      <c r="AW11">
        <f>AW10+IF(AND(AV11&lt;&gt;"",COUNTIF(AV$4:AV11,AV11)=1),1,0)</f>
        <v/>
      </c>
      <c r="AX11" s="55">
        <f>IF(ROW()-3&gt;MAX(AW$4:AW$40),"",INDEX(AV$4:AV$40,MATCH(ROW()-3,AW$4:AW$40,0)))</f>
        <v/>
      </c>
      <c r="AY11" s="55">
        <f>IF('Final Calculation Sheet'!$I$11="","",'Final Calculation Sheet'!$I$11)</f>
        <v/>
      </c>
      <c r="AZ11">
        <f>IF(AY11="","",COUNTIFS(AY$4:AY$40,"&lt;"&amp;AY11,AY$4:AY$40,"&lt;&gt;"&amp;"")+COUNTIF(AY$4:AY11,AY11))</f>
        <v/>
      </c>
      <c r="BA11" s="55">
        <f>IF(ROW()-3&gt;COUNTIF(AY$4:AY$40,"&lt;&gt;"&amp;""),"",INDEX(AY$4:AY$40,MATCH(ROW()-3,AZ$4:AZ$40,0)))</f>
        <v/>
      </c>
      <c r="BB11">
        <f>BB10+IF(AND(BA11&lt;&gt;"",COUNTIF(BA$4:BA11,BA11)=1),1,0)</f>
        <v/>
      </c>
      <c r="BC11" s="55">
        <f>IF(ROW()-3&gt;MAX(BB$4:BB$40),"",INDEX(BA$4:BA$40,MATCH(ROW()-3,BB$4:BB$40,0)))</f>
        <v/>
      </c>
      <c r="BD11" s="55">
        <f>IF('Final Calculation Sheet'!$J$11="","",'Final Calculation Sheet'!$J$11)</f>
        <v/>
      </c>
      <c r="BE11">
        <f>IF(BD11="","",COUNTIFS(BD$4:BD$40,"&lt;"&amp;BD11,BD$4:BD$40,"&lt;&gt;"&amp;"")+COUNTIF(BD$4:BD11,BD11))</f>
        <v/>
      </c>
      <c r="BF11" s="55">
        <f>IF(ROW()-3&gt;COUNTIF(BD$4:BD$40,"&lt;&gt;"&amp;""),"",INDEX(BD$4:BD$40,MATCH(ROW()-3,BE$4:BE$40,0)))</f>
        <v/>
      </c>
      <c r="BG11">
        <f>BG10+IF(AND(BF11&lt;&gt;"",COUNTIF(BF$4:BF11,BF11)=1),1,0)</f>
        <v/>
      </c>
      <c r="BH11" s="55">
        <f>IF(ROW()-3&gt;MAX(BG$4:BG$40),"",INDEX(BF$4:BF$40,MATCH(ROW()-3,BG$4:BG$40,0)))</f>
        <v/>
      </c>
      <c r="BI11" s="55">
        <f>IF('Final Calculation Sheet'!$K$11="","",'Final Calculation Sheet'!$K$11)</f>
        <v/>
      </c>
      <c r="BJ11">
        <f>IF(BI11="","",COUNTIFS(BI$4:BI$40,"&lt;"&amp;BI11,BI$4:BI$40,"&lt;&gt;"&amp;"")+COUNTIF(BI$4:BI11,BI11))</f>
        <v/>
      </c>
      <c r="BK11" s="55">
        <f>IF(ROW()-3&gt;COUNTIF(BI$4:BI$40,"&lt;&gt;"&amp;""),"",INDEX(BI$4:BI$40,MATCH(ROW()-3,BJ$4:BJ$40,0)))</f>
        <v/>
      </c>
      <c r="BL11">
        <f>BL10+IF(AND(BK11&lt;&gt;"",COUNTIF(BK$4:BK11,BK11)=1),1,0)</f>
        <v/>
      </c>
      <c r="BM11" s="55">
        <f>IF(ROW()-3&gt;MAX(BL$4:BL$40),"",INDEX(BK$4:BK$40,MATCH(ROW()-3,BL$4:BL$40,0)))</f>
        <v/>
      </c>
      <c r="BN11" s="55">
        <f>IF('Final Calculation Sheet'!$L$11="","",'Final Calculation Sheet'!$L$11)</f>
        <v/>
      </c>
      <c r="BO11">
        <f>IF(BN11="","",COUNTIFS(BN$4:BN$40,"&lt;"&amp;BN11,BN$4:BN$40,"&lt;&gt;"&amp;"")+COUNTIF(BN$4:BN11,BN11))</f>
        <v/>
      </c>
      <c r="BP11" s="55">
        <f>IF(ROW()-3&gt;COUNTIF(BN$4:BN$40,"&lt;&gt;"&amp;""),"",INDEX(BN$4:BN$40,MATCH(ROW()-3,BO$4:BO$40,0)))</f>
        <v/>
      </c>
      <c r="BQ11">
        <f>BQ10+IF(AND(BP11&lt;&gt;"",COUNTIF(BP$4:BP11,BP11)=1),1,0)</f>
        <v/>
      </c>
      <c r="BR11" s="55">
        <f>IF(ROW()-3&gt;MAX(BQ$4:BQ$40),"",INDEX(BP$4:BP$40,MATCH(ROW()-3,BQ$4:BQ$40,0)))</f>
        <v/>
      </c>
      <c r="BS11" s="55">
        <f>IF('Final Calculation Sheet'!$M$11="","",'Final Calculation Sheet'!$M$11)</f>
        <v/>
      </c>
      <c r="BT11">
        <f>IF(BS11="","",COUNTIFS(BS$4:BS$40,"&lt;"&amp;BS11,BS$4:BS$40,"&lt;&gt;"&amp;"")+COUNTIF(BS$4:BS11,BS11))</f>
        <v/>
      </c>
      <c r="BU11" s="55">
        <f>IF(ROW()-3&gt;COUNTIF(BS$4:BS$40,"&lt;&gt;"&amp;""),"",INDEX(BS$4:BS$40,MATCH(ROW()-3,BT$4:BT$40,0)))</f>
        <v/>
      </c>
      <c r="BV11">
        <f>BV10+IF(AND(BU11&lt;&gt;"",COUNTIF(BU$4:BU11,BU11)=1),1,0)</f>
        <v/>
      </c>
      <c r="BW11" s="55">
        <f>IF(ROW()-3&gt;MAX(BV$4:BV$40),"",INDEX(BU$4:BU$40,MATCH(ROW()-3,BV$4:BV$40,0)))</f>
        <v/>
      </c>
      <c r="BX11" s="138">
        <f>IF('Final Calculation Sheet'!$N$11="","",'Final Calculation Sheet'!$N$11)</f>
        <v/>
      </c>
      <c r="BY11">
        <f>IF(BX11="","",COUNTIFS(BX$4:BX$40,"&lt;"&amp;BX11,BX$4:BX$40,"&lt;&gt;"&amp;"")+COUNTIF(BX$4:BX11,BX11))</f>
        <v/>
      </c>
      <c r="BZ11" s="138">
        <f>IF(ROW()-3&gt;COUNTIF(BX$4:BX$40,"&lt;&gt;"&amp;""),"",INDEX(BX$4:BX$40,MATCH(ROW()-3,BY$4:BY$40,0)))</f>
        <v/>
      </c>
      <c r="CA11">
        <f>CA10+IF(AND(BZ11&lt;&gt;"",COUNTIF(BZ$4:BZ11,BZ11)=1),1,0)</f>
        <v/>
      </c>
      <c r="CB11" s="138">
        <f>IF(ROW()-3&gt;MAX(CA$4:CA$40),"",INDEX(BZ$4:BZ$40,MATCH(ROW()-3,CA$4:CA$40,0)))</f>
        <v/>
      </c>
      <c r="CC11" s="55">
        <f>IF('Final Calculation Sheet'!$O$11="","",'Final Calculation Sheet'!$O$11)</f>
        <v/>
      </c>
      <c r="CD11">
        <f>IF(CC11="","",COUNTIFS(CC$4:CC$40,"&lt;"&amp;CC11,CC$4:CC$40,"&lt;&gt;"&amp;"")+COUNTIF(CC$4:CC11,CC11))</f>
        <v/>
      </c>
      <c r="CE11" s="55">
        <f>IF(ROW()-3&gt;COUNTIF(CC$4:CC$40,"&lt;&gt;"&amp;""),"",INDEX(CC$4:CC$40,MATCH(ROW()-3,CD$4:CD$40,0)))</f>
        <v/>
      </c>
      <c r="CF11">
        <f>CF10+IF(AND(CE11&lt;&gt;"",COUNTIF(CE$4:CE11,CE11)=1),1,0)</f>
        <v/>
      </c>
      <c r="CG11" s="55">
        <f>IF(ROW()-3&gt;MAX(CF$4:CF$40),"",INDEX(CE$4:CE$40,MATCH(ROW()-3,CF$4:CF$40,0)))</f>
        <v/>
      </c>
      <c r="CH11" s="55">
        <f>IF('Final Calculation Sheet'!$P$11="","",'Final Calculation Sheet'!$P$11)</f>
        <v/>
      </c>
      <c r="CI11">
        <f>IF(CH11="","",COUNTIFS(CH$4:CH$40,"&lt;"&amp;CH11,CH$4:CH$40,"&lt;&gt;"&amp;"")+COUNTIF(CH$4:CH11,CH11))</f>
        <v/>
      </c>
      <c r="CJ11" s="55">
        <f>IF(ROW()-3&gt;COUNTIF(CH$4:CH$40,"&lt;&gt;"&amp;""),"",INDEX(CH$4:CH$40,MATCH(ROW()-3,CI$4:CI$40,0)))</f>
        <v/>
      </c>
      <c r="CK11">
        <f>CK10+IF(AND(CJ11&lt;&gt;"",COUNTIF(CJ$4:CJ11,CJ11)=1),1,0)</f>
        <v/>
      </c>
      <c r="CL11" s="55">
        <f>IF(ROW()-3&gt;MAX(CK$4:CK$40),"",INDEX(CJ$4:CJ$40,MATCH(ROW()-3,CK$4:CK$40,0)))</f>
        <v/>
      </c>
      <c r="CM11" s="139">
        <f>IF('Final Calculation Sheet'!$Q$11="","",'Final Calculation Sheet'!$Q$11)</f>
        <v/>
      </c>
      <c r="CN11">
        <f>IF(CM11="","",COUNTIFS(CM$4:CM$40,"&lt;"&amp;CM11,CM$4:CM$40,"&lt;&gt;"&amp;"")+COUNTIF(CM$4:CM11,CM11))</f>
        <v/>
      </c>
      <c r="CO11" s="139">
        <f>IF(ROW()-3&gt;COUNTIF(CM$4:CM$40,"&lt;&gt;"&amp;""),"",INDEX(CM$4:CM$40,MATCH(ROW()-3,CN$4:CN$40,0)))</f>
        <v/>
      </c>
      <c r="CP11">
        <f>CP10+IF(AND(CO11&lt;&gt;"",COUNTIF(CO$4:CO11,CO11)=1),1,0)</f>
        <v/>
      </c>
      <c r="CQ11">
        <f>IF(ROW()-3&gt;MAX(CP$4:CP$40),"",INDEX(CO$4:CO$40,MATCH(ROW()-3,CP$4:CP$40,0)))</f>
        <v/>
      </c>
      <c r="CR11" s="55">
        <f>IF('Final Calculation Sheet'!$R$11="","",'Final Calculation Sheet'!$R$11)</f>
        <v/>
      </c>
      <c r="CS11">
        <f>IF(CR11="","",COUNTIFS(CR$4:CR$40,"&lt;"&amp;CR11,CR$4:CR$40,"&lt;&gt;"&amp;"")+COUNTIF(CR$4:CR11,CR11))</f>
        <v/>
      </c>
      <c r="CT11" s="55">
        <f>IF(ROW()-3&gt;COUNTIF(CR$4:CR$40,"&lt;&gt;"&amp;""),"",INDEX(CR$4:CR$40,MATCH(ROW()-3,CS$4:CS$40,0)))</f>
        <v/>
      </c>
      <c r="CU11">
        <f>CU10+IF(AND(CT11&lt;&gt;"",COUNTIF(CT$4:CT11,CT11)=1),1,0)</f>
        <v/>
      </c>
      <c r="CV11">
        <f>IF(ROW()-3&gt;MAX(CU$4:CU$40),"",INDEX(CT$4:CT$40,MATCH(ROW()-3,CU$4:CU$40,0)))</f>
        <v/>
      </c>
      <c r="CW11" s="55">
        <f>IF('Final Calculation Sheet'!$S$11="","",'Final Calculation Sheet'!$S$11)</f>
        <v/>
      </c>
      <c r="CX11">
        <f>IF(CW11="","",COUNTIFS(CW$4:CW$40,"&lt;"&amp;CW11,CW$4:CW$40,"&lt;&gt;"&amp;"")+COUNTIF(CW$4:CW11,CW11))</f>
        <v/>
      </c>
      <c r="CY11" s="55">
        <f>IF(ROW()-3&gt;COUNTIF(CW$4:CW$40,"&lt;&gt;"&amp;""),"",INDEX(CW$4:CW$40,MATCH(ROW()-3,CX$4:CX$40,0)))</f>
        <v/>
      </c>
      <c r="CZ11">
        <f>CZ10+IF(AND(CY11&lt;&gt;"",COUNTIF(CY$4:CY11,CY11)=1),1,0)</f>
        <v/>
      </c>
      <c r="DA11" s="55">
        <f>IF(ROW()-3&gt;MAX(CZ$4:CZ$40),"",INDEX(CY$4:CY$40,MATCH(ROW()-3,CZ$4:CZ$40,0)))</f>
        <v/>
      </c>
      <c r="DB11" s="55">
        <f>IF('Final Calculation Sheet'!$T$11="","",'Final Calculation Sheet'!$T$11)</f>
        <v/>
      </c>
      <c r="DC11">
        <f>IF(DB11="","",COUNTIFS(DB$4:DB$40,"&lt;"&amp;DB11,DB$4:DB$40,"&lt;&gt;"&amp;"")+COUNTIF(DB$4:DB11,DB11))</f>
        <v/>
      </c>
      <c r="DD11" s="55">
        <f>IF(ROW()-3&gt;COUNTIF(DB$4:DB$40,"&lt;&gt;"&amp;""),"",INDEX(DB$4:DB$40,MATCH(ROW()-3,DC$4:DC$40,0)))</f>
        <v/>
      </c>
      <c r="DE11">
        <f>DE10+IF(AND(DD11&lt;&gt;"",COUNTIF(DD$4:DD11,DD11)=1),1,0)</f>
        <v/>
      </c>
      <c r="DF11" s="55">
        <f>IF(ROW()-3&gt;MAX(DE$4:DE$40),"",INDEX(DD$4:DD$40,MATCH(ROW()-3,DE$4:DE$40,0)))</f>
        <v/>
      </c>
      <c r="DG11" s="140">
        <f>IF('Final Calculation Sheet'!$U$11="","",'Final Calculation Sheet'!$U$11)</f>
        <v/>
      </c>
      <c r="DH11">
        <f>IF(DG11="","",COUNTIFS(DG$4:DG$40,"&lt;"&amp;DG11,DG$4:DG$40,"&lt;&gt;"&amp;"")+COUNTIF(DG$4:DG11,DG11))</f>
        <v/>
      </c>
      <c r="DI11" s="140">
        <f>IF(ROW()-3&gt;COUNTIF(DG$4:DG$40,"&lt;&gt;"&amp;""),"",INDEX(DG$4:DG$40,MATCH(ROW()-3,DH$4:DH$40,0)))</f>
        <v/>
      </c>
      <c r="DJ11">
        <f>DJ10+IF(AND(DI11&lt;&gt;"",COUNTIF(DI$4:DI11,DI11)=1),1,0)</f>
        <v/>
      </c>
      <c r="DK11" s="140">
        <f>IF(ROW()-3&gt;MAX(DJ$4:DJ$40),"",INDEX(DI$4:DI$40,MATCH(ROW()-3,DJ$4:DJ$40,0)))</f>
        <v/>
      </c>
      <c r="DL11">
        <f>IF('Final Calculation Sheet'!$V$11="","",'Final Calculation Sheet'!$V$11)</f>
        <v/>
      </c>
      <c r="DM11">
        <f>IF(DL11="","",COUNTIFS(DL$4:DL$40,"&lt;"&amp;DL11,DL$4:DL$40,"&lt;&gt;"&amp;"")+COUNTIF(DL$4:DL11,DL11))</f>
        <v/>
      </c>
      <c r="DN11">
        <f>IF(ROW()-3&gt;COUNTIF(DL$4:DL$40,"&lt;&gt;"&amp;""),"",INDEX(DL$4:DL$40,MATCH(ROW()-3,DM$4:DM$40,0)))</f>
        <v/>
      </c>
      <c r="DO11">
        <f>DO10+IF(AND(DN11&lt;&gt;"",COUNTIF(DN$4:DN11,DN11)=1),1,0)</f>
        <v/>
      </c>
      <c r="DP11">
        <f>IF(ROW()-3&gt;MAX(DO$4:DO$40),"",INDEX(DN$4:DN$40,MATCH(ROW()-3,DO$4:DO$40,0)))</f>
        <v/>
      </c>
      <c r="DQ11" s="55">
        <f>IF('Final Calculation Sheet'!$W$11="","",'Final Calculation Sheet'!$W$11)</f>
        <v/>
      </c>
      <c r="DR11">
        <f>IF(DQ11="","",COUNTIFS(DQ$4:DQ$40,"&lt;"&amp;DQ11,DQ$4:DQ$40,"&lt;&gt;"&amp;"")+COUNTIF(DQ$4:DQ11,DQ11))</f>
        <v/>
      </c>
      <c r="DS11" s="55">
        <f>IF(ROW()-3&gt;COUNTIF(DQ$4:DQ$40,"&lt;&gt;"&amp;""),"",INDEX(DQ$4:DQ$40,MATCH(ROW()-3,DR$4:DR$40,0)))</f>
        <v/>
      </c>
      <c r="DT11">
        <f>DT10+IF(AND(DS11&lt;&gt;"",COUNTIF(DS$4:DS11,DS11)=1),1,0)</f>
        <v/>
      </c>
      <c r="DU11" s="55">
        <f>IF(ROW()-3&gt;MAX(DT$4:DT$40),"",INDEX(DS$4:DS$40,MATCH(ROW()-3,DT$4:DT$40,0)))</f>
        <v/>
      </c>
      <c r="DV11" s="55">
        <f>IF('Final Calculation Sheet'!$X$11="","",'Final Calculation Sheet'!$X$11)</f>
        <v/>
      </c>
      <c r="DW11">
        <f>IF(DV11="","",COUNTIFS(DV$4:DV$40,"&lt;"&amp;DV11,DV$4:DV$40,"&lt;&gt;"&amp;"")+COUNTIF(DV$4:DV11,DV11))</f>
        <v/>
      </c>
      <c r="DX11" s="55">
        <f>IF(ROW()-3&gt;COUNTIF(DV$4:DV$40,"&lt;&gt;"&amp;""),"",INDEX(DV$4:DV$40,MATCH(ROW()-3,DW$4:DW$40,0)))</f>
        <v/>
      </c>
      <c r="DY11">
        <f>DY10+IF(AND(DX11&lt;&gt;"",COUNTIF(DX$4:DX11,DX11)=1),1,0)</f>
        <v/>
      </c>
      <c r="DZ11">
        <f>IF(ROW()-3&gt;MAX(DY$4:DY$40),"",INDEX(DX$4:DX$40,MATCH(ROW()-3,DY$4:DY$40,0)))</f>
        <v/>
      </c>
      <c r="EA11">
        <f>IF('Final Calculation Sheet'!$Y$11="","",'Final Calculation Sheet'!$Y$11)</f>
        <v/>
      </c>
      <c r="EB11">
        <f>IF(EA11="","",COUNTIFS(EA$4:EA$40,"&lt;"&amp;EA11,EA$4:EA$40,"&lt;&gt;"&amp;"")+COUNTIF(EA$4:EA11,EA11))</f>
        <v/>
      </c>
      <c r="EC11">
        <f>IF(ROW()-3&gt;COUNTIF(EA$4:EA$40,"&lt;&gt;"&amp;""),"",INDEX(EA$4:EA$40,MATCH(ROW()-3,EB$4:EB$40,0)))</f>
        <v/>
      </c>
      <c r="ED11">
        <f>ED10+IF(AND(EC11&lt;&gt;"",COUNTIF(EC$4:EC11,EC11)=1),1,0)</f>
        <v/>
      </c>
      <c r="EE11">
        <f>IF(ROW()-3&gt;MAX(ED$4:ED$40),"",INDEX(EC$4:EC$40,MATCH(ROW()-3,ED$4:ED$40,0)))</f>
        <v/>
      </c>
      <c r="EF11" s="55">
        <f>IF('Final Calculation Sheet'!$Z$11="","",'Final Calculation Sheet'!$Z$11)</f>
        <v/>
      </c>
      <c r="EG11">
        <f>IF(EF11="","",COUNTIFS(EF$4:EF$40,"&lt;"&amp;EF11,EF$4:EF$40,"&lt;&gt;"&amp;"")+COUNTIF(EF$4:EF11,EF11))</f>
        <v/>
      </c>
      <c r="EH11" s="55">
        <f>IF(ROW()-3&gt;COUNTIF(EF$4:EF$40,"&lt;&gt;"&amp;""),"",INDEX(EF$4:EF$40,MATCH(ROW()-3,EG$4:EG$40,0)))</f>
        <v/>
      </c>
      <c r="EI11">
        <f>EI10+IF(AND(EH11&lt;&gt;"",COUNTIF(EH$4:EH11,EH11)=1),1,0)</f>
        <v/>
      </c>
      <c r="EJ11">
        <f>IF(ROW()-3&gt;MAX(EI$4:EI$40),"",INDEX(EH$4:EH$40,MATCH(ROW()-3,EI$4:EI$40,0)))</f>
        <v/>
      </c>
      <c r="EK11">
        <f>IF('Final Calculation Sheet'!$AA$11="","",'Final Calculation Sheet'!$AA$11)</f>
        <v/>
      </c>
      <c r="EL11">
        <f>IF(EK11="","",COUNTIFS(EK$4:EK$40,"&lt;"&amp;EK11,EK$4:EK$40,"&lt;&gt;"&amp;"")+COUNTIF(EK$4:EK11,EK11))</f>
        <v/>
      </c>
      <c r="EM11">
        <f>IF(ROW()-3&gt;COUNTIF(EK$4:EK$40,"&lt;&gt;"&amp;""),"",INDEX(EK$4:EK$40,MATCH(ROW()-3,EL$4:EL$40,0)))</f>
        <v/>
      </c>
      <c r="EN11">
        <f>EN10+IF(AND(EM11&lt;&gt;"",COUNTIF(EM$4:EM11,EM11)=1),1,0)</f>
        <v/>
      </c>
      <c r="EO11">
        <f>IF(ROW()-3&gt;MAX(EN$4:EN$40),"",INDEX(EM$4:EM$40,MATCH(ROW()-3,EN$4:EN$40,0)))</f>
        <v/>
      </c>
      <c r="EP11">
        <f>IF('Final Calculation Sheet'!$AB$11="","",'Final Calculation Sheet'!$AB$11)</f>
        <v/>
      </c>
      <c r="EQ11">
        <f>IF(EP11="","",COUNTIFS(EP$4:EP$40,"&lt;"&amp;EP11,EP$4:EP$40,"&lt;&gt;"&amp;"")+COUNTIF(EP$4:EP11,EP11))</f>
        <v/>
      </c>
      <c r="ER11">
        <f>IF(ROW()-3&gt;COUNTIF(EP$4:EP$40,"&lt;&gt;"&amp;""),"",INDEX(EP$4:EP$40,MATCH(ROW()-3,EQ$4:EQ$40,0)))</f>
        <v/>
      </c>
      <c r="ES11">
        <f>ES10+IF(AND(ER11&lt;&gt;"",COUNTIF(ER$4:ER11,ER11)=1),1,0)</f>
        <v/>
      </c>
      <c r="ET11">
        <f>IF(ROW()-3&gt;MAX(ES$4:ES$40),"",INDEX(ER$4:ER$40,MATCH(ROW()-3,ES$4:ES$40,0)))</f>
        <v/>
      </c>
      <c r="EU11" s="55">
        <f>IF('Final Calculation Sheet'!$AC$11="","",'Final Calculation Sheet'!$AC$11)</f>
        <v/>
      </c>
      <c r="EV11">
        <f>IF(EU11="","",COUNTIFS(EU$4:EU$40,"&lt;"&amp;EU11,EU$4:EU$40,"&lt;&gt;"&amp;"")+COUNTIF(EU$4:EU11,EU11))</f>
        <v/>
      </c>
      <c r="EW11" s="55">
        <f>IF(ROW()-3&gt;COUNTIF(EU$4:EU$40,"&lt;&gt;"&amp;""),"",INDEX(EU$4:EU$40,MATCH(ROW()-3,EV$4:EV$40,0)))</f>
        <v/>
      </c>
      <c r="EX11">
        <f>EX10+IF(AND(EW11&lt;&gt;"",COUNTIF(EW$4:EW11,EW11)=1),1,0)</f>
        <v/>
      </c>
      <c r="EY11" s="55">
        <f>IF(ROW()-3&gt;MAX(EX$4:EX$40),"",INDEX(EW$4:EW$40,MATCH(ROW()-3,EX$4:EX$40,0)))</f>
        <v/>
      </c>
      <c r="EZ11" s="55">
        <f>IF('Final Calculation Sheet'!$AD$11="","",'Final Calculation Sheet'!$AD$11)</f>
        <v/>
      </c>
      <c r="FA11">
        <f>IF(EZ11="","",COUNTIFS(EZ$4:EZ$40,"&lt;"&amp;EZ11,EZ$4:EZ$40,"&lt;&gt;"&amp;"")+COUNTIF(EZ$4:EZ11,EZ11))</f>
        <v/>
      </c>
      <c r="FB11" s="55">
        <f>IF(ROW()-3&gt;COUNTIF(EZ$4:EZ$40,"&lt;&gt;"&amp;""),"",INDEX(EZ$4:EZ$40,MATCH(ROW()-3,FA$4:FA$40,0)))</f>
        <v/>
      </c>
      <c r="FC11">
        <f>FC10+IF(AND(FB11&lt;&gt;"",COUNTIF(FB$4:FB11,FB11)=1),1,0)</f>
        <v/>
      </c>
      <c r="FD11" s="55">
        <f>IF(ROW()-3&gt;MAX(FC$4:FC$40),"",INDEX(FB$4:FB$40,MATCH(ROW()-3,FC$4:FC$40,0)))</f>
        <v/>
      </c>
      <c r="FE11">
        <f>IF('Final Calculation Sheet'!$AF$11="","",'Final Calculation Sheet'!$AF$11)</f>
        <v/>
      </c>
      <c r="FF11">
        <f>IF(FE11="","",COUNTIFS(FE$4:FE$40,"&lt;"&amp;FE11,FE$4:FE$40,"&lt;&gt;"&amp;"")+COUNTIF(FE$4:FE11,FE11))</f>
        <v/>
      </c>
      <c r="FG11">
        <f>IF(ROW()-3&gt;COUNTIF(FE$4:FE$40,"&lt;&gt;"&amp;""),"",INDEX(FE$4:FE$40,MATCH(ROW()-3,FF$4:FF$40,0)))</f>
        <v/>
      </c>
      <c r="FH11">
        <f>FH10+IF(AND(FG11&lt;&gt;"",COUNTIF(FG$4:FG11,FG11)=1),1,0)</f>
        <v/>
      </c>
      <c r="FI11">
        <f>IF(ROW()-3&gt;MAX(FH$4:FH$40),"",INDEX(FG$4:FG$40,MATCH(ROW()-3,FH$4:FH$40,0)))</f>
        <v/>
      </c>
      <c r="FJ11" s="141">
        <f>IF('Final Calculation Sheet'!$AG$11="","",'Final Calculation Sheet'!$AG$11)</f>
        <v/>
      </c>
      <c r="FK11">
        <f>IF(FJ11="","",COUNTIFS(FJ$4:FJ$40,"&lt;"&amp;FJ11,FJ$4:FJ$40,"&lt;&gt;"&amp;"")+COUNTIF(FJ$4:FJ11,FJ11))</f>
        <v/>
      </c>
      <c r="FL11" s="141">
        <f>IF(ROW()-3&gt;COUNTIF(FJ$4:FJ$40,"&lt;&gt;"&amp;""),"",INDEX(FJ$4:FJ$40,MATCH(ROW()-3,FK$4:FK$40,0)))</f>
        <v/>
      </c>
      <c r="FM11">
        <f>FM10+IF(AND(FL11&lt;&gt;"",COUNTIF(FL$4:FL11,FL11)=1),1,0)</f>
        <v/>
      </c>
      <c r="FN11">
        <f>IF(ROW()-3&gt;MAX(FM$4:FM$40),"",INDEX(FL$4:FL$40,MATCH(ROW()-3,FM$4:FM$40,0)))</f>
        <v/>
      </c>
      <c r="FO11">
        <f>IF('Final Calculation Sheet'!$AH$11="","",'Final Calculation Sheet'!$AH$11)</f>
        <v/>
      </c>
      <c r="FP11">
        <f>IF(FO11="","",COUNTIFS(FO$4:FO$40,"&lt;"&amp;FO11,FO$4:FO$40,"&lt;&gt;"&amp;"")+COUNTIF(FO$4:FO11,FO11))</f>
        <v/>
      </c>
      <c r="FQ11">
        <f>IF(ROW()-3&gt;COUNTIF(FO$4:FO$40,"&lt;&gt;"&amp;""),"",INDEX(FO$4:FO$40,MATCH(ROW()-3,FP$4:FP$40,0)))</f>
        <v/>
      </c>
      <c r="FR11">
        <f>FR10+IF(AND(FQ11&lt;&gt;"",COUNTIF(FQ$4:FQ11,FQ11)=1),1,0)</f>
        <v/>
      </c>
      <c r="FS11">
        <f>IF(ROW()-3&gt;MAX(FR$4:FR$40),"",INDEX(FQ$4:FQ$40,MATCH(ROW()-3,FR$4:FR$40,0)))</f>
        <v/>
      </c>
      <c r="FU11">
        <f>IF(FT11="","",COUNTIFS(FT$4:FT$40,"&lt;"&amp;FT11,FT$4:FT$40,"&lt;&gt;"&amp;"")+COUNTIF(FT$4:FT11,FT11))</f>
        <v/>
      </c>
      <c r="FV11">
        <f>IF(ROW()-3&gt;COUNTIF(FT$4:FT$40,"&lt;&gt;"&amp;""),"",INDEX(FT$4:FT$40,MATCH(ROW()-3,FU$4:FU$40,0)))</f>
        <v/>
      </c>
      <c r="FW11">
        <f>FW10+IF(AND(FV11&lt;&gt;"",COUNTIF(FV$4:FV11,FV11)=1),1,0)</f>
        <v/>
      </c>
      <c r="FX11">
        <f>IF(ROW()-3&gt;MAX(FW$4:FW$40),"",INDEX(FV$4:FV$40,MATCH(ROW()-3,FW$4:FW$40,0)))</f>
        <v/>
      </c>
      <c r="FY11">
        <f>IF(COUNTIF('Live Search'!BM$10:BO$10,0)+COUNTIF('Live Search'!BQ$10:CU$10,0)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1">
        <f>IF($Y$11="",FALSE,SUMPRODUCT(('Final Calculation Sheet'!$B$4:$B$40=$Y$11)*($FY$6:$FY$42=1))&gt;0)</f>
        <v/>
      </c>
      <c r="GA11">
        <f>$GA$10+--($FZ$11)</f>
        <v/>
      </c>
      <c r="GB11">
        <f>IF(ROW()-3&gt;MAX($GA$4:$GA$40),"",INDEX($Y$4:$Y$40,MATCH(ROW()-3,$GA$4:$GA$40,0)))</f>
        <v/>
      </c>
      <c r="GC11">
        <f>IF(COUNTIF('Live Search'!BM$10:BM$10,0)+COUNTIF('Live Search'!BO$10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GD11">
        <f>IF($O$11="",FALSE,SUMPRODUCT(('Final Calculation Sheet'!$F$4:$F$40=$O$11)*($GC$6:$GC$42=1))&gt;0)</f>
        <v/>
      </c>
      <c r="GE11">
        <f>$GE$10+--($GD11)</f>
        <v/>
      </c>
      <c r="GF11">
        <f>IF(ROW()-3&gt;MAX($GE$4:$GE$40),"",INDEX($O$4:$O$40,MATCH(ROW()-3,$GE$4:$GE$40,0)))</f>
        <v/>
      </c>
      <c r="GG11">
        <f>IF(COUNTIF('Live Search'!BM$10:BN$10,0)+COUNTIF('Live Search'!BP$10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GH11">
        <f>IF($T$11="",FALSE,SUMPRODUCT(('Final Calculation Sheet'!$G$4:$G$40=$T$11)*($GG$6:$GG$42=1))&gt;0)</f>
        <v/>
      </c>
      <c r="GI11">
        <f>$GI$10+--($GH11)</f>
        <v/>
      </c>
      <c r="GJ11">
        <f>IF(ROW()-3&gt;MAX($GI$4:$GI$40),"",INDEX($T$4:$T$40,MATCH(ROW()-3,$GI$4:$GI$40,0)))</f>
        <v/>
      </c>
      <c r="GK11">
        <f>IF(COUNTIF('Live Search'!BM$10:BP$10,0)+COUNTIF('Live Search'!BR$10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GL11">
        <f>IF($AD$11="",FALSE,SUMPRODUCT(('Final Calculation Sheet'!$D$4:$D$40=$AD$11)*($GK$6:$GK$42=1))&gt;0)</f>
        <v/>
      </c>
      <c r="GM11">
        <f>$GM$10+--($GL11)</f>
        <v/>
      </c>
      <c r="GN11">
        <f>IF(ROW()-3&gt;MAX($GM$4:$GM$40),"",INDEX($AD$4:$AD$40,MATCH(ROW()-3,$GM$4:$GM$40,0)))</f>
        <v/>
      </c>
      <c r="GO11">
        <f>IF(COUNTIF('Live Search'!BM$10:BQ$10,0)+COUNTIF('Live Search'!BS$10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GP11">
        <f>IF($AI$11="",FALSE,SUMPRODUCT(('Final Calculation Sheet'!$A$4:$A$40=$AI$11)*($GO$6:$GO$42=1))&gt;0)</f>
        <v/>
      </c>
      <c r="GQ11">
        <f>$GQ$10+--($GP11)</f>
        <v/>
      </c>
      <c r="GR11">
        <f>IF(ROW()-3&gt;MAX($GQ$4:$GQ$40),"",INDEX($AI$4:$AI$40,MATCH(ROW()-3,$GQ$4:$GQ$40,0)))</f>
        <v/>
      </c>
      <c r="GS11">
        <f>IF(COUNTIF('Live Search'!BM$10:BR$10,0)+COUNTIF('Live Search'!BT$10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GT11">
        <f>IF($AN$11="",FALSE,SUMPRODUCT(('Final Calculation Sheet'!$E$4:$E$40=$AN$11)*($GS$6:$GS$42=1))&gt;0)</f>
        <v/>
      </c>
      <c r="GU11">
        <f>$GU$10+--($GT11)</f>
        <v/>
      </c>
      <c r="GV11">
        <f>IF(ROW()-3&gt;MAX($GU$4:$GU$40),"",INDEX($AN$4:$AN$40,MATCH(ROW()-3,$GU$4:$GU$40,0)))</f>
        <v/>
      </c>
      <c r="GW11">
        <f>IF(COUNTIF('Live Search'!BM$10:BS$10,0)+COUNTIF('Live Search'!BU$10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GX11">
        <f>IF($AS$11="",FALSE,SUMPRODUCT(('Final Calculation Sheet'!$C$4:$C$40=$AS$11)*($GW$6:$GW$42=1))&gt;0)</f>
        <v/>
      </c>
      <c r="GY11">
        <f>$GY$10+--($GX11)</f>
        <v/>
      </c>
      <c r="GZ11">
        <f>IF(ROW()-3&gt;MAX($GY$4:$GY$40),"",INDEX($AS$4:$AS$40,MATCH(ROW()-3,$GY$4:$GY$40,0)))</f>
        <v/>
      </c>
      <c r="HA11">
        <f>IF(COUNTIF('Live Search'!BM$10:BT$10,0)+COUNTIF('Live Search'!BV$10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HB11">
        <f>IF($AX$11="",FALSE,SUMPRODUCT(('Final Calculation Sheet'!$H$4:$H$40=$AX$11)*($HA$6:$HA$42=1))&gt;0)</f>
        <v/>
      </c>
      <c r="HC11">
        <f>$HC$10+--($HB11)</f>
        <v/>
      </c>
      <c r="HD11">
        <f>IF(ROW()-3&gt;MAX($HC$4:$HC$40),"",INDEX($AX$4:$AX$40,MATCH(ROW()-3,$HC$4:$HC$40,0)))</f>
        <v/>
      </c>
      <c r="HE11">
        <f>IF(COUNTIF('Live Search'!BM$10:BU$10,0)+COUNTIF('Live Search'!BW$10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HF11">
        <f>IF($BC$11="",FALSE,SUMPRODUCT(('Final Calculation Sheet'!$I$4:$I$40=$BC$11)*($HE$6:$HE$42=1))&gt;0)</f>
        <v/>
      </c>
      <c r="HG11">
        <f>$HG$10+--($HF11)</f>
        <v/>
      </c>
      <c r="HH11">
        <f>IF(ROW()-3&gt;MAX($HG$4:$HG$40),"",INDEX($BC$4:$BC$40,MATCH(ROW()-3,$HG$4:$HG$40,0)))</f>
        <v/>
      </c>
      <c r="HI11">
        <f>IF(COUNTIF('Live Search'!BM$10:BV$10,0)+COUNTIF('Live Search'!BX$10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HJ11">
        <f>IF($BH$11="",FALSE,SUMPRODUCT(('Final Calculation Sheet'!$J$4:$J$40=$BH$11)*($HI$6:$HI$42=1))&gt;0)</f>
        <v/>
      </c>
      <c r="HK11">
        <f>$HK$10+--($HJ11)</f>
        <v/>
      </c>
      <c r="HL11">
        <f>IF(ROW()-3&gt;MAX($HK$4:$HK$40),"",INDEX($BH$4:$BH$40,MATCH(ROW()-3,$HK$4:$HK$40,0)))</f>
        <v/>
      </c>
      <c r="HM11">
        <f>IF(COUNTIF('Live Search'!BM$10:BW$10,0)+COUNTIF('Live Search'!BY$10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HN11">
        <f>IF($BM$11="",FALSE,SUMPRODUCT(('Final Calculation Sheet'!$K$4:$K$40=$BM$11)*($HM$6:$HM$42=1))&gt;0)</f>
        <v/>
      </c>
      <c r="HO11">
        <f>$HO$10+--($HN11)</f>
        <v/>
      </c>
      <c r="HP11">
        <f>IF(ROW()-3&gt;MAX($HO$4:$HO$40),"",INDEX($BM$4:$BM$40,MATCH(ROW()-3,$HO$4:$HO$40,0)))</f>
        <v/>
      </c>
      <c r="HQ11">
        <f>IF(COUNTIF('Live Search'!BM$10:BX$10,0)+COUNTIF('Live Search'!BZ$10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HR11">
        <f>IF($BR$11="",FALSE,SUMPRODUCT(('Final Calculation Sheet'!$L$4:$L$40=$BR$11)*($HQ$6:$HQ$42=1))&gt;0)</f>
        <v/>
      </c>
      <c r="HS11">
        <f>$HS$10+--($HR11)</f>
        <v/>
      </c>
      <c r="HT11">
        <f>IF(ROW()-3&gt;MAX($HS$4:$HS$40),"",INDEX($BR$4:$BR$40,MATCH(ROW()-3,$HS$4:$HS$40,0)))</f>
        <v/>
      </c>
      <c r="HU11">
        <f>IF(COUNTIF('Live Search'!BM$10:BY$10,0)+COUNTIF('Live Search'!CA$10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HV11">
        <f>IF($BW$11="",FALSE,SUMPRODUCT(('Final Calculation Sheet'!$M$4:$M$40=$BW$11)*($HU$6:$HU$42=1))&gt;0)</f>
        <v/>
      </c>
      <c r="HW11">
        <f>$HW$10+--($HV11)</f>
        <v/>
      </c>
      <c r="HX11">
        <f>IF(ROW()-3&gt;MAX($HW$4:$HW$40),"",INDEX($BW$4:$BW$40,MATCH(ROW()-3,$HW$4:$HW$40,0)))</f>
        <v/>
      </c>
      <c r="HY11">
        <f>IF(COUNTIF('Live Search'!BM$10:BZ$10,0)+COUNTIF('Live Search'!CB$10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HZ11">
        <f>IF($CB$11="",FALSE,SUMPRODUCT(('Final Calculation Sheet'!$N$4:$N$40=$CB$11)*($HY$6:$HY$42=1))&gt;0)</f>
        <v/>
      </c>
      <c r="IA11">
        <f>$IA$10+--($HZ11)</f>
        <v/>
      </c>
      <c r="IB11">
        <f>IF(ROW()-3&gt;MAX($IA$4:$IA$40),"",INDEX($CB$4:$CB$40,MATCH(ROW()-3,$IA$4:$IA$40,0)))</f>
        <v/>
      </c>
      <c r="IC11">
        <f>IF(COUNTIF('Live Search'!BM$10:CA$10,0)+COUNTIF('Live Search'!CC$10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ID11">
        <f>IF($CG$11="",FALSE,SUMPRODUCT(('Final Calculation Sheet'!$O$4:$O$40=$CG$11)*($IC$6:$IC$42=1))&gt;0)</f>
        <v/>
      </c>
      <c r="IE11">
        <f>$IE$10+--($ID11)</f>
        <v/>
      </c>
      <c r="IF11">
        <f>IF(ROW()-3&gt;MAX($IE$4:$IE$40),"",INDEX($CG$4:$CG$40,MATCH(ROW()-3,$IE$4:$IE$40,0)))</f>
        <v/>
      </c>
      <c r="IG11">
        <f>IF(COUNTIF('Live Search'!BM$10:CB$10,0)+COUNTIF('Live Search'!CD$10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IH11">
        <f>IF($CL$11="",FALSE,SUMPRODUCT(('Final Calculation Sheet'!$P$4:$P$40=$CL$11)*($IG$6:$IG$42=1))&gt;0)</f>
        <v/>
      </c>
      <c r="II11">
        <f>$II$10+--($IH11)</f>
        <v/>
      </c>
      <c r="IJ11">
        <f>IF(ROW()-3&gt;MAX($II$4:$II$40),"",INDEX($CL$4:$CL$40,MATCH(ROW()-3,$II$4:$II$40,0)))</f>
        <v/>
      </c>
      <c r="IK11">
        <f>IF(COUNTIF('Live Search'!BM$10:CC$10,0)+COUNTIF('Live Search'!CE$10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IL11">
        <f>IF($CQ$11="",FALSE,SUMPRODUCT(('Final Calculation Sheet'!$Q$4:$Q$40=$CQ$11)*($IK$6:$IK$42=1))&gt;0)</f>
        <v/>
      </c>
      <c r="IM11">
        <f>$IM$10+--($IL11)</f>
        <v/>
      </c>
      <c r="IN11">
        <f>IF(ROW()-3&gt;MAX($IM$4:$IM$40),"",INDEX($CQ$4:$CQ$40,MATCH(ROW()-3,$IM$4:$IM$40,0)))</f>
        <v/>
      </c>
      <c r="IO11">
        <f>IF(COUNTIF('Live Search'!BM$10:CD$10,0)+COUNTIF('Live Search'!CF$10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IP11">
        <f>IF($CV$11="",FALSE,SUMPRODUCT(('Final Calculation Sheet'!$R$4:$R$40=$CV$11)*($IO$6:$IO$42=1))&gt;0)</f>
        <v/>
      </c>
      <c r="IQ11">
        <f>$IQ$10+--($IP11)</f>
        <v/>
      </c>
      <c r="IR11">
        <f>IF(ROW()-3&gt;MAX($IQ$4:$IQ$40),"",INDEX($CV$4:$CV$40,MATCH(ROW()-3,$IQ$4:$IQ$40,0)))</f>
        <v/>
      </c>
      <c r="IS11">
        <f>IF(COUNTIF('Live Search'!BM$10:CE$10,0)+COUNTIF('Live Search'!CG$10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IT11">
        <f>IF($DA$11="",FALSE,SUMPRODUCT(('Final Calculation Sheet'!$S$4:$S$40=$DA$11)*($IS$6:$IS$42=1))&gt;0)</f>
        <v/>
      </c>
      <c r="IU11">
        <f>$IU$10+--($IT11)</f>
        <v/>
      </c>
      <c r="IV11">
        <f>IF(ROW()-3&gt;MAX($IU$4:$IU$40),"",INDEX($DA$4:$DA$40,MATCH(ROW()-3,$IU$4:$IU$40,0)))</f>
        <v/>
      </c>
      <c r="IW11">
        <f>IF(COUNTIF('Live Search'!BM$10:CF$10,0)+COUNTIF('Live Search'!CH$10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IX11">
        <f>IF($DF$11="",FALSE,SUMPRODUCT(('Final Calculation Sheet'!$T$4:$T$40=$DF$11)*($IW$6:$IW$42=1))&gt;0)</f>
        <v/>
      </c>
      <c r="IY11">
        <f>$IY$10+--($IX11)</f>
        <v/>
      </c>
      <c r="IZ11">
        <f>IF(ROW()-3&gt;MAX($IY$4:$IY$40),"",INDEX($DF$4:$DF$40,MATCH(ROW()-3,$IY$4:$IY$40,0)))</f>
        <v/>
      </c>
      <c r="JA11">
        <f>IF(COUNTIF('Live Search'!BM$10:CG$10,0)+COUNTIF('Live Search'!CI$10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JB11">
        <f>IF($DK$11="",FALSE,SUMPRODUCT(('Final Calculation Sheet'!$U$4:$U$40=$DK$11)*($JA$6:$JA$42=1))&gt;0)</f>
        <v/>
      </c>
      <c r="JC11">
        <f>$JC$10+--($JB11)</f>
        <v/>
      </c>
      <c r="JD11">
        <f>IF(ROW()-3&gt;MAX($JC$4:$JC$40),"",INDEX($DK$4:$DK$40,MATCH(ROW()-3,$JC$4:$JC$40,0)))</f>
        <v/>
      </c>
      <c r="JE11">
        <f>IF(COUNTIF('Live Search'!BM$10:CH$10,0)+COUNTIF('Live Search'!CJ$10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JF11">
        <f>IF($DP$11="",FALSE,SUMPRODUCT(('Final Calculation Sheet'!$V$4:$V$40=$DP$11)*($JE$6:$JE$42=1))&gt;0)</f>
        <v/>
      </c>
      <c r="JG11">
        <f>$JG$10+--($JF11)</f>
        <v/>
      </c>
      <c r="JH11">
        <f>IF(ROW()-3&gt;MAX($JG$4:$JG$40),"",INDEX($DP$4:$DP$40,MATCH(ROW()-3,$JG$4:$JG$40,0)))</f>
        <v/>
      </c>
      <c r="JI11">
        <f>IF(COUNTIF('Live Search'!BM$10:CI$10,0)+COUNTIF('Live Search'!CK$10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JJ11">
        <f>IF($DU$11="",FALSE,SUMPRODUCT(('Final Calculation Sheet'!$W$4:$W$40=$DU$11)*($JI$6:$JI$42=1))&gt;0)</f>
        <v/>
      </c>
      <c r="JK11">
        <f>$JK$10+--($JJ11)</f>
        <v/>
      </c>
      <c r="JL11">
        <f>IF(ROW()-3&gt;MAX($JK$4:$JK$40),"",INDEX($DU$4:$DU$40,MATCH(ROW()-3,$JK$4:$JK$40,0)))</f>
        <v/>
      </c>
      <c r="JM11">
        <f>IF(COUNTIF('Live Search'!BM$10:CJ$10,0)+COUNTIF('Live Search'!CL$10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JN11">
        <f>IF($DZ$11="",FALSE,SUMPRODUCT(('Final Calculation Sheet'!$X$4:$X$40=$DZ$11)*($JM$6:$JM$42=1))&gt;0)</f>
        <v/>
      </c>
      <c r="JO11">
        <f>$JO$10+--($JN11)</f>
        <v/>
      </c>
      <c r="JP11">
        <f>IF(ROW()-3&gt;MAX($JO$4:$JO$40),"",INDEX($DZ$4:$DZ$40,MATCH(ROW()-3,$JO$4:$JO$40,0)))</f>
        <v/>
      </c>
      <c r="JQ11">
        <f>IF(COUNTIF('Live Search'!BM$10:CK$10,0)+COUNTIF('Live Search'!CM$10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JR11">
        <f>IF($EE$11="",FALSE,SUMPRODUCT(('Final Calculation Sheet'!$Y$4:$Y$40=$EE$11)*($JQ$6:$JQ$42=1))&gt;0)</f>
        <v/>
      </c>
      <c r="JS11">
        <f>$JS$10+--($JR11)</f>
        <v/>
      </c>
      <c r="JT11">
        <f>IF(ROW()-3&gt;MAX($JS$4:$JS$40),"",INDEX($EE$4:$EE$40,MATCH(ROW()-3,$JS$4:$JS$40,0)))</f>
        <v/>
      </c>
      <c r="JU11">
        <f>IF(COUNTIF('Live Search'!BM$10:CL$10,0)+COUNTIF('Live Search'!CN$10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JV11">
        <f>IF($EJ$11="",FALSE,SUMPRODUCT(('Final Calculation Sheet'!$Z$4:$Z$40=$EJ$11)*($JU$6:$JU$42=1))&gt;0)</f>
        <v/>
      </c>
      <c r="JW11">
        <f>$JW$10+--($JV11)</f>
        <v/>
      </c>
      <c r="JX11">
        <f>IF(ROW()-3&gt;MAX($JW$4:$JW$40),"",INDEX($EJ$4:$EJ$40,MATCH(ROW()-3,$JW$4:$JW$40,0)))</f>
        <v/>
      </c>
      <c r="JY11">
        <f>IF(COUNTIF('Live Search'!BM$10:CM$10,0)+COUNTIF('Live Search'!CO$10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JZ11">
        <f>IF($EO$11="",FALSE,SUMPRODUCT(('Final Calculation Sheet'!$AA$4:$AA$40=$EO$11)*($JY$6:$JY$42=1))&gt;0)</f>
        <v/>
      </c>
      <c r="KA11">
        <f>$KA$10+--($JZ11)</f>
        <v/>
      </c>
      <c r="KB11">
        <f>IF(ROW()-3&gt;MAX($KA$4:$KA$40),"",INDEX($EO$4:$EO$40,MATCH(ROW()-3,$KA$4:$KA$40,0)))</f>
        <v/>
      </c>
      <c r="KC11">
        <f>IF(COUNTIF('Live Search'!BM$10:CN$10,0)+COUNTIF('Live Search'!CP$10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KD11">
        <f>IF($ET$11="",FALSE,SUMPRODUCT(('Final Calculation Sheet'!$AB$4:$AB$40=$ET$11)*($KC$6:$KC$42=1))&gt;0)</f>
        <v/>
      </c>
      <c r="KE11">
        <f>$KE$10+--($KD11)</f>
        <v/>
      </c>
      <c r="KF11">
        <f>IF(ROW()-3&gt;MAX($KE$4:$KE$40),"",INDEX($ET$4:$ET$40,MATCH(ROW()-3,$KE$4:$KE$40,0)))</f>
        <v/>
      </c>
      <c r="KG11">
        <f>IF(COUNTIF('Live Search'!BM$10:CO$10,0)+COUNTIF('Live Search'!CQ$10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KH11">
        <f>IF($EY$11="",FALSE,SUMPRODUCT(('Final Calculation Sheet'!$AC$4:$AC$40=$EY$11)*($KG$6:$KG$42=1))&gt;0)</f>
        <v/>
      </c>
      <c r="KI11">
        <f>$KI$10+--($KH11)</f>
        <v/>
      </c>
      <c r="KJ11">
        <f>IF(ROW()-3&gt;MAX($KI$4:$KI$40),"",INDEX($EY$4:$EY$40,MATCH(ROW()-3,$KI$4:$KI$40,0)))</f>
        <v/>
      </c>
      <c r="KK11">
        <f>IF(COUNTIF('Live Search'!BM$10:CP$10,0)+COUNTIF('Live Search'!CR$10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KL11">
        <f>IF($FD$11="",FALSE,SUMPRODUCT(('Final Calculation Sheet'!$AD$4:$AD$40=$FD$11)*($KK$6:$KK$42=1))&gt;0)</f>
        <v/>
      </c>
      <c r="KM11">
        <f>$KM$10+--($KL11)</f>
        <v/>
      </c>
      <c r="KN11">
        <f>IF(ROW()-3&gt;MAX($KM$4:$KM$40),"",INDEX($FD$4:$FD$40,MATCH(ROW()-3,$KM$4:$KM$40,0)))</f>
        <v/>
      </c>
      <c r="KO11">
        <f>IF(COUNTIF('Live Search'!BM$10:CT$10,0)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KP11">
        <f>IF($FX$11="",FALSE,SUMPRODUCT((IF('Final Calculation Sheet'!$AD$4:$AD$40&lt;=5,"SETTLED","OUTSTANDING")=$FX$11)*($KO$6:$KO$42=1))&gt;0)</f>
        <v/>
      </c>
      <c r="KQ11">
        <f>$KQ$10+--($KP11)</f>
        <v/>
      </c>
      <c r="KR11">
        <f>IF(ROW()-3&gt;MAX($KQ$4:$KQ$40),"",INDEX($FX$4:$FX$40,MATCH(ROW()-3,$KQ$4:$KQ$40,0)))</f>
        <v/>
      </c>
      <c r="KS11">
        <f>IF(COUNTIF('Live Search'!BM$10:CQ$10,0)+COUNTIF('Live Search'!CS$10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KT11">
        <f>IF($FI$11="",FALSE,SUMPRODUCT(('Final Calculation Sheet'!$AF$4:$AF$40=$FI$11)*($KS$6:$KS$42=1))&gt;0)</f>
        <v/>
      </c>
      <c r="KU11">
        <f>$KU$10+--($KT11)</f>
        <v/>
      </c>
      <c r="KV11">
        <f>IF(ROW()-3&gt;MAX($KU$4:$KU$40),"",INDEX($FI$4:$FI$40,MATCH(ROW()-3,$KU$4:$KU$40,0)))</f>
        <v/>
      </c>
      <c r="KW11">
        <f>IF(COUNTIF('Live Search'!BM$10:CR$10,0)+COUNTIF('Live Search'!CT$10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KX11">
        <f>IF($FN$11="",FALSE,SUMPRODUCT(('Final Calculation Sheet'!$AG$4:$AG$40=$FN$11)*($KW$6:$KW$42=1))&gt;0)</f>
        <v/>
      </c>
      <c r="KY11">
        <f>$KY$10+--($KX11)</f>
        <v/>
      </c>
      <c r="KZ11">
        <f>IF(ROW()-3&gt;MAX($KY$4:$KY$40),"",INDEX($FN$4:$FN$40,MATCH(ROW()-3,$KY$4:$KY$40,0)))</f>
        <v/>
      </c>
      <c r="LA11">
        <f>IF(COUNTIF('Live Search'!BM$10:CS$10,0)+COUNTIF('Live Search'!CU$10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LB11">
        <f>IF($FS$11="",FALSE,SUMPRODUCT(('Final Calculation Sheet'!$AH$4:$AH$40=$FS$11)*($LA$6:$LA$42=1))&gt;0)</f>
        <v/>
      </c>
      <c r="LC11">
        <f>$LC$10+--($LB11)</f>
        <v/>
      </c>
      <c r="LD11">
        <f>IF(ROW()-3&gt;MAX($LC$4:$LC$40),"",INDEX($FS$4:$FS$40,MATCH(ROW()-3,$LC$4:$LC$40,0)))</f>
        <v/>
      </c>
      <c r="LE11">
        <f>IF(COUNTIF('Buyer Groups'!DH64:EN64,0)&gt;0,0,1)</f>
        <v/>
      </c>
      <c r="LF11">
        <f>IF($O$11="",FALSE,SUMPRODUCT(('Final Calculation Sheet'!$F$4:$F$40=$O$11)*($LE$6:$LE$42=1))&gt;0)</f>
        <v/>
      </c>
      <c r="LG11">
        <f>$LG$10+--($LF11)</f>
        <v/>
      </c>
      <c r="LH11">
        <f>IF(ROW()-3&gt;MAX($LG$4:$LG$40),"",INDEX($O$4:$O$40,MATCH(ROW()-3,$LG$4:$LG$40,0)))</f>
        <v/>
      </c>
      <c r="LI11">
        <f>IF(COUNTIF('Buyer Groups'!DG64:DG64,0)+COUNTIF('Buyer Groups'!DI64:EN64,0)&gt;0,0,1)</f>
        <v/>
      </c>
      <c r="LJ11">
        <f>IF($T$11="",FALSE,SUMPRODUCT(('Final Calculation Sheet'!$G$4:$G$40=$T$11)*($LI$6:$LI$42=1))&gt;0)</f>
        <v/>
      </c>
      <c r="LK11">
        <f>$LK$10+--($LJ11)</f>
        <v/>
      </c>
      <c r="LL11">
        <f>IF(ROW()-3&gt;MAX($LK$4:$LK$40),"",INDEX($T$4:$T$40,MATCH(ROW()-3,$LK$4:$LK$40,0)))</f>
        <v/>
      </c>
      <c r="LM11">
        <f>IF(COUNTIF('Buyer Groups'!DG64:DH64,0)+COUNTIF('Buyer Groups'!DJ64:EN64,0)&gt;0,0,1)</f>
        <v/>
      </c>
      <c r="LN11">
        <f>IF($Y$11="",FALSE,SUMPRODUCT(('Final Calculation Sheet'!$B$4:$B$40=$Y$11)*($LM$6:$LM$42=1))&gt;0)</f>
        <v/>
      </c>
      <c r="LO11">
        <f>$LO$10+--($LN11)</f>
        <v/>
      </c>
      <c r="LP11">
        <f>IF(ROW()-3&gt;MAX($LO$4:$LO$40),"",INDEX($Y$4:$Y$40,MATCH(ROW()-3,$LO$4:$LO$40,0)))</f>
        <v/>
      </c>
      <c r="LQ11">
        <f>IF(COUNTIF('Buyer Groups'!DG64:DI64,0)+COUNTIF('Buyer Groups'!DK64:EN64,0)&gt;0,0,1)</f>
        <v/>
      </c>
      <c r="LR11">
        <f>IF($AD$11="",FALSE,SUMPRODUCT(('Final Calculation Sheet'!$D$4:$D$40=$AD$11)*($LQ$6:$LQ$42=1))&gt;0)</f>
        <v/>
      </c>
      <c r="LS11">
        <f>$LS$10+--($LR11)</f>
        <v/>
      </c>
      <c r="LT11">
        <f>IF(ROW()-3&gt;MAX($LS$4:$LS$40),"",INDEX($AD$4:$AD$40,MATCH(ROW()-3,$LS$4:$LS$40,0)))</f>
        <v/>
      </c>
      <c r="LU11">
        <f>IF(COUNTIF('Buyer Groups'!DG64:DJ64,0)+COUNTIF('Buyer Groups'!DL64:EN64,0)&gt;0,0,1)</f>
        <v/>
      </c>
      <c r="LV11">
        <f>IF($AI$11="",FALSE,SUMPRODUCT(('Final Calculation Sheet'!$A$4:$A$40=$AI$11)*($LU$6:$LU$42=1))&gt;0)</f>
        <v/>
      </c>
      <c r="LW11">
        <f>$LW$10+--($LV11)</f>
        <v/>
      </c>
      <c r="LX11">
        <f>IF(ROW()-3&gt;MAX($LW$4:$LW$40),"",INDEX($AI$4:$AI$40,MATCH(ROW()-3,$LW$4:$LW$40,0)))</f>
        <v/>
      </c>
      <c r="LY11">
        <f>IF(COUNTIF('Buyer Groups'!DG64:DK64,0)+COUNTIF('Buyer Groups'!DM64:EN64,0)&gt;0,0,1)</f>
        <v/>
      </c>
      <c r="LZ11">
        <f>IF($AN$11="",FALSE,SUMPRODUCT(('Final Calculation Sheet'!$E$4:$E$40=$AN$11)*($LY$6:$LY$42=1))&gt;0)</f>
        <v/>
      </c>
      <c r="MA11">
        <f>$MA$10+--($LZ11)</f>
        <v/>
      </c>
      <c r="MB11">
        <f>IF(ROW()-3&gt;MAX($MA$4:$MA$40),"",INDEX($AN$4:$AN$40,MATCH(ROW()-3,$MA$4:$MA$40,0)))</f>
        <v/>
      </c>
      <c r="MC11">
        <f>IF(COUNTIF('Buyer Groups'!DG64:DL64,0)+COUNTIF('Buyer Groups'!DN64:EN64,0)&gt;0,0,1)</f>
        <v/>
      </c>
      <c r="MD11">
        <f>IF($AS$11="",FALSE,SUMPRODUCT(('Final Calculation Sheet'!$C$4:$C$40=$AS$11)*($MC$6:$MC$42=1))&gt;0)</f>
        <v/>
      </c>
      <c r="ME11">
        <f>$ME$10+--($MD11)</f>
        <v/>
      </c>
      <c r="MF11">
        <f>IF(ROW()-3&gt;MAX($ME$4:$ME$40),"",INDEX($AS$4:$AS$40,MATCH(ROW()-3,$ME$4:$ME$40,0)))</f>
        <v/>
      </c>
      <c r="MG11">
        <f>IF(COUNTIF('Buyer Groups'!DG64:DM64,0)+COUNTIF('Buyer Groups'!DO64:EN64,0)&gt;0,0,1)</f>
        <v/>
      </c>
      <c r="MH11">
        <f>IF($AX$11="",FALSE,SUMPRODUCT(('Final Calculation Sheet'!$H$4:$H$40=$AX$11)*($MG$6:$MG$42=1))&gt;0)</f>
        <v/>
      </c>
      <c r="MI11">
        <f>$MI$10+--($MH11)</f>
        <v/>
      </c>
      <c r="MJ11">
        <f>IF(ROW()-3&gt;MAX($MI$4:$MI$40),"",INDEX($AX$4:$AX$40,MATCH(ROW()-3,$MI$4:$MI$40,0)))</f>
        <v/>
      </c>
      <c r="MK11">
        <f>IF(COUNTIF('Buyer Groups'!DG64:DN64,0)+COUNTIF('Buyer Groups'!DP64:EN64,0)&gt;0,0,1)</f>
        <v/>
      </c>
      <c r="ML11">
        <f>IF($BC$11="",FALSE,SUMPRODUCT(('Final Calculation Sheet'!$I$4:$I$40=$BC$11)*($MK$6:$MK$42=1))&gt;0)</f>
        <v/>
      </c>
      <c r="MM11">
        <f>$MM$10+--($ML11)</f>
        <v/>
      </c>
      <c r="MN11">
        <f>IF(ROW()-3&gt;MAX($MM$4:$MM$40),"",INDEX($BC$4:$BC$40,MATCH(ROW()-3,$MM$4:$MM$40,0)))</f>
        <v/>
      </c>
      <c r="MO11">
        <f>IF(COUNTIF('Buyer Groups'!DG64:DO64,0)+COUNTIF('Buyer Groups'!DQ64:EN64,0)&gt;0,0,1)</f>
        <v/>
      </c>
      <c r="MP11">
        <f>IF($BH$11="",FALSE,SUMPRODUCT(('Final Calculation Sheet'!$J$4:$J$40=$BH$11)*($MO$6:$MO$42=1))&gt;0)</f>
        <v/>
      </c>
      <c r="MQ11">
        <f>$MQ$10+--($MP11)</f>
        <v/>
      </c>
      <c r="MR11">
        <f>IF(ROW()-3&gt;MAX($MQ$4:$MQ$40),"",INDEX($BH$4:$BH$40,MATCH(ROW()-3,$MQ$4:$MQ$40,0)))</f>
        <v/>
      </c>
      <c r="MS11">
        <f>IF(COUNTIF('Buyer Groups'!DG64:DP64,0)+COUNTIF('Buyer Groups'!DR64:EN64,0)&gt;0,0,1)</f>
        <v/>
      </c>
      <c r="MT11">
        <f>IF($BM$11="",FALSE,SUMPRODUCT(('Final Calculation Sheet'!$K$4:$K$40=$BM$11)*($MS$6:$MS$42=1))&gt;0)</f>
        <v/>
      </c>
      <c r="MU11">
        <f>$MU$10+--($MT11)</f>
        <v/>
      </c>
      <c r="MV11">
        <f>IF(ROW()-3&gt;MAX($MU$4:$MU$40),"",INDEX($BM$4:$BM$40,MATCH(ROW()-3,$MU$4:$MU$40,0)))</f>
        <v/>
      </c>
      <c r="MW11">
        <f>IF(COUNTIF('Buyer Groups'!DG64:DQ64,0)+COUNTIF('Buyer Groups'!DS64:EN64,0)&gt;0,0,1)</f>
        <v/>
      </c>
      <c r="MX11">
        <f>IF($BR$11="",FALSE,SUMPRODUCT(('Final Calculation Sheet'!$L$4:$L$40=$BR$11)*($MW$6:$MW$42=1))&gt;0)</f>
        <v/>
      </c>
      <c r="MY11">
        <f>$MY$10+--($MX11)</f>
        <v/>
      </c>
      <c r="MZ11">
        <f>IF(ROW()-3&gt;MAX($MY$4:$MY$40),"",INDEX($BR$4:$BR$40,MATCH(ROW()-3,$MY$4:$MY$40,0)))</f>
        <v/>
      </c>
      <c r="NA11">
        <f>IF(COUNTIF('Buyer Groups'!DG64:DR64,0)+COUNTIF('Buyer Groups'!DT64:EN64,0)&gt;0,0,1)</f>
        <v/>
      </c>
      <c r="NB11">
        <f>IF($BW$11="",FALSE,SUMPRODUCT(('Final Calculation Sheet'!$M$4:$M$40=$BW$11)*($NA$6:$NA$42=1))&gt;0)</f>
        <v/>
      </c>
      <c r="NC11">
        <f>$NC$10+--($NB11)</f>
        <v/>
      </c>
      <c r="ND11">
        <f>IF(ROW()-3&gt;MAX($NC$4:$NC$40),"",INDEX($BW$4:$BW$40,MATCH(ROW()-3,$NC$4:$NC$40,0)))</f>
        <v/>
      </c>
      <c r="NE11">
        <f>IF(COUNTIF('Buyer Groups'!DG64:DS64,0)+COUNTIF('Buyer Groups'!DU64:EN64,0)&gt;0,0,1)</f>
        <v/>
      </c>
      <c r="NF11">
        <f>IF($CB$11="",FALSE,SUMPRODUCT(('Final Calculation Sheet'!$N$4:$N$40=$CB$11)*($NE$6:$NE$42=1))&gt;0)</f>
        <v/>
      </c>
      <c r="NG11">
        <f>$NG$10+--($NF11)</f>
        <v/>
      </c>
      <c r="NH11">
        <f>IF(ROW()-3&gt;MAX($NG$4:$NG$40),"",INDEX($CB$4:$CB$40,MATCH(ROW()-3,$NG$4:$NG$40,0)))</f>
        <v/>
      </c>
      <c r="NI11">
        <f>IF(COUNTIF('Buyer Groups'!DG64:DT64,0)+COUNTIF('Buyer Groups'!DV64:EN64,0)&gt;0,0,1)</f>
        <v/>
      </c>
      <c r="NJ11">
        <f>IF($CG$11="",FALSE,SUMPRODUCT(('Final Calculation Sheet'!$O$4:$O$40=$CG$11)*($NI$6:$NI$42=1))&gt;0)</f>
        <v/>
      </c>
      <c r="NK11">
        <f>$NK$10+--($NJ11)</f>
        <v/>
      </c>
      <c r="NL11">
        <f>IF(ROW()-3&gt;MAX($NK$4:$NK$40),"",INDEX($CG$4:$CG$40,MATCH(ROW()-3,$NK$4:$NK$40,0)))</f>
        <v/>
      </c>
      <c r="NM11">
        <f>IF(COUNTIF('Buyer Groups'!DG64:DU64,0)+COUNTIF('Buyer Groups'!DW64:EN64,0)&gt;0,0,1)</f>
        <v/>
      </c>
      <c r="NN11">
        <f>IF($CL$11="",FALSE,SUMPRODUCT(('Final Calculation Sheet'!$P$4:$P$40=$CL$11)*($NM$6:$NM$42=1))&gt;0)</f>
        <v/>
      </c>
      <c r="NO11">
        <f>$NO$10+--($NN11)</f>
        <v/>
      </c>
      <c r="NP11">
        <f>IF(ROW()-3&gt;MAX($NO$4:$NO$40),"",INDEX($CL$4:$CL$40,MATCH(ROW()-3,$NO$4:$NO$40,0)))</f>
        <v/>
      </c>
      <c r="NQ11">
        <f>IF(COUNTIF('Buyer Groups'!DG64:DV64,0)+COUNTIF('Buyer Groups'!DX64:EN64,0)&gt;0,0,1)</f>
        <v/>
      </c>
      <c r="NR11">
        <f>IF($CQ$11="",FALSE,SUMPRODUCT(('Final Calculation Sheet'!$Q$4:$Q$40=$CQ$11)*($NQ$6:$NQ$42=1))&gt;0)</f>
        <v/>
      </c>
      <c r="NS11">
        <f>$NS$10+--($NR11)</f>
        <v/>
      </c>
      <c r="NT11">
        <f>IF(ROW()-3&gt;MAX($NS$4:$NS$40),"",INDEX($CQ$4:$CQ$40,MATCH(ROW()-3,$NS$4:$NS$40,0)))</f>
        <v/>
      </c>
      <c r="NU11">
        <f>IF(COUNTIF('Buyer Groups'!DG64:DW64,0)+COUNTIF('Buyer Groups'!DY64:EN64,0)&gt;0,0,1)</f>
        <v/>
      </c>
      <c r="NV11">
        <f>IF($CV$11="",FALSE,SUMPRODUCT(('Final Calculation Sheet'!$R$4:$R$40=$CV$11)*($NU$6:$NU$42=1))&gt;0)</f>
        <v/>
      </c>
      <c r="NW11">
        <f>$NW$10+--($NV11)</f>
        <v/>
      </c>
      <c r="NX11">
        <f>IF(ROW()-3&gt;MAX($NW$4:$NW$40),"",INDEX($CV$4:$CV$40,MATCH(ROW()-3,$NW$4:$NW$40,0)))</f>
        <v/>
      </c>
      <c r="NY11">
        <f>IF(COUNTIF('Buyer Groups'!DG64:DX64,0)+COUNTIF('Buyer Groups'!DZ64:EN64,0)&gt;0,0,1)</f>
        <v/>
      </c>
      <c r="NZ11">
        <f>IF($DA$11="",FALSE,SUMPRODUCT(('Final Calculation Sheet'!$S$4:$S$40=$DA$11)*($NY$6:$NY$42=1))&gt;0)</f>
        <v/>
      </c>
      <c r="OA11">
        <f>$OA$10+--($NZ11)</f>
        <v/>
      </c>
      <c r="OB11">
        <f>IF(ROW()-3&gt;MAX($OA$4:$OA$40),"",INDEX($DA$4:$DA$40,MATCH(ROW()-3,$OA$4:$OA$40,0)))</f>
        <v/>
      </c>
      <c r="OC11">
        <f>IF(COUNTIF('Buyer Groups'!DG64:DY64,0)+COUNTIF('Buyer Groups'!EA64:EN64,0)&gt;0,0,1)</f>
        <v/>
      </c>
      <c r="OD11">
        <f>IF($DF$11="",FALSE,SUMPRODUCT(('Final Calculation Sheet'!$T$4:$T$40=$DF$11)*($OC$6:$OC$42=1))&gt;0)</f>
        <v/>
      </c>
      <c r="OE11">
        <f>$OE$10+--($OD11)</f>
        <v/>
      </c>
      <c r="OF11">
        <f>IF(ROW()-3&gt;MAX($OE$4:$OE$40),"",INDEX($DF$4:$DF$40,MATCH(ROW()-3,$OE$4:$OE$40,0)))</f>
        <v/>
      </c>
      <c r="OG11">
        <f>IF(COUNTIF('Buyer Groups'!DG64:DZ64,0)+COUNTIF('Buyer Groups'!EB64:EN64,0)&gt;0,0,1)</f>
        <v/>
      </c>
      <c r="OH11">
        <f>IF($DK$11="",FALSE,SUMPRODUCT(('Final Calculation Sheet'!$U$4:$U$40=$DK$11)*($OG$6:$OG$42=1))&gt;0)</f>
        <v/>
      </c>
      <c r="OI11">
        <f>$OI$10+--($OH11)</f>
        <v/>
      </c>
      <c r="OJ11">
        <f>IF(ROW()-3&gt;MAX($OI$4:$OI$40),"",INDEX($DK$4:$DK$40,MATCH(ROW()-3,$OI$4:$OI$40,0)))</f>
        <v/>
      </c>
      <c r="OK11">
        <f>IF(COUNTIF('Buyer Groups'!DG64:EA64,0)+COUNTIF('Buyer Groups'!EC64:EN64,0)&gt;0,0,1)</f>
        <v/>
      </c>
      <c r="OL11">
        <f>IF($DP$11="",FALSE,SUMPRODUCT(('Final Calculation Sheet'!$V$4:$V$40=$DP$11)*($OK$6:$OK$42=1))&gt;0)</f>
        <v/>
      </c>
      <c r="OM11">
        <f>$OM$10+--($OL11)</f>
        <v/>
      </c>
      <c r="ON11">
        <f>IF(ROW()-3&gt;MAX($OM$4:$OM$40),"",INDEX($DP$4:$DP$40,MATCH(ROW()-3,$OM$4:$OM$40,0)))</f>
        <v/>
      </c>
      <c r="OO11">
        <f>IF(COUNTIF('Buyer Groups'!DG64:EB64,0)+COUNTIF('Buyer Groups'!ED64:EN64,0)&gt;0,0,1)</f>
        <v/>
      </c>
      <c r="OP11">
        <f>IF($DU$11="",FALSE,SUMPRODUCT(('Final Calculation Sheet'!$W$4:$W$40=$DU$11)*($OO$6:$OO$42=1))&gt;0)</f>
        <v/>
      </c>
      <c r="OQ11">
        <f>$OQ$10+--($OP11)</f>
        <v/>
      </c>
      <c r="OR11">
        <f>IF(ROW()-3&gt;MAX($OQ$4:$OQ$40),"",INDEX($DU$4:$DU$40,MATCH(ROW()-3,$OQ$4:$OQ$40,0)))</f>
        <v/>
      </c>
      <c r="OS11">
        <f>IF(COUNTIF('Buyer Groups'!DG64:EC64,0)+COUNTIF('Buyer Groups'!EE64:EN64,0)&gt;0,0,1)</f>
        <v/>
      </c>
      <c r="OT11">
        <f>IF($DZ$11="",FALSE,SUMPRODUCT(('Final Calculation Sheet'!$X$4:$X$40=$DZ$11)*($OS$6:$OS$42=1))&gt;0)</f>
        <v/>
      </c>
      <c r="OU11">
        <f>$OU$10+--($OT11)</f>
        <v/>
      </c>
      <c r="OV11">
        <f>IF(ROW()-3&gt;MAX($OU$4:$OU$40),"",INDEX($DZ$4:$DZ$40,MATCH(ROW()-3,$OU$4:$OU$40,0)))</f>
        <v/>
      </c>
      <c r="OW11">
        <f>IF(COUNTIF('Buyer Groups'!DG64:ED64,0)+COUNTIF('Buyer Groups'!EF64:EN64,0)&gt;0,0,1)</f>
        <v/>
      </c>
      <c r="OX11">
        <f>IF($EE$11="",FALSE,SUMPRODUCT(('Final Calculation Sheet'!$Y$4:$Y$40=$EE$11)*($OW$6:$OW$42=1))&gt;0)</f>
        <v/>
      </c>
      <c r="OY11">
        <f>$OY$10+--($OX11)</f>
        <v/>
      </c>
      <c r="OZ11">
        <f>IF(ROW()-3&gt;MAX($OY$4:$OY$40),"",INDEX($EE$4:$EE$40,MATCH(ROW()-3,$OY$4:$OY$40,0)))</f>
        <v/>
      </c>
      <c r="PA11">
        <f>IF(COUNTIF('Buyer Groups'!DG64:EE64,0)+COUNTIF('Buyer Groups'!EG64:EN64,0)&gt;0,0,1)</f>
        <v/>
      </c>
      <c r="PB11">
        <f>IF($EJ$11="",FALSE,SUMPRODUCT(('Final Calculation Sheet'!$Z$4:$Z$40=$EJ$11)*($PA$6:$PA$42=1))&gt;0)</f>
        <v/>
      </c>
      <c r="PC11">
        <f>$PC$10+--($PB11)</f>
        <v/>
      </c>
      <c r="PD11">
        <f>IF(ROW()-3&gt;MAX($PC$4:$PC$40),"",INDEX($EJ$4:$EJ$40,MATCH(ROW()-3,$PC$4:$PC$40,0)))</f>
        <v/>
      </c>
      <c r="PE11">
        <f>IF(COUNTIF('Buyer Groups'!DG64:EF64,0)+COUNTIF('Buyer Groups'!EH64:EN64,0)&gt;0,0,1)</f>
        <v/>
      </c>
      <c r="PF11">
        <f>IF($EO$11="",FALSE,SUMPRODUCT(('Final Calculation Sheet'!$AA$4:$AA$40=$EO$11)*($PE$6:$PE$42=1))&gt;0)</f>
        <v/>
      </c>
      <c r="PG11">
        <f>$PG$10+--($PF11)</f>
        <v/>
      </c>
      <c r="PH11">
        <f>IF(ROW()-3&gt;MAX($PG$4:$PG$40),"",INDEX($EO$4:$EO$40,MATCH(ROW()-3,$PG$4:$PG$40,0)))</f>
        <v/>
      </c>
      <c r="PI11">
        <f>IF(COUNTIF('Buyer Groups'!DG64:EG64,0)+COUNTIF('Buyer Groups'!EI64:EN64,0)&gt;0,0,1)</f>
        <v/>
      </c>
      <c r="PJ11">
        <f>IF($ET$11="",FALSE,SUMPRODUCT(('Final Calculation Sheet'!$AB$4:$AB$40=$ET$11)*($PI$6:$PI$42=1))&gt;0)</f>
        <v/>
      </c>
      <c r="PK11">
        <f>$PK$10+--($PJ11)</f>
        <v/>
      </c>
      <c r="PL11">
        <f>IF(ROW()-3&gt;MAX($PK$4:$PK$40),"",INDEX($ET$4:$ET$40,MATCH(ROW()-3,$PK$4:$PK$40,0)))</f>
        <v/>
      </c>
      <c r="PM11">
        <f>IF(COUNTIF('Buyer Groups'!DG64:EH64,0)+COUNTIF('Buyer Groups'!EJ64:EN64,0)&gt;0,0,1)</f>
        <v/>
      </c>
      <c r="PN11">
        <f>IF($EY$11="",FALSE,SUMPRODUCT(('Final Calculation Sheet'!$AC$4:$AC$40=$EY$11)*($PM$6:$PM$42=1))&gt;0)</f>
        <v/>
      </c>
      <c r="PO11">
        <f>$PO$10+--($PN11)</f>
        <v/>
      </c>
      <c r="PP11">
        <f>IF(ROW()-3&gt;MAX($PO$4:$PO$40),"",INDEX($EY$4:$EY$40,MATCH(ROW()-3,$PO$4:$PO$40,0)))</f>
        <v/>
      </c>
      <c r="PQ11">
        <f>IF(COUNTIF('Buyer Groups'!DG64:EI64,0)+COUNTIF('Buyer Groups'!EK64:EN64,0)&gt;0,0,1)</f>
        <v/>
      </c>
      <c r="PR11">
        <f>IF($FD$11="",FALSE,SUMPRODUCT(('Final Calculation Sheet'!$AD$4:$AD$40=$FD$11)*($PQ$6:$PQ$42=1))&gt;0)</f>
        <v/>
      </c>
      <c r="PS11">
        <f>$PS$10+--($PR11)</f>
        <v/>
      </c>
      <c r="PT11">
        <f>IF(ROW()-3&gt;MAX($PS$4:$PS$40),"",INDEX($FD$4:$FD$40,MATCH(ROW()-3,$PS$4:$PS$40,0)))</f>
        <v/>
      </c>
      <c r="PU11">
        <f>IF(COUNTIF('Buyer Groups'!DG64:EJ64,0)+COUNTIF('Buyer Groups'!EL64:EN64,0)&gt;0,0,1)</f>
        <v/>
      </c>
      <c r="PV11">
        <f>IF($FX$11="",FALSE,SUMPRODUCT((IF('Final Calculation Sheet'!$AD$4:$AD$40&lt;=5,"SETTLED","OUTSTANDING")=$FX$11)*($PU$6:$PU$42=1))&gt;0)</f>
        <v/>
      </c>
      <c r="PW11">
        <f>$PW$10+--($PV11)</f>
        <v/>
      </c>
      <c r="PX11">
        <f>IF(ROW()-3&gt;MAX($PW$4:$PW$40),"",INDEX($FX$4:$FX$40,MATCH(ROW()-3,$PW$4:$PW$40,0)))</f>
        <v/>
      </c>
      <c r="PY11">
        <f>IF(COUNTIF('Buyer Groups'!DG64:EK64,0)+COUNTIF('Buyer Groups'!EM64:EN64,0)&gt;0,0,1)</f>
        <v/>
      </c>
      <c r="PZ11">
        <f>IF($FI$11="",FALSE,SUMPRODUCT(('Final Calculation Sheet'!$AF$4:$AF$40=$FI$11)*($PY$6:$PY$42=1))&gt;0)</f>
        <v/>
      </c>
      <c r="QA11">
        <f>$QA$10+--($PZ11)</f>
        <v/>
      </c>
      <c r="QB11">
        <f>IF(ROW()-3&gt;MAX($QA$4:$QA$40),"",INDEX($FI$4:$FI$40,MATCH(ROW()-3,$QA$4:$QA$40,0)))</f>
        <v/>
      </c>
      <c r="QC11">
        <f>IF(COUNTIF('Buyer Groups'!DG64:EL64,0)+COUNTIF('Buyer Groups'!EN64:EN64,0)&gt;0,0,1)</f>
        <v/>
      </c>
      <c r="QD11">
        <f>IF($FN$11="",FALSE,SUMPRODUCT(('Final Calculation Sheet'!$AG$4:$AG$40=$FN$11)*($QC$6:$QC$42=1))&gt;0)</f>
        <v/>
      </c>
      <c r="QE11">
        <f>$QE$10+--($QD11)</f>
        <v/>
      </c>
      <c r="QF11">
        <f>IF(ROW()-3&gt;MAX($QE$4:$QE$40),"",INDEX($FN$4:$FN$40,MATCH(ROW()-3,$QE$4:$QE$40,0)))</f>
        <v/>
      </c>
      <c r="QG11">
        <f>IF(COUNTIF('Buyer Groups'!DG64:EM64,0)&gt;0,0,1)</f>
        <v/>
      </c>
      <c r="QH11">
        <f>IF($FS$11="",FALSE,SUMPRODUCT(('Final Calculation Sheet'!$AH$4:$AH$40=$FS$11)*($QG$6:$QG$42=1))&gt;0)</f>
        <v/>
      </c>
      <c r="QI11">
        <f>$QI$10+--($QH11)</f>
        <v/>
      </c>
      <c r="QJ11">
        <f>IF(ROW()-3&gt;MAX($QI$4:$QI$40),"",INDEX($FS$4:$FS$40,MATCH(ROW()-3,$QI$4:$QI$40,0)))</f>
        <v/>
      </c>
      <c r="QK11" t="str">
        <f>IF('Final Calculation Sheet'!$AH$11="","",'Final Calculation Sheet'!$AH$11)</f>
      </c>
      <c r="QL11" t="str">
        <f>IF(QK11="","",COUNTIFS(QK$4:QK$40,"&lt;"&amp;QK11,QK$4:QK$40,"&lt;&gt;"&amp;"")+COUNTIF(QK$4:QK11,QK11))</f>
      </c>
      <c r="QM11" t="str">
        <f>IF(ROW()-3&gt;COUNTIF(QK$4:QK$40,"&lt;&gt;"&amp;""),"",INDEX(QK$4:QK$40,MATCH(ROW()-3,QL$4:QL$40,0)))</f>
      </c>
      <c r="QN11" t="str">
        <f>=QN10+F(AND(QM11&lt;&gt;"",COUNTIF(QM$4:QM11,QM11)=1),1,0)</f>
      </c>
      <c r="QO11" t="str">
        <f>IF(ROW()-3&gt;MAX(QN$4:QN$40),"",INDEX(QM$4:QM$40,MATCH(ROW()-3,QN$4:QN$40,0)))</f>
      </c>
      <c r="QP11" t="str">
        <f>IF(COUNTIF('Final Calculation Sheet'!$AM11:$BS11,0)&gt;0,0,1)</f>
      </c>
      <c r="QQ11" t="str">
        <f>IF($AI$11="",FALSE,SUMPRODUCT(('Final Calculation Sheet'!$A$4:$A$40=$AI$11)*($QP$4:$QP$40=1))&gt;0)</f>
      </c>
      <c r="QR11" t="str">
        <f>=$QR10+--($QQ11)</f>
      </c>
      <c r="QS11" t="str">
        <f>IF(ROW()-3&gt;MAX($QR$4:$QR$40),"",INDEX($AI$4:$AI$40,MATCH(ROW()-3,$QR$4:$QR$40,0)))</f>
      </c>
      <c r="QT11" t="str">
        <f>IF(COUNTIF('Final Calculation Sheet'!$AL11:$AL11,0)+COUNTIF('Final Calculation Sheet'!$AN11:$BS11,0)&gt;0,0,1)</f>
      </c>
      <c r="QU11" t="str">
        <f>IF($Y$11="",FALSE,SUMPRODUCT(('Final Calculation Sheet'!$B$4:$B$40=$Y$11)*($QT$4:$QT$40=1))&gt;0)</f>
      </c>
      <c r="QV11" t="str">
        <f>=$QV10+--($QU11)</f>
      </c>
      <c r="QW11" t="str">
        <f>IF(ROW()-3&gt;MAX($QV$4:$QV$40),"",INDEX($Y$4:$Y$40,MATCH(ROW()-3,$QV$4:$QV$40,0)))</f>
      </c>
      <c r="QX11" t="str">
        <f>IF(COUNTIF('Final Calculation Sheet'!$AL11:$AM11,0)+COUNTIF('Final Calculation Sheet'!$AO11:$BS11,0)&gt;0,0,1)</f>
      </c>
      <c r="QY11" t="str">
        <f>IF($AS$11="",FALSE,SUMPRODUCT(('Final Calculation Sheet'!$C$4:$C$40=$AS$11)*($QX$4:$QX$40=1))&gt;0)</f>
      </c>
      <c r="QZ11" t="str">
        <f>=$QZ10+--($QY11)</f>
      </c>
      <c r="RA11" t="str">
        <f>IF(ROW()-3&gt;MAX($QZ$4:$QZ$40),"",INDEX($AS$4:$AS$40,MATCH(ROW()-3,$QZ$4:$QZ$40,0)))</f>
      </c>
      <c r="RB11" t="str">
        <f>IF(COUNTIF('Final Calculation Sheet'!$AL11:$AN11,0)+COUNTIF('Final Calculation Sheet'!$AP11:$BS11,0)&gt;0,0,1)</f>
      </c>
      <c r="RC11" t="str">
        <f>IF($AD$11="",FALSE,SUMPRODUCT(('Final Calculation Sheet'!$D$4:$D$40=$AD$11)*($RB$4:$RB$40=1))&gt;0)</f>
      </c>
      <c r="RD11" t="str">
        <f>=$RD10+--($RC11)</f>
      </c>
      <c r="RE11" t="str">
        <f>IF(ROW()-3&gt;MAX($RD$4:$RD$40),"",INDEX($AD$4:$AD$40,MATCH(ROW()-3,$RD$4:$RD$40,0)))</f>
      </c>
      <c r="RF11" t="str">
        <f>IF(COUNTIF('Final Calculation Sheet'!$AL11:$AO11,0)+COUNTIF('Final Calculation Sheet'!$AQ11:$BS11,0)&gt;0,0,1)</f>
      </c>
      <c r="RG11" t="str">
        <f>IF($AN$11="",FALSE,SUMPRODUCT(('Final Calculation Sheet'!$E$4:$E$40=$AN$11)*($RF$4:$RF$40=1))&gt;0)</f>
      </c>
      <c r="RH11" t="str">
        <f>=$RH10+--($RG11)</f>
      </c>
      <c r="RI11" t="str">
        <f>IF(ROW()-3&gt;MAX($RH$4:$RH$40),"",INDEX($AN$4:$AN$40,MATCH(ROW()-3,$RH$4:$RH$40,0)))</f>
      </c>
      <c r="RJ11" t="str">
        <f>IF(COUNTIF('Final Calculation Sheet'!$AL11:$AP11,0)+COUNTIF('Final Calculation Sheet'!$AR11:$BS11,0)&gt;0,0,1)</f>
      </c>
      <c r="RK11" t="str">
        <f>IF($O$11="",FALSE,SUMPRODUCT(('Final Calculation Sheet'!$F$4:$F$40=$O$11)*($RJ$4:$RJ$40=1))&gt;0)</f>
      </c>
      <c r="RL11" t="str">
        <f>=$RL10+--($RK11)</f>
      </c>
      <c r="RM11" t="str">
        <f>IF(ROW()-3&gt;MAX($RL$4:$RL$40),"",INDEX($O$4:$O$40,MATCH(ROW()-3,$RL$4:$RL$40,0)))</f>
      </c>
      <c r="RN11" t="str">
        <f>IF(COUNTIF('Final Calculation Sheet'!$AL11:$AQ11,0)+COUNTIF('Final Calculation Sheet'!$AS11:$BS11,0)&gt;0,0,1)</f>
      </c>
      <c r="RO11" t="str">
        <f>IF($T$11="",FALSE,SUMPRODUCT(('Final Calculation Sheet'!$G$4:$G$40=$T$11)*($RN$4:$RN$40=1))&gt;0)</f>
      </c>
      <c r="RP11" t="str">
        <f>=$RP10+--($RO11)</f>
      </c>
      <c r="RQ11" t="str">
        <f>IF(ROW()-3&gt;MAX($RP$4:$RP$40),"",INDEX($T$4:$T$40,MATCH(ROW()-3,$RP$4:$RP$40,0)))</f>
      </c>
      <c r="RR11" t="str">
        <f>IF(COUNTIF('Final Calculation Sheet'!$AL11:$AR11,0)+COUNTIF('Final Calculation Sheet'!$AT11:$BS11,0)&gt;0,0,1)</f>
      </c>
      <c r="RS11" t="str">
        <f>IF($AX$11="",FALSE,SUMPRODUCT(('Final Calculation Sheet'!$H$4:$H$40=$AX$11)*($RR$4:$RR$40=1))&gt;0)</f>
      </c>
      <c r="RT11" t="str">
        <f>=$RT10+--($RS11)</f>
      </c>
      <c r="RU11" t="str">
        <f>IF(ROW()-3&gt;MAX($RT$4:$RT$40),"",INDEX($AX$4:$AX$40,MATCH(ROW()-3,$RT$4:$RT$40,0)))</f>
      </c>
      <c r="RV11" t="str">
        <f>IF(COUNTIF('Final Calculation Sheet'!$AL11:$AS11,0)+COUNTIF('Final Calculation Sheet'!$AU11:$BS11,0)&gt;0,0,1)</f>
      </c>
      <c r="RW11" t="str">
        <f>IF($BC$11="",FALSE,SUMPRODUCT(('Final Calculation Sheet'!$I$4:$I$40=$BC$11)*($RV$4:$RV$40=1))&gt;0)</f>
      </c>
      <c r="RX11" t="str">
        <f>=$RX10+--($RW11)</f>
      </c>
      <c r="RY11" t="str">
        <f>IF(ROW()-3&gt;MAX($RX$4:$RX$40),"",INDEX($BC$4:$BC$40,MATCH(ROW()-3,$RX$4:$RX$40,0)))</f>
      </c>
      <c r="RZ11" t="str">
        <f>IF(COUNTIF('Final Calculation Sheet'!$AL11:$AT11,0)+COUNTIF('Final Calculation Sheet'!$AV11:$BS11,0)&gt;0,0,1)</f>
      </c>
      <c r="SA11" t="str">
        <f>IF($BH$11="",FALSE,SUMPRODUCT(('Final Calculation Sheet'!$J$4:$J$40=$BH$11)*($RZ$4:$RZ$40=1))&gt;0)</f>
      </c>
      <c r="SB11" t="str">
        <f>=$SB10+--($SA11)</f>
      </c>
      <c r="SC11" t="str">
        <f>IF(ROW()-3&gt;MAX($SB$4:$SB$40),"",INDEX($BH$4:$BH$40,MATCH(ROW()-3,$SB$4:$SB$40,0)))</f>
      </c>
      <c r="SD11" t="str">
        <f>IF(COUNTIF('Final Calculation Sheet'!$AL11:$AU11,0)+COUNTIF('Final Calculation Sheet'!$AW11:$BS11,0)&gt;0,0,1)</f>
      </c>
      <c r="SE11" t="str">
        <f>IF($BM$11="",FALSE,SUMPRODUCT(('Final Calculation Sheet'!$K$4:$K$40=$BM$11)*($SD$4:$SD$40=1))&gt;0)</f>
      </c>
      <c r="SF11" t="str">
        <f>=$SF10+--($SE11)</f>
      </c>
      <c r="SG11" t="str">
        <f>IF(ROW()-3&gt;MAX($SF$4:$SF$40),"",INDEX($BM$4:$BM$40,MATCH(ROW()-3,$SF$4:$SF$40,0)))</f>
      </c>
      <c r="SH11" t="str">
        <f>IF(COUNTIF('Final Calculation Sheet'!$AL11:$AV11,0)+COUNTIF('Final Calculation Sheet'!$AX11:$BS11,0)&gt;0,0,1)</f>
      </c>
      <c r="SI11" t="str">
        <f>IF($BR$11="",FALSE,SUMPRODUCT(('Final Calculation Sheet'!$L$4:$L$40=$BR$11)*($SH$4:$SH$40=1))&gt;0)</f>
      </c>
      <c r="SJ11" t="str">
        <f>=$SJ10+--($SI11)</f>
      </c>
      <c r="SK11" t="str">
        <f>IF(ROW()-3&gt;MAX($SJ$4:$SJ$40),"",INDEX($BR$4:$BR$40,MATCH(ROW()-3,$SJ$4:$SJ$40,0)))</f>
      </c>
      <c r="SL11" t="str">
        <f>IF(COUNTIF('Final Calculation Sheet'!$AL11:$AW11,0)+COUNTIF('Final Calculation Sheet'!$AY11:$BS11,0)&gt;0,0,1)</f>
      </c>
      <c r="SM11" t="str">
        <f>IF($BW$11="",FALSE,SUMPRODUCT(('Final Calculation Sheet'!$M$4:$M$40=$BW$11)*($SL$4:$SL$40=1))&gt;0)</f>
      </c>
      <c r="SN11" t="str">
        <f>=$SN10+--($SM11)</f>
      </c>
      <c r="SO11" t="str">
        <f>IF(ROW()-3&gt;MAX($SN$4:$SN$40),"",INDEX($BW$4:$BW$40,MATCH(ROW()-3,$SN$4:$SN$40,0)))</f>
      </c>
      <c r="SP11" t="str">
        <f>IF(COUNTIF('Final Calculation Sheet'!$AL11:$AX11,0)+COUNTIF('Final Calculation Sheet'!$AZ11:$BS11,0)&gt;0,0,1)</f>
      </c>
      <c r="SQ11" t="str">
        <f>IF($CB$11="",FALSE,SUMPRODUCT(('Final Calculation Sheet'!$N$4:$N$40=$CB$11)*($SP$4:$SP$40=1))&gt;0)</f>
      </c>
      <c r="SR11" t="str">
        <f>=$SR10+--($SQ11)</f>
      </c>
      <c r="SS11" t="str">
        <f>IF(ROW()-3&gt;MAX($SR$4:$SR$40),"",INDEX($CB$4:$CB$40,MATCH(ROW()-3,$SR$4:$SR$40,0)))</f>
      </c>
      <c r="ST11" t="str">
        <f>IF(COUNTIF('Final Calculation Sheet'!$AL11:$AY11,0)+COUNTIF('Final Calculation Sheet'!$BA11:$BS11,0)&gt;0,0,1)</f>
      </c>
      <c r="SU11" t="str">
        <f>IF($CG$11="",FALSE,SUMPRODUCT(('Final Calculation Sheet'!$O$4:$O$40=$CG$11)*($ST$4:$ST$40=1))&gt;0)</f>
      </c>
      <c r="SV11" t="str">
        <f>=$SV10+--($SU11)</f>
      </c>
      <c r="SW11" t="str">
        <f>IF(ROW()-3&gt;MAX($SV$4:$SV$40),"",INDEX($CG$4:$CG$40,MATCH(ROW()-3,$SV$4:$SV$40,0)))</f>
      </c>
      <c r="SX11" t="str">
        <f>IF(COUNTIF('Final Calculation Sheet'!$AL11:$AZ11,0)+COUNTIF('Final Calculation Sheet'!$BB11:$BS11,0)&gt;0,0,1)</f>
      </c>
      <c r="SY11" t="str">
        <f>IF($CL$11="",FALSE,SUMPRODUCT(('Final Calculation Sheet'!$P$4:$P$40=$CL$11)*($SX$4:$SX$40=1))&gt;0)</f>
      </c>
      <c r="SZ11" t="str">
        <f>=$SZ10+--($SY11)</f>
      </c>
      <c r="TA11" t="str">
        <f>IF(ROW()-3&gt;MAX($SZ$4:$SZ$40),"",INDEX($CL$4:$CL$40,MATCH(ROW()-3,$SZ$4:$SZ$40,0)))</f>
      </c>
      <c r="TB11" t="str">
        <f>IF(COUNTIF('Final Calculation Sheet'!$AL11:$BA11,0)+COUNTIF('Final Calculation Sheet'!$BC11:$BS11,0)&gt;0,0,1)</f>
      </c>
      <c r="TC11" t="str">
        <f>IF($CQ$11="",FALSE,SUMPRODUCT(('Final Calculation Sheet'!$Q$4:$Q$40=$CQ$11)*($TB$4:$TB$40=1))&gt;0)</f>
      </c>
      <c r="TD11" t="str">
        <f>=$TD10+--($TC11)</f>
      </c>
      <c r="TE11" t="str">
        <f>IF(ROW()-3&gt;MAX($TD$4:$TD$40),"",INDEX($CQ$4:$CQ$40,MATCH(ROW()-3,$TD$4:$TD$40,0)))</f>
      </c>
      <c r="TF11" t="str">
        <f>IF(COUNTIF('Final Calculation Sheet'!$AL11:$BB11,0)+COUNTIF('Final Calculation Sheet'!$BD11:$BS11,0)&gt;0,0,1)</f>
      </c>
      <c r="TG11" t="str">
        <f>IF($CV$11="",FALSE,SUMPRODUCT(('Final Calculation Sheet'!$R$4:$R$40=$CV$11)*($TF$4:$TF$40=1))&gt;0)</f>
      </c>
      <c r="TH11" t="str">
        <f>=$TH10+--($TG11)</f>
      </c>
      <c r="TI11" t="str">
        <f>IF(ROW()-3&gt;MAX($TH$4:$TH$40),"",INDEX($CV$4:$CV$40,MATCH(ROW()-3,$TH$4:$TH$40,0)))</f>
      </c>
      <c r="TJ11" t="str">
        <f>IF(COUNTIF('Final Calculation Sheet'!$AL11:$BC11,0)+COUNTIF('Final Calculation Sheet'!$BE11:$BS11,0)&gt;0,0,1)</f>
      </c>
      <c r="TK11" t="str">
        <f>IF($DA$11="",FALSE,SUMPRODUCT(('Final Calculation Sheet'!$S$4:$S$40=$DA$11)*($TJ$4:$TJ$40=1))&gt;0)</f>
      </c>
      <c r="TL11" t="str">
        <f>=$TL10+--($TK11)</f>
      </c>
      <c r="TM11" t="str">
        <f>IF(ROW()-3&gt;MAX($TL$4:$TL$40),"",INDEX($DA$4:$DA$40,MATCH(ROW()-3,$TL$4:$TL$40,0)))</f>
      </c>
      <c r="TN11" t="str">
        <f>IF(COUNTIF('Final Calculation Sheet'!$AL11:$BD11,0)+COUNTIF('Final Calculation Sheet'!$BF11:$BS11,0)&gt;0,0,1)</f>
      </c>
      <c r="TO11" t="str">
        <f>IF($DF$11="",FALSE,SUMPRODUCT(('Final Calculation Sheet'!$T$4:$T$40=$DF$11)*($TN$4:$TN$40=1))&gt;0)</f>
      </c>
      <c r="TP11" t="str">
        <f>=$TP10+--($TO11)</f>
      </c>
      <c r="TQ11" t="str">
        <f>IF(ROW()-3&gt;MAX($TP$4:$TP$40),"",INDEX($DF$4:$DF$40,MATCH(ROW()-3,$TP$4:$TP$40,0)))</f>
      </c>
      <c r="TR11" t="str">
        <f>IF(COUNTIF('Final Calculation Sheet'!$AL11:$BE11,0)+COUNTIF('Final Calculation Sheet'!$BG11:$BS11,0)&gt;0,0,1)</f>
      </c>
      <c r="TS11" t="str">
        <f>IF($DK$11="",FALSE,SUMPRODUCT(('Final Calculation Sheet'!$U$4:$U$40=$DK$11)*($TR$4:$TR$40=1))&gt;0)</f>
      </c>
      <c r="TT11" t="str">
        <f>=$TT10+--($TS11)</f>
      </c>
      <c r="TU11" t="str">
        <f>IF(ROW()-3&gt;MAX($TT$4:$TT$40),"",INDEX($DK$4:$DK$40,MATCH(ROW()-3,$TT$4:$TT$40,0)))</f>
      </c>
      <c r="TV11" t="str">
        <f>IF(COUNTIF('Final Calculation Sheet'!$AL11:$BF11,0)+COUNTIF('Final Calculation Sheet'!$BH11:$BS11,0)&gt;0,0,1)</f>
      </c>
      <c r="TW11" t="str">
        <f>IF($DP$11="",FALSE,SUMPRODUCT(('Final Calculation Sheet'!$V$4:$V$40=$DP$11)*($TV$4:$TV$40=1))&gt;0)</f>
      </c>
      <c r="TX11" t="str">
        <f>=$TX10+--($TW11)</f>
      </c>
      <c r="TY11" t="str">
        <f>IF(ROW()-3&gt;MAX($TX$4:$TX$40),"",INDEX($DP$4:$DP$40,MATCH(ROW()-3,$TX$4:$TX$40,0)))</f>
      </c>
      <c r="TZ11" t="str">
        <f>IF(COUNTIF('Final Calculation Sheet'!$AL11:$BG11,0)+COUNTIF('Final Calculation Sheet'!$BI11:$BS11,0)&gt;0,0,1)</f>
      </c>
      <c r="UA11" t="str">
        <f>IF($DU$11="",FALSE,SUMPRODUCT(('Final Calculation Sheet'!$W$4:$W$40=$DU$11)*($TZ$4:$TZ$40=1))&gt;0)</f>
      </c>
      <c r="UB11" t="str">
        <f>=$UB10+--($UA11)</f>
      </c>
      <c r="UC11" t="str">
        <f>IF(ROW()-3&gt;MAX($UB$4:$UB$40),"",INDEX($DU$4:$DU$40,MATCH(ROW()-3,$UB$4:$UB$40,0)))</f>
      </c>
      <c r="UD11" t="str">
        <f>IF(COUNTIF('Final Calculation Sheet'!$AL11:$BH11,0)+COUNTIF('Final Calculation Sheet'!$BJ11:$BS11,0)&gt;0,0,1)</f>
      </c>
      <c r="UE11" t="str">
        <f>IF($DZ$11="",FALSE,SUMPRODUCT(('Final Calculation Sheet'!$X$4:$X$40=$DZ$11)*($UD$4:$UD$40=1))&gt;0)</f>
      </c>
      <c r="UF11" t="str">
        <f>=$UF10+--($UE11)</f>
      </c>
      <c r="UG11" t="str">
        <f>IF(ROW()-3&gt;MAX($UF$4:$UF$40),"",INDEX($DZ$4:$DZ$40,MATCH(ROW()-3,$UF$4:$UF$40,0)))</f>
      </c>
      <c r="UH11" t="str">
        <f>IF(COUNTIF('Final Calculation Sheet'!$AL11:$BI11,0)+COUNTIF('Final Calculation Sheet'!$BK11:$BS11,0)&gt;0,0,1)</f>
      </c>
      <c r="UI11" t="str">
        <f>IF($EE$11="",FALSE,SUMPRODUCT(('Final Calculation Sheet'!$Y$4:$Y$40=$EE$11)*($UH$4:$UH$40=1))&gt;0)</f>
      </c>
      <c r="UJ11" t="str">
        <f>=$UJ10+--($UI11)</f>
      </c>
      <c r="UK11" t="str">
        <f>IF(ROW()-3&gt;MAX($UJ$4:$UJ$40),"",INDEX($EE$4:$EE$40,MATCH(ROW()-3,$UJ$4:$UJ$40,0)))</f>
      </c>
      <c r="UL11" t="str">
        <f>IF(COUNTIF('Final Calculation Sheet'!$AL11:$BJ11,0)+COUNTIF('Final Calculation Sheet'!$BL11:$BS11,0)&gt;0,0,1)</f>
      </c>
      <c r="UM11" t="str">
        <f>IF($EJ$11="",FALSE,SUMPRODUCT(('Final Calculation Sheet'!$Z$4:$Z$40=$EJ$11)*($UL$4:$UL$40=1))&gt;0)</f>
      </c>
      <c r="UN11" t="str">
        <f>=$UN10+--($UM11)</f>
      </c>
      <c r="UO11" t="str">
        <f>IF(ROW()-3&gt;MAX($UN$4:$UN$40),"",INDEX($EJ$4:$EJ$40,MATCH(ROW()-3,$UN$4:$UN$40,0)))</f>
      </c>
      <c r="UP11" t="str">
        <f>IF(COUNTIF('Final Calculation Sheet'!$AL11:$BK11,0)+COUNTIF('Final Calculation Sheet'!$BM11:$BS11,0)&gt;0,0,1)</f>
      </c>
      <c r="UQ11" t="str">
        <f>IF($EO$11="",FALSE,SUMPRODUCT(('Final Calculation Sheet'!$AA$4:$AA$40=$EO$11)*($UP$4:$UP$40=1))&gt;0)</f>
      </c>
      <c r="UR11" t="str">
        <f>=$UR10+--($UQ11)</f>
      </c>
      <c r="US11" t="str">
        <f>IF(ROW()-3&gt;MAX($UR$4:$UR$40),"",INDEX($EO$4:$EO$40,MATCH(ROW()-3,$UR$4:$UR$40,0)))</f>
      </c>
      <c r="UT11" t="str">
        <f>IF(COUNTIF('Final Calculation Sheet'!$AL11:$BL11,0)+COUNTIF('Final Calculation Sheet'!$BN11:$BS11,0)&gt;0,0,1)</f>
      </c>
      <c r="UU11" t="str">
        <f>IF($ET$11="",FALSE,SUMPRODUCT(('Final Calculation Sheet'!$AB$4:$AB$40=$ET$11)*($UT$4:$UT$40=1))&gt;0)</f>
      </c>
      <c r="UV11" t="str">
        <f>=$UV10+--($UU11)</f>
      </c>
      <c r="UW11" t="str">
        <f>IF(ROW()-3&gt;MAX($UV$4:$UV$40),"",INDEX($ET$4:$ET$40,MATCH(ROW()-3,$UV$4:$UV$40,0)))</f>
      </c>
      <c r="UX11" t="str">
        <f>IF(COUNTIF('Final Calculation Sheet'!$AL11:$BM11,0)+COUNTIF('Final Calculation Sheet'!$BO11:$BS11,0)&gt;0,0,1)</f>
      </c>
      <c r="UY11" t="str">
        <f>IF($EY$11="",FALSE,SUMPRODUCT(('Final Calculation Sheet'!$AC$4:$AC$40=$EY$11)*($UX$4:$UX$40=1))&gt;0)</f>
      </c>
      <c r="UZ11" t="str">
        <f>=$UZ10+--($UY11)</f>
      </c>
      <c r="VA11" t="str">
        <f>IF(ROW()-3&gt;MAX($UZ$4:$UZ$40),"",INDEX($EY$4:$EY$40,MATCH(ROW()-3,$UZ$4:$UZ$40,0)))</f>
      </c>
      <c r="VB11" t="str">
        <f>IF(COUNTIF('Final Calculation Sheet'!$AL11:$BN11,0)+COUNTIF('Final Calculation Sheet'!$BP11:$BS11,0)&gt;0,0,1)</f>
      </c>
      <c r="VC11" t="str">
        <f>IF($FD$11="",FALSE,SUMPRODUCT(('Final Calculation Sheet'!$AD$4:$AD$40=$FD$11)*($VB$4:$VB$40=1))&gt;0)</f>
      </c>
      <c r="VD11" t="str">
        <f>=$VD10+--($VC11)</f>
      </c>
      <c r="VE11" t="str">
        <f>IF(ROW()-3&gt;MAX($VD$4:$VD$40),"",INDEX($FD$4:$FD$40,MATCH(ROW()-3,$VD$4:$VD$40,0)))</f>
      </c>
      <c r="VF11" t="str">
        <f>IF(COUNTIF('Final Calculation Sheet'!$AL11:$BO11,0)+COUNTIF('Final Calculation Sheet'!$BQ11:$BS11,0)&gt;0,0,1)</f>
      </c>
      <c r="VG11" t="str">
        <f>IF($FI$11="",FALSE,SUMPRODUCT(('Final Calculation Sheet'!$AE$4:$AE$40=$FI$11)*($VF$4:$VF$40=1))&gt;0)</f>
      </c>
      <c r="VH11" t="str">
        <f>=$VH10+--($VG11)</f>
      </c>
      <c r="VI11" t="str">
        <f>IF(ROW()-3&gt;MAX($VH$4:$VH$40),"",INDEX($FI$4:$FI$40,MATCH(ROW()-3,$VH$4:$VH$40,0)))</f>
      </c>
      <c r="VJ11" t="str">
        <f>IF(COUNTIF('Final Calculation Sheet'!$AL11:$BP11,0)+COUNTIF('Final Calculation Sheet'!$BR11:$BS11,0)&gt;0,0,1)</f>
      </c>
      <c r="VK11" t="str">
        <f>IF($FN$11="",FALSE,SUMPRODUCT(('Final Calculation Sheet'!$AF$4:$AF$40=$FN$11)*($VJ$4:$VJ$40=1))&gt;0)</f>
      </c>
      <c r="VL11" t="str">
        <f>=$VL10+--($VK11)</f>
      </c>
      <c r="VM11" t="str">
        <f>IF(ROW()-3&gt;MAX($VL$4:$VL$40),"",INDEX($FN$4:$FN$40,MATCH(ROW()-3,$VL$4:$VL$40,0)))</f>
      </c>
      <c r="VN11" t="str">
        <f>IF(COUNTIF('Final Calculation Sheet'!$AL11:$BQ11,0)+COUNTIF('Final Calculation Sheet'!$BS11:$BS11,0)&gt;0,0,1)</f>
      </c>
      <c r="VO11" t="str">
        <f>IF($FS$11="",FALSE,SUMPRODUCT(('Final Calculation Sheet'!$AG$4:$AG$40=$FS$11)*($VN$4:$VN$40=1))&gt;0)</f>
      </c>
      <c r="VP11" t="str">
        <f>=$VP10+--($VO11)</f>
      </c>
      <c r="VQ11" t="str">
        <f>IF(ROW()-3&gt;MAX($VP$4:$VP$40),"",INDEX($FS$4:$FS$40,MATCH(ROW()-3,$VP$4:$VP$40,0)))</f>
      </c>
      <c r="VR11" t="str">
        <f>IF(COUNTIF('Final Calculation Sheet'!$AL11:$BR11,0)&gt;0,0,1)</f>
      </c>
      <c r="VS11" t="str">
        <f>IF($QO$11="",FALSE,SUMPRODUCT(('Final Calculation Sheet'!$AH$4:$AH$40=$QO$11)*($VR$4:$VR$40=1))&gt;0)</f>
      </c>
      <c r="VT11" t="str">
        <f>=$VT10+--($VS11)</f>
      </c>
      <c r="VU11" t="str">
        <f>IF(ROW()-3&gt;MAX($VT$4:$VT$40),"",INDEX($QO$4:$QO$40,MATCH(ROW()-3,$VT$4:$VT$40,0)))</f>
      </c>
    </row>
    <row r="12">
      <c r="A12">
        <f>IF('Final Calculation Sheet'!$F$12="","",'Final Calculation Sheet'!$F$12)</f>
        <v/>
      </c>
      <c r="B12">
        <f>IF(A12="","",COUNTIFS(A$4:A$114,"&lt;"&amp;A12,A$4:A$114,"&lt;&gt;"&amp;"")+COUNTIF(A$4:A12,A12))</f>
        <v/>
      </c>
      <c r="C12">
        <f>IF(ROW()-3&gt;COUNTIF(A$4:A$114,"&lt;&gt;"&amp;""),"",INDEX(A$4:A$114,MATCH(ROW()-3,B$4:B$114,0)))</f>
        <v/>
      </c>
      <c r="D12">
        <f>D11+IF(AND(C12&lt;&gt;"",COUNTIF(C$4:C12,C12)=1),1,0)</f>
        <v/>
      </c>
      <c r="E12">
        <f>IF(ROW()-3&gt;MAX(D$4:D$114),"",INDEX(C$4:C$114,MATCH(ROW()-3,D$4:D$114,0)))</f>
        <v/>
      </c>
      <c r="F12">
        <f>ROW()-3</f>
        <v/>
      </c>
      <c r="G12">
        <f>IF(F12="","",COUNTIFS(F$4:F$40,"&lt;"&amp;F12,F$4:F$40,"&lt;&gt;"&amp;"")+COUNTIF(F$4:F12,F12))</f>
        <v/>
      </c>
      <c r="H12">
        <f>IF(ROW()-3&gt;COUNTIF(F$4:F$40,"&lt;&gt;"&amp;""),"",INDEX(F$4:F$40,MATCH(ROW()-3,G$4:G$40,0)))</f>
        <v/>
      </c>
      <c r="I12">
        <f>I11+IF(AND(H12&lt;&gt;"",COUNTIF(H$4:H12,H12)=1),1,0)</f>
        <v/>
      </c>
      <c r="J12">
        <f>IF(ROW()-3&gt;MAX(I$4:I$40),"",INDEX(H$4:H$40,MATCH(ROW()-3,I$4:I$40,0)))</f>
        <v/>
      </c>
      <c r="K12">
        <f>IF('Final Calculation Sheet'!$F$12="","",'Final Calculation Sheet'!$F$12)</f>
        <v/>
      </c>
      <c r="L12">
        <f>IF(K12="","",COUNTIFS(K$4:K$40,"&lt;"&amp;K12,K$4:K$40,"&lt;&gt;"&amp;"")+COUNTIF(K$4:K12,K12))</f>
        <v/>
      </c>
      <c r="M12">
        <f>IF(ROW()-3&gt;COUNTIF(K$4:K$40,"&lt;&gt;"&amp;""),"",INDEX(K$4:K$40,MATCH(ROW()-3,L$4:L$40,0)))</f>
        <v/>
      </c>
      <c r="N12">
        <f>N11+IF(AND(M12&lt;&gt;"",COUNTIF(M$4:M12,M12)=1),1,0)</f>
        <v/>
      </c>
      <c r="O12">
        <f>IF(ROW()-3&gt;MAX(N$4:N$40),"",INDEX(M$4:M$40,MATCH(ROW()-3,N$4:N$40,0)))</f>
        <v/>
      </c>
      <c r="P12">
        <f>IF('Final Calculation Sheet'!$G$12="","",'Final Calculation Sheet'!$G$12)</f>
        <v/>
      </c>
      <c r="Q12">
        <f>IF(P12="","",COUNTIFS(P$4:P$40,"&lt;"&amp;P12,P$4:P$40,"&lt;&gt;"&amp;"")+COUNTIF(P$4:P12,P12))</f>
        <v/>
      </c>
      <c r="R12">
        <f>IF(ROW()-3&gt;COUNTIF(P$4:P$40,"&lt;&gt;"&amp;""),"",INDEX(P$4:P$40,MATCH(ROW()-3,Q$4:Q$40,0)))</f>
        <v/>
      </c>
      <c r="S12">
        <f>S11+IF(AND(R12&lt;&gt;"",COUNTIF(R$4:R12,R12)=1),1,0)</f>
        <v/>
      </c>
      <c r="T12">
        <f>IF(ROW()-3&gt;MAX(S$4:S$40),"",INDEX(R$4:R$40,MATCH(ROW()-3,S$4:S$40,0)))</f>
        <v/>
      </c>
      <c r="U12">
        <f>IF('Final Calculation Sheet'!$B$12="","",'Final Calculation Sheet'!$B$12)</f>
        <v/>
      </c>
      <c r="V12">
        <f>IF(U12="","",COUNTIFS(U$4:U$40,"&lt;"&amp;U12,U$4:U$40,"&lt;&gt;"&amp;"")+COUNTIF(U$4:U12,U12))</f>
        <v/>
      </c>
      <c r="W12">
        <f>IF(ROW()-3&gt;COUNTIF(U$4:U$40,"&lt;&gt;"&amp;""),"",INDEX(U$4:U$40,MATCH(ROW()-3,V$4:V$40,0)))</f>
        <v/>
      </c>
      <c r="X12">
        <f>X11+IF(AND(W12&lt;&gt;"",COUNTIF(W$4:W12,W12)=1),1,0)</f>
        <v/>
      </c>
      <c r="Y12">
        <f>IF(ROW()-3&gt;MAX(X$4:X$40),"",INDEX(W$4:W$40,MATCH(ROW()-3,X$4:X$40,0)))</f>
        <v/>
      </c>
      <c r="Z12">
        <f>IF('Final Calculation Sheet'!$D$12="","",'Final Calculation Sheet'!$D$12)</f>
        <v/>
      </c>
      <c r="AA12">
        <f>IF(Z12="","",COUNTIFS(Z$4:Z$40,"&lt;"&amp;Z12,Z$4:Z$40,"&lt;&gt;"&amp;"")+COUNTIF(Z$4:Z12,Z12))</f>
        <v/>
      </c>
      <c r="AB12">
        <f>IF(ROW()-3&gt;COUNTIF(Z$4:Z$40,"&lt;&gt;"&amp;""),"",INDEX(Z$4:Z$40,MATCH(ROW()-3,AA$4:AA$40,0)))</f>
        <v/>
      </c>
      <c r="AC12">
        <f>AC11+IF(AND(AB12&lt;&gt;"",COUNTIF(AB$4:AB12,AB12)=1),1,0)</f>
        <v/>
      </c>
      <c r="AD12">
        <f>IF(ROW()-3&gt;MAX(AC$4:AC$40),"",INDEX(AB$4:AB$40,MATCH(ROW()-3,AC$4:AC$40,0)))</f>
        <v/>
      </c>
      <c r="AE12">
        <f>IF('Final Calculation Sheet'!$A$12="","",'Final Calculation Sheet'!$A$12)</f>
        <v/>
      </c>
      <c r="AF12">
        <f>IF(AE12="","",COUNTIFS(AE$4:AE$40,"&lt;"&amp;AE12,AE$4:AE$40,"&lt;&gt;"&amp;"")+COUNTIF(AE$4:AE12,AE12))</f>
        <v/>
      </c>
      <c r="AG12">
        <f>IF(ROW()-3&gt;COUNTIF(AE$4:AE$40,"&lt;&gt;"&amp;""),"",INDEX(AE$4:AE$40,MATCH(ROW()-3,AF$4:AF$40,0)))</f>
        <v/>
      </c>
      <c r="AH12">
        <f>AH11+IF(AND(AG12&lt;&gt;"",COUNTIF(AG$4:AG12,AG12)=1),1,0)</f>
        <v/>
      </c>
      <c r="AI12">
        <f>IF(ROW()-3&gt;MAX(AH$4:AH$40),"",INDEX(AG$4:AG$40,MATCH(ROW()-3,AH$4:AH$40,0)))</f>
        <v/>
      </c>
      <c r="AJ12">
        <f>IF('Final Calculation Sheet'!$E$12="","",'Final Calculation Sheet'!$E$12)</f>
        <v/>
      </c>
      <c r="AK12">
        <f>IF(AJ12="","",COUNTIFS(AJ$4:AJ$40,"&lt;"&amp;AJ12,AJ$4:AJ$40,"&lt;&gt;"&amp;"")+COUNTIF(AJ$4:AJ12,AJ12))</f>
        <v/>
      </c>
      <c r="AL12">
        <f>IF(ROW()-3&gt;COUNTIF(AJ$4:AJ$40,"&lt;&gt;"&amp;""),"",INDEX(AJ$4:AJ$40,MATCH(ROW()-3,AK$4:AK$40,0)))</f>
        <v/>
      </c>
      <c r="AM12">
        <f>AM11+IF(AND(AL12&lt;&gt;"",COUNTIF(AL$4:AL12,AL12)=1),1,0)</f>
        <v/>
      </c>
      <c r="AN12">
        <f>IF(ROW()-3&gt;MAX(AM$4:AM$40),"",INDEX(AL$4:AL$40,MATCH(ROW()-3,AM$4:AM$40,0)))</f>
        <v/>
      </c>
      <c r="AO12" s="55">
        <f>IF('Final Calculation Sheet'!$C$12="","",'Final Calculation Sheet'!$C$12)</f>
        <v/>
      </c>
      <c r="AP12">
        <f>IF(AO12="","",COUNTIFS(AO$4:AO$40,"&lt;"&amp;AO12,AO$4:AO$40,"&lt;&gt;"&amp;"")+COUNTIF(AO$4:AO12,AO12))</f>
        <v/>
      </c>
      <c r="AQ12" s="55">
        <f>IF(ROW()-3&gt;COUNTIF(AO$4:AO$40,"&lt;&gt;"&amp;""),"",INDEX(AO$4:AO$40,MATCH(ROW()-3,AP$4:AP$40,0)))</f>
        <v/>
      </c>
      <c r="AR12">
        <f>AR11+IF(AND(AQ12&lt;&gt;"",COUNTIF(AQ$4:AQ12,AQ12)=1),1,0)</f>
        <v/>
      </c>
      <c r="AS12" s="55">
        <f>IF(ROW()-3&gt;MAX(AR$4:AR$40),"",INDEX(AQ$4:AQ$40,MATCH(ROW()-3,AR$4:AR$40,0)))</f>
        <v/>
      </c>
      <c r="AT12" s="55">
        <f>IF('Final Calculation Sheet'!$H$12="","",'Final Calculation Sheet'!$H$12)</f>
        <v/>
      </c>
      <c r="AU12">
        <f>IF(AT12="","",COUNTIFS(AT$4:AT$40,"&lt;"&amp;AT12,AT$4:AT$40,"&lt;&gt;"&amp;"")+COUNTIF(AT$4:AT12,AT12))</f>
        <v/>
      </c>
      <c r="AV12" s="55">
        <f>IF(ROW()-3&gt;COUNTIF(AT$4:AT$40,"&lt;&gt;"&amp;""),"",INDEX(AT$4:AT$40,MATCH(ROW()-3,AU$4:AU$40,0)))</f>
        <v/>
      </c>
      <c r="AW12">
        <f>AW11+IF(AND(AV12&lt;&gt;"",COUNTIF(AV$4:AV12,AV12)=1),1,0)</f>
        <v/>
      </c>
      <c r="AX12" s="55">
        <f>IF(ROW()-3&gt;MAX(AW$4:AW$40),"",INDEX(AV$4:AV$40,MATCH(ROW()-3,AW$4:AW$40,0)))</f>
        <v/>
      </c>
      <c r="AY12" s="55">
        <f>IF('Final Calculation Sheet'!$I$12="","",'Final Calculation Sheet'!$I$12)</f>
        <v/>
      </c>
      <c r="AZ12">
        <f>IF(AY12="","",COUNTIFS(AY$4:AY$40,"&lt;"&amp;AY12,AY$4:AY$40,"&lt;&gt;"&amp;"")+COUNTIF(AY$4:AY12,AY12))</f>
        <v/>
      </c>
      <c r="BA12" s="55">
        <f>IF(ROW()-3&gt;COUNTIF(AY$4:AY$40,"&lt;&gt;"&amp;""),"",INDEX(AY$4:AY$40,MATCH(ROW()-3,AZ$4:AZ$40,0)))</f>
        <v/>
      </c>
      <c r="BB12">
        <f>BB11+IF(AND(BA12&lt;&gt;"",COUNTIF(BA$4:BA12,BA12)=1),1,0)</f>
        <v/>
      </c>
      <c r="BC12" s="55">
        <f>IF(ROW()-3&gt;MAX(BB$4:BB$40),"",INDEX(BA$4:BA$40,MATCH(ROW()-3,BB$4:BB$40,0)))</f>
        <v/>
      </c>
      <c r="BD12" s="55">
        <f>IF('Final Calculation Sheet'!$J$12="","",'Final Calculation Sheet'!$J$12)</f>
        <v/>
      </c>
      <c r="BE12">
        <f>IF(BD12="","",COUNTIFS(BD$4:BD$40,"&lt;"&amp;BD12,BD$4:BD$40,"&lt;&gt;"&amp;"")+COUNTIF(BD$4:BD12,BD12))</f>
        <v/>
      </c>
      <c r="BF12" s="55">
        <f>IF(ROW()-3&gt;COUNTIF(BD$4:BD$40,"&lt;&gt;"&amp;""),"",INDEX(BD$4:BD$40,MATCH(ROW()-3,BE$4:BE$40,0)))</f>
        <v/>
      </c>
      <c r="BG12">
        <f>BG11+IF(AND(BF12&lt;&gt;"",COUNTIF(BF$4:BF12,BF12)=1),1,0)</f>
        <v/>
      </c>
      <c r="BH12" s="55">
        <f>IF(ROW()-3&gt;MAX(BG$4:BG$40),"",INDEX(BF$4:BF$40,MATCH(ROW()-3,BG$4:BG$40,0)))</f>
        <v/>
      </c>
      <c r="BI12" s="55">
        <f>IF('Final Calculation Sheet'!$K$12="","",'Final Calculation Sheet'!$K$12)</f>
        <v/>
      </c>
      <c r="BJ12">
        <f>IF(BI12="","",COUNTIFS(BI$4:BI$40,"&lt;"&amp;BI12,BI$4:BI$40,"&lt;&gt;"&amp;"")+COUNTIF(BI$4:BI12,BI12))</f>
        <v/>
      </c>
      <c r="BK12" s="55">
        <f>IF(ROW()-3&gt;COUNTIF(BI$4:BI$40,"&lt;&gt;"&amp;""),"",INDEX(BI$4:BI$40,MATCH(ROW()-3,BJ$4:BJ$40,0)))</f>
        <v/>
      </c>
      <c r="BL12">
        <f>BL11+IF(AND(BK12&lt;&gt;"",COUNTIF(BK$4:BK12,BK12)=1),1,0)</f>
        <v/>
      </c>
      <c r="BM12" s="55">
        <f>IF(ROW()-3&gt;MAX(BL$4:BL$40),"",INDEX(BK$4:BK$40,MATCH(ROW()-3,BL$4:BL$40,0)))</f>
        <v/>
      </c>
      <c r="BN12" s="55">
        <f>IF('Final Calculation Sheet'!$L$12="","",'Final Calculation Sheet'!$L$12)</f>
        <v/>
      </c>
      <c r="BO12">
        <f>IF(BN12="","",COUNTIFS(BN$4:BN$40,"&lt;"&amp;BN12,BN$4:BN$40,"&lt;&gt;"&amp;"")+COUNTIF(BN$4:BN12,BN12))</f>
        <v/>
      </c>
      <c r="BP12" s="55">
        <f>IF(ROW()-3&gt;COUNTIF(BN$4:BN$40,"&lt;&gt;"&amp;""),"",INDEX(BN$4:BN$40,MATCH(ROW()-3,BO$4:BO$40,0)))</f>
        <v/>
      </c>
      <c r="BQ12">
        <f>BQ11+IF(AND(BP12&lt;&gt;"",COUNTIF(BP$4:BP12,BP12)=1),1,0)</f>
        <v/>
      </c>
      <c r="BR12" s="55">
        <f>IF(ROW()-3&gt;MAX(BQ$4:BQ$40),"",INDEX(BP$4:BP$40,MATCH(ROW()-3,BQ$4:BQ$40,0)))</f>
        <v/>
      </c>
      <c r="BS12" s="55">
        <f>IF('Final Calculation Sheet'!$M$12="","",'Final Calculation Sheet'!$M$12)</f>
        <v/>
      </c>
      <c r="BT12">
        <f>IF(BS12="","",COUNTIFS(BS$4:BS$40,"&lt;"&amp;BS12,BS$4:BS$40,"&lt;&gt;"&amp;"")+COUNTIF(BS$4:BS12,BS12))</f>
        <v/>
      </c>
      <c r="BU12" s="55">
        <f>IF(ROW()-3&gt;COUNTIF(BS$4:BS$40,"&lt;&gt;"&amp;""),"",INDEX(BS$4:BS$40,MATCH(ROW()-3,BT$4:BT$40,0)))</f>
        <v/>
      </c>
      <c r="BV12">
        <f>BV11+IF(AND(BU12&lt;&gt;"",COUNTIF(BU$4:BU12,BU12)=1),1,0)</f>
        <v/>
      </c>
      <c r="BW12" s="55">
        <f>IF(ROW()-3&gt;MAX(BV$4:BV$40),"",INDEX(BU$4:BU$40,MATCH(ROW()-3,BV$4:BV$40,0)))</f>
        <v/>
      </c>
      <c r="BX12" s="138">
        <f>IF('Final Calculation Sheet'!$N$12="","",'Final Calculation Sheet'!$N$12)</f>
        <v/>
      </c>
      <c r="BY12">
        <f>IF(BX12="","",COUNTIFS(BX$4:BX$40,"&lt;"&amp;BX12,BX$4:BX$40,"&lt;&gt;"&amp;"")+COUNTIF(BX$4:BX12,BX12))</f>
        <v/>
      </c>
      <c r="BZ12" s="138">
        <f>IF(ROW()-3&gt;COUNTIF(BX$4:BX$40,"&lt;&gt;"&amp;""),"",INDEX(BX$4:BX$40,MATCH(ROW()-3,BY$4:BY$40,0)))</f>
        <v/>
      </c>
      <c r="CA12">
        <f>CA11+IF(AND(BZ12&lt;&gt;"",COUNTIF(BZ$4:BZ12,BZ12)=1),1,0)</f>
        <v/>
      </c>
      <c r="CB12" s="138">
        <f>IF(ROW()-3&gt;MAX(CA$4:CA$40),"",INDEX(BZ$4:BZ$40,MATCH(ROW()-3,CA$4:CA$40,0)))</f>
        <v/>
      </c>
      <c r="CC12" s="55">
        <f>IF('Final Calculation Sheet'!$O$12="","",'Final Calculation Sheet'!$O$12)</f>
        <v/>
      </c>
      <c r="CD12">
        <f>IF(CC12="","",COUNTIFS(CC$4:CC$40,"&lt;"&amp;CC12,CC$4:CC$40,"&lt;&gt;"&amp;"")+COUNTIF(CC$4:CC12,CC12))</f>
        <v/>
      </c>
      <c r="CE12" s="55">
        <f>IF(ROW()-3&gt;COUNTIF(CC$4:CC$40,"&lt;&gt;"&amp;""),"",INDEX(CC$4:CC$40,MATCH(ROW()-3,CD$4:CD$40,0)))</f>
        <v/>
      </c>
      <c r="CF12">
        <f>CF11+IF(AND(CE12&lt;&gt;"",COUNTIF(CE$4:CE12,CE12)=1),1,0)</f>
        <v/>
      </c>
      <c r="CG12" s="55">
        <f>IF(ROW()-3&gt;MAX(CF$4:CF$40),"",INDEX(CE$4:CE$40,MATCH(ROW()-3,CF$4:CF$40,0)))</f>
        <v/>
      </c>
      <c r="CH12" s="55">
        <f>IF('Final Calculation Sheet'!$P$12="","",'Final Calculation Sheet'!$P$12)</f>
        <v/>
      </c>
      <c r="CI12">
        <f>IF(CH12="","",COUNTIFS(CH$4:CH$40,"&lt;"&amp;CH12,CH$4:CH$40,"&lt;&gt;"&amp;"")+COUNTIF(CH$4:CH12,CH12))</f>
        <v/>
      </c>
      <c r="CJ12" s="55">
        <f>IF(ROW()-3&gt;COUNTIF(CH$4:CH$40,"&lt;&gt;"&amp;""),"",INDEX(CH$4:CH$40,MATCH(ROW()-3,CI$4:CI$40,0)))</f>
        <v/>
      </c>
      <c r="CK12">
        <f>CK11+IF(AND(CJ12&lt;&gt;"",COUNTIF(CJ$4:CJ12,CJ12)=1),1,0)</f>
        <v/>
      </c>
      <c r="CL12" s="55">
        <f>IF(ROW()-3&gt;MAX(CK$4:CK$40),"",INDEX(CJ$4:CJ$40,MATCH(ROW()-3,CK$4:CK$40,0)))</f>
        <v/>
      </c>
      <c r="CM12" s="139">
        <f>IF('Final Calculation Sheet'!$Q$12="","",'Final Calculation Sheet'!$Q$12)</f>
        <v/>
      </c>
      <c r="CN12">
        <f>IF(CM12="","",COUNTIFS(CM$4:CM$40,"&lt;"&amp;CM12,CM$4:CM$40,"&lt;&gt;"&amp;"")+COUNTIF(CM$4:CM12,CM12))</f>
        <v/>
      </c>
      <c r="CO12" s="139">
        <f>IF(ROW()-3&gt;COUNTIF(CM$4:CM$40,"&lt;&gt;"&amp;""),"",INDEX(CM$4:CM$40,MATCH(ROW()-3,CN$4:CN$40,0)))</f>
        <v/>
      </c>
      <c r="CP12">
        <f>CP11+IF(AND(CO12&lt;&gt;"",COUNTIF(CO$4:CO12,CO12)=1),1,0)</f>
        <v/>
      </c>
      <c r="CQ12">
        <f>IF(ROW()-3&gt;MAX(CP$4:CP$40),"",INDEX(CO$4:CO$40,MATCH(ROW()-3,CP$4:CP$40,0)))</f>
        <v/>
      </c>
      <c r="CR12" s="55">
        <f>IF('Final Calculation Sheet'!$R$12="","",'Final Calculation Sheet'!$R$12)</f>
        <v/>
      </c>
      <c r="CS12">
        <f>IF(CR12="","",COUNTIFS(CR$4:CR$40,"&lt;"&amp;CR12,CR$4:CR$40,"&lt;&gt;"&amp;"")+COUNTIF(CR$4:CR12,CR12))</f>
        <v/>
      </c>
      <c r="CT12" s="55">
        <f>IF(ROW()-3&gt;COUNTIF(CR$4:CR$40,"&lt;&gt;"&amp;""),"",INDEX(CR$4:CR$40,MATCH(ROW()-3,CS$4:CS$40,0)))</f>
        <v/>
      </c>
      <c r="CU12">
        <f>CU11+IF(AND(CT12&lt;&gt;"",COUNTIF(CT$4:CT12,CT12)=1),1,0)</f>
        <v/>
      </c>
      <c r="CV12">
        <f>IF(ROW()-3&gt;MAX(CU$4:CU$40),"",INDEX(CT$4:CT$40,MATCH(ROW()-3,CU$4:CU$40,0)))</f>
        <v/>
      </c>
      <c r="CW12" s="55">
        <f>IF('Final Calculation Sheet'!$S$12="","",'Final Calculation Sheet'!$S$12)</f>
        <v/>
      </c>
      <c r="CX12">
        <f>IF(CW12="","",COUNTIFS(CW$4:CW$40,"&lt;"&amp;CW12,CW$4:CW$40,"&lt;&gt;"&amp;"")+COUNTIF(CW$4:CW12,CW12))</f>
        <v/>
      </c>
      <c r="CY12" s="55">
        <f>IF(ROW()-3&gt;COUNTIF(CW$4:CW$40,"&lt;&gt;"&amp;""),"",INDEX(CW$4:CW$40,MATCH(ROW()-3,CX$4:CX$40,0)))</f>
        <v/>
      </c>
      <c r="CZ12">
        <f>CZ11+IF(AND(CY12&lt;&gt;"",COUNTIF(CY$4:CY12,CY12)=1),1,0)</f>
        <v/>
      </c>
      <c r="DA12" s="55">
        <f>IF(ROW()-3&gt;MAX(CZ$4:CZ$40),"",INDEX(CY$4:CY$40,MATCH(ROW()-3,CZ$4:CZ$40,0)))</f>
        <v/>
      </c>
      <c r="DB12" s="55">
        <f>IF('Final Calculation Sheet'!$T$12="","",'Final Calculation Sheet'!$T$12)</f>
        <v/>
      </c>
      <c r="DC12">
        <f>IF(DB12="","",COUNTIFS(DB$4:DB$40,"&lt;"&amp;DB12,DB$4:DB$40,"&lt;&gt;"&amp;"")+COUNTIF(DB$4:DB12,DB12))</f>
        <v/>
      </c>
      <c r="DD12" s="55">
        <f>IF(ROW()-3&gt;COUNTIF(DB$4:DB$40,"&lt;&gt;"&amp;""),"",INDEX(DB$4:DB$40,MATCH(ROW()-3,DC$4:DC$40,0)))</f>
        <v/>
      </c>
      <c r="DE12">
        <f>DE11+IF(AND(DD12&lt;&gt;"",COUNTIF(DD$4:DD12,DD12)=1),1,0)</f>
        <v/>
      </c>
      <c r="DF12" s="55">
        <f>IF(ROW()-3&gt;MAX(DE$4:DE$40),"",INDEX(DD$4:DD$40,MATCH(ROW()-3,DE$4:DE$40,0)))</f>
        <v/>
      </c>
      <c r="DG12" s="140">
        <f>IF('Final Calculation Sheet'!$U$12="","",'Final Calculation Sheet'!$U$12)</f>
        <v/>
      </c>
      <c r="DH12">
        <f>IF(DG12="","",COUNTIFS(DG$4:DG$40,"&lt;"&amp;DG12,DG$4:DG$40,"&lt;&gt;"&amp;"")+COUNTIF(DG$4:DG12,DG12))</f>
        <v/>
      </c>
      <c r="DI12" s="140">
        <f>IF(ROW()-3&gt;COUNTIF(DG$4:DG$40,"&lt;&gt;"&amp;""),"",INDEX(DG$4:DG$40,MATCH(ROW()-3,DH$4:DH$40,0)))</f>
        <v/>
      </c>
      <c r="DJ12">
        <f>DJ11+IF(AND(DI12&lt;&gt;"",COUNTIF(DI$4:DI12,DI12)=1),1,0)</f>
        <v/>
      </c>
      <c r="DK12" s="140">
        <f>IF(ROW()-3&gt;MAX(DJ$4:DJ$40),"",INDEX(DI$4:DI$40,MATCH(ROW()-3,DJ$4:DJ$40,0)))</f>
        <v/>
      </c>
      <c r="DL12">
        <f>IF('Final Calculation Sheet'!$V$12="","",'Final Calculation Sheet'!$V$12)</f>
        <v/>
      </c>
      <c r="DM12">
        <f>IF(DL12="","",COUNTIFS(DL$4:DL$40,"&lt;"&amp;DL12,DL$4:DL$40,"&lt;&gt;"&amp;"")+COUNTIF(DL$4:DL12,DL12))</f>
        <v/>
      </c>
      <c r="DN12">
        <f>IF(ROW()-3&gt;COUNTIF(DL$4:DL$40,"&lt;&gt;"&amp;""),"",INDEX(DL$4:DL$40,MATCH(ROW()-3,DM$4:DM$40,0)))</f>
        <v/>
      </c>
      <c r="DO12">
        <f>DO11+IF(AND(DN12&lt;&gt;"",COUNTIF(DN$4:DN12,DN12)=1),1,0)</f>
        <v/>
      </c>
      <c r="DP12">
        <f>IF(ROW()-3&gt;MAX(DO$4:DO$40),"",INDEX(DN$4:DN$40,MATCH(ROW()-3,DO$4:DO$40,0)))</f>
        <v/>
      </c>
      <c r="DQ12" s="55">
        <f>IF('Final Calculation Sheet'!$W$12="","",'Final Calculation Sheet'!$W$12)</f>
        <v/>
      </c>
      <c r="DR12">
        <f>IF(DQ12="","",COUNTIFS(DQ$4:DQ$40,"&lt;"&amp;DQ12,DQ$4:DQ$40,"&lt;&gt;"&amp;"")+COUNTIF(DQ$4:DQ12,DQ12))</f>
        <v/>
      </c>
      <c r="DS12" s="55">
        <f>IF(ROW()-3&gt;COUNTIF(DQ$4:DQ$40,"&lt;&gt;"&amp;""),"",INDEX(DQ$4:DQ$40,MATCH(ROW()-3,DR$4:DR$40,0)))</f>
        <v/>
      </c>
      <c r="DT12">
        <f>DT11+IF(AND(DS12&lt;&gt;"",COUNTIF(DS$4:DS12,DS12)=1),1,0)</f>
        <v/>
      </c>
      <c r="DU12" s="55">
        <f>IF(ROW()-3&gt;MAX(DT$4:DT$40),"",INDEX(DS$4:DS$40,MATCH(ROW()-3,DT$4:DT$40,0)))</f>
        <v/>
      </c>
      <c r="DV12" s="55">
        <f>IF('Final Calculation Sheet'!$X$12="","",'Final Calculation Sheet'!$X$12)</f>
        <v/>
      </c>
      <c r="DW12">
        <f>IF(DV12="","",COUNTIFS(DV$4:DV$40,"&lt;"&amp;DV12,DV$4:DV$40,"&lt;&gt;"&amp;"")+COUNTIF(DV$4:DV12,DV12))</f>
        <v/>
      </c>
      <c r="DX12" s="55">
        <f>IF(ROW()-3&gt;COUNTIF(DV$4:DV$40,"&lt;&gt;"&amp;""),"",INDEX(DV$4:DV$40,MATCH(ROW()-3,DW$4:DW$40,0)))</f>
        <v/>
      </c>
      <c r="DY12">
        <f>DY11+IF(AND(DX12&lt;&gt;"",COUNTIF(DX$4:DX12,DX12)=1),1,0)</f>
        <v/>
      </c>
      <c r="DZ12">
        <f>IF(ROW()-3&gt;MAX(DY$4:DY$40),"",INDEX(DX$4:DX$40,MATCH(ROW()-3,DY$4:DY$40,0)))</f>
        <v/>
      </c>
      <c r="EA12">
        <f>IF('Final Calculation Sheet'!$Y$12="","",'Final Calculation Sheet'!$Y$12)</f>
        <v/>
      </c>
      <c r="EB12">
        <f>IF(EA12="","",COUNTIFS(EA$4:EA$40,"&lt;"&amp;EA12,EA$4:EA$40,"&lt;&gt;"&amp;"")+COUNTIF(EA$4:EA12,EA12))</f>
        <v/>
      </c>
      <c r="EC12">
        <f>IF(ROW()-3&gt;COUNTIF(EA$4:EA$40,"&lt;&gt;"&amp;""),"",INDEX(EA$4:EA$40,MATCH(ROW()-3,EB$4:EB$40,0)))</f>
        <v/>
      </c>
      <c r="ED12">
        <f>ED11+IF(AND(EC12&lt;&gt;"",COUNTIF(EC$4:EC12,EC12)=1),1,0)</f>
        <v/>
      </c>
      <c r="EE12">
        <f>IF(ROW()-3&gt;MAX(ED$4:ED$40),"",INDEX(EC$4:EC$40,MATCH(ROW()-3,ED$4:ED$40,0)))</f>
        <v/>
      </c>
      <c r="EF12" s="55">
        <f>IF('Final Calculation Sheet'!$Z$12="","",'Final Calculation Sheet'!$Z$12)</f>
        <v/>
      </c>
      <c r="EG12">
        <f>IF(EF12="","",COUNTIFS(EF$4:EF$40,"&lt;"&amp;EF12,EF$4:EF$40,"&lt;&gt;"&amp;"")+COUNTIF(EF$4:EF12,EF12))</f>
        <v/>
      </c>
      <c r="EH12" s="55">
        <f>IF(ROW()-3&gt;COUNTIF(EF$4:EF$40,"&lt;&gt;"&amp;""),"",INDEX(EF$4:EF$40,MATCH(ROW()-3,EG$4:EG$40,0)))</f>
        <v/>
      </c>
      <c r="EI12">
        <f>EI11+IF(AND(EH12&lt;&gt;"",COUNTIF(EH$4:EH12,EH12)=1),1,0)</f>
        <v/>
      </c>
      <c r="EJ12">
        <f>IF(ROW()-3&gt;MAX(EI$4:EI$40),"",INDEX(EH$4:EH$40,MATCH(ROW()-3,EI$4:EI$40,0)))</f>
        <v/>
      </c>
      <c r="EK12">
        <f>IF('Final Calculation Sheet'!$AA$12="","",'Final Calculation Sheet'!$AA$12)</f>
        <v/>
      </c>
      <c r="EL12">
        <f>IF(EK12="","",COUNTIFS(EK$4:EK$40,"&lt;"&amp;EK12,EK$4:EK$40,"&lt;&gt;"&amp;"")+COUNTIF(EK$4:EK12,EK12))</f>
        <v/>
      </c>
      <c r="EM12">
        <f>IF(ROW()-3&gt;COUNTIF(EK$4:EK$40,"&lt;&gt;"&amp;""),"",INDEX(EK$4:EK$40,MATCH(ROW()-3,EL$4:EL$40,0)))</f>
        <v/>
      </c>
      <c r="EN12">
        <f>EN11+IF(AND(EM12&lt;&gt;"",COUNTIF(EM$4:EM12,EM12)=1),1,0)</f>
        <v/>
      </c>
      <c r="EO12">
        <f>IF(ROW()-3&gt;MAX(EN$4:EN$40),"",INDEX(EM$4:EM$40,MATCH(ROW()-3,EN$4:EN$40,0)))</f>
        <v/>
      </c>
      <c r="EP12">
        <f>IF('Final Calculation Sheet'!$AB$12="","",'Final Calculation Sheet'!$AB$12)</f>
        <v/>
      </c>
      <c r="EQ12">
        <f>IF(EP12="","",COUNTIFS(EP$4:EP$40,"&lt;"&amp;EP12,EP$4:EP$40,"&lt;&gt;"&amp;"")+COUNTIF(EP$4:EP12,EP12))</f>
        <v/>
      </c>
      <c r="ER12">
        <f>IF(ROW()-3&gt;COUNTIF(EP$4:EP$40,"&lt;&gt;"&amp;""),"",INDEX(EP$4:EP$40,MATCH(ROW()-3,EQ$4:EQ$40,0)))</f>
        <v/>
      </c>
      <c r="ES12">
        <f>ES11+IF(AND(ER12&lt;&gt;"",COUNTIF(ER$4:ER12,ER12)=1),1,0)</f>
        <v/>
      </c>
      <c r="ET12">
        <f>IF(ROW()-3&gt;MAX(ES$4:ES$40),"",INDEX(ER$4:ER$40,MATCH(ROW()-3,ES$4:ES$40,0)))</f>
        <v/>
      </c>
      <c r="EU12" s="55">
        <f>IF('Final Calculation Sheet'!$AC$12="","",'Final Calculation Sheet'!$AC$12)</f>
        <v/>
      </c>
      <c r="EV12">
        <f>IF(EU12="","",COUNTIFS(EU$4:EU$40,"&lt;"&amp;EU12,EU$4:EU$40,"&lt;&gt;"&amp;"")+COUNTIF(EU$4:EU12,EU12))</f>
        <v/>
      </c>
      <c r="EW12" s="55">
        <f>IF(ROW()-3&gt;COUNTIF(EU$4:EU$40,"&lt;&gt;"&amp;""),"",INDEX(EU$4:EU$40,MATCH(ROW()-3,EV$4:EV$40,0)))</f>
        <v/>
      </c>
      <c r="EX12">
        <f>EX11+IF(AND(EW12&lt;&gt;"",COUNTIF(EW$4:EW12,EW12)=1),1,0)</f>
        <v/>
      </c>
      <c r="EY12" s="55">
        <f>IF(ROW()-3&gt;MAX(EX$4:EX$40),"",INDEX(EW$4:EW$40,MATCH(ROW()-3,EX$4:EX$40,0)))</f>
        <v/>
      </c>
      <c r="EZ12" s="55">
        <f>IF('Final Calculation Sheet'!$AD$12="","",'Final Calculation Sheet'!$AD$12)</f>
        <v/>
      </c>
      <c r="FA12">
        <f>IF(EZ12="","",COUNTIFS(EZ$4:EZ$40,"&lt;"&amp;EZ12,EZ$4:EZ$40,"&lt;&gt;"&amp;"")+COUNTIF(EZ$4:EZ12,EZ12))</f>
        <v/>
      </c>
      <c r="FB12" s="55">
        <f>IF(ROW()-3&gt;COUNTIF(EZ$4:EZ$40,"&lt;&gt;"&amp;""),"",INDEX(EZ$4:EZ$40,MATCH(ROW()-3,FA$4:FA$40,0)))</f>
        <v/>
      </c>
      <c r="FC12">
        <f>FC11+IF(AND(FB12&lt;&gt;"",COUNTIF(FB$4:FB12,FB12)=1),1,0)</f>
        <v/>
      </c>
      <c r="FD12" s="55">
        <f>IF(ROW()-3&gt;MAX(FC$4:FC$40),"",INDEX(FB$4:FB$40,MATCH(ROW()-3,FC$4:FC$40,0)))</f>
        <v/>
      </c>
      <c r="FE12">
        <f>IF('Final Calculation Sheet'!$AF$12="","",'Final Calculation Sheet'!$AF$12)</f>
        <v/>
      </c>
      <c r="FF12">
        <f>IF(FE12="","",COUNTIFS(FE$4:FE$40,"&lt;"&amp;FE12,FE$4:FE$40,"&lt;&gt;"&amp;"")+COUNTIF(FE$4:FE12,FE12))</f>
        <v/>
      </c>
      <c r="FG12">
        <f>IF(ROW()-3&gt;COUNTIF(FE$4:FE$40,"&lt;&gt;"&amp;""),"",INDEX(FE$4:FE$40,MATCH(ROW()-3,FF$4:FF$40,0)))</f>
        <v/>
      </c>
      <c r="FH12">
        <f>FH11+IF(AND(FG12&lt;&gt;"",COUNTIF(FG$4:FG12,FG12)=1),1,0)</f>
        <v/>
      </c>
      <c r="FI12">
        <f>IF(ROW()-3&gt;MAX(FH$4:FH$40),"",INDEX(FG$4:FG$40,MATCH(ROW()-3,FH$4:FH$40,0)))</f>
        <v/>
      </c>
      <c r="FJ12" s="141">
        <f>IF('Final Calculation Sheet'!$AG$12="","",'Final Calculation Sheet'!$AG$12)</f>
        <v/>
      </c>
      <c r="FK12">
        <f>IF(FJ12="","",COUNTIFS(FJ$4:FJ$40,"&lt;"&amp;FJ12,FJ$4:FJ$40,"&lt;&gt;"&amp;"")+COUNTIF(FJ$4:FJ12,FJ12))</f>
        <v/>
      </c>
      <c r="FL12" s="141">
        <f>IF(ROW()-3&gt;COUNTIF(FJ$4:FJ$40,"&lt;&gt;"&amp;""),"",INDEX(FJ$4:FJ$40,MATCH(ROW()-3,FK$4:FK$40,0)))</f>
        <v/>
      </c>
      <c r="FM12">
        <f>FM11+IF(AND(FL12&lt;&gt;"",COUNTIF(FL$4:FL12,FL12)=1),1,0)</f>
        <v/>
      </c>
      <c r="FN12">
        <f>IF(ROW()-3&gt;MAX(FM$4:FM$40),"",INDEX(FL$4:FL$40,MATCH(ROW()-3,FM$4:FM$40,0)))</f>
        <v/>
      </c>
      <c r="FO12">
        <f>IF('Final Calculation Sheet'!$AH$12="","",'Final Calculation Sheet'!$AH$12)</f>
        <v/>
      </c>
      <c r="FP12">
        <f>IF(FO12="","",COUNTIFS(FO$4:FO$40,"&lt;"&amp;FO12,FO$4:FO$40,"&lt;&gt;"&amp;"")+COUNTIF(FO$4:FO12,FO12))</f>
        <v/>
      </c>
      <c r="FQ12">
        <f>IF(ROW()-3&gt;COUNTIF(FO$4:FO$40,"&lt;&gt;"&amp;""),"",INDEX(FO$4:FO$40,MATCH(ROW()-3,FP$4:FP$40,0)))</f>
        <v/>
      </c>
      <c r="FR12">
        <f>FR11+IF(AND(FQ12&lt;&gt;"",COUNTIF(FQ$4:FQ12,FQ12)=1),1,0)</f>
        <v/>
      </c>
      <c r="FS12">
        <f>IF(ROW()-3&gt;MAX(FR$4:FR$40),"",INDEX(FQ$4:FQ$40,MATCH(ROW()-3,FR$4:FR$40,0)))</f>
        <v/>
      </c>
      <c r="FU12">
        <f>IF(FT12="","",COUNTIFS(FT$4:FT$40,"&lt;"&amp;FT12,FT$4:FT$40,"&lt;&gt;"&amp;"")+COUNTIF(FT$4:FT12,FT12))</f>
        <v/>
      </c>
      <c r="FV12">
        <f>IF(ROW()-3&gt;COUNTIF(FT$4:FT$40,"&lt;&gt;"&amp;""),"",INDEX(FT$4:FT$40,MATCH(ROW()-3,FU$4:FU$40,0)))</f>
        <v/>
      </c>
      <c r="FW12">
        <f>FW11+IF(AND(FV12&lt;&gt;"",COUNTIF(FV$4:FV12,FV12)=1),1,0)</f>
        <v/>
      </c>
      <c r="FX12">
        <f>IF(ROW()-3&gt;MAX(FW$4:FW$40),"",INDEX(FV$4:FV$40,MATCH(ROW()-3,FW$4:FW$40,0)))</f>
        <v/>
      </c>
      <c r="FY12">
        <f>IF(COUNTIF('Live Search'!BM$11:BO$11,0)+COUNTIF('Live Search'!BQ$11:CU$11,0)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2">
        <f>IF($Y$12="",FALSE,SUMPRODUCT(('Final Calculation Sheet'!$B$4:$B$40=$Y$12)*($FY$6:$FY$42=1))&gt;0)</f>
        <v/>
      </c>
      <c r="GA12">
        <f>$GA$11+--($FZ$12)</f>
        <v/>
      </c>
      <c r="GB12">
        <f>IF(ROW()-3&gt;MAX($GA$4:$GA$40),"",INDEX($Y$4:$Y$40,MATCH(ROW()-3,$GA$4:$GA$40,0)))</f>
        <v/>
      </c>
      <c r="GC12">
        <f>IF(COUNTIF('Live Search'!BM$11:BM$11,0)+COUNTIF('Live Search'!BO$11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GD12">
        <f>IF($O$12="",FALSE,SUMPRODUCT(('Final Calculation Sheet'!$F$4:$F$40=$O$12)*($GC$6:$GC$42=1))&gt;0)</f>
        <v/>
      </c>
      <c r="GE12">
        <f>$GE$11+--($GD12)</f>
        <v/>
      </c>
      <c r="GF12">
        <f>IF(ROW()-3&gt;MAX($GE$4:$GE$40),"",INDEX($O$4:$O$40,MATCH(ROW()-3,$GE$4:$GE$40,0)))</f>
        <v/>
      </c>
      <c r="GG12">
        <f>IF(COUNTIF('Live Search'!BM$11:BN$11,0)+COUNTIF('Live Search'!BP$11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GH12">
        <f>IF($T$12="",FALSE,SUMPRODUCT(('Final Calculation Sheet'!$G$4:$G$40=$T$12)*($GG$6:$GG$42=1))&gt;0)</f>
        <v/>
      </c>
      <c r="GI12">
        <f>$GI$11+--($GH12)</f>
        <v/>
      </c>
      <c r="GJ12">
        <f>IF(ROW()-3&gt;MAX($GI$4:$GI$40),"",INDEX($T$4:$T$40,MATCH(ROW()-3,$GI$4:$GI$40,0)))</f>
        <v/>
      </c>
      <c r="GK12">
        <f>IF(COUNTIF('Live Search'!BM$11:BP$11,0)+COUNTIF('Live Search'!BR$11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GL12">
        <f>IF($AD$12="",FALSE,SUMPRODUCT(('Final Calculation Sheet'!$D$4:$D$40=$AD$12)*($GK$6:$GK$42=1))&gt;0)</f>
        <v/>
      </c>
      <c r="GM12">
        <f>$GM$11+--($GL12)</f>
        <v/>
      </c>
      <c r="GN12">
        <f>IF(ROW()-3&gt;MAX($GM$4:$GM$40),"",INDEX($AD$4:$AD$40,MATCH(ROW()-3,$GM$4:$GM$40,0)))</f>
        <v/>
      </c>
      <c r="GO12">
        <f>IF(COUNTIF('Live Search'!BM$11:BQ$11,0)+COUNTIF('Live Search'!BS$11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GP12">
        <f>IF($AI$12="",FALSE,SUMPRODUCT(('Final Calculation Sheet'!$A$4:$A$40=$AI$12)*($GO$6:$GO$42=1))&gt;0)</f>
        <v/>
      </c>
      <c r="GQ12">
        <f>$GQ$11+--($GP12)</f>
        <v/>
      </c>
      <c r="GR12">
        <f>IF(ROW()-3&gt;MAX($GQ$4:$GQ$40),"",INDEX($AI$4:$AI$40,MATCH(ROW()-3,$GQ$4:$GQ$40,0)))</f>
        <v/>
      </c>
      <c r="GS12">
        <f>IF(COUNTIF('Live Search'!BM$11:BR$11,0)+COUNTIF('Live Search'!BT$11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GT12">
        <f>IF($AN$12="",FALSE,SUMPRODUCT(('Final Calculation Sheet'!$E$4:$E$40=$AN$12)*($GS$6:$GS$42=1))&gt;0)</f>
        <v/>
      </c>
      <c r="GU12">
        <f>$GU$11+--($GT12)</f>
        <v/>
      </c>
      <c r="GV12">
        <f>IF(ROW()-3&gt;MAX($GU$4:$GU$40),"",INDEX($AN$4:$AN$40,MATCH(ROW()-3,$GU$4:$GU$40,0)))</f>
        <v/>
      </c>
      <c r="GW12">
        <f>IF(COUNTIF('Live Search'!BM$11:BS$11,0)+COUNTIF('Live Search'!BU$11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GX12">
        <f>IF($AS$12="",FALSE,SUMPRODUCT(('Final Calculation Sheet'!$C$4:$C$40=$AS$12)*($GW$6:$GW$42=1))&gt;0)</f>
        <v/>
      </c>
      <c r="GY12">
        <f>$GY$11+--($GX12)</f>
        <v/>
      </c>
      <c r="GZ12">
        <f>IF(ROW()-3&gt;MAX($GY$4:$GY$40),"",INDEX($AS$4:$AS$40,MATCH(ROW()-3,$GY$4:$GY$40,0)))</f>
        <v/>
      </c>
      <c r="HA12">
        <f>IF(COUNTIF('Live Search'!BM$11:BT$11,0)+COUNTIF('Live Search'!BV$11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HB12">
        <f>IF($AX$12="",FALSE,SUMPRODUCT(('Final Calculation Sheet'!$H$4:$H$40=$AX$12)*($HA$6:$HA$42=1))&gt;0)</f>
        <v/>
      </c>
      <c r="HC12">
        <f>$HC$11+--($HB12)</f>
        <v/>
      </c>
      <c r="HD12">
        <f>IF(ROW()-3&gt;MAX($HC$4:$HC$40),"",INDEX($AX$4:$AX$40,MATCH(ROW()-3,$HC$4:$HC$40,0)))</f>
        <v/>
      </c>
      <c r="HE12">
        <f>IF(COUNTIF('Live Search'!BM$11:BU$11,0)+COUNTIF('Live Search'!BW$11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HF12">
        <f>IF($BC$12="",FALSE,SUMPRODUCT(('Final Calculation Sheet'!$I$4:$I$40=$BC$12)*($HE$6:$HE$42=1))&gt;0)</f>
        <v/>
      </c>
      <c r="HG12">
        <f>$HG$11+--($HF12)</f>
        <v/>
      </c>
      <c r="HH12">
        <f>IF(ROW()-3&gt;MAX($HG$4:$HG$40),"",INDEX($BC$4:$BC$40,MATCH(ROW()-3,$HG$4:$HG$40,0)))</f>
        <v/>
      </c>
      <c r="HI12">
        <f>IF(COUNTIF('Live Search'!BM$11:BV$11,0)+COUNTIF('Live Search'!BX$11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HJ12">
        <f>IF($BH$12="",FALSE,SUMPRODUCT(('Final Calculation Sheet'!$J$4:$J$40=$BH$12)*($HI$6:$HI$42=1))&gt;0)</f>
        <v/>
      </c>
      <c r="HK12">
        <f>$HK$11+--($HJ12)</f>
        <v/>
      </c>
      <c r="HL12">
        <f>IF(ROW()-3&gt;MAX($HK$4:$HK$40),"",INDEX($BH$4:$BH$40,MATCH(ROW()-3,$HK$4:$HK$40,0)))</f>
        <v/>
      </c>
      <c r="HM12">
        <f>IF(COUNTIF('Live Search'!BM$11:BW$11,0)+COUNTIF('Live Search'!BY$11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HN12">
        <f>IF($BM$12="",FALSE,SUMPRODUCT(('Final Calculation Sheet'!$K$4:$K$40=$BM$12)*($HM$6:$HM$42=1))&gt;0)</f>
        <v/>
      </c>
      <c r="HO12">
        <f>$HO$11+--($HN12)</f>
        <v/>
      </c>
      <c r="HP12">
        <f>IF(ROW()-3&gt;MAX($HO$4:$HO$40),"",INDEX($BM$4:$BM$40,MATCH(ROW()-3,$HO$4:$HO$40,0)))</f>
        <v/>
      </c>
      <c r="HQ12">
        <f>IF(COUNTIF('Live Search'!BM$11:BX$11,0)+COUNTIF('Live Search'!BZ$11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HR12">
        <f>IF($BR$12="",FALSE,SUMPRODUCT(('Final Calculation Sheet'!$L$4:$L$40=$BR$12)*($HQ$6:$HQ$42=1))&gt;0)</f>
        <v/>
      </c>
      <c r="HS12">
        <f>$HS$11+--($HR12)</f>
        <v/>
      </c>
      <c r="HT12">
        <f>IF(ROW()-3&gt;MAX($HS$4:$HS$40),"",INDEX($BR$4:$BR$40,MATCH(ROW()-3,$HS$4:$HS$40,0)))</f>
        <v/>
      </c>
      <c r="HU12">
        <f>IF(COUNTIF('Live Search'!BM$11:BY$11,0)+COUNTIF('Live Search'!CA$11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HV12">
        <f>IF($BW$12="",FALSE,SUMPRODUCT(('Final Calculation Sheet'!$M$4:$M$40=$BW$12)*($HU$6:$HU$42=1))&gt;0)</f>
        <v/>
      </c>
      <c r="HW12">
        <f>$HW$11+--($HV12)</f>
        <v/>
      </c>
      <c r="HX12">
        <f>IF(ROW()-3&gt;MAX($HW$4:$HW$40),"",INDEX($BW$4:$BW$40,MATCH(ROW()-3,$HW$4:$HW$40,0)))</f>
        <v/>
      </c>
      <c r="HY12">
        <f>IF(COUNTIF('Live Search'!BM$11:BZ$11,0)+COUNTIF('Live Search'!CB$11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HZ12">
        <f>IF($CB$12="",FALSE,SUMPRODUCT(('Final Calculation Sheet'!$N$4:$N$40=$CB$12)*($HY$6:$HY$42=1))&gt;0)</f>
        <v/>
      </c>
      <c r="IA12">
        <f>$IA$11+--($HZ12)</f>
        <v/>
      </c>
      <c r="IB12">
        <f>IF(ROW()-3&gt;MAX($IA$4:$IA$40),"",INDEX($CB$4:$CB$40,MATCH(ROW()-3,$IA$4:$IA$40,0)))</f>
        <v/>
      </c>
      <c r="IC12">
        <f>IF(COUNTIF('Live Search'!BM$11:CA$11,0)+COUNTIF('Live Search'!CC$11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ID12">
        <f>IF($CG$12="",FALSE,SUMPRODUCT(('Final Calculation Sheet'!$O$4:$O$40=$CG$12)*($IC$6:$IC$42=1))&gt;0)</f>
        <v/>
      </c>
      <c r="IE12">
        <f>$IE$11+--($ID12)</f>
        <v/>
      </c>
      <c r="IF12">
        <f>IF(ROW()-3&gt;MAX($IE$4:$IE$40),"",INDEX($CG$4:$CG$40,MATCH(ROW()-3,$IE$4:$IE$40,0)))</f>
        <v/>
      </c>
      <c r="IG12">
        <f>IF(COUNTIF('Live Search'!BM$11:CB$11,0)+COUNTIF('Live Search'!CD$11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IH12">
        <f>IF($CL$12="",FALSE,SUMPRODUCT(('Final Calculation Sheet'!$P$4:$P$40=$CL$12)*($IG$6:$IG$42=1))&gt;0)</f>
        <v/>
      </c>
      <c r="II12">
        <f>$II$11+--($IH12)</f>
        <v/>
      </c>
      <c r="IJ12">
        <f>IF(ROW()-3&gt;MAX($II$4:$II$40),"",INDEX($CL$4:$CL$40,MATCH(ROW()-3,$II$4:$II$40,0)))</f>
        <v/>
      </c>
      <c r="IK12">
        <f>IF(COUNTIF('Live Search'!BM$11:CC$11,0)+COUNTIF('Live Search'!CE$11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IL12">
        <f>IF($CQ$12="",FALSE,SUMPRODUCT(('Final Calculation Sheet'!$Q$4:$Q$40=$CQ$12)*($IK$6:$IK$42=1))&gt;0)</f>
        <v/>
      </c>
      <c r="IM12">
        <f>$IM$11+--($IL12)</f>
        <v/>
      </c>
      <c r="IN12">
        <f>IF(ROW()-3&gt;MAX($IM$4:$IM$40),"",INDEX($CQ$4:$CQ$40,MATCH(ROW()-3,$IM$4:$IM$40,0)))</f>
        <v/>
      </c>
      <c r="IO12">
        <f>IF(COUNTIF('Live Search'!BM$11:CD$11,0)+COUNTIF('Live Search'!CF$11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IP12">
        <f>IF($CV$12="",FALSE,SUMPRODUCT(('Final Calculation Sheet'!$R$4:$R$40=$CV$12)*($IO$6:$IO$42=1))&gt;0)</f>
        <v/>
      </c>
      <c r="IQ12">
        <f>$IQ$11+--($IP12)</f>
        <v/>
      </c>
      <c r="IR12">
        <f>IF(ROW()-3&gt;MAX($IQ$4:$IQ$40),"",INDEX($CV$4:$CV$40,MATCH(ROW()-3,$IQ$4:$IQ$40,0)))</f>
        <v/>
      </c>
      <c r="IS12">
        <f>IF(COUNTIF('Live Search'!BM$11:CE$11,0)+COUNTIF('Live Search'!CG$11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IT12">
        <f>IF($DA$12="",FALSE,SUMPRODUCT(('Final Calculation Sheet'!$S$4:$S$40=$DA$12)*($IS$6:$IS$42=1))&gt;0)</f>
        <v/>
      </c>
      <c r="IU12">
        <f>$IU$11+--($IT12)</f>
        <v/>
      </c>
      <c r="IV12">
        <f>IF(ROW()-3&gt;MAX($IU$4:$IU$40),"",INDEX($DA$4:$DA$40,MATCH(ROW()-3,$IU$4:$IU$40,0)))</f>
        <v/>
      </c>
      <c r="IW12">
        <f>IF(COUNTIF('Live Search'!BM$11:CF$11,0)+COUNTIF('Live Search'!CH$11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IX12">
        <f>IF($DF$12="",FALSE,SUMPRODUCT(('Final Calculation Sheet'!$T$4:$T$40=$DF$12)*($IW$6:$IW$42=1))&gt;0)</f>
        <v/>
      </c>
      <c r="IY12">
        <f>$IY$11+--($IX12)</f>
        <v/>
      </c>
      <c r="IZ12">
        <f>IF(ROW()-3&gt;MAX($IY$4:$IY$40),"",INDEX($DF$4:$DF$40,MATCH(ROW()-3,$IY$4:$IY$40,0)))</f>
        <v/>
      </c>
      <c r="JA12">
        <f>IF(COUNTIF('Live Search'!BM$11:CG$11,0)+COUNTIF('Live Search'!CI$11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JB12">
        <f>IF($DK$12="",FALSE,SUMPRODUCT(('Final Calculation Sheet'!$U$4:$U$40=$DK$12)*($JA$6:$JA$42=1))&gt;0)</f>
        <v/>
      </c>
      <c r="JC12">
        <f>$JC$11+--($JB12)</f>
        <v/>
      </c>
      <c r="JD12">
        <f>IF(ROW()-3&gt;MAX($JC$4:$JC$40),"",INDEX($DK$4:$DK$40,MATCH(ROW()-3,$JC$4:$JC$40,0)))</f>
        <v/>
      </c>
      <c r="JE12">
        <f>IF(COUNTIF('Live Search'!BM$11:CH$11,0)+COUNTIF('Live Search'!CJ$11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JF12">
        <f>IF($DP$12="",FALSE,SUMPRODUCT(('Final Calculation Sheet'!$V$4:$V$40=$DP$12)*($JE$6:$JE$42=1))&gt;0)</f>
        <v/>
      </c>
      <c r="JG12">
        <f>$JG$11+--($JF12)</f>
        <v/>
      </c>
      <c r="JH12">
        <f>IF(ROW()-3&gt;MAX($JG$4:$JG$40),"",INDEX($DP$4:$DP$40,MATCH(ROW()-3,$JG$4:$JG$40,0)))</f>
        <v/>
      </c>
      <c r="JI12">
        <f>IF(COUNTIF('Live Search'!BM$11:CI$11,0)+COUNTIF('Live Search'!CK$11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JJ12">
        <f>IF($DU$12="",FALSE,SUMPRODUCT(('Final Calculation Sheet'!$W$4:$W$40=$DU$12)*($JI$6:$JI$42=1))&gt;0)</f>
        <v/>
      </c>
      <c r="JK12">
        <f>$JK$11+--($JJ12)</f>
        <v/>
      </c>
      <c r="JL12">
        <f>IF(ROW()-3&gt;MAX($JK$4:$JK$40),"",INDEX($DU$4:$DU$40,MATCH(ROW()-3,$JK$4:$JK$40,0)))</f>
        <v/>
      </c>
      <c r="JM12">
        <f>IF(COUNTIF('Live Search'!BM$11:CJ$11,0)+COUNTIF('Live Search'!CL$11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JN12">
        <f>IF($DZ$12="",FALSE,SUMPRODUCT(('Final Calculation Sheet'!$X$4:$X$40=$DZ$12)*($JM$6:$JM$42=1))&gt;0)</f>
        <v/>
      </c>
      <c r="JO12">
        <f>$JO$11+--($JN12)</f>
        <v/>
      </c>
      <c r="JP12">
        <f>IF(ROW()-3&gt;MAX($JO$4:$JO$40),"",INDEX($DZ$4:$DZ$40,MATCH(ROW()-3,$JO$4:$JO$40,0)))</f>
        <v/>
      </c>
      <c r="JQ12">
        <f>IF(COUNTIF('Live Search'!BM$11:CK$11,0)+COUNTIF('Live Search'!CM$11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JR12">
        <f>IF($EE$12="",FALSE,SUMPRODUCT(('Final Calculation Sheet'!$Y$4:$Y$40=$EE$12)*($JQ$6:$JQ$42=1))&gt;0)</f>
        <v/>
      </c>
      <c r="JS12">
        <f>$JS$11+--($JR12)</f>
        <v/>
      </c>
      <c r="JT12">
        <f>IF(ROW()-3&gt;MAX($JS$4:$JS$40),"",INDEX($EE$4:$EE$40,MATCH(ROW()-3,$JS$4:$JS$40,0)))</f>
        <v/>
      </c>
      <c r="JU12">
        <f>IF(COUNTIF('Live Search'!BM$11:CL$11,0)+COUNTIF('Live Search'!CN$11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JV12">
        <f>IF($EJ$12="",FALSE,SUMPRODUCT(('Final Calculation Sheet'!$Z$4:$Z$40=$EJ$12)*($JU$6:$JU$42=1))&gt;0)</f>
        <v/>
      </c>
      <c r="JW12">
        <f>$JW$11+--($JV12)</f>
        <v/>
      </c>
      <c r="JX12">
        <f>IF(ROW()-3&gt;MAX($JW$4:$JW$40),"",INDEX($EJ$4:$EJ$40,MATCH(ROW()-3,$JW$4:$JW$40,0)))</f>
        <v/>
      </c>
      <c r="JY12">
        <f>IF(COUNTIF('Live Search'!BM$11:CM$11,0)+COUNTIF('Live Search'!CO$11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JZ12">
        <f>IF($EO$12="",FALSE,SUMPRODUCT(('Final Calculation Sheet'!$AA$4:$AA$40=$EO$12)*($JY$6:$JY$42=1))&gt;0)</f>
        <v/>
      </c>
      <c r="KA12">
        <f>$KA$11+--($JZ12)</f>
        <v/>
      </c>
      <c r="KB12">
        <f>IF(ROW()-3&gt;MAX($KA$4:$KA$40),"",INDEX($EO$4:$EO$40,MATCH(ROW()-3,$KA$4:$KA$40,0)))</f>
        <v/>
      </c>
      <c r="KC12">
        <f>IF(COUNTIF('Live Search'!BM$11:CN$11,0)+COUNTIF('Live Search'!CP$11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KD12">
        <f>IF($ET$12="",FALSE,SUMPRODUCT(('Final Calculation Sheet'!$AB$4:$AB$40=$ET$12)*($KC$6:$KC$42=1))&gt;0)</f>
        <v/>
      </c>
      <c r="KE12">
        <f>$KE$11+--($KD12)</f>
        <v/>
      </c>
      <c r="KF12">
        <f>IF(ROW()-3&gt;MAX($KE$4:$KE$40),"",INDEX($ET$4:$ET$40,MATCH(ROW()-3,$KE$4:$KE$40,0)))</f>
        <v/>
      </c>
      <c r="KG12">
        <f>IF(COUNTIF('Live Search'!BM$11:CO$11,0)+COUNTIF('Live Search'!CQ$11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KH12">
        <f>IF($EY$12="",FALSE,SUMPRODUCT(('Final Calculation Sheet'!$AC$4:$AC$40=$EY$12)*($KG$6:$KG$42=1))&gt;0)</f>
        <v/>
      </c>
      <c r="KI12">
        <f>$KI$11+--($KH12)</f>
        <v/>
      </c>
      <c r="KJ12">
        <f>IF(ROW()-3&gt;MAX($KI$4:$KI$40),"",INDEX($EY$4:$EY$40,MATCH(ROW()-3,$KI$4:$KI$40,0)))</f>
        <v/>
      </c>
      <c r="KK12">
        <f>IF(COUNTIF('Live Search'!BM$11:CP$11,0)+COUNTIF('Live Search'!CR$11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KL12">
        <f>IF($FD$12="",FALSE,SUMPRODUCT(('Final Calculation Sheet'!$AD$4:$AD$40=$FD$12)*($KK$6:$KK$42=1))&gt;0)</f>
        <v/>
      </c>
      <c r="KM12">
        <f>$KM$11+--($KL12)</f>
        <v/>
      </c>
      <c r="KN12">
        <f>IF(ROW()-3&gt;MAX($KM$4:$KM$40),"",INDEX($FD$4:$FD$40,MATCH(ROW()-3,$KM$4:$KM$40,0)))</f>
        <v/>
      </c>
      <c r="KO12">
        <f>IF(COUNTIF('Live Search'!BM$11:CT$11,0)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KP12">
        <f>IF($FX$12="",FALSE,SUMPRODUCT((IF('Final Calculation Sheet'!$AD$4:$AD$40&lt;=5,"SETTLED","OUTSTANDING")=$FX$12)*($KO$6:$KO$42=1))&gt;0)</f>
        <v/>
      </c>
      <c r="KQ12">
        <f>$KQ$11+--($KP12)</f>
        <v/>
      </c>
      <c r="KR12">
        <f>IF(ROW()-3&gt;MAX($KQ$4:$KQ$40),"",INDEX($FX$4:$FX$40,MATCH(ROW()-3,$KQ$4:$KQ$40,0)))</f>
        <v/>
      </c>
      <c r="KS12">
        <f>IF(COUNTIF('Live Search'!BM$11:CQ$11,0)+COUNTIF('Live Search'!CS$11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KT12">
        <f>IF($FI$12="",FALSE,SUMPRODUCT(('Final Calculation Sheet'!$AF$4:$AF$40=$FI$12)*($KS$6:$KS$42=1))&gt;0)</f>
        <v/>
      </c>
      <c r="KU12">
        <f>$KU$11+--($KT12)</f>
        <v/>
      </c>
      <c r="KV12">
        <f>IF(ROW()-3&gt;MAX($KU$4:$KU$40),"",INDEX($FI$4:$FI$40,MATCH(ROW()-3,$KU$4:$KU$40,0)))</f>
        <v/>
      </c>
      <c r="KW12">
        <f>IF(COUNTIF('Live Search'!BM$11:CR$11,0)+COUNTIF('Live Search'!CT$11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KX12">
        <f>IF($FN$12="",FALSE,SUMPRODUCT(('Final Calculation Sheet'!$AG$4:$AG$40=$FN$12)*($KW$6:$KW$42=1))&gt;0)</f>
        <v/>
      </c>
      <c r="KY12">
        <f>$KY$11+--($KX12)</f>
        <v/>
      </c>
      <c r="KZ12">
        <f>IF(ROW()-3&gt;MAX($KY$4:$KY$40),"",INDEX($FN$4:$FN$40,MATCH(ROW()-3,$KY$4:$KY$40,0)))</f>
        <v/>
      </c>
      <c r="LA12">
        <f>IF(COUNTIF('Live Search'!BM$11:CS$11,0)+COUNTIF('Live Search'!CU$11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LB12">
        <f>IF($FS$12="",FALSE,SUMPRODUCT(('Final Calculation Sheet'!$AH$4:$AH$40=$FS$12)*($LA$6:$LA$42=1))&gt;0)</f>
        <v/>
      </c>
      <c r="LC12">
        <f>$LC$11+--($LB12)</f>
        <v/>
      </c>
      <c r="LD12">
        <f>IF(ROW()-3&gt;MAX($LC$4:$LC$40),"",INDEX($FS$4:$FS$40,MATCH(ROW()-3,$LC$4:$LC$40,0)))</f>
        <v/>
      </c>
      <c r="LE12">
        <f>IF(COUNTIF('Buyer Groups'!DH65:EN65,0)&gt;0,0,1)</f>
        <v/>
      </c>
      <c r="LF12">
        <f>IF($O$12="",FALSE,SUMPRODUCT(('Final Calculation Sheet'!$F$4:$F$40=$O$12)*($LE$6:$LE$42=1))&gt;0)</f>
        <v/>
      </c>
      <c r="LG12">
        <f>$LG$11+--($LF12)</f>
        <v/>
      </c>
      <c r="LH12">
        <f>IF(ROW()-3&gt;MAX($LG$4:$LG$40),"",INDEX($O$4:$O$40,MATCH(ROW()-3,$LG$4:$LG$40,0)))</f>
        <v/>
      </c>
      <c r="LI12">
        <f>IF(COUNTIF('Buyer Groups'!DG65:DG65,0)+COUNTIF('Buyer Groups'!DI65:EN65,0)&gt;0,0,1)</f>
        <v/>
      </c>
      <c r="LJ12">
        <f>IF($T$12="",FALSE,SUMPRODUCT(('Final Calculation Sheet'!$G$4:$G$40=$T$12)*($LI$6:$LI$42=1))&gt;0)</f>
        <v/>
      </c>
      <c r="LK12">
        <f>$LK$11+--($LJ12)</f>
        <v/>
      </c>
      <c r="LL12">
        <f>IF(ROW()-3&gt;MAX($LK$4:$LK$40),"",INDEX($T$4:$T$40,MATCH(ROW()-3,$LK$4:$LK$40,0)))</f>
        <v/>
      </c>
      <c r="LM12">
        <f>IF(COUNTIF('Buyer Groups'!DG65:DH65,0)+COUNTIF('Buyer Groups'!DJ65:EN65,0)&gt;0,0,1)</f>
        <v/>
      </c>
      <c r="LN12">
        <f>IF($Y$12="",FALSE,SUMPRODUCT(('Final Calculation Sheet'!$B$4:$B$40=$Y$12)*($LM$6:$LM$42=1))&gt;0)</f>
        <v/>
      </c>
      <c r="LO12">
        <f>$LO$11+--($LN12)</f>
        <v/>
      </c>
      <c r="LP12">
        <f>IF(ROW()-3&gt;MAX($LO$4:$LO$40),"",INDEX($Y$4:$Y$40,MATCH(ROW()-3,$LO$4:$LO$40,0)))</f>
        <v/>
      </c>
      <c r="LQ12">
        <f>IF(COUNTIF('Buyer Groups'!DG65:DI65,0)+COUNTIF('Buyer Groups'!DK65:EN65,0)&gt;0,0,1)</f>
        <v/>
      </c>
      <c r="LR12">
        <f>IF($AD$12="",FALSE,SUMPRODUCT(('Final Calculation Sheet'!$D$4:$D$40=$AD$12)*($LQ$6:$LQ$42=1))&gt;0)</f>
        <v/>
      </c>
      <c r="LS12">
        <f>$LS$11+--($LR12)</f>
        <v/>
      </c>
      <c r="LT12">
        <f>IF(ROW()-3&gt;MAX($LS$4:$LS$40),"",INDEX($AD$4:$AD$40,MATCH(ROW()-3,$LS$4:$LS$40,0)))</f>
        <v/>
      </c>
      <c r="LU12">
        <f>IF(COUNTIF('Buyer Groups'!DG65:DJ65,0)+COUNTIF('Buyer Groups'!DL65:EN65,0)&gt;0,0,1)</f>
        <v/>
      </c>
      <c r="LV12">
        <f>IF($AI$12="",FALSE,SUMPRODUCT(('Final Calculation Sheet'!$A$4:$A$40=$AI$12)*($LU$6:$LU$42=1))&gt;0)</f>
        <v/>
      </c>
      <c r="LW12">
        <f>$LW$11+--($LV12)</f>
        <v/>
      </c>
      <c r="LX12">
        <f>IF(ROW()-3&gt;MAX($LW$4:$LW$40),"",INDEX($AI$4:$AI$40,MATCH(ROW()-3,$LW$4:$LW$40,0)))</f>
        <v/>
      </c>
      <c r="LY12">
        <f>IF(COUNTIF('Buyer Groups'!DG65:DK65,0)+COUNTIF('Buyer Groups'!DM65:EN65,0)&gt;0,0,1)</f>
        <v/>
      </c>
      <c r="LZ12">
        <f>IF($AN$12="",FALSE,SUMPRODUCT(('Final Calculation Sheet'!$E$4:$E$40=$AN$12)*($LY$6:$LY$42=1))&gt;0)</f>
        <v/>
      </c>
      <c r="MA12">
        <f>$MA$11+--($LZ12)</f>
        <v/>
      </c>
      <c r="MB12">
        <f>IF(ROW()-3&gt;MAX($MA$4:$MA$40),"",INDEX($AN$4:$AN$40,MATCH(ROW()-3,$MA$4:$MA$40,0)))</f>
        <v/>
      </c>
      <c r="MC12">
        <f>IF(COUNTIF('Buyer Groups'!DG65:DL65,0)+COUNTIF('Buyer Groups'!DN65:EN65,0)&gt;0,0,1)</f>
        <v/>
      </c>
      <c r="MD12">
        <f>IF($AS$12="",FALSE,SUMPRODUCT(('Final Calculation Sheet'!$C$4:$C$40=$AS$12)*($MC$6:$MC$42=1))&gt;0)</f>
        <v/>
      </c>
      <c r="ME12">
        <f>$ME$11+--($MD12)</f>
        <v/>
      </c>
      <c r="MF12">
        <f>IF(ROW()-3&gt;MAX($ME$4:$ME$40),"",INDEX($AS$4:$AS$40,MATCH(ROW()-3,$ME$4:$ME$40,0)))</f>
        <v/>
      </c>
      <c r="MG12">
        <f>IF(COUNTIF('Buyer Groups'!DG65:DM65,0)+COUNTIF('Buyer Groups'!DO65:EN65,0)&gt;0,0,1)</f>
        <v/>
      </c>
      <c r="MH12">
        <f>IF($AX$12="",FALSE,SUMPRODUCT(('Final Calculation Sheet'!$H$4:$H$40=$AX$12)*($MG$6:$MG$42=1))&gt;0)</f>
        <v/>
      </c>
      <c r="MI12">
        <f>$MI$11+--($MH12)</f>
        <v/>
      </c>
      <c r="MJ12">
        <f>IF(ROW()-3&gt;MAX($MI$4:$MI$40),"",INDEX($AX$4:$AX$40,MATCH(ROW()-3,$MI$4:$MI$40,0)))</f>
        <v/>
      </c>
      <c r="MK12">
        <f>IF(COUNTIF('Buyer Groups'!DG65:DN65,0)+COUNTIF('Buyer Groups'!DP65:EN65,0)&gt;0,0,1)</f>
        <v/>
      </c>
      <c r="ML12">
        <f>IF($BC$12="",FALSE,SUMPRODUCT(('Final Calculation Sheet'!$I$4:$I$40=$BC$12)*($MK$6:$MK$42=1))&gt;0)</f>
        <v/>
      </c>
      <c r="MM12">
        <f>$MM$11+--($ML12)</f>
        <v/>
      </c>
      <c r="MN12">
        <f>IF(ROW()-3&gt;MAX($MM$4:$MM$40),"",INDEX($BC$4:$BC$40,MATCH(ROW()-3,$MM$4:$MM$40,0)))</f>
        <v/>
      </c>
      <c r="MO12">
        <f>IF(COUNTIF('Buyer Groups'!DG65:DO65,0)+COUNTIF('Buyer Groups'!DQ65:EN65,0)&gt;0,0,1)</f>
        <v/>
      </c>
      <c r="MP12">
        <f>IF($BH$12="",FALSE,SUMPRODUCT(('Final Calculation Sheet'!$J$4:$J$40=$BH$12)*($MO$6:$MO$42=1))&gt;0)</f>
        <v/>
      </c>
      <c r="MQ12">
        <f>$MQ$11+--($MP12)</f>
        <v/>
      </c>
      <c r="MR12">
        <f>IF(ROW()-3&gt;MAX($MQ$4:$MQ$40),"",INDEX($BH$4:$BH$40,MATCH(ROW()-3,$MQ$4:$MQ$40,0)))</f>
        <v/>
      </c>
      <c r="MS12">
        <f>IF(COUNTIF('Buyer Groups'!DG65:DP65,0)+COUNTIF('Buyer Groups'!DR65:EN65,0)&gt;0,0,1)</f>
        <v/>
      </c>
      <c r="MT12">
        <f>IF($BM$12="",FALSE,SUMPRODUCT(('Final Calculation Sheet'!$K$4:$K$40=$BM$12)*($MS$6:$MS$42=1))&gt;0)</f>
        <v/>
      </c>
      <c r="MU12">
        <f>$MU$11+--($MT12)</f>
        <v/>
      </c>
      <c r="MV12">
        <f>IF(ROW()-3&gt;MAX($MU$4:$MU$40),"",INDEX($BM$4:$BM$40,MATCH(ROW()-3,$MU$4:$MU$40,0)))</f>
        <v/>
      </c>
      <c r="MW12">
        <f>IF(COUNTIF('Buyer Groups'!DG65:DQ65,0)+COUNTIF('Buyer Groups'!DS65:EN65,0)&gt;0,0,1)</f>
        <v/>
      </c>
      <c r="MX12">
        <f>IF($BR$12="",FALSE,SUMPRODUCT(('Final Calculation Sheet'!$L$4:$L$40=$BR$12)*($MW$6:$MW$42=1))&gt;0)</f>
        <v/>
      </c>
      <c r="MY12">
        <f>$MY$11+--($MX12)</f>
        <v/>
      </c>
      <c r="MZ12">
        <f>IF(ROW()-3&gt;MAX($MY$4:$MY$40),"",INDEX($BR$4:$BR$40,MATCH(ROW()-3,$MY$4:$MY$40,0)))</f>
        <v/>
      </c>
      <c r="NA12">
        <f>IF(COUNTIF('Buyer Groups'!DG65:DR65,0)+COUNTIF('Buyer Groups'!DT65:EN65,0)&gt;0,0,1)</f>
        <v/>
      </c>
      <c r="NB12">
        <f>IF($BW$12="",FALSE,SUMPRODUCT(('Final Calculation Sheet'!$M$4:$M$40=$BW$12)*($NA$6:$NA$42=1))&gt;0)</f>
        <v/>
      </c>
      <c r="NC12">
        <f>$NC$11+--($NB12)</f>
        <v/>
      </c>
      <c r="ND12">
        <f>IF(ROW()-3&gt;MAX($NC$4:$NC$40),"",INDEX($BW$4:$BW$40,MATCH(ROW()-3,$NC$4:$NC$40,0)))</f>
        <v/>
      </c>
      <c r="NE12">
        <f>IF(COUNTIF('Buyer Groups'!DG65:DS65,0)+COUNTIF('Buyer Groups'!DU65:EN65,0)&gt;0,0,1)</f>
        <v/>
      </c>
      <c r="NF12">
        <f>IF($CB$12="",FALSE,SUMPRODUCT(('Final Calculation Sheet'!$N$4:$N$40=$CB$12)*($NE$6:$NE$42=1))&gt;0)</f>
        <v/>
      </c>
      <c r="NG12">
        <f>$NG$11+--($NF12)</f>
        <v/>
      </c>
      <c r="NH12">
        <f>IF(ROW()-3&gt;MAX($NG$4:$NG$40),"",INDEX($CB$4:$CB$40,MATCH(ROW()-3,$NG$4:$NG$40,0)))</f>
        <v/>
      </c>
      <c r="NI12">
        <f>IF(COUNTIF('Buyer Groups'!DG65:DT65,0)+COUNTIF('Buyer Groups'!DV65:EN65,0)&gt;0,0,1)</f>
        <v/>
      </c>
      <c r="NJ12">
        <f>IF($CG$12="",FALSE,SUMPRODUCT(('Final Calculation Sheet'!$O$4:$O$40=$CG$12)*($NI$6:$NI$42=1))&gt;0)</f>
        <v/>
      </c>
      <c r="NK12">
        <f>$NK$11+--($NJ12)</f>
        <v/>
      </c>
      <c r="NL12">
        <f>IF(ROW()-3&gt;MAX($NK$4:$NK$40),"",INDEX($CG$4:$CG$40,MATCH(ROW()-3,$NK$4:$NK$40,0)))</f>
        <v/>
      </c>
      <c r="NM12">
        <f>IF(COUNTIF('Buyer Groups'!DG65:DU65,0)+COUNTIF('Buyer Groups'!DW65:EN65,0)&gt;0,0,1)</f>
        <v/>
      </c>
      <c r="NN12">
        <f>IF($CL$12="",FALSE,SUMPRODUCT(('Final Calculation Sheet'!$P$4:$P$40=$CL$12)*($NM$6:$NM$42=1))&gt;0)</f>
        <v/>
      </c>
      <c r="NO12">
        <f>$NO$11+--($NN12)</f>
        <v/>
      </c>
      <c r="NP12">
        <f>IF(ROW()-3&gt;MAX($NO$4:$NO$40),"",INDEX($CL$4:$CL$40,MATCH(ROW()-3,$NO$4:$NO$40,0)))</f>
        <v/>
      </c>
      <c r="NQ12">
        <f>IF(COUNTIF('Buyer Groups'!DG65:DV65,0)+COUNTIF('Buyer Groups'!DX65:EN65,0)&gt;0,0,1)</f>
        <v/>
      </c>
      <c r="NR12">
        <f>IF($CQ$12="",FALSE,SUMPRODUCT(('Final Calculation Sheet'!$Q$4:$Q$40=$CQ$12)*($NQ$6:$NQ$42=1))&gt;0)</f>
        <v/>
      </c>
      <c r="NS12">
        <f>$NS$11+--($NR12)</f>
        <v/>
      </c>
      <c r="NT12">
        <f>IF(ROW()-3&gt;MAX($NS$4:$NS$40),"",INDEX($CQ$4:$CQ$40,MATCH(ROW()-3,$NS$4:$NS$40,0)))</f>
        <v/>
      </c>
      <c r="NU12">
        <f>IF(COUNTIF('Buyer Groups'!DG65:DW65,0)+COUNTIF('Buyer Groups'!DY65:EN65,0)&gt;0,0,1)</f>
        <v/>
      </c>
      <c r="NV12">
        <f>IF($CV$12="",FALSE,SUMPRODUCT(('Final Calculation Sheet'!$R$4:$R$40=$CV$12)*($NU$6:$NU$42=1))&gt;0)</f>
        <v/>
      </c>
      <c r="NW12">
        <f>$NW$11+--($NV12)</f>
        <v/>
      </c>
      <c r="NX12">
        <f>IF(ROW()-3&gt;MAX($NW$4:$NW$40),"",INDEX($CV$4:$CV$40,MATCH(ROW()-3,$NW$4:$NW$40,0)))</f>
        <v/>
      </c>
      <c r="NY12">
        <f>IF(COUNTIF('Buyer Groups'!DG65:DX65,0)+COUNTIF('Buyer Groups'!DZ65:EN65,0)&gt;0,0,1)</f>
        <v/>
      </c>
      <c r="NZ12">
        <f>IF($DA$12="",FALSE,SUMPRODUCT(('Final Calculation Sheet'!$S$4:$S$40=$DA$12)*($NY$6:$NY$42=1))&gt;0)</f>
        <v/>
      </c>
      <c r="OA12">
        <f>$OA$11+--($NZ12)</f>
        <v/>
      </c>
      <c r="OB12">
        <f>IF(ROW()-3&gt;MAX($OA$4:$OA$40),"",INDEX($DA$4:$DA$40,MATCH(ROW()-3,$OA$4:$OA$40,0)))</f>
        <v/>
      </c>
      <c r="OC12">
        <f>IF(COUNTIF('Buyer Groups'!DG65:DY65,0)+COUNTIF('Buyer Groups'!EA65:EN65,0)&gt;0,0,1)</f>
        <v/>
      </c>
      <c r="OD12">
        <f>IF($DF$12="",FALSE,SUMPRODUCT(('Final Calculation Sheet'!$T$4:$T$40=$DF$12)*($OC$6:$OC$42=1))&gt;0)</f>
        <v/>
      </c>
      <c r="OE12">
        <f>$OE$11+--($OD12)</f>
        <v/>
      </c>
      <c r="OF12">
        <f>IF(ROW()-3&gt;MAX($OE$4:$OE$40),"",INDEX($DF$4:$DF$40,MATCH(ROW()-3,$OE$4:$OE$40,0)))</f>
        <v/>
      </c>
      <c r="OG12">
        <f>IF(COUNTIF('Buyer Groups'!DG65:DZ65,0)+COUNTIF('Buyer Groups'!EB65:EN65,0)&gt;0,0,1)</f>
        <v/>
      </c>
      <c r="OH12">
        <f>IF($DK$12="",FALSE,SUMPRODUCT(('Final Calculation Sheet'!$U$4:$U$40=$DK$12)*($OG$6:$OG$42=1))&gt;0)</f>
        <v/>
      </c>
      <c r="OI12">
        <f>$OI$11+--($OH12)</f>
        <v/>
      </c>
      <c r="OJ12">
        <f>IF(ROW()-3&gt;MAX($OI$4:$OI$40),"",INDEX($DK$4:$DK$40,MATCH(ROW()-3,$OI$4:$OI$40,0)))</f>
        <v/>
      </c>
      <c r="OK12">
        <f>IF(COUNTIF('Buyer Groups'!DG65:EA65,0)+COUNTIF('Buyer Groups'!EC65:EN65,0)&gt;0,0,1)</f>
        <v/>
      </c>
      <c r="OL12">
        <f>IF($DP$12="",FALSE,SUMPRODUCT(('Final Calculation Sheet'!$V$4:$V$40=$DP$12)*($OK$6:$OK$42=1))&gt;0)</f>
        <v/>
      </c>
      <c r="OM12">
        <f>$OM$11+--($OL12)</f>
        <v/>
      </c>
      <c r="ON12">
        <f>IF(ROW()-3&gt;MAX($OM$4:$OM$40),"",INDEX($DP$4:$DP$40,MATCH(ROW()-3,$OM$4:$OM$40,0)))</f>
        <v/>
      </c>
      <c r="OO12">
        <f>IF(COUNTIF('Buyer Groups'!DG65:EB65,0)+COUNTIF('Buyer Groups'!ED65:EN65,0)&gt;0,0,1)</f>
        <v/>
      </c>
      <c r="OP12">
        <f>IF($DU$12="",FALSE,SUMPRODUCT(('Final Calculation Sheet'!$W$4:$W$40=$DU$12)*($OO$6:$OO$42=1))&gt;0)</f>
        <v/>
      </c>
      <c r="OQ12">
        <f>$OQ$11+--($OP12)</f>
        <v/>
      </c>
      <c r="OR12">
        <f>IF(ROW()-3&gt;MAX($OQ$4:$OQ$40),"",INDEX($DU$4:$DU$40,MATCH(ROW()-3,$OQ$4:$OQ$40,0)))</f>
        <v/>
      </c>
      <c r="OS12">
        <f>IF(COUNTIF('Buyer Groups'!DG65:EC65,0)+COUNTIF('Buyer Groups'!EE65:EN65,0)&gt;0,0,1)</f>
        <v/>
      </c>
      <c r="OT12">
        <f>IF($DZ$12="",FALSE,SUMPRODUCT(('Final Calculation Sheet'!$X$4:$X$40=$DZ$12)*($OS$6:$OS$42=1))&gt;0)</f>
        <v/>
      </c>
      <c r="OU12">
        <f>$OU$11+--($OT12)</f>
        <v/>
      </c>
      <c r="OV12">
        <f>IF(ROW()-3&gt;MAX($OU$4:$OU$40),"",INDEX($DZ$4:$DZ$40,MATCH(ROW()-3,$OU$4:$OU$40,0)))</f>
        <v/>
      </c>
      <c r="OW12">
        <f>IF(COUNTIF('Buyer Groups'!DG65:ED65,0)+COUNTIF('Buyer Groups'!EF65:EN65,0)&gt;0,0,1)</f>
        <v/>
      </c>
      <c r="OX12">
        <f>IF($EE$12="",FALSE,SUMPRODUCT(('Final Calculation Sheet'!$Y$4:$Y$40=$EE$12)*($OW$6:$OW$42=1))&gt;0)</f>
        <v/>
      </c>
      <c r="OY12">
        <f>$OY$11+--($OX12)</f>
        <v/>
      </c>
      <c r="OZ12">
        <f>IF(ROW()-3&gt;MAX($OY$4:$OY$40),"",INDEX($EE$4:$EE$40,MATCH(ROW()-3,$OY$4:$OY$40,0)))</f>
        <v/>
      </c>
      <c r="PA12">
        <f>IF(COUNTIF('Buyer Groups'!DG65:EE65,0)+COUNTIF('Buyer Groups'!EG65:EN65,0)&gt;0,0,1)</f>
        <v/>
      </c>
      <c r="PB12">
        <f>IF($EJ$12="",FALSE,SUMPRODUCT(('Final Calculation Sheet'!$Z$4:$Z$40=$EJ$12)*($PA$6:$PA$42=1))&gt;0)</f>
        <v/>
      </c>
      <c r="PC12">
        <f>$PC$11+--($PB12)</f>
        <v/>
      </c>
      <c r="PD12">
        <f>IF(ROW()-3&gt;MAX($PC$4:$PC$40),"",INDEX($EJ$4:$EJ$40,MATCH(ROW()-3,$PC$4:$PC$40,0)))</f>
        <v/>
      </c>
      <c r="PE12">
        <f>IF(COUNTIF('Buyer Groups'!DG65:EF65,0)+COUNTIF('Buyer Groups'!EH65:EN65,0)&gt;0,0,1)</f>
        <v/>
      </c>
      <c r="PF12">
        <f>IF($EO$12="",FALSE,SUMPRODUCT(('Final Calculation Sheet'!$AA$4:$AA$40=$EO$12)*($PE$6:$PE$42=1))&gt;0)</f>
        <v/>
      </c>
      <c r="PG12">
        <f>$PG$11+--($PF12)</f>
        <v/>
      </c>
      <c r="PH12">
        <f>IF(ROW()-3&gt;MAX($PG$4:$PG$40),"",INDEX($EO$4:$EO$40,MATCH(ROW()-3,$PG$4:$PG$40,0)))</f>
        <v/>
      </c>
      <c r="PI12">
        <f>IF(COUNTIF('Buyer Groups'!DG65:EG65,0)+COUNTIF('Buyer Groups'!EI65:EN65,0)&gt;0,0,1)</f>
        <v/>
      </c>
      <c r="PJ12">
        <f>IF($ET$12="",FALSE,SUMPRODUCT(('Final Calculation Sheet'!$AB$4:$AB$40=$ET$12)*($PI$6:$PI$42=1))&gt;0)</f>
        <v/>
      </c>
      <c r="PK12">
        <f>$PK$11+--($PJ12)</f>
        <v/>
      </c>
      <c r="PL12">
        <f>IF(ROW()-3&gt;MAX($PK$4:$PK$40),"",INDEX($ET$4:$ET$40,MATCH(ROW()-3,$PK$4:$PK$40,0)))</f>
        <v/>
      </c>
      <c r="PM12">
        <f>IF(COUNTIF('Buyer Groups'!DG65:EH65,0)+COUNTIF('Buyer Groups'!EJ65:EN65,0)&gt;0,0,1)</f>
        <v/>
      </c>
      <c r="PN12">
        <f>IF($EY$12="",FALSE,SUMPRODUCT(('Final Calculation Sheet'!$AC$4:$AC$40=$EY$12)*($PM$6:$PM$42=1))&gt;0)</f>
        <v/>
      </c>
      <c r="PO12">
        <f>$PO$11+--($PN12)</f>
        <v/>
      </c>
      <c r="PP12">
        <f>IF(ROW()-3&gt;MAX($PO$4:$PO$40),"",INDEX($EY$4:$EY$40,MATCH(ROW()-3,$PO$4:$PO$40,0)))</f>
        <v/>
      </c>
      <c r="PQ12">
        <f>IF(COUNTIF('Buyer Groups'!DG65:EI65,0)+COUNTIF('Buyer Groups'!EK65:EN65,0)&gt;0,0,1)</f>
        <v/>
      </c>
      <c r="PR12">
        <f>IF($FD$12="",FALSE,SUMPRODUCT(('Final Calculation Sheet'!$AD$4:$AD$40=$FD$12)*($PQ$6:$PQ$42=1))&gt;0)</f>
        <v/>
      </c>
      <c r="PS12">
        <f>$PS$11+--($PR12)</f>
        <v/>
      </c>
      <c r="PT12">
        <f>IF(ROW()-3&gt;MAX($PS$4:$PS$40),"",INDEX($FD$4:$FD$40,MATCH(ROW()-3,$PS$4:$PS$40,0)))</f>
        <v/>
      </c>
      <c r="PU12">
        <f>IF(COUNTIF('Buyer Groups'!DG65:EJ65,0)+COUNTIF('Buyer Groups'!EL65:EN65,0)&gt;0,0,1)</f>
        <v/>
      </c>
      <c r="PV12">
        <f>IF($FX$12="",FALSE,SUMPRODUCT((IF('Final Calculation Sheet'!$AD$4:$AD$40&lt;=5,"SETTLED","OUTSTANDING")=$FX$12)*($PU$6:$PU$42=1))&gt;0)</f>
        <v/>
      </c>
      <c r="PW12">
        <f>$PW$11+--($PV12)</f>
        <v/>
      </c>
      <c r="PX12">
        <f>IF(ROW()-3&gt;MAX($PW$4:$PW$40),"",INDEX($FX$4:$FX$40,MATCH(ROW()-3,$PW$4:$PW$40,0)))</f>
        <v/>
      </c>
      <c r="PY12">
        <f>IF(COUNTIF('Buyer Groups'!DG65:EK65,0)+COUNTIF('Buyer Groups'!EM65:EN65,0)&gt;0,0,1)</f>
        <v/>
      </c>
      <c r="PZ12">
        <f>IF($FI$12="",FALSE,SUMPRODUCT(('Final Calculation Sheet'!$AF$4:$AF$40=$FI$12)*($PY$6:$PY$42=1))&gt;0)</f>
        <v/>
      </c>
      <c r="QA12">
        <f>$QA$11+--($PZ12)</f>
        <v/>
      </c>
      <c r="QB12">
        <f>IF(ROW()-3&gt;MAX($QA$4:$QA$40),"",INDEX($FI$4:$FI$40,MATCH(ROW()-3,$QA$4:$QA$40,0)))</f>
        <v/>
      </c>
      <c r="QC12">
        <f>IF(COUNTIF('Buyer Groups'!DG65:EL65,0)+COUNTIF('Buyer Groups'!EN65:EN65,0)&gt;0,0,1)</f>
        <v/>
      </c>
      <c r="QD12">
        <f>IF($FN$12="",FALSE,SUMPRODUCT(('Final Calculation Sheet'!$AG$4:$AG$40=$FN$12)*($QC$6:$QC$42=1))&gt;0)</f>
        <v/>
      </c>
      <c r="QE12">
        <f>$QE$11+--($QD12)</f>
        <v/>
      </c>
      <c r="QF12">
        <f>IF(ROW()-3&gt;MAX($QE$4:$QE$40),"",INDEX($FN$4:$FN$40,MATCH(ROW()-3,$QE$4:$QE$40,0)))</f>
        <v/>
      </c>
      <c r="QG12">
        <f>IF(COUNTIF('Buyer Groups'!DG65:EM65,0)&gt;0,0,1)</f>
        <v/>
      </c>
      <c r="QH12">
        <f>IF($FS$12="",FALSE,SUMPRODUCT(('Final Calculation Sheet'!$AH$4:$AH$40=$FS$12)*($QG$6:$QG$42=1))&gt;0)</f>
        <v/>
      </c>
      <c r="QI12">
        <f>$QI$11+--($QH12)</f>
        <v/>
      </c>
      <c r="QJ12">
        <f>IF(ROW()-3&gt;MAX($QI$4:$QI$40),"",INDEX($FS$4:$FS$40,MATCH(ROW()-3,$QI$4:$QI$40,0)))</f>
        <v/>
      </c>
      <c r="QK12" t="str">
        <f>IF('Final Calculation Sheet'!$AH$12="","",'Final Calculation Sheet'!$AH$12)</f>
      </c>
      <c r="QL12" t="str">
        <f>IF(QK12="","",COUNTIFS(QK$4:QK$40,"&lt;"&amp;QK12,QK$4:QK$40,"&lt;&gt;"&amp;"")+COUNTIF(QK$4:QK12,QK12))</f>
      </c>
      <c r="QM12" t="str">
        <f>IF(ROW()-3&gt;COUNTIF(QK$4:QK$40,"&lt;&gt;"&amp;""),"",INDEX(QK$4:QK$40,MATCH(ROW()-3,QL$4:QL$40,0)))</f>
      </c>
      <c r="QN12" t="str">
        <f>=QN11+F(AND(QM12&lt;&gt;"",COUNTIF(QM$4:QM12,QM12)=1),1,0)</f>
      </c>
      <c r="QO12" t="str">
        <f>IF(ROW()-3&gt;MAX(QN$4:QN$40),"",INDEX(QM$4:QM$40,MATCH(ROW()-3,QN$4:QN$40,0)))</f>
      </c>
      <c r="QP12" t="str">
        <f>IF(COUNTIF('Final Calculation Sheet'!$AM12:$BS12,0)&gt;0,0,1)</f>
      </c>
      <c r="QQ12" t="str">
        <f>IF($AI$12="",FALSE,SUMPRODUCT(('Final Calculation Sheet'!$A$4:$A$40=$AI$12)*($QP$4:$QP$40=1))&gt;0)</f>
      </c>
      <c r="QR12" t="str">
        <f>=$QR11+--($QQ12)</f>
      </c>
      <c r="QS12" t="str">
        <f>IF(ROW()-3&gt;MAX($QR$4:$QR$40),"",INDEX($AI$4:$AI$40,MATCH(ROW()-3,$QR$4:$QR$40,0)))</f>
      </c>
      <c r="QT12" t="str">
        <f>IF(COUNTIF('Final Calculation Sheet'!$AL12:$AL12,0)+COUNTIF('Final Calculation Sheet'!$AN12:$BS12,0)&gt;0,0,1)</f>
      </c>
      <c r="QU12" t="str">
        <f>IF($Y$12="",FALSE,SUMPRODUCT(('Final Calculation Sheet'!$B$4:$B$40=$Y$12)*($QT$4:$QT$40=1))&gt;0)</f>
      </c>
      <c r="QV12" t="str">
        <f>=$QV11+--($QU12)</f>
      </c>
      <c r="QW12" t="str">
        <f>IF(ROW()-3&gt;MAX($QV$4:$QV$40),"",INDEX($Y$4:$Y$40,MATCH(ROW()-3,$QV$4:$QV$40,0)))</f>
      </c>
      <c r="QX12" t="str">
        <f>IF(COUNTIF('Final Calculation Sheet'!$AL12:$AM12,0)+COUNTIF('Final Calculation Sheet'!$AO12:$BS12,0)&gt;0,0,1)</f>
      </c>
      <c r="QY12" t="str">
        <f>IF($AS$12="",FALSE,SUMPRODUCT(('Final Calculation Sheet'!$C$4:$C$40=$AS$12)*($QX$4:$QX$40=1))&gt;0)</f>
      </c>
      <c r="QZ12" t="str">
        <f>=$QZ11+--($QY12)</f>
      </c>
      <c r="RA12" t="str">
        <f>IF(ROW()-3&gt;MAX($QZ$4:$QZ$40),"",INDEX($AS$4:$AS$40,MATCH(ROW()-3,$QZ$4:$QZ$40,0)))</f>
      </c>
      <c r="RB12" t="str">
        <f>IF(COUNTIF('Final Calculation Sheet'!$AL12:$AN12,0)+COUNTIF('Final Calculation Sheet'!$AP12:$BS12,0)&gt;0,0,1)</f>
      </c>
      <c r="RC12" t="str">
        <f>IF($AD$12="",FALSE,SUMPRODUCT(('Final Calculation Sheet'!$D$4:$D$40=$AD$12)*($RB$4:$RB$40=1))&gt;0)</f>
      </c>
      <c r="RD12" t="str">
        <f>=$RD11+--($RC12)</f>
      </c>
      <c r="RE12" t="str">
        <f>IF(ROW()-3&gt;MAX($RD$4:$RD$40),"",INDEX($AD$4:$AD$40,MATCH(ROW()-3,$RD$4:$RD$40,0)))</f>
      </c>
      <c r="RF12" t="str">
        <f>IF(COUNTIF('Final Calculation Sheet'!$AL12:$AO12,0)+COUNTIF('Final Calculation Sheet'!$AQ12:$BS12,0)&gt;0,0,1)</f>
      </c>
      <c r="RG12" t="str">
        <f>IF($AN$12="",FALSE,SUMPRODUCT(('Final Calculation Sheet'!$E$4:$E$40=$AN$12)*($RF$4:$RF$40=1))&gt;0)</f>
      </c>
      <c r="RH12" t="str">
        <f>=$RH11+--($RG12)</f>
      </c>
      <c r="RI12" t="str">
        <f>IF(ROW()-3&gt;MAX($RH$4:$RH$40),"",INDEX($AN$4:$AN$40,MATCH(ROW()-3,$RH$4:$RH$40,0)))</f>
      </c>
      <c r="RJ12" t="str">
        <f>IF(COUNTIF('Final Calculation Sheet'!$AL12:$AP12,0)+COUNTIF('Final Calculation Sheet'!$AR12:$BS12,0)&gt;0,0,1)</f>
      </c>
      <c r="RK12" t="str">
        <f>IF($O$12="",FALSE,SUMPRODUCT(('Final Calculation Sheet'!$F$4:$F$40=$O$12)*($RJ$4:$RJ$40=1))&gt;0)</f>
      </c>
      <c r="RL12" t="str">
        <f>=$RL11+--($RK12)</f>
      </c>
      <c r="RM12" t="str">
        <f>IF(ROW()-3&gt;MAX($RL$4:$RL$40),"",INDEX($O$4:$O$40,MATCH(ROW()-3,$RL$4:$RL$40,0)))</f>
      </c>
      <c r="RN12" t="str">
        <f>IF(COUNTIF('Final Calculation Sheet'!$AL12:$AQ12,0)+COUNTIF('Final Calculation Sheet'!$AS12:$BS12,0)&gt;0,0,1)</f>
      </c>
      <c r="RO12" t="str">
        <f>IF($T$12="",FALSE,SUMPRODUCT(('Final Calculation Sheet'!$G$4:$G$40=$T$12)*($RN$4:$RN$40=1))&gt;0)</f>
      </c>
      <c r="RP12" t="str">
        <f>=$RP11+--($RO12)</f>
      </c>
      <c r="RQ12" t="str">
        <f>IF(ROW()-3&gt;MAX($RP$4:$RP$40),"",INDEX($T$4:$T$40,MATCH(ROW()-3,$RP$4:$RP$40,0)))</f>
      </c>
      <c r="RR12" t="str">
        <f>IF(COUNTIF('Final Calculation Sheet'!$AL12:$AR12,0)+COUNTIF('Final Calculation Sheet'!$AT12:$BS12,0)&gt;0,0,1)</f>
      </c>
      <c r="RS12" t="str">
        <f>IF($AX$12="",FALSE,SUMPRODUCT(('Final Calculation Sheet'!$H$4:$H$40=$AX$12)*($RR$4:$RR$40=1))&gt;0)</f>
      </c>
      <c r="RT12" t="str">
        <f>=$RT11+--($RS12)</f>
      </c>
      <c r="RU12" t="str">
        <f>IF(ROW()-3&gt;MAX($RT$4:$RT$40),"",INDEX($AX$4:$AX$40,MATCH(ROW()-3,$RT$4:$RT$40,0)))</f>
      </c>
      <c r="RV12" t="str">
        <f>IF(COUNTIF('Final Calculation Sheet'!$AL12:$AS12,0)+COUNTIF('Final Calculation Sheet'!$AU12:$BS12,0)&gt;0,0,1)</f>
      </c>
      <c r="RW12" t="str">
        <f>IF($BC$12="",FALSE,SUMPRODUCT(('Final Calculation Sheet'!$I$4:$I$40=$BC$12)*($RV$4:$RV$40=1))&gt;0)</f>
      </c>
      <c r="RX12" t="str">
        <f>=$RX11+--($RW12)</f>
      </c>
      <c r="RY12" t="str">
        <f>IF(ROW()-3&gt;MAX($RX$4:$RX$40),"",INDEX($BC$4:$BC$40,MATCH(ROW()-3,$RX$4:$RX$40,0)))</f>
      </c>
      <c r="RZ12" t="str">
        <f>IF(COUNTIF('Final Calculation Sheet'!$AL12:$AT12,0)+COUNTIF('Final Calculation Sheet'!$AV12:$BS12,0)&gt;0,0,1)</f>
      </c>
      <c r="SA12" t="str">
        <f>IF($BH$12="",FALSE,SUMPRODUCT(('Final Calculation Sheet'!$J$4:$J$40=$BH$12)*($RZ$4:$RZ$40=1))&gt;0)</f>
      </c>
      <c r="SB12" t="str">
        <f>=$SB11+--($SA12)</f>
      </c>
      <c r="SC12" t="str">
        <f>IF(ROW()-3&gt;MAX($SB$4:$SB$40),"",INDEX($BH$4:$BH$40,MATCH(ROW()-3,$SB$4:$SB$40,0)))</f>
      </c>
      <c r="SD12" t="str">
        <f>IF(COUNTIF('Final Calculation Sheet'!$AL12:$AU12,0)+COUNTIF('Final Calculation Sheet'!$AW12:$BS12,0)&gt;0,0,1)</f>
      </c>
      <c r="SE12" t="str">
        <f>IF($BM$12="",FALSE,SUMPRODUCT(('Final Calculation Sheet'!$K$4:$K$40=$BM$12)*($SD$4:$SD$40=1))&gt;0)</f>
      </c>
      <c r="SF12" t="str">
        <f>=$SF11+--($SE12)</f>
      </c>
      <c r="SG12" t="str">
        <f>IF(ROW()-3&gt;MAX($SF$4:$SF$40),"",INDEX($BM$4:$BM$40,MATCH(ROW()-3,$SF$4:$SF$40,0)))</f>
      </c>
      <c r="SH12" t="str">
        <f>IF(COUNTIF('Final Calculation Sheet'!$AL12:$AV12,0)+COUNTIF('Final Calculation Sheet'!$AX12:$BS12,0)&gt;0,0,1)</f>
      </c>
      <c r="SI12" t="str">
        <f>IF($BR$12="",FALSE,SUMPRODUCT(('Final Calculation Sheet'!$L$4:$L$40=$BR$12)*($SH$4:$SH$40=1))&gt;0)</f>
      </c>
      <c r="SJ12" t="str">
        <f>=$SJ11+--($SI12)</f>
      </c>
      <c r="SK12" t="str">
        <f>IF(ROW()-3&gt;MAX($SJ$4:$SJ$40),"",INDEX($BR$4:$BR$40,MATCH(ROW()-3,$SJ$4:$SJ$40,0)))</f>
      </c>
      <c r="SL12" t="str">
        <f>IF(COUNTIF('Final Calculation Sheet'!$AL12:$AW12,0)+COUNTIF('Final Calculation Sheet'!$AY12:$BS12,0)&gt;0,0,1)</f>
      </c>
      <c r="SM12" t="str">
        <f>IF($BW$12="",FALSE,SUMPRODUCT(('Final Calculation Sheet'!$M$4:$M$40=$BW$12)*($SL$4:$SL$40=1))&gt;0)</f>
      </c>
      <c r="SN12" t="str">
        <f>=$SN11+--($SM12)</f>
      </c>
      <c r="SO12" t="str">
        <f>IF(ROW()-3&gt;MAX($SN$4:$SN$40),"",INDEX($BW$4:$BW$40,MATCH(ROW()-3,$SN$4:$SN$40,0)))</f>
      </c>
      <c r="SP12" t="str">
        <f>IF(COUNTIF('Final Calculation Sheet'!$AL12:$AX12,0)+COUNTIF('Final Calculation Sheet'!$AZ12:$BS12,0)&gt;0,0,1)</f>
      </c>
      <c r="SQ12" t="str">
        <f>IF($CB$12="",FALSE,SUMPRODUCT(('Final Calculation Sheet'!$N$4:$N$40=$CB$12)*($SP$4:$SP$40=1))&gt;0)</f>
      </c>
      <c r="SR12" t="str">
        <f>=$SR11+--($SQ12)</f>
      </c>
      <c r="SS12" t="str">
        <f>IF(ROW()-3&gt;MAX($SR$4:$SR$40),"",INDEX($CB$4:$CB$40,MATCH(ROW()-3,$SR$4:$SR$40,0)))</f>
      </c>
      <c r="ST12" t="str">
        <f>IF(COUNTIF('Final Calculation Sheet'!$AL12:$AY12,0)+COUNTIF('Final Calculation Sheet'!$BA12:$BS12,0)&gt;0,0,1)</f>
      </c>
      <c r="SU12" t="str">
        <f>IF($CG$12="",FALSE,SUMPRODUCT(('Final Calculation Sheet'!$O$4:$O$40=$CG$12)*($ST$4:$ST$40=1))&gt;0)</f>
      </c>
      <c r="SV12" t="str">
        <f>=$SV11+--($SU12)</f>
      </c>
      <c r="SW12" t="str">
        <f>IF(ROW()-3&gt;MAX($SV$4:$SV$40),"",INDEX($CG$4:$CG$40,MATCH(ROW()-3,$SV$4:$SV$40,0)))</f>
      </c>
      <c r="SX12" t="str">
        <f>IF(COUNTIF('Final Calculation Sheet'!$AL12:$AZ12,0)+COUNTIF('Final Calculation Sheet'!$BB12:$BS12,0)&gt;0,0,1)</f>
      </c>
      <c r="SY12" t="str">
        <f>IF($CL$12="",FALSE,SUMPRODUCT(('Final Calculation Sheet'!$P$4:$P$40=$CL$12)*($SX$4:$SX$40=1))&gt;0)</f>
      </c>
      <c r="SZ12" t="str">
        <f>=$SZ11+--($SY12)</f>
      </c>
      <c r="TA12" t="str">
        <f>IF(ROW()-3&gt;MAX($SZ$4:$SZ$40),"",INDEX($CL$4:$CL$40,MATCH(ROW()-3,$SZ$4:$SZ$40,0)))</f>
      </c>
      <c r="TB12" t="str">
        <f>IF(COUNTIF('Final Calculation Sheet'!$AL12:$BA12,0)+COUNTIF('Final Calculation Sheet'!$BC12:$BS12,0)&gt;0,0,1)</f>
      </c>
      <c r="TC12" t="str">
        <f>IF($CQ$12="",FALSE,SUMPRODUCT(('Final Calculation Sheet'!$Q$4:$Q$40=$CQ$12)*($TB$4:$TB$40=1))&gt;0)</f>
      </c>
      <c r="TD12" t="str">
        <f>=$TD11+--($TC12)</f>
      </c>
      <c r="TE12" t="str">
        <f>IF(ROW()-3&gt;MAX($TD$4:$TD$40),"",INDEX($CQ$4:$CQ$40,MATCH(ROW()-3,$TD$4:$TD$40,0)))</f>
      </c>
      <c r="TF12" t="str">
        <f>IF(COUNTIF('Final Calculation Sheet'!$AL12:$BB12,0)+COUNTIF('Final Calculation Sheet'!$BD12:$BS12,0)&gt;0,0,1)</f>
      </c>
      <c r="TG12" t="str">
        <f>IF($CV$12="",FALSE,SUMPRODUCT(('Final Calculation Sheet'!$R$4:$R$40=$CV$12)*($TF$4:$TF$40=1))&gt;0)</f>
      </c>
      <c r="TH12" t="str">
        <f>=$TH11+--($TG12)</f>
      </c>
      <c r="TI12" t="str">
        <f>IF(ROW()-3&gt;MAX($TH$4:$TH$40),"",INDEX($CV$4:$CV$40,MATCH(ROW()-3,$TH$4:$TH$40,0)))</f>
      </c>
      <c r="TJ12" t="str">
        <f>IF(COUNTIF('Final Calculation Sheet'!$AL12:$BC12,0)+COUNTIF('Final Calculation Sheet'!$BE12:$BS12,0)&gt;0,0,1)</f>
      </c>
      <c r="TK12" t="str">
        <f>IF($DA$12="",FALSE,SUMPRODUCT(('Final Calculation Sheet'!$S$4:$S$40=$DA$12)*($TJ$4:$TJ$40=1))&gt;0)</f>
      </c>
      <c r="TL12" t="str">
        <f>=$TL11+--($TK12)</f>
      </c>
      <c r="TM12" t="str">
        <f>IF(ROW()-3&gt;MAX($TL$4:$TL$40),"",INDEX($DA$4:$DA$40,MATCH(ROW()-3,$TL$4:$TL$40,0)))</f>
      </c>
      <c r="TN12" t="str">
        <f>IF(COUNTIF('Final Calculation Sheet'!$AL12:$BD12,0)+COUNTIF('Final Calculation Sheet'!$BF12:$BS12,0)&gt;0,0,1)</f>
      </c>
      <c r="TO12" t="str">
        <f>IF($DF$12="",FALSE,SUMPRODUCT(('Final Calculation Sheet'!$T$4:$T$40=$DF$12)*($TN$4:$TN$40=1))&gt;0)</f>
      </c>
      <c r="TP12" t="str">
        <f>=$TP11+--($TO12)</f>
      </c>
      <c r="TQ12" t="str">
        <f>IF(ROW()-3&gt;MAX($TP$4:$TP$40),"",INDEX($DF$4:$DF$40,MATCH(ROW()-3,$TP$4:$TP$40,0)))</f>
      </c>
      <c r="TR12" t="str">
        <f>IF(COUNTIF('Final Calculation Sheet'!$AL12:$BE12,0)+COUNTIF('Final Calculation Sheet'!$BG12:$BS12,0)&gt;0,0,1)</f>
      </c>
      <c r="TS12" t="str">
        <f>IF($DK$12="",FALSE,SUMPRODUCT(('Final Calculation Sheet'!$U$4:$U$40=$DK$12)*($TR$4:$TR$40=1))&gt;0)</f>
      </c>
      <c r="TT12" t="str">
        <f>=$TT11+--($TS12)</f>
      </c>
      <c r="TU12" t="str">
        <f>IF(ROW()-3&gt;MAX($TT$4:$TT$40),"",INDEX($DK$4:$DK$40,MATCH(ROW()-3,$TT$4:$TT$40,0)))</f>
      </c>
      <c r="TV12" t="str">
        <f>IF(COUNTIF('Final Calculation Sheet'!$AL12:$BF12,0)+COUNTIF('Final Calculation Sheet'!$BH12:$BS12,0)&gt;0,0,1)</f>
      </c>
      <c r="TW12" t="str">
        <f>IF($DP$12="",FALSE,SUMPRODUCT(('Final Calculation Sheet'!$V$4:$V$40=$DP$12)*($TV$4:$TV$40=1))&gt;0)</f>
      </c>
      <c r="TX12" t="str">
        <f>=$TX11+--($TW12)</f>
      </c>
      <c r="TY12" t="str">
        <f>IF(ROW()-3&gt;MAX($TX$4:$TX$40),"",INDEX($DP$4:$DP$40,MATCH(ROW()-3,$TX$4:$TX$40,0)))</f>
      </c>
      <c r="TZ12" t="str">
        <f>IF(COUNTIF('Final Calculation Sheet'!$AL12:$BG12,0)+COUNTIF('Final Calculation Sheet'!$BI12:$BS12,0)&gt;0,0,1)</f>
      </c>
      <c r="UA12" t="str">
        <f>IF($DU$12="",FALSE,SUMPRODUCT(('Final Calculation Sheet'!$W$4:$W$40=$DU$12)*($TZ$4:$TZ$40=1))&gt;0)</f>
      </c>
      <c r="UB12" t="str">
        <f>=$UB11+--($UA12)</f>
      </c>
      <c r="UC12" t="str">
        <f>IF(ROW()-3&gt;MAX($UB$4:$UB$40),"",INDEX($DU$4:$DU$40,MATCH(ROW()-3,$UB$4:$UB$40,0)))</f>
      </c>
      <c r="UD12" t="str">
        <f>IF(COUNTIF('Final Calculation Sheet'!$AL12:$BH12,0)+COUNTIF('Final Calculation Sheet'!$BJ12:$BS12,0)&gt;0,0,1)</f>
      </c>
      <c r="UE12" t="str">
        <f>IF($DZ$12="",FALSE,SUMPRODUCT(('Final Calculation Sheet'!$X$4:$X$40=$DZ$12)*($UD$4:$UD$40=1))&gt;0)</f>
      </c>
      <c r="UF12" t="str">
        <f>=$UF11+--($UE12)</f>
      </c>
      <c r="UG12" t="str">
        <f>IF(ROW()-3&gt;MAX($UF$4:$UF$40),"",INDEX($DZ$4:$DZ$40,MATCH(ROW()-3,$UF$4:$UF$40,0)))</f>
      </c>
      <c r="UH12" t="str">
        <f>IF(COUNTIF('Final Calculation Sheet'!$AL12:$BI12,0)+COUNTIF('Final Calculation Sheet'!$BK12:$BS12,0)&gt;0,0,1)</f>
      </c>
      <c r="UI12" t="str">
        <f>IF($EE$12="",FALSE,SUMPRODUCT(('Final Calculation Sheet'!$Y$4:$Y$40=$EE$12)*($UH$4:$UH$40=1))&gt;0)</f>
      </c>
      <c r="UJ12" t="str">
        <f>=$UJ11+--($UI12)</f>
      </c>
      <c r="UK12" t="str">
        <f>IF(ROW()-3&gt;MAX($UJ$4:$UJ$40),"",INDEX($EE$4:$EE$40,MATCH(ROW()-3,$UJ$4:$UJ$40,0)))</f>
      </c>
      <c r="UL12" t="str">
        <f>IF(COUNTIF('Final Calculation Sheet'!$AL12:$BJ12,0)+COUNTIF('Final Calculation Sheet'!$BL12:$BS12,0)&gt;0,0,1)</f>
      </c>
      <c r="UM12" t="str">
        <f>IF($EJ$12="",FALSE,SUMPRODUCT(('Final Calculation Sheet'!$Z$4:$Z$40=$EJ$12)*($UL$4:$UL$40=1))&gt;0)</f>
      </c>
      <c r="UN12" t="str">
        <f>=$UN11+--($UM12)</f>
      </c>
      <c r="UO12" t="str">
        <f>IF(ROW()-3&gt;MAX($UN$4:$UN$40),"",INDEX($EJ$4:$EJ$40,MATCH(ROW()-3,$UN$4:$UN$40,0)))</f>
      </c>
      <c r="UP12" t="str">
        <f>IF(COUNTIF('Final Calculation Sheet'!$AL12:$BK12,0)+COUNTIF('Final Calculation Sheet'!$BM12:$BS12,0)&gt;0,0,1)</f>
      </c>
      <c r="UQ12" t="str">
        <f>IF($EO$12="",FALSE,SUMPRODUCT(('Final Calculation Sheet'!$AA$4:$AA$40=$EO$12)*($UP$4:$UP$40=1))&gt;0)</f>
      </c>
      <c r="UR12" t="str">
        <f>=$UR11+--($UQ12)</f>
      </c>
      <c r="US12" t="str">
        <f>IF(ROW()-3&gt;MAX($UR$4:$UR$40),"",INDEX($EO$4:$EO$40,MATCH(ROW()-3,$UR$4:$UR$40,0)))</f>
      </c>
      <c r="UT12" t="str">
        <f>IF(COUNTIF('Final Calculation Sheet'!$AL12:$BL12,0)+COUNTIF('Final Calculation Sheet'!$BN12:$BS12,0)&gt;0,0,1)</f>
      </c>
      <c r="UU12" t="str">
        <f>IF($ET$12="",FALSE,SUMPRODUCT(('Final Calculation Sheet'!$AB$4:$AB$40=$ET$12)*($UT$4:$UT$40=1))&gt;0)</f>
      </c>
      <c r="UV12" t="str">
        <f>=$UV11+--($UU12)</f>
      </c>
      <c r="UW12" t="str">
        <f>IF(ROW()-3&gt;MAX($UV$4:$UV$40),"",INDEX($ET$4:$ET$40,MATCH(ROW()-3,$UV$4:$UV$40,0)))</f>
      </c>
      <c r="UX12" t="str">
        <f>IF(COUNTIF('Final Calculation Sheet'!$AL12:$BM12,0)+COUNTIF('Final Calculation Sheet'!$BO12:$BS12,0)&gt;0,0,1)</f>
      </c>
      <c r="UY12" t="str">
        <f>IF($EY$12="",FALSE,SUMPRODUCT(('Final Calculation Sheet'!$AC$4:$AC$40=$EY$12)*($UX$4:$UX$40=1))&gt;0)</f>
      </c>
      <c r="UZ12" t="str">
        <f>=$UZ11+--($UY12)</f>
      </c>
      <c r="VA12" t="str">
        <f>IF(ROW()-3&gt;MAX($UZ$4:$UZ$40),"",INDEX($EY$4:$EY$40,MATCH(ROW()-3,$UZ$4:$UZ$40,0)))</f>
      </c>
      <c r="VB12" t="str">
        <f>IF(COUNTIF('Final Calculation Sheet'!$AL12:$BN12,0)+COUNTIF('Final Calculation Sheet'!$BP12:$BS12,0)&gt;0,0,1)</f>
      </c>
      <c r="VC12" t="str">
        <f>IF($FD$12="",FALSE,SUMPRODUCT(('Final Calculation Sheet'!$AD$4:$AD$40=$FD$12)*($VB$4:$VB$40=1))&gt;0)</f>
      </c>
      <c r="VD12" t="str">
        <f>=$VD11+--($VC12)</f>
      </c>
      <c r="VE12" t="str">
        <f>IF(ROW()-3&gt;MAX($VD$4:$VD$40),"",INDEX($FD$4:$FD$40,MATCH(ROW()-3,$VD$4:$VD$40,0)))</f>
      </c>
      <c r="VF12" t="str">
        <f>IF(COUNTIF('Final Calculation Sheet'!$AL12:$BO12,0)+COUNTIF('Final Calculation Sheet'!$BQ12:$BS12,0)&gt;0,0,1)</f>
      </c>
      <c r="VG12" t="str">
        <f>IF($FI$12="",FALSE,SUMPRODUCT(('Final Calculation Sheet'!$AE$4:$AE$40=$FI$12)*($VF$4:$VF$40=1))&gt;0)</f>
      </c>
      <c r="VH12" t="str">
        <f>=$VH11+--($VG12)</f>
      </c>
      <c r="VI12" t="str">
        <f>IF(ROW()-3&gt;MAX($VH$4:$VH$40),"",INDEX($FI$4:$FI$40,MATCH(ROW()-3,$VH$4:$VH$40,0)))</f>
      </c>
      <c r="VJ12" t="str">
        <f>IF(COUNTIF('Final Calculation Sheet'!$AL12:$BP12,0)+COUNTIF('Final Calculation Sheet'!$BR12:$BS12,0)&gt;0,0,1)</f>
      </c>
      <c r="VK12" t="str">
        <f>IF($FN$12="",FALSE,SUMPRODUCT(('Final Calculation Sheet'!$AF$4:$AF$40=$FN$12)*($VJ$4:$VJ$40=1))&gt;0)</f>
      </c>
      <c r="VL12" t="str">
        <f>=$VL11+--($VK12)</f>
      </c>
      <c r="VM12" t="str">
        <f>IF(ROW()-3&gt;MAX($VL$4:$VL$40),"",INDEX($FN$4:$FN$40,MATCH(ROW()-3,$VL$4:$VL$40,0)))</f>
      </c>
      <c r="VN12" t="str">
        <f>IF(COUNTIF('Final Calculation Sheet'!$AL12:$BQ12,0)+COUNTIF('Final Calculation Sheet'!$BS12:$BS12,0)&gt;0,0,1)</f>
      </c>
      <c r="VO12" t="str">
        <f>IF($FS$12="",FALSE,SUMPRODUCT(('Final Calculation Sheet'!$AG$4:$AG$40=$FS$12)*($VN$4:$VN$40=1))&gt;0)</f>
      </c>
      <c r="VP12" t="str">
        <f>=$VP11+--($VO12)</f>
      </c>
      <c r="VQ12" t="str">
        <f>IF(ROW()-3&gt;MAX($VP$4:$VP$40),"",INDEX($FS$4:$FS$40,MATCH(ROW()-3,$VP$4:$VP$40,0)))</f>
      </c>
      <c r="VR12" t="str">
        <f>IF(COUNTIF('Final Calculation Sheet'!$AL12:$BR12,0)&gt;0,0,1)</f>
      </c>
      <c r="VS12" t="str">
        <f>IF($QO$12="",FALSE,SUMPRODUCT(('Final Calculation Sheet'!$AH$4:$AH$40=$QO$12)*($VR$4:$VR$40=1))&gt;0)</f>
      </c>
      <c r="VT12" t="str">
        <f>=$VT11+--($VS12)</f>
      </c>
      <c r="VU12" t="str">
        <f>IF(ROW()-3&gt;MAX($VT$4:$VT$40),"",INDEX($QO$4:$QO$40,MATCH(ROW()-3,$VT$4:$VT$40,0)))</f>
      </c>
    </row>
    <row r="13">
      <c r="A13">
        <f>IF('Final Calculation Sheet'!$F$13="","",'Final Calculation Sheet'!$F$13)</f>
        <v/>
      </c>
      <c r="B13">
        <f>IF(A13="","",COUNTIFS(A$4:A$114,"&lt;"&amp;A13,A$4:A$114,"&lt;&gt;"&amp;"")+COUNTIF(A$4:A13,A13))</f>
        <v/>
      </c>
      <c r="C13">
        <f>IF(ROW()-3&gt;COUNTIF(A$4:A$114,"&lt;&gt;"&amp;""),"",INDEX(A$4:A$114,MATCH(ROW()-3,B$4:B$114,0)))</f>
        <v/>
      </c>
      <c r="D13">
        <f>D12+IF(AND(C13&lt;&gt;"",COUNTIF(C$4:C13,C13)=1),1,0)</f>
        <v/>
      </c>
      <c r="E13">
        <f>IF(ROW()-3&gt;MAX(D$4:D$114),"",INDEX(C$4:C$114,MATCH(ROW()-3,D$4:D$114,0)))</f>
        <v/>
      </c>
      <c r="F13">
        <f>ROW()-3</f>
        <v/>
      </c>
      <c r="G13">
        <f>IF(F13="","",COUNTIFS(F$4:F$40,"&lt;"&amp;F13,F$4:F$40,"&lt;&gt;"&amp;"")+COUNTIF(F$4:F13,F13))</f>
        <v/>
      </c>
      <c r="H13">
        <f>IF(ROW()-3&gt;COUNTIF(F$4:F$40,"&lt;&gt;"&amp;""),"",INDEX(F$4:F$40,MATCH(ROW()-3,G$4:G$40,0)))</f>
        <v/>
      </c>
      <c r="I13">
        <f>I12+IF(AND(H13&lt;&gt;"",COUNTIF(H$4:H13,H13)=1),1,0)</f>
        <v/>
      </c>
      <c r="J13">
        <f>IF(ROW()-3&gt;MAX(I$4:I$40),"",INDEX(H$4:H$40,MATCH(ROW()-3,I$4:I$40,0)))</f>
        <v/>
      </c>
      <c r="K13">
        <f>IF('Final Calculation Sheet'!$F$13="","",'Final Calculation Sheet'!$F$13)</f>
        <v/>
      </c>
      <c r="L13">
        <f>IF(K13="","",COUNTIFS(K$4:K$40,"&lt;"&amp;K13,K$4:K$40,"&lt;&gt;"&amp;"")+COUNTIF(K$4:K13,K13))</f>
        <v/>
      </c>
      <c r="M13">
        <f>IF(ROW()-3&gt;COUNTIF(K$4:K$40,"&lt;&gt;"&amp;""),"",INDEX(K$4:K$40,MATCH(ROW()-3,L$4:L$40,0)))</f>
        <v/>
      </c>
      <c r="N13">
        <f>N12+IF(AND(M13&lt;&gt;"",COUNTIF(M$4:M13,M13)=1),1,0)</f>
        <v/>
      </c>
      <c r="O13">
        <f>IF(ROW()-3&gt;MAX(N$4:N$40),"",INDEX(M$4:M$40,MATCH(ROW()-3,N$4:N$40,0)))</f>
        <v/>
      </c>
      <c r="P13">
        <f>IF('Final Calculation Sheet'!$G$13="","",'Final Calculation Sheet'!$G$13)</f>
        <v/>
      </c>
      <c r="Q13">
        <f>IF(P13="","",COUNTIFS(P$4:P$40,"&lt;"&amp;P13,P$4:P$40,"&lt;&gt;"&amp;"")+COUNTIF(P$4:P13,P13))</f>
        <v/>
      </c>
      <c r="R13">
        <f>IF(ROW()-3&gt;COUNTIF(P$4:P$40,"&lt;&gt;"&amp;""),"",INDEX(P$4:P$40,MATCH(ROW()-3,Q$4:Q$40,0)))</f>
        <v/>
      </c>
      <c r="S13">
        <f>S12+IF(AND(R13&lt;&gt;"",COUNTIF(R$4:R13,R13)=1),1,0)</f>
        <v/>
      </c>
      <c r="T13">
        <f>IF(ROW()-3&gt;MAX(S$4:S$40),"",INDEX(R$4:R$40,MATCH(ROW()-3,S$4:S$40,0)))</f>
        <v/>
      </c>
      <c r="U13">
        <f>IF('Final Calculation Sheet'!$B$13="","",'Final Calculation Sheet'!$B$13)</f>
        <v/>
      </c>
      <c r="V13">
        <f>IF(U13="","",COUNTIFS(U$4:U$40,"&lt;"&amp;U13,U$4:U$40,"&lt;&gt;"&amp;"")+COUNTIF(U$4:U13,U13))</f>
        <v/>
      </c>
      <c r="W13">
        <f>IF(ROW()-3&gt;COUNTIF(U$4:U$40,"&lt;&gt;"&amp;""),"",INDEX(U$4:U$40,MATCH(ROW()-3,V$4:V$40,0)))</f>
        <v/>
      </c>
      <c r="X13">
        <f>X12+IF(AND(W13&lt;&gt;"",COUNTIF(W$4:W13,W13)=1),1,0)</f>
        <v/>
      </c>
      <c r="Y13">
        <f>IF(ROW()-3&gt;MAX(X$4:X$40),"",INDEX(W$4:W$40,MATCH(ROW()-3,X$4:X$40,0)))</f>
        <v/>
      </c>
      <c r="Z13">
        <f>IF('Final Calculation Sheet'!$D$13="","",'Final Calculation Sheet'!$D$13)</f>
        <v/>
      </c>
      <c r="AA13">
        <f>IF(Z13="","",COUNTIFS(Z$4:Z$40,"&lt;"&amp;Z13,Z$4:Z$40,"&lt;&gt;"&amp;"")+COUNTIF(Z$4:Z13,Z13))</f>
        <v/>
      </c>
      <c r="AB13">
        <f>IF(ROW()-3&gt;COUNTIF(Z$4:Z$40,"&lt;&gt;"&amp;""),"",INDEX(Z$4:Z$40,MATCH(ROW()-3,AA$4:AA$40,0)))</f>
        <v/>
      </c>
      <c r="AC13">
        <f>AC12+IF(AND(AB13&lt;&gt;"",COUNTIF(AB$4:AB13,AB13)=1),1,0)</f>
        <v/>
      </c>
      <c r="AD13">
        <f>IF(ROW()-3&gt;MAX(AC$4:AC$40),"",INDEX(AB$4:AB$40,MATCH(ROW()-3,AC$4:AC$40,0)))</f>
        <v/>
      </c>
      <c r="AE13">
        <f>IF('Final Calculation Sheet'!$A$13="","",'Final Calculation Sheet'!$A$13)</f>
        <v/>
      </c>
      <c r="AF13">
        <f>IF(AE13="","",COUNTIFS(AE$4:AE$40,"&lt;"&amp;AE13,AE$4:AE$40,"&lt;&gt;"&amp;"")+COUNTIF(AE$4:AE13,AE13))</f>
        <v/>
      </c>
      <c r="AG13">
        <f>IF(ROW()-3&gt;COUNTIF(AE$4:AE$40,"&lt;&gt;"&amp;""),"",INDEX(AE$4:AE$40,MATCH(ROW()-3,AF$4:AF$40,0)))</f>
        <v/>
      </c>
      <c r="AH13">
        <f>AH12+IF(AND(AG13&lt;&gt;"",COUNTIF(AG$4:AG13,AG13)=1),1,0)</f>
        <v/>
      </c>
      <c r="AI13">
        <f>IF(ROW()-3&gt;MAX(AH$4:AH$40),"",INDEX(AG$4:AG$40,MATCH(ROW()-3,AH$4:AH$40,0)))</f>
        <v/>
      </c>
      <c r="AJ13">
        <f>IF('Final Calculation Sheet'!$E$13="","",'Final Calculation Sheet'!$E$13)</f>
        <v/>
      </c>
      <c r="AK13">
        <f>IF(AJ13="","",COUNTIFS(AJ$4:AJ$40,"&lt;"&amp;AJ13,AJ$4:AJ$40,"&lt;&gt;"&amp;"")+COUNTIF(AJ$4:AJ13,AJ13))</f>
        <v/>
      </c>
      <c r="AL13">
        <f>IF(ROW()-3&gt;COUNTIF(AJ$4:AJ$40,"&lt;&gt;"&amp;""),"",INDEX(AJ$4:AJ$40,MATCH(ROW()-3,AK$4:AK$40,0)))</f>
        <v/>
      </c>
      <c r="AM13">
        <f>AM12+IF(AND(AL13&lt;&gt;"",COUNTIF(AL$4:AL13,AL13)=1),1,0)</f>
        <v/>
      </c>
      <c r="AN13">
        <f>IF(ROW()-3&gt;MAX(AM$4:AM$40),"",INDEX(AL$4:AL$40,MATCH(ROW()-3,AM$4:AM$40,0)))</f>
        <v/>
      </c>
      <c r="AO13" s="55">
        <f>IF('Final Calculation Sheet'!$C$13="","",'Final Calculation Sheet'!$C$13)</f>
        <v/>
      </c>
      <c r="AP13">
        <f>IF(AO13="","",COUNTIFS(AO$4:AO$40,"&lt;"&amp;AO13,AO$4:AO$40,"&lt;&gt;"&amp;"")+COUNTIF(AO$4:AO13,AO13))</f>
        <v/>
      </c>
      <c r="AQ13" s="55">
        <f>IF(ROW()-3&gt;COUNTIF(AO$4:AO$40,"&lt;&gt;"&amp;""),"",INDEX(AO$4:AO$40,MATCH(ROW()-3,AP$4:AP$40,0)))</f>
        <v/>
      </c>
      <c r="AR13">
        <f>AR12+IF(AND(AQ13&lt;&gt;"",COUNTIF(AQ$4:AQ13,AQ13)=1),1,0)</f>
        <v/>
      </c>
      <c r="AS13" s="55">
        <f>IF(ROW()-3&gt;MAX(AR$4:AR$40),"",INDEX(AQ$4:AQ$40,MATCH(ROW()-3,AR$4:AR$40,0)))</f>
        <v/>
      </c>
      <c r="AT13" s="55">
        <f>IF('Final Calculation Sheet'!$H$13="","",'Final Calculation Sheet'!$H$13)</f>
        <v/>
      </c>
      <c r="AU13">
        <f>IF(AT13="","",COUNTIFS(AT$4:AT$40,"&lt;"&amp;AT13,AT$4:AT$40,"&lt;&gt;"&amp;"")+COUNTIF(AT$4:AT13,AT13))</f>
        <v/>
      </c>
      <c r="AV13" s="55">
        <f>IF(ROW()-3&gt;COUNTIF(AT$4:AT$40,"&lt;&gt;"&amp;""),"",INDEX(AT$4:AT$40,MATCH(ROW()-3,AU$4:AU$40,0)))</f>
        <v/>
      </c>
      <c r="AW13">
        <f>AW12+IF(AND(AV13&lt;&gt;"",COUNTIF(AV$4:AV13,AV13)=1),1,0)</f>
        <v/>
      </c>
      <c r="AX13" s="55">
        <f>IF(ROW()-3&gt;MAX(AW$4:AW$40),"",INDEX(AV$4:AV$40,MATCH(ROW()-3,AW$4:AW$40,0)))</f>
        <v/>
      </c>
      <c r="AY13" s="55">
        <f>IF('Final Calculation Sheet'!$I$13="","",'Final Calculation Sheet'!$I$13)</f>
        <v/>
      </c>
      <c r="AZ13">
        <f>IF(AY13="","",COUNTIFS(AY$4:AY$40,"&lt;"&amp;AY13,AY$4:AY$40,"&lt;&gt;"&amp;"")+COUNTIF(AY$4:AY13,AY13))</f>
        <v/>
      </c>
      <c r="BA13" s="55">
        <f>IF(ROW()-3&gt;COUNTIF(AY$4:AY$40,"&lt;&gt;"&amp;""),"",INDEX(AY$4:AY$40,MATCH(ROW()-3,AZ$4:AZ$40,0)))</f>
        <v/>
      </c>
      <c r="BB13">
        <f>BB12+IF(AND(BA13&lt;&gt;"",COUNTIF(BA$4:BA13,BA13)=1),1,0)</f>
        <v/>
      </c>
      <c r="BC13" s="55">
        <f>IF(ROW()-3&gt;MAX(BB$4:BB$40),"",INDEX(BA$4:BA$40,MATCH(ROW()-3,BB$4:BB$40,0)))</f>
        <v/>
      </c>
      <c r="BD13" s="55">
        <f>IF('Final Calculation Sheet'!$J$13="","",'Final Calculation Sheet'!$J$13)</f>
        <v/>
      </c>
      <c r="BE13">
        <f>IF(BD13="","",COUNTIFS(BD$4:BD$40,"&lt;"&amp;BD13,BD$4:BD$40,"&lt;&gt;"&amp;"")+COUNTIF(BD$4:BD13,BD13))</f>
        <v/>
      </c>
      <c r="BF13" s="55">
        <f>IF(ROW()-3&gt;COUNTIF(BD$4:BD$40,"&lt;&gt;"&amp;""),"",INDEX(BD$4:BD$40,MATCH(ROW()-3,BE$4:BE$40,0)))</f>
        <v/>
      </c>
      <c r="BG13">
        <f>BG12+IF(AND(BF13&lt;&gt;"",COUNTIF(BF$4:BF13,BF13)=1),1,0)</f>
        <v/>
      </c>
      <c r="BH13" s="55">
        <f>IF(ROW()-3&gt;MAX(BG$4:BG$40),"",INDEX(BF$4:BF$40,MATCH(ROW()-3,BG$4:BG$40,0)))</f>
        <v/>
      </c>
      <c r="BI13" s="55">
        <f>IF('Final Calculation Sheet'!$K$13="","",'Final Calculation Sheet'!$K$13)</f>
        <v/>
      </c>
      <c r="BJ13">
        <f>IF(BI13="","",COUNTIFS(BI$4:BI$40,"&lt;"&amp;BI13,BI$4:BI$40,"&lt;&gt;"&amp;"")+COUNTIF(BI$4:BI13,BI13))</f>
        <v/>
      </c>
      <c r="BK13" s="55">
        <f>IF(ROW()-3&gt;COUNTIF(BI$4:BI$40,"&lt;&gt;"&amp;""),"",INDEX(BI$4:BI$40,MATCH(ROW()-3,BJ$4:BJ$40,0)))</f>
        <v/>
      </c>
      <c r="BL13">
        <f>BL12+IF(AND(BK13&lt;&gt;"",COUNTIF(BK$4:BK13,BK13)=1),1,0)</f>
        <v/>
      </c>
      <c r="BM13" s="55">
        <f>IF(ROW()-3&gt;MAX(BL$4:BL$40),"",INDEX(BK$4:BK$40,MATCH(ROW()-3,BL$4:BL$40,0)))</f>
        <v/>
      </c>
      <c r="BN13" s="55">
        <f>IF('Final Calculation Sheet'!$L$13="","",'Final Calculation Sheet'!$L$13)</f>
        <v/>
      </c>
      <c r="BO13">
        <f>IF(BN13="","",COUNTIFS(BN$4:BN$40,"&lt;"&amp;BN13,BN$4:BN$40,"&lt;&gt;"&amp;"")+COUNTIF(BN$4:BN13,BN13))</f>
        <v/>
      </c>
      <c r="BP13" s="55">
        <f>IF(ROW()-3&gt;COUNTIF(BN$4:BN$40,"&lt;&gt;"&amp;""),"",INDEX(BN$4:BN$40,MATCH(ROW()-3,BO$4:BO$40,0)))</f>
        <v/>
      </c>
      <c r="BQ13">
        <f>BQ12+IF(AND(BP13&lt;&gt;"",COUNTIF(BP$4:BP13,BP13)=1),1,0)</f>
        <v/>
      </c>
      <c r="BR13" s="55">
        <f>IF(ROW()-3&gt;MAX(BQ$4:BQ$40),"",INDEX(BP$4:BP$40,MATCH(ROW()-3,BQ$4:BQ$40,0)))</f>
        <v/>
      </c>
      <c r="BS13" s="55">
        <f>IF('Final Calculation Sheet'!$M$13="","",'Final Calculation Sheet'!$M$13)</f>
        <v/>
      </c>
      <c r="BT13">
        <f>IF(BS13="","",COUNTIFS(BS$4:BS$40,"&lt;"&amp;BS13,BS$4:BS$40,"&lt;&gt;"&amp;"")+COUNTIF(BS$4:BS13,BS13))</f>
        <v/>
      </c>
      <c r="BU13" s="55">
        <f>IF(ROW()-3&gt;COUNTIF(BS$4:BS$40,"&lt;&gt;"&amp;""),"",INDEX(BS$4:BS$40,MATCH(ROW()-3,BT$4:BT$40,0)))</f>
        <v/>
      </c>
      <c r="BV13">
        <f>BV12+IF(AND(BU13&lt;&gt;"",COUNTIF(BU$4:BU13,BU13)=1),1,0)</f>
        <v/>
      </c>
      <c r="BW13" s="55">
        <f>IF(ROW()-3&gt;MAX(BV$4:BV$40),"",INDEX(BU$4:BU$40,MATCH(ROW()-3,BV$4:BV$40,0)))</f>
        <v/>
      </c>
      <c r="BX13" s="138">
        <f>IF('Final Calculation Sheet'!$N$13="","",'Final Calculation Sheet'!$N$13)</f>
        <v/>
      </c>
      <c r="BY13">
        <f>IF(BX13="","",COUNTIFS(BX$4:BX$40,"&lt;"&amp;BX13,BX$4:BX$40,"&lt;&gt;"&amp;"")+COUNTIF(BX$4:BX13,BX13))</f>
        <v/>
      </c>
      <c r="BZ13" s="138">
        <f>IF(ROW()-3&gt;COUNTIF(BX$4:BX$40,"&lt;&gt;"&amp;""),"",INDEX(BX$4:BX$40,MATCH(ROW()-3,BY$4:BY$40,0)))</f>
        <v/>
      </c>
      <c r="CA13">
        <f>CA12+IF(AND(BZ13&lt;&gt;"",COUNTIF(BZ$4:BZ13,BZ13)=1),1,0)</f>
        <v/>
      </c>
      <c r="CB13" s="138">
        <f>IF(ROW()-3&gt;MAX(CA$4:CA$40),"",INDEX(BZ$4:BZ$40,MATCH(ROW()-3,CA$4:CA$40,0)))</f>
        <v/>
      </c>
      <c r="CC13" s="55">
        <f>IF('Final Calculation Sheet'!$O$13="","",'Final Calculation Sheet'!$O$13)</f>
        <v/>
      </c>
      <c r="CD13">
        <f>IF(CC13="","",COUNTIFS(CC$4:CC$40,"&lt;"&amp;CC13,CC$4:CC$40,"&lt;&gt;"&amp;"")+COUNTIF(CC$4:CC13,CC13))</f>
        <v/>
      </c>
      <c r="CE13" s="55">
        <f>IF(ROW()-3&gt;COUNTIF(CC$4:CC$40,"&lt;&gt;"&amp;""),"",INDEX(CC$4:CC$40,MATCH(ROW()-3,CD$4:CD$40,0)))</f>
        <v/>
      </c>
      <c r="CF13">
        <f>CF12+IF(AND(CE13&lt;&gt;"",COUNTIF(CE$4:CE13,CE13)=1),1,0)</f>
        <v/>
      </c>
      <c r="CG13" s="55">
        <f>IF(ROW()-3&gt;MAX(CF$4:CF$40),"",INDEX(CE$4:CE$40,MATCH(ROW()-3,CF$4:CF$40,0)))</f>
        <v/>
      </c>
      <c r="CH13" s="55">
        <f>IF('Final Calculation Sheet'!$P$13="","",'Final Calculation Sheet'!$P$13)</f>
        <v/>
      </c>
      <c r="CI13">
        <f>IF(CH13="","",COUNTIFS(CH$4:CH$40,"&lt;"&amp;CH13,CH$4:CH$40,"&lt;&gt;"&amp;"")+COUNTIF(CH$4:CH13,CH13))</f>
        <v/>
      </c>
      <c r="CJ13" s="55">
        <f>IF(ROW()-3&gt;COUNTIF(CH$4:CH$40,"&lt;&gt;"&amp;""),"",INDEX(CH$4:CH$40,MATCH(ROW()-3,CI$4:CI$40,0)))</f>
        <v/>
      </c>
      <c r="CK13">
        <f>CK12+IF(AND(CJ13&lt;&gt;"",COUNTIF(CJ$4:CJ13,CJ13)=1),1,0)</f>
        <v/>
      </c>
      <c r="CL13" s="55">
        <f>IF(ROW()-3&gt;MAX(CK$4:CK$40),"",INDEX(CJ$4:CJ$40,MATCH(ROW()-3,CK$4:CK$40,0)))</f>
        <v/>
      </c>
      <c r="CM13" s="139">
        <f>IF('Final Calculation Sheet'!$Q$13="","",'Final Calculation Sheet'!$Q$13)</f>
        <v/>
      </c>
      <c r="CN13">
        <f>IF(CM13="","",COUNTIFS(CM$4:CM$40,"&lt;"&amp;CM13,CM$4:CM$40,"&lt;&gt;"&amp;"")+COUNTIF(CM$4:CM13,CM13))</f>
        <v/>
      </c>
      <c r="CO13" s="139">
        <f>IF(ROW()-3&gt;COUNTIF(CM$4:CM$40,"&lt;&gt;"&amp;""),"",INDEX(CM$4:CM$40,MATCH(ROW()-3,CN$4:CN$40,0)))</f>
        <v/>
      </c>
      <c r="CP13">
        <f>CP12+IF(AND(CO13&lt;&gt;"",COUNTIF(CO$4:CO13,CO13)=1),1,0)</f>
        <v/>
      </c>
      <c r="CQ13">
        <f>IF(ROW()-3&gt;MAX(CP$4:CP$40),"",INDEX(CO$4:CO$40,MATCH(ROW()-3,CP$4:CP$40,0)))</f>
        <v/>
      </c>
      <c r="CR13" s="55">
        <f>IF('Final Calculation Sheet'!$R$13="","",'Final Calculation Sheet'!$R$13)</f>
        <v/>
      </c>
      <c r="CS13">
        <f>IF(CR13="","",COUNTIFS(CR$4:CR$40,"&lt;"&amp;CR13,CR$4:CR$40,"&lt;&gt;"&amp;"")+COUNTIF(CR$4:CR13,CR13))</f>
        <v/>
      </c>
      <c r="CT13" s="55">
        <f>IF(ROW()-3&gt;COUNTIF(CR$4:CR$40,"&lt;&gt;"&amp;""),"",INDEX(CR$4:CR$40,MATCH(ROW()-3,CS$4:CS$40,0)))</f>
        <v/>
      </c>
      <c r="CU13">
        <f>CU12+IF(AND(CT13&lt;&gt;"",COUNTIF(CT$4:CT13,CT13)=1),1,0)</f>
        <v/>
      </c>
      <c r="CV13">
        <f>IF(ROW()-3&gt;MAX(CU$4:CU$40),"",INDEX(CT$4:CT$40,MATCH(ROW()-3,CU$4:CU$40,0)))</f>
        <v/>
      </c>
      <c r="CW13" s="55">
        <f>IF('Final Calculation Sheet'!$S$13="","",'Final Calculation Sheet'!$S$13)</f>
        <v/>
      </c>
      <c r="CX13">
        <f>IF(CW13="","",COUNTIFS(CW$4:CW$40,"&lt;"&amp;CW13,CW$4:CW$40,"&lt;&gt;"&amp;"")+COUNTIF(CW$4:CW13,CW13))</f>
        <v/>
      </c>
      <c r="CY13" s="55">
        <f>IF(ROW()-3&gt;COUNTIF(CW$4:CW$40,"&lt;&gt;"&amp;""),"",INDEX(CW$4:CW$40,MATCH(ROW()-3,CX$4:CX$40,0)))</f>
        <v/>
      </c>
      <c r="CZ13">
        <f>CZ12+IF(AND(CY13&lt;&gt;"",COUNTIF(CY$4:CY13,CY13)=1),1,0)</f>
        <v/>
      </c>
      <c r="DA13" s="55">
        <f>IF(ROW()-3&gt;MAX(CZ$4:CZ$40),"",INDEX(CY$4:CY$40,MATCH(ROW()-3,CZ$4:CZ$40,0)))</f>
        <v/>
      </c>
      <c r="DB13" s="55">
        <f>IF('Final Calculation Sheet'!$T$13="","",'Final Calculation Sheet'!$T$13)</f>
        <v/>
      </c>
      <c r="DC13">
        <f>IF(DB13="","",COUNTIFS(DB$4:DB$40,"&lt;"&amp;DB13,DB$4:DB$40,"&lt;&gt;"&amp;"")+COUNTIF(DB$4:DB13,DB13))</f>
        <v/>
      </c>
      <c r="DD13" s="55">
        <f>IF(ROW()-3&gt;COUNTIF(DB$4:DB$40,"&lt;&gt;"&amp;""),"",INDEX(DB$4:DB$40,MATCH(ROW()-3,DC$4:DC$40,0)))</f>
        <v/>
      </c>
      <c r="DE13">
        <f>DE12+IF(AND(DD13&lt;&gt;"",COUNTIF(DD$4:DD13,DD13)=1),1,0)</f>
        <v/>
      </c>
      <c r="DF13" s="55">
        <f>IF(ROW()-3&gt;MAX(DE$4:DE$40),"",INDEX(DD$4:DD$40,MATCH(ROW()-3,DE$4:DE$40,0)))</f>
        <v/>
      </c>
      <c r="DG13" s="140">
        <f>IF('Final Calculation Sheet'!$U$13="","",'Final Calculation Sheet'!$U$13)</f>
        <v/>
      </c>
      <c r="DH13">
        <f>IF(DG13="","",COUNTIFS(DG$4:DG$40,"&lt;"&amp;DG13,DG$4:DG$40,"&lt;&gt;"&amp;"")+COUNTIF(DG$4:DG13,DG13))</f>
        <v/>
      </c>
      <c r="DI13" s="140">
        <f>IF(ROW()-3&gt;COUNTIF(DG$4:DG$40,"&lt;&gt;"&amp;""),"",INDEX(DG$4:DG$40,MATCH(ROW()-3,DH$4:DH$40,0)))</f>
        <v/>
      </c>
      <c r="DJ13">
        <f>DJ12+IF(AND(DI13&lt;&gt;"",COUNTIF(DI$4:DI13,DI13)=1),1,0)</f>
        <v/>
      </c>
      <c r="DK13" s="140">
        <f>IF(ROW()-3&gt;MAX(DJ$4:DJ$40),"",INDEX(DI$4:DI$40,MATCH(ROW()-3,DJ$4:DJ$40,0)))</f>
        <v/>
      </c>
      <c r="DL13">
        <f>IF('Final Calculation Sheet'!$V$13="","",'Final Calculation Sheet'!$V$13)</f>
        <v/>
      </c>
      <c r="DM13">
        <f>IF(DL13="","",COUNTIFS(DL$4:DL$40,"&lt;"&amp;DL13,DL$4:DL$40,"&lt;&gt;"&amp;"")+COUNTIF(DL$4:DL13,DL13))</f>
        <v/>
      </c>
      <c r="DN13">
        <f>IF(ROW()-3&gt;COUNTIF(DL$4:DL$40,"&lt;&gt;"&amp;""),"",INDEX(DL$4:DL$40,MATCH(ROW()-3,DM$4:DM$40,0)))</f>
        <v/>
      </c>
      <c r="DO13">
        <f>DO12+IF(AND(DN13&lt;&gt;"",COUNTIF(DN$4:DN13,DN13)=1),1,0)</f>
        <v/>
      </c>
      <c r="DP13">
        <f>IF(ROW()-3&gt;MAX(DO$4:DO$40),"",INDEX(DN$4:DN$40,MATCH(ROW()-3,DO$4:DO$40,0)))</f>
        <v/>
      </c>
      <c r="DQ13" s="55">
        <f>IF('Final Calculation Sheet'!$W$13="","",'Final Calculation Sheet'!$W$13)</f>
        <v/>
      </c>
      <c r="DR13">
        <f>IF(DQ13="","",COUNTIFS(DQ$4:DQ$40,"&lt;"&amp;DQ13,DQ$4:DQ$40,"&lt;&gt;"&amp;"")+COUNTIF(DQ$4:DQ13,DQ13))</f>
        <v/>
      </c>
      <c r="DS13" s="55">
        <f>IF(ROW()-3&gt;COUNTIF(DQ$4:DQ$40,"&lt;&gt;"&amp;""),"",INDEX(DQ$4:DQ$40,MATCH(ROW()-3,DR$4:DR$40,0)))</f>
        <v/>
      </c>
      <c r="DT13">
        <f>DT12+IF(AND(DS13&lt;&gt;"",COUNTIF(DS$4:DS13,DS13)=1),1,0)</f>
        <v/>
      </c>
      <c r="DU13" s="55">
        <f>IF(ROW()-3&gt;MAX(DT$4:DT$40),"",INDEX(DS$4:DS$40,MATCH(ROW()-3,DT$4:DT$40,0)))</f>
        <v/>
      </c>
      <c r="DV13" s="55">
        <f>IF('Final Calculation Sheet'!$X$13="","",'Final Calculation Sheet'!$X$13)</f>
        <v/>
      </c>
      <c r="DW13">
        <f>IF(DV13="","",COUNTIFS(DV$4:DV$40,"&lt;"&amp;DV13,DV$4:DV$40,"&lt;&gt;"&amp;"")+COUNTIF(DV$4:DV13,DV13))</f>
        <v/>
      </c>
      <c r="DX13" s="55">
        <f>IF(ROW()-3&gt;COUNTIF(DV$4:DV$40,"&lt;&gt;"&amp;""),"",INDEX(DV$4:DV$40,MATCH(ROW()-3,DW$4:DW$40,0)))</f>
        <v/>
      </c>
      <c r="DY13">
        <f>DY12+IF(AND(DX13&lt;&gt;"",COUNTIF(DX$4:DX13,DX13)=1),1,0)</f>
        <v/>
      </c>
      <c r="DZ13">
        <f>IF(ROW()-3&gt;MAX(DY$4:DY$40),"",INDEX(DX$4:DX$40,MATCH(ROW()-3,DY$4:DY$40,0)))</f>
        <v/>
      </c>
      <c r="EA13">
        <f>IF('Final Calculation Sheet'!$Y$13="","",'Final Calculation Sheet'!$Y$13)</f>
        <v/>
      </c>
      <c r="EB13">
        <f>IF(EA13="","",COUNTIFS(EA$4:EA$40,"&lt;"&amp;EA13,EA$4:EA$40,"&lt;&gt;"&amp;"")+COUNTIF(EA$4:EA13,EA13))</f>
        <v/>
      </c>
      <c r="EC13">
        <f>IF(ROW()-3&gt;COUNTIF(EA$4:EA$40,"&lt;&gt;"&amp;""),"",INDEX(EA$4:EA$40,MATCH(ROW()-3,EB$4:EB$40,0)))</f>
        <v/>
      </c>
      <c r="ED13">
        <f>ED12+IF(AND(EC13&lt;&gt;"",COUNTIF(EC$4:EC13,EC13)=1),1,0)</f>
        <v/>
      </c>
      <c r="EE13">
        <f>IF(ROW()-3&gt;MAX(ED$4:ED$40),"",INDEX(EC$4:EC$40,MATCH(ROW()-3,ED$4:ED$40,0)))</f>
        <v/>
      </c>
      <c r="EF13" s="55">
        <f>IF('Final Calculation Sheet'!$Z$13="","",'Final Calculation Sheet'!$Z$13)</f>
        <v/>
      </c>
      <c r="EG13">
        <f>IF(EF13="","",COUNTIFS(EF$4:EF$40,"&lt;"&amp;EF13,EF$4:EF$40,"&lt;&gt;"&amp;"")+COUNTIF(EF$4:EF13,EF13))</f>
        <v/>
      </c>
      <c r="EH13" s="55">
        <f>IF(ROW()-3&gt;COUNTIF(EF$4:EF$40,"&lt;&gt;"&amp;""),"",INDEX(EF$4:EF$40,MATCH(ROW()-3,EG$4:EG$40,0)))</f>
        <v/>
      </c>
      <c r="EI13">
        <f>EI12+IF(AND(EH13&lt;&gt;"",COUNTIF(EH$4:EH13,EH13)=1),1,0)</f>
        <v/>
      </c>
      <c r="EJ13">
        <f>IF(ROW()-3&gt;MAX(EI$4:EI$40),"",INDEX(EH$4:EH$40,MATCH(ROW()-3,EI$4:EI$40,0)))</f>
        <v/>
      </c>
      <c r="EK13">
        <f>IF('Final Calculation Sheet'!$AA$13="","",'Final Calculation Sheet'!$AA$13)</f>
        <v/>
      </c>
      <c r="EL13">
        <f>IF(EK13="","",COUNTIFS(EK$4:EK$40,"&lt;"&amp;EK13,EK$4:EK$40,"&lt;&gt;"&amp;"")+COUNTIF(EK$4:EK13,EK13))</f>
        <v/>
      </c>
      <c r="EM13">
        <f>IF(ROW()-3&gt;COUNTIF(EK$4:EK$40,"&lt;&gt;"&amp;""),"",INDEX(EK$4:EK$40,MATCH(ROW()-3,EL$4:EL$40,0)))</f>
        <v/>
      </c>
      <c r="EN13">
        <f>EN12+IF(AND(EM13&lt;&gt;"",COUNTIF(EM$4:EM13,EM13)=1),1,0)</f>
        <v/>
      </c>
      <c r="EO13">
        <f>IF(ROW()-3&gt;MAX(EN$4:EN$40),"",INDEX(EM$4:EM$40,MATCH(ROW()-3,EN$4:EN$40,0)))</f>
        <v/>
      </c>
      <c r="EP13">
        <f>IF('Final Calculation Sheet'!$AB$13="","",'Final Calculation Sheet'!$AB$13)</f>
        <v/>
      </c>
      <c r="EQ13">
        <f>IF(EP13="","",COUNTIFS(EP$4:EP$40,"&lt;"&amp;EP13,EP$4:EP$40,"&lt;&gt;"&amp;"")+COUNTIF(EP$4:EP13,EP13))</f>
        <v/>
      </c>
      <c r="ER13">
        <f>IF(ROW()-3&gt;COUNTIF(EP$4:EP$40,"&lt;&gt;"&amp;""),"",INDEX(EP$4:EP$40,MATCH(ROW()-3,EQ$4:EQ$40,0)))</f>
        <v/>
      </c>
      <c r="ES13">
        <f>ES12+IF(AND(ER13&lt;&gt;"",COUNTIF(ER$4:ER13,ER13)=1),1,0)</f>
        <v/>
      </c>
      <c r="ET13">
        <f>IF(ROW()-3&gt;MAX(ES$4:ES$40),"",INDEX(ER$4:ER$40,MATCH(ROW()-3,ES$4:ES$40,0)))</f>
        <v/>
      </c>
      <c r="EU13" s="55">
        <f>IF('Final Calculation Sheet'!$AC$13="","",'Final Calculation Sheet'!$AC$13)</f>
        <v/>
      </c>
      <c r="EV13">
        <f>IF(EU13="","",COUNTIFS(EU$4:EU$40,"&lt;"&amp;EU13,EU$4:EU$40,"&lt;&gt;"&amp;"")+COUNTIF(EU$4:EU13,EU13))</f>
        <v/>
      </c>
      <c r="EW13" s="55">
        <f>IF(ROW()-3&gt;COUNTIF(EU$4:EU$40,"&lt;&gt;"&amp;""),"",INDEX(EU$4:EU$40,MATCH(ROW()-3,EV$4:EV$40,0)))</f>
        <v/>
      </c>
      <c r="EX13">
        <f>EX12+IF(AND(EW13&lt;&gt;"",COUNTIF(EW$4:EW13,EW13)=1),1,0)</f>
        <v/>
      </c>
      <c r="EY13" s="55">
        <f>IF(ROW()-3&gt;MAX(EX$4:EX$40),"",INDEX(EW$4:EW$40,MATCH(ROW()-3,EX$4:EX$40,0)))</f>
        <v/>
      </c>
      <c r="EZ13" s="55">
        <f>IF('Final Calculation Sheet'!$AD$13="","",'Final Calculation Sheet'!$AD$13)</f>
        <v/>
      </c>
      <c r="FA13">
        <f>IF(EZ13="","",COUNTIFS(EZ$4:EZ$40,"&lt;"&amp;EZ13,EZ$4:EZ$40,"&lt;&gt;"&amp;"")+COUNTIF(EZ$4:EZ13,EZ13))</f>
        <v/>
      </c>
      <c r="FB13" s="55">
        <f>IF(ROW()-3&gt;COUNTIF(EZ$4:EZ$40,"&lt;&gt;"&amp;""),"",INDEX(EZ$4:EZ$40,MATCH(ROW()-3,FA$4:FA$40,0)))</f>
        <v/>
      </c>
      <c r="FC13">
        <f>FC12+IF(AND(FB13&lt;&gt;"",COUNTIF(FB$4:FB13,FB13)=1),1,0)</f>
        <v/>
      </c>
      <c r="FD13" s="55">
        <f>IF(ROW()-3&gt;MAX(FC$4:FC$40),"",INDEX(FB$4:FB$40,MATCH(ROW()-3,FC$4:FC$40,0)))</f>
        <v/>
      </c>
      <c r="FE13">
        <f>IF('Final Calculation Sheet'!$AF$13="","",'Final Calculation Sheet'!$AF$13)</f>
        <v/>
      </c>
      <c r="FF13">
        <f>IF(FE13="","",COUNTIFS(FE$4:FE$40,"&lt;"&amp;FE13,FE$4:FE$40,"&lt;&gt;"&amp;"")+COUNTIF(FE$4:FE13,FE13))</f>
        <v/>
      </c>
      <c r="FG13">
        <f>IF(ROW()-3&gt;COUNTIF(FE$4:FE$40,"&lt;&gt;"&amp;""),"",INDEX(FE$4:FE$40,MATCH(ROW()-3,FF$4:FF$40,0)))</f>
        <v/>
      </c>
      <c r="FH13">
        <f>FH12+IF(AND(FG13&lt;&gt;"",COUNTIF(FG$4:FG13,FG13)=1),1,0)</f>
        <v/>
      </c>
      <c r="FI13">
        <f>IF(ROW()-3&gt;MAX(FH$4:FH$40),"",INDEX(FG$4:FG$40,MATCH(ROW()-3,FH$4:FH$40,0)))</f>
        <v/>
      </c>
      <c r="FJ13" s="141">
        <f>IF('Final Calculation Sheet'!$AG$13="","",'Final Calculation Sheet'!$AG$13)</f>
        <v/>
      </c>
      <c r="FK13">
        <f>IF(FJ13="","",COUNTIFS(FJ$4:FJ$40,"&lt;"&amp;FJ13,FJ$4:FJ$40,"&lt;&gt;"&amp;"")+COUNTIF(FJ$4:FJ13,FJ13))</f>
        <v/>
      </c>
      <c r="FL13" s="141">
        <f>IF(ROW()-3&gt;COUNTIF(FJ$4:FJ$40,"&lt;&gt;"&amp;""),"",INDEX(FJ$4:FJ$40,MATCH(ROW()-3,FK$4:FK$40,0)))</f>
        <v/>
      </c>
      <c r="FM13">
        <f>FM12+IF(AND(FL13&lt;&gt;"",COUNTIF(FL$4:FL13,FL13)=1),1,0)</f>
        <v/>
      </c>
      <c r="FN13">
        <f>IF(ROW()-3&gt;MAX(FM$4:FM$40),"",INDEX(FL$4:FL$40,MATCH(ROW()-3,FM$4:FM$40,0)))</f>
        <v/>
      </c>
      <c r="FO13">
        <f>IF('Final Calculation Sheet'!$AH$13="","",'Final Calculation Sheet'!$AH$13)</f>
        <v/>
      </c>
      <c r="FP13">
        <f>IF(FO13="","",COUNTIFS(FO$4:FO$40,"&lt;"&amp;FO13,FO$4:FO$40,"&lt;&gt;"&amp;"")+COUNTIF(FO$4:FO13,FO13))</f>
        <v/>
      </c>
      <c r="FQ13">
        <f>IF(ROW()-3&gt;COUNTIF(FO$4:FO$40,"&lt;&gt;"&amp;""),"",INDEX(FO$4:FO$40,MATCH(ROW()-3,FP$4:FP$40,0)))</f>
        <v/>
      </c>
      <c r="FR13">
        <f>FR12+IF(AND(FQ13&lt;&gt;"",COUNTIF(FQ$4:FQ13,FQ13)=1),1,0)</f>
        <v/>
      </c>
      <c r="FS13">
        <f>IF(ROW()-3&gt;MAX(FR$4:FR$40),"",INDEX(FQ$4:FQ$40,MATCH(ROW()-3,FR$4:FR$40,0)))</f>
        <v/>
      </c>
      <c r="FU13">
        <f>IF(FT13="","",COUNTIFS(FT$4:FT$40,"&lt;"&amp;FT13,FT$4:FT$40,"&lt;&gt;"&amp;"")+COUNTIF(FT$4:FT13,FT13))</f>
        <v/>
      </c>
      <c r="FV13">
        <f>IF(ROW()-3&gt;COUNTIF(FT$4:FT$40,"&lt;&gt;"&amp;""),"",INDEX(FT$4:FT$40,MATCH(ROW()-3,FU$4:FU$40,0)))</f>
        <v/>
      </c>
      <c r="FW13">
        <f>FW12+IF(AND(FV13&lt;&gt;"",COUNTIF(FV$4:FV13,FV13)=1),1,0)</f>
        <v/>
      </c>
      <c r="FX13">
        <f>IF(ROW()-3&gt;MAX(FW$4:FW$40),"",INDEX(FV$4:FV$40,MATCH(ROW()-3,FW$4:FW$40,0)))</f>
        <v/>
      </c>
      <c r="FY13">
        <f>IF(COUNTIF('Live Search'!BM$12:BO$12,0)+COUNTIF('Live Search'!BQ$12:CU$12,0)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3">
        <f>IF($Y$13="",FALSE,SUMPRODUCT(('Final Calculation Sheet'!$B$4:$B$40=$Y$13)*($FY$6:$FY$42=1))&gt;0)</f>
        <v/>
      </c>
      <c r="GA13">
        <f>$GA$12+--($FZ$13)</f>
        <v/>
      </c>
      <c r="GB13">
        <f>IF(ROW()-3&gt;MAX($GA$4:$GA$40),"",INDEX($Y$4:$Y$40,MATCH(ROW()-3,$GA$4:$GA$40,0)))</f>
        <v/>
      </c>
      <c r="GC13">
        <f>IF(COUNTIF('Live Search'!BM$12:BM$12,0)+COUNTIF('Live Search'!BO$12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GD13">
        <f>IF($O$13="",FALSE,SUMPRODUCT(('Final Calculation Sheet'!$F$4:$F$40=$O$13)*($GC$6:$GC$42=1))&gt;0)</f>
        <v/>
      </c>
      <c r="GE13">
        <f>$GE$12+--($GD13)</f>
        <v/>
      </c>
      <c r="GF13">
        <f>IF(ROW()-3&gt;MAX($GE$4:$GE$40),"",INDEX($O$4:$O$40,MATCH(ROW()-3,$GE$4:$GE$40,0)))</f>
        <v/>
      </c>
      <c r="GG13">
        <f>IF(COUNTIF('Live Search'!BM$12:BN$12,0)+COUNTIF('Live Search'!BP$12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GH13">
        <f>IF($T$13="",FALSE,SUMPRODUCT(('Final Calculation Sheet'!$G$4:$G$40=$T$13)*($GG$6:$GG$42=1))&gt;0)</f>
        <v/>
      </c>
      <c r="GI13">
        <f>$GI$12+--($GH13)</f>
        <v/>
      </c>
      <c r="GJ13">
        <f>IF(ROW()-3&gt;MAX($GI$4:$GI$40),"",INDEX($T$4:$T$40,MATCH(ROW()-3,$GI$4:$GI$40,0)))</f>
        <v/>
      </c>
      <c r="GK13">
        <f>IF(COUNTIF('Live Search'!BM$12:BP$12,0)+COUNTIF('Live Search'!BR$12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GL13">
        <f>IF($AD$13="",FALSE,SUMPRODUCT(('Final Calculation Sheet'!$D$4:$D$40=$AD$13)*($GK$6:$GK$42=1))&gt;0)</f>
        <v/>
      </c>
      <c r="GM13">
        <f>$GM$12+--($GL13)</f>
        <v/>
      </c>
      <c r="GN13">
        <f>IF(ROW()-3&gt;MAX($GM$4:$GM$40),"",INDEX($AD$4:$AD$40,MATCH(ROW()-3,$GM$4:$GM$40,0)))</f>
        <v/>
      </c>
      <c r="GO13">
        <f>IF(COUNTIF('Live Search'!BM$12:BQ$12,0)+COUNTIF('Live Search'!BS$12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GP13">
        <f>IF($AI$13="",FALSE,SUMPRODUCT(('Final Calculation Sheet'!$A$4:$A$40=$AI$13)*($GO$6:$GO$42=1))&gt;0)</f>
        <v/>
      </c>
      <c r="GQ13">
        <f>$GQ$12+--($GP13)</f>
        <v/>
      </c>
      <c r="GR13">
        <f>IF(ROW()-3&gt;MAX($GQ$4:$GQ$40),"",INDEX($AI$4:$AI$40,MATCH(ROW()-3,$GQ$4:$GQ$40,0)))</f>
        <v/>
      </c>
      <c r="GS13">
        <f>IF(COUNTIF('Live Search'!BM$12:BR$12,0)+COUNTIF('Live Search'!BT$12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GT13">
        <f>IF($AN$13="",FALSE,SUMPRODUCT(('Final Calculation Sheet'!$E$4:$E$40=$AN$13)*($GS$6:$GS$42=1))&gt;0)</f>
        <v/>
      </c>
      <c r="GU13">
        <f>$GU$12+--($GT13)</f>
        <v/>
      </c>
      <c r="GV13">
        <f>IF(ROW()-3&gt;MAX($GU$4:$GU$40),"",INDEX($AN$4:$AN$40,MATCH(ROW()-3,$GU$4:$GU$40,0)))</f>
        <v/>
      </c>
      <c r="GW13">
        <f>IF(COUNTIF('Live Search'!BM$12:BS$12,0)+COUNTIF('Live Search'!BU$12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GX13">
        <f>IF($AS$13="",FALSE,SUMPRODUCT(('Final Calculation Sheet'!$C$4:$C$40=$AS$13)*($GW$6:$GW$42=1))&gt;0)</f>
        <v/>
      </c>
      <c r="GY13">
        <f>$GY$12+--($GX13)</f>
        <v/>
      </c>
      <c r="GZ13">
        <f>IF(ROW()-3&gt;MAX($GY$4:$GY$40),"",INDEX($AS$4:$AS$40,MATCH(ROW()-3,$GY$4:$GY$40,0)))</f>
        <v/>
      </c>
      <c r="HA13">
        <f>IF(COUNTIF('Live Search'!BM$12:BT$12,0)+COUNTIF('Live Search'!BV$12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HB13">
        <f>IF($AX$13="",FALSE,SUMPRODUCT(('Final Calculation Sheet'!$H$4:$H$40=$AX$13)*($HA$6:$HA$42=1))&gt;0)</f>
        <v/>
      </c>
      <c r="HC13">
        <f>$HC$12+--($HB13)</f>
        <v/>
      </c>
      <c r="HD13">
        <f>IF(ROW()-3&gt;MAX($HC$4:$HC$40),"",INDEX($AX$4:$AX$40,MATCH(ROW()-3,$HC$4:$HC$40,0)))</f>
        <v/>
      </c>
      <c r="HE13">
        <f>IF(COUNTIF('Live Search'!BM$12:BU$12,0)+COUNTIF('Live Search'!BW$12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HF13">
        <f>IF($BC$13="",FALSE,SUMPRODUCT(('Final Calculation Sheet'!$I$4:$I$40=$BC$13)*($HE$6:$HE$42=1))&gt;0)</f>
        <v/>
      </c>
      <c r="HG13">
        <f>$HG$12+--($HF13)</f>
        <v/>
      </c>
      <c r="HH13">
        <f>IF(ROW()-3&gt;MAX($HG$4:$HG$40),"",INDEX($BC$4:$BC$40,MATCH(ROW()-3,$HG$4:$HG$40,0)))</f>
        <v/>
      </c>
      <c r="HI13">
        <f>IF(COUNTIF('Live Search'!BM$12:BV$12,0)+COUNTIF('Live Search'!BX$12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HJ13">
        <f>IF($BH$13="",FALSE,SUMPRODUCT(('Final Calculation Sheet'!$J$4:$J$40=$BH$13)*($HI$6:$HI$42=1))&gt;0)</f>
        <v/>
      </c>
      <c r="HK13">
        <f>$HK$12+--($HJ13)</f>
        <v/>
      </c>
      <c r="HL13">
        <f>IF(ROW()-3&gt;MAX($HK$4:$HK$40),"",INDEX($BH$4:$BH$40,MATCH(ROW()-3,$HK$4:$HK$40,0)))</f>
        <v/>
      </c>
      <c r="HM13">
        <f>IF(COUNTIF('Live Search'!BM$12:BW$12,0)+COUNTIF('Live Search'!BY$12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HN13">
        <f>IF($BM$13="",FALSE,SUMPRODUCT(('Final Calculation Sheet'!$K$4:$K$40=$BM$13)*($HM$6:$HM$42=1))&gt;0)</f>
        <v/>
      </c>
      <c r="HO13">
        <f>$HO$12+--($HN13)</f>
        <v/>
      </c>
      <c r="HP13">
        <f>IF(ROW()-3&gt;MAX($HO$4:$HO$40),"",INDEX($BM$4:$BM$40,MATCH(ROW()-3,$HO$4:$HO$40,0)))</f>
        <v/>
      </c>
      <c r="HQ13">
        <f>IF(COUNTIF('Live Search'!BM$12:BX$12,0)+COUNTIF('Live Search'!BZ$12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HR13">
        <f>IF($BR$13="",FALSE,SUMPRODUCT(('Final Calculation Sheet'!$L$4:$L$40=$BR$13)*($HQ$6:$HQ$42=1))&gt;0)</f>
        <v/>
      </c>
      <c r="HS13">
        <f>$HS$12+--($HR13)</f>
        <v/>
      </c>
      <c r="HT13">
        <f>IF(ROW()-3&gt;MAX($HS$4:$HS$40),"",INDEX($BR$4:$BR$40,MATCH(ROW()-3,$HS$4:$HS$40,0)))</f>
        <v/>
      </c>
      <c r="HU13">
        <f>IF(COUNTIF('Live Search'!BM$12:BY$12,0)+COUNTIF('Live Search'!CA$12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HV13">
        <f>IF($BW$13="",FALSE,SUMPRODUCT(('Final Calculation Sheet'!$M$4:$M$40=$BW$13)*($HU$6:$HU$42=1))&gt;0)</f>
        <v/>
      </c>
      <c r="HW13">
        <f>$HW$12+--($HV13)</f>
        <v/>
      </c>
      <c r="HX13">
        <f>IF(ROW()-3&gt;MAX($HW$4:$HW$40),"",INDEX($BW$4:$BW$40,MATCH(ROW()-3,$HW$4:$HW$40,0)))</f>
        <v/>
      </c>
      <c r="HY13">
        <f>IF(COUNTIF('Live Search'!BM$12:BZ$12,0)+COUNTIF('Live Search'!CB$12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HZ13">
        <f>IF($CB$13="",FALSE,SUMPRODUCT(('Final Calculation Sheet'!$N$4:$N$40=$CB$13)*($HY$6:$HY$42=1))&gt;0)</f>
        <v/>
      </c>
      <c r="IA13">
        <f>$IA$12+--($HZ13)</f>
        <v/>
      </c>
      <c r="IB13">
        <f>IF(ROW()-3&gt;MAX($IA$4:$IA$40),"",INDEX($CB$4:$CB$40,MATCH(ROW()-3,$IA$4:$IA$40,0)))</f>
        <v/>
      </c>
      <c r="IC13">
        <f>IF(COUNTIF('Live Search'!BM$12:CA$12,0)+COUNTIF('Live Search'!CC$12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ID13">
        <f>IF($CG$13="",FALSE,SUMPRODUCT(('Final Calculation Sheet'!$O$4:$O$40=$CG$13)*($IC$6:$IC$42=1))&gt;0)</f>
        <v/>
      </c>
      <c r="IE13">
        <f>$IE$12+--($ID13)</f>
        <v/>
      </c>
      <c r="IF13">
        <f>IF(ROW()-3&gt;MAX($IE$4:$IE$40),"",INDEX($CG$4:$CG$40,MATCH(ROW()-3,$IE$4:$IE$40,0)))</f>
        <v/>
      </c>
      <c r="IG13">
        <f>IF(COUNTIF('Live Search'!BM$12:CB$12,0)+COUNTIF('Live Search'!CD$12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IH13">
        <f>IF($CL$13="",FALSE,SUMPRODUCT(('Final Calculation Sheet'!$P$4:$P$40=$CL$13)*($IG$6:$IG$42=1))&gt;0)</f>
        <v/>
      </c>
      <c r="II13">
        <f>$II$12+--($IH13)</f>
        <v/>
      </c>
      <c r="IJ13">
        <f>IF(ROW()-3&gt;MAX($II$4:$II$40),"",INDEX($CL$4:$CL$40,MATCH(ROW()-3,$II$4:$II$40,0)))</f>
        <v/>
      </c>
      <c r="IK13">
        <f>IF(COUNTIF('Live Search'!BM$12:CC$12,0)+COUNTIF('Live Search'!CE$12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IL13">
        <f>IF($CQ$13="",FALSE,SUMPRODUCT(('Final Calculation Sheet'!$Q$4:$Q$40=$CQ$13)*($IK$6:$IK$42=1))&gt;0)</f>
        <v/>
      </c>
      <c r="IM13">
        <f>$IM$12+--($IL13)</f>
        <v/>
      </c>
      <c r="IN13">
        <f>IF(ROW()-3&gt;MAX($IM$4:$IM$40),"",INDEX($CQ$4:$CQ$40,MATCH(ROW()-3,$IM$4:$IM$40,0)))</f>
        <v/>
      </c>
      <c r="IO13">
        <f>IF(COUNTIF('Live Search'!BM$12:CD$12,0)+COUNTIF('Live Search'!CF$12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IP13">
        <f>IF($CV$13="",FALSE,SUMPRODUCT(('Final Calculation Sheet'!$R$4:$R$40=$CV$13)*($IO$6:$IO$42=1))&gt;0)</f>
        <v/>
      </c>
      <c r="IQ13">
        <f>$IQ$12+--($IP13)</f>
        <v/>
      </c>
      <c r="IR13">
        <f>IF(ROW()-3&gt;MAX($IQ$4:$IQ$40),"",INDEX($CV$4:$CV$40,MATCH(ROW()-3,$IQ$4:$IQ$40,0)))</f>
        <v/>
      </c>
      <c r="IS13">
        <f>IF(COUNTIF('Live Search'!BM$12:CE$12,0)+COUNTIF('Live Search'!CG$12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IT13">
        <f>IF($DA$13="",FALSE,SUMPRODUCT(('Final Calculation Sheet'!$S$4:$S$40=$DA$13)*($IS$6:$IS$42=1))&gt;0)</f>
        <v/>
      </c>
      <c r="IU13">
        <f>$IU$12+--($IT13)</f>
        <v/>
      </c>
      <c r="IV13">
        <f>IF(ROW()-3&gt;MAX($IU$4:$IU$40),"",INDEX($DA$4:$DA$40,MATCH(ROW()-3,$IU$4:$IU$40,0)))</f>
        <v/>
      </c>
      <c r="IW13">
        <f>IF(COUNTIF('Live Search'!BM$12:CF$12,0)+COUNTIF('Live Search'!CH$12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IX13">
        <f>IF($DF$13="",FALSE,SUMPRODUCT(('Final Calculation Sheet'!$T$4:$T$40=$DF$13)*($IW$6:$IW$42=1))&gt;0)</f>
        <v/>
      </c>
      <c r="IY13">
        <f>$IY$12+--($IX13)</f>
        <v/>
      </c>
      <c r="IZ13">
        <f>IF(ROW()-3&gt;MAX($IY$4:$IY$40),"",INDEX($DF$4:$DF$40,MATCH(ROW()-3,$IY$4:$IY$40,0)))</f>
        <v/>
      </c>
      <c r="JA13">
        <f>IF(COUNTIF('Live Search'!BM$12:CG$12,0)+COUNTIF('Live Search'!CI$12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JB13">
        <f>IF($DK$13="",FALSE,SUMPRODUCT(('Final Calculation Sheet'!$U$4:$U$40=$DK$13)*($JA$6:$JA$42=1))&gt;0)</f>
        <v/>
      </c>
      <c r="JC13">
        <f>$JC$12+--($JB13)</f>
        <v/>
      </c>
      <c r="JD13">
        <f>IF(ROW()-3&gt;MAX($JC$4:$JC$40),"",INDEX($DK$4:$DK$40,MATCH(ROW()-3,$JC$4:$JC$40,0)))</f>
        <v/>
      </c>
      <c r="JE13">
        <f>IF(COUNTIF('Live Search'!BM$12:CH$12,0)+COUNTIF('Live Search'!CJ$12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JF13">
        <f>IF($DP$13="",FALSE,SUMPRODUCT(('Final Calculation Sheet'!$V$4:$V$40=$DP$13)*($JE$6:$JE$42=1))&gt;0)</f>
        <v/>
      </c>
      <c r="JG13">
        <f>$JG$12+--($JF13)</f>
        <v/>
      </c>
      <c r="JH13">
        <f>IF(ROW()-3&gt;MAX($JG$4:$JG$40),"",INDEX($DP$4:$DP$40,MATCH(ROW()-3,$JG$4:$JG$40,0)))</f>
        <v/>
      </c>
      <c r="JI13">
        <f>IF(COUNTIF('Live Search'!BM$12:CI$12,0)+COUNTIF('Live Search'!CK$12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JJ13">
        <f>IF($DU$13="",FALSE,SUMPRODUCT(('Final Calculation Sheet'!$W$4:$W$40=$DU$13)*($JI$6:$JI$42=1))&gt;0)</f>
        <v/>
      </c>
      <c r="JK13">
        <f>$JK$12+--($JJ13)</f>
        <v/>
      </c>
      <c r="JL13">
        <f>IF(ROW()-3&gt;MAX($JK$4:$JK$40),"",INDEX($DU$4:$DU$40,MATCH(ROW()-3,$JK$4:$JK$40,0)))</f>
        <v/>
      </c>
      <c r="JM13">
        <f>IF(COUNTIF('Live Search'!BM$12:CJ$12,0)+COUNTIF('Live Search'!CL$12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JN13">
        <f>IF($DZ$13="",FALSE,SUMPRODUCT(('Final Calculation Sheet'!$X$4:$X$40=$DZ$13)*($JM$6:$JM$42=1))&gt;0)</f>
        <v/>
      </c>
      <c r="JO13">
        <f>$JO$12+--($JN13)</f>
        <v/>
      </c>
      <c r="JP13">
        <f>IF(ROW()-3&gt;MAX($JO$4:$JO$40),"",INDEX($DZ$4:$DZ$40,MATCH(ROW()-3,$JO$4:$JO$40,0)))</f>
        <v/>
      </c>
      <c r="JQ13">
        <f>IF(COUNTIF('Live Search'!BM$12:CK$12,0)+COUNTIF('Live Search'!CM$12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JR13">
        <f>IF($EE$13="",FALSE,SUMPRODUCT(('Final Calculation Sheet'!$Y$4:$Y$40=$EE$13)*($JQ$6:$JQ$42=1))&gt;0)</f>
        <v/>
      </c>
      <c r="JS13">
        <f>$JS$12+--($JR13)</f>
        <v/>
      </c>
      <c r="JT13">
        <f>IF(ROW()-3&gt;MAX($JS$4:$JS$40),"",INDEX($EE$4:$EE$40,MATCH(ROW()-3,$JS$4:$JS$40,0)))</f>
        <v/>
      </c>
      <c r="JU13">
        <f>IF(COUNTIF('Live Search'!BM$12:CL$12,0)+COUNTIF('Live Search'!CN$12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JV13">
        <f>IF($EJ$13="",FALSE,SUMPRODUCT(('Final Calculation Sheet'!$Z$4:$Z$40=$EJ$13)*($JU$6:$JU$42=1))&gt;0)</f>
        <v/>
      </c>
      <c r="JW13">
        <f>$JW$12+--($JV13)</f>
        <v/>
      </c>
      <c r="JX13">
        <f>IF(ROW()-3&gt;MAX($JW$4:$JW$40),"",INDEX($EJ$4:$EJ$40,MATCH(ROW()-3,$JW$4:$JW$40,0)))</f>
        <v/>
      </c>
      <c r="JY13">
        <f>IF(COUNTIF('Live Search'!BM$12:CM$12,0)+COUNTIF('Live Search'!CO$12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JZ13">
        <f>IF($EO$13="",FALSE,SUMPRODUCT(('Final Calculation Sheet'!$AA$4:$AA$40=$EO$13)*($JY$6:$JY$42=1))&gt;0)</f>
        <v/>
      </c>
      <c r="KA13">
        <f>$KA$12+--($JZ13)</f>
        <v/>
      </c>
      <c r="KB13">
        <f>IF(ROW()-3&gt;MAX($KA$4:$KA$40),"",INDEX($EO$4:$EO$40,MATCH(ROW()-3,$KA$4:$KA$40,0)))</f>
        <v/>
      </c>
      <c r="KC13">
        <f>IF(COUNTIF('Live Search'!BM$12:CN$12,0)+COUNTIF('Live Search'!CP$12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KD13">
        <f>IF($ET$13="",FALSE,SUMPRODUCT(('Final Calculation Sheet'!$AB$4:$AB$40=$ET$13)*($KC$6:$KC$42=1))&gt;0)</f>
        <v/>
      </c>
      <c r="KE13">
        <f>$KE$12+--($KD13)</f>
        <v/>
      </c>
      <c r="KF13">
        <f>IF(ROW()-3&gt;MAX($KE$4:$KE$40),"",INDEX($ET$4:$ET$40,MATCH(ROW()-3,$KE$4:$KE$40,0)))</f>
        <v/>
      </c>
      <c r="KG13">
        <f>IF(COUNTIF('Live Search'!BM$12:CO$12,0)+COUNTIF('Live Search'!CQ$12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KH13">
        <f>IF($EY$13="",FALSE,SUMPRODUCT(('Final Calculation Sheet'!$AC$4:$AC$40=$EY$13)*($KG$6:$KG$42=1))&gt;0)</f>
        <v/>
      </c>
      <c r="KI13">
        <f>$KI$12+--($KH13)</f>
        <v/>
      </c>
      <c r="KJ13">
        <f>IF(ROW()-3&gt;MAX($KI$4:$KI$40),"",INDEX($EY$4:$EY$40,MATCH(ROW()-3,$KI$4:$KI$40,0)))</f>
        <v/>
      </c>
      <c r="KK13">
        <f>IF(COUNTIF('Live Search'!BM$12:CP$12,0)+COUNTIF('Live Search'!CR$12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KL13">
        <f>IF($FD$13="",FALSE,SUMPRODUCT(('Final Calculation Sheet'!$AD$4:$AD$40=$FD$13)*($KK$6:$KK$42=1))&gt;0)</f>
        <v/>
      </c>
      <c r="KM13">
        <f>$KM$12+--($KL13)</f>
        <v/>
      </c>
      <c r="KN13">
        <f>IF(ROW()-3&gt;MAX($KM$4:$KM$40),"",INDEX($FD$4:$FD$40,MATCH(ROW()-3,$KM$4:$KM$40,0)))</f>
        <v/>
      </c>
      <c r="KO13">
        <f>IF(COUNTIF('Live Search'!BM$12:CT$12,0)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KP13">
        <f>IF($FX$13="",FALSE,SUMPRODUCT((IF('Final Calculation Sheet'!$AD$4:$AD$40&lt;=5,"SETTLED","OUTSTANDING")=$FX$13)*($KO$6:$KO$42=1))&gt;0)</f>
        <v/>
      </c>
      <c r="KQ13">
        <f>$KQ$12+--($KP13)</f>
        <v/>
      </c>
      <c r="KR13">
        <f>IF(ROW()-3&gt;MAX($KQ$4:$KQ$40),"",INDEX($FX$4:$FX$40,MATCH(ROW()-3,$KQ$4:$KQ$40,0)))</f>
        <v/>
      </c>
      <c r="KS13">
        <f>IF(COUNTIF('Live Search'!BM$12:CQ$12,0)+COUNTIF('Live Search'!CS$12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KT13">
        <f>IF($FI$13="",FALSE,SUMPRODUCT(('Final Calculation Sheet'!$AF$4:$AF$40=$FI$13)*($KS$6:$KS$42=1))&gt;0)</f>
        <v/>
      </c>
      <c r="KU13">
        <f>$KU$12+--($KT13)</f>
        <v/>
      </c>
      <c r="KV13">
        <f>IF(ROW()-3&gt;MAX($KU$4:$KU$40),"",INDEX($FI$4:$FI$40,MATCH(ROW()-3,$KU$4:$KU$40,0)))</f>
        <v/>
      </c>
      <c r="KW13">
        <f>IF(COUNTIF('Live Search'!BM$12:CR$12,0)+COUNTIF('Live Search'!CT$12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KX13">
        <f>IF($FN$13="",FALSE,SUMPRODUCT(('Final Calculation Sheet'!$AG$4:$AG$40=$FN$13)*($KW$6:$KW$42=1))&gt;0)</f>
        <v/>
      </c>
      <c r="KY13">
        <f>$KY$12+--($KX13)</f>
        <v/>
      </c>
      <c r="KZ13">
        <f>IF(ROW()-3&gt;MAX($KY$4:$KY$40),"",INDEX($FN$4:$FN$40,MATCH(ROW()-3,$KY$4:$KY$40,0)))</f>
        <v/>
      </c>
      <c r="LA13">
        <f>IF(COUNTIF('Live Search'!BM$12:CS$12,0)+COUNTIF('Live Search'!CU$12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LB13">
        <f>IF($FS$13="",FALSE,SUMPRODUCT(('Final Calculation Sheet'!$AH$4:$AH$40=$FS$13)*($LA$6:$LA$42=1))&gt;0)</f>
        <v/>
      </c>
      <c r="LC13">
        <f>$LC$12+--($LB13)</f>
        <v/>
      </c>
      <c r="LD13">
        <f>IF(ROW()-3&gt;MAX($LC$4:$LC$40),"",INDEX($FS$4:$FS$40,MATCH(ROW()-3,$LC$4:$LC$40,0)))</f>
        <v/>
      </c>
      <c r="LE13">
        <f>IF(COUNTIF('Buyer Groups'!DH66:EN66,0)&gt;0,0,1)</f>
        <v/>
      </c>
      <c r="LF13">
        <f>IF($O$13="",FALSE,SUMPRODUCT(('Final Calculation Sheet'!$F$4:$F$40=$O$13)*($LE$6:$LE$42=1))&gt;0)</f>
        <v/>
      </c>
      <c r="LG13">
        <f>$LG$12+--($LF13)</f>
        <v/>
      </c>
      <c r="LH13">
        <f>IF(ROW()-3&gt;MAX($LG$4:$LG$40),"",INDEX($O$4:$O$40,MATCH(ROW()-3,$LG$4:$LG$40,0)))</f>
        <v/>
      </c>
      <c r="LI13">
        <f>IF(COUNTIF('Buyer Groups'!DG66:DG66,0)+COUNTIF('Buyer Groups'!DI66:EN66,0)&gt;0,0,1)</f>
        <v/>
      </c>
      <c r="LJ13">
        <f>IF($T$13="",FALSE,SUMPRODUCT(('Final Calculation Sheet'!$G$4:$G$40=$T$13)*($LI$6:$LI$42=1))&gt;0)</f>
        <v/>
      </c>
      <c r="LK13">
        <f>$LK$12+--($LJ13)</f>
        <v/>
      </c>
      <c r="LL13">
        <f>IF(ROW()-3&gt;MAX($LK$4:$LK$40),"",INDEX($T$4:$T$40,MATCH(ROW()-3,$LK$4:$LK$40,0)))</f>
        <v/>
      </c>
      <c r="LM13">
        <f>IF(COUNTIF('Buyer Groups'!DG66:DH66,0)+COUNTIF('Buyer Groups'!DJ66:EN66,0)&gt;0,0,1)</f>
        <v/>
      </c>
      <c r="LN13">
        <f>IF($Y$13="",FALSE,SUMPRODUCT(('Final Calculation Sheet'!$B$4:$B$40=$Y$13)*($LM$6:$LM$42=1))&gt;0)</f>
        <v/>
      </c>
      <c r="LO13">
        <f>$LO$12+--($LN13)</f>
        <v/>
      </c>
      <c r="LP13">
        <f>IF(ROW()-3&gt;MAX($LO$4:$LO$40),"",INDEX($Y$4:$Y$40,MATCH(ROW()-3,$LO$4:$LO$40,0)))</f>
        <v/>
      </c>
      <c r="LQ13">
        <f>IF(COUNTIF('Buyer Groups'!DG66:DI66,0)+COUNTIF('Buyer Groups'!DK66:EN66,0)&gt;0,0,1)</f>
        <v/>
      </c>
      <c r="LR13">
        <f>IF($AD$13="",FALSE,SUMPRODUCT(('Final Calculation Sheet'!$D$4:$D$40=$AD$13)*($LQ$6:$LQ$42=1))&gt;0)</f>
        <v/>
      </c>
      <c r="LS13">
        <f>$LS$12+--($LR13)</f>
        <v/>
      </c>
      <c r="LT13">
        <f>IF(ROW()-3&gt;MAX($LS$4:$LS$40),"",INDEX($AD$4:$AD$40,MATCH(ROW()-3,$LS$4:$LS$40,0)))</f>
        <v/>
      </c>
      <c r="LU13">
        <f>IF(COUNTIF('Buyer Groups'!DG66:DJ66,0)+COUNTIF('Buyer Groups'!DL66:EN66,0)&gt;0,0,1)</f>
        <v/>
      </c>
      <c r="LV13">
        <f>IF($AI$13="",FALSE,SUMPRODUCT(('Final Calculation Sheet'!$A$4:$A$40=$AI$13)*($LU$6:$LU$42=1))&gt;0)</f>
        <v/>
      </c>
      <c r="LW13">
        <f>$LW$12+--($LV13)</f>
        <v/>
      </c>
      <c r="LX13">
        <f>IF(ROW()-3&gt;MAX($LW$4:$LW$40),"",INDEX($AI$4:$AI$40,MATCH(ROW()-3,$LW$4:$LW$40,0)))</f>
        <v/>
      </c>
      <c r="LY13">
        <f>IF(COUNTIF('Buyer Groups'!DG66:DK66,0)+COUNTIF('Buyer Groups'!DM66:EN66,0)&gt;0,0,1)</f>
        <v/>
      </c>
      <c r="LZ13">
        <f>IF($AN$13="",FALSE,SUMPRODUCT(('Final Calculation Sheet'!$E$4:$E$40=$AN$13)*($LY$6:$LY$42=1))&gt;0)</f>
        <v/>
      </c>
      <c r="MA13">
        <f>$MA$12+--($LZ13)</f>
        <v/>
      </c>
      <c r="MB13">
        <f>IF(ROW()-3&gt;MAX($MA$4:$MA$40),"",INDEX($AN$4:$AN$40,MATCH(ROW()-3,$MA$4:$MA$40,0)))</f>
        <v/>
      </c>
      <c r="MC13">
        <f>IF(COUNTIF('Buyer Groups'!DG66:DL66,0)+COUNTIF('Buyer Groups'!DN66:EN66,0)&gt;0,0,1)</f>
        <v/>
      </c>
      <c r="MD13">
        <f>IF($AS$13="",FALSE,SUMPRODUCT(('Final Calculation Sheet'!$C$4:$C$40=$AS$13)*($MC$6:$MC$42=1))&gt;0)</f>
        <v/>
      </c>
      <c r="ME13">
        <f>$ME$12+--($MD13)</f>
        <v/>
      </c>
      <c r="MF13">
        <f>IF(ROW()-3&gt;MAX($ME$4:$ME$40),"",INDEX($AS$4:$AS$40,MATCH(ROW()-3,$ME$4:$ME$40,0)))</f>
        <v/>
      </c>
      <c r="MG13">
        <f>IF(COUNTIF('Buyer Groups'!DG66:DM66,0)+COUNTIF('Buyer Groups'!DO66:EN66,0)&gt;0,0,1)</f>
        <v/>
      </c>
      <c r="MH13">
        <f>IF($AX$13="",FALSE,SUMPRODUCT(('Final Calculation Sheet'!$H$4:$H$40=$AX$13)*($MG$6:$MG$42=1))&gt;0)</f>
        <v/>
      </c>
      <c r="MI13">
        <f>$MI$12+--($MH13)</f>
        <v/>
      </c>
      <c r="MJ13">
        <f>IF(ROW()-3&gt;MAX($MI$4:$MI$40),"",INDEX($AX$4:$AX$40,MATCH(ROW()-3,$MI$4:$MI$40,0)))</f>
        <v/>
      </c>
      <c r="MK13">
        <f>IF(COUNTIF('Buyer Groups'!DG66:DN66,0)+COUNTIF('Buyer Groups'!DP66:EN66,0)&gt;0,0,1)</f>
        <v/>
      </c>
      <c r="ML13">
        <f>IF($BC$13="",FALSE,SUMPRODUCT(('Final Calculation Sheet'!$I$4:$I$40=$BC$13)*($MK$6:$MK$42=1))&gt;0)</f>
        <v/>
      </c>
      <c r="MM13">
        <f>$MM$12+--($ML13)</f>
        <v/>
      </c>
      <c r="MN13">
        <f>IF(ROW()-3&gt;MAX($MM$4:$MM$40),"",INDEX($BC$4:$BC$40,MATCH(ROW()-3,$MM$4:$MM$40,0)))</f>
        <v/>
      </c>
      <c r="MO13">
        <f>IF(COUNTIF('Buyer Groups'!DG66:DO66,0)+COUNTIF('Buyer Groups'!DQ66:EN66,0)&gt;0,0,1)</f>
        <v/>
      </c>
      <c r="MP13">
        <f>IF($BH$13="",FALSE,SUMPRODUCT(('Final Calculation Sheet'!$J$4:$J$40=$BH$13)*($MO$6:$MO$42=1))&gt;0)</f>
        <v/>
      </c>
      <c r="MQ13">
        <f>$MQ$12+--($MP13)</f>
        <v/>
      </c>
      <c r="MR13">
        <f>IF(ROW()-3&gt;MAX($MQ$4:$MQ$40),"",INDEX($BH$4:$BH$40,MATCH(ROW()-3,$MQ$4:$MQ$40,0)))</f>
        <v/>
      </c>
      <c r="MS13">
        <f>IF(COUNTIF('Buyer Groups'!DG66:DP66,0)+COUNTIF('Buyer Groups'!DR66:EN66,0)&gt;0,0,1)</f>
        <v/>
      </c>
      <c r="MT13">
        <f>IF($BM$13="",FALSE,SUMPRODUCT(('Final Calculation Sheet'!$K$4:$K$40=$BM$13)*($MS$6:$MS$42=1))&gt;0)</f>
        <v/>
      </c>
      <c r="MU13">
        <f>$MU$12+--($MT13)</f>
        <v/>
      </c>
      <c r="MV13">
        <f>IF(ROW()-3&gt;MAX($MU$4:$MU$40),"",INDEX($BM$4:$BM$40,MATCH(ROW()-3,$MU$4:$MU$40,0)))</f>
        <v/>
      </c>
      <c r="MW13">
        <f>IF(COUNTIF('Buyer Groups'!DG66:DQ66,0)+COUNTIF('Buyer Groups'!DS66:EN66,0)&gt;0,0,1)</f>
        <v/>
      </c>
      <c r="MX13">
        <f>IF($BR$13="",FALSE,SUMPRODUCT(('Final Calculation Sheet'!$L$4:$L$40=$BR$13)*($MW$6:$MW$42=1))&gt;0)</f>
        <v/>
      </c>
      <c r="MY13">
        <f>$MY$12+--($MX13)</f>
        <v/>
      </c>
      <c r="MZ13">
        <f>IF(ROW()-3&gt;MAX($MY$4:$MY$40),"",INDEX($BR$4:$BR$40,MATCH(ROW()-3,$MY$4:$MY$40,0)))</f>
        <v/>
      </c>
      <c r="NA13">
        <f>IF(COUNTIF('Buyer Groups'!DG66:DR66,0)+COUNTIF('Buyer Groups'!DT66:EN66,0)&gt;0,0,1)</f>
        <v/>
      </c>
      <c r="NB13">
        <f>IF($BW$13="",FALSE,SUMPRODUCT(('Final Calculation Sheet'!$M$4:$M$40=$BW$13)*($NA$6:$NA$42=1))&gt;0)</f>
        <v/>
      </c>
      <c r="NC13">
        <f>$NC$12+--($NB13)</f>
        <v/>
      </c>
      <c r="ND13">
        <f>IF(ROW()-3&gt;MAX($NC$4:$NC$40),"",INDEX($BW$4:$BW$40,MATCH(ROW()-3,$NC$4:$NC$40,0)))</f>
        <v/>
      </c>
      <c r="NE13">
        <f>IF(COUNTIF('Buyer Groups'!DG66:DS66,0)+COUNTIF('Buyer Groups'!DU66:EN66,0)&gt;0,0,1)</f>
        <v/>
      </c>
      <c r="NF13">
        <f>IF($CB$13="",FALSE,SUMPRODUCT(('Final Calculation Sheet'!$N$4:$N$40=$CB$13)*($NE$6:$NE$42=1))&gt;0)</f>
        <v/>
      </c>
      <c r="NG13">
        <f>$NG$12+--($NF13)</f>
        <v/>
      </c>
      <c r="NH13">
        <f>IF(ROW()-3&gt;MAX($NG$4:$NG$40),"",INDEX($CB$4:$CB$40,MATCH(ROW()-3,$NG$4:$NG$40,0)))</f>
        <v/>
      </c>
      <c r="NI13">
        <f>IF(COUNTIF('Buyer Groups'!DG66:DT66,0)+COUNTIF('Buyer Groups'!DV66:EN66,0)&gt;0,0,1)</f>
        <v/>
      </c>
      <c r="NJ13">
        <f>IF($CG$13="",FALSE,SUMPRODUCT(('Final Calculation Sheet'!$O$4:$O$40=$CG$13)*($NI$6:$NI$42=1))&gt;0)</f>
        <v/>
      </c>
      <c r="NK13">
        <f>$NK$12+--($NJ13)</f>
        <v/>
      </c>
      <c r="NL13">
        <f>IF(ROW()-3&gt;MAX($NK$4:$NK$40),"",INDEX($CG$4:$CG$40,MATCH(ROW()-3,$NK$4:$NK$40,0)))</f>
        <v/>
      </c>
      <c r="NM13">
        <f>IF(COUNTIF('Buyer Groups'!DG66:DU66,0)+COUNTIF('Buyer Groups'!DW66:EN66,0)&gt;0,0,1)</f>
        <v/>
      </c>
      <c r="NN13">
        <f>IF($CL$13="",FALSE,SUMPRODUCT(('Final Calculation Sheet'!$P$4:$P$40=$CL$13)*($NM$6:$NM$42=1))&gt;0)</f>
        <v/>
      </c>
      <c r="NO13">
        <f>$NO$12+--($NN13)</f>
        <v/>
      </c>
      <c r="NP13">
        <f>IF(ROW()-3&gt;MAX($NO$4:$NO$40),"",INDEX($CL$4:$CL$40,MATCH(ROW()-3,$NO$4:$NO$40,0)))</f>
        <v/>
      </c>
      <c r="NQ13">
        <f>IF(COUNTIF('Buyer Groups'!DG66:DV66,0)+COUNTIF('Buyer Groups'!DX66:EN66,0)&gt;0,0,1)</f>
        <v/>
      </c>
      <c r="NR13">
        <f>IF($CQ$13="",FALSE,SUMPRODUCT(('Final Calculation Sheet'!$Q$4:$Q$40=$CQ$13)*($NQ$6:$NQ$42=1))&gt;0)</f>
        <v/>
      </c>
      <c r="NS13">
        <f>$NS$12+--($NR13)</f>
        <v/>
      </c>
      <c r="NT13">
        <f>IF(ROW()-3&gt;MAX($NS$4:$NS$40),"",INDEX($CQ$4:$CQ$40,MATCH(ROW()-3,$NS$4:$NS$40,0)))</f>
        <v/>
      </c>
      <c r="NU13">
        <f>IF(COUNTIF('Buyer Groups'!DG66:DW66,0)+COUNTIF('Buyer Groups'!DY66:EN66,0)&gt;0,0,1)</f>
        <v/>
      </c>
      <c r="NV13">
        <f>IF($CV$13="",FALSE,SUMPRODUCT(('Final Calculation Sheet'!$R$4:$R$40=$CV$13)*($NU$6:$NU$42=1))&gt;0)</f>
        <v/>
      </c>
      <c r="NW13">
        <f>$NW$12+--($NV13)</f>
        <v/>
      </c>
      <c r="NX13">
        <f>IF(ROW()-3&gt;MAX($NW$4:$NW$40),"",INDEX($CV$4:$CV$40,MATCH(ROW()-3,$NW$4:$NW$40,0)))</f>
        <v/>
      </c>
      <c r="NY13">
        <f>IF(COUNTIF('Buyer Groups'!DG66:DX66,0)+COUNTIF('Buyer Groups'!DZ66:EN66,0)&gt;0,0,1)</f>
        <v/>
      </c>
      <c r="NZ13">
        <f>IF($DA$13="",FALSE,SUMPRODUCT(('Final Calculation Sheet'!$S$4:$S$40=$DA$13)*($NY$6:$NY$42=1))&gt;0)</f>
        <v/>
      </c>
      <c r="OA13">
        <f>$OA$12+--($NZ13)</f>
        <v/>
      </c>
      <c r="OB13">
        <f>IF(ROW()-3&gt;MAX($OA$4:$OA$40),"",INDEX($DA$4:$DA$40,MATCH(ROW()-3,$OA$4:$OA$40,0)))</f>
        <v/>
      </c>
      <c r="OC13">
        <f>IF(COUNTIF('Buyer Groups'!DG66:DY66,0)+COUNTIF('Buyer Groups'!EA66:EN66,0)&gt;0,0,1)</f>
        <v/>
      </c>
      <c r="OD13">
        <f>IF($DF$13="",FALSE,SUMPRODUCT(('Final Calculation Sheet'!$T$4:$T$40=$DF$13)*($OC$6:$OC$42=1))&gt;0)</f>
        <v/>
      </c>
      <c r="OE13">
        <f>$OE$12+--($OD13)</f>
        <v/>
      </c>
      <c r="OF13">
        <f>IF(ROW()-3&gt;MAX($OE$4:$OE$40),"",INDEX($DF$4:$DF$40,MATCH(ROW()-3,$OE$4:$OE$40,0)))</f>
        <v/>
      </c>
      <c r="OG13">
        <f>IF(COUNTIF('Buyer Groups'!DG66:DZ66,0)+COUNTIF('Buyer Groups'!EB66:EN66,0)&gt;0,0,1)</f>
        <v/>
      </c>
      <c r="OH13">
        <f>IF($DK$13="",FALSE,SUMPRODUCT(('Final Calculation Sheet'!$U$4:$U$40=$DK$13)*($OG$6:$OG$42=1))&gt;0)</f>
        <v/>
      </c>
      <c r="OI13">
        <f>$OI$12+--($OH13)</f>
        <v/>
      </c>
      <c r="OJ13">
        <f>IF(ROW()-3&gt;MAX($OI$4:$OI$40),"",INDEX($DK$4:$DK$40,MATCH(ROW()-3,$OI$4:$OI$40,0)))</f>
        <v/>
      </c>
      <c r="OK13">
        <f>IF(COUNTIF('Buyer Groups'!DG66:EA66,0)+COUNTIF('Buyer Groups'!EC66:EN66,0)&gt;0,0,1)</f>
        <v/>
      </c>
      <c r="OL13">
        <f>IF($DP$13="",FALSE,SUMPRODUCT(('Final Calculation Sheet'!$V$4:$V$40=$DP$13)*($OK$6:$OK$42=1))&gt;0)</f>
        <v/>
      </c>
      <c r="OM13">
        <f>$OM$12+--($OL13)</f>
        <v/>
      </c>
      <c r="ON13">
        <f>IF(ROW()-3&gt;MAX($OM$4:$OM$40),"",INDEX($DP$4:$DP$40,MATCH(ROW()-3,$OM$4:$OM$40,0)))</f>
        <v/>
      </c>
      <c r="OO13">
        <f>IF(COUNTIF('Buyer Groups'!DG66:EB66,0)+COUNTIF('Buyer Groups'!ED66:EN66,0)&gt;0,0,1)</f>
        <v/>
      </c>
      <c r="OP13">
        <f>IF($DU$13="",FALSE,SUMPRODUCT(('Final Calculation Sheet'!$W$4:$W$40=$DU$13)*($OO$6:$OO$42=1))&gt;0)</f>
        <v/>
      </c>
      <c r="OQ13">
        <f>$OQ$12+--($OP13)</f>
        <v/>
      </c>
      <c r="OR13">
        <f>IF(ROW()-3&gt;MAX($OQ$4:$OQ$40),"",INDEX($DU$4:$DU$40,MATCH(ROW()-3,$OQ$4:$OQ$40,0)))</f>
        <v/>
      </c>
      <c r="OS13">
        <f>IF(COUNTIF('Buyer Groups'!DG66:EC66,0)+COUNTIF('Buyer Groups'!EE66:EN66,0)&gt;0,0,1)</f>
        <v/>
      </c>
      <c r="OT13">
        <f>IF($DZ$13="",FALSE,SUMPRODUCT(('Final Calculation Sheet'!$X$4:$X$40=$DZ$13)*($OS$6:$OS$42=1))&gt;0)</f>
        <v/>
      </c>
      <c r="OU13">
        <f>$OU$12+--($OT13)</f>
        <v/>
      </c>
      <c r="OV13">
        <f>IF(ROW()-3&gt;MAX($OU$4:$OU$40),"",INDEX($DZ$4:$DZ$40,MATCH(ROW()-3,$OU$4:$OU$40,0)))</f>
        <v/>
      </c>
      <c r="OW13">
        <f>IF(COUNTIF('Buyer Groups'!DG66:ED66,0)+COUNTIF('Buyer Groups'!EF66:EN66,0)&gt;0,0,1)</f>
        <v/>
      </c>
      <c r="OX13">
        <f>IF($EE$13="",FALSE,SUMPRODUCT(('Final Calculation Sheet'!$Y$4:$Y$40=$EE$13)*($OW$6:$OW$42=1))&gt;0)</f>
        <v/>
      </c>
      <c r="OY13">
        <f>$OY$12+--($OX13)</f>
        <v/>
      </c>
      <c r="OZ13">
        <f>IF(ROW()-3&gt;MAX($OY$4:$OY$40),"",INDEX($EE$4:$EE$40,MATCH(ROW()-3,$OY$4:$OY$40,0)))</f>
        <v/>
      </c>
      <c r="PA13">
        <f>IF(COUNTIF('Buyer Groups'!DG66:EE66,0)+COUNTIF('Buyer Groups'!EG66:EN66,0)&gt;0,0,1)</f>
        <v/>
      </c>
      <c r="PB13">
        <f>IF($EJ$13="",FALSE,SUMPRODUCT(('Final Calculation Sheet'!$Z$4:$Z$40=$EJ$13)*($PA$6:$PA$42=1))&gt;0)</f>
        <v/>
      </c>
      <c r="PC13">
        <f>$PC$12+--($PB13)</f>
        <v/>
      </c>
      <c r="PD13">
        <f>IF(ROW()-3&gt;MAX($PC$4:$PC$40),"",INDEX($EJ$4:$EJ$40,MATCH(ROW()-3,$PC$4:$PC$40,0)))</f>
        <v/>
      </c>
      <c r="PE13">
        <f>IF(COUNTIF('Buyer Groups'!DG66:EF66,0)+COUNTIF('Buyer Groups'!EH66:EN66,0)&gt;0,0,1)</f>
        <v/>
      </c>
      <c r="PF13">
        <f>IF($EO$13="",FALSE,SUMPRODUCT(('Final Calculation Sheet'!$AA$4:$AA$40=$EO$13)*($PE$6:$PE$42=1))&gt;0)</f>
        <v/>
      </c>
      <c r="PG13">
        <f>$PG$12+--($PF13)</f>
        <v/>
      </c>
      <c r="PH13">
        <f>IF(ROW()-3&gt;MAX($PG$4:$PG$40),"",INDEX($EO$4:$EO$40,MATCH(ROW()-3,$PG$4:$PG$40,0)))</f>
        <v/>
      </c>
      <c r="PI13">
        <f>IF(COUNTIF('Buyer Groups'!DG66:EG66,0)+COUNTIF('Buyer Groups'!EI66:EN66,0)&gt;0,0,1)</f>
        <v/>
      </c>
      <c r="PJ13">
        <f>IF($ET$13="",FALSE,SUMPRODUCT(('Final Calculation Sheet'!$AB$4:$AB$40=$ET$13)*($PI$6:$PI$42=1))&gt;0)</f>
        <v/>
      </c>
      <c r="PK13">
        <f>$PK$12+--($PJ13)</f>
        <v/>
      </c>
      <c r="PL13">
        <f>IF(ROW()-3&gt;MAX($PK$4:$PK$40),"",INDEX($ET$4:$ET$40,MATCH(ROW()-3,$PK$4:$PK$40,0)))</f>
        <v/>
      </c>
      <c r="PM13">
        <f>IF(COUNTIF('Buyer Groups'!DG66:EH66,0)+COUNTIF('Buyer Groups'!EJ66:EN66,0)&gt;0,0,1)</f>
        <v/>
      </c>
      <c r="PN13">
        <f>IF($EY$13="",FALSE,SUMPRODUCT(('Final Calculation Sheet'!$AC$4:$AC$40=$EY$13)*($PM$6:$PM$42=1))&gt;0)</f>
        <v/>
      </c>
      <c r="PO13">
        <f>$PO$12+--($PN13)</f>
        <v/>
      </c>
      <c r="PP13">
        <f>IF(ROW()-3&gt;MAX($PO$4:$PO$40),"",INDEX($EY$4:$EY$40,MATCH(ROW()-3,$PO$4:$PO$40,0)))</f>
        <v/>
      </c>
      <c r="PQ13">
        <f>IF(COUNTIF('Buyer Groups'!DG66:EI66,0)+COUNTIF('Buyer Groups'!EK66:EN66,0)&gt;0,0,1)</f>
        <v/>
      </c>
      <c r="PR13">
        <f>IF($FD$13="",FALSE,SUMPRODUCT(('Final Calculation Sheet'!$AD$4:$AD$40=$FD$13)*($PQ$6:$PQ$42=1))&gt;0)</f>
        <v/>
      </c>
      <c r="PS13">
        <f>$PS$12+--($PR13)</f>
        <v/>
      </c>
      <c r="PT13">
        <f>IF(ROW()-3&gt;MAX($PS$4:$PS$40),"",INDEX($FD$4:$FD$40,MATCH(ROW()-3,$PS$4:$PS$40,0)))</f>
        <v/>
      </c>
      <c r="PU13">
        <f>IF(COUNTIF('Buyer Groups'!DG66:EJ66,0)+COUNTIF('Buyer Groups'!EL66:EN66,0)&gt;0,0,1)</f>
        <v/>
      </c>
      <c r="PV13">
        <f>IF($FX$13="",FALSE,SUMPRODUCT((IF('Final Calculation Sheet'!$AD$4:$AD$40&lt;=5,"SETTLED","OUTSTANDING")=$FX$13)*($PU$6:$PU$42=1))&gt;0)</f>
        <v/>
      </c>
      <c r="PW13">
        <f>$PW$12+--($PV13)</f>
        <v/>
      </c>
      <c r="PX13">
        <f>IF(ROW()-3&gt;MAX($PW$4:$PW$40),"",INDEX($FX$4:$FX$40,MATCH(ROW()-3,$PW$4:$PW$40,0)))</f>
        <v/>
      </c>
      <c r="PY13">
        <f>IF(COUNTIF('Buyer Groups'!DG66:EK66,0)+COUNTIF('Buyer Groups'!EM66:EN66,0)&gt;0,0,1)</f>
        <v/>
      </c>
      <c r="PZ13">
        <f>IF($FI$13="",FALSE,SUMPRODUCT(('Final Calculation Sheet'!$AF$4:$AF$40=$FI$13)*($PY$6:$PY$42=1))&gt;0)</f>
        <v/>
      </c>
      <c r="QA13">
        <f>$QA$12+--($PZ13)</f>
        <v/>
      </c>
      <c r="QB13">
        <f>IF(ROW()-3&gt;MAX($QA$4:$QA$40),"",INDEX($FI$4:$FI$40,MATCH(ROW()-3,$QA$4:$QA$40,0)))</f>
        <v/>
      </c>
      <c r="QC13">
        <f>IF(COUNTIF('Buyer Groups'!DG66:EL66,0)+COUNTIF('Buyer Groups'!EN66:EN66,0)&gt;0,0,1)</f>
        <v/>
      </c>
      <c r="QD13">
        <f>IF($FN$13="",FALSE,SUMPRODUCT(('Final Calculation Sheet'!$AG$4:$AG$40=$FN$13)*($QC$6:$QC$42=1))&gt;0)</f>
        <v/>
      </c>
      <c r="QE13">
        <f>$QE$12+--($QD13)</f>
        <v/>
      </c>
      <c r="QF13">
        <f>IF(ROW()-3&gt;MAX($QE$4:$QE$40),"",INDEX($FN$4:$FN$40,MATCH(ROW()-3,$QE$4:$QE$40,0)))</f>
        <v/>
      </c>
      <c r="QG13">
        <f>IF(COUNTIF('Buyer Groups'!DG66:EM66,0)&gt;0,0,1)</f>
        <v/>
      </c>
      <c r="QH13">
        <f>IF($FS$13="",FALSE,SUMPRODUCT(('Final Calculation Sheet'!$AH$4:$AH$40=$FS$13)*($QG$6:$QG$42=1))&gt;0)</f>
        <v/>
      </c>
      <c r="QI13">
        <f>$QI$12+--($QH13)</f>
        <v/>
      </c>
      <c r="QJ13">
        <f>IF(ROW()-3&gt;MAX($QI$4:$QI$40),"",INDEX($FS$4:$FS$40,MATCH(ROW()-3,$QI$4:$QI$40,0)))</f>
        <v/>
      </c>
      <c r="QK13" t="str">
        <f>IF('Final Calculation Sheet'!$AH$13="","",'Final Calculation Sheet'!$AH$13)</f>
      </c>
      <c r="QL13" t="str">
        <f>IF(QK13="","",COUNTIFS(QK$4:QK$40,"&lt;"&amp;QK13,QK$4:QK$40,"&lt;&gt;"&amp;"")+COUNTIF(QK$4:QK13,QK13))</f>
      </c>
      <c r="QM13" t="str">
        <f>IF(ROW()-3&gt;COUNTIF(QK$4:QK$40,"&lt;&gt;"&amp;""),"",INDEX(QK$4:QK$40,MATCH(ROW()-3,QL$4:QL$40,0)))</f>
      </c>
      <c r="QN13" t="str">
        <f>=QN12+F(AND(QM13&lt;&gt;"",COUNTIF(QM$4:QM13,QM13)=1),1,0)</f>
      </c>
      <c r="QO13" t="str">
        <f>IF(ROW()-3&gt;MAX(QN$4:QN$40),"",INDEX(QM$4:QM$40,MATCH(ROW()-3,QN$4:QN$40,0)))</f>
      </c>
      <c r="QP13" t="str">
        <f>IF(COUNTIF('Final Calculation Sheet'!$AM13:$BS13,0)&gt;0,0,1)</f>
      </c>
      <c r="QQ13" t="str">
        <f>IF($AI$13="",FALSE,SUMPRODUCT(('Final Calculation Sheet'!$A$4:$A$40=$AI$13)*($QP$4:$QP$40=1))&gt;0)</f>
      </c>
      <c r="QR13" t="str">
        <f>=$QR12+--($QQ13)</f>
      </c>
      <c r="QS13" t="str">
        <f>IF(ROW()-3&gt;MAX($QR$4:$QR$40),"",INDEX($AI$4:$AI$40,MATCH(ROW()-3,$QR$4:$QR$40,0)))</f>
      </c>
      <c r="QT13" t="str">
        <f>IF(COUNTIF('Final Calculation Sheet'!$AL13:$AL13,0)+COUNTIF('Final Calculation Sheet'!$AN13:$BS13,0)&gt;0,0,1)</f>
      </c>
      <c r="QU13" t="str">
        <f>IF($Y$13="",FALSE,SUMPRODUCT(('Final Calculation Sheet'!$B$4:$B$40=$Y$13)*($QT$4:$QT$40=1))&gt;0)</f>
      </c>
      <c r="QV13" t="str">
        <f>=$QV12+--($QU13)</f>
      </c>
      <c r="QW13" t="str">
        <f>IF(ROW()-3&gt;MAX($QV$4:$QV$40),"",INDEX($Y$4:$Y$40,MATCH(ROW()-3,$QV$4:$QV$40,0)))</f>
      </c>
      <c r="QX13" t="str">
        <f>IF(COUNTIF('Final Calculation Sheet'!$AL13:$AM13,0)+COUNTIF('Final Calculation Sheet'!$AO13:$BS13,0)&gt;0,0,1)</f>
      </c>
      <c r="QY13" t="str">
        <f>IF($AS$13="",FALSE,SUMPRODUCT(('Final Calculation Sheet'!$C$4:$C$40=$AS$13)*($QX$4:$QX$40=1))&gt;0)</f>
      </c>
      <c r="QZ13" t="str">
        <f>=$QZ12+--($QY13)</f>
      </c>
      <c r="RA13" t="str">
        <f>IF(ROW()-3&gt;MAX($QZ$4:$QZ$40),"",INDEX($AS$4:$AS$40,MATCH(ROW()-3,$QZ$4:$QZ$40,0)))</f>
      </c>
      <c r="RB13" t="str">
        <f>IF(COUNTIF('Final Calculation Sheet'!$AL13:$AN13,0)+COUNTIF('Final Calculation Sheet'!$AP13:$BS13,0)&gt;0,0,1)</f>
      </c>
      <c r="RC13" t="str">
        <f>IF($AD$13="",FALSE,SUMPRODUCT(('Final Calculation Sheet'!$D$4:$D$40=$AD$13)*($RB$4:$RB$40=1))&gt;0)</f>
      </c>
      <c r="RD13" t="str">
        <f>=$RD12+--($RC13)</f>
      </c>
      <c r="RE13" t="str">
        <f>IF(ROW()-3&gt;MAX($RD$4:$RD$40),"",INDEX($AD$4:$AD$40,MATCH(ROW()-3,$RD$4:$RD$40,0)))</f>
      </c>
      <c r="RF13" t="str">
        <f>IF(COUNTIF('Final Calculation Sheet'!$AL13:$AO13,0)+COUNTIF('Final Calculation Sheet'!$AQ13:$BS13,0)&gt;0,0,1)</f>
      </c>
      <c r="RG13" t="str">
        <f>IF($AN$13="",FALSE,SUMPRODUCT(('Final Calculation Sheet'!$E$4:$E$40=$AN$13)*($RF$4:$RF$40=1))&gt;0)</f>
      </c>
      <c r="RH13" t="str">
        <f>=$RH12+--($RG13)</f>
      </c>
      <c r="RI13" t="str">
        <f>IF(ROW()-3&gt;MAX($RH$4:$RH$40),"",INDEX($AN$4:$AN$40,MATCH(ROW()-3,$RH$4:$RH$40,0)))</f>
      </c>
      <c r="RJ13" t="str">
        <f>IF(COUNTIF('Final Calculation Sheet'!$AL13:$AP13,0)+COUNTIF('Final Calculation Sheet'!$AR13:$BS13,0)&gt;0,0,1)</f>
      </c>
      <c r="RK13" t="str">
        <f>IF($O$13="",FALSE,SUMPRODUCT(('Final Calculation Sheet'!$F$4:$F$40=$O$13)*($RJ$4:$RJ$40=1))&gt;0)</f>
      </c>
      <c r="RL13" t="str">
        <f>=$RL12+--($RK13)</f>
      </c>
      <c r="RM13" t="str">
        <f>IF(ROW()-3&gt;MAX($RL$4:$RL$40),"",INDEX($O$4:$O$40,MATCH(ROW()-3,$RL$4:$RL$40,0)))</f>
      </c>
      <c r="RN13" t="str">
        <f>IF(COUNTIF('Final Calculation Sheet'!$AL13:$AQ13,0)+COUNTIF('Final Calculation Sheet'!$AS13:$BS13,0)&gt;0,0,1)</f>
      </c>
      <c r="RO13" t="str">
        <f>IF($T$13="",FALSE,SUMPRODUCT(('Final Calculation Sheet'!$G$4:$G$40=$T$13)*($RN$4:$RN$40=1))&gt;0)</f>
      </c>
      <c r="RP13" t="str">
        <f>=$RP12+--($RO13)</f>
      </c>
      <c r="RQ13" t="str">
        <f>IF(ROW()-3&gt;MAX($RP$4:$RP$40),"",INDEX($T$4:$T$40,MATCH(ROW()-3,$RP$4:$RP$40,0)))</f>
      </c>
      <c r="RR13" t="str">
        <f>IF(COUNTIF('Final Calculation Sheet'!$AL13:$AR13,0)+COUNTIF('Final Calculation Sheet'!$AT13:$BS13,0)&gt;0,0,1)</f>
      </c>
      <c r="RS13" t="str">
        <f>IF($AX$13="",FALSE,SUMPRODUCT(('Final Calculation Sheet'!$H$4:$H$40=$AX$13)*($RR$4:$RR$40=1))&gt;0)</f>
      </c>
      <c r="RT13" t="str">
        <f>=$RT12+--($RS13)</f>
      </c>
      <c r="RU13" t="str">
        <f>IF(ROW()-3&gt;MAX($RT$4:$RT$40),"",INDEX($AX$4:$AX$40,MATCH(ROW()-3,$RT$4:$RT$40,0)))</f>
      </c>
      <c r="RV13" t="str">
        <f>IF(COUNTIF('Final Calculation Sheet'!$AL13:$AS13,0)+COUNTIF('Final Calculation Sheet'!$AU13:$BS13,0)&gt;0,0,1)</f>
      </c>
      <c r="RW13" t="str">
        <f>IF($BC$13="",FALSE,SUMPRODUCT(('Final Calculation Sheet'!$I$4:$I$40=$BC$13)*($RV$4:$RV$40=1))&gt;0)</f>
      </c>
      <c r="RX13" t="str">
        <f>=$RX12+--($RW13)</f>
      </c>
      <c r="RY13" t="str">
        <f>IF(ROW()-3&gt;MAX($RX$4:$RX$40),"",INDEX($BC$4:$BC$40,MATCH(ROW()-3,$RX$4:$RX$40,0)))</f>
      </c>
      <c r="RZ13" t="str">
        <f>IF(COUNTIF('Final Calculation Sheet'!$AL13:$AT13,0)+COUNTIF('Final Calculation Sheet'!$AV13:$BS13,0)&gt;0,0,1)</f>
      </c>
      <c r="SA13" t="str">
        <f>IF($BH$13="",FALSE,SUMPRODUCT(('Final Calculation Sheet'!$J$4:$J$40=$BH$13)*($RZ$4:$RZ$40=1))&gt;0)</f>
      </c>
      <c r="SB13" t="str">
        <f>=$SB12+--($SA13)</f>
      </c>
      <c r="SC13" t="str">
        <f>IF(ROW()-3&gt;MAX($SB$4:$SB$40),"",INDEX($BH$4:$BH$40,MATCH(ROW()-3,$SB$4:$SB$40,0)))</f>
      </c>
      <c r="SD13" t="str">
        <f>IF(COUNTIF('Final Calculation Sheet'!$AL13:$AU13,0)+COUNTIF('Final Calculation Sheet'!$AW13:$BS13,0)&gt;0,0,1)</f>
      </c>
      <c r="SE13" t="str">
        <f>IF($BM$13="",FALSE,SUMPRODUCT(('Final Calculation Sheet'!$K$4:$K$40=$BM$13)*($SD$4:$SD$40=1))&gt;0)</f>
      </c>
      <c r="SF13" t="str">
        <f>=$SF12+--($SE13)</f>
      </c>
      <c r="SG13" t="str">
        <f>IF(ROW()-3&gt;MAX($SF$4:$SF$40),"",INDEX($BM$4:$BM$40,MATCH(ROW()-3,$SF$4:$SF$40,0)))</f>
      </c>
      <c r="SH13" t="str">
        <f>IF(COUNTIF('Final Calculation Sheet'!$AL13:$AV13,0)+COUNTIF('Final Calculation Sheet'!$AX13:$BS13,0)&gt;0,0,1)</f>
      </c>
      <c r="SI13" t="str">
        <f>IF($BR$13="",FALSE,SUMPRODUCT(('Final Calculation Sheet'!$L$4:$L$40=$BR$13)*($SH$4:$SH$40=1))&gt;0)</f>
      </c>
      <c r="SJ13" t="str">
        <f>=$SJ12+--($SI13)</f>
      </c>
      <c r="SK13" t="str">
        <f>IF(ROW()-3&gt;MAX($SJ$4:$SJ$40),"",INDEX($BR$4:$BR$40,MATCH(ROW()-3,$SJ$4:$SJ$40,0)))</f>
      </c>
      <c r="SL13" t="str">
        <f>IF(COUNTIF('Final Calculation Sheet'!$AL13:$AW13,0)+COUNTIF('Final Calculation Sheet'!$AY13:$BS13,0)&gt;0,0,1)</f>
      </c>
      <c r="SM13" t="str">
        <f>IF($BW$13="",FALSE,SUMPRODUCT(('Final Calculation Sheet'!$M$4:$M$40=$BW$13)*($SL$4:$SL$40=1))&gt;0)</f>
      </c>
      <c r="SN13" t="str">
        <f>=$SN12+--($SM13)</f>
      </c>
      <c r="SO13" t="str">
        <f>IF(ROW()-3&gt;MAX($SN$4:$SN$40),"",INDEX($BW$4:$BW$40,MATCH(ROW()-3,$SN$4:$SN$40,0)))</f>
      </c>
      <c r="SP13" t="str">
        <f>IF(COUNTIF('Final Calculation Sheet'!$AL13:$AX13,0)+COUNTIF('Final Calculation Sheet'!$AZ13:$BS13,0)&gt;0,0,1)</f>
      </c>
      <c r="SQ13" t="str">
        <f>IF($CB$13="",FALSE,SUMPRODUCT(('Final Calculation Sheet'!$N$4:$N$40=$CB$13)*($SP$4:$SP$40=1))&gt;0)</f>
      </c>
      <c r="SR13" t="str">
        <f>=$SR12+--($SQ13)</f>
      </c>
      <c r="SS13" t="str">
        <f>IF(ROW()-3&gt;MAX($SR$4:$SR$40),"",INDEX($CB$4:$CB$40,MATCH(ROW()-3,$SR$4:$SR$40,0)))</f>
      </c>
      <c r="ST13" t="str">
        <f>IF(COUNTIF('Final Calculation Sheet'!$AL13:$AY13,0)+COUNTIF('Final Calculation Sheet'!$BA13:$BS13,0)&gt;0,0,1)</f>
      </c>
      <c r="SU13" t="str">
        <f>IF($CG$13="",FALSE,SUMPRODUCT(('Final Calculation Sheet'!$O$4:$O$40=$CG$13)*($ST$4:$ST$40=1))&gt;0)</f>
      </c>
      <c r="SV13" t="str">
        <f>=$SV12+--($SU13)</f>
      </c>
      <c r="SW13" t="str">
        <f>IF(ROW()-3&gt;MAX($SV$4:$SV$40),"",INDEX($CG$4:$CG$40,MATCH(ROW()-3,$SV$4:$SV$40,0)))</f>
      </c>
      <c r="SX13" t="str">
        <f>IF(COUNTIF('Final Calculation Sheet'!$AL13:$AZ13,0)+COUNTIF('Final Calculation Sheet'!$BB13:$BS13,0)&gt;0,0,1)</f>
      </c>
      <c r="SY13" t="str">
        <f>IF($CL$13="",FALSE,SUMPRODUCT(('Final Calculation Sheet'!$P$4:$P$40=$CL$13)*($SX$4:$SX$40=1))&gt;0)</f>
      </c>
      <c r="SZ13" t="str">
        <f>=$SZ12+--($SY13)</f>
      </c>
      <c r="TA13" t="str">
        <f>IF(ROW()-3&gt;MAX($SZ$4:$SZ$40),"",INDEX($CL$4:$CL$40,MATCH(ROW()-3,$SZ$4:$SZ$40,0)))</f>
      </c>
      <c r="TB13" t="str">
        <f>IF(COUNTIF('Final Calculation Sheet'!$AL13:$BA13,0)+COUNTIF('Final Calculation Sheet'!$BC13:$BS13,0)&gt;0,0,1)</f>
      </c>
      <c r="TC13" t="str">
        <f>IF($CQ$13="",FALSE,SUMPRODUCT(('Final Calculation Sheet'!$Q$4:$Q$40=$CQ$13)*($TB$4:$TB$40=1))&gt;0)</f>
      </c>
      <c r="TD13" t="str">
        <f>=$TD12+--($TC13)</f>
      </c>
      <c r="TE13" t="str">
        <f>IF(ROW()-3&gt;MAX($TD$4:$TD$40),"",INDEX($CQ$4:$CQ$40,MATCH(ROW()-3,$TD$4:$TD$40,0)))</f>
      </c>
      <c r="TF13" t="str">
        <f>IF(COUNTIF('Final Calculation Sheet'!$AL13:$BB13,0)+COUNTIF('Final Calculation Sheet'!$BD13:$BS13,0)&gt;0,0,1)</f>
      </c>
      <c r="TG13" t="str">
        <f>IF($CV$13="",FALSE,SUMPRODUCT(('Final Calculation Sheet'!$R$4:$R$40=$CV$13)*($TF$4:$TF$40=1))&gt;0)</f>
      </c>
      <c r="TH13" t="str">
        <f>=$TH12+--($TG13)</f>
      </c>
      <c r="TI13" t="str">
        <f>IF(ROW()-3&gt;MAX($TH$4:$TH$40),"",INDEX($CV$4:$CV$40,MATCH(ROW()-3,$TH$4:$TH$40,0)))</f>
      </c>
      <c r="TJ13" t="str">
        <f>IF(COUNTIF('Final Calculation Sheet'!$AL13:$BC13,0)+COUNTIF('Final Calculation Sheet'!$BE13:$BS13,0)&gt;0,0,1)</f>
      </c>
      <c r="TK13" t="str">
        <f>IF($DA$13="",FALSE,SUMPRODUCT(('Final Calculation Sheet'!$S$4:$S$40=$DA$13)*($TJ$4:$TJ$40=1))&gt;0)</f>
      </c>
      <c r="TL13" t="str">
        <f>=$TL12+--($TK13)</f>
      </c>
      <c r="TM13" t="str">
        <f>IF(ROW()-3&gt;MAX($TL$4:$TL$40),"",INDEX($DA$4:$DA$40,MATCH(ROW()-3,$TL$4:$TL$40,0)))</f>
      </c>
      <c r="TN13" t="str">
        <f>IF(COUNTIF('Final Calculation Sheet'!$AL13:$BD13,0)+COUNTIF('Final Calculation Sheet'!$BF13:$BS13,0)&gt;0,0,1)</f>
      </c>
      <c r="TO13" t="str">
        <f>IF($DF$13="",FALSE,SUMPRODUCT(('Final Calculation Sheet'!$T$4:$T$40=$DF$13)*($TN$4:$TN$40=1))&gt;0)</f>
      </c>
      <c r="TP13" t="str">
        <f>=$TP12+--($TO13)</f>
      </c>
      <c r="TQ13" t="str">
        <f>IF(ROW()-3&gt;MAX($TP$4:$TP$40),"",INDEX($DF$4:$DF$40,MATCH(ROW()-3,$TP$4:$TP$40,0)))</f>
      </c>
      <c r="TR13" t="str">
        <f>IF(COUNTIF('Final Calculation Sheet'!$AL13:$BE13,0)+COUNTIF('Final Calculation Sheet'!$BG13:$BS13,0)&gt;0,0,1)</f>
      </c>
      <c r="TS13" t="str">
        <f>IF($DK$13="",FALSE,SUMPRODUCT(('Final Calculation Sheet'!$U$4:$U$40=$DK$13)*($TR$4:$TR$40=1))&gt;0)</f>
      </c>
      <c r="TT13" t="str">
        <f>=$TT12+--($TS13)</f>
      </c>
      <c r="TU13" t="str">
        <f>IF(ROW()-3&gt;MAX($TT$4:$TT$40),"",INDEX($DK$4:$DK$40,MATCH(ROW()-3,$TT$4:$TT$40,0)))</f>
      </c>
      <c r="TV13" t="str">
        <f>IF(COUNTIF('Final Calculation Sheet'!$AL13:$BF13,0)+COUNTIF('Final Calculation Sheet'!$BH13:$BS13,0)&gt;0,0,1)</f>
      </c>
      <c r="TW13" t="str">
        <f>IF($DP$13="",FALSE,SUMPRODUCT(('Final Calculation Sheet'!$V$4:$V$40=$DP$13)*($TV$4:$TV$40=1))&gt;0)</f>
      </c>
      <c r="TX13" t="str">
        <f>=$TX12+--($TW13)</f>
      </c>
      <c r="TY13" t="str">
        <f>IF(ROW()-3&gt;MAX($TX$4:$TX$40),"",INDEX($DP$4:$DP$40,MATCH(ROW()-3,$TX$4:$TX$40,0)))</f>
      </c>
      <c r="TZ13" t="str">
        <f>IF(COUNTIF('Final Calculation Sheet'!$AL13:$BG13,0)+COUNTIF('Final Calculation Sheet'!$BI13:$BS13,0)&gt;0,0,1)</f>
      </c>
      <c r="UA13" t="str">
        <f>IF($DU$13="",FALSE,SUMPRODUCT(('Final Calculation Sheet'!$W$4:$W$40=$DU$13)*($TZ$4:$TZ$40=1))&gt;0)</f>
      </c>
      <c r="UB13" t="str">
        <f>=$UB12+--($UA13)</f>
      </c>
      <c r="UC13" t="str">
        <f>IF(ROW()-3&gt;MAX($UB$4:$UB$40),"",INDEX($DU$4:$DU$40,MATCH(ROW()-3,$UB$4:$UB$40,0)))</f>
      </c>
      <c r="UD13" t="str">
        <f>IF(COUNTIF('Final Calculation Sheet'!$AL13:$BH13,0)+COUNTIF('Final Calculation Sheet'!$BJ13:$BS13,0)&gt;0,0,1)</f>
      </c>
      <c r="UE13" t="str">
        <f>IF($DZ$13="",FALSE,SUMPRODUCT(('Final Calculation Sheet'!$X$4:$X$40=$DZ$13)*($UD$4:$UD$40=1))&gt;0)</f>
      </c>
      <c r="UF13" t="str">
        <f>=$UF12+--($UE13)</f>
      </c>
      <c r="UG13" t="str">
        <f>IF(ROW()-3&gt;MAX($UF$4:$UF$40),"",INDEX($DZ$4:$DZ$40,MATCH(ROW()-3,$UF$4:$UF$40,0)))</f>
      </c>
      <c r="UH13" t="str">
        <f>IF(COUNTIF('Final Calculation Sheet'!$AL13:$BI13,0)+COUNTIF('Final Calculation Sheet'!$BK13:$BS13,0)&gt;0,0,1)</f>
      </c>
      <c r="UI13" t="str">
        <f>IF($EE$13="",FALSE,SUMPRODUCT(('Final Calculation Sheet'!$Y$4:$Y$40=$EE$13)*($UH$4:$UH$40=1))&gt;0)</f>
      </c>
      <c r="UJ13" t="str">
        <f>=$UJ12+--($UI13)</f>
      </c>
      <c r="UK13" t="str">
        <f>IF(ROW()-3&gt;MAX($UJ$4:$UJ$40),"",INDEX($EE$4:$EE$40,MATCH(ROW()-3,$UJ$4:$UJ$40,0)))</f>
      </c>
      <c r="UL13" t="str">
        <f>IF(COUNTIF('Final Calculation Sheet'!$AL13:$BJ13,0)+COUNTIF('Final Calculation Sheet'!$BL13:$BS13,0)&gt;0,0,1)</f>
      </c>
      <c r="UM13" t="str">
        <f>IF($EJ$13="",FALSE,SUMPRODUCT(('Final Calculation Sheet'!$Z$4:$Z$40=$EJ$13)*($UL$4:$UL$40=1))&gt;0)</f>
      </c>
      <c r="UN13" t="str">
        <f>=$UN12+--($UM13)</f>
      </c>
      <c r="UO13" t="str">
        <f>IF(ROW()-3&gt;MAX($UN$4:$UN$40),"",INDEX($EJ$4:$EJ$40,MATCH(ROW()-3,$UN$4:$UN$40,0)))</f>
      </c>
      <c r="UP13" t="str">
        <f>IF(COUNTIF('Final Calculation Sheet'!$AL13:$BK13,0)+COUNTIF('Final Calculation Sheet'!$BM13:$BS13,0)&gt;0,0,1)</f>
      </c>
      <c r="UQ13" t="str">
        <f>IF($EO$13="",FALSE,SUMPRODUCT(('Final Calculation Sheet'!$AA$4:$AA$40=$EO$13)*($UP$4:$UP$40=1))&gt;0)</f>
      </c>
      <c r="UR13" t="str">
        <f>=$UR12+--($UQ13)</f>
      </c>
      <c r="US13" t="str">
        <f>IF(ROW()-3&gt;MAX($UR$4:$UR$40),"",INDEX($EO$4:$EO$40,MATCH(ROW()-3,$UR$4:$UR$40,0)))</f>
      </c>
      <c r="UT13" t="str">
        <f>IF(COUNTIF('Final Calculation Sheet'!$AL13:$BL13,0)+COUNTIF('Final Calculation Sheet'!$BN13:$BS13,0)&gt;0,0,1)</f>
      </c>
      <c r="UU13" t="str">
        <f>IF($ET$13="",FALSE,SUMPRODUCT(('Final Calculation Sheet'!$AB$4:$AB$40=$ET$13)*($UT$4:$UT$40=1))&gt;0)</f>
      </c>
      <c r="UV13" t="str">
        <f>=$UV12+--($UU13)</f>
      </c>
      <c r="UW13" t="str">
        <f>IF(ROW()-3&gt;MAX($UV$4:$UV$40),"",INDEX($ET$4:$ET$40,MATCH(ROW()-3,$UV$4:$UV$40,0)))</f>
      </c>
      <c r="UX13" t="str">
        <f>IF(COUNTIF('Final Calculation Sheet'!$AL13:$BM13,0)+COUNTIF('Final Calculation Sheet'!$BO13:$BS13,0)&gt;0,0,1)</f>
      </c>
      <c r="UY13" t="str">
        <f>IF($EY$13="",FALSE,SUMPRODUCT(('Final Calculation Sheet'!$AC$4:$AC$40=$EY$13)*($UX$4:$UX$40=1))&gt;0)</f>
      </c>
      <c r="UZ13" t="str">
        <f>=$UZ12+--($UY13)</f>
      </c>
      <c r="VA13" t="str">
        <f>IF(ROW()-3&gt;MAX($UZ$4:$UZ$40),"",INDEX($EY$4:$EY$40,MATCH(ROW()-3,$UZ$4:$UZ$40,0)))</f>
      </c>
      <c r="VB13" t="str">
        <f>IF(COUNTIF('Final Calculation Sheet'!$AL13:$BN13,0)+COUNTIF('Final Calculation Sheet'!$BP13:$BS13,0)&gt;0,0,1)</f>
      </c>
      <c r="VC13" t="str">
        <f>IF($FD$13="",FALSE,SUMPRODUCT(('Final Calculation Sheet'!$AD$4:$AD$40=$FD$13)*($VB$4:$VB$40=1))&gt;0)</f>
      </c>
      <c r="VD13" t="str">
        <f>=$VD12+--($VC13)</f>
      </c>
      <c r="VE13" t="str">
        <f>IF(ROW()-3&gt;MAX($VD$4:$VD$40),"",INDEX($FD$4:$FD$40,MATCH(ROW()-3,$VD$4:$VD$40,0)))</f>
      </c>
      <c r="VF13" t="str">
        <f>IF(COUNTIF('Final Calculation Sheet'!$AL13:$BO13,0)+COUNTIF('Final Calculation Sheet'!$BQ13:$BS13,0)&gt;0,0,1)</f>
      </c>
      <c r="VG13" t="str">
        <f>IF($FI$13="",FALSE,SUMPRODUCT(('Final Calculation Sheet'!$AE$4:$AE$40=$FI$13)*($VF$4:$VF$40=1))&gt;0)</f>
      </c>
      <c r="VH13" t="str">
        <f>=$VH12+--($VG13)</f>
      </c>
      <c r="VI13" t="str">
        <f>IF(ROW()-3&gt;MAX($VH$4:$VH$40),"",INDEX($FI$4:$FI$40,MATCH(ROW()-3,$VH$4:$VH$40,0)))</f>
      </c>
      <c r="VJ13" t="str">
        <f>IF(COUNTIF('Final Calculation Sheet'!$AL13:$BP13,0)+COUNTIF('Final Calculation Sheet'!$BR13:$BS13,0)&gt;0,0,1)</f>
      </c>
      <c r="VK13" t="str">
        <f>IF($FN$13="",FALSE,SUMPRODUCT(('Final Calculation Sheet'!$AF$4:$AF$40=$FN$13)*($VJ$4:$VJ$40=1))&gt;0)</f>
      </c>
      <c r="VL13" t="str">
        <f>=$VL12+--($VK13)</f>
      </c>
      <c r="VM13" t="str">
        <f>IF(ROW()-3&gt;MAX($VL$4:$VL$40),"",INDEX($FN$4:$FN$40,MATCH(ROW()-3,$VL$4:$VL$40,0)))</f>
      </c>
      <c r="VN13" t="str">
        <f>IF(COUNTIF('Final Calculation Sheet'!$AL13:$BQ13,0)+COUNTIF('Final Calculation Sheet'!$BS13:$BS13,0)&gt;0,0,1)</f>
      </c>
      <c r="VO13" t="str">
        <f>IF($FS$13="",FALSE,SUMPRODUCT(('Final Calculation Sheet'!$AG$4:$AG$40=$FS$13)*($VN$4:$VN$40=1))&gt;0)</f>
      </c>
      <c r="VP13" t="str">
        <f>=$VP12+--($VO13)</f>
      </c>
      <c r="VQ13" t="str">
        <f>IF(ROW()-3&gt;MAX($VP$4:$VP$40),"",INDEX($FS$4:$FS$40,MATCH(ROW()-3,$VP$4:$VP$40,0)))</f>
      </c>
      <c r="VR13" t="str">
        <f>IF(COUNTIF('Final Calculation Sheet'!$AL13:$BR13,0)&gt;0,0,1)</f>
      </c>
      <c r="VS13" t="str">
        <f>IF($QO$13="",FALSE,SUMPRODUCT(('Final Calculation Sheet'!$AH$4:$AH$40=$QO$13)*($VR$4:$VR$40=1))&gt;0)</f>
      </c>
      <c r="VT13" t="str">
        <f>=$VT12+--($VS13)</f>
      </c>
      <c r="VU13" t="str">
        <f>IF(ROW()-3&gt;MAX($VT$4:$VT$40),"",INDEX($QO$4:$QO$40,MATCH(ROW()-3,$VT$4:$VT$40,0)))</f>
      </c>
    </row>
    <row r="14">
      <c r="A14">
        <f>IF('Final Calculation Sheet'!$F$14="","",'Final Calculation Sheet'!$F$14)</f>
        <v/>
      </c>
      <c r="B14">
        <f>IF(A14="","",COUNTIFS(A$4:A$114,"&lt;"&amp;A14,A$4:A$114,"&lt;&gt;"&amp;"")+COUNTIF(A$4:A14,A14))</f>
        <v/>
      </c>
      <c r="C14">
        <f>IF(ROW()-3&gt;COUNTIF(A$4:A$114,"&lt;&gt;"&amp;""),"",INDEX(A$4:A$114,MATCH(ROW()-3,B$4:B$114,0)))</f>
        <v/>
      </c>
      <c r="D14">
        <f>D13+IF(AND(C14&lt;&gt;"",COUNTIF(C$4:C14,C14)=1),1,0)</f>
        <v/>
      </c>
      <c r="E14">
        <f>IF(ROW()-3&gt;MAX(D$4:D$114),"",INDEX(C$4:C$114,MATCH(ROW()-3,D$4:D$114,0)))</f>
        <v/>
      </c>
      <c r="F14">
        <f>ROW()-3</f>
        <v/>
      </c>
      <c r="G14">
        <f>IF(F14="","",COUNTIFS(F$4:F$40,"&lt;"&amp;F14,F$4:F$40,"&lt;&gt;"&amp;"")+COUNTIF(F$4:F14,F14))</f>
        <v/>
      </c>
      <c r="H14">
        <f>IF(ROW()-3&gt;COUNTIF(F$4:F$40,"&lt;&gt;"&amp;""),"",INDEX(F$4:F$40,MATCH(ROW()-3,G$4:G$40,0)))</f>
        <v/>
      </c>
      <c r="I14">
        <f>I13+IF(AND(H14&lt;&gt;"",COUNTIF(H$4:H14,H14)=1),1,0)</f>
        <v/>
      </c>
      <c r="J14">
        <f>IF(ROW()-3&gt;MAX(I$4:I$40),"",INDEX(H$4:H$40,MATCH(ROW()-3,I$4:I$40,0)))</f>
        <v/>
      </c>
      <c r="K14">
        <f>IF('Final Calculation Sheet'!$F$14="","",'Final Calculation Sheet'!$F$14)</f>
        <v/>
      </c>
      <c r="L14">
        <f>IF(K14="","",COUNTIFS(K$4:K$40,"&lt;"&amp;K14,K$4:K$40,"&lt;&gt;"&amp;"")+COUNTIF(K$4:K14,K14))</f>
        <v/>
      </c>
      <c r="M14">
        <f>IF(ROW()-3&gt;COUNTIF(K$4:K$40,"&lt;&gt;"&amp;""),"",INDEX(K$4:K$40,MATCH(ROW()-3,L$4:L$40,0)))</f>
        <v/>
      </c>
      <c r="N14">
        <f>N13+IF(AND(M14&lt;&gt;"",COUNTIF(M$4:M14,M14)=1),1,0)</f>
        <v/>
      </c>
      <c r="O14">
        <f>IF(ROW()-3&gt;MAX(N$4:N$40),"",INDEX(M$4:M$40,MATCH(ROW()-3,N$4:N$40,0)))</f>
        <v/>
      </c>
      <c r="P14">
        <f>IF('Final Calculation Sheet'!$G$14="","",'Final Calculation Sheet'!$G$14)</f>
        <v/>
      </c>
      <c r="Q14">
        <f>IF(P14="","",COUNTIFS(P$4:P$40,"&lt;"&amp;P14,P$4:P$40,"&lt;&gt;"&amp;"")+COUNTIF(P$4:P14,P14))</f>
        <v/>
      </c>
      <c r="R14">
        <f>IF(ROW()-3&gt;COUNTIF(P$4:P$40,"&lt;&gt;"&amp;""),"",INDEX(P$4:P$40,MATCH(ROW()-3,Q$4:Q$40,0)))</f>
        <v/>
      </c>
      <c r="S14">
        <f>S13+IF(AND(R14&lt;&gt;"",COUNTIF(R$4:R14,R14)=1),1,0)</f>
        <v/>
      </c>
      <c r="T14">
        <f>IF(ROW()-3&gt;MAX(S$4:S$40),"",INDEX(R$4:R$40,MATCH(ROW()-3,S$4:S$40,0)))</f>
        <v/>
      </c>
      <c r="U14">
        <f>IF('Final Calculation Sheet'!$B$14="","",'Final Calculation Sheet'!$B$14)</f>
        <v/>
      </c>
      <c r="V14">
        <f>IF(U14="","",COUNTIFS(U$4:U$40,"&lt;"&amp;U14,U$4:U$40,"&lt;&gt;"&amp;"")+COUNTIF(U$4:U14,U14))</f>
        <v/>
      </c>
      <c r="W14">
        <f>IF(ROW()-3&gt;COUNTIF(U$4:U$40,"&lt;&gt;"&amp;""),"",INDEX(U$4:U$40,MATCH(ROW()-3,V$4:V$40,0)))</f>
        <v/>
      </c>
      <c r="X14">
        <f>X13+IF(AND(W14&lt;&gt;"",COUNTIF(W$4:W14,W14)=1),1,0)</f>
        <v/>
      </c>
      <c r="Y14">
        <f>IF(ROW()-3&gt;MAX(X$4:X$40),"",INDEX(W$4:W$40,MATCH(ROW()-3,X$4:X$40,0)))</f>
        <v/>
      </c>
      <c r="Z14">
        <f>IF('Final Calculation Sheet'!$D$14="","",'Final Calculation Sheet'!$D$14)</f>
        <v/>
      </c>
      <c r="AA14">
        <f>IF(Z14="","",COUNTIFS(Z$4:Z$40,"&lt;"&amp;Z14,Z$4:Z$40,"&lt;&gt;"&amp;"")+COUNTIF(Z$4:Z14,Z14))</f>
        <v/>
      </c>
      <c r="AB14">
        <f>IF(ROW()-3&gt;COUNTIF(Z$4:Z$40,"&lt;&gt;"&amp;""),"",INDEX(Z$4:Z$40,MATCH(ROW()-3,AA$4:AA$40,0)))</f>
        <v/>
      </c>
      <c r="AC14">
        <f>AC13+IF(AND(AB14&lt;&gt;"",COUNTIF(AB$4:AB14,AB14)=1),1,0)</f>
        <v/>
      </c>
      <c r="AD14">
        <f>IF(ROW()-3&gt;MAX(AC$4:AC$40),"",INDEX(AB$4:AB$40,MATCH(ROW()-3,AC$4:AC$40,0)))</f>
        <v/>
      </c>
      <c r="AE14">
        <f>IF('Final Calculation Sheet'!$A$14="","",'Final Calculation Sheet'!$A$14)</f>
        <v/>
      </c>
      <c r="AF14">
        <f>IF(AE14="","",COUNTIFS(AE$4:AE$40,"&lt;"&amp;AE14,AE$4:AE$40,"&lt;&gt;"&amp;"")+COUNTIF(AE$4:AE14,AE14))</f>
        <v/>
      </c>
      <c r="AG14">
        <f>IF(ROW()-3&gt;COUNTIF(AE$4:AE$40,"&lt;&gt;"&amp;""),"",INDEX(AE$4:AE$40,MATCH(ROW()-3,AF$4:AF$40,0)))</f>
        <v/>
      </c>
      <c r="AH14">
        <f>AH13+IF(AND(AG14&lt;&gt;"",COUNTIF(AG$4:AG14,AG14)=1),1,0)</f>
        <v/>
      </c>
      <c r="AI14">
        <f>IF(ROW()-3&gt;MAX(AH$4:AH$40),"",INDEX(AG$4:AG$40,MATCH(ROW()-3,AH$4:AH$40,0)))</f>
        <v/>
      </c>
      <c r="AJ14">
        <f>IF('Final Calculation Sheet'!$E$14="","",'Final Calculation Sheet'!$E$14)</f>
        <v/>
      </c>
      <c r="AK14">
        <f>IF(AJ14="","",COUNTIFS(AJ$4:AJ$40,"&lt;"&amp;AJ14,AJ$4:AJ$40,"&lt;&gt;"&amp;"")+COUNTIF(AJ$4:AJ14,AJ14))</f>
        <v/>
      </c>
      <c r="AL14">
        <f>IF(ROW()-3&gt;COUNTIF(AJ$4:AJ$40,"&lt;&gt;"&amp;""),"",INDEX(AJ$4:AJ$40,MATCH(ROW()-3,AK$4:AK$40,0)))</f>
        <v/>
      </c>
      <c r="AM14">
        <f>AM13+IF(AND(AL14&lt;&gt;"",COUNTIF(AL$4:AL14,AL14)=1),1,0)</f>
        <v/>
      </c>
      <c r="AN14">
        <f>IF(ROW()-3&gt;MAX(AM$4:AM$40),"",INDEX(AL$4:AL$40,MATCH(ROW()-3,AM$4:AM$40,0)))</f>
        <v/>
      </c>
      <c r="AO14" s="55">
        <f>IF('Final Calculation Sheet'!$C$14="","",'Final Calculation Sheet'!$C$14)</f>
        <v/>
      </c>
      <c r="AP14">
        <f>IF(AO14="","",COUNTIFS(AO$4:AO$40,"&lt;"&amp;AO14,AO$4:AO$40,"&lt;&gt;"&amp;"")+COUNTIF(AO$4:AO14,AO14))</f>
        <v/>
      </c>
      <c r="AQ14" s="55">
        <f>IF(ROW()-3&gt;COUNTIF(AO$4:AO$40,"&lt;&gt;"&amp;""),"",INDEX(AO$4:AO$40,MATCH(ROW()-3,AP$4:AP$40,0)))</f>
        <v/>
      </c>
      <c r="AR14">
        <f>AR13+IF(AND(AQ14&lt;&gt;"",COUNTIF(AQ$4:AQ14,AQ14)=1),1,0)</f>
        <v/>
      </c>
      <c r="AS14" s="55">
        <f>IF(ROW()-3&gt;MAX(AR$4:AR$40),"",INDEX(AQ$4:AQ$40,MATCH(ROW()-3,AR$4:AR$40,0)))</f>
        <v/>
      </c>
      <c r="AT14" s="55">
        <f>IF('Final Calculation Sheet'!$H$14="","",'Final Calculation Sheet'!$H$14)</f>
        <v/>
      </c>
      <c r="AU14">
        <f>IF(AT14="","",COUNTIFS(AT$4:AT$40,"&lt;"&amp;AT14,AT$4:AT$40,"&lt;&gt;"&amp;"")+COUNTIF(AT$4:AT14,AT14))</f>
        <v/>
      </c>
      <c r="AV14" s="55">
        <f>IF(ROW()-3&gt;COUNTIF(AT$4:AT$40,"&lt;&gt;"&amp;""),"",INDEX(AT$4:AT$40,MATCH(ROW()-3,AU$4:AU$40,0)))</f>
        <v/>
      </c>
      <c r="AW14">
        <f>AW13+IF(AND(AV14&lt;&gt;"",COUNTIF(AV$4:AV14,AV14)=1),1,0)</f>
        <v/>
      </c>
      <c r="AX14" s="55">
        <f>IF(ROW()-3&gt;MAX(AW$4:AW$40),"",INDEX(AV$4:AV$40,MATCH(ROW()-3,AW$4:AW$40,0)))</f>
        <v/>
      </c>
      <c r="AY14" s="55">
        <f>IF('Final Calculation Sheet'!$I$14="","",'Final Calculation Sheet'!$I$14)</f>
        <v/>
      </c>
      <c r="AZ14">
        <f>IF(AY14="","",COUNTIFS(AY$4:AY$40,"&lt;"&amp;AY14,AY$4:AY$40,"&lt;&gt;"&amp;"")+COUNTIF(AY$4:AY14,AY14))</f>
        <v/>
      </c>
      <c r="BA14" s="55">
        <f>IF(ROW()-3&gt;COUNTIF(AY$4:AY$40,"&lt;&gt;"&amp;""),"",INDEX(AY$4:AY$40,MATCH(ROW()-3,AZ$4:AZ$40,0)))</f>
        <v/>
      </c>
      <c r="BB14">
        <f>BB13+IF(AND(BA14&lt;&gt;"",COUNTIF(BA$4:BA14,BA14)=1),1,0)</f>
        <v/>
      </c>
      <c r="BC14" s="55">
        <f>IF(ROW()-3&gt;MAX(BB$4:BB$40),"",INDEX(BA$4:BA$40,MATCH(ROW()-3,BB$4:BB$40,0)))</f>
        <v/>
      </c>
      <c r="BD14" s="55">
        <f>IF('Final Calculation Sheet'!$J$14="","",'Final Calculation Sheet'!$J$14)</f>
        <v/>
      </c>
      <c r="BE14">
        <f>IF(BD14="","",COUNTIFS(BD$4:BD$40,"&lt;"&amp;BD14,BD$4:BD$40,"&lt;&gt;"&amp;"")+COUNTIF(BD$4:BD14,BD14))</f>
        <v/>
      </c>
      <c r="BF14" s="55">
        <f>IF(ROW()-3&gt;COUNTIF(BD$4:BD$40,"&lt;&gt;"&amp;""),"",INDEX(BD$4:BD$40,MATCH(ROW()-3,BE$4:BE$40,0)))</f>
        <v/>
      </c>
      <c r="BG14">
        <f>BG13+IF(AND(BF14&lt;&gt;"",COUNTIF(BF$4:BF14,BF14)=1),1,0)</f>
        <v/>
      </c>
      <c r="BH14" s="55">
        <f>IF(ROW()-3&gt;MAX(BG$4:BG$40),"",INDEX(BF$4:BF$40,MATCH(ROW()-3,BG$4:BG$40,0)))</f>
        <v/>
      </c>
      <c r="BI14" s="55">
        <f>IF('Final Calculation Sheet'!$K$14="","",'Final Calculation Sheet'!$K$14)</f>
        <v/>
      </c>
      <c r="BJ14">
        <f>IF(BI14="","",COUNTIFS(BI$4:BI$40,"&lt;"&amp;BI14,BI$4:BI$40,"&lt;&gt;"&amp;"")+COUNTIF(BI$4:BI14,BI14))</f>
        <v/>
      </c>
      <c r="BK14" s="55">
        <f>IF(ROW()-3&gt;COUNTIF(BI$4:BI$40,"&lt;&gt;"&amp;""),"",INDEX(BI$4:BI$40,MATCH(ROW()-3,BJ$4:BJ$40,0)))</f>
        <v/>
      </c>
      <c r="BL14">
        <f>BL13+IF(AND(BK14&lt;&gt;"",COUNTIF(BK$4:BK14,BK14)=1),1,0)</f>
        <v/>
      </c>
      <c r="BM14" s="55">
        <f>IF(ROW()-3&gt;MAX(BL$4:BL$40),"",INDEX(BK$4:BK$40,MATCH(ROW()-3,BL$4:BL$40,0)))</f>
        <v/>
      </c>
      <c r="BN14" s="55">
        <f>IF('Final Calculation Sheet'!$L$14="","",'Final Calculation Sheet'!$L$14)</f>
        <v/>
      </c>
      <c r="BO14">
        <f>IF(BN14="","",COUNTIFS(BN$4:BN$40,"&lt;"&amp;BN14,BN$4:BN$40,"&lt;&gt;"&amp;"")+COUNTIF(BN$4:BN14,BN14))</f>
        <v/>
      </c>
      <c r="BP14" s="55">
        <f>IF(ROW()-3&gt;COUNTIF(BN$4:BN$40,"&lt;&gt;"&amp;""),"",INDEX(BN$4:BN$40,MATCH(ROW()-3,BO$4:BO$40,0)))</f>
        <v/>
      </c>
      <c r="BQ14">
        <f>BQ13+IF(AND(BP14&lt;&gt;"",COUNTIF(BP$4:BP14,BP14)=1),1,0)</f>
        <v/>
      </c>
      <c r="BR14" s="55">
        <f>IF(ROW()-3&gt;MAX(BQ$4:BQ$40),"",INDEX(BP$4:BP$40,MATCH(ROW()-3,BQ$4:BQ$40,0)))</f>
        <v/>
      </c>
      <c r="BS14" s="55">
        <f>IF('Final Calculation Sheet'!$M$14="","",'Final Calculation Sheet'!$M$14)</f>
        <v/>
      </c>
      <c r="BT14">
        <f>IF(BS14="","",COUNTIFS(BS$4:BS$40,"&lt;"&amp;BS14,BS$4:BS$40,"&lt;&gt;"&amp;"")+COUNTIF(BS$4:BS14,BS14))</f>
        <v/>
      </c>
      <c r="BU14" s="55">
        <f>IF(ROW()-3&gt;COUNTIF(BS$4:BS$40,"&lt;&gt;"&amp;""),"",INDEX(BS$4:BS$40,MATCH(ROW()-3,BT$4:BT$40,0)))</f>
        <v/>
      </c>
      <c r="BV14">
        <f>BV13+IF(AND(BU14&lt;&gt;"",COUNTIF(BU$4:BU14,BU14)=1),1,0)</f>
        <v/>
      </c>
      <c r="BW14" s="55">
        <f>IF(ROW()-3&gt;MAX(BV$4:BV$40),"",INDEX(BU$4:BU$40,MATCH(ROW()-3,BV$4:BV$40,0)))</f>
        <v/>
      </c>
      <c r="BX14" s="138">
        <f>IF('Final Calculation Sheet'!$N$14="","",'Final Calculation Sheet'!$N$14)</f>
        <v/>
      </c>
      <c r="BY14">
        <f>IF(BX14="","",COUNTIFS(BX$4:BX$40,"&lt;"&amp;BX14,BX$4:BX$40,"&lt;&gt;"&amp;"")+COUNTIF(BX$4:BX14,BX14))</f>
        <v/>
      </c>
      <c r="BZ14" s="138">
        <f>IF(ROW()-3&gt;COUNTIF(BX$4:BX$40,"&lt;&gt;"&amp;""),"",INDEX(BX$4:BX$40,MATCH(ROW()-3,BY$4:BY$40,0)))</f>
        <v/>
      </c>
      <c r="CA14">
        <f>CA13+IF(AND(BZ14&lt;&gt;"",COUNTIF(BZ$4:BZ14,BZ14)=1),1,0)</f>
        <v/>
      </c>
      <c r="CB14" s="138">
        <f>IF(ROW()-3&gt;MAX(CA$4:CA$40),"",INDEX(BZ$4:BZ$40,MATCH(ROW()-3,CA$4:CA$40,0)))</f>
        <v/>
      </c>
      <c r="CC14" s="55">
        <f>IF('Final Calculation Sheet'!$O$14="","",'Final Calculation Sheet'!$O$14)</f>
        <v/>
      </c>
      <c r="CD14">
        <f>IF(CC14="","",COUNTIFS(CC$4:CC$40,"&lt;"&amp;CC14,CC$4:CC$40,"&lt;&gt;"&amp;"")+COUNTIF(CC$4:CC14,CC14))</f>
        <v/>
      </c>
      <c r="CE14" s="55">
        <f>IF(ROW()-3&gt;COUNTIF(CC$4:CC$40,"&lt;&gt;"&amp;""),"",INDEX(CC$4:CC$40,MATCH(ROW()-3,CD$4:CD$40,0)))</f>
        <v/>
      </c>
      <c r="CF14">
        <f>CF13+IF(AND(CE14&lt;&gt;"",COUNTIF(CE$4:CE14,CE14)=1),1,0)</f>
        <v/>
      </c>
      <c r="CG14" s="55">
        <f>IF(ROW()-3&gt;MAX(CF$4:CF$40),"",INDEX(CE$4:CE$40,MATCH(ROW()-3,CF$4:CF$40,0)))</f>
        <v/>
      </c>
      <c r="CH14" s="55">
        <f>IF('Final Calculation Sheet'!$P$14="","",'Final Calculation Sheet'!$P$14)</f>
        <v/>
      </c>
      <c r="CI14">
        <f>IF(CH14="","",COUNTIFS(CH$4:CH$40,"&lt;"&amp;CH14,CH$4:CH$40,"&lt;&gt;"&amp;"")+COUNTIF(CH$4:CH14,CH14))</f>
        <v/>
      </c>
      <c r="CJ14" s="55">
        <f>IF(ROW()-3&gt;COUNTIF(CH$4:CH$40,"&lt;&gt;"&amp;""),"",INDEX(CH$4:CH$40,MATCH(ROW()-3,CI$4:CI$40,0)))</f>
        <v/>
      </c>
      <c r="CK14">
        <f>CK13+IF(AND(CJ14&lt;&gt;"",COUNTIF(CJ$4:CJ14,CJ14)=1),1,0)</f>
        <v/>
      </c>
      <c r="CL14" s="55">
        <f>IF(ROW()-3&gt;MAX(CK$4:CK$40),"",INDEX(CJ$4:CJ$40,MATCH(ROW()-3,CK$4:CK$40,0)))</f>
        <v/>
      </c>
      <c r="CM14" s="139">
        <f>IF('Final Calculation Sheet'!$Q$14="","",'Final Calculation Sheet'!$Q$14)</f>
        <v/>
      </c>
      <c r="CN14">
        <f>IF(CM14="","",COUNTIFS(CM$4:CM$40,"&lt;"&amp;CM14,CM$4:CM$40,"&lt;&gt;"&amp;"")+COUNTIF(CM$4:CM14,CM14))</f>
        <v/>
      </c>
      <c r="CO14" s="139">
        <f>IF(ROW()-3&gt;COUNTIF(CM$4:CM$40,"&lt;&gt;"&amp;""),"",INDEX(CM$4:CM$40,MATCH(ROW()-3,CN$4:CN$40,0)))</f>
        <v/>
      </c>
      <c r="CP14">
        <f>CP13+IF(AND(CO14&lt;&gt;"",COUNTIF(CO$4:CO14,CO14)=1),1,0)</f>
        <v/>
      </c>
      <c r="CQ14">
        <f>IF(ROW()-3&gt;MAX(CP$4:CP$40),"",INDEX(CO$4:CO$40,MATCH(ROW()-3,CP$4:CP$40,0)))</f>
        <v/>
      </c>
      <c r="CR14" s="55">
        <f>IF('Final Calculation Sheet'!$R$14="","",'Final Calculation Sheet'!$R$14)</f>
        <v/>
      </c>
      <c r="CS14">
        <f>IF(CR14="","",COUNTIFS(CR$4:CR$40,"&lt;"&amp;CR14,CR$4:CR$40,"&lt;&gt;"&amp;"")+COUNTIF(CR$4:CR14,CR14))</f>
        <v/>
      </c>
      <c r="CT14" s="55">
        <f>IF(ROW()-3&gt;COUNTIF(CR$4:CR$40,"&lt;&gt;"&amp;""),"",INDEX(CR$4:CR$40,MATCH(ROW()-3,CS$4:CS$40,0)))</f>
        <v/>
      </c>
      <c r="CU14">
        <f>CU13+IF(AND(CT14&lt;&gt;"",COUNTIF(CT$4:CT14,CT14)=1),1,0)</f>
        <v/>
      </c>
      <c r="CV14">
        <f>IF(ROW()-3&gt;MAX(CU$4:CU$40),"",INDEX(CT$4:CT$40,MATCH(ROW()-3,CU$4:CU$40,0)))</f>
        <v/>
      </c>
      <c r="CW14" s="55">
        <f>IF('Final Calculation Sheet'!$S$14="","",'Final Calculation Sheet'!$S$14)</f>
        <v/>
      </c>
      <c r="CX14">
        <f>IF(CW14="","",COUNTIFS(CW$4:CW$40,"&lt;"&amp;CW14,CW$4:CW$40,"&lt;&gt;"&amp;"")+COUNTIF(CW$4:CW14,CW14))</f>
        <v/>
      </c>
      <c r="CY14" s="55">
        <f>IF(ROW()-3&gt;COUNTIF(CW$4:CW$40,"&lt;&gt;"&amp;""),"",INDEX(CW$4:CW$40,MATCH(ROW()-3,CX$4:CX$40,0)))</f>
        <v/>
      </c>
      <c r="CZ14">
        <f>CZ13+IF(AND(CY14&lt;&gt;"",COUNTIF(CY$4:CY14,CY14)=1),1,0)</f>
        <v/>
      </c>
      <c r="DA14" s="55">
        <f>IF(ROW()-3&gt;MAX(CZ$4:CZ$40),"",INDEX(CY$4:CY$40,MATCH(ROW()-3,CZ$4:CZ$40,0)))</f>
        <v/>
      </c>
      <c r="DB14" s="55">
        <f>IF('Final Calculation Sheet'!$T$14="","",'Final Calculation Sheet'!$T$14)</f>
        <v/>
      </c>
      <c r="DC14">
        <f>IF(DB14="","",COUNTIFS(DB$4:DB$40,"&lt;"&amp;DB14,DB$4:DB$40,"&lt;&gt;"&amp;"")+COUNTIF(DB$4:DB14,DB14))</f>
        <v/>
      </c>
      <c r="DD14" s="55">
        <f>IF(ROW()-3&gt;COUNTIF(DB$4:DB$40,"&lt;&gt;"&amp;""),"",INDEX(DB$4:DB$40,MATCH(ROW()-3,DC$4:DC$40,0)))</f>
        <v/>
      </c>
      <c r="DE14">
        <f>DE13+IF(AND(DD14&lt;&gt;"",COUNTIF(DD$4:DD14,DD14)=1),1,0)</f>
        <v/>
      </c>
      <c r="DF14" s="55">
        <f>IF(ROW()-3&gt;MAX(DE$4:DE$40),"",INDEX(DD$4:DD$40,MATCH(ROW()-3,DE$4:DE$40,0)))</f>
        <v/>
      </c>
      <c r="DG14" s="140">
        <f>IF('Final Calculation Sheet'!$U$14="","",'Final Calculation Sheet'!$U$14)</f>
        <v/>
      </c>
      <c r="DH14">
        <f>IF(DG14="","",COUNTIFS(DG$4:DG$40,"&lt;"&amp;DG14,DG$4:DG$40,"&lt;&gt;"&amp;"")+COUNTIF(DG$4:DG14,DG14))</f>
        <v/>
      </c>
      <c r="DI14" s="140">
        <f>IF(ROW()-3&gt;COUNTIF(DG$4:DG$40,"&lt;&gt;"&amp;""),"",INDEX(DG$4:DG$40,MATCH(ROW()-3,DH$4:DH$40,0)))</f>
        <v/>
      </c>
      <c r="DJ14">
        <f>DJ13+IF(AND(DI14&lt;&gt;"",COUNTIF(DI$4:DI14,DI14)=1),1,0)</f>
        <v/>
      </c>
      <c r="DK14" s="140">
        <f>IF(ROW()-3&gt;MAX(DJ$4:DJ$40),"",INDEX(DI$4:DI$40,MATCH(ROW()-3,DJ$4:DJ$40,0)))</f>
        <v/>
      </c>
      <c r="DL14">
        <f>IF('Final Calculation Sheet'!$V$14="","",'Final Calculation Sheet'!$V$14)</f>
        <v/>
      </c>
      <c r="DM14">
        <f>IF(DL14="","",COUNTIFS(DL$4:DL$40,"&lt;"&amp;DL14,DL$4:DL$40,"&lt;&gt;"&amp;"")+COUNTIF(DL$4:DL14,DL14))</f>
        <v/>
      </c>
      <c r="DN14">
        <f>IF(ROW()-3&gt;COUNTIF(DL$4:DL$40,"&lt;&gt;"&amp;""),"",INDEX(DL$4:DL$40,MATCH(ROW()-3,DM$4:DM$40,0)))</f>
        <v/>
      </c>
      <c r="DO14">
        <f>DO13+IF(AND(DN14&lt;&gt;"",COUNTIF(DN$4:DN14,DN14)=1),1,0)</f>
        <v/>
      </c>
      <c r="DP14">
        <f>IF(ROW()-3&gt;MAX(DO$4:DO$40),"",INDEX(DN$4:DN$40,MATCH(ROW()-3,DO$4:DO$40,0)))</f>
        <v/>
      </c>
      <c r="DQ14" s="55">
        <f>IF('Final Calculation Sheet'!$W$14="","",'Final Calculation Sheet'!$W$14)</f>
        <v/>
      </c>
      <c r="DR14">
        <f>IF(DQ14="","",COUNTIFS(DQ$4:DQ$40,"&lt;"&amp;DQ14,DQ$4:DQ$40,"&lt;&gt;"&amp;"")+COUNTIF(DQ$4:DQ14,DQ14))</f>
        <v/>
      </c>
      <c r="DS14" s="55">
        <f>IF(ROW()-3&gt;COUNTIF(DQ$4:DQ$40,"&lt;&gt;"&amp;""),"",INDEX(DQ$4:DQ$40,MATCH(ROW()-3,DR$4:DR$40,0)))</f>
        <v/>
      </c>
      <c r="DT14">
        <f>DT13+IF(AND(DS14&lt;&gt;"",COUNTIF(DS$4:DS14,DS14)=1),1,0)</f>
        <v/>
      </c>
      <c r="DU14" s="55">
        <f>IF(ROW()-3&gt;MAX(DT$4:DT$40),"",INDEX(DS$4:DS$40,MATCH(ROW()-3,DT$4:DT$40,0)))</f>
        <v/>
      </c>
      <c r="DV14" s="55">
        <f>IF('Final Calculation Sheet'!$X$14="","",'Final Calculation Sheet'!$X$14)</f>
        <v/>
      </c>
      <c r="DW14">
        <f>IF(DV14="","",COUNTIFS(DV$4:DV$40,"&lt;"&amp;DV14,DV$4:DV$40,"&lt;&gt;"&amp;"")+COUNTIF(DV$4:DV14,DV14))</f>
        <v/>
      </c>
      <c r="DX14" s="55">
        <f>IF(ROW()-3&gt;COUNTIF(DV$4:DV$40,"&lt;&gt;"&amp;""),"",INDEX(DV$4:DV$40,MATCH(ROW()-3,DW$4:DW$40,0)))</f>
        <v/>
      </c>
      <c r="DY14">
        <f>DY13+IF(AND(DX14&lt;&gt;"",COUNTIF(DX$4:DX14,DX14)=1),1,0)</f>
        <v/>
      </c>
      <c r="DZ14">
        <f>IF(ROW()-3&gt;MAX(DY$4:DY$40),"",INDEX(DX$4:DX$40,MATCH(ROW()-3,DY$4:DY$40,0)))</f>
        <v/>
      </c>
      <c r="EA14">
        <f>IF('Final Calculation Sheet'!$Y$14="","",'Final Calculation Sheet'!$Y$14)</f>
        <v/>
      </c>
      <c r="EB14">
        <f>IF(EA14="","",COUNTIFS(EA$4:EA$40,"&lt;"&amp;EA14,EA$4:EA$40,"&lt;&gt;"&amp;"")+COUNTIF(EA$4:EA14,EA14))</f>
        <v/>
      </c>
      <c r="EC14">
        <f>IF(ROW()-3&gt;COUNTIF(EA$4:EA$40,"&lt;&gt;"&amp;""),"",INDEX(EA$4:EA$40,MATCH(ROW()-3,EB$4:EB$40,0)))</f>
        <v/>
      </c>
      <c r="ED14">
        <f>ED13+IF(AND(EC14&lt;&gt;"",COUNTIF(EC$4:EC14,EC14)=1),1,0)</f>
        <v/>
      </c>
      <c r="EE14">
        <f>IF(ROW()-3&gt;MAX(ED$4:ED$40),"",INDEX(EC$4:EC$40,MATCH(ROW()-3,ED$4:ED$40,0)))</f>
        <v/>
      </c>
      <c r="EF14" s="55">
        <f>IF('Final Calculation Sheet'!$Z$14="","",'Final Calculation Sheet'!$Z$14)</f>
        <v/>
      </c>
      <c r="EG14">
        <f>IF(EF14="","",COUNTIFS(EF$4:EF$40,"&lt;"&amp;EF14,EF$4:EF$40,"&lt;&gt;"&amp;"")+COUNTIF(EF$4:EF14,EF14))</f>
        <v/>
      </c>
      <c r="EH14" s="55">
        <f>IF(ROW()-3&gt;COUNTIF(EF$4:EF$40,"&lt;&gt;"&amp;""),"",INDEX(EF$4:EF$40,MATCH(ROW()-3,EG$4:EG$40,0)))</f>
        <v/>
      </c>
      <c r="EI14">
        <f>EI13+IF(AND(EH14&lt;&gt;"",COUNTIF(EH$4:EH14,EH14)=1),1,0)</f>
        <v/>
      </c>
      <c r="EJ14">
        <f>IF(ROW()-3&gt;MAX(EI$4:EI$40),"",INDEX(EH$4:EH$40,MATCH(ROW()-3,EI$4:EI$40,0)))</f>
        <v/>
      </c>
      <c r="EK14">
        <f>IF('Final Calculation Sheet'!$AA$14="","",'Final Calculation Sheet'!$AA$14)</f>
        <v/>
      </c>
      <c r="EL14">
        <f>IF(EK14="","",COUNTIFS(EK$4:EK$40,"&lt;"&amp;EK14,EK$4:EK$40,"&lt;&gt;"&amp;"")+COUNTIF(EK$4:EK14,EK14))</f>
        <v/>
      </c>
      <c r="EM14">
        <f>IF(ROW()-3&gt;COUNTIF(EK$4:EK$40,"&lt;&gt;"&amp;""),"",INDEX(EK$4:EK$40,MATCH(ROW()-3,EL$4:EL$40,0)))</f>
        <v/>
      </c>
      <c r="EN14">
        <f>EN13+IF(AND(EM14&lt;&gt;"",COUNTIF(EM$4:EM14,EM14)=1),1,0)</f>
        <v/>
      </c>
      <c r="EO14">
        <f>IF(ROW()-3&gt;MAX(EN$4:EN$40),"",INDEX(EM$4:EM$40,MATCH(ROW()-3,EN$4:EN$40,0)))</f>
        <v/>
      </c>
      <c r="EP14">
        <f>IF('Final Calculation Sheet'!$AB$14="","",'Final Calculation Sheet'!$AB$14)</f>
        <v/>
      </c>
      <c r="EQ14">
        <f>IF(EP14="","",COUNTIFS(EP$4:EP$40,"&lt;"&amp;EP14,EP$4:EP$40,"&lt;&gt;"&amp;"")+COUNTIF(EP$4:EP14,EP14))</f>
        <v/>
      </c>
      <c r="ER14">
        <f>IF(ROW()-3&gt;COUNTIF(EP$4:EP$40,"&lt;&gt;"&amp;""),"",INDEX(EP$4:EP$40,MATCH(ROW()-3,EQ$4:EQ$40,0)))</f>
        <v/>
      </c>
      <c r="ES14">
        <f>ES13+IF(AND(ER14&lt;&gt;"",COUNTIF(ER$4:ER14,ER14)=1),1,0)</f>
        <v/>
      </c>
      <c r="ET14">
        <f>IF(ROW()-3&gt;MAX(ES$4:ES$40),"",INDEX(ER$4:ER$40,MATCH(ROW()-3,ES$4:ES$40,0)))</f>
        <v/>
      </c>
      <c r="EU14" s="55">
        <f>IF('Final Calculation Sheet'!$AC$14="","",'Final Calculation Sheet'!$AC$14)</f>
        <v/>
      </c>
      <c r="EV14">
        <f>IF(EU14="","",COUNTIFS(EU$4:EU$40,"&lt;"&amp;EU14,EU$4:EU$40,"&lt;&gt;"&amp;"")+COUNTIF(EU$4:EU14,EU14))</f>
        <v/>
      </c>
      <c r="EW14" s="55">
        <f>IF(ROW()-3&gt;COUNTIF(EU$4:EU$40,"&lt;&gt;"&amp;""),"",INDEX(EU$4:EU$40,MATCH(ROW()-3,EV$4:EV$40,0)))</f>
        <v/>
      </c>
      <c r="EX14">
        <f>EX13+IF(AND(EW14&lt;&gt;"",COUNTIF(EW$4:EW14,EW14)=1),1,0)</f>
        <v/>
      </c>
      <c r="EY14" s="55">
        <f>IF(ROW()-3&gt;MAX(EX$4:EX$40),"",INDEX(EW$4:EW$40,MATCH(ROW()-3,EX$4:EX$40,0)))</f>
        <v/>
      </c>
      <c r="EZ14" s="55">
        <f>IF('Final Calculation Sheet'!$AD$14="","",'Final Calculation Sheet'!$AD$14)</f>
        <v/>
      </c>
      <c r="FA14">
        <f>IF(EZ14="","",COUNTIFS(EZ$4:EZ$40,"&lt;"&amp;EZ14,EZ$4:EZ$40,"&lt;&gt;"&amp;"")+COUNTIF(EZ$4:EZ14,EZ14))</f>
        <v/>
      </c>
      <c r="FB14" s="55">
        <f>IF(ROW()-3&gt;COUNTIF(EZ$4:EZ$40,"&lt;&gt;"&amp;""),"",INDEX(EZ$4:EZ$40,MATCH(ROW()-3,FA$4:FA$40,0)))</f>
        <v/>
      </c>
      <c r="FC14">
        <f>FC13+IF(AND(FB14&lt;&gt;"",COUNTIF(FB$4:FB14,FB14)=1),1,0)</f>
        <v/>
      </c>
      <c r="FD14" s="55">
        <f>IF(ROW()-3&gt;MAX(FC$4:FC$40),"",INDEX(FB$4:FB$40,MATCH(ROW()-3,FC$4:FC$40,0)))</f>
        <v/>
      </c>
      <c r="FE14">
        <f>IF('Final Calculation Sheet'!$AF$14="","",'Final Calculation Sheet'!$AF$14)</f>
        <v/>
      </c>
      <c r="FF14">
        <f>IF(FE14="","",COUNTIFS(FE$4:FE$40,"&lt;"&amp;FE14,FE$4:FE$40,"&lt;&gt;"&amp;"")+COUNTIF(FE$4:FE14,FE14))</f>
        <v/>
      </c>
      <c r="FG14">
        <f>IF(ROW()-3&gt;COUNTIF(FE$4:FE$40,"&lt;&gt;"&amp;""),"",INDEX(FE$4:FE$40,MATCH(ROW()-3,FF$4:FF$40,0)))</f>
        <v/>
      </c>
      <c r="FH14">
        <f>FH13+IF(AND(FG14&lt;&gt;"",COUNTIF(FG$4:FG14,FG14)=1),1,0)</f>
        <v/>
      </c>
      <c r="FI14">
        <f>IF(ROW()-3&gt;MAX(FH$4:FH$40),"",INDEX(FG$4:FG$40,MATCH(ROW()-3,FH$4:FH$40,0)))</f>
        <v/>
      </c>
      <c r="FJ14" s="141">
        <f>IF('Final Calculation Sheet'!$AG$14="","",'Final Calculation Sheet'!$AG$14)</f>
        <v/>
      </c>
      <c r="FK14">
        <f>IF(FJ14="","",COUNTIFS(FJ$4:FJ$40,"&lt;"&amp;FJ14,FJ$4:FJ$40,"&lt;&gt;"&amp;"")+COUNTIF(FJ$4:FJ14,FJ14))</f>
        <v/>
      </c>
      <c r="FL14" s="141">
        <f>IF(ROW()-3&gt;COUNTIF(FJ$4:FJ$40,"&lt;&gt;"&amp;""),"",INDEX(FJ$4:FJ$40,MATCH(ROW()-3,FK$4:FK$40,0)))</f>
        <v/>
      </c>
      <c r="FM14">
        <f>FM13+IF(AND(FL14&lt;&gt;"",COUNTIF(FL$4:FL14,FL14)=1),1,0)</f>
        <v/>
      </c>
      <c r="FN14">
        <f>IF(ROW()-3&gt;MAX(FM$4:FM$40),"",INDEX(FL$4:FL$40,MATCH(ROW()-3,FM$4:FM$40,0)))</f>
        <v/>
      </c>
      <c r="FO14">
        <f>IF('Final Calculation Sheet'!$AH$14="","",'Final Calculation Sheet'!$AH$14)</f>
        <v/>
      </c>
      <c r="FP14">
        <f>IF(FO14="","",COUNTIFS(FO$4:FO$40,"&lt;"&amp;FO14,FO$4:FO$40,"&lt;&gt;"&amp;"")+COUNTIF(FO$4:FO14,FO14))</f>
        <v/>
      </c>
      <c r="FQ14">
        <f>IF(ROW()-3&gt;COUNTIF(FO$4:FO$40,"&lt;&gt;"&amp;""),"",INDEX(FO$4:FO$40,MATCH(ROW()-3,FP$4:FP$40,0)))</f>
        <v/>
      </c>
      <c r="FR14">
        <f>FR13+IF(AND(FQ14&lt;&gt;"",COUNTIF(FQ$4:FQ14,FQ14)=1),1,0)</f>
        <v/>
      </c>
      <c r="FS14">
        <f>IF(ROW()-3&gt;MAX(FR$4:FR$40),"",INDEX(FQ$4:FQ$40,MATCH(ROW()-3,FR$4:FR$40,0)))</f>
        <v/>
      </c>
      <c r="FU14">
        <f>IF(FT14="","",COUNTIFS(FT$4:FT$40,"&lt;"&amp;FT14,FT$4:FT$40,"&lt;&gt;"&amp;"")+COUNTIF(FT$4:FT14,FT14))</f>
        <v/>
      </c>
      <c r="FV14">
        <f>IF(ROW()-3&gt;COUNTIF(FT$4:FT$40,"&lt;&gt;"&amp;""),"",INDEX(FT$4:FT$40,MATCH(ROW()-3,FU$4:FU$40,0)))</f>
        <v/>
      </c>
      <c r="FW14">
        <f>FW13+IF(AND(FV14&lt;&gt;"",COUNTIF(FV$4:FV14,FV14)=1),1,0)</f>
        <v/>
      </c>
      <c r="FX14">
        <f>IF(ROW()-3&gt;MAX(FW$4:FW$40),"",INDEX(FV$4:FV$40,MATCH(ROW()-3,FW$4:FW$40,0)))</f>
        <v/>
      </c>
      <c r="FY14">
        <f>IF(COUNTIF('Live Search'!BM$13:BO$13,0)+COUNTIF('Live Search'!BQ$13:CU$13,0)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4">
        <f>IF($Y$14="",FALSE,SUMPRODUCT(('Final Calculation Sheet'!$B$4:$B$40=$Y$14)*($FY$6:$FY$42=1))&gt;0)</f>
        <v/>
      </c>
      <c r="GA14">
        <f>$GA$13+--($FZ$14)</f>
        <v/>
      </c>
      <c r="GB14">
        <f>IF(ROW()-3&gt;MAX($GA$4:$GA$40),"",INDEX($Y$4:$Y$40,MATCH(ROW()-3,$GA$4:$GA$40,0)))</f>
        <v/>
      </c>
      <c r="GC14">
        <f>IF(COUNTIF('Live Search'!BM$13:BM$13,0)+COUNTIF('Live Search'!BO$13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GD14">
        <f>IF($O$14="",FALSE,SUMPRODUCT(('Final Calculation Sheet'!$F$4:$F$40=$O$14)*($GC$6:$GC$42=1))&gt;0)</f>
        <v/>
      </c>
      <c r="GE14">
        <f>$GE$13+--($GD14)</f>
        <v/>
      </c>
      <c r="GF14">
        <f>IF(ROW()-3&gt;MAX($GE$4:$GE$40),"",INDEX($O$4:$O$40,MATCH(ROW()-3,$GE$4:$GE$40,0)))</f>
        <v/>
      </c>
      <c r="GG14">
        <f>IF(COUNTIF('Live Search'!BM$13:BN$13,0)+COUNTIF('Live Search'!BP$13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GH14">
        <f>IF($T$14="",FALSE,SUMPRODUCT(('Final Calculation Sheet'!$G$4:$G$40=$T$14)*($GG$6:$GG$42=1))&gt;0)</f>
        <v/>
      </c>
      <c r="GI14">
        <f>$GI$13+--($GH14)</f>
        <v/>
      </c>
      <c r="GJ14">
        <f>IF(ROW()-3&gt;MAX($GI$4:$GI$40),"",INDEX($T$4:$T$40,MATCH(ROW()-3,$GI$4:$GI$40,0)))</f>
        <v/>
      </c>
      <c r="GK14">
        <f>IF(COUNTIF('Live Search'!BM$13:BP$13,0)+COUNTIF('Live Search'!BR$13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GL14">
        <f>IF($AD$14="",FALSE,SUMPRODUCT(('Final Calculation Sheet'!$D$4:$D$40=$AD$14)*($GK$6:$GK$42=1))&gt;0)</f>
        <v/>
      </c>
      <c r="GM14">
        <f>$GM$13+--($GL14)</f>
        <v/>
      </c>
      <c r="GN14">
        <f>IF(ROW()-3&gt;MAX($GM$4:$GM$40),"",INDEX($AD$4:$AD$40,MATCH(ROW()-3,$GM$4:$GM$40,0)))</f>
        <v/>
      </c>
      <c r="GO14">
        <f>IF(COUNTIF('Live Search'!BM$13:BQ$13,0)+COUNTIF('Live Search'!BS$13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GP14">
        <f>IF($AI$14="",FALSE,SUMPRODUCT(('Final Calculation Sheet'!$A$4:$A$40=$AI$14)*($GO$6:$GO$42=1))&gt;0)</f>
        <v/>
      </c>
      <c r="GQ14">
        <f>$GQ$13+--($GP14)</f>
        <v/>
      </c>
      <c r="GR14">
        <f>IF(ROW()-3&gt;MAX($GQ$4:$GQ$40),"",INDEX($AI$4:$AI$40,MATCH(ROW()-3,$GQ$4:$GQ$40,0)))</f>
        <v/>
      </c>
      <c r="GS14">
        <f>IF(COUNTIF('Live Search'!BM$13:BR$13,0)+COUNTIF('Live Search'!BT$13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GT14">
        <f>IF($AN$14="",FALSE,SUMPRODUCT(('Final Calculation Sheet'!$E$4:$E$40=$AN$14)*($GS$6:$GS$42=1))&gt;0)</f>
        <v/>
      </c>
      <c r="GU14">
        <f>$GU$13+--($GT14)</f>
        <v/>
      </c>
      <c r="GV14">
        <f>IF(ROW()-3&gt;MAX($GU$4:$GU$40),"",INDEX($AN$4:$AN$40,MATCH(ROW()-3,$GU$4:$GU$40,0)))</f>
        <v/>
      </c>
      <c r="GW14">
        <f>IF(COUNTIF('Live Search'!BM$13:BS$13,0)+COUNTIF('Live Search'!BU$13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GX14">
        <f>IF($AS$14="",FALSE,SUMPRODUCT(('Final Calculation Sheet'!$C$4:$C$40=$AS$14)*($GW$6:$GW$42=1))&gt;0)</f>
        <v/>
      </c>
      <c r="GY14">
        <f>$GY$13+--($GX14)</f>
        <v/>
      </c>
      <c r="GZ14">
        <f>IF(ROW()-3&gt;MAX($GY$4:$GY$40),"",INDEX($AS$4:$AS$40,MATCH(ROW()-3,$GY$4:$GY$40,0)))</f>
        <v/>
      </c>
      <c r="HA14">
        <f>IF(COUNTIF('Live Search'!BM$13:BT$13,0)+COUNTIF('Live Search'!BV$13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HB14">
        <f>IF($AX$14="",FALSE,SUMPRODUCT(('Final Calculation Sheet'!$H$4:$H$40=$AX$14)*($HA$6:$HA$42=1))&gt;0)</f>
        <v/>
      </c>
      <c r="HC14">
        <f>$HC$13+--($HB14)</f>
        <v/>
      </c>
      <c r="HD14">
        <f>IF(ROW()-3&gt;MAX($HC$4:$HC$40),"",INDEX($AX$4:$AX$40,MATCH(ROW()-3,$HC$4:$HC$40,0)))</f>
        <v/>
      </c>
      <c r="HE14">
        <f>IF(COUNTIF('Live Search'!BM$13:BU$13,0)+COUNTIF('Live Search'!BW$13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HF14">
        <f>IF($BC$14="",FALSE,SUMPRODUCT(('Final Calculation Sheet'!$I$4:$I$40=$BC$14)*($HE$6:$HE$42=1))&gt;0)</f>
        <v/>
      </c>
      <c r="HG14">
        <f>$HG$13+--($HF14)</f>
        <v/>
      </c>
      <c r="HH14">
        <f>IF(ROW()-3&gt;MAX($HG$4:$HG$40),"",INDEX($BC$4:$BC$40,MATCH(ROW()-3,$HG$4:$HG$40,0)))</f>
        <v/>
      </c>
      <c r="HI14">
        <f>IF(COUNTIF('Live Search'!BM$13:BV$13,0)+COUNTIF('Live Search'!BX$13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HJ14">
        <f>IF($BH$14="",FALSE,SUMPRODUCT(('Final Calculation Sheet'!$J$4:$J$40=$BH$14)*($HI$6:$HI$42=1))&gt;0)</f>
        <v/>
      </c>
      <c r="HK14">
        <f>$HK$13+--($HJ14)</f>
        <v/>
      </c>
      <c r="HL14">
        <f>IF(ROW()-3&gt;MAX($HK$4:$HK$40),"",INDEX($BH$4:$BH$40,MATCH(ROW()-3,$HK$4:$HK$40,0)))</f>
        <v/>
      </c>
      <c r="HM14">
        <f>IF(COUNTIF('Live Search'!BM$13:BW$13,0)+COUNTIF('Live Search'!BY$13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HN14">
        <f>IF($BM$14="",FALSE,SUMPRODUCT(('Final Calculation Sheet'!$K$4:$K$40=$BM$14)*($HM$6:$HM$42=1))&gt;0)</f>
        <v/>
      </c>
      <c r="HO14">
        <f>$HO$13+--($HN14)</f>
        <v/>
      </c>
      <c r="HP14">
        <f>IF(ROW()-3&gt;MAX($HO$4:$HO$40),"",INDEX($BM$4:$BM$40,MATCH(ROW()-3,$HO$4:$HO$40,0)))</f>
        <v/>
      </c>
      <c r="HQ14">
        <f>IF(COUNTIF('Live Search'!BM$13:BX$13,0)+COUNTIF('Live Search'!BZ$13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HR14">
        <f>IF($BR$14="",FALSE,SUMPRODUCT(('Final Calculation Sheet'!$L$4:$L$40=$BR$14)*($HQ$6:$HQ$42=1))&gt;0)</f>
        <v/>
      </c>
      <c r="HS14">
        <f>$HS$13+--($HR14)</f>
        <v/>
      </c>
      <c r="HT14">
        <f>IF(ROW()-3&gt;MAX($HS$4:$HS$40),"",INDEX($BR$4:$BR$40,MATCH(ROW()-3,$HS$4:$HS$40,0)))</f>
        <v/>
      </c>
      <c r="HU14">
        <f>IF(COUNTIF('Live Search'!BM$13:BY$13,0)+COUNTIF('Live Search'!CA$13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HV14">
        <f>IF($BW$14="",FALSE,SUMPRODUCT(('Final Calculation Sheet'!$M$4:$M$40=$BW$14)*($HU$6:$HU$42=1))&gt;0)</f>
        <v/>
      </c>
      <c r="HW14">
        <f>$HW$13+--($HV14)</f>
        <v/>
      </c>
      <c r="HX14">
        <f>IF(ROW()-3&gt;MAX($HW$4:$HW$40),"",INDEX($BW$4:$BW$40,MATCH(ROW()-3,$HW$4:$HW$40,0)))</f>
        <v/>
      </c>
      <c r="HY14">
        <f>IF(COUNTIF('Live Search'!BM$13:BZ$13,0)+COUNTIF('Live Search'!CB$13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HZ14">
        <f>IF($CB$14="",FALSE,SUMPRODUCT(('Final Calculation Sheet'!$N$4:$N$40=$CB$14)*($HY$6:$HY$42=1))&gt;0)</f>
        <v/>
      </c>
      <c r="IA14">
        <f>$IA$13+--($HZ14)</f>
        <v/>
      </c>
      <c r="IB14">
        <f>IF(ROW()-3&gt;MAX($IA$4:$IA$40),"",INDEX($CB$4:$CB$40,MATCH(ROW()-3,$IA$4:$IA$40,0)))</f>
        <v/>
      </c>
      <c r="IC14">
        <f>IF(COUNTIF('Live Search'!BM$13:CA$13,0)+COUNTIF('Live Search'!CC$13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ID14">
        <f>IF($CG$14="",FALSE,SUMPRODUCT(('Final Calculation Sheet'!$O$4:$O$40=$CG$14)*($IC$6:$IC$42=1))&gt;0)</f>
        <v/>
      </c>
      <c r="IE14">
        <f>$IE$13+--($ID14)</f>
        <v/>
      </c>
      <c r="IF14">
        <f>IF(ROW()-3&gt;MAX($IE$4:$IE$40),"",INDEX($CG$4:$CG$40,MATCH(ROW()-3,$IE$4:$IE$40,0)))</f>
        <v/>
      </c>
      <c r="IG14">
        <f>IF(COUNTIF('Live Search'!BM$13:CB$13,0)+COUNTIF('Live Search'!CD$13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IH14">
        <f>IF($CL$14="",FALSE,SUMPRODUCT(('Final Calculation Sheet'!$P$4:$P$40=$CL$14)*($IG$6:$IG$42=1))&gt;0)</f>
        <v/>
      </c>
      <c r="II14">
        <f>$II$13+--($IH14)</f>
        <v/>
      </c>
      <c r="IJ14">
        <f>IF(ROW()-3&gt;MAX($II$4:$II$40),"",INDEX($CL$4:$CL$40,MATCH(ROW()-3,$II$4:$II$40,0)))</f>
        <v/>
      </c>
      <c r="IK14">
        <f>IF(COUNTIF('Live Search'!BM$13:CC$13,0)+COUNTIF('Live Search'!CE$13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IL14">
        <f>IF($CQ$14="",FALSE,SUMPRODUCT(('Final Calculation Sheet'!$Q$4:$Q$40=$CQ$14)*($IK$6:$IK$42=1))&gt;0)</f>
        <v/>
      </c>
      <c r="IM14">
        <f>$IM$13+--($IL14)</f>
        <v/>
      </c>
      <c r="IN14">
        <f>IF(ROW()-3&gt;MAX($IM$4:$IM$40),"",INDEX($CQ$4:$CQ$40,MATCH(ROW()-3,$IM$4:$IM$40,0)))</f>
        <v/>
      </c>
      <c r="IO14">
        <f>IF(COUNTIF('Live Search'!BM$13:CD$13,0)+COUNTIF('Live Search'!CF$13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IP14">
        <f>IF($CV$14="",FALSE,SUMPRODUCT(('Final Calculation Sheet'!$R$4:$R$40=$CV$14)*($IO$6:$IO$42=1))&gt;0)</f>
        <v/>
      </c>
      <c r="IQ14">
        <f>$IQ$13+--($IP14)</f>
        <v/>
      </c>
      <c r="IR14">
        <f>IF(ROW()-3&gt;MAX($IQ$4:$IQ$40),"",INDEX($CV$4:$CV$40,MATCH(ROW()-3,$IQ$4:$IQ$40,0)))</f>
        <v/>
      </c>
      <c r="IS14">
        <f>IF(COUNTIF('Live Search'!BM$13:CE$13,0)+COUNTIF('Live Search'!CG$13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IT14">
        <f>IF($DA$14="",FALSE,SUMPRODUCT(('Final Calculation Sheet'!$S$4:$S$40=$DA$14)*($IS$6:$IS$42=1))&gt;0)</f>
        <v/>
      </c>
      <c r="IU14">
        <f>$IU$13+--($IT14)</f>
        <v/>
      </c>
      <c r="IV14">
        <f>IF(ROW()-3&gt;MAX($IU$4:$IU$40),"",INDEX($DA$4:$DA$40,MATCH(ROW()-3,$IU$4:$IU$40,0)))</f>
        <v/>
      </c>
      <c r="IW14">
        <f>IF(COUNTIF('Live Search'!BM$13:CF$13,0)+COUNTIF('Live Search'!CH$13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IX14">
        <f>IF($DF$14="",FALSE,SUMPRODUCT(('Final Calculation Sheet'!$T$4:$T$40=$DF$14)*($IW$6:$IW$42=1))&gt;0)</f>
        <v/>
      </c>
      <c r="IY14">
        <f>$IY$13+--($IX14)</f>
        <v/>
      </c>
      <c r="IZ14">
        <f>IF(ROW()-3&gt;MAX($IY$4:$IY$40),"",INDEX($DF$4:$DF$40,MATCH(ROW()-3,$IY$4:$IY$40,0)))</f>
        <v/>
      </c>
      <c r="JA14">
        <f>IF(COUNTIF('Live Search'!BM$13:CG$13,0)+COUNTIF('Live Search'!CI$13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JB14">
        <f>IF($DK$14="",FALSE,SUMPRODUCT(('Final Calculation Sheet'!$U$4:$U$40=$DK$14)*($JA$6:$JA$42=1))&gt;0)</f>
        <v/>
      </c>
      <c r="JC14">
        <f>$JC$13+--($JB14)</f>
        <v/>
      </c>
      <c r="JD14">
        <f>IF(ROW()-3&gt;MAX($JC$4:$JC$40),"",INDEX($DK$4:$DK$40,MATCH(ROW()-3,$JC$4:$JC$40,0)))</f>
        <v/>
      </c>
      <c r="JE14">
        <f>IF(COUNTIF('Live Search'!BM$13:CH$13,0)+COUNTIF('Live Search'!CJ$13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JF14">
        <f>IF($DP$14="",FALSE,SUMPRODUCT(('Final Calculation Sheet'!$V$4:$V$40=$DP$14)*($JE$6:$JE$42=1))&gt;0)</f>
        <v/>
      </c>
      <c r="JG14">
        <f>$JG$13+--($JF14)</f>
        <v/>
      </c>
      <c r="JH14">
        <f>IF(ROW()-3&gt;MAX($JG$4:$JG$40),"",INDEX($DP$4:$DP$40,MATCH(ROW()-3,$JG$4:$JG$40,0)))</f>
        <v/>
      </c>
      <c r="JI14">
        <f>IF(COUNTIF('Live Search'!BM$13:CI$13,0)+COUNTIF('Live Search'!CK$13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JJ14">
        <f>IF($DU$14="",FALSE,SUMPRODUCT(('Final Calculation Sheet'!$W$4:$W$40=$DU$14)*($JI$6:$JI$42=1))&gt;0)</f>
        <v/>
      </c>
      <c r="JK14">
        <f>$JK$13+--($JJ14)</f>
        <v/>
      </c>
      <c r="JL14">
        <f>IF(ROW()-3&gt;MAX($JK$4:$JK$40),"",INDEX($DU$4:$DU$40,MATCH(ROW()-3,$JK$4:$JK$40,0)))</f>
        <v/>
      </c>
      <c r="JM14">
        <f>IF(COUNTIF('Live Search'!BM$13:CJ$13,0)+COUNTIF('Live Search'!CL$13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JN14">
        <f>IF($DZ$14="",FALSE,SUMPRODUCT(('Final Calculation Sheet'!$X$4:$X$40=$DZ$14)*($JM$6:$JM$42=1))&gt;0)</f>
        <v/>
      </c>
      <c r="JO14">
        <f>$JO$13+--($JN14)</f>
        <v/>
      </c>
      <c r="JP14">
        <f>IF(ROW()-3&gt;MAX($JO$4:$JO$40),"",INDEX($DZ$4:$DZ$40,MATCH(ROW()-3,$JO$4:$JO$40,0)))</f>
        <v/>
      </c>
      <c r="JQ14">
        <f>IF(COUNTIF('Live Search'!BM$13:CK$13,0)+COUNTIF('Live Search'!CM$13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JR14">
        <f>IF($EE$14="",FALSE,SUMPRODUCT(('Final Calculation Sheet'!$Y$4:$Y$40=$EE$14)*($JQ$6:$JQ$42=1))&gt;0)</f>
        <v/>
      </c>
      <c r="JS14">
        <f>$JS$13+--($JR14)</f>
        <v/>
      </c>
      <c r="JT14">
        <f>IF(ROW()-3&gt;MAX($JS$4:$JS$40),"",INDEX($EE$4:$EE$40,MATCH(ROW()-3,$JS$4:$JS$40,0)))</f>
        <v/>
      </c>
      <c r="JU14">
        <f>IF(COUNTIF('Live Search'!BM$13:CL$13,0)+COUNTIF('Live Search'!CN$13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JV14">
        <f>IF($EJ$14="",FALSE,SUMPRODUCT(('Final Calculation Sheet'!$Z$4:$Z$40=$EJ$14)*($JU$6:$JU$42=1))&gt;0)</f>
        <v/>
      </c>
      <c r="JW14">
        <f>$JW$13+--($JV14)</f>
        <v/>
      </c>
      <c r="JX14">
        <f>IF(ROW()-3&gt;MAX($JW$4:$JW$40),"",INDEX($EJ$4:$EJ$40,MATCH(ROW()-3,$JW$4:$JW$40,0)))</f>
        <v/>
      </c>
      <c r="JY14">
        <f>IF(COUNTIF('Live Search'!BM$13:CM$13,0)+COUNTIF('Live Search'!CO$13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JZ14">
        <f>IF($EO$14="",FALSE,SUMPRODUCT(('Final Calculation Sheet'!$AA$4:$AA$40=$EO$14)*($JY$6:$JY$42=1))&gt;0)</f>
        <v/>
      </c>
      <c r="KA14">
        <f>$KA$13+--($JZ14)</f>
        <v/>
      </c>
      <c r="KB14">
        <f>IF(ROW()-3&gt;MAX($KA$4:$KA$40),"",INDEX($EO$4:$EO$40,MATCH(ROW()-3,$KA$4:$KA$40,0)))</f>
        <v/>
      </c>
      <c r="KC14">
        <f>IF(COUNTIF('Live Search'!BM$13:CN$13,0)+COUNTIF('Live Search'!CP$13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KD14">
        <f>IF($ET$14="",FALSE,SUMPRODUCT(('Final Calculation Sheet'!$AB$4:$AB$40=$ET$14)*($KC$6:$KC$42=1))&gt;0)</f>
        <v/>
      </c>
      <c r="KE14">
        <f>$KE$13+--($KD14)</f>
        <v/>
      </c>
      <c r="KF14">
        <f>IF(ROW()-3&gt;MAX($KE$4:$KE$40),"",INDEX($ET$4:$ET$40,MATCH(ROW()-3,$KE$4:$KE$40,0)))</f>
        <v/>
      </c>
      <c r="KG14">
        <f>IF(COUNTIF('Live Search'!BM$13:CO$13,0)+COUNTIF('Live Search'!CQ$13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KH14">
        <f>IF($EY$14="",FALSE,SUMPRODUCT(('Final Calculation Sheet'!$AC$4:$AC$40=$EY$14)*($KG$6:$KG$42=1))&gt;0)</f>
        <v/>
      </c>
      <c r="KI14">
        <f>$KI$13+--($KH14)</f>
        <v/>
      </c>
      <c r="KJ14">
        <f>IF(ROW()-3&gt;MAX($KI$4:$KI$40),"",INDEX($EY$4:$EY$40,MATCH(ROW()-3,$KI$4:$KI$40,0)))</f>
        <v/>
      </c>
      <c r="KK14">
        <f>IF(COUNTIF('Live Search'!BM$13:CP$13,0)+COUNTIF('Live Search'!CR$13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KL14">
        <f>IF($FD$14="",FALSE,SUMPRODUCT(('Final Calculation Sheet'!$AD$4:$AD$40=$FD$14)*($KK$6:$KK$42=1))&gt;0)</f>
        <v/>
      </c>
      <c r="KM14">
        <f>$KM$13+--($KL14)</f>
        <v/>
      </c>
      <c r="KN14">
        <f>IF(ROW()-3&gt;MAX($KM$4:$KM$40),"",INDEX($FD$4:$FD$40,MATCH(ROW()-3,$KM$4:$KM$40,0)))</f>
        <v/>
      </c>
      <c r="KO14">
        <f>IF(COUNTIF('Live Search'!BM$13:CT$13,0)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KP14">
        <f>IF($FX$14="",FALSE,SUMPRODUCT((IF('Final Calculation Sheet'!$AD$4:$AD$40&lt;=5,"SETTLED","OUTSTANDING")=$FX$14)*($KO$6:$KO$42=1))&gt;0)</f>
        <v/>
      </c>
      <c r="KQ14">
        <f>$KQ$13+--($KP14)</f>
        <v/>
      </c>
      <c r="KR14">
        <f>IF(ROW()-3&gt;MAX($KQ$4:$KQ$40),"",INDEX($FX$4:$FX$40,MATCH(ROW()-3,$KQ$4:$KQ$40,0)))</f>
        <v/>
      </c>
      <c r="KS14">
        <f>IF(COUNTIF('Live Search'!BM$13:CQ$13,0)+COUNTIF('Live Search'!CS$13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KT14">
        <f>IF($FI$14="",FALSE,SUMPRODUCT(('Final Calculation Sheet'!$AF$4:$AF$40=$FI$14)*($KS$6:$KS$42=1))&gt;0)</f>
        <v/>
      </c>
      <c r="KU14">
        <f>$KU$13+--($KT14)</f>
        <v/>
      </c>
      <c r="KV14">
        <f>IF(ROW()-3&gt;MAX($KU$4:$KU$40),"",INDEX($FI$4:$FI$40,MATCH(ROW()-3,$KU$4:$KU$40,0)))</f>
        <v/>
      </c>
      <c r="KW14">
        <f>IF(COUNTIF('Live Search'!BM$13:CR$13,0)+COUNTIF('Live Search'!CT$13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KX14">
        <f>IF($FN$14="",FALSE,SUMPRODUCT(('Final Calculation Sheet'!$AG$4:$AG$40=$FN$14)*($KW$6:$KW$42=1))&gt;0)</f>
        <v/>
      </c>
      <c r="KY14">
        <f>$KY$13+--($KX14)</f>
        <v/>
      </c>
      <c r="KZ14">
        <f>IF(ROW()-3&gt;MAX($KY$4:$KY$40),"",INDEX($FN$4:$FN$40,MATCH(ROW()-3,$KY$4:$KY$40,0)))</f>
        <v/>
      </c>
      <c r="LA14">
        <f>IF(COUNTIF('Live Search'!BM$13:CS$13,0)+COUNTIF('Live Search'!CU$13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LB14">
        <f>IF($FS$14="",FALSE,SUMPRODUCT(('Final Calculation Sheet'!$AH$4:$AH$40=$FS$14)*($LA$6:$LA$42=1))&gt;0)</f>
        <v/>
      </c>
      <c r="LC14">
        <f>$LC$13+--($LB14)</f>
        <v/>
      </c>
      <c r="LD14">
        <f>IF(ROW()-3&gt;MAX($LC$4:$LC$40),"",INDEX($FS$4:$FS$40,MATCH(ROW()-3,$LC$4:$LC$40,0)))</f>
        <v/>
      </c>
      <c r="LE14">
        <f>IF(COUNTIF('Buyer Groups'!DH67:EN67,0)&gt;0,0,1)</f>
        <v/>
      </c>
      <c r="LF14">
        <f>IF($O$14="",FALSE,SUMPRODUCT(('Final Calculation Sheet'!$F$4:$F$40=$O$14)*($LE$6:$LE$42=1))&gt;0)</f>
        <v/>
      </c>
      <c r="LG14">
        <f>$LG$13+--($LF14)</f>
        <v/>
      </c>
      <c r="LH14">
        <f>IF(ROW()-3&gt;MAX($LG$4:$LG$40),"",INDEX($O$4:$O$40,MATCH(ROW()-3,$LG$4:$LG$40,0)))</f>
        <v/>
      </c>
      <c r="LI14">
        <f>IF(COUNTIF('Buyer Groups'!DG67:DG67,0)+COUNTIF('Buyer Groups'!DI67:EN67,0)&gt;0,0,1)</f>
        <v/>
      </c>
      <c r="LJ14">
        <f>IF($T$14="",FALSE,SUMPRODUCT(('Final Calculation Sheet'!$G$4:$G$40=$T$14)*($LI$6:$LI$42=1))&gt;0)</f>
        <v/>
      </c>
      <c r="LK14">
        <f>$LK$13+--($LJ14)</f>
        <v/>
      </c>
      <c r="LL14">
        <f>IF(ROW()-3&gt;MAX($LK$4:$LK$40),"",INDEX($T$4:$T$40,MATCH(ROW()-3,$LK$4:$LK$40,0)))</f>
        <v/>
      </c>
      <c r="LM14">
        <f>IF(COUNTIF('Buyer Groups'!DG67:DH67,0)+COUNTIF('Buyer Groups'!DJ67:EN67,0)&gt;0,0,1)</f>
        <v/>
      </c>
      <c r="LN14">
        <f>IF($Y$14="",FALSE,SUMPRODUCT(('Final Calculation Sheet'!$B$4:$B$40=$Y$14)*($LM$6:$LM$42=1))&gt;0)</f>
        <v/>
      </c>
      <c r="LO14">
        <f>$LO$13+--($LN14)</f>
        <v/>
      </c>
      <c r="LP14">
        <f>IF(ROW()-3&gt;MAX($LO$4:$LO$40),"",INDEX($Y$4:$Y$40,MATCH(ROW()-3,$LO$4:$LO$40,0)))</f>
        <v/>
      </c>
      <c r="LQ14">
        <f>IF(COUNTIF('Buyer Groups'!DG67:DI67,0)+COUNTIF('Buyer Groups'!DK67:EN67,0)&gt;0,0,1)</f>
        <v/>
      </c>
      <c r="LR14">
        <f>IF($AD$14="",FALSE,SUMPRODUCT(('Final Calculation Sheet'!$D$4:$D$40=$AD$14)*($LQ$6:$LQ$42=1))&gt;0)</f>
        <v/>
      </c>
      <c r="LS14">
        <f>$LS$13+--($LR14)</f>
        <v/>
      </c>
      <c r="LT14">
        <f>IF(ROW()-3&gt;MAX($LS$4:$LS$40),"",INDEX($AD$4:$AD$40,MATCH(ROW()-3,$LS$4:$LS$40,0)))</f>
        <v/>
      </c>
      <c r="LU14">
        <f>IF(COUNTIF('Buyer Groups'!DG67:DJ67,0)+COUNTIF('Buyer Groups'!DL67:EN67,0)&gt;0,0,1)</f>
        <v/>
      </c>
      <c r="LV14">
        <f>IF($AI$14="",FALSE,SUMPRODUCT(('Final Calculation Sheet'!$A$4:$A$40=$AI$14)*($LU$6:$LU$42=1))&gt;0)</f>
        <v/>
      </c>
      <c r="LW14">
        <f>$LW$13+--($LV14)</f>
        <v/>
      </c>
      <c r="LX14">
        <f>IF(ROW()-3&gt;MAX($LW$4:$LW$40),"",INDEX($AI$4:$AI$40,MATCH(ROW()-3,$LW$4:$LW$40,0)))</f>
        <v/>
      </c>
      <c r="LY14">
        <f>IF(COUNTIF('Buyer Groups'!DG67:DK67,0)+COUNTIF('Buyer Groups'!DM67:EN67,0)&gt;0,0,1)</f>
        <v/>
      </c>
      <c r="LZ14">
        <f>IF($AN$14="",FALSE,SUMPRODUCT(('Final Calculation Sheet'!$E$4:$E$40=$AN$14)*($LY$6:$LY$42=1))&gt;0)</f>
        <v/>
      </c>
      <c r="MA14">
        <f>$MA$13+--($LZ14)</f>
        <v/>
      </c>
      <c r="MB14">
        <f>IF(ROW()-3&gt;MAX($MA$4:$MA$40),"",INDEX($AN$4:$AN$40,MATCH(ROW()-3,$MA$4:$MA$40,0)))</f>
        <v/>
      </c>
      <c r="MC14">
        <f>IF(COUNTIF('Buyer Groups'!DG67:DL67,0)+COUNTIF('Buyer Groups'!DN67:EN67,0)&gt;0,0,1)</f>
        <v/>
      </c>
      <c r="MD14">
        <f>IF($AS$14="",FALSE,SUMPRODUCT(('Final Calculation Sheet'!$C$4:$C$40=$AS$14)*($MC$6:$MC$42=1))&gt;0)</f>
        <v/>
      </c>
      <c r="ME14">
        <f>$ME$13+--($MD14)</f>
        <v/>
      </c>
      <c r="MF14">
        <f>IF(ROW()-3&gt;MAX($ME$4:$ME$40),"",INDEX($AS$4:$AS$40,MATCH(ROW()-3,$ME$4:$ME$40,0)))</f>
        <v/>
      </c>
      <c r="MG14">
        <f>IF(COUNTIF('Buyer Groups'!DG67:DM67,0)+COUNTIF('Buyer Groups'!DO67:EN67,0)&gt;0,0,1)</f>
        <v/>
      </c>
      <c r="MH14">
        <f>IF($AX$14="",FALSE,SUMPRODUCT(('Final Calculation Sheet'!$H$4:$H$40=$AX$14)*($MG$6:$MG$42=1))&gt;0)</f>
        <v/>
      </c>
      <c r="MI14">
        <f>$MI$13+--($MH14)</f>
        <v/>
      </c>
      <c r="MJ14">
        <f>IF(ROW()-3&gt;MAX($MI$4:$MI$40),"",INDEX($AX$4:$AX$40,MATCH(ROW()-3,$MI$4:$MI$40,0)))</f>
        <v/>
      </c>
      <c r="MK14">
        <f>IF(COUNTIF('Buyer Groups'!DG67:DN67,0)+COUNTIF('Buyer Groups'!DP67:EN67,0)&gt;0,0,1)</f>
        <v/>
      </c>
      <c r="ML14">
        <f>IF($BC$14="",FALSE,SUMPRODUCT(('Final Calculation Sheet'!$I$4:$I$40=$BC$14)*($MK$6:$MK$42=1))&gt;0)</f>
        <v/>
      </c>
      <c r="MM14">
        <f>$MM$13+--($ML14)</f>
        <v/>
      </c>
      <c r="MN14">
        <f>IF(ROW()-3&gt;MAX($MM$4:$MM$40),"",INDEX($BC$4:$BC$40,MATCH(ROW()-3,$MM$4:$MM$40,0)))</f>
        <v/>
      </c>
      <c r="MO14">
        <f>IF(COUNTIF('Buyer Groups'!DG67:DO67,0)+COUNTIF('Buyer Groups'!DQ67:EN67,0)&gt;0,0,1)</f>
        <v/>
      </c>
      <c r="MP14">
        <f>IF($BH$14="",FALSE,SUMPRODUCT(('Final Calculation Sheet'!$J$4:$J$40=$BH$14)*($MO$6:$MO$42=1))&gt;0)</f>
        <v/>
      </c>
      <c r="MQ14">
        <f>$MQ$13+--($MP14)</f>
        <v/>
      </c>
      <c r="MR14">
        <f>IF(ROW()-3&gt;MAX($MQ$4:$MQ$40),"",INDEX($BH$4:$BH$40,MATCH(ROW()-3,$MQ$4:$MQ$40,0)))</f>
        <v/>
      </c>
      <c r="MS14">
        <f>IF(COUNTIF('Buyer Groups'!DG67:DP67,0)+COUNTIF('Buyer Groups'!DR67:EN67,0)&gt;0,0,1)</f>
        <v/>
      </c>
      <c r="MT14">
        <f>IF($BM$14="",FALSE,SUMPRODUCT(('Final Calculation Sheet'!$K$4:$K$40=$BM$14)*($MS$6:$MS$42=1))&gt;0)</f>
        <v/>
      </c>
      <c r="MU14">
        <f>$MU$13+--($MT14)</f>
        <v/>
      </c>
      <c r="MV14">
        <f>IF(ROW()-3&gt;MAX($MU$4:$MU$40),"",INDEX($BM$4:$BM$40,MATCH(ROW()-3,$MU$4:$MU$40,0)))</f>
        <v/>
      </c>
      <c r="MW14">
        <f>IF(COUNTIF('Buyer Groups'!DG67:DQ67,0)+COUNTIF('Buyer Groups'!DS67:EN67,0)&gt;0,0,1)</f>
        <v/>
      </c>
      <c r="MX14">
        <f>IF($BR$14="",FALSE,SUMPRODUCT(('Final Calculation Sheet'!$L$4:$L$40=$BR$14)*($MW$6:$MW$42=1))&gt;0)</f>
        <v/>
      </c>
      <c r="MY14">
        <f>$MY$13+--($MX14)</f>
        <v/>
      </c>
      <c r="MZ14">
        <f>IF(ROW()-3&gt;MAX($MY$4:$MY$40),"",INDEX($BR$4:$BR$40,MATCH(ROW()-3,$MY$4:$MY$40,0)))</f>
        <v/>
      </c>
      <c r="NA14">
        <f>IF(COUNTIF('Buyer Groups'!DG67:DR67,0)+COUNTIF('Buyer Groups'!DT67:EN67,0)&gt;0,0,1)</f>
        <v/>
      </c>
      <c r="NB14">
        <f>IF($BW$14="",FALSE,SUMPRODUCT(('Final Calculation Sheet'!$M$4:$M$40=$BW$14)*($NA$6:$NA$42=1))&gt;0)</f>
        <v/>
      </c>
      <c r="NC14">
        <f>$NC$13+--($NB14)</f>
        <v/>
      </c>
      <c r="ND14">
        <f>IF(ROW()-3&gt;MAX($NC$4:$NC$40),"",INDEX($BW$4:$BW$40,MATCH(ROW()-3,$NC$4:$NC$40,0)))</f>
        <v/>
      </c>
      <c r="NE14">
        <f>IF(COUNTIF('Buyer Groups'!DG67:DS67,0)+COUNTIF('Buyer Groups'!DU67:EN67,0)&gt;0,0,1)</f>
        <v/>
      </c>
      <c r="NF14">
        <f>IF($CB$14="",FALSE,SUMPRODUCT(('Final Calculation Sheet'!$N$4:$N$40=$CB$14)*($NE$6:$NE$42=1))&gt;0)</f>
        <v/>
      </c>
      <c r="NG14">
        <f>$NG$13+--($NF14)</f>
        <v/>
      </c>
      <c r="NH14">
        <f>IF(ROW()-3&gt;MAX($NG$4:$NG$40),"",INDEX($CB$4:$CB$40,MATCH(ROW()-3,$NG$4:$NG$40,0)))</f>
        <v/>
      </c>
      <c r="NI14">
        <f>IF(COUNTIF('Buyer Groups'!DG67:DT67,0)+COUNTIF('Buyer Groups'!DV67:EN67,0)&gt;0,0,1)</f>
        <v/>
      </c>
      <c r="NJ14">
        <f>IF($CG$14="",FALSE,SUMPRODUCT(('Final Calculation Sheet'!$O$4:$O$40=$CG$14)*($NI$6:$NI$42=1))&gt;0)</f>
        <v/>
      </c>
      <c r="NK14">
        <f>$NK$13+--($NJ14)</f>
        <v/>
      </c>
      <c r="NL14">
        <f>IF(ROW()-3&gt;MAX($NK$4:$NK$40),"",INDEX($CG$4:$CG$40,MATCH(ROW()-3,$NK$4:$NK$40,0)))</f>
        <v/>
      </c>
      <c r="NM14">
        <f>IF(COUNTIF('Buyer Groups'!DG67:DU67,0)+COUNTIF('Buyer Groups'!DW67:EN67,0)&gt;0,0,1)</f>
        <v/>
      </c>
      <c r="NN14">
        <f>IF($CL$14="",FALSE,SUMPRODUCT(('Final Calculation Sheet'!$P$4:$P$40=$CL$14)*($NM$6:$NM$42=1))&gt;0)</f>
        <v/>
      </c>
      <c r="NO14">
        <f>$NO$13+--($NN14)</f>
        <v/>
      </c>
      <c r="NP14">
        <f>IF(ROW()-3&gt;MAX($NO$4:$NO$40),"",INDEX($CL$4:$CL$40,MATCH(ROW()-3,$NO$4:$NO$40,0)))</f>
        <v/>
      </c>
      <c r="NQ14">
        <f>IF(COUNTIF('Buyer Groups'!DG67:DV67,0)+COUNTIF('Buyer Groups'!DX67:EN67,0)&gt;0,0,1)</f>
        <v/>
      </c>
      <c r="NR14">
        <f>IF($CQ$14="",FALSE,SUMPRODUCT(('Final Calculation Sheet'!$Q$4:$Q$40=$CQ$14)*($NQ$6:$NQ$42=1))&gt;0)</f>
        <v/>
      </c>
      <c r="NS14">
        <f>$NS$13+--($NR14)</f>
        <v/>
      </c>
      <c r="NT14">
        <f>IF(ROW()-3&gt;MAX($NS$4:$NS$40),"",INDEX($CQ$4:$CQ$40,MATCH(ROW()-3,$NS$4:$NS$40,0)))</f>
        <v/>
      </c>
      <c r="NU14">
        <f>IF(COUNTIF('Buyer Groups'!DG67:DW67,0)+COUNTIF('Buyer Groups'!DY67:EN67,0)&gt;0,0,1)</f>
        <v/>
      </c>
      <c r="NV14">
        <f>IF($CV$14="",FALSE,SUMPRODUCT(('Final Calculation Sheet'!$R$4:$R$40=$CV$14)*($NU$6:$NU$42=1))&gt;0)</f>
        <v/>
      </c>
      <c r="NW14">
        <f>$NW$13+--($NV14)</f>
        <v/>
      </c>
      <c r="NX14">
        <f>IF(ROW()-3&gt;MAX($NW$4:$NW$40),"",INDEX($CV$4:$CV$40,MATCH(ROW()-3,$NW$4:$NW$40,0)))</f>
        <v/>
      </c>
      <c r="NY14">
        <f>IF(COUNTIF('Buyer Groups'!DG67:DX67,0)+COUNTIF('Buyer Groups'!DZ67:EN67,0)&gt;0,0,1)</f>
        <v/>
      </c>
      <c r="NZ14">
        <f>IF($DA$14="",FALSE,SUMPRODUCT(('Final Calculation Sheet'!$S$4:$S$40=$DA$14)*($NY$6:$NY$42=1))&gt;0)</f>
        <v/>
      </c>
      <c r="OA14">
        <f>$OA$13+--($NZ14)</f>
        <v/>
      </c>
      <c r="OB14">
        <f>IF(ROW()-3&gt;MAX($OA$4:$OA$40),"",INDEX($DA$4:$DA$40,MATCH(ROW()-3,$OA$4:$OA$40,0)))</f>
        <v/>
      </c>
      <c r="OC14">
        <f>IF(COUNTIF('Buyer Groups'!DG67:DY67,0)+COUNTIF('Buyer Groups'!EA67:EN67,0)&gt;0,0,1)</f>
        <v/>
      </c>
      <c r="OD14">
        <f>IF($DF$14="",FALSE,SUMPRODUCT(('Final Calculation Sheet'!$T$4:$T$40=$DF$14)*($OC$6:$OC$42=1))&gt;0)</f>
        <v/>
      </c>
      <c r="OE14">
        <f>$OE$13+--($OD14)</f>
        <v/>
      </c>
      <c r="OF14">
        <f>IF(ROW()-3&gt;MAX($OE$4:$OE$40),"",INDEX($DF$4:$DF$40,MATCH(ROW()-3,$OE$4:$OE$40,0)))</f>
        <v/>
      </c>
      <c r="OG14">
        <f>IF(COUNTIF('Buyer Groups'!DG67:DZ67,0)+COUNTIF('Buyer Groups'!EB67:EN67,0)&gt;0,0,1)</f>
        <v/>
      </c>
      <c r="OH14">
        <f>IF($DK$14="",FALSE,SUMPRODUCT(('Final Calculation Sheet'!$U$4:$U$40=$DK$14)*($OG$6:$OG$42=1))&gt;0)</f>
        <v/>
      </c>
      <c r="OI14">
        <f>$OI$13+--($OH14)</f>
        <v/>
      </c>
      <c r="OJ14">
        <f>IF(ROW()-3&gt;MAX($OI$4:$OI$40),"",INDEX($DK$4:$DK$40,MATCH(ROW()-3,$OI$4:$OI$40,0)))</f>
        <v/>
      </c>
      <c r="OK14">
        <f>IF(COUNTIF('Buyer Groups'!DG67:EA67,0)+COUNTIF('Buyer Groups'!EC67:EN67,0)&gt;0,0,1)</f>
        <v/>
      </c>
      <c r="OL14">
        <f>IF($DP$14="",FALSE,SUMPRODUCT(('Final Calculation Sheet'!$V$4:$V$40=$DP$14)*($OK$6:$OK$42=1))&gt;0)</f>
        <v/>
      </c>
      <c r="OM14">
        <f>$OM$13+--($OL14)</f>
        <v/>
      </c>
      <c r="ON14">
        <f>IF(ROW()-3&gt;MAX($OM$4:$OM$40),"",INDEX($DP$4:$DP$40,MATCH(ROW()-3,$OM$4:$OM$40,0)))</f>
        <v/>
      </c>
      <c r="OO14">
        <f>IF(COUNTIF('Buyer Groups'!DG67:EB67,0)+COUNTIF('Buyer Groups'!ED67:EN67,0)&gt;0,0,1)</f>
        <v/>
      </c>
      <c r="OP14">
        <f>IF($DU$14="",FALSE,SUMPRODUCT(('Final Calculation Sheet'!$W$4:$W$40=$DU$14)*($OO$6:$OO$42=1))&gt;0)</f>
        <v/>
      </c>
      <c r="OQ14">
        <f>$OQ$13+--($OP14)</f>
        <v/>
      </c>
      <c r="OR14">
        <f>IF(ROW()-3&gt;MAX($OQ$4:$OQ$40),"",INDEX($DU$4:$DU$40,MATCH(ROW()-3,$OQ$4:$OQ$40,0)))</f>
        <v/>
      </c>
      <c r="OS14">
        <f>IF(COUNTIF('Buyer Groups'!DG67:EC67,0)+COUNTIF('Buyer Groups'!EE67:EN67,0)&gt;0,0,1)</f>
        <v/>
      </c>
      <c r="OT14">
        <f>IF($DZ$14="",FALSE,SUMPRODUCT(('Final Calculation Sheet'!$X$4:$X$40=$DZ$14)*($OS$6:$OS$42=1))&gt;0)</f>
        <v/>
      </c>
      <c r="OU14">
        <f>$OU$13+--($OT14)</f>
        <v/>
      </c>
      <c r="OV14">
        <f>IF(ROW()-3&gt;MAX($OU$4:$OU$40),"",INDEX($DZ$4:$DZ$40,MATCH(ROW()-3,$OU$4:$OU$40,0)))</f>
        <v/>
      </c>
      <c r="OW14">
        <f>IF(COUNTIF('Buyer Groups'!DG67:ED67,0)+COUNTIF('Buyer Groups'!EF67:EN67,0)&gt;0,0,1)</f>
        <v/>
      </c>
      <c r="OX14">
        <f>IF($EE$14="",FALSE,SUMPRODUCT(('Final Calculation Sheet'!$Y$4:$Y$40=$EE$14)*($OW$6:$OW$42=1))&gt;0)</f>
        <v/>
      </c>
      <c r="OY14">
        <f>$OY$13+--($OX14)</f>
        <v/>
      </c>
      <c r="OZ14">
        <f>IF(ROW()-3&gt;MAX($OY$4:$OY$40),"",INDEX($EE$4:$EE$40,MATCH(ROW()-3,$OY$4:$OY$40,0)))</f>
        <v/>
      </c>
      <c r="PA14">
        <f>IF(COUNTIF('Buyer Groups'!DG67:EE67,0)+COUNTIF('Buyer Groups'!EG67:EN67,0)&gt;0,0,1)</f>
        <v/>
      </c>
      <c r="PB14">
        <f>IF($EJ$14="",FALSE,SUMPRODUCT(('Final Calculation Sheet'!$Z$4:$Z$40=$EJ$14)*($PA$6:$PA$42=1))&gt;0)</f>
        <v/>
      </c>
      <c r="PC14">
        <f>$PC$13+--($PB14)</f>
        <v/>
      </c>
      <c r="PD14">
        <f>IF(ROW()-3&gt;MAX($PC$4:$PC$40),"",INDEX($EJ$4:$EJ$40,MATCH(ROW()-3,$PC$4:$PC$40,0)))</f>
        <v/>
      </c>
      <c r="PE14">
        <f>IF(COUNTIF('Buyer Groups'!DG67:EF67,0)+COUNTIF('Buyer Groups'!EH67:EN67,0)&gt;0,0,1)</f>
        <v/>
      </c>
      <c r="PF14">
        <f>IF($EO$14="",FALSE,SUMPRODUCT(('Final Calculation Sheet'!$AA$4:$AA$40=$EO$14)*($PE$6:$PE$42=1))&gt;0)</f>
        <v/>
      </c>
      <c r="PG14">
        <f>$PG$13+--($PF14)</f>
        <v/>
      </c>
      <c r="PH14">
        <f>IF(ROW()-3&gt;MAX($PG$4:$PG$40),"",INDEX($EO$4:$EO$40,MATCH(ROW()-3,$PG$4:$PG$40,0)))</f>
        <v/>
      </c>
      <c r="PI14">
        <f>IF(COUNTIF('Buyer Groups'!DG67:EG67,0)+COUNTIF('Buyer Groups'!EI67:EN67,0)&gt;0,0,1)</f>
        <v/>
      </c>
      <c r="PJ14">
        <f>IF($ET$14="",FALSE,SUMPRODUCT(('Final Calculation Sheet'!$AB$4:$AB$40=$ET$14)*($PI$6:$PI$42=1))&gt;0)</f>
        <v/>
      </c>
      <c r="PK14">
        <f>$PK$13+--($PJ14)</f>
        <v/>
      </c>
      <c r="PL14">
        <f>IF(ROW()-3&gt;MAX($PK$4:$PK$40),"",INDEX($ET$4:$ET$40,MATCH(ROW()-3,$PK$4:$PK$40,0)))</f>
        <v/>
      </c>
      <c r="PM14">
        <f>IF(COUNTIF('Buyer Groups'!DG67:EH67,0)+COUNTIF('Buyer Groups'!EJ67:EN67,0)&gt;0,0,1)</f>
        <v/>
      </c>
      <c r="PN14">
        <f>IF($EY$14="",FALSE,SUMPRODUCT(('Final Calculation Sheet'!$AC$4:$AC$40=$EY$14)*($PM$6:$PM$42=1))&gt;0)</f>
        <v/>
      </c>
      <c r="PO14">
        <f>$PO$13+--($PN14)</f>
        <v/>
      </c>
      <c r="PP14">
        <f>IF(ROW()-3&gt;MAX($PO$4:$PO$40),"",INDEX($EY$4:$EY$40,MATCH(ROW()-3,$PO$4:$PO$40,0)))</f>
        <v/>
      </c>
      <c r="PQ14">
        <f>IF(COUNTIF('Buyer Groups'!DG67:EI67,0)+COUNTIF('Buyer Groups'!EK67:EN67,0)&gt;0,0,1)</f>
        <v/>
      </c>
      <c r="PR14">
        <f>IF($FD$14="",FALSE,SUMPRODUCT(('Final Calculation Sheet'!$AD$4:$AD$40=$FD$14)*($PQ$6:$PQ$42=1))&gt;0)</f>
        <v/>
      </c>
      <c r="PS14">
        <f>$PS$13+--($PR14)</f>
        <v/>
      </c>
      <c r="PT14">
        <f>IF(ROW()-3&gt;MAX($PS$4:$PS$40),"",INDEX($FD$4:$FD$40,MATCH(ROW()-3,$PS$4:$PS$40,0)))</f>
        <v/>
      </c>
      <c r="PU14">
        <f>IF(COUNTIF('Buyer Groups'!DG67:EJ67,0)+COUNTIF('Buyer Groups'!EL67:EN67,0)&gt;0,0,1)</f>
        <v/>
      </c>
      <c r="PV14">
        <f>IF($FX$14="",FALSE,SUMPRODUCT((IF('Final Calculation Sheet'!$AD$4:$AD$40&lt;=5,"SETTLED","OUTSTANDING")=$FX$14)*($PU$6:$PU$42=1))&gt;0)</f>
        <v/>
      </c>
      <c r="PW14">
        <f>$PW$13+--($PV14)</f>
        <v/>
      </c>
      <c r="PX14">
        <f>IF(ROW()-3&gt;MAX($PW$4:$PW$40),"",INDEX($FX$4:$FX$40,MATCH(ROW()-3,$PW$4:$PW$40,0)))</f>
        <v/>
      </c>
      <c r="PY14">
        <f>IF(COUNTIF('Buyer Groups'!DG67:EK67,0)+COUNTIF('Buyer Groups'!EM67:EN67,0)&gt;0,0,1)</f>
        <v/>
      </c>
      <c r="PZ14">
        <f>IF($FI$14="",FALSE,SUMPRODUCT(('Final Calculation Sheet'!$AF$4:$AF$40=$FI$14)*($PY$6:$PY$42=1))&gt;0)</f>
        <v/>
      </c>
      <c r="QA14">
        <f>$QA$13+--($PZ14)</f>
        <v/>
      </c>
      <c r="QB14">
        <f>IF(ROW()-3&gt;MAX($QA$4:$QA$40),"",INDEX($FI$4:$FI$40,MATCH(ROW()-3,$QA$4:$QA$40,0)))</f>
        <v/>
      </c>
      <c r="QC14">
        <f>IF(COUNTIF('Buyer Groups'!DG67:EL67,0)+COUNTIF('Buyer Groups'!EN67:EN67,0)&gt;0,0,1)</f>
        <v/>
      </c>
      <c r="QD14">
        <f>IF($FN$14="",FALSE,SUMPRODUCT(('Final Calculation Sheet'!$AG$4:$AG$40=$FN$14)*($QC$6:$QC$42=1))&gt;0)</f>
        <v/>
      </c>
      <c r="QE14">
        <f>$QE$13+--($QD14)</f>
        <v/>
      </c>
      <c r="QF14">
        <f>IF(ROW()-3&gt;MAX($QE$4:$QE$40),"",INDEX($FN$4:$FN$40,MATCH(ROW()-3,$QE$4:$QE$40,0)))</f>
        <v/>
      </c>
      <c r="QG14">
        <f>IF(COUNTIF('Buyer Groups'!DG67:EM67,0)&gt;0,0,1)</f>
        <v/>
      </c>
      <c r="QH14">
        <f>IF($FS$14="",FALSE,SUMPRODUCT(('Final Calculation Sheet'!$AH$4:$AH$40=$FS$14)*($QG$6:$QG$42=1))&gt;0)</f>
        <v/>
      </c>
      <c r="QI14">
        <f>$QI$13+--($QH14)</f>
        <v/>
      </c>
      <c r="QJ14">
        <f>IF(ROW()-3&gt;MAX($QI$4:$QI$40),"",INDEX($FS$4:$FS$40,MATCH(ROW()-3,$QI$4:$QI$40,0)))</f>
        <v/>
      </c>
      <c r="QK14" t="str">
        <f>IF('Final Calculation Sheet'!$AH$14="","",'Final Calculation Sheet'!$AH$14)</f>
      </c>
      <c r="QL14" t="str">
        <f>IF(QK14="","",COUNTIFS(QK$4:QK$40,"&lt;"&amp;QK14,QK$4:QK$40,"&lt;&gt;"&amp;"")+COUNTIF(QK$4:QK14,QK14))</f>
      </c>
      <c r="QM14" t="str">
        <f>IF(ROW()-3&gt;COUNTIF(QK$4:QK$40,"&lt;&gt;"&amp;""),"",INDEX(QK$4:QK$40,MATCH(ROW()-3,QL$4:QL$40,0)))</f>
      </c>
      <c r="QN14" t="str">
        <f>=QN13+F(AND(QM14&lt;&gt;"",COUNTIF(QM$4:QM14,QM14)=1),1,0)</f>
      </c>
      <c r="QO14" t="str">
        <f>IF(ROW()-3&gt;MAX(QN$4:QN$40),"",INDEX(QM$4:QM$40,MATCH(ROW()-3,QN$4:QN$40,0)))</f>
      </c>
      <c r="QP14" t="str">
        <f>IF(COUNTIF('Final Calculation Sheet'!$AM14:$BS14,0)&gt;0,0,1)</f>
      </c>
      <c r="QQ14" t="str">
        <f>IF($AI$14="",FALSE,SUMPRODUCT(('Final Calculation Sheet'!$A$4:$A$40=$AI$14)*($QP$4:$QP$40=1))&gt;0)</f>
      </c>
      <c r="QR14" t="str">
        <f>=$QR13+--($QQ14)</f>
      </c>
      <c r="QS14" t="str">
        <f>IF(ROW()-3&gt;MAX($QR$4:$QR$40),"",INDEX($AI$4:$AI$40,MATCH(ROW()-3,$QR$4:$QR$40,0)))</f>
      </c>
      <c r="QT14" t="str">
        <f>IF(COUNTIF('Final Calculation Sheet'!$AL14:$AL14,0)+COUNTIF('Final Calculation Sheet'!$AN14:$BS14,0)&gt;0,0,1)</f>
      </c>
      <c r="QU14" t="str">
        <f>IF($Y$14="",FALSE,SUMPRODUCT(('Final Calculation Sheet'!$B$4:$B$40=$Y$14)*($QT$4:$QT$40=1))&gt;0)</f>
      </c>
      <c r="QV14" t="str">
        <f>=$QV13+--($QU14)</f>
      </c>
      <c r="QW14" t="str">
        <f>IF(ROW()-3&gt;MAX($QV$4:$QV$40),"",INDEX($Y$4:$Y$40,MATCH(ROW()-3,$QV$4:$QV$40,0)))</f>
      </c>
      <c r="QX14" t="str">
        <f>IF(COUNTIF('Final Calculation Sheet'!$AL14:$AM14,0)+COUNTIF('Final Calculation Sheet'!$AO14:$BS14,0)&gt;0,0,1)</f>
      </c>
      <c r="QY14" t="str">
        <f>IF($AS$14="",FALSE,SUMPRODUCT(('Final Calculation Sheet'!$C$4:$C$40=$AS$14)*($QX$4:$QX$40=1))&gt;0)</f>
      </c>
      <c r="QZ14" t="str">
        <f>=$QZ13+--($QY14)</f>
      </c>
      <c r="RA14" t="str">
        <f>IF(ROW()-3&gt;MAX($QZ$4:$QZ$40),"",INDEX($AS$4:$AS$40,MATCH(ROW()-3,$QZ$4:$QZ$40,0)))</f>
      </c>
      <c r="RB14" t="str">
        <f>IF(COUNTIF('Final Calculation Sheet'!$AL14:$AN14,0)+COUNTIF('Final Calculation Sheet'!$AP14:$BS14,0)&gt;0,0,1)</f>
      </c>
      <c r="RC14" t="str">
        <f>IF($AD$14="",FALSE,SUMPRODUCT(('Final Calculation Sheet'!$D$4:$D$40=$AD$14)*($RB$4:$RB$40=1))&gt;0)</f>
      </c>
      <c r="RD14" t="str">
        <f>=$RD13+--($RC14)</f>
      </c>
      <c r="RE14" t="str">
        <f>IF(ROW()-3&gt;MAX($RD$4:$RD$40),"",INDEX($AD$4:$AD$40,MATCH(ROW()-3,$RD$4:$RD$40,0)))</f>
      </c>
      <c r="RF14" t="str">
        <f>IF(COUNTIF('Final Calculation Sheet'!$AL14:$AO14,0)+COUNTIF('Final Calculation Sheet'!$AQ14:$BS14,0)&gt;0,0,1)</f>
      </c>
      <c r="RG14" t="str">
        <f>IF($AN$14="",FALSE,SUMPRODUCT(('Final Calculation Sheet'!$E$4:$E$40=$AN$14)*($RF$4:$RF$40=1))&gt;0)</f>
      </c>
      <c r="RH14" t="str">
        <f>=$RH13+--($RG14)</f>
      </c>
      <c r="RI14" t="str">
        <f>IF(ROW()-3&gt;MAX($RH$4:$RH$40),"",INDEX($AN$4:$AN$40,MATCH(ROW()-3,$RH$4:$RH$40,0)))</f>
      </c>
      <c r="RJ14" t="str">
        <f>IF(COUNTIF('Final Calculation Sheet'!$AL14:$AP14,0)+COUNTIF('Final Calculation Sheet'!$AR14:$BS14,0)&gt;0,0,1)</f>
      </c>
      <c r="RK14" t="str">
        <f>IF($O$14="",FALSE,SUMPRODUCT(('Final Calculation Sheet'!$F$4:$F$40=$O$14)*($RJ$4:$RJ$40=1))&gt;0)</f>
      </c>
      <c r="RL14" t="str">
        <f>=$RL13+--($RK14)</f>
      </c>
      <c r="RM14" t="str">
        <f>IF(ROW()-3&gt;MAX($RL$4:$RL$40),"",INDEX($O$4:$O$40,MATCH(ROW()-3,$RL$4:$RL$40,0)))</f>
      </c>
      <c r="RN14" t="str">
        <f>IF(COUNTIF('Final Calculation Sheet'!$AL14:$AQ14,0)+COUNTIF('Final Calculation Sheet'!$AS14:$BS14,0)&gt;0,0,1)</f>
      </c>
      <c r="RO14" t="str">
        <f>IF($T$14="",FALSE,SUMPRODUCT(('Final Calculation Sheet'!$G$4:$G$40=$T$14)*($RN$4:$RN$40=1))&gt;0)</f>
      </c>
      <c r="RP14" t="str">
        <f>=$RP13+--($RO14)</f>
      </c>
      <c r="RQ14" t="str">
        <f>IF(ROW()-3&gt;MAX($RP$4:$RP$40),"",INDEX($T$4:$T$40,MATCH(ROW()-3,$RP$4:$RP$40,0)))</f>
      </c>
      <c r="RR14" t="str">
        <f>IF(COUNTIF('Final Calculation Sheet'!$AL14:$AR14,0)+COUNTIF('Final Calculation Sheet'!$AT14:$BS14,0)&gt;0,0,1)</f>
      </c>
      <c r="RS14" t="str">
        <f>IF($AX$14="",FALSE,SUMPRODUCT(('Final Calculation Sheet'!$H$4:$H$40=$AX$14)*($RR$4:$RR$40=1))&gt;0)</f>
      </c>
      <c r="RT14" t="str">
        <f>=$RT13+--($RS14)</f>
      </c>
      <c r="RU14" t="str">
        <f>IF(ROW()-3&gt;MAX($RT$4:$RT$40),"",INDEX($AX$4:$AX$40,MATCH(ROW()-3,$RT$4:$RT$40,0)))</f>
      </c>
      <c r="RV14" t="str">
        <f>IF(COUNTIF('Final Calculation Sheet'!$AL14:$AS14,0)+COUNTIF('Final Calculation Sheet'!$AU14:$BS14,0)&gt;0,0,1)</f>
      </c>
      <c r="RW14" t="str">
        <f>IF($BC$14="",FALSE,SUMPRODUCT(('Final Calculation Sheet'!$I$4:$I$40=$BC$14)*($RV$4:$RV$40=1))&gt;0)</f>
      </c>
      <c r="RX14" t="str">
        <f>=$RX13+--($RW14)</f>
      </c>
      <c r="RY14" t="str">
        <f>IF(ROW()-3&gt;MAX($RX$4:$RX$40),"",INDEX($BC$4:$BC$40,MATCH(ROW()-3,$RX$4:$RX$40,0)))</f>
      </c>
      <c r="RZ14" t="str">
        <f>IF(COUNTIF('Final Calculation Sheet'!$AL14:$AT14,0)+COUNTIF('Final Calculation Sheet'!$AV14:$BS14,0)&gt;0,0,1)</f>
      </c>
      <c r="SA14" t="str">
        <f>IF($BH$14="",FALSE,SUMPRODUCT(('Final Calculation Sheet'!$J$4:$J$40=$BH$14)*($RZ$4:$RZ$40=1))&gt;0)</f>
      </c>
      <c r="SB14" t="str">
        <f>=$SB13+--($SA14)</f>
      </c>
      <c r="SC14" t="str">
        <f>IF(ROW()-3&gt;MAX($SB$4:$SB$40),"",INDEX($BH$4:$BH$40,MATCH(ROW()-3,$SB$4:$SB$40,0)))</f>
      </c>
      <c r="SD14" t="str">
        <f>IF(COUNTIF('Final Calculation Sheet'!$AL14:$AU14,0)+COUNTIF('Final Calculation Sheet'!$AW14:$BS14,0)&gt;0,0,1)</f>
      </c>
      <c r="SE14" t="str">
        <f>IF($BM$14="",FALSE,SUMPRODUCT(('Final Calculation Sheet'!$K$4:$K$40=$BM$14)*($SD$4:$SD$40=1))&gt;0)</f>
      </c>
      <c r="SF14" t="str">
        <f>=$SF13+--($SE14)</f>
      </c>
      <c r="SG14" t="str">
        <f>IF(ROW()-3&gt;MAX($SF$4:$SF$40),"",INDEX($BM$4:$BM$40,MATCH(ROW()-3,$SF$4:$SF$40,0)))</f>
      </c>
      <c r="SH14" t="str">
        <f>IF(COUNTIF('Final Calculation Sheet'!$AL14:$AV14,0)+COUNTIF('Final Calculation Sheet'!$AX14:$BS14,0)&gt;0,0,1)</f>
      </c>
      <c r="SI14" t="str">
        <f>IF($BR$14="",FALSE,SUMPRODUCT(('Final Calculation Sheet'!$L$4:$L$40=$BR$14)*($SH$4:$SH$40=1))&gt;0)</f>
      </c>
      <c r="SJ14" t="str">
        <f>=$SJ13+--($SI14)</f>
      </c>
      <c r="SK14" t="str">
        <f>IF(ROW()-3&gt;MAX($SJ$4:$SJ$40),"",INDEX($BR$4:$BR$40,MATCH(ROW()-3,$SJ$4:$SJ$40,0)))</f>
      </c>
      <c r="SL14" t="str">
        <f>IF(COUNTIF('Final Calculation Sheet'!$AL14:$AW14,0)+COUNTIF('Final Calculation Sheet'!$AY14:$BS14,0)&gt;0,0,1)</f>
      </c>
      <c r="SM14" t="str">
        <f>IF($BW$14="",FALSE,SUMPRODUCT(('Final Calculation Sheet'!$M$4:$M$40=$BW$14)*($SL$4:$SL$40=1))&gt;0)</f>
      </c>
      <c r="SN14" t="str">
        <f>=$SN13+--($SM14)</f>
      </c>
      <c r="SO14" t="str">
        <f>IF(ROW()-3&gt;MAX($SN$4:$SN$40),"",INDEX($BW$4:$BW$40,MATCH(ROW()-3,$SN$4:$SN$40,0)))</f>
      </c>
      <c r="SP14" t="str">
        <f>IF(COUNTIF('Final Calculation Sheet'!$AL14:$AX14,0)+COUNTIF('Final Calculation Sheet'!$AZ14:$BS14,0)&gt;0,0,1)</f>
      </c>
      <c r="SQ14" t="str">
        <f>IF($CB$14="",FALSE,SUMPRODUCT(('Final Calculation Sheet'!$N$4:$N$40=$CB$14)*($SP$4:$SP$40=1))&gt;0)</f>
      </c>
      <c r="SR14" t="str">
        <f>=$SR13+--($SQ14)</f>
      </c>
      <c r="SS14" t="str">
        <f>IF(ROW()-3&gt;MAX($SR$4:$SR$40),"",INDEX($CB$4:$CB$40,MATCH(ROW()-3,$SR$4:$SR$40,0)))</f>
      </c>
      <c r="ST14" t="str">
        <f>IF(COUNTIF('Final Calculation Sheet'!$AL14:$AY14,0)+COUNTIF('Final Calculation Sheet'!$BA14:$BS14,0)&gt;0,0,1)</f>
      </c>
      <c r="SU14" t="str">
        <f>IF($CG$14="",FALSE,SUMPRODUCT(('Final Calculation Sheet'!$O$4:$O$40=$CG$14)*($ST$4:$ST$40=1))&gt;0)</f>
      </c>
      <c r="SV14" t="str">
        <f>=$SV13+--($SU14)</f>
      </c>
      <c r="SW14" t="str">
        <f>IF(ROW()-3&gt;MAX($SV$4:$SV$40),"",INDEX($CG$4:$CG$40,MATCH(ROW()-3,$SV$4:$SV$40,0)))</f>
      </c>
      <c r="SX14" t="str">
        <f>IF(COUNTIF('Final Calculation Sheet'!$AL14:$AZ14,0)+COUNTIF('Final Calculation Sheet'!$BB14:$BS14,0)&gt;0,0,1)</f>
      </c>
      <c r="SY14" t="str">
        <f>IF($CL$14="",FALSE,SUMPRODUCT(('Final Calculation Sheet'!$P$4:$P$40=$CL$14)*($SX$4:$SX$40=1))&gt;0)</f>
      </c>
      <c r="SZ14" t="str">
        <f>=$SZ13+--($SY14)</f>
      </c>
      <c r="TA14" t="str">
        <f>IF(ROW()-3&gt;MAX($SZ$4:$SZ$40),"",INDEX($CL$4:$CL$40,MATCH(ROW()-3,$SZ$4:$SZ$40,0)))</f>
      </c>
      <c r="TB14" t="str">
        <f>IF(COUNTIF('Final Calculation Sheet'!$AL14:$BA14,0)+COUNTIF('Final Calculation Sheet'!$BC14:$BS14,0)&gt;0,0,1)</f>
      </c>
      <c r="TC14" t="str">
        <f>IF($CQ$14="",FALSE,SUMPRODUCT(('Final Calculation Sheet'!$Q$4:$Q$40=$CQ$14)*($TB$4:$TB$40=1))&gt;0)</f>
      </c>
      <c r="TD14" t="str">
        <f>=$TD13+--($TC14)</f>
      </c>
      <c r="TE14" t="str">
        <f>IF(ROW()-3&gt;MAX($TD$4:$TD$40),"",INDEX($CQ$4:$CQ$40,MATCH(ROW()-3,$TD$4:$TD$40,0)))</f>
      </c>
      <c r="TF14" t="str">
        <f>IF(COUNTIF('Final Calculation Sheet'!$AL14:$BB14,0)+COUNTIF('Final Calculation Sheet'!$BD14:$BS14,0)&gt;0,0,1)</f>
      </c>
      <c r="TG14" t="str">
        <f>IF($CV$14="",FALSE,SUMPRODUCT(('Final Calculation Sheet'!$R$4:$R$40=$CV$14)*($TF$4:$TF$40=1))&gt;0)</f>
      </c>
      <c r="TH14" t="str">
        <f>=$TH13+--($TG14)</f>
      </c>
      <c r="TI14" t="str">
        <f>IF(ROW()-3&gt;MAX($TH$4:$TH$40),"",INDEX($CV$4:$CV$40,MATCH(ROW()-3,$TH$4:$TH$40,0)))</f>
      </c>
      <c r="TJ14" t="str">
        <f>IF(COUNTIF('Final Calculation Sheet'!$AL14:$BC14,0)+COUNTIF('Final Calculation Sheet'!$BE14:$BS14,0)&gt;0,0,1)</f>
      </c>
      <c r="TK14" t="str">
        <f>IF($DA$14="",FALSE,SUMPRODUCT(('Final Calculation Sheet'!$S$4:$S$40=$DA$14)*($TJ$4:$TJ$40=1))&gt;0)</f>
      </c>
      <c r="TL14" t="str">
        <f>=$TL13+--($TK14)</f>
      </c>
      <c r="TM14" t="str">
        <f>IF(ROW()-3&gt;MAX($TL$4:$TL$40),"",INDEX($DA$4:$DA$40,MATCH(ROW()-3,$TL$4:$TL$40,0)))</f>
      </c>
      <c r="TN14" t="str">
        <f>IF(COUNTIF('Final Calculation Sheet'!$AL14:$BD14,0)+COUNTIF('Final Calculation Sheet'!$BF14:$BS14,0)&gt;0,0,1)</f>
      </c>
      <c r="TO14" t="str">
        <f>IF($DF$14="",FALSE,SUMPRODUCT(('Final Calculation Sheet'!$T$4:$T$40=$DF$14)*($TN$4:$TN$40=1))&gt;0)</f>
      </c>
      <c r="TP14" t="str">
        <f>=$TP13+--($TO14)</f>
      </c>
      <c r="TQ14" t="str">
        <f>IF(ROW()-3&gt;MAX($TP$4:$TP$40),"",INDEX($DF$4:$DF$40,MATCH(ROW()-3,$TP$4:$TP$40,0)))</f>
      </c>
      <c r="TR14" t="str">
        <f>IF(COUNTIF('Final Calculation Sheet'!$AL14:$BE14,0)+COUNTIF('Final Calculation Sheet'!$BG14:$BS14,0)&gt;0,0,1)</f>
      </c>
      <c r="TS14" t="str">
        <f>IF($DK$14="",FALSE,SUMPRODUCT(('Final Calculation Sheet'!$U$4:$U$40=$DK$14)*($TR$4:$TR$40=1))&gt;0)</f>
      </c>
      <c r="TT14" t="str">
        <f>=$TT13+--($TS14)</f>
      </c>
      <c r="TU14" t="str">
        <f>IF(ROW()-3&gt;MAX($TT$4:$TT$40),"",INDEX($DK$4:$DK$40,MATCH(ROW()-3,$TT$4:$TT$40,0)))</f>
      </c>
      <c r="TV14" t="str">
        <f>IF(COUNTIF('Final Calculation Sheet'!$AL14:$BF14,0)+COUNTIF('Final Calculation Sheet'!$BH14:$BS14,0)&gt;0,0,1)</f>
      </c>
      <c r="TW14" t="str">
        <f>IF($DP$14="",FALSE,SUMPRODUCT(('Final Calculation Sheet'!$V$4:$V$40=$DP$14)*($TV$4:$TV$40=1))&gt;0)</f>
      </c>
      <c r="TX14" t="str">
        <f>=$TX13+--($TW14)</f>
      </c>
      <c r="TY14" t="str">
        <f>IF(ROW()-3&gt;MAX($TX$4:$TX$40),"",INDEX($DP$4:$DP$40,MATCH(ROW()-3,$TX$4:$TX$40,0)))</f>
      </c>
      <c r="TZ14" t="str">
        <f>IF(COUNTIF('Final Calculation Sheet'!$AL14:$BG14,0)+COUNTIF('Final Calculation Sheet'!$BI14:$BS14,0)&gt;0,0,1)</f>
      </c>
      <c r="UA14" t="str">
        <f>IF($DU$14="",FALSE,SUMPRODUCT(('Final Calculation Sheet'!$W$4:$W$40=$DU$14)*($TZ$4:$TZ$40=1))&gt;0)</f>
      </c>
      <c r="UB14" t="str">
        <f>=$UB13+--($UA14)</f>
      </c>
      <c r="UC14" t="str">
        <f>IF(ROW()-3&gt;MAX($UB$4:$UB$40),"",INDEX($DU$4:$DU$40,MATCH(ROW()-3,$UB$4:$UB$40,0)))</f>
      </c>
      <c r="UD14" t="str">
        <f>IF(COUNTIF('Final Calculation Sheet'!$AL14:$BH14,0)+COUNTIF('Final Calculation Sheet'!$BJ14:$BS14,0)&gt;0,0,1)</f>
      </c>
      <c r="UE14" t="str">
        <f>IF($DZ$14="",FALSE,SUMPRODUCT(('Final Calculation Sheet'!$X$4:$X$40=$DZ$14)*($UD$4:$UD$40=1))&gt;0)</f>
      </c>
      <c r="UF14" t="str">
        <f>=$UF13+--($UE14)</f>
      </c>
      <c r="UG14" t="str">
        <f>IF(ROW()-3&gt;MAX($UF$4:$UF$40),"",INDEX($DZ$4:$DZ$40,MATCH(ROW()-3,$UF$4:$UF$40,0)))</f>
      </c>
      <c r="UH14" t="str">
        <f>IF(COUNTIF('Final Calculation Sheet'!$AL14:$BI14,0)+COUNTIF('Final Calculation Sheet'!$BK14:$BS14,0)&gt;0,0,1)</f>
      </c>
      <c r="UI14" t="str">
        <f>IF($EE$14="",FALSE,SUMPRODUCT(('Final Calculation Sheet'!$Y$4:$Y$40=$EE$14)*($UH$4:$UH$40=1))&gt;0)</f>
      </c>
      <c r="UJ14" t="str">
        <f>=$UJ13+--($UI14)</f>
      </c>
      <c r="UK14" t="str">
        <f>IF(ROW()-3&gt;MAX($UJ$4:$UJ$40),"",INDEX($EE$4:$EE$40,MATCH(ROW()-3,$UJ$4:$UJ$40,0)))</f>
      </c>
      <c r="UL14" t="str">
        <f>IF(COUNTIF('Final Calculation Sheet'!$AL14:$BJ14,0)+COUNTIF('Final Calculation Sheet'!$BL14:$BS14,0)&gt;0,0,1)</f>
      </c>
      <c r="UM14" t="str">
        <f>IF($EJ$14="",FALSE,SUMPRODUCT(('Final Calculation Sheet'!$Z$4:$Z$40=$EJ$14)*($UL$4:$UL$40=1))&gt;0)</f>
      </c>
      <c r="UN14" t="str">
        <f>=$UN13+--($UM14)</f>
      </c>
      <c r="UO14" t="str">
        <f>IF(ROW()-3&gt;MAX($UN$4:$UN$40),"",INDEX($EJ$4:$EJ$40,MATCH(ROW()-3,$UN$4:$UN$40,0)))</f>
      </c>
      <c r="UP14" t="str">
        <f>IF(COUNTIF('Final Calculation Sheet'!$AL14:$BK14,0)+COUNTIF('Final Calculation Sheet'!$BM14:$BS14,0)&gt;0,0,1)</f>
      </c>
      <c r="UQ14" t="str">
        <f>IF($EO$14="",FALSE,SUMPRODUCT(('Final Calculation Sheet'!$AA$4:$AA$40=$EO$14)*($UP$4:$UP$40=1))&gt;0)</f>
      </c>
      <c r="UR14" t="str">
        <f>=$UR13+--($UQ14)</f>
      </c>
      <c r="US14" t="str">
        <f>IF(ROW()-3&gt;MAX($UR$4:$UR$40),"",INDEX($EO$4:$EO$40,MATCH(ROW()-3,$UR$4:$UR$40,0)))</f>
      </c>
      <c r="UT14" t="str">
        <f>IF(COUNTIF('Final Calculation Sheet'!$AL14:$BL14,0)+COUNTIF('Final Calculation Sheet'!$BN14:$BS14,0)&gt;0,0,1)</f>
      </c>
      <c r="UU14" t="str">
        <f>IF($ET$14="",FALSE,SUMPRODUCT(('Final Calculation Sheet'!$AB$4:$AB$40=$ET$14)*($UT$4:$UT$40=1))&gt;0)</f>
      </c>
      <c r="UV14" t="str">
        <f>=$UV13+--($UU14)</f>
      </c>
      <c r="UW14" t="str">
        <f>IF(ROW()-3&gt;MAX($UV$4:$UV$40),"",INDEX($ET$4:$ET$40,MATCH(ROW()-3,$UV$4:$UV$40,0)))</f>
      </c>
      <c r="UX14" t="str">
        <f>IF(COUNTIF('Final Calculation Sheet'!$AL14:$BM14,0)+COUNTIF('Final Calculation Sheet'!$BO14:$BS14,0)&gt;0,0,1)</f>
      </c>
      <c r="UY14" t="str">
        <f>IF($EY$14="",FALSE,SUMPRODUCT(('Final Calculation Sheet'!$AC$4:$AC$40=$EY$14)*($UX$4:$UX$40=1))&gt;0)</f>
      </c>
      <c r="UZ14" t="str">
        <f>=$UZ13+--($UY14)</f>
      </c>
      <c r="VA14" t="str">
        <f>IF(ROW()-3&gt;MAX($UZ$4:$UZ$40),"",INDEX($EY$4:$EY$40,MATCH(ROW()-3,$UZ$4:$UZ$40,0)))</f>
      </c>
      <c r="VB14" t="str">
        <f>IF(COUNTIF('Final Calculation Sheet'!$AL14:$BN14,0)+COUNTIF('Final Calculation Sheet'!$BP14:$BS14,0)&gt;0,0,1)</f>
      </c>
      <c r="VC14" t="str">
        <f>IF($FD$14="",FALSE,SUMPRODUCT(('Final Calculation Sheet'!$AD$4:$AD$40=$FD$14)*($VB$4:$VB$40=1))&gt;0)</f>
      </c>
      <c r="VD14" t="str">
        <f>=$VD13+--($VC14)</f>
      </c>
      <c r="VE14" t="str">
        <f>IF(ROW()-3&gt;MAX($VD$4:$VD$40),"",INDEX($FD$4:$FD$40,MATCH(ROW()-3,$VD$4:$VD$40,0)))</f>
      </c>
      <c r="VF14" t="str">
        <f>IF(COUNTIF('Final Calculation Sheet'!$AL14:$BO14,0)+COUNTIF('Final Calculation Sheet'!$BQ14:$BS14,0)&gt;0,0,1)</f>
      </c>
      <c r="VG14" t="str">
        <f>IF($FI$14="",FALSE,SUMPRODUCT(('Final Calculation Sheet'!$AE$4:$AE$40=$FI$14)*($VF$4:$VF$40=1))&gt;0)</f>
      </c>
      <c r="VH14" t="str">
        <f>=$VH13+--($VG14)</f>
      </c>
      <c r="VI14" t="str">
        <f>IF(ROW()-3&gt;MAX($VH$4:$VH$40),"",INDEX($FI$4:$FI$40,MATCH(ROW()-3,$VH$4:$VH$40,0)))</f>
      </c>
      <c r="VJ14" t="str">
        <f>IF(COUNTIF('Final Calculation Sheet'!$AL14:$BP14,0)+COUNTIF('Final Calculation Sheet'!$BR14:$BS14,0)&gt;0,0,1)</f>
      </c>
      <c r="VK14" t="str">
        <f>IF($FN$14="",FALSE,SUMPRODUCT(('Final Calculation Sheet'!$AF$4:$AF$40=$FN$14)*($VJ$4:$VJ$40=1))&gt;0)</f>
      </c>
      <c r="VL14" t="str">
        <f>=$VL13+--($VK14)</f>
      </c>
      <c r="VM14" t="str">
        <f>IF(ROW()-3&gt;MAX($VL$4:$VL$40),"",INDEX($FN$4:$FN$40,MATCH(ROW()-3,$VL$4:$VL$40,0)))</f>
      </c>
      <c r="VN14" t="str">
        <f>IF(COUNTIF('Final Calculation Sheet'!$AL14:$BQ14,0)+COUNTIF('Final Calculation Sheet'!$BS14:$BS14,0)&gt;0,0,1)</f>
      </c>
      <c r="VO14" t="str">
        <f>IF($FS$14="",FALSE,SUMPRODUCT(('Final Calculation Sheet'!$AG$4:$AG$40=$FS$14)*($VN$4:$VN$40=1))&gt;0)</f>
      </c>
      <c r="VP14" t="str">
        <f>=$VP13+--($VO14)</f>
      </c>
      <c r="VQ14" t="str">
        <f>IF(ROW()-3&gt;MAX($VP$4:$VP$40),"",INDEX($FS$4:$FS$40,MATCH(ROW()-3,$VP$4:$VP$40,0)))</f>
      </c>
      <c r="VR14" t="str">
        <f>IF(COUNTIF('Final Calculation Sheet'!$AL14:$BR14,0)&gt;0,0,1)</f>
      </c>
      <c r="VS14" t="str">
        <f>IF($QO$14="",FALSE,SUMPRODUCT(('Final Calculation Sheet'!$AH$4:$AH$40=$QO$14)*($VR$4:$VR$40=1))&gt;0)</f>
      </c>
      <c r="VT14" t="str">
        <f>=$VT13+--($VS14)</f>
      </c>
      <c r="VU14" t="str">
        <f>IF(ROW()-3&gt;MAX($VT$4:$VT$40),"",INDEX($QO$4:$QO$40,MATCH(ROW()-3,$VT$4:$VT$40,0)))</f>
      </c>
    </row>
    <row r="15">
      <c r="A15">
        <f>IF('Final Calculation Sheet'!$F$15="","",'Final Calculation Sheet'!$F$15)</f>
        <v/>
      </c>
      <c r="B15">
        <f>IF(A15="","",COUNTIFS(A$4:A$114,"&lt;"&amp;A15,A$4:A$114,"&lt;&gt;"&amp;"")+COUNTIF(A$4:A15,A15))</f>
        <v/>
      </c>
      <c r="C15">
        <f>IF(ROW()-3&gt;COUNTIF(A$4:A$114,"&lt;&gt;"&amp;""),"",INDEX(A$4:A$114,MATCH(ROW()-3,B$4:B$114,0)))</f>
        <v/>
      </c>
      <c r="D15">
        <f>D14+IF(AND(C15&lt;&gt;"",COUNTIF(C$4:C15,C15)=1),1,0)</f>
        <v/>
      </c>
      <c r="E15">
        <f>IF(ROW()-3&gt;MAX(D$4:D$114),"",INDEX(C$4:C$114,MATCH(ROW()-3,D$4:D$114,0)))</f>
        <v/>
      </c>
      <c r="F15">
        <f>ROW()-3</f>
        <v/>
      </c>
      <c r="G15">
        <f>IF(F15="","",COUNTIFS(F$4:F$40,"&lt;"&amp;F15,F$4:F$40,"&lt;&gt;"&amp;"")+COUNTIF(F$4:F15,F15))</f>
        <v/>
      </c>
      <c r="H15">
        <f>IF(ROW()-3&gt;COUNTIF(F$4:F$40,"&lt;&gt;"&amp;""),"",INDEX(F$4:F$40,MATCH(ROW()-3,G$4:G$40,0)))</f>
        <v/>
      </c>
      <c r="I15">
        <f>I14+IF(AND(H15&lt;&gt;"",COUNTIF(H$4:H15,H15)=1),1,0)</f>
        <v/>
      </c>
      <c r="J15">
        <f>IF(ROW()-3&gt;MAX(I$4:I$40),"",INDEX(H$4:H$40,MATCH(ROW()-3,I$4:I$40,0)))</f>
        <v/>
      </c>
      <c r="K15">
        <f>IF('Final Calculation Sheet'!$F$15="","",'Final Calculation Sheet'!$F$15)</f>
        <v/>
      </c>
      <c r="L15">
        <f>IF(K15="","",COUNTIFS(K$4:K$40,"&lt;"&amp;K15,K$4:K$40,"&lt;&gt;"&amp;"")+COUNTIF(K$4:K15,K15))</f>
        <v/>
      </c>
      <c r="M15">
        <f>IF(ROW()-3&gt;COUNTIF(K$4:K$40,"&lt;&gt;"&amp;""),"",INDEX(K$4:K$40,MATCH(ROW()-3,L$4:L$40,0)))</f>
        <v/>
      </c>
      <c r="N15">
        <f>N14+IF(AND(M15&lt;&gt;"",COUNTIF(M$4:M15,M15)=1),1,0)</f>
        <v/>
      </c>
      <c r="O15">
        <f>IF(ROW()-3&gt;MAX(N$4:N$40),"",INDEX(M$4:M$40,MATCH(ROW()-3,N$4:N$40,0)))</f>
        <v/>
      </c>
      <c r="P15">
        <f>IF('Final Calculation Sheet'!$G$15="","",'Final Calculation Sheet'!$G$15)</f>
        <v/>
      </c>
      <c r="Q15">
        <f>IF(P15="","",COUNTIFS(P$4:P$40,"&lt;"&amp;P15,P$4:P$40,"&lt;&gt;"&amp;"")+COUNTIF(P$4:P15,P15))</f>
        <v/>
      </c>
      <c r="R15">
        <f>IF(ROW()-3&gt;COUNTIF(P$4:P$40,"&lt;&gt;"&amp;""),"",INDEX(P$4:P$40,MATCH(ROW()-3,Q$4:Q$40,0)))</f>
        <v/>
      </c>
      <c r="S15">
        <f>S14+IF(AND(R15&lt;&gt;"",COUNTIF(R$4:R15,R15)=1),1,0)</f>
        <v/>
      </c>
      <c r="T15">
        <f>IF(ROW()-3&gt;MAX(S$4:S$40),"",INDEX(R$4:R$40,MATCH(ROW()-3,S$4:S$40,0)))</f>
        <v/>
      </c>
      <c r="U15">
        <f>IF('Final Calculation Sheet'!$B$15="","",'Final Calculation Sheet'!$B$15)</f>
        <v/>
      </c>
      <c r="V15">
        <f>IF(U15="","",COUNTIFS(U$4:U$40,"&lt;"&amp;U15,U$4:U$40,"&lt;&gt;"&amp;"")+COUNTIF(U$4:U15,U15))</f>
        <v/>
      </c>
      <c r="W15">
        <f>IF(ROW()-3&gt;COUNTIF(U$4:U$40,"&lt;&gt;"&amp;""),"",INDEX(U$4:U$40,MATCH(ROW()-3,V$4:V$40,0)))</f>
        <v/>
      </c>
      <c r="X15">
        <f>X14+IF(AND(W15&lt;&gt;"",COUNTIF(W$4:W15,W15)=1),1,0)</f>
        <v/>
      </c>
      <c r="Y15">
        <f>IF(ROW()-3&gt;MAX(X$4:X$40),"",INDEX(W$4:W$40,MATCH(ROW()-3,X$4:X$40,0)))</f>
        <v/>
      </c>
      <c r="Z15">
        <f>IF('Final Calculation Sheet'!$D$15="","",'Final Calculation Sheet'!$D$15)</f>
        <v/>
      </c>
      <c r="AA15">
        <f>IF(Z15="","",COUNTIFS(Z$4:Z$40,"&lt;"&amp;Z15,Z$4:Z$40,"&lt;&gt;"&amp;"")+COUNTIF(Z$4:Z15,Z15))</f>
        <v/>
      </c>
      <c r="AB15">
        <f>IF(ROW()-3&gt;COUNTIF(Z$4:Z$40,"&lt;&gt;"&amp;""),"",INDEX(Z$4:Z$40,MATCH(ROW()-3,AA$4:AA$40,0)))</f>
        <v/>
      </c>
      <c r="AC15">
        <f>AC14+IF(AND(AB15&lt;&gt;"",COUNTIF(AB$4:AB15,AB15)=1),1,0)</f>
        <v/>
      </c>
      <c r="AD15">
        <f>IF(ROW()-3&gt;MAX(AC$4:AC$40),"",INDEX(AB$4:AB$40,MATCH(ROW()-3,AC$4:AC$40,0)))</f>
        <v/>
      </c>
      <c r="AE15">
        <f>IF('Final Calculation Sheet'!$A$15="","",'Final Calculation Sheet'!$A$15)</f>
        <v/>
      </c>
      <c r="AF15">
        <f>IF(AE15="","",COUNTIFS(AE$4:AE$40,"&lt;"&amp;AE15,AE$4:AE$40,"&lt;&gt;"&amp;"")+COUNTIF(AE$4:AE15,AE15))</f>
        <v/>
      </c>
      <c r="AG15">
        <f>IF(ROW()-3&gt;COUNTIF(AE$4:AE$40,"&lt;&gt;"&amp;""),"",INDEX(AE$4:AE$40,MATCH(ROW()-3,AF$4:AF$40,0)))</f>
        <v/>
      </c>
      <c r="AH15">
        <f>AH14+IF(AND(AG15&lt;&gt;"",COUNTIF(AG$4:AG15,AG15)=1),1,0)</f>
        <v/>
      </c>
      <c r="AI15">
        <f>IF(ROW()-3&gt;MAX(AH$4:AH$40),"",INDEX(AG$4:AG$40,MATCH(ROW()-3,AH$4:AH$40,0)))</f>
        <v/>
      </c>
      <c r="AJ15">
        <f>IF('Final Calculation Sheet'!$E$15="","",'Final Calculation Sheet'!$E$15)</f>
        <v/>
      </c>
      <c r="AK15">
        <f>IF(AJ15="","",COUNTIFS(AJ$4:AJ$40,"&lt;"&amp;AJ15,AJ$4:AJ$40,"&lt;&gt;"&amp;"")+COUNTIF(AJ$4:AJ15,AJ15))</f>
        <v/>
      </c>
      <c r="AL15">
        <f>IF(ROW()-3&gt;COUNTIF(AJ$4:AJ$40,"&lt;&gt;"&amp;""),"",INDEX(AJ$4:AJ$40,MATCH(ROW()-3,AK$4:AK$40,0)))</f>
        <v/>
      </c>
      <c r="AM15">
        <f>AM14+IF(AND(AL15&lt;&gt;"",COUNTIF(AL$4:AL15,AL15)=1),1,0)</f>
        <v/>
      </c>
      <c r="AN15">
        <f>IF(ROW()-3&gt;MAX(AM$4:AM$40),"",INDEX(AL$4:AL$40,MATCH(ROW()-3,AM$4:AM$40,0)))</f>
        <v/>
      </c>
      <c r="AO15" s="55">
        <f>IF('Final Calculation Sheet'!$C$15="","",'Final Calculation Sheet'!$C$15)</f>
        <v/>
      </c>
      <c r="AP15">
        <f>IF(AO15="","",COUNTIFS(AO$4:AO$40,"&lt;"&amp;AO15,AO$4:AO$40,"&lt;&gt;"&amp;"")+COUNTIF(AO$4:AO15,AO15))</f>
        <v/>
      </c>
      <c r="AQ15" s="55">
        <f>IF(ROW()-3&gt;COUNTIF(AO$4:AO$40,"&lt;&gt;"&amp;""),"",INDEX(AO$4:AO$40,MATCH(ROW()-3,AP$4:AP$40,0)))</f>
        <v/>
      </c>
      <c r="AR15">
        <f>AR14+IF(AND(AQ15&lt;&gt;"",COUNTIF(AQ$4:AQ15,AQ15)=1),1,0)</f>
        <v/>
      </c>
      <c r="AS15" s="55">
        <f>IF(ROW()-3&gt;MAX(AR$4:AR$40),"",INDEX(AQ$4:AQ$40,MATCH(ROW()-3,AR$4:AR$40,0)))</f>
        <v/>
      </c>
      <c r="AT15" s="55">
        <f>IF('Final Calculation Sheet'!$H$15="","",'Final Calculation Sheet'!$H$15)</f>
        <v/>
      </c>
      <c r="AU15">
        <f>IF(AT15="","",COUNTIFS(AT$4:AT$40,"&lt;"&amp;AT15,AT$4:AT$40,"&lt;&gt;"&amp;"")+COUNTIF(AT$4:AT15,AT15))</f>
        <v/>
      </c>
      <c r="AV15" s="55">
        <f>IF(ROW()-3&gt;COUNTIF(AT$4:AT$40,"&lt;&gt;"&amp;""),"",INDEX(AT$4:AT$40,MATCH(ROW()-3,AU$4:AU$40,0)))</f>
        <v/>
      </c>
      <c r="AW15">
        <f>AW14+IF(AND(AV15&lt;&gt;"",COUNTIF(AV$4:AV15,AV15)=1),1,0)</f>
        <v/>
      </c>
      <c r="AX15" s="55">
        <f>IF(ROW()-3&gt;MAX(AW$4:AW$40),"",INDEX(AV$4:AV$40,MATCH(ROW()-3,AW$4:AW$40,0)))</f>
        <v/>
      </c>
      <c r="AY15" s="55">
        <f>IF('Final Calculation Sheet'!$I$15="","",'Final Calculation Sheet'!$I$15)</f>
        <v/>
      </c>
      <c r="AZ15">
        <f>IF(AY15="","",COUNTIFS(AY$4:AY$40,"&lt;"&amp;AY15,AY$4:AY$40,"&lt;&gt;"&amp;"")+COUNTIF(AY$4:AY15,AY15))</f>
        <v/>
      </c>
      <c r="BA15" s="55">
        <f>IF(ROW()-3&gt;COUNTIF(AY$4:AY$40,"&lt;&gt;"&amp;""),"",INDEX(AY$4:AY$40,MATCH(ROW()-3,AZ$4:AZ$40,0)))</f>
        <v/>
      </c>
      <c r="BB15">
        <f>BB14+IF(AND(BA15&lt;&gt;"",COUNTIF(BA$4:BA15,BA15)=1),1,0)</f>
        <v/>
      </c>
      <c r="BC15" s="55">
        <f>IF(ROW()-3&gt;MAX(BB$4:BB$40),"",INDEX(BA$4:BA$40,MATCH(ROW()-3,BB$4:BB$40,0)))</f>
        <v/>
      </c>
      <c r="BD15" s="55">
        <f>IF('Final Calculation Sheet'!$J$15="","",'Final Calculation Sheet'!$J$15)</f>
        <v/>
      </c>
      <c r="BE15">
        <f>IF(BD15="","",COUNTIFS(BD$4:BD$40,"&lt;"&amp;BD15,BD$4:BD$40,"&lt;&gt;"&amp;"")+COUNTIF(BD$4:BD15,BD15))</f>
        <v/>
      </c>
      <c r="BF15" s="55">
        <f>IF(ROW()-3&gt;COUNTIF(BD$4:BD$40,"&lt;&gt;"&amp;""),"",INDEX(BD$4:BD$40,MATCH(ROW()-3,BE$4:BE$40,0)))</f>
        <v/>
      </c>
      <c r="BG15">
        <f>BG14+IF(AND(BF15&lt;&gt;"",COUNTIF(BF$4:BF15,BF15)=1),1,0)</f>
        <v/>
      </c>
      <c r="BH15" s="55">
        <f>IF(ROW()-3&gt;MAX(BG$4:BG$40),"",INDEX(BF$4:BF$40,MATCH(ROW()-3,BG$4:BG$40,0)))</f>
        <v/>
      </c>
      <c r="BI15" s="55">
        <f>IF('Final Calculation Sheet'!$K$15="","",'Final Calculation Sheet'!$K$15)</f>
        <v/>
      </c>
      <c r="BJ15">
        <f>IF(BI15="","",COUNTIFS(BI$4:BI$40,"&lt;"&amp;BI15,BI$4:BI$40,"&lt;&gt;"&amp;"")+COUNTIF(BI$4:BI15,BI15))</f>
        <v/>
      </c>
      <c r="BK15" s="55">
        <f>IF(ROW()-3&gt;COUNTIF(BI$4:BI$40,"&lt;&gt;"&amp;""),"",INDEX(BI$4:BI$40,MATCH(ROW()-3,BJ$4:BJ$40,0)))</f>
        <v/>
      </c>
      <c r="BL15">
        <f>BL14+IF(AND(BK15&lt;&gt;"",COUNTIF(BK$4:BK15,BK15)=1),1,0)</f>
        <v/>
      </c>
      <c r="BM15" s="55">
        <f>IF(ROW()-3&gt;MAX(BL$4:BL$40),"",INDEX(BK$4:BK$40,MATCH(ROW()-3,BL$4:BL$40,0)))</f>
        <v/>
      </c>
      <c r="BN15" s="55">
        <f>IF('Final Calculation Sheet'!$L$15="","",'Final Calculation Sheet'!$L$15)</f>
        <v/>
      </c>
      <c r="BO15">
        <f>IF(BN15="","",COUNTIFS(BN$4:BN$40,"&lt;"&amp;BN15,BN$4:BN$40,"&lt;&gt;"&amp;"")+COUNTIF(BN$4:BN15,BN15))</f>
        <v/>
      </c>
      <c r="BP15" s="55">
        <f>IF(ROW()-3&gt;COUNTIF(BN$4:BN$40,"&lt;&gt;"&amp;""),"",INDEX(BN$4:BN$40,MATCH(ROW()-3,BO$4:BO$40,0)))</f>
        <v/>
      </c>
      <c r="BQ15">
        <f>BQ14+IF(AND(BP15&lt;&gt;"",COUNTIF(BP$4:BP15,BP15)=1),1,0)</f>
        <v/>
      </c>
      <c r="BR15" s="55">
        <f>IF(ROW()-3&gt;MAX(BQ$4:BQ$40),"",INDEX(BP$4:BP$40,MATCH(ROW()-3,BQ$4:BQ$40,0)))</f>
        <v/>
      </c>
      <c r="BS15" s="55">
        <f>IF('Final Calculation Sheet'!$M$15="","",'Final Calculation Sheet'!$M$15)</f>
        <v/>
      </c>
      <c r="BT15">
        <f>IF(BS15="","",COUNTIFS(BS$4:BS$40,"&lt;"&amp;BS15,BS$4:BS$40,"&lt;&gt;"&amp;"")+COUNTIF(BS$4:BS15,BS15))</f>
        <v/>
      </c>
      <c r="BU15" s="55">
        <f>IF(ROW()-3&gt;COUNTIF(BS$4:BS$40,"&lt;&gt;"&amp;""),"",INDEX(BS$4:BS$40,MATCH(ROW()-3,BT$4:BT$40,0)))</f>
        <v/>
      </c>
      <c r="BV15">
        <f>BV14+IF(AND(BU15&lt;&gt;"",COUNTIF(BU$4:BU15,BU15)=1),1,0)</f>
        <v/>
      </c>
      <c r="BW15" s="55">
        <f>IF(ROW()-3&gt;MAX(BV$4:BV$40),"",INDEX(BU$4:BU$40,MATCH(ROW()-3,BV$4:BV$40,0)))</f>
        <v/>
      </c>
      <c r="BX15" s="138">
        <f>IF('Final Calculation Sheet'!$N$15="","",'Final Calculation Sheet'!$N$15)</f>
        <v/>
      </c>
      <c r="BY15">
        <f>IF(BX15="","",COUNTIFS(BX$4:BX$40,"&lt;"&amp;BX15,BX$4:BX$40,"&lt;&gt;"&amp;"")+COUNTIF(BX$4:BX15,BX15))</f>
        <v/>
      </c>
      <c r="BZ15" s="138">
        <f>IF(ROW()-3&gt;COUNTIF(BX$4:BX$40,"&lt;&gt;"&amp;""),"",INDEX(BX$4:BX$40,MATCH(ROW()-3,BY$4:BY$40,0)))</f>
        <v/>
      </c>
      <c r="CA15">
        <f>CA14+IF(AND(BZ15&lt;&gt;"",COUNTIF(BZ$4:BZ15,BZ15)=1),1,0)</f>
        <v/>
      </c>
      <c r="CB15" s="138">
        <f>IF(ROW()-3&gt;MAX(CA$4:CA$40),"",INDEX(BZ$4:BZ$40,MATCH(ROW()-3,CA$4:CA$40,0)))</f>
        <v/>
      </c>
      <c r="CC15" s="55">
        <f>IF('Final Calculation Sheet'!$O$15="","",'Final Calculation Sheet'!$O$15)</f>
        <v/>
      </c>
      <c r="CD15">
        <f>IF(CC15="","",COUNTIFS(CC$4:CC$40,"&lt;"&amp;CC15,CC$4:CC$40,"&lt;&gt;"&amp;"")+COUNTIF(CC$4:CC15,CC15))</f>
        <v/>
      </c>
      <c r="CE15" s="55">
        <f>IF(ROW()-3&gt;COUNTIF(CC$4:CC$40,"&lt;&gt;"&amp;""),"",INDEX(CC$4:CC$40,MATCH(ROW()-3,CD$4:CD$40,0)))</f>
        <v/>
      </c>
      <c r="CF15">
        <f>CF14+IF(AND(CE15&lt;&gt;"",COUNTIF(CE$4:CE15,CE15)=1),1,0)</f>
        <v/>
      </c>
      <c r="CG15" s="55">
        <f>IF(ROW()-3&gt;MAX(CF$4:CF$40),"",INDEX(CE$4:CE$40,MATCH(ROW()-3,CF$4:CF$40,0)))</f>
        <v/>
      </c>
      <c r="CH15" s="55">
        <f>IF('Final Calculation Sheet'!$P$15="","",'Final Calculation Sheet'!$P$15)</f>
        <v/>
      </c>
      <c r="CI15">
        <f>IF(CH15="","",COUNTIFS(CH$4:CH$40,"&lt;"&amp;CH15,CH$4:CH$40,"&lt;&gt;"&amp;"")+COUNTIF(CH$4:CH15,CH15))</f>
        <v/>
      </c>
      <c r="CJ15" s="55">
        <f>IF(ROW()-3&gt;COUNTIF(CH$4:CH$40,"&lt;&gt;"&amp;""),"",INDEX(CH$4:CH$40,MATCH(ROW()-3,CI$4:CI$40,0)))</f>
        <v/>
      </c>
      <c r="CK15">
        <f>CK14+IF(AND(CJ15&lt;&gt;"",COUNTIF(CJ$4:CJ15,CJ15)=1),1,0)</f>
        <v/>
      </c>
      <c r="CL15" s="55">
        <f>IF(ROW()-3&gt;MAX(CK$4:CK$40),"",INDEX(CJ$4:CJ$40,MATCH(ROW()-3,CK$4:CK$40,0)))</f>
        <v/>
      </c>
      <c r="CM15" s="139">
        <f>IF('Final Calculation Sheet'!$Q$15="","",'Final Calculation Sheet'!$Q$15)</f>
        <v/>
      </c>
      <c r="CN15">
        <f>IF(CM15="","",COUNTIFS(CM$4:CM$40,"&lt;"&amp;CM15,CM$4:CM$40,"&lt;&gt;"&amp;"")+COUNTIF(CM$4:CM15,CM15))</f>
        <v/>
      </c>
      <c r="CO15" s="139">
        <f>IF(ROW()-3&gt;COUNTIF(CM$4:CM$40,"&lt;&gt;"&amp;""),"",INDEX(CM$4:CM$40,MATCH(ROW()-3,CN$4:CN$40,0)))</f>
        <v/>
      </c>
      <c r="CP15">
        <f>CP14+IF(AND(CO15&lt;&gt;"",COUNTIF(CO$4:CO15,CO15)=1),1,0)</f>
        <v/>
      </c>
      <c r="CQ15">
        <f>IF(ROW()-3&gt;MAX(CP$4:CP$40),"",INDEX(CO$4:CO$40,MATCH(ROW()-3,CP$4:CP$40,0)))</f>
        <v/>
      </c>
      <c r="CR15" s="55">
        <f>IF('Final Calculation Sheet'!$R$15="","",'Final Calculation Sheet'!$R$15)</f>
        <v/>
      </c>
      <c r="CS15">
        <f>IF(CR15="","",COUNTIFS(CR$4:CR$40,"&lt;"&amp;CR15,CR$4:CR$40,"&lt;&gt;"&amp;"")+COUNTIF(CR$4:CR15,CR15))</f>
        <v/>
      </c>
      <c r="CT15" s="55">
        <f>IF(ROW()-3&gt;COUNTIF(CR$4:CR$40,"&lt;&gt;"&amp;""),"",INDEX(CR$4:CR$40,MATCH(ROW()-3,CS$4:CS$40,0)))</f>
        <v/>
      </c>
      <c r="CU15">
        <f>CU14+IF(AND(CT15&lt;&gt;"",COUNTIF(CT$4:CT15,CT15)=1),1,0)</f>
        <v/>
      </c>
      <c r="CV15">
        <f>IF(ROW()-3&gt;MAX(CU$4:CU$40),"",INDEX(CT$4:CT$40,MATCH(ROW()-3,CU$4:CU$40,0)))</f>
        <v/>
      </c>
      <c r="CW15" s="55">
        <f>IF('Final Calculation Sheet'!$S$15="","",'Final Calculation Sheet'!$S$15)</f>
        <v/>
      </c>
      <c r="CX15">
        <f>IF(CW15="","",COUNTIFS(CW$4:CW$40,"&lt;"&amp;CW15,CW$4:CW$40,"&lt;&gt;"&amp;"")+COUNTIF(CW$4:CW15,CW15))</f>
        <v/>
      </c>
      <c r="CY15" s="55">
        <f>IF(ROW()-3&gt;COUNTIF(CW$4:CW$40,"&lt;&gt;"&amp;""),"",INDEX(CW$4:CW$40,MATCH(ROW()-3,CX$4:CX$40,0)))</f>
        <v/>
      </c>
      <c r="CZ15">
        <f>CZ14+IF(AND(CY15&lt;&gt;"",COUNTIF(CY$4:CY15,CY15)=1),1,0)</f>
        <v/>
      </c>
      <c r="DA15" s="55">
        <f>IF(ROW()-3&gt;MAX(CZ$4:CZ$40),"",INDEX(CY$4:CY$40,MATCH(ROW()-3,CZ$4:CZ$40,0)))</f>
        <v/>
      </c>
      <c r="DB15" s="55">
        <f>IF('Final Calculation Sheet'!$T$15="","",'Final Calculation Sheet'!$T$15)</f>
        <v/>
      </c>
      <c r="DC15">
        <f>IF(DB15="","",COUNTIFS(DB$4:DB$40,"&lt;"&amp;DB15,DB$4:DB$40,"&lt;&gt;"&amp;"")+COUNTIF(DB$4:DB15,DB15))</f>
        <v/>
      </c>
      <c r="DD15" s="55">
        <f>IF(ROW()-3&gt;COUNTIF(DB$4:DB$40,"&lt;&gt;"&amp;""),"",INDEX(DB$4:DB$40,MATCH(ROW()-3,DC$4:DC$40,0)))</f>
        <v/>
      </c>
      <c r="DE15">
        <f>DE14+IF(AND(DD15&lt;&gt;"",COUNTIF(DD$4:DD15,DD15)=1),1,0)</f>
        <v/>
      </c>
      <c r="DF15" s="55">
        <f>IF(ROW()-3&gt;MAX(DE$4:DE$40),"",INDEX(DD$4:DD$40,MATCH(ROW()-3,DE$4:DE$40,0)))</f>
        <v/>
      </c>
      <c r="DG15" s="140">
        <f>IF('Final Calculation Sheet'!$U$15="","",'Final Calculation Sheet'!$U$15)</f>
        <v/>
      </c>
      <c r="DH15">
        <f>IF(DG15="","",COUNTIFS(DG$4:DG$40,"&lt;"&amp;DG15,DG$4:DG$40,"&lt;&gt;"&amp;"")+COUNTIF(DG$4:DG15,DG15))</f>
        <v/>
      </c>
      <c r="DI15" s="140">
        <f>IF(ROW()-3&gt;COUNTIF(DG$4:DG$40,"&lt;&gt;"&amp;""),"",INDEX(DG$4:DG$40,MATCH(ROW()-3,DH$4:DH$40,0)))</f>
        <v/>
      </c>
      <c r="DJ15">
        <f>DJ14+IF(AND(DI15&lt;&gt;"",COUNTIF(DI$4:DI15,DI15)=1),1,0)</f>
        <v/>
      </c>
      <c r="DK15" s="140">
        <f>IF(ROW()-3&gt;MAX(DJ$4:DJ$40),"",INDEX(DI$4:DI$40,MATCH(ROW()-3,DJ$4:DJ$40,0)))</f>
        <v/>
      </c>
      <c r="DL15">
        <f>IF('Final Calculation Sheet'!$V$15="","",'Final Calculation Sheet'!$V$15)</f>
        <v/>
      </c>
      <c r="DM15">
        <f>IF(DL15="","",COUNTIFS(DL$4:DL$40,"&lt;"&amp;DL15,DL$4:DL$40,"&lt;&gt;"&amp;"")+COUNTIF(DL$4:DL15,DL15))</f>
        <v/>
      </c>
      <c r="DN15">
        <f>IF(ROW()-3&gt;COUNTIF(DL$4:DL$40,"&lt;&gt;"&amp;""),"",INDEX(DL$4:DL$40,MATCH(ROW()-3,DM$4:DM$40,0)))</f>
        <v/>
      </c>
      <c r="DO15">
        <f>DO14+IF(AND(DN15&lt;&gt;"",COUNTIF(DN$4:DN15,DN15)=1),1,0)</f>
        <v/>
      </c>
      <c r="DP15">
        <f>IF(ROW()-3&gt;MAX(DO$4:DO$40),"",INDEX(DN$4:DN$40,MATCH(ROW()-3,DO$4:DO$40,0)))</f>
        <v/>
      </c>
      <c r="DQ15" s="55">
        <f>IF('Final Calculation Sheet'!$W$15="","",'Final Calculation Sheet'!$W$15)</f>
        <v/>
      </c>
      <c r="DR15">
        <f>IF(DQ15="","",COUNTIFS(DQ$4:DQ$40,"&lt;"&amp;DQ15,DQ$4:DQ$40,"&lt;&gt;"&amp;"")+COUNTIF(DQ$4:DQ15,DQ15))</f>
        <v/>
      </c>
      <c r="DS15" s="55">
        <f>IF(ROW()-3&gt;COUNTIF(DQ$4:DQ$40,"&lt;&gt;"&amp;""),"",INDEX(DQ$4:DQ$40,MATCH(ROW()-3,DR$4:DR$40,0)))</f>
        <v/>
      </c>
      <c r="DT15">
        <f>DT14+IF(AND(DS15&lt;&gt;"",COUNTIF(DS$4:DS15,DS15)=1),1,0)</f>
        <v/>
      </c>
      <c r="DU15" s="55">
        <f>IF(ROW()-3&gt;MAX(DT$4:DT$40),"",INDEX(DS$4:DS$40,MATCH(ROW()-3,DT$4:DT$40,0)))</f>
        <v/>
      </c>
      <c r="DV15" s="55">
        <f>IF('Final Calculation Sheet'!$X$15="","",'Final Calculation Sheet'!$X$15)</f>
        <v/>
      </c>
      <c r="DW15">
        <f>IF(DV15="","",COUNTIFS(DV$4:DV$40,"&lt;"&amp;DV15,DV$4:DV$40,"&lt;&gt;"&amp;"")+COUNTIF(DV$4:DV15,DV15))</f>
        <v/>
      </c>
      <c r="DX15" s="55">
        <f>IF(ROW()-3&gt;COUNTIF(DV$4:DV$40,"&lt;&gt;"&amp;""),"",INDEX(DV$4:DV$40,MATCH(ROW()-3,DW$4:DW$40,0)))</f>
        <v/>
      </c>
      <c r="DY15">
        <f>DY14+IF(AND(DX15&lt;&gt;"",COUNTIF(DX$4:DX15,DX15)=1),1,0)</f>
        <v/>
      </c>
      <c r="DZ15">
        <f>IF(ROW()-3&gt;MAX(DY$4:DY$40),"",INDEX(DX$4:DX$40,MATCH(ROW()-3,DY$4:DY$40,0)))</f>
        <v/>
      </c>
      <c r="EA15">
        <f>IF('Final Calculation Sheet'!$Y$15="","",'Final Calculation Sheet'!$Y$15)</f>
        <v/>
      </c>
      <c r="EB15">
        <f>IF(EA15="","",COUNTIFS(EA$4:EA$40,"&lt;"&amp;EA15,EA$4:EA$40,"&lt;&gt;"&amp;"")+COUNTIF(EA$4:EA15,EA15))</f>
        <v/>
      </c>
      <c r="EC15">
        <f>IF(ROW()-3&gt;COUNTIF(EA$4:EA$40,"&lt;&gt;"&amp;""),"",INDEX(EA$4:EA$40,MATCH(ROW()-3,EB$4:EB$40,0)))</f>
        <v/>
      </c>
      <c r="ED15">
        <f>ED14+IF(AND(EC15&lt;&gt;"",COUNTIF(EC$4:EC15,EC15)=1),1,0)</f>
        <v/>
      </c>
      <c r="EE15">
        <f>IF(ROW()-3&gt;MAX(ED$4:ED$40),"",INDEX(EC$4:EC$40,MATCH(ROW()-3,ED$4:ED$40,0)))</f>
        <v/>
      </c>
      <c r="EF15" s="55">
        <f>IF('Final Calculation Sheet'!$Z$15="","",'Final Calculation Sheet'!$Z$15)</f>
        <v/>
      </c>
      <c r="EG15">
        <f>IF(EF15="","",COUNTIFS(EF$4:EF$40,"&lt;"&amp;EF15,EF$4:EF$40,"&lt;&gt;"&amp;"")+COUNTIF(EF$4:EF15,EF15))</f>
        <v/>
      </c>
      <c r="EH15" s="55">
        <f>IF(ROW()-3&gt;COUNTIF(EF$4:EF$40,"&lt;&gt;"&amp;""),"",INDEX(EF$4:EF$40,MATCH(ROW()-3,EG$4:EG$40,0)))</f>
        <v/>
      </c>
      <c r="EI15">
        <f>EI14+IF(AND(EH15&lt;&gt;"",COUNTIF(EH$4:EH15,EH15)=1),1,0)</f>
        <v/>
      </c>
      <c r="EJ15">
        <f>IF(ROW()-3&gt;MAX(EI$4:EI$40),"",INDEX(EH$4:EH$40,MATCH(ROW()-3,EI$4:EI$40,0)))</f>
        <v/>
      </c>
      <c r="EK15">
        <f>IF('Final Calculation Sheet'!$AA$15="","",'Final Calculation Sheet'!$AA$15)</f>
        <v/>
      </c>
      <c r="EL15">
        <f>IF(EK15="","",COUNTIFS(EK$4:EK$40,"&lt;"&amp;EK15,EK$4:EK$40,"&lt;&gt;"&amp;"")+COUNTIF(EK$4:EK15,EK15))</f>
        <v/>
      </c>
      <c r="EM15">
        <f>IF(ROW()-3&gt;COUNTIF(EK$4:EK$40,"&lt;&gt;"&amp;""),"",INDEX(EK$4:EK$40,MATCH(ROW()-3,EL$4:EL$40,0)))</f>
        <v/>
      </c>
      <c r="EN15">
        <f>EN14+IF(AND(EM15&lt;&gt;"",COUNTIF(EM$4:EM15,EM15)=1),1,0)</f>
        <v/>
      </c>
      <c r="EO15">
        <f>IF(ROW()-3&gt;MAX(EN$4:EN$40),"",INDEX(EM$4:EM$40,MATCH(ROW()-3,EN$4:EN$40,0)))</f>
        <v/>
      </c>
      <c r="EP15">
        <f>IF('Final Calculation Sheet'!$AB$15="","",'Final Calculation Sheet'!$AB$15)</f>
        <v/>
      </c>
      <c r="EQ15">
        <f>IF(EP15="","",COUNTIFS(EP$4:EP$40,"&lt;"&amp;EP15,EP$4:EP$40,"&lt;&gt;"&amp;"")+COUNTIF(EP$4:EP15,EP15))</f>
        <v/>
      </c>
      <c r="ER15">
        <f>IF(ROW()-3&gt;COUNTIF(EP$4:EP$40,"&lt;&gt;"&amp;""),"",INDEX(EP$4:EP$40,MATCH(ROW()-3,EQ$4:EQ$40,0)))</f>
        <v/>
      </c>
      <c r="ES15">
        <f>ES14+IF(AND(ER15&lt;&gt;"",COUNTIF(ER$4:ER15,ER15)=1),1,0)</f>
        <v/>
      </c>
      <c r="ET15">
        <f>IF(ROW()-3&gt;MAX(ES$4:ES$40),"",INDEX(ER$4:ER$40,MATCH(ROW()-3,ES$4:ES$40,0)))</f>
        <v/>
      </c>
      <c r="EU15" s="55">
        <f>IF('Final Calculation Sheet'!$AC$15="","",'Final Calculation Sheet'!$AC$15)</f>
        <v/>
      </c>
      <c r="EV15">
        <f>IF(EU15="","",COUNTIFS(EU$4:EU$40,"&lt;"&amp;EU15,EU$4:EU$40,"&lt;&gt;"&amp;"")+COUNTIF(EU$4:EU15,EU15))</f>
        <v/>
      </c>
      <c r="EW15" s="55">
        <f>IF(ROW()-3&gt;COUNTIF(EU$4:EU$40,"&lt;&gt;"&amp;""),"",INDEX(EU$4:EU$40,MATCH(ROW()-3,EV$4:EV$40,0)))</f>
        <v/>
      </c>
      <c r="EX15">
        <f>EX14+IF(AND(EW15&lt;&gt;"",COUNTIF(EW$4:EW15,EW15)=1),1,0)</f>
        <v/>
      </c>
      <c r="EY15" s="55">
        <f>IF(ROW()-3&gt;MAX(EX$4:EX$40),"",INDEX(EW$4:EW$40,MATCH(ROW()-3,EX$4:EX$40,0)))</f>
        <v/>
      </c>
      <c r="EZ15" s="55">
        <f>IF('Final Calculation Sheet'!$AD$15="","",'Final Calculation Sheet'!$AD$15)</f>
        <v/>
      </c>
      <c r="FA15">
        <f>IF(EZ15="","",COUNTIFS(EZ$4:EZ$40,"&lt;"&amp;EZ15,EZ$4:EZ$40,"&lt;&gt;"&amp;"")+COUNTIF(EZ$4:EZ15,EZ15))</f>
        <v/>
      </c>
      <c r="FB15" s="55">
        <f>IF(ROW()-3&gt;COUNTIF(EZ$4:EZ$40,"&lt;&gt;"&amp;""),"",INDEX(EZ$4:EZ$40,MATCH(ROW()-3,FA$4:FA$40,0)))</f>
        <v/>
      </c>
      <c r="FC15">
        <f>FC14+IF(AND(FB15&lt;&gt;"",COUNTIF(FB$4:FB15,FB15)=1),1,0)</f>
        <v/>
      </c>
      <c r="FD15">
        <f>IF(ROW()-3&gt;MAX(FC$4:FC$40),"",INDEX(FB$4:FB$40,MATCH(ROW()-3,FC$4:FC$40,0)))</f>
        <v/>
      </c>
      <c r="FE15">
        <f>IF('Final Calculation Sheet'!$AF$15="","",'Final Calculation Sheet'!$AF$15)</f>
        <v/>
      </c>
      <c r="FF15">
        <f>IF(FE15="","",COUNTIFS(FE$4:FE$40,"&lt;"&amp;FE15,FE$4:FE$40,"&lt;&gt;"&amp;"")+COUNTIF(FE$4:FE15,FE15))</f>
        <v/>
      </c>
      <c r="FG15">
        <f>IF(ROW()-3&gt;COUNTIF(FE$4:FE$40,"&lt;&gt;"&amp;""),"",INDEX(FE$4:FE$40,MATCH(ROW()-3,FF$4:FF$40,0)))</f>
        <v/>
      </c>
      <c r="FH15">
        <f>FH14+IF(AND(FG15&lt;&gt;"",COUNTIF(FG$4:FG15,FG15)=1),1,0)</f>
        <v/>
      </c>
      <c r="FI15">
        <f>IF(ROW()-3&gt;MAX(FH$4:FH$40),"",INDEX(FG$4:FG$40,MATCH(ROW()-3,FH$4:FH$40,0)))</f>
        <v/>
      </c>
      <c r="FJ15" s="141">
        <f>IF('Final Calculation Sheet'!$AG$15="","",'Final Calculation Sheet'!$AG$15)</f>
        <v/>
      </c>
      <c r="FK15">
        <f>IF(FJ15="","",COUNTIFS(FJ$4:FJ$40,"&lt;"&amp;FJ15,FJ$4:FJ$40,"&lt;&gt;"&amp;"")+COUNTIF(FJ$4:FJ15,FJ15))</f>
        <v/>
      </c>
      <c r="FL15" s="141">
        <f>IF(ROW()-3&gt;COUNTIF(FJ$4:FJ$40,"&lt;&gt;"&amp;""),"",INDEX(FJ$4:FJ$40,MATCH(ROW()-3,FK$4:FK$40,0)))</f>
        <v/>
      </c>
      <c r="FM15">
        <f>FM14+IF(AND(FL15&lt;&gt;"",COUNTIF(FL$4:FL15,FL15)=1),1,0)</f>
        <v/>
      </c>
      <c r="FN15">
        <f>IF(ROW()-3&gt;MAX(FM$4:FM$40),"",INDEX(FL$4:FL$40,MATCH(ROW()-3,FM$4:FM$40,0)))</f>
        <v/>
      </c>
      <c r="FO15">
        <f>IF('Final Calculation Sheet'!$AH$15="","",'Final Calculation Sheet'!$AH$15)</f>
        <v/>
      </c>
      <c r="FP15">
        <f>IF(FO15="","",COUNTIFS(FO$4:FO$40,"&lt;"&amp;FO15,FO$4:FO$40,"&lt;&gt;"&amp;"")+COUNTIF(FO$4:FO15,FO15))</f>
        <v/>
      </c>
      <c r="FQ15">
        <f>IF(ROW()-3&gt;COUNTIF(FO$4:FO$40,"&lt;&gt;"&amp;""),"",INDEX(FO$4:FO$40,MATCH(ROW()-3,FP$4:FP$40,0)))</f>
        <v/>
      </c>
      <c r="FR15">
        <f>FR14+IF(AND(FQ15&lt;&gt;"",COUNTIF(FQ$4:FQ15,FQ15)=1),1,0)</f>
        <v/>
      </c>
      <c r="FS15">
        <f>IF(ROW()-3&gt;MAX(FR$4:FR$40),"",INDEX(FQ$4:FQ$40,MATCH(ROW()-3,FR$4:FR$40,0)))</f>
        <v/>
      </c>
      <c r="FU15">
        <f>IF(FT15="","",COUNTIFS(FT$4:FT$40,"&lt;"&amp;FT15,FT$4:FT$40,"&lt;&gt;"&amp;"")+COUNTIF(FT$4:FT15,FT15))</f>
        <v/>
      </c>
      <c r="FV15">
        <f>IF(ROW()-3&gt;COUNTIF(FT$4:FT$40,"&lt;&gt;"&amp;""),"",INDEX(FT$4:FT$40,MATCH(ROW()-3,FU$4:FU$40,0)))</f>
        <v/>
      </c>
      <c r="FW15">
        <f>FW14+IF(AND(FV15&lt;&gt;"",COUNTIF(FV$4:FV15,FV15)=1),1,0)</f>
        <v/>
      </c>
      <c r="FX15">
        <f>IF(ROW()-3&gt;MAX(FW$4:FW$40),"",INDEX(FV$4:FV$40,MATCH(ROW()-3,FW$4:FW$40,0)))</f>
        <v/>
      </c>
      <c r="FY15">
        <f>IF(COUNTIF('Live Search'!BM$14:BO$14,0)+COUNTIF('Live Search'!BQ$14:CU$14,0)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5">
        <f>IF($Y$15="",FALSE,SUMPRODUCT(('Final Calculation Sheet'!$B$4:$B$40=$Y$15)*($FY$6:$FY$42=1))&gt;0)</f>
        <v/>
      </c>
      <c r="GA15">
        <f>$GA$14+--($FZ$15)</f>
        <v/>
      </c>
      <c r="GB15">
        <f>IF(ROW()-3&gt;MAX($GA$4:$GA$40),"",INDEX($Y$4:$Y$40,MATCH(ROW()-3,$GA$4:$GA$40,0)))</f>
        <v/>
      </c>
      <c r="GC15">
        <f>IF(COUNTIF('Live Search'!BM$14:BM$14,0)+COUNTIF('Live Search'!BO$14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GD15">
        <f>IF($O$15="",FALSE,SUMPRODUCT(('Final Calculation Sheet'!$F$4:$F$40=$O$15)*($GC$6:$GC$42=1))&gt;0)</f>
        <v/>
      </c>
      <c r="GE15">
        <f>$GE$14+--($GD15)</f>
        <v/>
      </c>
      <c r="GF15">
        <f>IF(ROW()-3&gt;MAX($GE$4:$GE$40),"",INDEX($O$4:$O$40,MATCH(ROW()-3,$GE$4:$GE$40,0)))</f>
        <v/>
      </c>
      <c r="GG15">
        <f>IF(COUNTIF('Live Search'!BM$14:BN$14,0)+COUNTIF('Live Search'!BP$14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GH15">
        <f>IF($T$15="",FALSE,SUMPRODUCT(('Final Calculation Sheet'!$G$4:$G$40=$T$15)*($GG$6:$GG$42=1))&gt;0)</f>
        <v/>
      </c>
      <c r="GI15">
        <f>$GI$14+--($GH15)</f>
        <v/>
      </c>
      <c r="GJ15">
        <f>IF(ROW()-3&gt;MAX($GI$4:$GI$40),"",INDEX($T$4:$T$40,MATCH(ROW()-3,$GI$4:$GI$40,0)))</f>
        <v/>
      </c>
      <c r="GK15">
        <f>IF(COUNTIF('Live Search'!BM$14:BP$14,0)+COUNTIF('Live Search'!BR$14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GL15">
        <f>IF($AD$15="",FALSE,SUMPRODUCT(('Final Calculation Sheet'!$D$4:$D$40=$AD$15)*($GK$6:$GK$42=1))&gt;0)</f>
        <v/>
      </c>
      <c r="GM15">
        <f>$GM$14+--($GL15)</f>
        <v/>
      </c>
      <c r="GN15">
        <f>IF(ROW()-3&gt;MAX($GM$4:$GM$40),"",INDEX($AD$4:$AD$40,MATCH(ROW()-3,$GM$4:$GM$40,0)))</f>
        <v/>
      </c>
      <c r="GO15">
        <f>IF(COUNTIF('Live Search'!BM$14:BQ$14,0)+COUNTIF('Live Search'!BS$14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GP15">
        <f>IF($AI$15="",FALSE,SUMPRODUCT(('Final Calculation Sheet'!$A$4:$A$40=$AI$15)*($GO$6:$GO$42=1))&gt;0)</f>
        <v/>
      </c>
      <c r="GQ15">
        <f>$GQ$14+--($GP15)</f>
        <v/>
      </c>
      <c r="GR15">
        <f>IF(ROW()-3&gt;MAX($GQ$4:$GQ$40),"",INDEX($AI$4:$AI$40,MATCH(ROW()-3,$GQ$4:$GQ$40,0)))</f>
        <v/>
      </c>
      <c r="GS15">
        <f>IF(COUNTIF('Live Search'!BM$14:BR$14,0)+COUNTIF('Live Search'!BT$14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GT15">
        <f>IF($AN$15="",FALSE,SUMPRODUCT(('Final Calculation Sheet'!$E$4:$E$40=$AN$15)*($GS$6:$GS$42=1))&gt;0)</f>
        <v/>
      </c>
      <c r="GU15">
        <f>$GU$14+--($GT15)</f>
        <v/>
      </c>
      <c r="GV15">
        <f>IF(ROW()-3&gt;MAX($GU$4:$GU$40),"",INDEX($AN$4:$AN$40,MATCH(ROW()-3,$GU$4:$GU$40,0)))</f>
        <v/>
      </c>
      <c r="GW15">
        <f>IF(COUNTIF('Live Search'!BM$14:BS$14,0)+COUNTIF('Live Search'!BU$14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GX15">
        <f>IF($AS$15="",FALSE,SUMPRODUCT(('Final Calculation Sheet'!$C$4:$C$40=$AS$15)*($GW$6:$GW$42=1))&gt;0)</f>
        <v/>
      </c>
      <c r="GY15">
        <f>$GY$14+--($GX15)</f>
        <v/>
      </c>
      <c r="GZ15">
        <f>IF(ROW()-3&gt;MAX($GY$4:$GY$40),"",INDEX($AS$4:$AS$40,MATCH(ROW()-3,$GY$4:$GY$40,0)))</f>
        <v/>
      </c>
      <c r="HA15">
        <f>IF(COUNTIF('Live Search'!BM$14:BT$14,0)+COUNTIF('Live Search'!BV$14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HB15">
        <f>IF($AX$15="",FALSE,SUMPRODUCT(('Final Calculation Sheet'!$H$4:$H$40=$AX$15)*($HA$6:$HA$42=1))&gt;0)</f>
        <v/>
      </c>
      <c r="HC15">
        <f>$HC$14+--($HB15)</f>
        <v/>
      </c>
      <c r="HD15">
        <f>IF(ROW()-3&gt;MAX($HC$4:$HC$40),"",INDEX($AX$4:$AX$40,MATCH(ROW()-3,$HC$4:$HC$40,0)))</f>
        <v/>
      </c>
      <c r="HE15">
        <f>IF(COUNTIF('Live Search'!BM$14:BU$14,0)+COUNTIF('Live Search'!BW$14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HF15">
        <f>IF($BC$15="",FALSE,SUMPRODUCT(('Final Calculation Sheet'!$I$4:$I$40=$BC$15)*($HE$6:$HE$42=1))&gt;0)</f>
        <v/>
      </c>
      <c r="HG15">
        <f>$HG$14+--($HF15)</f>
        <v/>
      </c>
      <c r="HH15">
        <f>IF(ROW()-3&gt;MAX($HG$4:$HG$40),"",INDEX($BC$4:$BC$40,MATCH(ROW()-3,$HG$4:$HG$40,0)))</f>
        <v/>
      </c>
      <c r="HI15">
        <f>IF(COUNTIF('Live Search'!BM$14:BV$14,0)+COUNTIF('Live Search'!BX$14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HJ15">
        <f>IF($BH$15="",FALSE,SUMPRODUCT(('Final Calculation Sheet'!$J$4:$J$40=$BH$15)*($HI$6:$HI$42=1))&gt;0)</f>
        <v/>
      </c>
      <c r="HK15">
        <f>$HK$14+--($HJ15)</f>
        <v/>
      </c>
      <c r="HL15">
        <f>IF(ROW()-3&gt;MAX($HK$4:$HK$40),"",INDEX($BH$4:$BH$40,MATCH(ROW()-3,$HK$4:$HK$40,0)))</f>
        <v/>
      </c>
      <c r="HM15">
        <f>IF(COUNTIF('Live Search'!BM$14:BW$14,0)+COUNTIF('Live Search'!BY$14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HN15">
        <f>IF($BM$15="",FALSE,SUMPRODUCT(('Final Calculation Sheet'!$K$4:$K$40=$BM$15)*($HM$6:$HM$42=1))&gt;0)</f>
        <v/>
      </c>
      <c r="HO15">
        <f>$HO$14+--($HN15)</f>
        <v/>
      </c>
      <c r="HP15">
        <f>IF(ROW()-3&gt;MAX($HO$4:$HO$40),"",INDEX($BM$4:$BM$40,MATCH(ROW()-3,$HO$4:$HO$40,0)))</f>
        <v/>
      </c>
      <c r="HQ15">
        <f>IF(COUNTIF('Live Search'!BM$14:BX$14,0)+COUNTIF('Live Search'!BZ$14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HR15">
        <f>IF($BR$15="",FALSE,SUMPRODUCT(('Final Calculation Sheet'!$L$4:$L$40=$BR$15)*($HQ$6:$HQ$42=1))&gt;0)</f>
        <v/>
      </c>
      <c r="HS15">
        <f>$HS$14+--($HR15)</f>
        <v/>
      </c>
      <c r="HT15">
        <f>IF(ROW()-3&gt;MAX($HS$4:$HS$40),"",INDEX($BR$4:$BR$40,MATCH(ROW()-3,$HS$4:$HS$40,0)))</f>
        <v/>
      </c>
      <c r="HU15">
        <f>IF(COUNTIF('Live Search'!BM$14:BY$14,0)+COUNTIF('Live Search'!CA$14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HV15">
        <f>IF($BW$15="",FALSE,SUMPRODUCT(('Final Calculation Sheet'!$M$4:$M$40=$BW$15)*($HU$6:$HU$42=1))&gt;0)</f>
        <v/>
      </c>
      <c r="HW15">
        <f>$HW$14+--($HV15)</f>
        <v/>
      </c>
      <c r="HX15">
        <f>IF(ROW()-3&gt;MAX($HW$4:$HW$40),"",INDEX($BW$4:$BW$40,MATCH(ROW()-3,$HW$4:$HW$40,0)))</f>
        <v/>
      </c>
      <c r="HY15">
        <f>IF(COUNTIF('Live Search'!BM$14:BZ$14,0)+COUNTIF('Live Search'!CB$14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HZ15">
        <f>IF($CB$15="",FALSE,SUMPRODUCT(('Final Calculation Sheet'!$N$4:$N$40=$CB$15)*($HY$6:$HY$42=1))&gt;0)</f>
        <v/>
      </c>
      <c r="IA15">
        <f>$IA$14+--($HZ15)</f>
        <v/>
      </c>
      <c r="IB15">
        <f>IF(ROW()-3&gt;MAX($IA$4:$IA$40),"",INDEX($CB$4:$CB$40,MATCH(ROW()-3,$IA$4:$IA$40,0)))</f>
        <v/>
      </c>
      <c r="IC15">
        <f>IF(COUNTIF('Live Search'!BM$14:CA$14,0)+COUNTIF('Live Search'!CC$14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ID15">
        <f>IF($CG$15="",FALSE,SUMPRODUCT(('Final Calculation Sheet'!$O$4:$O$40=$CG$15)*($IC$6:$IC$42=1))&gt;0)</f>
        <v/>
      </c>
      <c r="IE15">
        <f>$IE$14+--($ID15)</f>
        <v/>
      </c>
      <c r="IF15">
        <f>IF(ROW()-3&gt;MAX($IE$4:$IE$40),"",INDEX($CG$4:$CG$40,MATCH(ROW()-3,$IE$4:$IE$40,0)))</f>
        <v/>
      </c>
      <c r="IG15">
        <f>IF(COUNTIF('Live Search'!BM$14:CB$14,0)+COUNTIF('Live Search'!CD$14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IH15">
        <f>IF($CL$15="",FALSE,SUMPRODUCT(('Final Calculation Sheet'!$P$4:$P$40=$CL$15)*($IG$6:$IG$42=1))&gt;0)</f>
        <v/>
      </c>
      <c r="II15">
        <f>$II$14+--($IH15)</f>
        <v/>
      </c>
      <c r="IJ15">
        <f>IF(ROW()-3&gt;MAX($II$4:$II$40),"",INDEX($CL$4:$CL$40,MATCH(ROW()-3,$II$4:$II$40,0)))</f>
        <v/>
      </c>
      <c r="IK15">
        <f>IF(COUNTIF('Live Search'!BM$14:CC$14,0)+COUNTIF('Live Search'!CE$14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IL15">
        <f>IF($CQ$15="",FALSE,SUMPRODUCT(('Final Calculation Sheet'!$Q$4:$Q$40=$CQ$15)*($IK$6:$IK$42=1))&gt;0)</f>
        <v/>
      </c>
      <c r="IM15">
        <f>$IM$14+--($IL15)</f>
        <v/>
      </c>
      <c r="IN15">
        <f>IF(ROW()-3&gt;MAX($IM$4:$IM$40),"",INDEX($CQ$4:$CQ$40,MATCH(ROW()-3,$IM$4:$IM$40,0)))</f>
        <v/>
      </c>
      <c r="IO15">
        <f>IF(COUNTIF('Live Search'!BM$14:CD$14,0)+COUNTIF('Live Search'!CF$14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IP15">
        <f>IF($CV$15="",FALSE,SUMPRODUCT(('Final Calculation Sheet'!$R$4:$R$40=$CV$15)*($IO$6:$IO$42=1))&gt;0)</f>
        <v/>
      </c>
      <c r="IQ15">
        <f>$IQ$14+--($IP15)</f>
        <v/>
      </c>
      <c r="IR15">
        <f>IF(ROW()-3&gt;MAX($IQ$4:$IQ$40),"",INDEX($CV$4:$CV$40,MATCH(ROW()-3,$IQ$4:$IQ$40,0)))</f>
        <v/>
      </c>
      <c r="IS15">
        <f>IF(COUNTIF('Live Search'!BM$14:CE$14,0)+COUNTIF('Live Search'!CG$14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IT15">
        <f>IF($DA$15="",FALSE,SUMPRODUCT(('Final Calculation Sheet'!$S$4:$S$40=$DA$15)*($IS$6:$IS$42=1))&gt;0)</f>
        <v/>
      </c>
      <c r="IU15">
        <f>$IU$14+--($IT15)</f>
        <v/>
      </c>
      <c r="IV15">
        <f>IF(ROW()-3&gt;MAX($IU$4:$IU$40),"",INDEX($DA$4:$DA$40,MATCH(ROW()-3,$IU$4:$IU$40,0)))</f>
        <v/>
      </c>
      <c r="IW15">
        <f>IF(COUNTIF('Live Search'!BM$14:CF$14,0)+COUNTIF('Live Search'!CH$14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IX15">
        <f>IF($DF$15="",FALSE,SUMPRODUCT(('Final Calculation Sheet'!$T$4:$T$40=$DF$15)*($IW$6:$IW$42=1))&gt;0)</f>
        <v/>
      </c>
      <c r="IY15">
        <f>$IY$14+--($IX15)</f>
        <v/>
      </c>
      <c r="IZ15">
        <f>IF(ROW()-3&gt;MAX($IY$4:$IY$40),"",INDEX($DF$4:$DF$40,MATCH(ROW()-3,$IY$4:$IY$40,0)))</f>
        <v/>
      </c>
      <c r="JA15">
        <f>IF(COUNTIF('Live Search'!BM$14:CG$14,0)+COUNTIF('Live Search'!CI$14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JB15">
        <f>IF($DK$15="",FALSE,SUMPRODUCT(('Final Calculation Sheet'!$U$4:$U$40=$DK$15)*($JA$6:$JA$42=1))&gt;0)</f>
        <v/>
      </c>
      <c r="JC15">
        <f>$JC$14+--($JB15)</f>
        <v/>
      </c>
      <c r="JD15">
        <f>IF(ROW()-3&gt;MAX($JC$4:$JC$40),"",INDEX($DK$4:$DK$40,MATCH(ROW()-3,$JC$4:$JC$40,0)))</f>
        <v/>
      </c>
      <c r="JE15">
        <f>IF(COUNTIF('Live Search'!BM$14:CH$14,0)+COUNTIF('Live Search'!CJ$14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JF15">
        <f>IF($DP$15="",FALSE,SUMPRODUCT(('Final Calculation Sheet'!$V$4:$V$40=$DP$15)*($JE$6:$JE$42=1))&gt;0)</f>
        <v/>
      </c>
      <c r="JG15">
        <f>$JG$14+--($JF15)</f>
        <v/>
      </c>
      <c r="JH15">
        <f>IF(ROW()-3&gt;MAX($JG$4:$JG$40),"",INDEX($DP$4:$DP$40,MATCH(ROW()-3,$JG$4:$JG$40,0)))</f>
        <v/>
      </c>
      <c r="JI15">
        <f>IF(COUNTIF('Live Search'!BM$14:CI$14,0)+COUNTIF('Live Search'!CK$14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JJ15">
        <f>IF($DU$15="",FALSE,SUMPRODUCT(('Final Calculation Sheet'!$W$4:$W$40=$DU$15)*($JI$6:$JI$42=1))&gt;0)</f>
        <v/>
      </c>
      <c r="JK15">
        <f>$JK$14+--($JJ15)</f>
        <v/>
      </c>
      <c r="JL15">
        <f>IF(ROW()-3&gt;MAX($JK$4:$JK$40),"",INDEX($DU$4:$DU$40,MATCH(ROW()-3,$JK$4:$JK$40,0)))</f>
        <v/>
      </c>
      <c r="JM15">
        <f>IF(COUNTIF('Live Search'!BM$14:CJ$14,0)+COUNTIF('Live Search'!CL$14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JN15">
        <f>IF($DZ$15="",FALSE,SUMPRODUCT(('Final Calculation Sheet'!$X$4:$X$40=$DZ$15)*($JM$6:$JM$42=1))&gt;0)</f>
        <v/>
      </c>
      <c r="JO15">
        <f>$JO$14+--($JN15)</f>
        <v/>
      </c>
      <c r="JP15">
        <f>IF(ROW()-3&gt;MAX($JO$4:$JO$40),"",INDEX($DZ$4:$DZ$40,MATCH(ROW()-3,$JO$4:$JO$40,0)))</f>
        <v/>
      </c>
      <c r="JQ15">
        <f>IF(COUNTIF('Live Search'!BM$14:CK$14,0)+COUNTIF('Live Search'!CM$14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JR15">
        <f>IF($EE$15="",FALSE,SUMPRODUCT(('Final Calculation Sheet'!$Y$4:$Y$40=$EE$15)*($JQ$6:$JQ$42=1))&gt;0)</f>
        <v/>
      </c>
      <c r="JS15">
        <f>$JS$14+--($JR15)</f>
        <v/>
      </c>
      <c r="JT15">
        <f>IF(ROW()-3&gt;MAX($JS$4:$JS$40),"",INDEX($EE$4:$EE$40,MATCH(ROW()-3,$JS$4:$JS$40,0)))</f>
        <v/>
      </c>
      <c r="JU15">
        <f>IF(COUNTIF('Live Search'!BM$14:CL$14,0)+COUNTIF('Live Search'!CN$14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JV15">
        <f>IF($EJ$15="",FALSE,SUMPRODUCT(('Final Calculation Sheet'!$Z$4:$Z$40=$EJ$15)*($JU$6:$JU$42=1))&gt;0)</f>
        <v/>
      </c>
      <c r="JW15">
        <f>$JW$14+--($JV15)</f>
        <v/>
      </c>
      <c r="JX15">
        <f>IF(ROW()-3&gt;MAX($JW$4:$JW$40),"",INDEX($EJ$4:$EJ$40,MATCH(ROW()-3,$JW$4:$JW$40,0)))</f>
        <v/>
      </c>
      <c r="JY15">
        <f>IF(COUNTIF('Live Search'!BM$14:CM$14,0)+COUNTIF('Live Search'!CO$14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JZ15">
        <f>IF($EO$15="",FALSE,SUMPRODUCT(('Final Calculation Sheet'!$AA$4:$AA$40=$EO$15)*($JY$6:$JY$42=1))&gt;0)</f>
        <v/>
      </c>
      <c r="KA15">
        <f>$KA$14+--($JZ15)</f>
        <v/>
      </c>
      <c r="KB15">
        <f>IF(ROW()-3&gt;MAX($KA$4:$KA$40),"",INDEX($EO$4:$EO$40,MATCH(ROW()-3,$KA$4:$KA$40,0)))</f>
        <v/>
      </c>
      <c r="KC15">
        <f>IF(COUNTIF('Live Search'!BM$14:CN$14,0)+COUNTIF('Live Search'!CP$14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KD15">
        <f>IF($ET$15="",FALSE,SUMPRODUCT(('Final Calculation Sheet'!$AB$4:$AB$40=$ET$15)*($KC$6:$KC$42=1))&gt;0)</f>
        <v/>
      </c>
      <c r="KE15">
        <f>$KE$14+--($KD15)</f>
        <v/>
      </c>
      <c r="KF15">
        <f>IF(ROW()-3&gt;MAX($KE$4:$KE$40),"",INDEX($ET$4:$ET$40,MATCH(ROW()-3,$KE$4:$KE$40,0)))</f>
        <v/>
      </c>
      <c r="KG15">
        <f>IF(COUNTIF('Live Search'!BM$14:CO$14,0)+COUNTIF('Live Search'!CQ$14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KH15">
        <f>IF($EY$15="",FALSE,SUMPRODUCT(('Final Calculation Sheet'!$AC$4:$AC$40=$EY$15)*($KG$6:$KG$42=1))&gt;0)</f>
        <v/>
      </c>
      <c r="KI15">
        <f>$KI$14+--($KH15)</f>
        <v/>
      </c>
      <c r="KJ15">
        <f>IF(ROW()-3&gt;MAX($KI$4:$KI$40),"",INDEX($EY$4:$EY$40,MATCH(ROW()-3,$KI$4:$KI$40,0)))</f>
        <v/>
      </c>
      <c r="KK15">
        <f>IF(COUNTIF('Live Search'!BM$14:CP$14,0)+COUNTIF('Live Search'!CR$14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KL15">
        <f>IF($FD$15="",FALSE,SUMPRODUCT(('Final Calculation Sheet'!$AD$4:$AD$40=$FD$15)*($KK$6:$KK$42=1))&gt;0)</f>
        <v/>
      </c>
      <c r="KM15">
        <f>$KM$14+--($KL15)</f>
        <v/>
      </c>
      <c r="KN15">
        <f>IF(ROW()-3&gt;MAX($KM$4:$KM$40),"",INDEX($FD$4:$FD$40,MATCH(ROW()-3,$KM$4:$KM$40,0)))</f>
        <v/>
      </c>
      <c r="KO15">
        <f>IF(COUNTIF('Live Search'!BM$14:CT$14,0)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KP15">
        <f>IF($FX$15="",FALSE,SUMPRODUCT((IF('Final Calculation Sheet'!$AD$4:$AD$40&lt;=5,"SETTLED","OUTSTANDING")=$FX$15)*($KO$6:$KO$42=1))&gt;0)</f>
        <v/>
      </c>
      <c r="KQ15">
        <f>$KQ$14+--($KP15)</f>
        <v/>
      </c>
      <c r="KR15">
        <f>IF(ROW()-3&gt;MAX($KQ$4:$KQ$40),"",INDEX($FX$4:$FX$40,MATCH(ROW()-3,$KQ$4:$KQ$40,0)))</f>
        <v/>
      </c>
      <c r="KS15">
        <f>IF(COUNTIF('Live Search'!BM$14:CQ$14,0)+COUNTIF('Live Search'!CS$14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KT15">
        <f>IF($FI$15="",FALSE,SUMPRODUCT(('Final Calculation Sheet'!$AF$4:$AF$40=$FI$15)*($KS$6:$KS$42=1))&gt;0)</f>
        <v/>
      </c>
      <c r="KU15">
        <f>$KU$14+--($KT15)</f>
        <v/>
      </c>
      <c r="KV15">
        <f>IF(ROW()-3&gt;MAX($KU$4:$KU$40),"",INDEX($FI$4:$FI$40,MATCH(ROW()-3,$KU$4:$KU$40,0)))</f>
        <v/>
      </c>
      <c r="KW15">
        <f>IF(COUNTIF('Live Search'!BM$14:CR$14,0)+COUNTIF('Live Search'!CT$14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KX15">
        <f>IF($FN$15="",FALSE,SUMPRODUCT(('Final Calculation Sheet'!$AG$4:$AG$40=$FN$15)*($KW$6:$KW$42=1))&gt;0)</f>
        <v/>
      </c>
      <c r="KY15">
        <f>$KY$14+--($KX15)</f>
        <v/>
      </c>
      <c r="KZ15">
        <f>IF(ROW()-3&gt;MAX($KY$4:$KY$40),"",INDEX($FN$4:$FN$40,MATCH(ROW()-3,$KY$4:$KY$40,0)))</f>
        <v/>
      </c>
      <c r="LA15">
        <f>IF(COUNTIF('Live Search'!BM$14:CS$14,0)+COUNTIF('Live Search'!CU$14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LB15">
        <f>IF($FS$15="",FALSE,SUMPRODUCT(('Final Calculation Sheet'!$AH$4:$AH$40=$FS$15)*($LA$6:$LA$42=1))&gt;0)</f>
        <v/>
      </c>
      <c r="LC15">
        <f>$LC$14+--($LB15)</f>
        <v/>
      </c>
      <c r="LD15">
        <f>IF(ROW()-3&gt;MAX($LC$4:$LC$40),"",INDEX($FS$4:$FS$40,MATCH(ROW()-3,$LC$4:$LC$40,0)))</f>
        <v/>
      </c>
      <c r="LE15">
        <f>IF(COUNTIF('Buyer Groups'!DH68:EN68,0)&gt;0,0,1)</f>
        <v/>
      </c>
      <c r="LF15">
        <f>IF($O$15="",FALSE,SUMPRODUCT(('Final Calculation Sheet'!$F$4:$F$40=$O$15)*($LE$6:$LE$42=1))&gt;0)</f>
        <v/>
      </c>
      <c r="LG15">
        <f>$LG$14+--($LF15)</f>
        <v/>
      </c>
      <c r="LH15">
        <f>IF(ROW()-3&gt;MAX($LG$4:$LG$40),"",INDEX($O$4:$O$40,MATCH(ROW()-3,$LG$4:$LG$40,0)))</f>
        <v/>
      </c>
      <c r="LI15">
        <f>IF(COUNTIF('Buyer Groups'!DG68:DG68,0)+COUNTIF('Buyer Groups'!DI68:EN68,0)&gt;0,0,1)</f>
        <v/>
      </c>
      <c r="LJ15">
        <f>IF($T$15="",FALSE,SUMPRODUCT(('Final Calculation Sheet'!$G$4:$G$40=$T$15)*($LI$6:$LI$42=1))&gt;0)</f>
        <v/>
      </c>
      <c r="LK15">
        <f>$LK$14+--($LJ15)</f>
        <v/>
      </c>
      <c r="LL15">
        <f>IF(ROW()-3&gt;MAX($LK$4:$LK$40),"",INDEX($T$4:$T$40,MATCH(ROW()-3,$LK$4:$LK$40,0)))</f>
        <v/>
      </c>
      <c r="LM15">
        <f>IF(COUNTIF('Buyer Groups'!DG68:DH68,0)+COUNTIF('Buyer Groups'!DJ68:EN68,0)&gt;0,0,1)</f>
        <v/>
      </c>
      <c r="LN15">
        <f>IF($Y$15="",FALSE,SUMPRODUCT(('Final Calculation Sheet'!$B$4:$B$40=$Y$15)*($LM$6:$LM$42=1))&gt;0)</f>
        <v/>
      </c>
      <c r="LO15">
        <f>$LO$14+--($LN15)</f>
        <v/>
      </c>
      <c r="LP15">
        <f>IF(ROW()-3&gt;MAX($LO$4:$LO$40),"",INDEX($Y$4:$Y$40,MATCH(ROW()-3,$LO$4:$LO$40,0)))</f>
        <v/>
      </c>
      <c r="LQ15">
        <f>IF(COUNTIF('Buyer Groups'!DG68:DI68,0)+COUNTIF('Buyer Groups'!DK68:EN68,0)&gt;0,0,1)</f>
        <v/>
      </c>
      <c r="LR15">
        <f>IF($AD$15="",FALSE,SUMPRODUCT(('Final Calculation Sheet'!$D$4:$D$40=$AD$15)*($LQ$6:$LQ$42=1))&gt;0)</f>
        <v/>
      </c>
      <c r="LS15">
        <f>$LS$14+--($LR15)</f>
        <v/>
      </c>
      <c r="LT15">
        <f>IF(ROW()-3&gt;MAX($LS$4:$LS$40),"",INDEX($AD$4:$AD$40,MATCH(ROW()-3,$LS$4:$LS$40,0)))</f>
        <v/>
      </c>
      <c r="LU15">
        <f>IF(COUNTIF('Buyer Groups'!DG68:DJ68,0)+COUNTIF('Buyer Groups'!DL68:EN68,0)&gt;0,0,1)</f>
        <v/>
      </c>
      <c r="LV15">
        <f>IF($AI$15="",FALSE,SUMPRODUCT(('Final Calculation Sheet'!$A$4:$A$40=$AI$15)*($LU$6:$LU$42=1))&gt;0)</f>
        <v/>
      </c>
      <c r="LW15">
        <f>$LW$14+--($LV15)</f>
        <v/>
      </c>
      <c r="LX15">
        <f>IF(ROW()-3&gt;MAX($LW$4:$LW$40),"",INDEX($AI$4:$AI$40,MATCH(ROW()-3,$LW$4:$LW$40,0)))</f>
        <v/>
      </c>
      <c r="LY15">
        <f>IF(COUNTIF('Buyer Groups'!DG68:DK68,0)+COUNTIF('Buyer Groups'!DM68:EN68,0)&gt;0,0,1)</f>
        <v/>
      </c>
      <c r="LZ15">
        <f>IF($AN$15="",FALSE,SUMPRODUCT(('Final Calculation Sheet'!$E$4:$E$40=$AN$15)*($LY$6:$LY$42=1))&gt;0)</f>
        <v/>
      </c>
      <c r="MA15">
        <f>$MA$14+--($LZ15)</f>
        <v/>
      </c>
      <c r="MB15">
        <f>IF(ROW()-3&gt;MAX($MA$4:$MA$40),"",INDEX($AN$4:$AN$40,MATCH(ROW()-3,$MA$4:$MA$40,0)))</f>
        <v/>
      </c>
      <c r="MC15">
        <f>IF(COUNTIF('Buyer Groups'!DG68:DL68,0)+COUNTIF('Buyer Groups'!DN68:EN68,0)&gt;0,0,1)</f>
        <v/>
      </c>
      <c r="MD15">
        <f>IF($AS$15="",FALSE,SUMPRODUCT(('Final Calculation Sheet'!$C$4:$C$40=$AS$15)*($MC$6:$MC$42=1))&gt;0)</f>
        <v/>
      </c>
      <c r="ME15">
        <f>$ME$14+--($MD15)</f>
        <v/>
      </c>
      <c r="MF15">
        <f>IF(ROW()-3&gt;MAX($ME$4:$ME$40),"",INDEX($AS$4:$AS$40,MATCH(ROW()-3,$ME$4:$ME$40,0)))</f>
        <v/>
      </c>
      <c r="MG15">
        <f>IF(COUNTIF('Buyer Groups'!DG68:DM68,0)+COUNTIF('Buyer Groups'!DO68:EN68,0)&gt;0,0,1)</f>
        <v/>
      </c>
      <c r="MH15">
        <f>IF($AX$15="",FALSE,SUMPRODUCT(('Final Calculation Sheet'!$H$4:$H$40=$AX$15)*($MG$6:$MG$42=1))&gt;0)</f>
        <v/>
      </c>
      <c r="MI15">
        <f>$MI$14+--($MH15)</f>
        <v/>
      </c>
      <c r="MJ15">
        <f>IF(ROW()-3&gt;MAX($MI$4:$MI$40),"",INDEX($AX$4:$AX$40,MATCH(ROW()-3,$MI$4:$MI$40,0)))</f>
        <v/>
      </c>
      <c r="MK15">
        <f>IF(COUNTIF('Buyer Groups'!DG68:DN68,0)+COUNTIF('Buyer Groups'!DP68:EN68,0)&gt;0,0,1)</f>
        <v/>
      </c>
      <c r="ML15">
        <f>IF($BC$15="",FALSE,SUMPRODUCT(('Final Calculation Sheet'!$I$4:$I$40=$BC$15)*($MK$6:$MK$42=1))&gt;0)</f>
        <v/>
      </c>
      <c r="MM15">
        <f>$MM$14+--($ML15)</f>
        <v/>
      </c>
      <c r="MN15">
        <f>IF(ROW()-3&gt;MAX($MM$4:$MM$40),"",INDEX($BC$4:$BC$40,MATCH(ROW()-3,$MM$4:$MM$40,0)))</f>
        <v/>
      </c>
      <c r="MO15">
        <f>IF(COUNTIF('Buyer Groups'!DG68:DO68,0)+COUNTIF('Buyer Groups'!DQ68:EN68,0)&gt;0,0,1)</f>
        <v/>
      </c>
      <c r="MP15">
        <f>IF($BH$15="",FALSE,SUMPRODUCT(('Final Calculation Sheet'!$J$4:$J$40=$BH$15)*($MO$6:$MO$42=1))&gt;0)</f>
        <v/>
      </c>
      <c r="MQ15">
        <f>$MQ$14+--($MP15)</f>
        <v/>
      </c>
      <c r="MR15">
        <f>IF(ROW()-3&gt;MAX($MQ$4:$MQ$40),"",INDEX($BH$4:$BH$40,MATCH(ROW()-3,$MQ$4:$MQ$40,0)))</f>
        <v/>
      </c>
      <c r="MS15">
        <f>IF(COUNTIF('Buyer Groups'!DG68:DP68,0)+COUNTIF('Buyer Groups'!DR68:EN68,0)&gt;0,0,1)</f>
        <v/>
      </c>
      <c r="MT15">
        <f>IF($BM$15="",FALSE,SUMPRODUCT(('Final Calculation Sheet'!$K$4:$K$40=$BM$15)*($MS$6:$MS$42=1))&gt;0)</f>
        <v/>
      </c>
      <c r="MU15">
        <f>$MU$14+--($MT15)</f>
        <v/>
      </c>
      <c r="MV15">
        <f>IF(ROW()-3&gt;MAX($MU$4:$MU$40),"",INDEX($BM$4:$BM$40,MATCH(ROW()-3,$MU$4:$MU$40,0)))</f>
        <v/>
      </c>
      <c r="MW15">
        <f>IF(COUNTIF('Buyer Groups'!DG68:DQ68,0)+COUNTIF('Buyer Groups'!DS68:EN68,0)&gt;0,0,1)</f>
        <v/>
      </c>
      <c r="MX15">
        <f>IF($BR$15="",FALSE,SUMPRODUCT(('Final Calculation Sheet'!$L$4:$L$40=$BR$15)*($MW$6:$MW$42=1))&gt;0)</f>
        <v/>
      </c>
      <c r="MY15">
        <f>$MY$14+--($MX15)</f>
        <v/>
      </c>
      <c r="MZ15">
        <f>IF(ROW()-3&gt;MAX($MY$4:$MY$40),"",INDEX($BR$4:$BR$40,MATCH(ROW()-3,$MY$4:$MY$40,0)))</f>
        <v/>
      </c>
      <c r="NA15">
        <f>IF(COUNTIF('Buyer Groups'!DG68:DR68,0)+COUNTIF('Buyer Groups'!DT68:EN68,0)&gt;0,0,1)</f>
        <v/>
      </c>
      <c r="NB15">
        <f>IF($BW$15="",FALSE,SUMPRODUCT(('Final Calculation Sheet'!$M$4:$M$40=$BW$15)*($NA$6:$NA$42=1))&gt;0)</f>
        <v/>
      </c>
      <c r="NC15">
        <f>$NC$14+--($NB15)</f>
        <v/>
      </c>
      <c r="ND15">
        <f>IF(ROW()-3&gt;MAX($NC$4:$NC$40),"",INDEX($BW$4:$BW$40,MATCH(ROW()-3,$NC$4:$NC$40,0)))</f>
        <v/>
      </c>
      <c r="NE15">
        <f>IF(COUNTIF('Buyer Groups'!DG68:DS68,0)+COUNTIF('Buyer Groups'!DU68:EN68,0)&gt;0,0,1)</f>
        <v/>
      </c>
      <c r="NF15">
        <f>IF($CB$15="",FALSE,SUMPRODUCT(('Final Calculation Sheet'!$N$4:$N$40=$CB$15)*($NE$6:$NE$42=1))&gt;0)</f>
        <v/>
      </c>
      <c r="NG15">
        <f>$NG$14+--($NF15)</f>
        <v/>
      </c>
      <c r="NH15">
        <f>IF(ROW()-3&gt;MAX($NG$4:$NG$40),"",INDEX($CB$4:$CB$40,MATCH(ROW()-3,$NG$4:$NG$40,0)))</f>
        <v/>
      </c>
      <c r="NI15">
        <f>IF(COUNTIF('Buyer Groups'!DG68:DT68,0)+COUNTIF('Buyer Groups'!DV68:EN68,0)&gt;0,0,1)</f>
        <v/>
      </c>
      <c r="NJ15">
        <f>IF($CG$15="",FALSE,SUMPRODUCT(('Final Calculation Sheet'!$O$4:$O$40=$CG$15)*($NI$6:$NI$42=1))&gt;0)</f>
        <v/>
      </c>
      <c r="NK15">
        <f>$NK$14+--($NJ15)</f>
        <v/>
      </c>
      <c r="NL15">
        <f>IF(ROW()-3&gt;MAX($NK$4:$NK$40),"",INDEX($CG$4:$CG$40,MATCH(ROW()-3,$NK$4:$NK$40,0)))</f>
        <v/>
      </c>
      <c r="NM15">
        <f>IF(COUNTIF('Buyer Groups'!DG68:DU68,0)+COUNTIF('Buyer Groups'!DW68:EN68,0)&gt;0,0,1)</f>
        <v/>
      </c>
      <c r="NN15">
        <f>IF($CL$15="",FALSE,SUMPRODUCT(('Final Calculation Sheet'!$P$4:$P$40=$CL$15)*($NM$6:$NM$42=1))&gt;0)</f>
        <v/>
      </c>
      <c r="NO15">
        <f>$NO$14+--($NN15)</f>
        <v/>
      </c>
      <c r="NP15">
        <f>IF(ROW()-3&gt;MAX($NO$4:$NO$40),"",INDEX($CL$4:$CL$40,MATCH(ROW()-3,$NO$4:$NO$40,0)))</f>
        <v/>
      </c>
      <c r="NQ15">
        <f>IF(COUNTIF('Buyer Groups'!DG68:DV68,0)+COUNTIF('Buyer Groups'!DX68:EN68,0)&gt;0,0,1)</f>
        <v/>
      </c>
      <c r="NR15">
        <f>IF($CQ$15="",FALSE,SUMPRODUCT(('Final Calculation Sheet'!$Q$4:$Q$40=$CQ$15)*($NQ$6:$NQ$42=1))&gt;0)</f>
        <v/>
      </c>
      <c r="NS15">
        <f>$NS$14+--($NR15)</f>
        <v/>
      </c>
      <c r="NT15">
        <f>IF(ROW()-3&gt;MAX($NS$4:$NS$40),"",INDEX($CQ$4:$CQ$40,MATCH(ROW()-3,$NS$4:$NS$40,0)))</f>
        <v/>
      </c>
      <c r="NU15">
        <f>IF(COUNTIF('Buyer Groups'!DG68:DW68,0)+COUNTIF('Buyer Groups'!DY68:EN68,0)&gt;0,0,1)</f>
        <v/>
      </c>
      <c r="NV15">
        <f>IF($CV$15="",FALSE,SUMPRODUCT(('Final Calculation Sheet'!$R$4:$R$40=$CV$15)*($NU$6:$NU$42=1))&gt;0)</f>
        <v/>
      </c>
      <c r="NW15">
        <f>$NW$14+--($NV15)</f>
        <v/>
      </c>
      <c r="NX15">
        <f>IF(ROW()-3&gt;MAX($NW$4:$NW$40),"",INDEX($CV$4:$CV$40,MATCH(ROW()-3,$NW$4:$NW$40,0)))</f>
        <v/>
      </c>
      <c r="NY15">
        <f>IF(COUNTIF('Buyer Groups'!DG68:DX68,0)+COUNTIF('Buyer Groups'!DZ68:EN68,0)&gt;0,0,1)</f>
        <v/>
      </c>
      <c r="NZ15">
        <f>IF($DA$15="",FALSE,SUMPRODUCT(('Final Calculation Sheet'!$S$4:$S$40=$DA$15)*($NY$6:$NY$42=1))&gt;0)</f>
        <v/>
      </c>
      <c r="OA15">
        <f>$OA$14+--($NZ15)</f>
        <v/>
      </c>
      <c r="OB15">
        <f>IF(ROW()-3&gt;MAX($OA$4:$OA$40),"",INDEX($DA$4:$DA$40,MATCH(ROW()-3,$OA$4:$OA$40,0)))</f>
        <v/>
      </c>
      <c r="OC15">
        <f>IF(COUNTIF('Buyer Groups'!DG68:DY68,0)+COUNTIF('Buyer Groups'!EA68:EN68,0)&gt;0,0,1)</f>
        <v/>
      </c>
      <c r="OD15">
        <f>IF($DF$15="",FALSE,SUMPRODUCT(('Final Calculation Sheet'!$T$4:$T$40=$DF$15)*($OC$6:$OC$42=1))&gt;0)</f>
        <v/>
      </c>
      <c r="OE15">
        <f>$OE$14+--($OD15)</f>
        <v/>
      </c>
      <c r="OF15">
        <f>IF(ROW()-3&gt;MAX($OE$4:$OE$40),"",INDEX($DF$4:$DF$40,MATCH(ROW()-3,$OE$4:$OE$40,0)))</f>
        <v/>
      </c>
      <c r="OG15">
        <f>IF(COUNTIF('Buyer Groups'!DG68:DZ68,0)+COUNTIF('Buyer Groups'!EB68:EN68,0)&gt;0,0,1)</f>
        <v/>
      </c>
      <c r="OH15">
        <f>IF($DK$15="",FALSE,SUMPRODUCT(('Final Calculation Sheet'!$U$4:$U$40=$DK$15)*($OG$6:$OG$42=1))&gt;0)</f>
        <v/>
      </c>
      <c r="OI15">
        <f>$OI$14+--($OH15)</f>
        <v/>
      </c>
      <c r="OJ15">
        <f>IF(ROW()-3&gt;MAX($OI$4:$OI$40),"",INDEX($DK$4:$DK$40,MATCH(ROW()-3,$OI$4:$OI$40,0)))</f>
        <v/>
      </c>
      <c r="OK15">
        <f>IF(COUNTIF('Buyer Groups'!DG68:EA68,0)+COUNTIF('Buyer Groups'!EC68:EN68,0)&gt;0,0,1)</f>
        <v/>
      </c>
      <c r="OL15">
        <f>IF($DP$15="",FALSE,SUMPRODUCT(('Final Calculation Sheet'!$V$4:$V$40=$DP$15)*($OK$6:$OK$42=1))&gt;0)</f>
        <v/>
      </c>
      <c r="OM15">
        <f>$OM$14+--($OL15)</f>
        <v/>
      </c>
      <c r="ON15">
        <f>IF(ROW()-3&gt;MAX($OM$4:$OM$40),"",INDEX($DP$4:$DP$40,MATCH(ROW()-3,$OM$4:$OM$40,0)))</f>
        <v/>
      </c>
      <c r="OO15">
        <f>IF(COUNTIF('Buyer Groups'!DG68:EB68,0)+COUNTIF('Buyer Groups'!ED68:EN68,0)&gt;0,0,1)</f>
        <v/>
      </c>
      <c r="OP15">
        <f>IF($DU$15="",FALSE,SUMPRODUCT(('Final Calculation Sheet'!$W$4:$W$40=$DU$15)*($OO$6:$OO$42=1))&gt;0)</f>
        <v/>
      </c>
      <c r="OQ15">
        <f>$OQ$14+--($OP15)</f>
        <v/>
      </c>
      <c r="OR15">
        <f>IF(ROW()-3&gt;MAX($OQ$4:$OQ$40),"",INDEX($DU$4:$DU$40,MATCH(ROW()-3,$OQ$4:$OQ$40,0)))</f>
        <v/>
      </c>
      <c r="OS15">
        <f>IF(COUNTIF('Buyer Groups'!DG68:EC68,0)+COUNTIF('Buyer Groups'!EE68:EN68,0)&gt;0,0,1)</f>
        <v/>
      </c>
      <c r="OT15">
        <f>IF($DZ$15="",FALSE,SUMPRODUCT(('Final Calculation Sheet'!$X$4:$X$40=$DZ$15)*($OS$6:$OS$42=1))&gt;0)</f>
        <v/>
      </c>
      <c r="OU15">
        <f>$OU$14+--($OT15)</f>
        <v/>
      </c>
      <c r="OV15">
        <f>IF(ROW()-3&gt;MAX($OU$4:$OU$40),"",INDEX($DZ$4:$DZ$40,MATCH(ROW()-3,$OU$4:$OU$40,0)))</f>
        <v/>
      </c>
      <c r="OW15">
        <f>IF(COUNTIF('Buyer Groups'!DG68:ED68,0)+COUNTIF('Buyer Groups'!EF68:EN68,0)&gt;0,0,1)</f>
        <v/>
      </c>
      <c r="OX15">
        <f>IF($EE$15="",FALSE,SUMPRODUCT(('Final Calculation Sheet'!$Y$4:$Y$40=$EE$15)*($OW$6:$OW$42=1))&gt;0)</f>
        <v/>
      </c>
      <c r="OY15">
        <f>$OY$14+--($OX15)</f>
        <v/>
      </c>
      <c r="OZ15">
        <f>IF(ROW()-3&gt;MAX($OY$4:$OY$40),"",INDEX($EE$4:$EE$40,MATCH(ROW()-3,$OY$4:$OY$40,0)))</f>
        <v/>
      </c>
      <c r="PA15">
        <f>IF(COUNTIF('Buyer Groups'!DG68:EE68,0)+COUNTIF('Buyer Groups'!EG68:EN68,0)&gt;0,0,1)</f>
        <v/>
      </c>
      <c r="PB15">
        <f>IF($EJ$15="",FALSE,SUMPRODUCT(('Final Calculation Sheet'!$Z$4:$Z$40=$EJ$15)*($PA$6:$PA$42=1))&gt;0)</f>
        <v/>
      </c>
      <c r="PC15">
        <f>$PC$14+--($PB15)</f>
        <v/>
      </c>
      <c r="PD15">
        <f>IF(ROW()-3&gt;MAX($PC$4:$PC$40),"",INDEX($EJ$4:$EJ$40,MATCH(ROW()-3,$PC$4:$PC$40,0)))</f>
        <v/>
      </c>
      <c r="PE15">
        <f>IF(COUNTIF('Buyer Groups'!DG68:EF68,0)+COUNTIF('Buyer Groups'!EH68:EN68,0)&gt;0,0,1)</f>
        <v/>
      </c>
      <c r="PF15">
        <f>IF($EO$15="",FALSE,SUMPRODUCT(('Final Calculation Sheet'!$AA$4:$AA$40=$EO$15)*($PE$6:$PE$42=1))&gt;0)</f>
        <v/>
      </c>
      <c r="PG15">
        <f>$PG$14+--($PF15)</f>
        <v/>
      </c>
      <c r="PH15">
        <f>IF(ROW()-3&gt;MAX($PG$4:$PG$40),"",INDEX($EO$4:$EO$40,MATCH(ROW()-3,$PG$4:$PG$40,0)))</f>
        <v/>
      </c>
      <c r="PI15">
        <f>IF(COUNTIF('Buyer Groups'!DG68:EG68,0)+COUNTIF('Buyer Groups'!EI68:EN68,0)&gt;0,0,1)</f>
        <v/>
      </c>
      <c r="PJ15">
        <f>IF($ET$15="",FALSE,SUMPRODUCT(('Final Calculation Sheet'!$AB$4:$AB$40=$ET$15)*($PI$6:$PI$42=1))&gt;0)</f>
        <v/>
      </c>
      <c r="PK15">
        <f>$PK$14+--($PJ15)</f>
        <v/>
      </c>
      <c r="PL15">
        <f>IF(ROW()-3&gt;MAX($PK$4:$PK$40),"",INDEX($ET$4:$ET$40,MATCH(ROW()-3,$PK$4:$PK$40,0)))</f>
        <v/>
      </c>
      <c r="PM15">
        <f>IF(COUNTIF('Buyer Groups'!DG68:EH68,0)+COUNTIF('Buyer Groups'!EJ68:EN68,0)&gt;0,0,1)</f>
        <v/>
      </c>
      <c r="PN15">
        <f>IF($EY$15="",FALSE,SUMPRODUCT(('Final Calculation Sheet'!$AC$4:$AC$40=$EY$15)*($PM$6:$PM$42=1))&gt;0)</f>
        <v/>
      </c>
      <c r="PO15">
        <f>$PO$14+--($PN15)</f>
        <v/>
      </c>
      <c r="PP15">
        <f>IF(ROW()-3&gt;MAX($PO$4:$PO$40),"",INDEX($EY$4:$EY$40,MATCH(ROW()-3,$PO$4:$PO$40,0)))</f>
        <v/>
      </c>
      <c r="PQ15">
        <f>IF(COUNTIF('Buyer Groups'!DG68:EI68,0)+COUNTIF('Buyer Groups'!EK68:EN68,0)&gt;0,0,1)</f>
        <v/>
      </c>
      <c r="PR15">
        <f>IF($FD$15="",FALSE,SUMPRODUCT(('Final Calculation Sheet'!$AD$4:$AD$40=$FD$15)*($PQ$6:$PQ$42=1))&gt;0)</f>
        <v/>
      </c>
      <c r="PS15">
        <f>$PS$14+--($PR15)</f>
        <v/>
      </c>
      <c r="PT15">
        <f>IF(ROW()-3&gt;MAX($PS$4:$PS$40),"",INDEX($FD$4:$FD$40,MATCH(ROW()-3,$PS$4:$PS$40,0)))</f>
        <v/>
      </c>
      <c r="PU15">
        <f>IF(COUNTIF('Buyer Groups'!DG68:EJ68,0)+COUNTIF('Buyer Groups'!EL68:EN68,0)&gt;0,0,1)</f>
        <v/>
      </c>
      <c r="PV15">
        <f>IF($FX$15="",FALSE,SUMPRODUCT((IF('Final Calculation Sheet'!$AD$4:$AD$40&lt;=5,"SETTLED","OUTSTANDING")=$FX$15)*($PU$6:$PU$42=1))&gt;0)</f>
        <v/>
      </c>
      <c r="PW15">
        <f>$PW$14+--($PV15)</f>
        <v/>
      </c>
      <c r="PX15">
        <f>IF(ROW()-3&gt;MAX($PW$4:$PW$40),"",INDEX($FX$4:$FX$40,MATCH(ROW()-3,$PW$4:$PW$40,0)))</f>
        <v/>
      </c>
      <c r="PY15">
        <f>IF(COUNTIF('Buyer Groups'!DG68:EK68,0)+COUNTIF('Buyer Groups'!EM68:EN68,0)&gt;0,0,1)</f>
        <v/>
      </c>
      <c r="PZ15">
        <f>IF($FI$15="",FALSE,SUMPRODUCT(('Final Calculation Sheet'!$AF$4:$AF$40=$FI$15)*($PY$6:$PY$42=1))&gt;0)</f>
        <v/>
      </c>
      <c r="QA15">
        <f>$QA$14+--($PZ15)</f>
        <v/>
      </c>
      <c r="QB15">
        <f>IF(ROW()-3&gt;MAX($QA$4:$QA$40),"",INDEX($FI$4:$FI$40,MATCH(ROW()-3,$QA$4:$QA$40,0)))</f>
        <v/>
      </c>
      <c r="QC15">
        <f>IF(COUNTIF('Buyer Groups'!DG68:EL68,0)+COUNTIF('Buyer Groups'!EN68:EN68,0)&gt;0,0,1)</f>
        <v/>
      </c>
      <c r="QD15">
        <f>IF($FN$15="",FALSE,SUMPRODUCT(('Final Calculation Sheet'!$AG$4:$AG$40=$FN$15)*($QC$6:$QC$42=1))&gt;0)</f>
        <v/>
      </c>
      <c r="QE15">
        <f>$QE$14+--($QD15)</f>
        <v/>
      </c>
      <c r="QF15">
        <f>IF(ROW()-3&gt;MAX($QE$4:$QE$40),"",INDEX($FN$4:$FN$40,MATCH(ROW()-3,$QE$4:$QE$40,0)))</f>
        <v/>
      </c>
      <c r="QG15">
        <f>IF(COUNTIF('Buyer Groups'!DG68:EM68,0)&gt;0,0,1)</f>
        <v/>
      </c>
      <c r="QH15">
        <f>IF($FS$15="",FALSE,SUMPRODUCT(('Final Calculation Sheet'!$AH$4:$AH$40=$FS$15)*($QG$6:$QG$42=1))&gt;0)</f>
        <v/>
      </c>
      <c r="QI15">
        <f>$QI$14+--($QH15)</f>
        <v/>
      </c>
      <c r="QJ15">
        <f>IF(ROW()-3&gt;MAX($QI$4:$QI$40),"",INDEX($FS$4:$FS$40,MATCH(ROW()-3,$QI$4:$QI$40,0)))</f>
        <v/>
      </c>
      <c r="QK15" t="str">
        <f>IF('Final Calculation Sheet'!$AH$15="","",'Final Calculation Sheet'!$AH$15)</f>
      </c>
      <c r="QL15" t="str">
        <f>IF(QK15="","",COUNTIFS(QK$4:QK$40,"&lt;"&amp;QK15,QK$4:QK$40,"&lt;&gt;"&amp;"")+COUNTIF(QK$4:QK15,QK15))</f>
      </c>
      <c r="QM15" t="str">
        <f>IF(ROW()-3&gt;COUNTIF(QK$4:QK$40,"&lt;&gt;"&amp;""),"",INDEX(QK$4:QK$40,MATCH(ROW()-3,QL$4:QL$40,0)))</f>
      </c>
      <c r="QN15" t="str">
        <f>=QN14+F(AND(QM15&lt;&gt;"",COUNTIF(QM$4:QM15,QM15)=1),1,0)</f>
      </c>
      <c r="QO15" t="str">
        <f>IF(ROW()-3&gt;MAX(QN$4:QN$40),"",INDEX(QM$4:QM$40,MATCH(ROW()-3,QN$4:QN$40,0)))</f>
      </c>
      <c r="QP15" t="str">
        <f>IF(COUNTIF('Final Calculation Sheet'!$AM15:$BS15,0)&gt;0,0,1)</f>
      </c>
      <c r="QQ15" t="str">
        <f>IF($AI$15="",FALSE,SUMPRODUCT(('Final Calculation Sheet'!$A$4:$A$40=$AI$15)*($QP$4:$QP$40=1))&gt;0)</f>
      </c>
      <c r="QR15" t="str">
        <f>=$QR14+--($QQ15)</f>
      </c>
      <c r="QS15" t="str">
        <f>IF(ROW()-3&gt;MAX($QR$4:$QR$40),"",INDEX($AI$4:$AI$40,MATCH(ROW()-3,$QR$4:$QR$40,0)))</f>
      </c>
      <c r="QT15" t="str">
        <f>IF(COUNTIF('Final Calculation Sheet'!$AL15:$AL15,0)+COUNTIF('Final Calculation Sheet'!$AN15:$BS15,0)&gt;0,0,1)</f>
      </c>
      <c r="QU15" t="str">
        <f>IF($Y$15="",FALSE,SUMPRODUCT(('Final Calculation Sheet'!$B$4:$B$40=$Y$15)*($QT$4:$QT$40=1))&gt;0)</f>
      </c>
      <c r="QV15" t="str">
        <f>=$QV14+--($QU15)</f>
      </c>
      <c r="QW15" t="str">
        <f>IF(ROW()-3&gt;MAX($QV$4:$QV$40),"",INDEX($Y$4:$Y$40,MATCH(ROW()-3,$QV$4:$QV$40,0)))</f>
      </c>
      <c r="QX15" t="str">
        <f>IF(COUNTIF('Final Calculation Sheet'!$AL15:$AM15,0)+COUNTIF('Final Calculation Sheet'!$AO15:$BS15,0)&gt;0,0,1)</f>
      </c>
      <c r="QY15" t="str">
        <f>IF($AS$15="",FALSE,SUMPRODUCT(('Final Calculation Sheet'!$C$4:$C$40=$AS$15)*($QX$4:$QX$40=1))&gt;0)</f>
      </c>
      <c r="QZ15" t="str">
        <f>=$QZ14+--($QY15)</f>
      </c>
      <c r="RA15" t="str">
        <f>IF(ROW()-3&gt;MAX($QZ$4:$QZ$40),"",INDEX($AS$4:$AS$40,MATCH(ROW()-3,$QZ$4:$QZ$40,0)))</f>
      </c>
      <c r="RB15" t="str">
        <f>IF(COUNTIF('Final Calculation Sheet'!$AL15:$AN15,0)+COUNTIF('Final Calculation Sheet'!$AP15:$BS15,0)&gt;0,0,1)</f>
      </c>
      <c r="RC15" t="str">
        <f>IF($AD$15="",FALSE,SUMPRODUCT(('Final Calculation Sheet'!$D$4:$D$40=$AD$15)*($RB$4:$RB$40=1))&gt;0)</f>
      </c>
      <c r="RD15" t="str">
        <f>=$RD14+--($RC15)</f>
      </c>
      <c r="RE15" t="str">
        <f>IF(ROW()-3&gt;MAX($RD$4:$RD$40),"",INDEX($AD$4:$AD$40,MATCH(ROW()-3,$RD$4:$RD$40,0)))</f>
      </c>
      <c r="RF15" t="str">
        <f>IF(COUNTIF('Final Calculation Sheet'!$AL15:$AO15,0)+COUNTIF('Final Calculation Sheet'!$AQ15:$BS15,0)&gt;0,0,1)</f>
      </c>
      <c r="RG15" t="str">
        <f>IF($AN$15="",FALSE,SUMPRODUCT(('Final Calculation Sheet'!$E$4:$E$40=$AN$15)*($RF$4:$RF$40=1))&gt;0)</f>
      </c>
      <c r="RH15" t="str">
        <f>=$RH14+--($RG15)</f>
      </c>
      <c r="RI15" t="str">
        <f>IF(ROW()-3&gt;MAX($RH$4:$RH$40),"",INDEX($AN$4:$AN$40,MATCH(ROW()-3,$RH$4:$RH$40,0)))</f>
      </c>
      <c r="RJ15" t="str">
        <f>IF(COUNTIF('Final Calculation Sheet'!$AL15:$AP15,0)+COUNTIF('Final Calculation Sheet'!$AR15:$BS15,0)&gt;0,0,1)</f>
      </c>
      <c r="RK15" t="str">
        <f>IF($O$15="",FALSE,SUMPRODUCT(('Final Calculation Sheet'!$F$4:$F$40=$O$15)*($RJ$4:$RJ$40=1))&gt;0)</f>
      </c>
      <c r="RL15" t="str">
        <f>=$RL14+--($RK15)</f>
      </c>
      <c r="RM15" t="str">
        <f>IF(ROW()-3&gt;MAX($RL$4:$RL$40),"",INDEX($O$4:$O$40,MATCH(ROW()-3,$RL$4:$RL$40,0)))</f>
      </c>
      <c r="RN15" t="str">
        <f>IF(COUNTIF('Final Calculation Sheet'!$AL15:$AQ15,0)+COUNTIF('Final Calculation Sheet'!$AS15:$BS15,0)&gt;0,0,1)</f>
      </c>
      <c r="RO15" t="str">
        <f>IF($T$15="",FALSE,SUMPRODUCT(('Final Calculation Sheet'!$G$4:$G$40=$T$15)*($RN$4:$RN$40=1))&gt;0)</f>
      </c>
      <c r="RP15" t="str">
        <f>=$RP14+--($RO15)</f>
      </c>
      <c r="RQ15" t="str">
        <f>IF(ROW()-3&gt;MAX($RP$4:$RP$40),"",INDEX($T$4:$T$40,MATCH(ROW()-3,$RP$4:$RP$40,0)))</f>
      </c>
      <c r="RR15" t="str">
        <f>IF(COUNTIF('Final Calculation Sheet'!$AL15:$AR15,0)+COUNTIF('Final Calculation Sheet'!$AT15:$BS15,0)&gt;0,0,1)</f>
      </c>
      <c r="RS15" t="str">
        <f>IF($AX$15="",FALSE,SUMPRODUCT(('Final Calculation Sheet'!$H$4:$H$40=$AX$15)*($RR$4:$RR$40=1))&gt;0)</f>
      </c>
      <c r="RT15" t="str">
        <f>=$RT14+--($RS15)</f>
      </c>
      <c r="RU15" t="str">
        <f>IF(ROW()-3&gt;MAX($RT$4:$RT$40),"",INDEX($AX$4:$AX$40,MATCH(ROW()-3,$RT$4:$RT$40,0)))</f>
      </c>
      <c r="RV15" t="str">
        <f>IF(COUNTIF('Final Calculation Sheet'!$AL15:$AS15,0)+COUNTIF('Final Calculation Sheet'!$AU15:$BS15,0)&gt;0,0,1)</f>
      </c>
      <c r="RW15" t="str">
        <f>IF($BC$15="",FALSE,SUMPRODUCT(('Final Calculation Sheet'!$I$4:$I$40=$BC$15)*($RV$4:$RV$40=1))&gt;0)</f>
      </c>
      <c r="RX15" t="str">
        <f>=$RX14+--($RW15)</f>
      </c>
      <c r="RY15" t="str">
        <f>IF(ROW()-3&gt;MAX($RX$4:$RX$40),"",INDEX($BC$4:$BC$40,MATCH(ROW()-3,$RX$4:$RX$40,0)))</f>
      </c>
      <c r="RZ15" t="str">
        <f>IF(COUNTIF('Final Calculation Sheet'!$AL15:$AT15,0)+COUNTIF('Final Calculation Sheet'!$AV15:$BS15,0)&gt;0,0,1)</f>
      </c>
      <c r="SA15" t="str">
        <f>IF($BH$15="",FALSE,SUMPRODUCT(('Final Calculation Sheet'!$J$4:$J$40=$BH$15)*($RZ$4:$RZ$40=1))&gt;0)</f>
      </c>
      <c r="SB15" t="str">
        <f>=$SB14+--($SA15)</f>
      </c>
      <c r="SC15" t="str">
        <f>IF(ROW()-3&gt;MAX($SB$4:$SB$40),"",INDEX($BH$4:$BH$40,MATCH(ROW()-3,$SB$4:$SB$40,0)))</f>
      </c>
      <c r="SD15" t="str">
        <f>IF(COUNTIF('Final Calculation Sheet'!$AL15:$AU15,0)+COUNTIF('Final Calculation Sheet'!$AW15:$BS15,0)&gt;0,0,1)</f>
      </c>
      <c r="SE15" t="str">
        <f>IF($BM$15="",FALSE,SUMPRODUCT(('Final Calculation Sheet'!$K$4:$K$40=$BM$15)*($SD$4:$SD$40=1))&gt;0)</f>
      </c>
      <c r="SF15" t="str">
        <f>=$SF14+--($SE15)</f>
      </c>
      <c r="SG15" t="str">
        <f>IF(ROW()-3&gt;MAX($SF$4:$SF$40),"",INDEX($BM$4:$BM$40,MATCH(ROW()-3,$SF$4:$SF$40,0)))</f>
      </c>
      <c r="SH15" t="str">
        <f>IF(COUNTIF('Final Calculation Sheet'!$AL15:$AV15,0)+COUNTIF('Final Calculation Sheet'!$AX15:$BS15,0)&gt;0,0,1)</f>
      </c>
      <c r="SI15" t="str">
        <f>IF($BR$15="",FALSE,SUMPRODUCT(('Final Calculation Sheet'!$L$4:$L$40=$BR$15)*($SH$4:$SH$40=1))&gt;0)</f>
      </c>
      <c r="SJ15" t="str">
        <f>=$SJ14+--($SI15)</f>
      </c>
      <c r="SK15" t="str">
        <f>IF(ROW()-3&gt;MAX($SJ$4:$SJ$40),"",INDEX($BR$4:$BR$40,MATCH(ROW()-3,$SJ$4:$SJ$40,0)))</f>
      </c>
      <c r="SL15" t="str">
        <f>IF(COUNTIF('Final Calculation Sheet'!$AL15:$AW15,0)+COUNTIF('Final Calculation Sheet'!$AY15:$BS15,0)&gt;0,0,1)</f>
      </c>
      <c r="SM15" t="str">
        <f>IF($BW$15="",FALSE,SUMPRODUCT(('Final Calculation Sheet'!$M$4:$M$40=$BW$15)*($SL$4:$SL$40=1))&gt;0)</f>
      </c>
      <c r="SN15" t="str">
        <f>=$SN14+--($SM15)</f>
      </c>
      <c r="SO15" t="str">
        <f>IF(ROW()-3&gt;MAX($SN$4:$SN$40),"",INDEX($BW$4:$BW$40,MATCH(ROW()-3,$SN$4:$SN$40,0)))</f>
      </c>
      <c r="SP15" t="str">
        <f>IF(COUNTIF('Final Calculation Sheet'!$AL15:$AX15,0)+COUNTIF('Final Calculation Sheet'!$AZ15:$BS15,0)&gt;0,0,1)</f>
      </c>
      <c r="SQ15" t="str">
        <f>IF($CB$15="",FALSE,SUMPRODUCT(('Final Calculation Sheet'!$N$4:$N$40=$CB$15)*($SP$4:$SP$40=1))&gt;0)</f>
      </c>
      <c r="SR15" t="str">
        <f>=$SR14+--($SQ15)</f>
      </c>
      <c r="SS15" t="str">
        <f>IF(ROW()-3&gt;MAX($SR$4:$SR$40),"",INDEX($CB$4:$CB$40,MATCH(ROW()-3,$SR$4:$SR$40,0)))</f>
      </c>
      <c r="ST15" t="str">
        <f>IF(COUNTIF('Final Calculation Sheet'!$AL15:$AY15,0)+COUNTIF('Final Calculation Sheet'!$BA15:$BS15,0)&gt;0,0,1)</f>
      </c>
      <c r="SU15" t="str">
        <f>IF($CG$15="",FALSE,SUMPRODUCT(('Final Calculation Sheet'!$O$4:$O$40=$CG$15)*($ST$4:$ST$40=1))&gt;0)</f>
      </c>
      <c r="SV15" t="str">
        <f>=$SV14+--($SU15)</f>
      </c>
      <c r="SW15" t="str">
        <f>IF(ROW()-3&gt;MAX($SV$4:$SV$40),"",INDEX($CG$4:$CG$40,MATCH(ROW()-3,$SV$4:$SV$40,0)))</f>
      </c>
      <c r="SX15" t="str">
        <f>IF(COUNTIF('Final Calculation Sheet'!$AL15:$AZ15,0)+COUNTIF('Final Calculation Sheet'!$BB15:$BS15,0)&gt;0,0,1)</f>
      </c>
      <c r="SY15" t="str">
        <f>IF($CL$15="",FALSE,SUMPRODUCT(('Final Calculation Sheet'!$P$4:$P$40=$CL$15)*($SX$4:$SX$40=1))&gt;0)</f>
      </c>
      <c r="SZ15" t="str">
        <f>=$SZ14+--($SY15)</f>
      </c>
      <c r="TA15" t="str">
        <f>IF(ROW()-3&gt;MAX($SZ$4:$SZ$40),"",INDEX($CL$4:$CL$40,MATCH(ROW()-3,$SZ$4:$SZ$40,0)))</f>
      </c>
      <c r="TB15" t="str">
        <f>IF(COUNTIF('Final Calculation Sheet'!$AL15:$BA15,0)+COUNTIF('Final Calculation Sheet'!$BC15:$BS15,0)&gt;0,0,1)</f>
      </c>
      <c r="TC15" t="str">
        <f>IF($CQ$15="",FALSE,SUMPRODUCT(('Final Calculation Sheet'!$Q$4:$Q$40=$CQ$15)*($TB$4:$TB$40=1))&gt;0)</f>
      </c>
      <c r="TD15" t="str">
        <f>=$TD14+--($TC15)</f>
      </c>
      <c r="TE15" t="str">
        <f>IF(ROW()-3&gt;MAX($TD$4:$TD$40),"",INDEX($CQ$4:$CQ$40,MATCH(ROW()-3,$TD$4:$TD$40,0)))</f>
      </c>
      <c r="TF15" t="str">
        <f>IF(COUNTIF('Final Calculation Sheet'!$AL15:$BB15,0)+COUNTIF('Final Calculation Sheet'!$BD15:$BS15,0)&gt;0,0,1)</f>
      </c>
      <c r="TG15" t="str">
        <f>IF($CV$15="",FALSE,SUMPRODUCT(('Final Calculation Sheet'!$R$4:$R$40=$CV$15)*($TF$4:$TF$40=1))&gt;0)</f>
      </c>
      <c r="TH15" t="str">
        <f>=$TH14+--($TG15)</f>
      </c>
      <c r="TI15" t="str">
        <f>IF(ROW()-3&gt;MAX($TH$4:$TH$40),"",INDEX($CV$4:$CV$40,MATCH(ROW()-3,$TH$4:$TH$40,0)))</f>
      </c>
      <c r="TJ15" t="str">
        <f>IF(COUNTIF('Final Calculation Sheet'!$AL15:$BC15,0)+COUNTIF('Final Calculation Sheet'!$BE15:$BS15,0)&gt;0,0,1)</f>
      </c>
      <c r="TK15" t="str">
        <f>IF($DA$15="",FALSE,SUMPRODUCT(('Final Calculation Sheet'!$S$4:$S$40=$DA$15)*($TJ$4:$TJ$40=1))&gt;0)</f>
      </c>
      <c r="TL15" t="str">
        <f>=$TL14+--($TK15)</f>
      </c>
      <c r="TM15" t="str">
        <f>IF(ROW()-3&gt;MAX($TL$4:$TL$40),"",INDEX($DA$4:$DA$40,MATCH(ROW()-3,$TL$4:$TL$40,0)))</f>
      </c>
      <c r="TN15" t="str">
        <f>IF(COUNTIF('Final Calculation Sheet'!$AL15:$BD15,0)+COUNTIF('Final Calculation Sheet'!$BF15:$BS15,0)&gt;0,0,1)</f>
      </c>
      <c r="TO15" t="str">
        <f>IF($DF$15="",FALSE,SUMPRODUCT(('Final Calculation Sheet'!$T$4:$T$40=$DF$15)*($TN$4:$TN$40=1))&gt;0)</f>
      </c>
      <c r="TP15" t="str">
        <f>=$TP14+--($TO15)</f>
      </c>
      <c r="TQ15" t="str">
        <f>IF(ROW()-3&gt;MAX($TP$4:$TP$40),"",INDEX($DF$4:$DF$40,MATCH(ROW()-3,$TP$4:$TP$40,0)))</f>
      </c>
      <c r="TR15" t="str">
        <f>IF(COUNTIF('Final Calculation Sheet'!$AL15:$BE15,0)+COUNTIF('Final Calculation Sheet'!$BG15:$BS15,0)&gt;0,0,1)</f>
      </c>
      <c r="TS15" t="str">
        <f>IF($DK$15="",FALSE,SUMPRODUCT(('Final Calculation Sheet'!$U$4:$U$40=$DK$15)*($TR$4:$TR$40=1))&gt;0)</f>
      </c>
      <c r="TT15" t="str">
        <f>=$TT14+--($TS15)</f>
      </c>
      <c r="TU15" t="str">
        <f>IF(ROW()-3&gt;MAX($TT$4:$TT$40),"",INDEX($DK$4:$DK$40,MATCH(ROW()-3,$TT$4:$TT$40,0)))</f>
      </c>
      <c r="TV15" t="str">
        <f>IF(COUNTIF('Final Calculation Sheet'!$AL15:$BF15,0)+COUNTIF('Final Calculation Sheet'!$BH15:$BS15,0)&gt;0,0,1)</f>
      </c>
      <c r="TW15" t="str">
        <f>IF($DP$15="",FALSE,SUMPRODUCT(('Final Calculation Sheet'!$V$4:$V$40=$DP$15)*($TV$4:$TV$40=1))&gt;0)</f>
      </c>
      <c r="TX15" t="str">
        <f>=$TX14+--($TW15)</f>
      </c>
      <c r="TY15" t="str">
        <f>IF(ROW()-3&gt;MAX($TX$4:$TX$40),"",INDEX($DP$4:$DP$40,MATCH(ROW()-3,$TX$4:$TX$40,0)))</f>
      </c>
      <c r="TZ15" t="str">
        <f>IF(COUNTIF('Final Calculation Sheet'!$AL15:$BG15,0)+COUNTIF('Final Calculation Sheet'!$BI15:$BS15,0)&gt;0,0,1)</f>
      </c>
      <c r="UA15" t="str">
        <f>IF($DU$15="",FALSE,SUMPRODUCT(('Final Calculation Sheet'!$W$4:$W$40=$DU$15)*($TZ$4:$TZ$40=1))&gt;0)</f>
      </c>
      <c r="UB15" t="str">
        <f>=$UB14+--($UA15)</f>
      </c>
      <c r="UC15" t="str">
        <f>IF(ROW()-3&gt;MAX($UB$4:$UB$40),"",INDEX($DU$4:$DU$40,MATCH(ROW()-3,$UB$4:$UB$40,0)))</f>
      </c>
      <c r="UD15" t="str">
        <f>IF(COUNTIF('Final Calculation Sheet'!$AL15:$BH15,0)+COUNTIF('Final Calculation Sheet'!$BJ15:$BS15,0)&gt;0,0,1)</f>
      </c>
      <c r="UE15" t="str">
        <f>IF($DZ$15="",FALSE,SUMPRODUCT(('Final Calculation Sheet'!$X$4:$X$40=$DZ$15)*($UD$4:$UD$40=1))&gt;0)</f>
      </c>
      <c r="UF15" t="str">
        <f>=$UF14+--($UE15)</f>
      </c>
      <c r="UG15" t="str">
        <f>IF(ROW()-3&gt;MAX($UF$4:$UF$40),"",INDEX($DZ$4:$DZ$40,MATCH(ROW()-3,$UF$4:$UF$40,0)))</f>
      </c>
      <c r="UH15" t="str">
        <f>IF(COUNTIF('Final Calculation Sheet'!$AL15:$BI15,0)+COUNTIF('Final Calculation Sheet'!$BK15:$BS15,0)&gt;0,0,1)</f>
      </c>
      <c r="UI15" t="str">
        <f>IF($EE$15="",FALSE,SUMPRODUCT(('Final Calculation Sheet'!$Y$4:$Y$40=$EE$15)*($UH$4:$UH$40=1))&gt;0)</f>
      </c>
      <c r="UJ15" t="str">
        <f>=$UJ14+--($UI15)</f>
      </c>
      <c r="UK15" t="str">
        <f>IF(ROW()-3&gt;MAX($UJ$4:$UJ$40),"",INDEX($EE$4:$EE$40,MATCH(ROW()-3,$UJ$4:$UJ$40,0)))</f>
      </c>
      <c r="UL15" t="str">
        <f>IF(COUNTIF('Final Calculation Sheet'!$AL15:$BJ15,0)+COUNTIF('Final Calculation Sheet'!$BL15:$BS15,0)&gt;0,0,1)</f>
      </c>
      <c r="UM15" t="str">
        <f>IF($EJ$15="",FALSE,SUMPRODUCT(('Final Calculation Sheet'!$Z$4:$Z$40=$EJ$15)*($UL$4:$UL$40=1))&gt;0)</f>
      </c>
      <c r="UN15" t="str">
        <f>=$UN14+--($UM15)</f>
      </c>
      <c r="UO15" t="str">
        <f>IF(ROW()-3&gt;MAX($UN$4:$UN$40),"",INDEX($EJ$4:$EJ$40,MATCH(ROW()-3,$UN$4:$UN$40,0)))</f>
      </c>
      <c r="UP15" t="str">
        <f>IF(COUNTIF('Final Calculation Sheet'!$AL15:$BK15,0)+COUNTIF('Final Calculation Sheet'!$BM15:$BS15,0)&gt;0,0,1)</f>
      </c>
      <c r="UQ15" t="str">
        <f>IF($EO$15="",FALSE,SUMPRODUCT(('Final Calculation Sheet'!$AA$4:$AA$40=$EO$15)*($UP$4:$UP$40=1))&gt;0)</f>
      </c>
      <c r="UR15" t="str">
        <f>=$UR14+--($UQ15)</f>
      </c>
      <c r="US15" t="str">
        <f>IF(ROW()-3&gt;MAX($UR$4:$UR$40),"",INDEX($EO$4:$EO$40,MATCH(ROW()-3,$UR$4:$UR$40,0)))</f>
      </c>
      <c r="UT15" t="str">
        <f>IF(COUNTIF('Final Calculation Sheet'!$AL15:$BL15,0)+COUNTIF('Final Calculation Sheet'!$BN15:$BS15,0)&gt;0,0,1)</f>
      </c>
      <c r="UU15" t="str">
        <f>IF($ET$15="",FALSE,SUMPRODUCT(('Final Calculation Sheet'!$AB$4:$AB$40=$ET$15)*($UT$4:$UT$40=1))&gt;0)</f>
      </c>
      <c r="UV15" t="str">
        <f>=$UV14+--($UU15)</f>
      </c>
      <c r="UW15" t="str">
        <f>IF(ROW()-3&gt;MAX($UV$4:$UV$40),"",INDEX($ET$4:$ET$40,MATCH(ROW()-3,$UV$4:$UV$40,0)))</f>
      </c>
      <c r="UX15" t="str">
        <f>IF(COUNTIF('Final Calculation Sheet'!$AL15:$BM15,0)+COUNTIF('Final Calculation Sheet'!$BO15:$BS15,0)&gt;0,0,1)</f>
      </c>
      <c r="UY15" t="str">
        <f>IF($EY$15="",FALSE,SUMPRODUCT(('Final Calculation Sheet'!$AC$4:$AC$40=$EY$15)*($UX$4:$UX$40=1))&gt;0)</f>
      </c>
      <c r="UZ15" t="str">
        <f>=$UZ14+--($UY15)</f>
      </c>
      <c r="VA15" t="str">
        <f>IF(ROW()-3&gt;MAX($UZ$4:$UZ$40),"",INDEX($EY$4:$EY$40,MATCH(ROW()-3,$UZ$4:$UZ$40,0)))</f>
      </c>
      <c r="VB15" t="str">
        <f>IF(COUNTIF('Final Calculation Sheet'!$AL15:$BN15,0)+COUNTIF('Final Calculation Sheet'!$BP15:$BS15,0)&gt;0,0,1)</f>
      </c>
      <c r="VC15" t="str">
        <f>IF($FD$15="",FALSE,SUMPRODUCT(('Final Calculation Sheet'!$AD$4:$AD$40=$FD$15)*($VB$4:$VB$40=1))&gt;0)</f>
      </c>
      <c r="VD15" t="str">
        <f>=$VD14+--($VC15)</f>
      </c>
      <c r="VE15" t="str">
        <f>IF(ROW()-3&gt;MAX($VD$4:$VD$40),"",INDEX($FD$4:$FD$40,MATCH(ROW()-3,$VD$4:$VD$40,0)))</f>
      </c>
      <c r="VF15" t="str">
        <f>IF(COUNTIF('Final Calculation Sheet'!$AL15:$BO15,0)+COUNTIF('Final Calculation Sheet'!$BQ15:$BS15,0)&gt;0,0,1)</f>
      </c>
      <c r="VG15" t="str">
        <f>IF($FI$15="",FALSE,SUMPRODUCT(('Final Calculation Sheet'!$AE$4:$AE$40=$FI$15)*($VF$4:$VF$40=1))&gt;0)</f>
      </c>
      <c r="VH15" t="str">
        <f>=$VH14+--($VG15)</f>
      </c>
      <c r="VI15" t="str">
        <f>IF(ROW()-3&gt;MAX($VH$4:$VH$40),"",INDEX($FI$4:$FI$40,MATCH(ROW()-3,$VH$4:$VH$40,0)))</f>
      </c>
      <c r="VJ15" t="str">
        <f>IF(COUNTIF('Final Calculation Sheet'!$AL15:$BP15,0)+COUNTIF('Final Calculation Sheet'!$BR15:$BS15,0)&gt;0,0,1)</f>
      </c>
      <c r="VK15" t="str">
        <f>IF($FN$15="",FALSE,SUMPRODUCT(('Final Calculation Sheet'!$AF$4:$AF$40=$FN$15)*($VJ$4:$VJ$40=1))&gt;0)</f>
      </c>
      <c r="VL15" t="str">
        <f>=$VL14+--($VK15)</f>
      </c>
      <c r="VM15" t="str">
        <f>IF(ROW()-3&gt;MAX($VL$4:$VL$40),"",INDEX($FN$4:$FN$40,MATCH(ROW()-3,$VL$4:$VL$40,0)))</f>
      </c>
      <c r="VN15" t="str">
        <f>IF(COUNTIF('Final Calculation Sheet'!$AL15:$BQ15,0)+COUNTIF('Final Calculation Sheet'!$BS15:$BS15,0)&gt;0,0,1)</f>
      </c>
      <c r="VO15" t="str">
        <f>IF($FS$15="",FALSE,SUMPRODUCT(('Final Calculation Sheet'!$AG$4:$AG$40=$FS$15)*($VN$4:$VN$40=1))&gt;0)</f>
      </c>
      <c r="VP15" t="str">
        <f>=$VP14+--($VO15)</f>
      </c>
      <c r="VQ15" t="str">
        <f>IF(ROW()-3&gt;MAX($VP$4:$VP$40),"",INDEX($FS$4:$FS$40,MATCH(ROW()-3,$VP$4:$VP$40,0)))</f>
      </c>
      <c r="VR15" t="str">
        <f>IF(COUNTIF('Final Calculation Sheet'!$AL15:$BR15,0)&gt;0,0,1)</f>
      </c>
      <c r="VS15" t="str">
        <f>IF($QO$15="",FALSE,SUMPRODUCT(('Final Calculation Sheet'!$AH$4:$AH$40=$QO$15)*($VR$4:$VR$40=1))&gt;0)</f>
      </c>
      <c r="VT15" t="str">
        <f>=$VT14+--($VS15)</f>
      </c>
      <c r="VU15" t="str">
        <f>IF(ROW()-3&gt;MAX($VT$4:$VT$40),"",INDEX($QO$4:$QO$40,MATCH(ROW()-3,$VT$4:$VT$40,0)))</f>
      </c>
    </row>
    <row r="16">
      <c r="A16">
        <f>IF('Final Calculation Sheet'!$F$16="","",'Final Calculation Sheet'!$F$16)</f>
        <v/>
      </c>
      <c r="B16">
        <f>IF(A16="","",COUNTIFS(A$4:A$114,"&lt;"&amp;A16,A$4:A$114,"&lt;&gt;"&amp;"")+COUNTIF(A$4:A16,A16))</f>
        <v/>
      </c>
      <c r="C16">
        <f>IF(ROW()-3&gt;COUNTIF(A$4:A$114,"&lt;&gt;"&amp;""),"",INDEX(A$4:A$114,MATCH(ROW()-3,B$4:B$114,0)))</f>
        <v/>
      </c>
      <c r="D16">
        <f>D15+IF(AND(C16&lt;&gt;"",COUNTIF(C$4:C16,C16)=1),1,0)</f>
        <v/>
      </c>
      <c r="E16">
        <f>IF(ROW()-3&gt;MAX(D$4:D$114),"",INDEX(C$4:C$114,MATCH(ROW()-3,D$4:D$114,0)))</f>
        <v/>
      </c>
      <c r="F16">
        <f>ROW()-3</f>
        <v/>
      </c>
      <c r="G16">
        <f>IF(F16="","",COUNTIFS(F$4:F$40,"&lt;"&amp;F16,F$4:F$40,"&lt;&gt;"&amp;"")+COUNTIF(F$4:F16,F16))</f>
        <v/>
      </c>
      <c r="H16">
        <f>IF(ROW()-3&gt;COUNTIF(F$4:F$40,"&lt;&gt;"&amp;""),"",INDEX(F$4:F$40,MATCH(ROW()-3,G$4:G$40,0)))</f>
        <v/>
      </c>
      <c r="I16">
        <f>I15+IF(AND(H16&lt;&gt;"",COUNTIF(H$4:H16,H16)=1),1,0)</f>
        <v/>
      </c>
      <c r="J16">
        <f>IF(ROW()-3&gt;MAX(I$4:I$40),"",INDEX(H$4:H$40,MATCH(ROW()-3,I$4:I$40,0)))</f>
        <v/>
      </c>
      <c r="K16">
        <f>IF('Final Calculation Sheet'!$F$16="","",'Final Calculation Sheet'!$F$16)</f>
        <v/>
      </c>
      <c r="L16">
        <f>IF(K16="","",COUNTIFS(K$4:K$40,"&lt;"&amp;K16,K$4:K$40,"&lt;&gt;"&amp;"")+COUNTIF(K$4:K16,K16))</f>
        <v/>
      </c>
      <c r="M16">
        <f>IF(ROW()-3&gt;COUNTIF(K$4:K$40,"&lt;&gt;"&amp;""),"",INDEX(K$4:K$40,MATCH(ROW()-3,L$4:L$40,0)))</f>
        <v/>
      </c>
      <c r="N16">
        <f>N15+IF(AND(M16&lt;&gt;"",COUNTIF(M$4:M16,M16)=1),1,0)</f>
        <v/>
      </c>
      <c r="O16">
        <f>IF(ROW()-3&gt;MAX(N$4:N$40),"",INDEX(M$4:M$40,MATCH(ROW()-3,N$4:N$40,0)))</f>
        <v/>
      </c>
      <c r="P16">
        <f>IF('Final Calculation Sheet'!$G$16="","",'Final Calculation Sheet'!$G$16)</f>
        <v/>
      </c>
      <c r="Q16">
        <f>IF(P16="","",COUNTIFS(P$4:P$40,"&lt;"&amp;P16,P$4:P$40,"&lt;&gt;"&amp;"")+COUNTIF(P$4:P16,P16))</f>
        <v/>
      </c>
      <c r="R16">
        <f>IF(ROW()-3&gt;COUNTIF(P$4:P$40,"&lt;&gt;"&amp;""),"",INDEX(P$4:P$40,MATCH(ROW()-3,Q$4:Q$40,0)))</f>
        <v/>
      </c>
      <c r="S16">
        <f>S15+IF(AND(R16&lt;&gt;"",COUNTIF(R$4:R16,R16)=1),1,0)</f>
        <v/>
      </c>
      <c r="T16">
        <f>IF(ROW()-3&gt;MAX(S$4:S$40),"",INDEX(R$4:R$40,MATCH(ROW()-3,S$4:S$40,0)))</f>
        <v/>
      </c>
      <c r="U16">
        <f>IF('Final Calculation Sheet'!$B$16="","",'Final Calculation Sheet'!$B$16)</f>
        <v/>
      </c>
      <c r="V16">
        <f>IF(U16="","",COUNTIFS(U$4:U$40,"&lt;"&amp;U16,U$4:U$40,"&lt;&gt;"&amp;"")+COUNTIF(U$4:U16,U16))</f>
        <v/>
      </c>
      <c r="W16">
        <f>IF(ROW()-3&gt;COUNTIF(U$4:U$40,"&lt;&gt;"&amp;""),"",INDEX(U$4:U$40,MATCH(ROW()-3,V$4:V$40,0)))</f>
        <v/>
      </c>
      <c r="X16">
        <f>X15+IF(AND(W16&lt;&gt;"",COUNTIF(W$4:W16,W16)=1),1,0)</f>
        <v/>
      </c>
      <c r="Y16">
        <f>IF(ROW()-3&gt;MAX(X$4:X$40),"",INDEX(W$4:W$40,MATCH(ROW()-3,X$4:X$40,0)))</f>
        <v/>
      </c>
      <c r="Z16">
        <f>IF('Final Calculation Sheet'!$D$16="","",'Final Calculation Sheet'!$D$16)</f>
        <v/>
      </c>
      <c r="AA16">
        <f>IF(Z16="","",COUNTIFS(Z$4:Z$40,"&lt;"&amp;Z16,Z$4:Z$40,"&lt;&gt;"&amp;"")+COUNTIF(Z$4:Z16,Z16))</f>
        <v/>
      </c>
      <c r="AB16">
        <f>IF(ROW()-3&gt;COUNTIF(Z$4:Z$40,"&lt;&gt;"&amp;""),"",INDEX(Z$4:Z$40,MATCH(ROW()-3,AA$4:AA$40,0)))</f>
        <v/>
      </c>
      <c r="AC16">
        <f>AC15+IF(AND(AB16&lt;&gt;"",COUNTIF(AB$4:AB16,AB16)=1),1,0)</f>
        <v/>
      </c>
      <c r="AD16">
        <f>IF(ROW()-3&gt;MAX(AC$4:AC$40),"",INDEX(AB$4:AB$40,MATCH(ROW()-3,AC$4:AC$40,0)))</f>
        <v/>
      </c>
      <c r="AE16">
        <f>IF('Final Calculation Sheet'!$A$16="","",'Final Calculation Sheet'!$A$16)</f>
        <v/>
      </c>
      <c r="AF16">
        <f>IF(AE16="","",COUNTIFS(AE$4:AE$40,"&lt;"&amp;AE16,AE$4:AE$40,"&lt;&gt;"&amp;"")+COUNTIF(AE$4:AE16,AE16))</f>
        <v/>
      </c>
      <c r="AG16">
        <f>IF(ROW()-3&gt;COUNTIF(AE$4:AE$40,"&lt;&gt;"&amp;""),"",INDEX(AE$4:AE$40,MATCH(ROW()-3,AF$4:AF$40,0)))</f>
        <v/>
      </c>
      <c r="AH16">
        <f>AH15+IF(AND(AG16&lt;&gt;"",COUNTIF(AG$4:AG16,AG16)=1),1,0)</f>
        <v/>
      </c>
      <c r="AI16">
        <f>IF(ROW()-3&gt;MAX(AH$4:AH$40),"",INDEX(AG$4:AG$40,MATCH(ROW()-3,AH$4:AH$40,0)))</f>
        <v/>
      </c>
      <c r="AJ16">
        <f>IF('Final Calculation Sheet'!$E$16="","",'Final Calculation Sheet'!$E$16)</f>
        <v/>
      </c>
      <c r="AK16">
        <f>IF(AJ16="","",COUNTIFS(AJ$4:AJ$40,"&lt;"&amp;AJ16,AJ$4:AJ$40,"&lt;&gt;"&amp;"")+COUNTIF(AJ$4:AJ16,AJ16))</f>
        <v/>
      </c>
      <c r="AL16">
        <f>IF(ROW()-3&gt;COUNTIF(AJ$4:AJ$40,"&lt;&gt;"&amp;""),"",INDEX(AJ$4:AJ$40,MATCH(ROW()-3,AK$4:AK$40,0)))</f>
        <v/>
      </c>
      <c r="AM16">
        <f>AM15+IF(AND(AL16&lt;&gt;"",COUNTIF(AL$4:AL16,AL16)=1),1,0)</f>
        <v/>
      </c>
      <c r="AN16">
        <f>IF(ROW()-3&gt;MAX(AM$4:AM$40),"",INDEX(AL$4:AL$40,MATCH(ROW()-3,AM$4:AM$40,0)))</f>
        <v/>
      </c>
      <c r="AO16" s="55">
        <f>IF('Final Calculation Sheet'!$C$16="","",'Final Calculation Sheet'!$C$16)</f>
        <v/>
      </c>
      <c r="AP16">
        <f>IF(AO16="","",COUNTIFS(AO$4:AO$40,"&lt;"&amp;AO16,AO$4:AO$40,"&lt;&gt;"&amp;"")+COUNTIF(AO$4:AO16,AO16))</f>
        <v/>
      </c>
      <c r="AQ16" s="55">
        <f>IF(ROW()-3&gt;COUNTIF(AO$4:AO$40,"&lt;&gt;"&amp;""),"",INDEX(AO$4:AO$40,MATCH(ROW()-3,AP$4:AP$40,0)))</f>
        <v/>
      </c>
      <c r="AR16">
        <f>AR15+IF(AND(AQ16&lt;&gt;"",COUNTIF(AQ$4:AQ16,AQ16)=1),1,0)</f>
        <v/>
      </c>
      <c r="AS16" s="55">
        <f>IF(ROW()-3&gt;MAX(AR$4:AR$40),"",INDEX(AQ$4:AQ$40,MATCH(ROW()-3,AR$4:AR$40,0)))</f>
        <v/>
      </c>
      <c r="AT16" s="55">
        <f>IF('Final Calculation Sheet'!$H$16="","",'Final Calculation Sheet'!$H$16)</f>
        <v/>
      </c>
      <c r="AU16">
        <f>IF(AT16="","",COUNTIFS(AT$4:AT$40,"&lt;"&amp;AT16,AT$4:AT$40,"&lt;&gt;"&amp;"")+COUNTIF(AT$4:AT16,AT16))</f>
        <v/>
      </c>
      <c r="AV16" s="55">
        <f>IF(ROW()-3&gt;COUNTIF(AT$4:AT$40,"&lt;&gt;"&amp;""),"",INDEX(AT$4:AT$40,MATCH(ROW()-3,AU$4:AU$40,0)))</f>
        <v/>
      </c>
      <c r="AW16">
        <f>AW15+IF(AND(AV16&lt;&gt;"",COUNTIF(AV$4:AV16,AV16)=1),1,0)</f>
        <v/>
      </c>
      <c r="AX16" s="55">
        <f>IF(ROW()-3&gt;MAX(AW$4:AW$40),"",INDEX(AV$4:AV$40,MATCH(ROW()-3,AW$4:AW$40,0)))</f>
        <v/>
      </c>
      <c r="AY16" s="55">
        <f>IF('Final Calculation Sheet'!$I$16="","",'Final Calculation Sheet'!$I$16)</f>
        <v/>
      </c>
      <c r="AZ16">
        <f>IF(AY16="","",COUNTIFS(AY$4:AY$40,"&lt;"&amp;AY16,AY$4:AY$40,"&lt;&gt;"&amp;"")+COUNTIF(AY$4:AY16,AY16))</f>
        <v/>
      </c>
      <c r="BA16" s="55">
        <f>IF(ROW()-3&gt;COUNTIF(AY$4:AY$40,"&lt;&gt;"&amp;""),"",INDEX(AY$4:AY$40,MATCH(ROW()-3,AZ$4:AZ$40,0)))</f>
        <v/>
      </c>
      <c r="BB16">
        <f>BB15+IF(AND(BA16&lt;&gt;"",COUNTIF(BA$4:BA16,BA16)=1),1,0)</f>
        <v/>
      </c>
      <c r="BC16" s="55">
        <f>IF(ROW()-3&gt;MAX(BB$4:BB$40),"",INDEX(BA$4:BA$40,MATCH(ROW()-3,BB$4:BB$40,0)))</f>
        <v/>
      </c>
      <c r="BD16" s="55">
        <f>IF('Final Calculation Sheet'!$J$16="","",'Final Calculation Sheet'!$J$16)</f>
        <v/>
      </c>
      <c r="BE16">
        <f>IF(BD16="","",COUNTIFS(BD$4:BD$40,"&lt;"&amp;BD16,BD$4:BD$40,"&lt;&gt;"&amp;"")+COUNTIF(BD$4:BD16,BD16))</f>
        <v/>
      </c>
      <c r="BF16" s="55">
        <f>IF(ROW()-3&gt;COUNTIF(BD$4:BD$40,"&lt;&gt;"&amp;""),"",INDEX(BD$4:BD$40,MATCH(ROW()-3,BE$4:BE$40,0)))</f>
        <v/>
      </c>
      <c r="BG16">
        <f>BG15+IF(AND(BF16&lt;&gt;"",COUNTIF(BF$4:BF16,BF16)=1),1,0)</f>
        <v/>
      </c>
      <c r="BH16" s="55">
        <f>IF(ROW()-3&gt;MAX(BG$4:BG$40),"",INDEX(BF$4:BF$40,MATCH(ROW()-3,BG$4:BG$40,0)))</f>
        <v/>
      </c>
      <c r="BI16" s="55">
        <f>IF('Final Calculation Sheet'!$K$16="","",'Final Calculation Sheet'!$K$16)</f>
        <v/>
      </c>
      <c r="BJ16">
        <f>IF(BI16="","",COUNTIFS(BI$4:BI$40,"&lt;"&amp;BI16,BI$4:BI$40,"&lt;&gt;"&amp;"")+COUNTIF(BI$4:BI16,BI16))</f>
        <v/>
      </c>
      <c r="BK16" s="55">
        <f>IF(ROW()-3&gt;COUNTIF(BI$4:BI$40,"&lt;&gt;"&amp;""),"",INDEX(BI$4:BI$40,MATCH(ROW()-3,BJ$4:BJ$40,0)))</f>
        <v/>
      </c>
      <c r="BL16">
        <f>BL15+IF(AND(BK16&lt;&gt;"",COUNTIF(BK$4:BK16,BK16)=1),1,0)</f>
        <v/>
      </c>
      <c r="BM16" s="55">
        <f>IF(ROW()-3&gt;MAX(BL$4:BL$40),"",INDEX(BK$4:BK$40,MATCH(ROW()-3,BL$4:BL$40,0)))</f>
        <v/>
      </c>
      <c r="BN16" s="55">
        <f>IF('Final Calculation Sheet'!$L$16="","",'Final Calculation Sheet'!$L$16)</f>
        <v/>
      </c>
      <c r="BO16">
        <f>IF(BN16="","",COUNTIFS(BN$4:BN$40,"&lt;"&amp;BN16,BN$4:BN$40,"&lt;&gt;"&amp;"")+COUNTIF(BN$4:BN16,BN16))</f>
        <v/>
      </c>
      <c r="BP16" s="55">
        <f>IF(ROW()-3&gt;COUNTIF(BN$4:BN$40,"&lt;&gt;"&amp;""),"",INDEX(BN$4:BN$40,MATCH(ROW()-3,BO$4:BO$40,0)))</f>
        <v/>
      </c>
      <c r="BQ16">
        <f>BQ15+IF(AND(BP16&lt;&gt;"",COUNTIF(BP$4:BP16,BP16)=1),1,0)</f>
        <v/>
      </c>
      <c r="BR16" s="55">
        <f>IF(ROW()-3&gt;MAX(BQ$4:BQ$40),"",INDEX(BP$4:BP$40,MATCH(ROW()-3,BQ$4:BQ$40,0)))</f>
        <v/>
      </c>
      <c r="BS16" s="55">
        <f>IF('Final Calculation Sheet'!$M$16="","",'Final Calculation Sheet'!$M$16)</f>
        <v/>
      </c>
      <c r="BT16">
        <f>IF(BS16="","",COUNTIFS(BS$4:BS$40,"&lt;"&amp;BS16,BS$4:BS$40,"&lt;&gt;"&amp;"")+COUNTIF(BS$4:BS16,BS16))</f>
        <v/>
      </c>
      <c r="BU16" s="55">
        <f>IF(ROW()-3&gt;COUNTIF(BS$4:BS$40,"&lt;&gt;"&amp;""),"",INDEX(BS$4:BS$40,MATCH(ROW()-3,BT$4:BT$40,0)))</f>
        <v/>
      </c>
      <c r="BV16">
        <f>BV15+IF(AND(BU16&lt;&gt;"",COUNTIF(BU$4:BU16,BU16)=1),1,0)</f>
        <v/>
      </c>
      <c r="BW16" s="55">
        <f>IF(ROW()-3&gt;MAX(BV$4:BV$40),"",INDEX(BU$4:BU$40,MATCH(ROW()-3,BV$4:BV$40,0)))</f>
        <v/>
      </c>
      <c r="BX16" s="138">
        <f>IF('Final Calculation Sheet'!$N$16="","",'Final Calculation Sheet'!$N$16)</f>
        <v/>
      </c>
      <c r="BY16">
        <f>IF(BX16="","",COUNTIFS(BX$4:BX$40,"&lt;"&amp;BX16,BX$4:BX$40,"&lt;&gt;"&amp;"")+COUNTIF(BX$4:BX16,BX16))</f>
        <v/>
      </c>
      <c r="BZ16" s="138">
        <f>IF(ROW()-3&gt;COUNTIF(BX$4:BX$40,"&lt;&gt;"&amp;""),"",INDEX(BX$4:BX$40,MATCH(ROW()-3,BY$4:BY$40,0)))</f>
        <v/>
      </c>
      <c r="CA16">
        <f>CA15+IF(AND(BZ16&lt;&gt;"",COUNTIF(BZ$4:BZ16,BZ16)=1),1,0)</f>
        <v/>
      </c>
      <c r="CB16" s="138">
        <f>IF(ROW()-3&gt;MAX(CA$4:CA$40),"",INDEX(BZ$4:BZ$40,MATCH(ROW()-3,CA$4:CA$40,0)))</f>
        <v/>
      </c>
      <c r="CC16" s="55">
        <f>IF('Final Calculation Sheet'!$O$16="","",'Final Calculation Sheet'!$O$16)</f>
        <v/>
      </c>
      <c r="CD16">
        <f>IF(CC16="","",COUNTIFS(CC$4:CC$40,"&lt;"&amp;CC16,CC$4:CC$40,"&lt;&gt;"&amp;"")+COUNTIF(CC$4:CC16,CC16))</f>
        <v/>
      </c>
      <c r="CE16" s="55">
        <f>IF(ROW()-3&gt;COUNTIF(CC$4:CC$40,"&lt;&gt;"&amp;""),"",INDEX(CC$4:CC$40,MATCH(ROW()-3,CD$4:CD$40,0)))</f>
        <v/>
      </c>
      <c r="CF16">
        <f>CF15+IF(AND(CE16&lt;&gt;"",COUNTIF(CE$4:CE16,CE16)=1),1,0)</f>
        <v/>
      </c>
      <c r="CG16" s="55">
        <f>IF(ROW()-3&gt;MAX(CF$4:CF$40),"",INDEX(CE$4:CE$40,MATCH(ROW()-3,CF$4:CF$40,0)))</f>
        <v/>
      </c>
      <c r="CH16" s="55">
        <f>IF('Final Calculation Sheet'!$P$16="","",'Final Calculation Sheet'!$P$16)</f>
        <v/>
      </c>
      <c r="CI16">
        <f>IF(CH16="","",COUNTIFS(CH$4:CH$40,"&lt;"&amp;CH16,CH$4:CH$40,"&lt;&gt;"&amp;"")+COUNTIF(CH$4:CH16,CH16))</f>
        <v/>
      </c>
      <c r="CJ16" s="55">
        <f>IF(ROW()-3&gt;COUNTIF(CH$4:CH$40,"&lt;&gt;"&amp;""),"",INDEX(CH$4:CH$40,MATCH(ROW()-3,CI$4:CI$40,0)))</f>
        <v/>
      </c>
      <c r="CK16">
        <f>CK15+IF(AND(CJ16&lt;&gt;"",COUNTIF(CJ$4:CJ16,CJ16)=1),1,0)</f>
        <v/>
      </c>
      <c r="CL16" s="55">
        <f>IF(ROW()-3&gt;MAX(CK$4:CK$40),"",INDEX(CJ$4:CJ$40,MATCH(ROW()-3,CK$4:CK$40,0)))</f>
        <v/>
      </c>
      <c r="CM16" s="139">
        <f>IF('Final Calculation Sheet'!$Q$16="","",'Final Calculation Sheet'!$Q$16)</f>
        <v/>
      </c>
      <c r="CN16">
        <f>IF(CM16="","",COUNTIFS(CM$4:CM$40,"&lt;"&amp;CM16,CM$4:CM$40,"&lt;&gt;"&amp;"")+COUNTIF(CM$4:CM16,CM16))</f>
        <v/>
      </c>
      <c r="CO16" s="139">
        <f>IF(ROW()-3&gt;COUNTIF(CM$4:CM$40,"&lt;&gt;"&amp;""),"",INDEX(CM$4:CM$40,MATCH(ROW()-3,CN$4:CN$40,0)))</f>
        <v/>
      </c>
      <c r="CP16">
        <f>CP15+IF(AND(CO16&lt;&gt;"",COUNTIF(CO$4:CO16,CO16)=1),1,0)</f>
        <v/>
      </c>
      <c r="CQ16">
        <f>IF(ROW()-3&gt;MAX(CP$4:CP$40),"",INDEX(CO$4:CO$40,MATCH(ROW()-3,CP$4:CP$40,0)))</f>
        <v/>
      </c>
      <c r="CR16" s="55">
        <f>IF('Final Calculation Sheet'!$R$16="","",'Final Calculation Sheet'!$R$16)</f>
        <v/>
      </c>
      <c r="CS16">
        <f>IF(CR16="","",COUNTIFS(CR$4:CR$40,"&lt;"&amp;CR16,CR$4:CR$40,"&lt;&gt;"&amp;"")+COUNTIF(CR$4:CR16,CR16))</f>
        <v/>
      </c>
      <c r="CT16" s="55">
        <f>IF(ROW()-3&gt;COUNTIF(CR$4:CR$40,"&lt;&gt;"&amp;""),"",INDEX(CR$4:CR$40,MATCH(ROW()-3,CS$4:CS$40,0)))</f>
        <v/>
      </c>
      <c r="CU16">
        <f>CU15+IF(AND(CT16&lt;&gt;"",COUNTIF(CT$4:CT16,CT16)=1),1,0)</f>
        <v/>
      </c>
      <c r="CV16">
        <f>IF(ROW()-3&gt;MAX(CU$4:CU$40),"",INDEX(CT$4:CT$40,MATCH(ROW()-3,CU$4:CU$40,0)))</f>
        <v/>
      </c>
      <c r="CW16" s="55">
        <f>IF('Final Calculation Sheet'!$S$16="","",'Final Calculation Sheet'!$S$16)</f>
        <v/>
      </c>
      <c r="CX16">
        <f>IF(CW16="","",COUNTIFS(CW$4:CW$40,"&lt;"&amp;CW16,CW$4:CW$40,"&lt;&gt;"&amp;"")+COUNTIF(CW$4:CW16,CW16))</f>
        <v/>
      </c>
      <c r="CY16" s="55">
        <f>IF(ROW()-3&gt;COUNTIF(CW$4:CW$40,"&lt;&gt;"&amp;""),"",INDEX(CW$4:CW$40,MATCH(ROW()-3,CX$4:CX$40,0)))</f>
        <v/>
      </c>
      <c r="CZ16">
        <f>CZ15+IF(AND(CY16&lt;&gt;"",COUNTIF(CY$4:CY16,CY16)=1),1,0)</f>
        <v/>
      </c>
      <c r="DA16" s="55">
        <f>IF(ROW()-3&gt;MAX(CZ$4:CZ$40),"",INDEX(CY$4:CY$40,MATCH(ROW()-3,CZ$4:CZ$40,0)))</f>
        <v/>
      </c>
      <c r="DB16" s="55">
        <f>IF('Final Calculation Sheet'!$T$16="","",'Final Calculation Sheet'!$T$16)</f>
        <v/>
      </c>
      <c r="DC16">
        <f>IF(DB16="","",COUNTIFS(DB$4:DB$40,"&lt;"&amp;DB16,DB$4:DB$40,"&lt;&gt;"&amp;"")+COUNTIF(DB$4:DB16,DB16))</f>
        <v/>
      </c>
      <c r="DD16" s="55">
        <f>IF(ROW()-3&gt;COUNTIF(DB$4:DB$40,"&lt;&gt;"&amp;""),"",INDEX(DB$4:DB$40,MATCH(ROW()-3,DC$4:DC$40,0)))</f>
        <v/>
      </c>
      <c r="DE16">
        <f>DE15+IF(AND(DD16&lt;&gt;"",COUNTIF(DD$4:DD16,DD16)=1),1,0)</f>
        <v/>
      </c>
      <c r="DF16" s="55">
        <f>IF(ROW()-3&gt;MAX(DE$4:DE$40),"",INDEX(DD$4:DD$40,MATCH(ROW()-3,DE$4:DE$40,0)))</f>
        <v/>
      </c>
      <c r="DG16" s="140">
        <f>IF('Final Calculation Sheet'!$U$16="","",'Final Calculation Sheet'!$U$16)</f>
        <v/>
      </c>
      <c r="DH16">
        <f>IF(DG16="","",COUNTIFS(DG$4:DG$40,"&lt;"&amp;DG16,DG$4:DG$40,"&lt;&gt;"&amp;"")+COUNTIF(DG$4:DG16,DG16))</f>
        <v/>
      </c>
      <c r="DI16" s="140">
        <f>IF(ROW()-3&gt;COUNTIF(DG$4:DG$40,"&lt;&gt;"&amp;""),"",INDEX(DG$4:DG$40,MATCH(ROW()-3,DH$4:DH$40,0)))</f>
        <v/>
      </c>
      <c r="DJ16">
        <f>DJ15+IF(AND(DI16&lt;&gt;"",COUNTIF(DI$4:DI16,DI16)=1),1,0)</f>
        <v/>
      </c>
      <c r="DK16" s="140">
        <f>IF(ROW()-3&gt;MAX(DJ$4:DJ$40),"",INDEX(DI$4:DI$40,MATCH(ROW()-3,DJ$4:DJ$40,0)))</f>
        <v/>
      </c>
      <c r="DL16">
        <f>IF('Final Calculation Sheet'!$V$16="","",'Final Calculation Sheet'!$V$16)</f>
        <v/>
      </c>
      <c r="DM16">
        <f>IF(DL16="","",COUNTIFS(DL$4:DL$40,"&lt;"&amp;DL16,DL$4:DL$40,"&lt;&gt;"&amp;"")+COUNTIF(DL$4:DL16,DL16))</f>
        <v/>
      </c>
      <c r="DN16">
        <f>IF(ROW()-3&gt;COUNTIF(DL$4:DL$40,"&lt;&gt;"&amp;""),"",INDEX(DL$4:DL$40,MATCH(ROW()-3,DM$4:DM$40,0)))</f>
        <v/>
      </c>
      <c r="DO16">
        <f>DO15+IF(AND(DN16&lt;&gt;"",COUNTIF(DN$4:DN16,DN16)=1),1,0)</f>
        <v/>
      </c>
      <c r="DP16">
        <f>IF(ROW()-3&gt;MAX(DO$4:DO$40),"",INDEX(DN$4:DN$40,MATCH(ROW()-3,DO$4:DO$40,0)))</f>
        <v/>
      </c>
      <c r="DQ16" s="55">
        <f>IF('Final Calculation Sheet'!$W$16="","",'Final Calculation Sheet'!$W$16)</f>
        <v/>
      </c>
      <c r="DR16">
        <f>IF(DQ16="","",COUNTIFS(DQ$4:DQ$40,"&lt;"&amp;DQ16,DQ$4:DQ$40,"&lt;&gt;"&amp;"")+COUNTIF(DQ$4:DQ16,DQ16))</f>
        <v/>
      </c>
      <c r="DS16" s="55">
        <f>IF(ROW()-3&gt;COUNTIF(DQ$4:DQ$40,"&lt;&gt;"&amp;""),"",INDEX(DQ$4:DQ$40,MATCH(ROW()-3,DR$4:DR$40,0)))</f>
        <v/>
      </c>
      <c r="DT16">
        <f>DT15+IF(AND(DS16&lt;&gt;"",COUNTIF(DS$4:DS16,DS16)=1),1,0)</f>
        <v/>
      </c>
      <c r="DU16" s="55">
        <f>IF(ROW()-3&gt;MAX(DT$4:DT$40),"",INDEX(DS$4:DS$40,MATCH(ROW()-3,DT$4:DT$40,0)))</f>
        <v/>
      </c>
      <c r="DV16" s="55">
        <f>IF('Final Calculation Sheet'!$X$16="","",'Final Calculation Sheet'!$X$16)</f>
        <v/>
      </c>
      <c r="DW16">
        <f>IF(DV16="","",COUNTIFS(DV$4:DV$40,"&lt;"&amp;DV16,DV$4:DV$40,"&lt;&gt;"&amp;"")+COUNTIF(DV$4:DV16,DV16))</f>
        <v/>
      </c>
      <c r="DX16" s="55">
        <f>IF(ROW()-3&gt;COUNTIF(DV$4:DV$40,"&lt;&gt;"&amp;""),"",INDEX(DV$4:DV$40,MATCH(ROW()-3,DW$4:DW$40,0)))</f>
        <v/>
      </c>
      <c r="DY16">
        <f>DY15+IF(AND(DX16&lt;&gt;"",COUNTIF(DX$4:DX16,DX16)=1),1,0)</f>
        <v/>
      </c>
      <c r="DZ16">
        <f>IF(ROW()-3&gt;MAX(DY$4:DY$40),"",INDEX(DX$4:DX$40,MATCH(ROW()-3,DY$4:DY$40,0)))</f>
        <v/>
      </c>
      <c r="EA16">
        <f>IF('Final Calculation Sheet'!$Y$16="","",'Final Calculation Sheet'!$Y$16)</f>
        <v/>
      </c>
      <c r="EB16">
        <f>IF(EA16="","",COUNTIFS(EA$4:EA$40,"&lt;"&amp;EA16,EA$4:EA$40,"&lt;&gt;"&amp;"")+COUNTIF(EA$4:EA16,EA16))</f>
        <v/>
      </c>
      <c r="EC16">
        <f>IF(ROW()-3&gt;COUNTIF(EA$4:EA$40,"&lt;&gt;"&amp;""),"",INDEX(EA$4:EA$40,MATCH(ROW()-3,EB$4:EB$40,0)))</f>
        <v/>
      </c>
      <c r="ED16">
        <f>ED15+IF(AND(EC16&lt;&gt;"",COUNTIF(EC$4:EC16,EC16)=1),1,0)</f>
        <v/>
      </c>
      <c r="EE16">
        <f>IF(ROW()-3&gt;MAX(ED$4:ED$40),"",INDEX(EC$4:EC$40,MATCH(ROW()-3,ED$4:ED$40,0)))</f>
        <v/>
      </c>
      <c r="EF16" s="55">
        <f>IF('Final Calculation Sheet'!$Z$16="","",'Final Calculation Sheet'!$Z$16)</f>
        <v/>
      </c>
      <c r="EG16">
        <f>IF(EF16="","",COUNTIFS(EF$4:EF$40,"&lt;"&amp;EF16,EF$4:EF$40,"&lt;&gt;"&amp;"")+COUNTIF(EF$4:EF16,EF16))</f>
        <v/>
      </c>
      <c r="EH16" s="55">
        <f>IF(ROW()-3&gt;COUNTIF(EF$4:EF$40,"&lt;&gt;"&amp;""),"",INDEX(EF$4:EF$40,MATCH(ROW()-3,EG$4:EG$40,0)))</f>
        <v/>
      </c>
      <c r="EI16">
        <f>EI15+IF(AND(EH16&lt;&gt;"",COUNTIF(EH$4:EH16,EH16)=1),1,0)</f>
        <v/>
      </c>
      <c r="EJ16">
        <f>IF(ROW()-3&gt;MAX(EI$4:EI$40),"",INDEX(EH$4:EH$40,MATCH(ROW()-3,EI$4:EI$40,0)))</f>
        <v/>
      </c>
      <c r="EK16">
        <f>IF('Final Calculation Sheet'!$AA$16="","",'Final Calculation Sheet'!$AA$16)</f>
        <v/>
      </c>
      <c r="EL16">
        <f>IF(EK16="","",COUNTIFS(EK$4:EK$40,"&lt;"&amp;EK16,EK$4:EK$40,"&lt;&gt;"&amp;"")+COUNTIF(EK$4:EK16,EK16))</f>
        <v/>
      </c>
      <c r="EM16">
        <f>IF(ROW()-3&gt;COUNTIF(EK$4:EK$40,"&lt;&gt;"&amp;""),"",INDEX(EK$4:EK$40,MATCH(ROW()-3,EL$4:EL$40,0)))</f>
        <v/>
      </c>
      <c r="EN16">
        <f>EN15+IF(AND(EM16&lt;&gt;"",COUNTIF(EM$4:EM16,EM16)=1),1,0)</f>
        <v/>
      </c>
      <c r="EO16">
        <f>IF(ROW()-3&gt;MAX(EN$4:EN$40),"",INDEX(EM$4:EM$40,MATCH(ROW()-3,EN$4:EN$40,0)))</f>
        <v/>
      </c>
      <c r="EP16">
        <f>IF('Final Calculation Sheet'!$AB$16="","",'Final Calculation Sheet'!$AB$16)</f>
        <v/>
      </c>
      <c r="EQ16">
        <f>IF(EP16="","",COUNTIFS(EP$4:EP$40,"&lt;"&amp;EP16,EP$4:EP$40,"&lt;&gt;"&amp;"")+COUNTIF(EP$4:EP16,EP16))</f>
        <v/>
      </c>
      <c r="ER16">
        <f>IF(ROW()-3&gt;COUNTIF(EP$4:EP$40,"&lt;&gt;"&amp;""),"",INDEX(EP$4:EP$40,MATCH(ROW()-3,EQ$4:EQ$40,0)))</f>
        <v/>
      </c>
      <c r="ES16">
        <f>ES15+IF(AND(ER16&lt;&gt;"",COUNTIF(ER$4:ER16,ER16)=1),1,0)</f>
        <v/>
      </c>
      <c r="ET16">
        <f>IF(ROW()-3&gt;MAX(ES$4:ES$40),"",INDEX(ER$4:ER$40,MATCH(ROW()-3,ES$4:ES$40,0)))</f>
        <v/>
      </c>
      <c r="EU16" s="55">
        <f>IF('Final Calculation Sheet'!$AC$16="","",'Final Calculation Sheet'!$AC$16)</f>
        <v/>
      </c>
      <c r="EV16">
        <f>IF(EU16="","",COUNTIFS(EU$4:EU$40,"&lt;"&amp;EU16,EU$4:EU$40,"&lt;&gt;"&amp;"")+COUNTIF(EU$4:EU16,EU16))</f>
        <v/>
      </c>
      <c r="EW16" s="55">
        <f>IF(ROW()-3&gt;COUNTIF(EU$4:EU$40,"&lt;&gt;"&amp;""),"",INDEX(EU$4:EU$40,MATCH(ROW()-3,EV$4:EV$40,0)))</f>
        <v/>
      </c>
      <c r="EX16">
        <f>EX15+IF(AND(EW16&lt;&gt;"",COUNTIF(EW$4:EW16,EW16)=1),1,0)</f>
        <v/>
      </c>
      <c r="EY16" s="55">
        <f>IF(ROW()-3&gt;MAX(EX$4:EX$40),"",INDEX(EW$4:EW$40,MATCH(ROW()-3,EX$4:EX$40,0)))</f>
        <v/>
      </c>
      <c r="EZ16" s="55">
        <f>IF('Final Calculation Sheet'!$AD$16="","",'Final Calculation Sheet'!$AD$16)</f>
        <v/>
      </c>
      <c r="FA16">
        <f>IF(EZ16="","",COUNTIFS(EZ$4:EZ$40,"&lt;"&amp;EZ16,EZ$4:EZ$40,"&lt;&gt;"&amp;"")+COUNTIF(EZ$4:EZ16,EZ16))</f>
        <v/>
      </c>
      <c r="FB16" s="55">
        <f>IF(ROW()-3&gt;COUNTIF(EZ$4:EZ$40,"&lt;&gt;"&amp;""),"",INDEX(EZ$4:EZ$40,MATCH(ROW()-3,FA$4:FA$40,0)))</f>
        <v/>
      </c>
      <c r="FC16">
        <f>FC15+IF(AND(FB16&lt;&gt;"",COUNTIF(FB$4:FB16,FB16)=1),1,0)</f>
        <v/>
      </c>
      <c r="FD16">
        <f>IF(ROW()-3&gt;MAX(FC$4:FC$40),"",INDEX(FB$4:FB$40,MATCH(ROW()-3,FC$4:FC$40,0)))</f>
        <v/>
      </c>
      <c r="FE16">
        <f>IF('Final Calculation Sheet'!$AF$16="","",'Final Calculation Sheet'!$AF$16)</f>
        <v/>
      </c>
      <c r="FF16">
        <f>IF(FE16="","",COUNTIFS(FE$4:FE$40,"&lt;"&amp;FE16,FE$4:FE$40,"&lt;&gt;"&amp;"")+COUNTIF(FE$4:FE16,FE16))</f>
        <v/>
      </c>
      <c r="FG16">
        <f>IF(ROW()-3&gt;COUNTIF(FE$4:FE$40,"&lt;&gt;"&amp;""),"",INDEX(FE$4:FE$40,MATCH(ROW()-3,FF$4:FF$40,0)))</f>
        <v/>
      </c>
      <c r="FH16">
        <f>FH15+IF(AND(FG16&lt;&gt;"",COUNTIF(FG$4:FG16,FG16)=1),1,0)</f>
        <v/>
      </c>
      <c r="FI16">
        <f>IF(ROW()-3&gt;MAX(FH$4:FH$40),"",INDEX(FG$4:FG$40,MATCH(ROW()-3,FH$4:FH$40,0)))</f>
        <v/>
      </c>
      <c r="FJ16" s="141">
        <f>IF('Final Calculation Sheet'!$AG$16="","",'Final Calculation Sheet'!$AG$16)</f>
        <v/>
      </c>
      <c r="FK16">
        <f>IF(FJ16="","",COUNTIFS(FJ$4:FJ$40,"&lt;"&amp;FJ16,FJ$4:FJ$40,"&lt;&gt;"&amp;"")+COUNTIF(FJ$4:FJ16,FJ16))</f>
        <v/>
      </c>
      <c r="FL16" s="141">
        <f>IF(ROW()-3&gt;COUNTIF(FJ$4:FJ$40,"&lt;&gt;"&amp;""),"",INDEX(FJ$4:FJ$40,MATCH(ROW()-3,FK$4:FK$40,0)))</f>
        <v/>
      </c>
      <c r="FM16">
        <f>FM15+IF(AND(FL16&lt;&gt;"",COUNTIF(FL$4:FL16,FL16)=1),1,0)</f>
        <v/>
      </c>
      <c r="FN16">
        <f>IF(ROW()-3&gt;MAX(FM$4:FM$40),"",INDEX(FL$4:FL$40,MATCH(ROW()-3,FM$4:FM$40,0)))</f>
        <v/>
      </c>
      <c r="FO16">
        <f>IF('Final Calculation Sheet'!$AH$16="","",'Final Calculation Sheet'!$AH$16)</f>
        <v/>
      </c>
      <c r="FP16">
        <f>IF(FO16="","",COUNTIFS(FO$4:FO$40,"&lt;"&amp;FO16,FO$4:FO$40,"&lt;&gt;"&amp;"")+COUNTIF(FO$4:FO16,FO16))</f>
        <v/>
      </c>
      <c r="FQ16">
        <f>IF(ROW()-3&gt;COUNTIF(FO$4:FO$40,"&lt;&gt;"&amp;""),"",INDEX(FO$4:FO$40,MATCH(ROW()-3,FP$4:FP$40,0)))</f>
        <v/>
      </c>
      <c r="FR16">
        <f>FR15+IF(AND(FQ16&lt;&gt;"",COUNTIF(FQ$4:FQ16,FQ16)=1),1,0)</f>
        <v/>
      </c>
      <c r="FS16">
        <f>IF(ROW()-3&gt;MAX(FR$4:FR$40),"",INDEX(FQ$4:FQ$40,MATCH(ROW()-3,FR$4:FR$40,0)))</f>
        <v/>
      </c>
      <c r="FU16">
        <f>IF(FT16="","",COUNTIFS(FT$4:FT$40,"&lt;"&amp;FT16,FT$4:FT$40,"&lt;&gt;"&amp;"")+COUNTIF(FT$4:FT16,FT16))</f>
        <v/>
      </c>
      <c r="FV16">
        <f>IF(ROW()-3&gt;COUNTIF(FT$4:FT$40,"&lt;&gt;"&amp;""),"",INDEX(FT$4:FT$40,MATCH(ROW()-3,FU$4:FU$40,0)))</f>
        <v/>
      </c>
      <c r="FW16">
        <f>FW15+IF(AND(FV16&lt;&gt;"",COUNTIF(FV$4:FV16,FV16)=1),1,0)</f>
        <v/>
      </c>
      <c r="FX16">
        <f>IF(ROW()-3&gt;MAX(FW$4:FW$40),"",INDEX(FV$4:FV$40,MATCH(ROW()-3,FW$4:FW$40,0)))</f>
        <v/>
      </c>
      <c r="FY16">
        <f>IF(COUNTIF('Live Search'!BM$15:BO$15,0)+COUNTIF('Live Search'!BQ$15:CU$15,0)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6">
        <f>IF($Y$16="",FALSE,SUMPRODUCT(('Final Calculation Sheet'!$B$4:$B$40=$Y$16)*($FY$6:$FY$42=1))&gt;0)</f>
        <v/>
      </c>
      <c r="GA16">
        <f>$GA$15+--($FZ$16)</f>
        <v/>
      </c>
      <c r="GB16">
        <f>IF(ROW()-3&gt;MAX($GA$4:$GA$40),"",INDEX($Y$4:$Y$40,MATCH(ROW()-3,$GA$4:$GA$40,0)))</f>
        <v/>
      </c>
      <c r="GC16">
        <f>IF(COUNTIF('Live Search'!BM$15:BM$15,0)+COUNTIF('Live Search'!BO$15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GD16">
        <f>IF($O$16="",FALSE,SUMPRODUCT(('Final Calculation Sheet'!$F$4:$F$40=$O$16)*($GC$6:$GC$42=1))&gt;0)</f>
        <v/>
      </c>
      <c r="GE16">
        <f>$GE$15+--($GD16)</f>
        <v/>
      </c>
      <c r="GF16">
        <f>IF(ROW()-3&gt;MAX($GE$4:$GE$40),"",INDEX($O$4:$O$40,MATCH(ROW()-3,$GE$4:$GE$40,0)))</f>
        <v/>
      </c>
      <c r="GG16">
        <f>IF(COUNTIF('Live Search'!BM$15:BN$15,0)+COUNTIF('Live Search'!BP$15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GH16">
        <f>IF($T$16="",FALSE,SUMPRODUCT(('Final Calculation Sheet'!$G$4:$G$40=$T$16)*($GG$6:$GG$42=1))&gt;0)</f>
        <v/>
      </c>
      <c r="GI16">
        <f>$GI$15+--($GH16)</f>
        <v/>
      </c>
      <c r="GJ16">
        <f>IF(ROW()-3&gt;MAX($GI$4:$GI$40),"",INDEX($T$4:$T$40,MATCH(ROW()-3,$GI$4:$GI$40,0)))</f>
        <v/>
      </c>
      <c r="GK16">
        <f>IF(COUNTIF('Live Search'!BM$15:BP$15,0)+COUNTIF('Live Search'!BR$15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GL16">
        <f>IF($AD$16="",FALSE,SUMPRODUCT(('Final Calculation Sheet'!$D$4:$D$40=$AD$16)*($GK$6:$GK$42=1))&gt;0)</f>
        <v/>
      </c>
      <c r="GM16">
        <f>$GM$15+--($GL16)</f>
        <v/>
      </c>
      <c r="GN16">
        <f>IF(ROW()-3&gt;MAX($GM$4:$GM$40),"",INDEX($AD$4:$AD$40,MATCH(ROW()-3,$GM$4:$GM$40,0)))</f>
        <v/>
      </c>
      <c r="GO16">
        <f>IF(COUNTIF('Live Search'!BM$15:BQ$15,0)+COUNTIF('Live Search'!BS$15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GP16">
        <f>IF($AI$16="",FALSE,SUMPRODUCT(('Final Calculation Sheet'!$A$4:$A$40=$AI$16)*($GO$6:$GO$42=1))&gt;0)</f>
        <v/>
      </c>
      <c r="GQ16">
        <f>$GQ$15+--($GP16)</f>
        <v/>
      </c>
      <c r="GR16">
        <f>IF(ROW()-3&gt;MAX($GQ$4:$GQ$40),"",INDEX($AI$4:$AI$40,MATCH(ROW()-3,$GQ$4:$GQ$40,0)))</f>
        <v/>
      </c>
      <c r="GS16">
        <f>IF(COUNTIF('Live Search'!BM$15:BR$15,0)+COUNTIF('Live Search'!BT$15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GT16">
        <f>IF($AN$16="",FALSE,SUMPRODUCT(('Final Calculation Sheet'!$E$4:$E$40=$AN$16)*($GS$6:$GS$42=1))&gt;0)</f>
        <v/>
      </c>
      <c r="GU16">
        <f>$GU$15+--($GT16)</f>
        <v/>
      </c>
      <c r="GV16">
        <f>IF(ROW()-3&gt;MAX($GU$4:$GU$40),"",INDEX($AN$4:$AN$40,MATCH(ROW()-3,$GU$4:$GU$40,0)))</f>
        <v/>
      </c>
      <c r="GW16">
        <f>IF(COUNTIF('Live Search'!BM$15:BS$15,0)+COUNTIF('Live Search'!BU$15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GX16">
        <f>IF($AS$16="",FALSE,SUMPRODUCT(('Final Calculation Sheet'!$C$4:$C$40=$AS$16)*($GW$6:$GW$42=1))&gt;0)</f>
        <v/>
      </c>
      <c r="GY16">
        <f>$GY$15+--($GX16)</f>
        <v/>
      </c>
      <c r="GZ16">
        <f>IF(ROW()-3&gt;MAX($GY$4:$GY$40),"",INDEX($AS$4:$AS$40,MATCH(ROW()-3,$GY$4:$GY$40,0)))</f>
        <v/>
      </c>
      <c r="HA16">
        <f>IF(COUNTIF('Live Search'!BM$15:BT$15,0)+COUNTIF('Live Search'!BV$15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HB16">
        <f>IF($AX$16="",FALSE,SUMPRODUCT(('Final Calculation Sheet'!$H$4:$H$40=$AX$16)*($HA$6:$HA$42=1))&gt;0)</f>
        <v/>
      </c>
      <c r="HC16">
        <f>$HC$15+--($HB16)</f>
        <v/>
      </c>
      <c r="HD16">
        <f>IF(ROW()-3&gt;MAX($HC$4:$HC$40),"",INDEX($AX$4:$AX$40,MATCH(ROW()-3,$HC$4:$HC$40,0)))</f>
        <v/>
      </c>
      <c r="HE16">
        <f>IF(COUNTIF('Live Search'!BM$15:BU$15,0)+COUNTIF('Live Search'!BW$15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HF16">
        <f>IF($BC$16="",FALSE,SUMPRODUCT(('Final Calculation Sheet'!$I$4:$I$40=$BC$16)*($HE$6:$HE$42=1))&gt;0)</f>
        <v/>
      </c>
      <c r="HG16">
        <f>$HG$15+--($HF16)</f>
        <v/>
      </c>
      <c r="HH16">
        <f>IF(ROW()-3&gt;MAX($HG$4:$HG$40),"",INDEX($BC$4:$BC$40,MATCH(ROW()-3,$HG$4:$HG$40,0)))</f>
        <v/>
      </c>
      <c r="HI16">
        <f>IF(COUNTIF('Live Search'!BM$15:BV$15,0)+COUNTIF('Live Search'!BX$15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HJ16">
        <f>IF($BH$16="",FALSE,SUMPRODUCT(('Final Calculation Sheet'!$J$4:$J$40=$BH$16)*($HI$6:$HI$42=1))&gt;0)</f>
        <v/>
      </c>
      <c r="HK16">
        <f>$HK$15+--($HJ16)</f>
        <v/>
      </c>
      <c r="HL16">
        <f>IF(ROW()-3&gt;MAX($HK$4:$HK$40),"",INDEX($BH$4:$BH$40,MATCH(ROW()-3,$HK$4:$HK$40,0)))</f>
        <v/>
      </c>
      <c r="HM16">
        <f>IF(COUNTIF('Live Search'!BM$15:BW$15,0)+COUNTIF('Live Search'!BY$15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HN16">
        <f>IF($BM$16="",FALSE,SUMPRODUCT(('Final Calculation Sheet'!$K$4:$K$40=$BM$16)*($HM$6:$HM$42=1))&gt;0)</f>
        <v/>
      </c>
      <c r="HO16">
        <f>$HO$15+--($HN16)</f>
        <v/>
      </c>
      <c r="HP16">
        <f>IF(ROW()-3&gt;MAX($HO$4:$HO$40),"",INDEX($BM$4:$BM$40,MATCH(ROW()-3,$HO$4:$HO$40,0)))</f>
        <v/>
      </c>
      <c r="HQ16">
        <f>IF(COUNTIF('Live Search'!BM$15:BX$15,0)+COUNTIF('Live Search'!BZ$15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HR16">
        <f>IF($BR$16="",FALSE,SUMPRODUCT(('Final Calculation Sheet'!$L$4:$L$40=$BR$16)*($HQ$6:$HQ$42=1))&gt;0)</f>
        <v/>
      </c>
      <c r="HS16">
        <f>$HS$15+--($HR16)</f>
        <v/>
      </c>
      <c r="HT16">
        <f>IF(ROW()-3&gt;MAX($HS$4:$HS$40),"",INDEX($BR$4:$BR$40,MATCH(ROW()-3,$HS$4:$HS$40,0)))</f>
        <v/>
      </c>
      <c r="HU16">
        <f>IF(COUNTIF('Live Search'!BM$15:BY$15,0)+COUNTIF('Live Search'!CA$15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HV16">
        <f>IF($BW$16="",FALSE,SUMPRODUCT(('Final Calculation Sheet'!$M$4:$M$40=$BW$16)*($HU$6:$HU$42=1))&gt;0)</f>
        <v/>
      </c>
      <c r="HW16">
        <f>$HW$15+--($HV16)</f>
        <v/>
      </c>
      <c r="HX16">
        <f>IF(ROW()-3&gt;MAX($HW$4:$HW$40),"",INDEX($BW$4:$BW$40,MATCH(ROW()-3,$HW$4:$HW$40,0)))</f>
        <v/>
      </c>
      <c r="HY16">
        <f>IF(COUNTIF('Live Search'!BM$15:BZ$15,0)+COUNTIF('Live Search'!CB$15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HZ16">
        <f>IF($CB$16="",FALSE,SUMPRODUCT(('Final Calculation Sheet'!$N$4:$N$40=$CB$16)*($HY$6:$HY$42=1))&gt;0)</f>
        <v/>
      </c>
      <c r="IA16">
        <f>$IA$15+--($HZ16)</f>
        <v/>
      </c>
      <c r="IB16">
        <f>IF(ROW()-3&gt;MAX($IA$4:$IA$40),"",INDEX($CB$4:$CB$40,MATCH(ROW()-3,$IA$4:$IA$40,0)))</f>
        <v/>
      </c>
      <c r="IC16">
        <f>IF(COUNTIF('Live Search'!BM$15:CA$15,0)+COUNTIF('Live Search'!CC$15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ID16">
        <f>IF($CG$16="",FALSE,SUMPRODUCT(('Final Calculation Sheet'!$O$4:$O$40=$CG$16)*($IC$6:$IC$42=1))&gt;0)</f>
        <v/>
      </c>
      <c r="IE16">
        <f>$IE$15+--($ID16)</f>
        <v/>
      </c>
      <c r="IF16">
        <f>IF(ROW()-3&gt;MAX($IE$4:$IE$40),"",INDEX($CG$4:$CG$40,MATCH(ROW()-3,$IE$4:$IE$40,0)))</f>
        <v/>
      </c>
      <c r="IG16">
        <f>IF(COUNTIF('Live Search'!BM$15:CB$15,0)+COUNTIF('Live Search'!CD$15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IH16">
        <f>IF($CL$16="",FALSE,SUMPRODUCT(('Final Calculation Sheet'!$P$4:$P$40=$CL$16)*($IG$6:$IG$42=1))&gt;0)</f>
        <v/>
      </c>
      <c r="II16">
        <f>$II$15+--($IH16)</f>
        <v/>
      </c>
      <c r="IJ16">
        <f>IF(ROW()-3&gt;MAX($II$4:$II$40),"",INDEX($CL$4:$CL$40,MATCH(ROW()-3,$II$4:$II$40,0)))</f>
        <v/>
      </c>
      <c r="IK16">
        <f>IF(COUNTIF('Live Search'!BM$15:CC$15,0)+COUNTIF('Live Search'!CE$15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IL16">
        <f>IF($CQ$16="",FALSE,SUMPRODUCT(('Final Calculation Sheet'!$Q$4:$Q$40=$CQ$16)*($IK$6:$IK$42=1))&gt;0)</f>
        <v/>
      </c>
      <c r="IM16">
        <f>$IM$15+--($IL16)</f>
        <v/>
      </c>
      <c r="IN16">
        <f>IF(ROW()-3&gt;MAX($IM$4:$IM$40),"",INDEX($CQ$4:$CQ$40,MATCH(ROW()-3,$IM$4:$IM$40,0)))</f>
        <v/>
      </c>
      <c r="IO16">
        <f>IF(COUNTIF('Live Search'!BM$15:CD$15,0)+COUNTIF('Live Search'!CF$15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IP16">
        <f>IF($CV$16="",FALSE,SUMPRODUCT(('Final Calculation Sheet'!$R$4:$R$40=$CV$16)*($IO$6:$IO$42=1))&gt;0)</f>
        <v/>
      </c>
      <c r="IQ16">
        <f>$IQ$15+--($IP16)</f>
        <v/>
      </c>
      <c r="IR16">
        <f>IF(ROW()-3&gt;MAX($IQ$4:$IQ$40),"",INDEX($CV$4:$CV$40,MATCH(ROW()-3,$IQ$4:$IQ$40,0)))</f>
        <v/>
      </c>
      <c r="IS16">
        <f>IF(COUNTIF('Live Search'!BM$15:CE$15,0)+COUNTIF('Live Search'!CG$15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IT16">
        <f>IF($DA$16="",FALSE,SUMPRODUCT(('Final Calculation Sheet'!$S$4:$S$40=$DA$16)*($IS$6:$IS$42=1))&gt;0)</f>
        <v/>
      </c>
      <c r="IU16">
        <f>$IU$15+--($IT16)</f>
        <v/>
      </c>
      <c r="IV16">
        <f>IF(ROW()-3&gt;MAX($IU$4:$IU$40),"",INDEX($DA$4:$DA$40,MATCH(ROW()-3,$IU$4:$IU$40,0)))</f>
        <v/>
      </c>
      <c r="IW16">
        <f>IF(COUNTIF('Live Search'!BM$15:CF$15,0)+COUNTIF('Live Search'!CH$15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IX16">
        <f>IF($DF$16="",FALSE,SUMPRODUCT(('Final Calculation Sheet'!$T$4:$T$40=$DF$16)*($IW$6:$IW$42=1))&gt;0)</f>
        <v/>
      </c>
      <c r="IY16">
        <f>$IY$15+--($IX16)</f>
        <v/>
      </c>
      <c r="IZ16">
        <f>IF(ROW()-3&gt;MAX($IY$4:$IY$40),"",INDEX($DF$4:$DF$40,MATCH(ROW()-3,$IY$4:$IY$40,0)))</f>
        <v/>
      </c>
      <c r="JA16">
        <f>IF(COUNTIF('Live Search'!BM$15:CG$15,0)+COUNTIF('Live Search'!CI$15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JB16">
        <f>IF($DK$16="",FALSE,SUMPRODUCT(('Final Calculation Sheet'!$U$4:$U$40=$DK$16)*($JA$6:$JA$42=1))&gt;0)</f>
        <v/>
      </c>
      <c r="JC16">
        <f>$JC$15+--($JB16)</f>
        <v/>
      </c>
      <c r="JD16">
        <f>IF(ROW()-3&gt;MAX($JC$4:$JC$40),"",INDEX($DK$4:$DK$40,MATCH(ROW()-3,$JC$4:$JC$40,0)))</f>
        <v/>
      </c>
      <c r="JE16">
        <f>IF(COUNTIF('Live Search'!BM$15:CH$15,0)+COUNTIF('Live Search'!CJ$15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JF16">
        <f>IF($DP$16="",FALSE,SUMPRODUCT(('Final Calculation Sheet'!$V$4:$V$40=$DP$16)*($JE$6:$JE$42=1))&gt;0)</f>
        <v/>
      </c>
      <c r="JG16">
        <f>$JG$15+--($JF16)</f>
        <v/>
      </c>
      <c r="JH16">
        <f>IF(ROW()-3&gt;MAX($JG$4:$JG$40),"",INDEX($DP$4:$DP$40,MATCH(ROW()-3,$JG$4:$JG$40,0)))</f>
        <v/>
      </c>
      <c r="JI16">
        <f>IF(COUNTIF('Live Search'!BM$15:CI$15,0)+COUNTIF('Live Search'!CK$15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JJ16">
        <f>IF($DU$16="",FALSE,SUMPRODUCT(('Final Calculation Sheet'!$W$4:$W$40=$DU$16)*($JI$6:$JI$42=1))&gt;0)</f>
        <v/>
      </c>
      <c r="JK16">
        <f>$JK$15+--($JJ16)</f>
        <v/>
      </c>
      <c r="JL16">
        <f>IF(ROW()-3&gt;MAX($JK$4:$JK$40),"",INDEX($DU$4:$DU$40,MATCH(ROW()-3,$JK$4:$JK$40,0)))</f>
        <v/>
      </c>
      <c r="JM16">
        <f>IF(COUNTIF('Live Search'!BM$15:CJ$15,0)+COUNTIF('Live Search'!CL$15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JN16">
        <f>IF($DZ$16="",FALSE,SUMPRODUCT(('Final Calculation Sheet'!$X$4:$X$40=$DZ$16)*($JM$6:$JM$42=1))&gt;0)</f>
        <v/>
      </c>
      <c r="JO16">
        <f>$JO$15+--($JN16)</f>
        <v/>
      </c>
      <c r="JP16">
        <f>IF(ROW()-3&gt;MAX($JO$4:$JO$40),"",INDEX($DZ$4:$DZ$40,MATCH(ROW()-3,$JO$4:$JO$40,0)))</f>
        <v/>
      </c>
      <c r="JQ16">
        <f>IF(COUNTIF('Live Search'!BM$15:CK$15,0)+COUNTIF('Live Search'!CM$15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JR16">
        <f>IF($EE$16="",FALSE,SUMPRODUCT(('Final Calculation Sheet'!$Y$4:$Y$40=$EE$16)*($JQ$6:$JQ$42=1))&gt;0)</f>
        <v/>
      </c>
      <c r="JS16">
        <f>$JS$15+--($JR16)</f>
        <v/>
      </c>
      <c r="JT16">
        <f>IF(ROW()-3&gt;MAX($JS$4:$JS$40),"",INDEX($EE$4:$EE$40,MATCH(ROW()-3,$JS$4:$JS$40,0)))</f>
        <v/>
      </c>
      <c r="JU16">
        <f>IF(COUNTIF('Live Search'!BM$15:CL$15,0)+COUNTIF('Live Search'!CN$15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JV16">
        <f>IF($EJ$16="",FALSE,SUMPRODUCT(('Final Calculation Sheet'!$Z$4:$Z$40=$EJ$16)*($JU$6:$JU$42=1))&gt;0)</f>
        <v/>
      </c>
      <c r="JW16">
        <f>$JW$15+--($JV16)</f>
        <v/>
      </c>
      <c r="JX16">
        <f>IF(ROW()-3&gt;MAX($JW$4:$JW$40),"",INDEX($EJ$4:$EJ$40,MATCH(ROW()-3,$JW$4:$JW$40,0)))</f>
        <v/>
      </c>
      <c r="JY16">
        <f>IF(COUNTIF('Live Search'!BM$15:CM$15,0)+COUNTIF('Live Search'!CO$15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JZ16">
        <f>IF($EO$16="",FALSE,SUMPRODUCT(('Final Calculation Sheet'!$AA$4:$AA$40=$EO$16)*($JY$6:$JY$42=1))&gt;0)</f>
        <v/>
      </c>
      <c r="KA16">
        <f>$KA$15+--($JZ16)</f>
        <v/>
      </c>
      <c r="KB16">
        <f>IF(ROW()-3&gt;MAX($KA$4:$KA$40),"",INDEX($EO$4:$EO$40,MATCH(ROW()-3,$KA$4:$KA$40,0)))</f>
        <v/>
      </c>
      <c r="KC16">
        <f>IF(COUNTIF('Live Search'!BM$15:CN$15,0)+COUNTIF('Live Search'!CP$15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KD16">
        <f>IF($ET$16="",FALSE,SUMPRODUCT(('Final Calculation Sheet'!$AB$4:$AB$40=$ET$16)*($KC$6:$KC$42=1))&gt;0)</f>
        <v/>
      </c>
      <c r="KE16">
        <f>$KE$15+--($KD16)</f>
        <v/>
      </c>
      <c r="KF16">
        <f>IF(ROW()-3&gt;MAX($KE$4:$KE$40),"",INDEX($ET$4:$ET$40,MATCH(ROW()-3,$KE$4:$KE$40,0)))</f>
        <v/>
      </c>
      <c r="KG16">
        <f>IF(COUNTIF('Live Search'!BM$15:CO$15,0)+COUNTIF('Live Search'!CQ$15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KH16">
        <f>IF($EY$16="",FALSE,SUMPRODUCT(('Final Calculation Sheet'!$AC$4:$AC$40=$EY$16)*($KG$6:$KG$42=1))&gt;0)</f>
        <v/>
      </c>
      <c r="KI16">
        <f>$KI$15+--($KH16)</f>
        <v/>
      </c>
      <c r="KJ16">
        <f>IF(ROW()-3&gt;MAX($KI$4:$KI$40),"",INDEX($EY$4:$EY$40,MATCH(ROW()-3,$KI$4:$KI$40,0)))</f>
        <v/>
      </c>
      <c r="KK16">
        <f>IF(COUNTIF('Live Search'!BM$15:CP$15,0)+COUNTIF('Live Search'!CR$15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KL16">
        <f>IF($FD$16="",FALSE,SUMPRODUCT(('Final Calculation Sheet'!$AD$4:$AD$40=$FD$16)*($KK$6:$KK$42=1))&gt;0)</f>
        <v/>
      </c>
      <c r="KM16">
        <f>$KM$15+--($KL16)</f>
        <v/>
      </c>
      <c r="KN16">
        <f>IF(ROW()-3&gt;MAX($KM$4:$KM$40),"",INDEX($FD$4:$FD$40,MATCH(ROW()-3,$KM$4:$KM$40,0)))</f>
        <v/>
      </c>
      <c r="KO16">
        <f>IF(COUNTIF('Live Search'!BM$15:CT$15,0)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KP16">
        <f>IF($FX$16="",FALSE,SUMPRODUCT((IF('Final Calculation Sheet'!$AD$4:$AD$40&lt;=5,"SETTLED","OUTSTANDING")=$FX$16)*($KO$6:$KO$42=1))&gt;0)</f>
        <v/>
      </c>
      <c r="KQ16">
        <f>$KQ$15+--($KP16)</f>
        <v/>
      </c>
      <c r="KR16">
        <f>IF(ROW()-3&gt;MAX($KQ$4:$KQ$40),"",INDEX($FX$4:$FX$40,MATCH(ROW()-3,$KQ$4:$KQ$40,0)))</f>
        <v/>
      </c>
      <c r="KS16">
        <f>IF(COUNTIF('Live Search'!BM$15:CQ$15,0)+COUNTIF('Live Search'!CS$15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KT16">
        <f>IF($FI$16="",FALSE,SUMPRODUCT(('Final Calculation Sheet'!$AF$4:$AF$40=$FI$16)*($KS$6:$KS$42=1))&gt;0)</f>
        <v/>
      </c>
      <c r="KU16">
        <f>$KU$15+--($KT16)</f>
        <v/>
      </c>
      <c r="KV16">
        <f>IF(ROW()-3&gt;MAX($KU$4:$KU$40),"",INDEX($FI$4:$FI$40,MATCH(ROW()-3,$KU$4:$KU$40,0)))</f>
        <v/>
      </c>
      <c r="KW16">
        <f>IF(COUNTIF('Live Search'!BM$15:CR$15,0)+COUNTIF('Live Search'!CT$15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KX16">
        <f>IF($FN$16="",FALSE,SUMPRODUCT(('Final Calculation Sheet'!$AG$4:$AG$40=$FN$16)*($KW$6:$KW$42=1))&gt;0)</f>
        <v/>
      </c>
      <c r="KY16">
        <f>$KY$15+--($KX16)</f>
        <v/>
      </c>
      <c r="KZ16">
        <f>IF(ROW()-3&gt;MAX($KY$4:$KY$40),"",INDEX($FN$4:$FN$40,MATCH(ROW()-3,$KY$4:$KY$40,0)))</f>
        <v/>
      </c>
      <c r="LA16">
        <f>IF(COUNTIF('Live Search'!BM$15:CS$15,0)+COUNTIF('Live Search'!CU$15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LB16">
        <f>IF($FS$16="",FALSE,SUMPRODUCT(('Final Calculation Sheet'!$AH$4:$AH$40=$FS$16)*($LA$6:$LA$42=1))&gt;0)</f>
        <v/>
      </c>
      <c r="LC16">
        <f>$LC$15+--($LB16)</f>
        <v/>
      </c>
      <c r="LD16">
        <f>IF(ROW()-3&gt;MAX($LC$4:$LC$40),"",INDEX($FS$4:$FS$40,MATCH(ROW()-3,$LC$4:$LC$40,0)))</f>
        <v/>
      </c>
      <c r="LE16">
        <f>IF(COUNTIF('Buyer Groups'!DH69:EN69,0)&gt;0,0,1)</f>
        <v/>
      </c>
      <c r="LF16">
        <f>IF($O$16="",FALSE,SUMPRODUCT(('Final Calculation Sheet'!$F$4:$F$40=$O$16)*($LE$6:$LE$42=1))&gt;0)</f>
        <v/>
      </c>
      <c r="LG16">
        <f>$LG$15+--($LF16)</f>
        <v/>
      </c>
      <c r="LH16">
        <f>IF(ROW()-3&gt;MAX($LG$4:$LG$40),"",INDEX($O$4:$O$40,MATCH(ROW()-3,$LG$4:$LG$40,0)))</f>
        <v/>
      </c>
      <c r="LI16">
        <f>IF(COUNTIF('Buyer Groups'!DG69:DG69,0)+COUNTIF('Buyer Groups'!DI69:EN69,0)&gt;0,0,1)</f>
        <v/>
      </c>
      <c r="LJ16">
        <f>IF($T$16="",FALSE,SUMPRODUCT(('Final Calculation Sheet'!$G$4:$G$40=$T$16)*($LI$6:$LI$42=1))&gt;0)</f>
        <v/>
      </c>
      <c r="LK16">
        <f>$LK$15+--($LJ16)</f>
        <v/>
      </c>
      <c r="LL16">
        <f>IF(ROW()-3&gt;MAX($LK$4:$LK$40),"",INDEX($T$4:$T$40,MATCH(ROW()-3,$LK$4:$LK$40,0)))</f>
        <v/>
      </c>
      <c r="LM16">
        <f>IF(COUNTIF('Buyer Groups'!DG69:DH69,0)+COUNTIF('Buyer Groups'!DJ69:EN69,0)&gt;0,0,1)</f>
        <v/>
      </c>
      <c r="LN16">
        <f>IF($Y$16="",FALSE,SUMPRODUCT(('Final Calculation Sheet'!$B$4:$B$40=$Y$16)*($LM$6:$LM$42=1))&gt;0)</f>
        <v/>
      </c>
      <c r="LO16">
        <f>$LO$15+--($LN16)</f>
        <v/>
      </c>
      <c r="LP16">
        <f>IF(ROW()-3&gt;MAX($LO$4:$LO$40),"",INDEX($Y$4:$Y$40,MATCH(ROW()-3,$LO$4:$LO$40,0)))</f>
        <v/>
      </c>
      <c r="LQ16">
        <f>IF(COUNTIF('Buyer Groups'!DG69:DI69,0)+COUNTIF('Buyer Groups'!DK69:EN69,0)&gt;0,0,1)</f>
        <v/>
      </c>
      <c r="LR16">
        <f>IF($AD$16="",FALSE,SUMPRODUCT(('Final Calculation Sheet'!$D$4:$D$40=$AD$16)*($LQ$6:$LQ$42=1))&gt;0)</f>
        <v/>
      </c>
      <c r="LS16">
        <f>$LS$15+--($LR16)</f>
        <v/>
      </c>
      <c r="LT16">
        <f>IF(ROW()-3&gt;MAX($LS$4:$LS$40),"",INDEX($AD$4:$AD$40,MATCH(ROW()-3,$LS$4:$LS$40,0)))</f>
        <v/>
      </c>
      <c r="LU16">
        <f>IF(COUNTIF('Buyer Groups'!DG69:DJ69,0)+COUNTIF('Buyer Groups'!DL69:EN69,0)&gt;0,0,1)</f>
        <v/>
      </c>
      <c r="LV16">
        <f>IF($AI$16="",FALSE,SUMPRODUCT(('Final Calculation Sheet'!$A$4:$A$40=$AI$16)*($LU$6:$LU$42=1))&gt;0)</f>
        <v/>
      </c>
      <c r="LW16">
        <f>$LW$15+--($LV16)</f>
        <v/>
      </c>
      <c r="LX16">
        <f>IF(ROW()-3&gt;MAX($LW$4:$LW$40),"",INDEX($AI$4:$AI$40,MATCH(ROW()-3,$LW$4:$LW$40,0)))</f>
        <v/>
      </c>
      <c r="LY16">
        <f>IF(COUNTIF('Buyer Groups'!DG69:DK69,0)+COUNTIF('Buyer Groups'!DM69:EN69,0)&gt;0,0,1)</f>
        <v/>
      </c>
      <c r="LZ16">
        <f>IF($AN$16="",FALSE,SUMPRODUCT(('Final Calculation Sheet'!$E$4:$E$40=$AN$16)*($LY$6:$LY$42=1))&gt;0)</f>
        <v/>
      </c>
      <c r="MA16">
        <f>$MA$15+--($LZ16)</f>
        <v/>
      </c>
      <c r="MB16">
        <f>IF(ROW()-3&gt;MAX($MA$4:$MA$40),"",INDEX($AN$4:$AN$40,MATCH(ROW()-3,$MA$4:$MA$40,0)))</f>
        <v/>
      </c>
      <c r="MC16">
        <f>IF(COUNTIF('Buyer Groups'!DG69:DL69,0)+COUNTIF('Buyer Groups'!DN69:EN69,0)&gt;0,0,1)</f>
        <v/>
      </c>
      <c r="MD16">
        <f>IF($AS$16="",FALSE,SUMPRODUCT(('Final Calculation Sheet'!$C$4:$C$40=$AS$16)*($MC$6:$MC$42=1))&gt;0)</f>
        <v/>
      </c>
      <c r="ME16">
        <f>$ME$15+--($MD16)</f>
        <v/>
      </c>
      <c r="MF16">
        <f>IF(ROW()-3&gt;MAX($ME$4:$ME$40),"",INDEX($AS$4:$AS$40,MATCH(ROW()-3,$ME$4:$ME$40,0)))</f>
        <v/>
      </c>
      <c r="MG16">
        <f>IF(COUNTIF('Buyer Groups'!DG69:DM69,0)+COUNTIF('Buyer Groups'!DO69:EN69,0)&gt;0,0,1)</f>
        <v/>
      </c>
      <c r="MH16">
        <f>IF($AX$16="",FALSE,SUMPRODUCT(('Final Calculation Sheet'!$H$4:$H$40=$AX$16)*($MG$6:$MG$42=1))&gt;0)</f>
        <v/>
      </c>
      <c r="MI16">
        <f>$MI$15+--($MH16)</f>
        <v/>
      </c>
      <c r="MJ16">
        <f>IF(ROW()-3&gt;MAX($MI$4:$MI$40),"",INDEX($AX$4:$AX$40,MATCH(ROW()-3,$MI$4:$MI$40,0)))</f>
        <v/>
      </c>
      <c r="MK16">
        <f>IF(COUNTIF('Buyer Groups'!DG69:DN69,0)+COUNTIF('Buyer Groups'!DP69:EN69,0)&gt;0,0,1)</f>
        <v/>
      </c>
      <c r="ML16">
        <f>IF($BC$16="",FALSE,SUMPRODUCT(('Final Calculation Sheet'!$I$4:$I$40=$BC$16)*($MK$6:$MK$42=1))&gt;0)</f>
        <v/>
      </c>
      <c r="MM16">
        <f>$MM$15+--($ML16)</f>
        <v/>
      </c>
      <c r="MN16">
        <f>IF(ROW()-3&gt;MAX($MM$4:$MM$40),"",INDEX($BC$4:$BC$40,MATCH(ROW()-3,$MM$4:$MM$40,0)))</f>
        <v/>
      </c>
      <c r="MO16">
        <f>IF(COUNTIF('Buyer Groups'!DG69:DO69,0)+COUNTIF('Buyer Groups'!DQ69:EN69,0)&gt;0,0,1)</f>
        <v/>
      </c>
      <c r="MP16">
        <f>IF($BH$16="",FALSE,SUMPRODUCT(('Final Calculation Sheet'!$J$4:$J$40=$BH$16)*($MO$6:$MO$42=1))&gt;0)</f>
        <v/>
      </c>
      <c r="MQ16">
        <f>$MQ$15+--($MP16)</f>
        <v/>
      </c>
      <c r="MR16">
        <f>IF(ROW()-3&gt;MAX($MQ$4:$MQ$40),"",INDEX($BH$4:$BH$40,MATCH(ROW()-3,$MQ$4:$MQ$40,0)))</f>
        <v/>
      </c>
      <c r="MS16">
        <f>IF(COUNTIF('Buyer Groups'!DG69:DP69,0)+COUNTIF('Buyer Groups'!DR69:EN69,0)&gt;0,0,1)</f>
        <v/>
      </c>
      <c r="MT16">
        <f>IF($BM$16="",FALSE,SUMPRODUCT(('Final Calculation Sheet'!$K$4:$K$40=$BM$16)*($MS$6:$MS$42=1))&gt;0)</f>
        <v/>
      </c>
      <c r="MU16">
        <f>$MU$15+--($MT16)</f>
        <v/>
      </c>
      <c r="MV16">
        <f>IF(ROW()-3&gt;MAX($MU$4:$MU$40),"",INDEX($BM$4:$BM$40,MATCH(ROW()-3,$MU$4:$MU$40,0)))</f>
        <v/>
      </c>
      <c r="MW16">
        <f>IF(COUNTIF('Buyer Groups'!DG69:DQ69,0)+COUNTIF('Buyer Groups'!DS69:EN69,0)&gt;0,0,1)</f>
        <v/>
      </c>
      <c r="MX16">
        <f>IF($BR$16="",FALSE,SUMPRODUCT(('Final Calculation Sheet'!$L$4:$L$40=$BR$16)*($MW$6:$MW$42=1))&gt;0)</f>
        <v/>
      </c>
      <c r="MY16">
        <f>$MY$15+--($MX16)</f>
        <v/>
      </c>
      <c r="MZ16">
        <f>IF(ROW()-3&gt;MAX($MY$4:$MY$40),"",INDEX($BR$4:$BR$40,MATCH(ROW()-3,$MY$4:$MY$40,0)))</f>
        <v/>
      </c>
      <c r="NA16">
        <f>IF(COUNTIF('Buyer Groups'!DG69:DR69,0)+COUNTIF('Buyer Groups'!DT69:EN69,0)&gt;0,0,1)</f>
        <v/>
      </c>
      <c r="NB16">
        <f>IF($BW$16="",FALSE,SUMPRODUCT(('Final Calculation Sheet'!$M$4:$M$40=$BW$16)*($NA$6:$NA$42=1))&gt;0)</f>
        <v/>
      </c>
      <c r="NC16">
        <f>$NC$15+--($NB16)</f>
        <v/>
      </c>
      <c r="ND16">
        <f>IF(ROW()-3&gt;MAX($NC$4:$NC$40),"",INDEX($BW$4:$BW$40,MATCH(ROW()-3,$NC$4:$NC$40,0)))</f>
        <v/>
      </c>
      <c r="NE16">
        <f>IF(COUNTIF('Buyer Groups'!DG69:DS69,0)+COUNTIF('Buyer Groups'!DU69:EN69,0)&gt;0,0,1)</f>
        <v/>
      </c>
      <c r="NF16">
        <f>IF($CB$16="",FALSE,SUMPRODUCT(('Final Calculation Sheet'!$N$4:$N$40=$CB$16)*($NE$6:$NE$42=1))&gt;0)</f>
        <v/>
      </c>
      <c r="NG16">
        <f>$NG$15+--($NF16)</f>
        <v/>
      </c>
      <c r="NH16">
        <f>IF(ROW()-3&gt;MAX($NG$4:$NG$40),"",INDEX($CB$4:$CB$40,MATCH(ROW()-3,$NG$4:$NG$40,0)))</f>
        <v/>
      </c>
      <c r="NI16">
        <f>IF(COUNTIF('Buyer Groups'!DG69:DT69,0)+COUNTIF('Buyer Groups'!DV69:EN69,0)&gt;0,0,1)</f>
        <v/>
      </c>
      <c r="NJ16">
        <f>IF($CG$16="",FALSE,SUMPRODUCT(('Final Calculation Sheet'!$O$4:$O$40=$CG$16)*($NI$6:$NI$42=1))&gt;0)</f>
        <v/>
      </c>
      <c r="NK16">
        <f>$NK$15+--($NJ16)</f>
        <v/>
      </c>
      <c r="NL16">
        <f>IF(ROW()-3&gt;MAX($NK$4:$NK$40),"",INDEX($CG$4:$CG$40,MATCH(ROW()-3,$NK$4:$NK$40,0)))</f>
        <v/>
      </c>
      <c r="NM16">
        <f>IF(COUNTIF('Buyer Groups'!DG69:DU69,0)+COUNTIF('Buyer Groups'!DW69:EN69,0)&gt;0,0,1)</f>
        <v/>
      </c>
      <c r="NN16">
        <f>IF($CL$16="",FALSE,SUMPRODUCT(('Final Calculation Sheet'!$P$4:$P$40=$CL$16)*($NM$6:$NM$42=1))&gt;0)</f>
        <v/>
      </c>
      <c r="NO16">
        <f>$NO$15+--($NN16)</f>
        <v/>
      </c>
      <c r="NP16">
        <f>IF(ROW()-3&gt;MAX($NO$4:$NO$40),"",INDEX($CL$4:$CL$40,MATCH(ROW()-3,$NO$4:$NO$40,0)))</f>
        <v/>
      </c>
      <c r="NQ16">
        <f>IF(COUNTIF('Buyer Groups'!DG69:DV69,0)+COUNTIF('Buyer Groups'!DX69:EN69,0)&gt;0,0,1)</f>
        <v/>
      </c>
      <c r="NR16">
        <f>IF($CQ$16="",FALSE,SUMPRODUCT(('Final Calculation Sheet'!$Q$4:$Q$40=$CQ$16)*($NQ$6:$NQ$42=1))&gt;0)</f>
        <v/>
      </c>
      <c r="NS16">
        <f>$NS$15+--($NR16)</f>
        <v/>
      </c>
      <c r="NT16">
        <f>IF(ROW()-3&gt;MAX($NS$4:$NS$40),"",INDEX($CQ$4:$CQ$40,MATCH(ROW()-3,$NS$4:$NS$40,0)))</f>
        <v/>
      </c>
      <c r="NU16">
        <f>IF(COUNTIF('Buyer Groups'!DG69:DW69,0)+COUNTIF('Buyer Groups'!DY69:EN69,0)&gt;0,0,1)</f>
        <v/>
      </c>
      <c r="NV16">
        <f>IF($CV$16="",FALSE,SUMPRODUCT(('Final Calculation Sheet'!$R$4:$R$40=$CV$16)*($NU$6:$NU$42=1))&gt;0)</f>
        <v/>
      </c>
      <c r="NW16">
        <f>$NW$15+--($NV16)</f>
        <v/>
      </c>
      <c r="NX16">
        <f>IF(ROW()-3&gt;MAX($NW$4:$NW$40),"",INDEX($CV$4:$CV$40,MATCH(ROW()-3,$NW$4:$NW$40,0)))</f>
        <v/>
      </c>
      <c r="NY16">
        <f>IF(COUNTIF('Buyer Groups'!DG69:DX69,0)+COUNTIF('Buyer Groups'!DZ69:EN69,0)&gt;0,0,1)</f>
        <v/>
      </c>
      <c r="NZ16">
        <f>IF($DA$16="",FALSE,SUMPRODUCT(('Final Calculation Sheet'!$S$4:$S$40=$DA$16)*($NY$6:$NY$42=1))&gt;0)</f>
        <v/>
      </c>
      <c r="OA16">
        <f>$OA$15+--($NZ16)</f>
        <v/>
      </c>
      <c r="OB16">
        <f>IF(ROW()-3&gt;MAX($OA$4:$OA$40),"",INDEX($DA$4:$DA$40,MATCH(ROW()-3,$OA$4:$OA$40,0)))</f>
        <v/>
      </c>
      <c r="OC16">
        <f>IF(COUNTIF('Buyer Groups'!DG69:DY69,0)+COUNTIF('Buyer Groups'!EA69:EN69,0)&gt;0,0,1)</f>
        <v/>
      </c>
      <c r="OD16">
        <f>IF($DF$16="",FALSE,SUMPRODUCT(('Final Calculation Sheet'!$T$4:$T$40=$DF$16)*($OC$6:$OC$42=1))&gt;0)</f>
        <v/>
      </c>
      <c r="OE16">
        <f>$OE$15+--($OD16)</f>
        <v/>
      </c>
      <c r="OF16">
        <f>IF(ROW()-3&gt;MAX($OE$4:$OE$40),"",INDEX($DF$4:$DF$40,MATCH(ROW()-3,$OE$4:$OE$40,0)))</f>
        <v/>
      </c>
      <c r="OG16">
        <f>IF(COUNTIF('Buyer Groups'!DG69:DZ69,0)+COUNTIF('Buyer Groups'!EB69:EN69,0)&gt;0,0,1)</f>
        <v/>
      </c>
      <c r="OH16">
        <f>IF($DK$16="",FALSE,SUMPRODUCT(('Final Calculation Sheet'!$U$4:$U$40=$DK$16)*($OG$6:$OG$42=1))&gt;0)</f>
        <v/>
      </c>
      <c r="OI16">
        <f>$OI$15+--($OH16)</f>
        <v/>
      </c>
      <c r="OJ16">
        <f>IF(ROW()-3&gt;MAX($OI$4:$OI$40),"",INDEX($DK$4:$DK$40,MATCH(ROW()-3,$OI$4:$OI$40,0)))</f>
        <v/>
      </c>
      <c r="OK16">
        <f>IF(COUNTIF('Buyer Groups'!DG69:EA69,0)+COUNTIF('Buyer Groups'!EC69:EN69,0)&gt;0,0,1)</f>
        <v/>
      </c>
      <c r="OL16">
        <f>IF($DP$16="",FALSE,SUMPRODUCT(('Final Calculation Sheet'!$V$4:$V$40=$DP$16)*($OK$6:$OK$42=1))&gt;0)</f>
        <v/>
      </c>
      <c r="OM16">
        <f>$OM$15+--($OL16)</f>
        <v/>
      </c>
      <c r="ON16">
        <f>IF(ROW()-3&gt;MAX($OM$4:$OM$40),"",INDEX($DP$4:$DP$40,MATCH(ROW()-3,$OM$4:$OM$40,0)))</f>
        <v/>
      </c>
      <c r="OO16">
        <f>IF(COUNTIF('Buyer Groups'!DG69:EB69,0)+COUNTIF('Buyer Groups'!ED69:EN69,0)&gt;0,0,1)</f>
        <v/>
      </c>
      <c r="OP16">
        <f>IF($DU$16="",FALSE,SUMPRODUCT(('Final Calculation Sheet'!$W$4:$W$40=$DU$16)*($OO$6:$OO$42=1))&gt;0)</f>
        <v/>
      </c>
      <c r="OQ16">
        <f>$OQ$15+--($OP16)</f>
        <v/>
      </c>
      <c r="OR16">
        <f>IF(ROW()-3&gt;MAX($OQ$4:$OQ$40),"",INDEX($DU$4:$DU$40,MATCH(ROW()-3,$OQ$4:$OQ$40,0)))</f>
        <v/>
      </c>
      <c r="OS16">
        <f>IF(COUNTIF('Buyer Groups'!DG69:EC69,0)+COUNTIF('Buyer Groups'!EE69:EN69,0)&gt;0,0,1)</f>
        <v/>
      </c>
      <c r="OT16">
        <f>IF($DZ$16="",FALSE,SUMPRODUCT(('Final Calculation Sheet'!$X$4:$X$40=$DZ$16)*($OS$6:$OS$42=1))&gt;0)</f>
        <v/>
      </c>
      <c r="OU16">
        <f>$OU$15+--($OT16)</f>
        <v/>
      </c>
      <c r="OV16">
        <f>IF(ROW()-3&gt;MAX($OU$4:$OU$40),"",INDEX($DZ$4:$DZ$40,MATCH(ROW()-3,$OU$4:$OU$40,0)))</f>
        <v/>
      </c>
      <c r="OW16">
        <f>IF(COUNTIF('Buyer Groups'!DG69:ED69,0)+COUNTIF('Buyer Groups'!EF69:EN69,0)&gt;0,0,1)</f>
        <v/>
      </c>
      <c r="OX16">
        <f>IF($EE$16="",FALSE,SUMPRODUCT(('Final Calculation Sheet'!$Y$4:$Y$40=$EE$16)*($OW$6:$OW$42=1))&gt;0)</f>
        <v/>
      </c>
      <c r="OY16">
        <f>$OY$15+--($OX16)</f>
        <v/>
      </c>
      <c r="OZ16">
        <f>IF(ROW()-3&gt;MAX($OY$4:$OY$40),"",INDEX($EE$4:$EE$40,MATCH(ROW()-3,$OY$4:$OY$40,0)))</f>
        <v/>
      </c>
      <c r="PA16">
        <f>IF(COUNTIF('Buyer Groups'!DG69:EE69,0)+COUNTIF('Buyer Groups'!EG69:EN69,0)&gt;0,0,1)</f>
        <v/>
      </c>
      <c r="PB16">
        <f>IF($EJ$16="",FALSE,SUMPRODUCT(('Final Calculation Sheet'!$Z$4:$Z$40=$EJ$16)*($PA$6:$PA$42=1))&gt;0)</f>
        <v/>
      </c>
      <c r="PC16">
        <f>$PC$15+--($PB16)</f>
        <v/>
      </c>
      <c r="PD16">
        <f>IF(ROW()-3&gt;MAX($PC$4:$PC$40),"",INDEX($EJ$4:$EJ$40,MATCH(ROW()-3,$PC$4:$PC$40,0)))</f>
        <v/>
      </c>
      <c r="PE16">
        <f>IF(COUNTIF('Buyer Groups'!DG69:EF69,0)+COUNTIF('Buyer Groups'!EH69:EN69,0)&gt;0,0,1)</f>
        <v/>
      </c>
      <c r="PF16">
        <f>IF($EO$16="",FALSE,SUMPRODUCT(('Final Calculation Sheet'!$AA$4:$AA$40=$EO$16)*($PE$6:$PE$42=1))&gt;0)</f>
        <v/>
      </c>
      <c r="PG16">
        <f>$PG$15+--($PF16)</f>
        <v/>
      </c>
      <c r="PH16">
        <f>IF(ROW()-3&gt;MAX($PG$4:$PG$40),"",INDEX($EO$4:$EO$40,MATCH(ROW()-3,$PG$4:$PG$40,0)))</f>
        <v/>
      </c>
      <c r="PI16">
        <f>IF(COUNTIF('Buyer Groups'!DG69:EG69,0)+COUNTIF('Buyer Groups'!EI69:EN69,0)&gt;0,0,1)</f>
        <v/>
      </c>
      <c r="PJ16">
        <f>IF($ET$16="",FALSE,SUMPRODUCT(('Final Calculation Sheet'!$AB$4:$AB$40=$ET$16)*($PI$6:$PI$42=1))&gt;0)</f>
        <v/>
      </c>
      <c r="PK16">
        <f>$PK$15+--($PJ16)</f>
        <v/>
      </c>
      <c r="PL16">
        <f>IF(ROW()-3&gt;MAX($PK$4:$PK$40),"",INDEX($ET$4:$ET$40,MATCH(ROW()-3,$PK$4:$PK$40,0)))</f>
        <v/>
      </c>
      <c r="PM16">
        <f>IF(COUNTIF('Buyer Groups'!DG69:EH69,0)+COUNTIF('Buyer Groups'!EJ69:EN69,0)&gt;0,0,1)</f>
        <v/>
      </c>
      <c r="PN16">
        <f>IF($EY$16="",FALSE,SUMPRODUCT(('Final Calculation Sheet'!$AC$4:$AC$40=$EY$16)*($PM$6:$PM$42=1))&gt;0)</f>
        <v/>
      </c>
      <c r="PO16">
        <f>$PO$15+--($PN16)</f>
        <v/>
      </c>
      <c r="PP16">
        <f>IF(ROW()-3&gt;MAX($PO$4:$PO$40),"",INDEX($EY$4:$EY$40,MATCH(ROW()-3,$PO$4:$PO$40,0)))</f>
        <v/>
      </c>
      <c r="PQ16">
        <f>IF(COUNTIF('Buyer Groups'!DG69:EI69,0)+COUNTIF('Buyer Groups'!EK69:EN69,0)&gt;0,0,1)</f>
        <v/>
      </c>
      <c r="PR16">
        <f>IF($FD$16="",FALSE,SUMPRODUCT(('Final Calculation Sheet'!$AD$4:$AD$40=$FD$16)*($PQ$6:$PQ$42=1))&gt;0)</f>
        <v/>
      </c>
      <c r="PS16">
        <f>$PS$15+--($PR16)</f>
        <v/>
      </c>
      <c r="PT16">
        <f>IF(ROW()-3&gt;MAX($PS$4:$PS$40),"",INDEX($FD$4:$FD$40,MATCH(ROW()-3,$PS$4:$PS$40,0)))</f>
        <v/>
      </c>
      <c r="PU16">
        <f>IF(COUNTIF('Buyer Groups'!DG69:EJ69,0)+COUNTIF('Buyer Groups'!EL69:EN69,0)&gt;0,0,1)</f>
        <v/>
      </c>
      <c r="PV16">
        <f>IF($FX$16="",FALSE,SUMPRODUCT((IF('Final Calculation Sheet'!$AD$4:$AD$40&lt;=5,"SETTLED","OUTSTANDING")=$FX$16)*($PU$6:$PU$42=1))&gt;0)</f>
        <v/>
      </c>
      <c r="PW16">
        <f>$PW$15+--($PV16)</f>
        <v/>
      </c>
      <c r="PX16">
        <f>IF(ROW()-3&gt;MAX($PW$4:$PW$40),"",INDEX($FX$4:$FX$40,MATCH(ROW()-3,$PW$4:$PW$40,0)))</f>
        <v/>
      </c>
      <c r="PY16">
        <f>IF(COUNTIF('Buyer Groups'!DG69:EK69,0)+COUNTIF('Buyer Groups'!EM69:EN69,0)&gt;0,0,1)</f>
        <v/>
      </c>
      <c r="PZ16">
        <f>IF($FI$16="",FALSE,SUMPRODUCT(('Final Calculation Sheet'!$AF$4:$AF$40=$FI$16)*($PY$6:$PY$42=1))&gt;0)</f>
        <v/>
      </c>
      <c r="QA16">
        <f>$QA$15+--($PZ16)</f>
        <v/>
      </c>
      <c r="QB16">
        <f>IF(ROW()-3&gt;MAX($QA$4:$QA$40),"",INDEX($FI$4:$FI$40,MATCH(ROW()-3,$QA$4:$QA$40,0)))</f>
        <v/>
      </c>
      <c r="QC16">
        <f>IF(COUNTIF('Buyer Groups'!DG69:EL69,0)+COUNTIF('Buyer Groups'!EN69:EN69,0)&gt;0,0,1)</f>
        <v/>
      </c>
      <c r="QD16">
        <f>IF($FN$16="",FALSE,SUMPRODUCT(('Final Calculation Sheet'!$AG$4:$AG$40=$FN$16)*($QC$6:$QC$42=1))&gt;0)</f>
        <v/>
      </c>
      <c r="QE16">
        <f>$QE$15+--($QD16)</f>
        <v/>
      </c>
      <c r="QF16">
        <f>IF(ROW()-3&gt;MAX($QE$4:$QE$40),"",INDEX($FN$4:$FN$40,MATCH(ROW()-3,$QE$4:$QE$40,0)))</f>
        <v/>
      </c>
      <c r="QG16">
        <f>IF(COUNTIF('Buyer Groups'!DG69:EM69,0)&gt;0,0,1)</f>
        <v/>
      </c>
      <c r="QH16">
        <f>IF($FS$16="",FALSE,SUMPRODUCT(('Final Calculation Sheet'!$AH$4:$AH$40=$FS$16)*($QG$6:$QG$42=1))&gt;0)</f>
        <v/>
      </c>
      <c r="QI16">
        <f>$QI$15+--($QH16)</f>
        <v/>
      </c>
      <c r="QJ16">
        <f>IF(ROW()-3&gt;MAX($QI$4:$QI$40),"",INDEX($FS$4:$FS$40,MATCH(ROW()-3,$QI$4:$QI$40,0)))</f>
        <v/>
      </c>
      <c r="QK16" t="str">
        <f>IF('Final Calculation Sheet'!$AH$16="","",'Final Calculation Sheet'!$AH$16)</f>
      </c>
      <c r="QL16" t="str">
        <f>IF(QK16="","",COUNTIFS(QK$4:QK$40,"&lt;"&amp;QK16,QK$4:QK$40,"&lt;&gt;"&amp;"")+COUNTIF(QK$4:QK16,QK16))</f>
      </c>
      <c r="QM16" t="str">
        <f>IF(ROW()-3&gt;COUNTIF(QK$4:QK$40,"&lt;&gt;"&amp;""),"",INDEX(QK$4:QK$40,MATCH(ROW()-3,QL$4:QL$40,0)))</f>
      </c>
      <c r="QN16" t="str">
        <f>=QN15+F(AND(QM16&lt;&gt;"",COUNTIF(QM$4:QM16,QM16)=1),1,0)</f>
      </c>
      <c r="QO16" t="str">
        <f>IF(ROW()-3&gt;MAX(QN$4:QN$40),"",INDEX(QM$4:QM$40,MATCH(ROW()-3,QN$4:QN$40,0)))</f>
      </c>
      <c r="QP16" t="str">
        <f>IF(COUNTIF('Final Calculation Sheet'!$AM16:$BS16,0)&gt;0,0,1)</f>
      </c>
      <c r="QQ16" t="str">
        <f>IF($AI$16="",FALSE,SUMPRODUCT(('Final Calculation Sheet'!$A$4:$A$40=$AI$16)*($QP$4:$QP$40=1))&gt;0)</f>
      </c>
      <c r="QR16" t="str">
        <f>=$QR15+--($QQ16)</f>
      </c>
      <c r="QS16" t="str">
        <f>IF(ROW()-3&gt;MAX($QR$4:$QR$40),"",INDEX($AI$4:$AI$40,MATCH(ROW()-3,$QR$4:$QR$40,0)))</f>
      </c>
      <c r="QT16" t="str">
        <f>IF(COUNTIF('Final Calculation Sheet'!$AL16:$AL16,0)+COUNTIF('Final Calculation Sheet'!$AN16:$BS16,0)&gt;0,0,1)</f>
      </c>
      <c r="QU16" t="str">
        <f>IF($Y$16="",FALSE,SUMPRODUCT(('Final Calculation Sheet'!$B$4:$B$40=$Y$16)*($QT$4:$QT$40=1))&gt;0)</f>
      </c>
      <c r="QV16" t="str">
        <f>=$QV15+--($QU16)</f>
      </c>
      <c r="QW16" t="str">
        <f>IF(ROW()-3&gt;MAX($QV$4:$QV$40),"",INDEX($Y$4:$Y$40,MATCH(ROW()-3,$QV$4:$QV$40,0)))</f>
      </c>
      <c r="QX16" t="str">
        <f>IF(COUNTIF('Final Calculation Sheet'!$AL16:$AM16,0)+COUNTIF('Final Calculation Sheet'!$AO16:$BS16,0)&gt;0,0,1)</f>
      </c>
      <c r="QY16" t="str">
        <f>IF($AS$16="",FALSE,SUMPRODUCT(('Final Calculation Sheet'!$C$4:$C$40=$AS$16)*($QX$4:$QX$40=1))&gt;0)</f>
      </c>
      <c r="QZ16" t="str">
        <f>=$QZ15+--($QY16)</f>
      </c>
      <c r="RA16" t="str">
        <f>IF(ROW()-3&gt;MAX($QZ$4:$QZ$40),"",INDEX($AS$4:$AS$40,MATCH(ROW()-3,$QZ$4:$QZ$40,0)))</f>
      </c>
      <c r="RB16" t="str">
        <f>IF(COUNTIF('Final Calculation Sheet'!$AL16:$AN16,0)+COUNTIF('Final Calculation Sheet'!$AP16:$BS16,0)&gt;0,0,1)</f>
      </c>
      <c r="RC16" t="str">
        <f>IF($AD$16="",FALSE,SUMPRODUCT(('Final Calculation Sheet'!$D$4:$D$40=$AD$16)*($RB$4:$RB$40=1))&gt;0)</f>
      </c>
      <c r="RD16" t="str">
        <f>=$RD15+--($RC16)</f>
      </c>
      <c r="RE16" t="str">
        <f>IF(ROW()-3&gt;MAX($RD$4:$RD$40),"",INDEX($AD$4:$AD$40,MATCH(ROW()-3,$RD$4:$RD$40,0)))</f>
      </c>
      <c r="RF16" t="str">
        <f>IF(COUNTIF('Final Calculation Sheet'!$AL16:$AO16,0)+COUNTIF('Final Calculation Sheet'!$AQ16:$BS16,0)&gt;0,0,1)</f>
      </c>
      <c r="RG16" t="str">
        <f>IF($AN$16="",FALSE,SUMPRODUCT(('Final Calculation Sheet'!$E$4:$E$40=$AN$16)*($RF$4:$RF$40=1))&gt;0)</f>
      </c>
      <c r="RH16" t="str">
        <f>=$RH15+--($RG16)</f>
      </c>
      <c r="RI16" t="str">
        <f>IF(ROW()-3&gt;MAX($RH$4:$RH$40),"",INDEX($AN$4:$AN$40,MATCH(ROW()-3,$RH$4:$RH$40,0)))</f>
      </c>
      <c r="RJ16" t="str">
        <f>IF(COUNTIF('Final Calculation Sheet'!$AL16:$AP16,0)+COUNTIF('Final Calculation Sheet'!$AR16:$BS16,0)&gt;0,0,1)</f>
      </c>
      <c r="RK16" t="str">
        <f>IF($O$16="",FALSE,SUMPRODUCT(('Final Calculation Sheet'!$F$4:$F$40=$O$16)*($RJ$4:$RJ$40=1))&gt;0)</f>
      </c>
      <c r="RL16" t="str">
        <f>=$RL15+--($RK16)</f>
      </c>
      <c r="RM16" t="str">
        <f>IF(ROW()-3&gt;MAX($RL$4:$RL$40),"",INDEX($O$4:$O$40,MATCH(ROW()-3,$RL$4:$RL$40,0)))</f>
      </c>
      <c r="RN16" t="str">
        <f>IF(COUNTIF('Final Calculation Sheet'!$AL16:$AQ16,0)+COUNTIF('Final Calculation Sheet'!$AS16:$BS16,0)&gt;0,0,1)</f>
      </c>
      <c r="RO16" t="str">
        <f>IF($T$16="",FALSE,SUMPRODUCT(('Final Calculation Sheet'!$G$4:$G$40=$T$16)*($RN$4:$RN$40=1))&gt;0)</f>
      </c>
      <c r="RP16" t="str">
        <f>=$RP15+--($RO16)</f>
      </c>
      <c r="RQ16" t="str">
        <f>IF(ROW()-3&gt;MAX($RP$4:$RP$40),"",INDEX($T$4:$T$40,MATCH(ROW()-3,$RP$4:$RP$40,0)))</f>
      </c>
      <c r="RR16" t="str">
        <f>IF(COUNTIF('Final Calculation Sheet'!$AL16:$AR16,0)+COUNTIF('Final Calculation Sheet'!$AT16:$BS16,0)&gt;0,0,1)</f>
      </c>
      <c r="RS16" t="str">
        <f>IF($AX$16="",FALSE,SUMPRODUCT(('Final Calculation Sheet'!$H$4:$H$40=$AX$16)*($RR$4:$RR$40=1))&gt;0)</f>
      </c>
      <c r="RT16" t="str">
        <f>=$RT15+--($RS16)</f>
      </c>
      <c r="RU16" t="str">
        <f>IF(ROW()-3&gt;MAX($RT$4:$RT$40),"",INDEX($AX$4:$AX$40,MATCH(ROW()-3,$RT$4:$RT$40,0)))</f>
      </c>
      <c r="RV16" t="str">
        <f>IF(COUNTIF('Final Calculation Sheet'!$AL16:$AS16,0)+COUNTIF('Final Calculation Sheet'!$AU16:$BS16,0)&gt;0,0,1)</f>
      </c>
      <c r="RW16" t="str">
        <f>IF($BC$16="",FALSE,SUMPRODUCT(('Final Calculation Sheet'!$I$4:$I$40=$BC$16)*($RV$4:$RV$40=1))&gt;0)</f>
      </c>
      <c r="RX16" t="str">
        <f>=$RX15+--($RW16)</f>
      </c>
      <c r="RY16" t="str">
        <f>IF(ROW()-3&gt;MAX($RX$4:$RX$40),"",INDEX($BC$4:$BC$40,MATCH(ROW()-3,$RX$4:$RX$40,0)))</f>
      </c>
      <c r="RZ16" t="str">
        <f>IF(COUNTIF('Final Calculation Sheet'!$AL16:$AT16,0)+COUNTIF('Final Calculation Sheet'!$AV16:$BS16,0)&gt;0,0,1)</f>
      </c>
      <c r="SA16" t="str">
        <f>IF($BH$16="",FALSE,SUMPRODUCT(('Final Calculation Sheet'!$J$4:$J$40=$BH$16)*($RZ$4:$RZ$40=1))&gt;0)</f>
      </c>
      <c r="SB16" t="str">
        <f>=$SB15+--($SA16)</f>
      </c>
      <c r="SC16" t="str">
        <f>IF(ROW()-3&gt;MAX($SB$4:$SB$40),"",INDEX($BH$4:$BH$40,MATCH(ROW()-3,$SB$4:$SB$40,0)))</f>
      </c>
      <c r="SD16" t="str">
        <f>IF(COUNTIF('Final Calculation Sheet'!$AL16:$AU16,0)+COUNTIF('Final Calculation Sheet'!$AW16:$BS16,0)&gt;0,0,1)</f>
      </c>
      <c r="SE16" t="str">
        <f>IF($BM$16="",FALSE,SUMPRODUCT(('Final Calculation Sheet'!$K$4:$K$40=$BM$16)*($SD$4:$SD$40=1))&gt;0)</f>
      </c>
      <c r="SF16" t="str">
        <f>=$SF15+--($SE16)</f>
      </c>
      <c r="SG16" t="str">
        <f>IF(ROW()-3&gt;MAX($SF$4:$SF$40),"",INDEX($BM$4:$BM$40,MATCH(ROW()-3,$SF$4:$SF$40,0)))</f>
      </c>
      <c r="SH16" t="str">
        <f>IF(COUNTIF('Final Calculation Sheet'!$AL16:$AV16,0)+COUNTIF('Final Calculation Sheet'!$AX16:$BS16,0)&gt;0,0,1)</f>
      </c>
      <c r="SI16" t="str">
        <f>IF($BR$16="",FALSE,SUMPRODUCT(('Final Calculation Sheet'!$L$4:$L$40=$BR$16)*($SH$4:$SH$40=1))&gt;0)</f>
      </c>
      <c r="SJ16" t="str">
        <f>=$SJ15+--($SI16)</f>
      </c>
      <c r="SK16" t="str">
        <f>IF(ROW()-3&gt;MAX($SJ$4:$SJ$40),"",INDEX($BR$4:$BR$40,MATCH(ROW()-3,$SJ$4:$SJ$40,0)))</f>
      </c>
      <c r="SL16" t="str">
        <f>IF(COUNTIF('Final Calculation Sheet'!$AL16:$AW16,0)+COUNTIF('Final Calculation Sheet'!$AY16:$BS16,0)&gt;0,0,1)</f>
      </c>
      <c r="SM16" t="str">
        <f>IF($BW$16="",FALSE,SUMPRODUCT(('Final Calculation Sheet'!$M$4:$M$40=$BW$16)*($SL$4:$SL$40=1))&gt;0)</f>
      </c>
      <c r="SN16" t="str">
        <f>=$SN15+--($SM16)</f>
      </c>
      <c r="SO16" t="str">
        <f>IF(ROW()-3&gt;MAX($SN$4:$SN$40),"",INDEX($BW$4:$BW$40,MATCH(ROW()-3,$SN$4:$SN$40,0)))</f>
      </c>
      <c r="SP16" t="str">
        <f>IF(COUNTIF('Final Calculation Sheet'!$AL16:$AX16,0)+COUNTIF('Final Calculation Sheet'!$AZ16:$BS16,0)&gt;0,0,1)</f>
      </c>
      <c r="SQ16" t="str">
        <f>IF($CB$16="",FALSE,SUMPRODUCT(('Final Calculation Sheet'!$N$4:$N$40=$CB$16)*($SP$4:$SP$40=1))&gt;0)</f>
      </c>
      <c r="SR16" t="str">
        <f>=$SR15+--($SQ16)</f>
      </c>
      <c r="SS16" t="str">
        <f>IF(ROW()-3&gt;MAX($SR$4:$SR$40),"",INDEX($CB$4:$CB$40,MATCH(ROW()-3,$SR$4:$SR$40,0)))</f>
      </c>
      <c r="ST16" t="str">
        <f>IF(COUNTIF('Final Calculation Sheet'!$AL16:$AY16,0)+COUNTIF('Final Calculation Sheet'!$BA16:$BS16,0)&gt;0,0,1)</f>
      </c>
      <c r="SU16" t="str">
        <f>IF($CG$16="",FALSE,SUMPRODUCT(('Final Calculation Sheet'!$O$4:$O$40=$CG$16)*($ST$4:$ST$40=1))&gt;0)</f>
      </c>
      <c r="SV16" t="str">
        <f>=$SV15+--($SU16)</f>
      </c>
      <c r="SW16" t="str">
        <f>IF(ROW()-3&gt;MAX($SV$4:$SV$40),"",INDEX($CG$4:$CG$40,MATCH(ROW()-3,$SV$4:$SV$40,0)))</f>
      </c>
      <c r="SX16" t="str">
        <f>IF(COUNTIF('Final Calculation Sheet'!$AL16:$AZ16,0)+COUNTIF('Final Calculation Sheet'!$BB16:$BS16,0)&gt;0,0,1)</f>
      </c>
      <c r="SY16" t="str">
        <f>IF($CL$16="",FALSE,SUMPRODUCT(('Final Calculation Sheet'!$P$4:$P$40=$CL$16)*($SX$4:$SX$40=1))&gt;0)</f>
      </c>
      <c r="SZ16" t="str">
        <f>=$SZ15+--($SY16)</f>
      </c>
      <c r="TA16" t="str">
        <f>IF(ROW()-3&gt;MAX($SZ$4:$SZ$40),"",INDEX($CL$4:$CL$40,MATCH(ROW()-3,$SZ$4:$SZ$40,0)))</f>
      </c>
      <c r="TB16" t="str">
        <f>IF(COUNTIF('Final Calculation Sheet'!$AL16:$BA16,0)+COUNTIF('Final Calculation Sheet'!$BC16:$BS16,0)&gt;0,0,1)</f>
      </c>
      <c r="TC16" t="str">
        <f>IF($CQ$16="",FALSE,SUMPRODUCT(('Final Calculation Sheet'!$Q$4:$Q$40=$CQ$16)*($TB$4:$TB$40=1))&gt;0)</f>
      </c>
      <c r="TD16" t="str">
        <f>=$TD15+--($TC16)</f>
      </c>
      <c r="TE16" t="str">
        <f>IF(ROW()-3&gt;MAX($TD$4:$TD$40),"",INDEX($CQ$4:$CQ$40,MATCH(ROW()-3,$TD$4:$TD$40,0)))</f>
      </c>
      <c r="TF16" t="str">
        <f>IF(COUNTIF('Final Calculation Sheet'!$AL16:$BB16,0)+COUNTIF('Final Calculation Sheet'!$BD16:$BS16,0)&gt;0,0,1)</f>
      </c>
      <c r="TG16" t="str">
        <f>IF($CV$16="",FALSE,SUMPRODUCT(('Final Calculation Sheet'!$R$4:$R$40=$CV$16)*($TF$4:$TF$40=1))&gt;0)</f>
      </c>
      <c r="TH16" t="str">
        <f>=$TH15+--($TG16)</f>
      </c>
      <c r="TI16" t="str">
        <f>IF(ROW()-3&gt;MAX($TH$4:$TH$40),"",INDEX($CV$4:$CV$40,MATCH(ROW()-3,$TH$4:$TH$40,0)))</f>
      </c>
      <c r="TJ16" t="str">
        <f>IF(COUNTIF('Final Calculation Sheet'!$AL16:$BC16,0)+COUNTIF('Final Calculation Sheet'!$BE16:$BS16,0)&gt;0,0,1)</f>
      </c>
      <c r="TK16" t="str">
        <f>IF($DA$16="",FALSE,SUMPRODUCT(('Final Calculation Sheet'!$S$4:$S$40=$DA$16)*($TJ$4:$TJ$40=1))&gt;0)</f>
      </c>
      <c r="TL16" t="str">
        <f>=$TL15+--($TK16)</f>
      </c>
      <c r="TM16" t="str">
        <f>IF(ROW()-3&gt;MAX($TL$4:$TL$40),"",INDEX($DA$4:$DA$40,MATCH(ROW()-3,$TL$4:$TL$40,0)))</f>
      </c>
      <c r="TN16" t="str">
        <f>IF(COUNTIF('Final Calculation Sheet'!$AL16:$BD16,0)+COUNTIF('Final Calculation Sheet'!$BF16:$BS16,0)&gt;0,0,1)</f>
      </c>
      <c r="TO16" t="str">
        <f>IF($DF$16="",FALSE,SUMPRODUCT(('Final Calculation Sheet'!$T$4:$T$40=$DF$16)*($TN$4:$TN$40=1))&gt;0)</f>
      </c>
      <c r="TP16" t="str">
        <f>=$TP15+--($TO16)</f>
      </c>
      <c r="TQ16" t="str">
        <f>IF(ROW()-3&gt;MAX($TP$4:$TP$40),"",INDEX($DF$4:$DF$40,MATCH(ROW()-3,$TP$4:$TP$40,0)))</f>
      </c>
      <c r="TR16" t="str">
        <f>IF(COUNTIF('Final Calculation Sheet'!$AL16:$BE16,0)+COUNTIF('Final Calculation Sheet'!$BG16:$BS16,0)&gt;0,0,1)</f>
      </c>
      <c r="TS16" t="str">
        <f>IF($DK$16="",FALSE,SUMPRODUCT(('Final Calculation Sheet'!$U$4:$U$40=$DK$16)*($TR$4:$TR$40=1))&gt;0)</f>
      </c>
      <c r="TT16" t="str">
        <f>=$TT15+--($TS16)</f>
      </c>
      <c r="TU16" t="str">
        <f>IF(ROW()-3&gt;MAX($TT$4:$TT$40),"",INDEX($DK$4:$DK$40,MATCH(ROW()-3,$TT$4:$TT$40,0)))</f>
      </c>
      <c r="TV16" t="str">
        <f>IF(COUNTIF('Final Calculation Sheet'!$AL16:$BF16,0)+COUNTIF('Final Calculation Sheet'!$BH16:$BS16,0)&gt;0,0,1)</f>
      </c>
      <c r="TW16" t="str">
        <f>IF($DP$16="",FALSE,SUMPRODUCT(('Final Calculation Sheet'!$V$4:$V$40=$DP$16)*($TV$4:$TV$40=1))&gt;0)</f>
      </c>
      <c r="TX16" t="str">
        <f>=$TX15+--($TW16)</f>
      </c>
      <c r="TY16" t="str">
        <f>IF(ROW()-3&gt;MAX($TX$4:$TX$40),"",INDEX($DP$4:$DP$40,MATCH(ROW()-3,$TX$4:$TX$40,0)))</f>
      </c>
      <c r="TZ16" t="str">
        <f>IF(COUNTIF('Final Calculation Sheet'!$AL16:$BG16,0)+COUNTIF('Final Calculation Sheet'!$BI16:$BS16,0)&gt;0,0,1)</f>
      </c>
      <c r="UA16" t="str">
        <f>IF($DU$16="",FALSE,SUMPRODUCT(('Final Calculation Sheet'!$W$4:$W$40=$DU$16)*($TZ$4:$TZ$40=1))&gt;0)</f>
      </c>
      <c r="UB16" t="str">
        <f>=$UB15+--($UA16)</f>
      </c>
      <c r="UC16" t="str">
        <f>IF(ROW()-3&gt;MAX($UB$4:$UB$40),"",INDEX($DU$4:$DU$40,MATCH(ROW()-3,$UB$4:$UB$40,0)))</f>
      </c>
      <c r="UD16" t="str">
        <f>IF(COUNTIF('Final Calculation Sheet'!$AL16:$BH16,0)+COUNTIF('Final Calculation Sheet'!$BJ16:$BS16,0)&gt;0,0,1)</f>
      </c>
      <c r="UE16" t="str">
        <f>IF($DZ$16="",FALSE,SUMPRODUCT(('Final Calculation Sheet'!$X$4:$X$40=$DZ$16)*($UD$4:$UD$40=1))&gt;0)</f>
      </c>
      <c r="UF16" t="str">
        <f>=$UF15+--($UE16)</f>
      </c>
      <c r="UG16" t="str">
        <f>IF(ROW()-3&gt;MAX($UF$4:$UF$40),"",INDEX($DZ$4:$DZ$40,MATCH(ROW()-3,$UF$4:$UF$40,0)))</f>
      </c>
      <c r="UH16" t="str">
        <f>IF(COUNTIF('Final Calculation Sheet'!$AL16:$BI16,0)+COUNTIF('Final Calculation Sheet'!$BK16:$BS16,0)&gt;0,0,1)</f>
      </c>
      <c r="UI16" t="str">
        <f>IF($EE$16="",FALSE,SUMPRODUCT(('Final Calculation Sheet'!$Y$4:$Y$40=$EE$16)*($UH$4:$UH$40=1))&gt;0)</f>
      </c>
      <c r="UJ16" t="str">
        <f>=$UJ15+--($UI16)</f>
      </c>
      <c r="UK16" t="str">
        <f>IF(ROW()-3&gt;MAX($UJ$4:$UJ$40),"",INDEX($EE$4:$EE$40,MATCH(ROW()-3,$UJ$4:$UJ$40,0)))</f>
      </c>
      <c r="UL16" t="str">
        <f>IF(COUNTIF('Final Calculation Sheet'!$AL16:$BJ16,0)+COUNTIF('Final Calculation Sheet'!$BL16:$BS16,0)&gt;0,0,1)</f>
      </c>
      <c r="UM16" t="str">
        <f>IF($EJ$16="",FALSE,SUMPRODUCT(('Final Calculation Sheet'!$Z$4:$Z$40=$EJ$16)*($UL$4:$UL$40=1))&gt;0)</f>
      </c>
      <c r="UN16" t="str">
        <f>=$UN15+--($UM16)</f>
      </c>
      <c r="UO16" t="str">
        <f>IF(ROW()-3&gt;MAX($UN$4:$UN$40),"",INDEX($EJ$4:$EJ$40,MATCH(ROW()-3,$UN$4:$UN$40,0)))</f>
      </c>
      <c r="UP16" t="str">
        <f>IF(COUNTIF('Final Calculation Sheet'!$AL16:$BK16,0)+COUNTIF('Final Calculation Sheet'!$BM16:$BS16,0)&gt;0,0,1)</f>
      </c>
      <c r="UQ16" t="str">
        <f>IF($EO$16="",FALSE,SUMPRODUCT(('Final Calculation Sheet'!$AA$4:$AA$40=$EO$16)*($UP$4:$UP$40=1))&gt;0)</f>
      </c>
      <c r="UR16" t="str">
        <f>=$UR15+--($UQ16)</f>
      </c>
      <c r="US16" t="str">
        <f>IF(ROW()-3&gt;MAX($UR$4:$UR$40),"",INDEX($EO$4:$EO$40,MATCH(ROW()-3,$UR$4:$UR$40,0)))</f>
      </c>
      <c r="UT16" t="str">
        <f>IF(COUNTIF('Final Calculation Sheet'!$AL16:$BL16,0)+COUNTIF('Final Calculation Sheet'!$BN16:$BS16,0)&gt;0,0,1)</f>
      </c>
      <c r="UU16" t="str">
        <f>IF($ET$16="",FALSE,SUMPRODUCT(('Final Calculation Sheet'!$AB$4:$AB$40=$ET$16)*($UT$4:$UT$40=1))&gt;0)</f>
      </c>
      <c r="UV16" t="str">
        <f>=$UV15+--($UU16)</f>
      </c>
      <c r="UW16" t="str">
        <f>IF(ROW()-3&gt;MAX($UV$4:$UV$40),"",INDEX($ET$4:$ET$40,MATCH(ROW()-3,$UV$4:$UV$40,0)))</f>
      </c>
      <c r="UX16" t="str">
        <f>IF(COUNTIF('Final Calculation Sheet'!$AL16:$BM16,0)+COUNTIF('Final Calculation Sheet'!$BO16:$BS16,0)&gt;0,0,1)</f>
      </c>
      <c r="UY16" t="str">
        <f>IF($EY$16="",FALSE,SUMPRODUCT(('Final Calculation Sheet'!$AC$4:$AC$40=$EY$16)*($UX$4:$UX$40=1))&gt;0)</f>
      </c>
      <c r="UZ16" t="str">
        <f>=$UZ15+--($UY16)</f>
      </c>
      <c r="VA16" t="str">
        <f>IF(ROW()-3&gt;MAX($UZ$4:$UZ$40),"",INDEX($EY$4:$EY$40,MATCH(ROW()-3,$UZ$4:$UZ$40,0)))</f>
      </c>
      <c r="VB16" t="str">
        <f>IF(COUNTIF('Final Calculation Sheet'!$AL16:$BN16,0)+COUNTIF('Final Calculation Sheet'!$BP16:$BS16,0)&gt;0,0,1)</f>
      </c>
      <c r="VC16" t="str">
        <f>IF($FD$16="",FALSE,SUMPRODUCT(('Final Calculation Sheet'!$AD$4:$AD$40=$FD$16)*($VB$4:$VB$40=1))&gt;0)</f>
      </c>
      <c r="VD16" t="str">
        <f>=$VD15+--($VC16)</f>
      </c>
      <c r="VE16" t="str">
        <f>IF(ROW()-3&gt;MAX($VD$4:$VD$40),"",INDEX($FD$4:$FD$40,MATCH(ROW()-3,$VD$4:$VD$40,0)))</f>
      </c>
      <c r="VF16" t="str">
        <f>IF(COUNTIF('Final Calculation Sheet'!$AL16:$BO16,0)+COUNTIF('Final Calculation Sheet'!$BQ16:$BS16,0)&gt;0,0,1)</f>
      </c>
      <c r="VG16" t="str">
        <f>IF($FI$16="",FALSE,SUMPRODUCT(('Final Calculation Sheet'!$AE$4:$AE$40=$FI$16)*($VF$4:$VF$40=1))&gt;0)</f>
      </c>
      <c r="VH16" t="str">
        <f>=$VH15+--($VG16)</f>
      </c>
      <c r="VI16" t="str">
        <f>IF(ROW()-3&gt;MAX($VH$4:$VH$40),"",INDEX($FI$4:$FI$40,MATCH(ROW()-3,$VH$4:$VH$40,0)))</f>
      </c>
      <c r="VJ16" t="str">
        <f>IF(COUNTIF('Final Calculation Sheet'!$AL16:$BP16,0)+COUNTIF('Final Calculation Sheet'!$BR16:$BS16,0)&gt;0,0,1)</f>
      </c>
      <c r="VK16" t="str">
        <f>IF($FN$16="",FALSE,SUMPRODUCT(('Final Calculation Sheet'!$AF$4:$AF$40=$FN$16)*($VJ$4:$VJ$40=1))&gt;0)</f>
      </c>
      <c r="VL16" t="str">
        <f>=$VL15+--($VK16)</f>
      </c>
      <c r="VM16" t="str">
        <f>IF(ROW()-3&gt;MAX($VL$4:$VL$40),"",INDEX($FN$4:$FN$40,MATCH(ROW()-3,$VL$4:$VL$40,0)))</f>
      </c>
      <c r="VN16" t="str">
        <f>IF(COUNTIF('Final Calculation Sheet'!$AL16:$BQ16,0)+COUNTIF('Final Calculation Sheet'!$BS16:$BS16,0)&gt;0,0,1)</f>
      </c>
      <c r="VO16" t="str">
        <f>IF($FS$16="",FALSE,SUMPRODUCT(('Final Calculation Sheet'!$AG$4:$AG$40=$FS$16)*($VN$4:$VN$40=1))&gt;0)</f>
      </c>
      <c r="VP16" t="str">
        <f>=$VP15+--($VO16)</f>
      </c>
      <c r="VQ16" t="str">
        <f>IF(ROW()-3&gt;MAX($VP$4:$VP$40),"",INDEX($FS$4:$FS$40,MATCH(ROW()-3,$VP$4:$VP$40,0)))</f>
      </c>
      <c r="VR16" t="str">
        <f>IF(COUNTIF('Final Calculation Sheet'!$AL16:$BR16,0)&gt;0,0,1)</f>
      </c>
      <c r="VS16" t="str">
        <f>IF($QO$16="",FALSE,SUMPRODUCT(('Final Calculation Sheet'!$AH$4:$AH$40=$QO$16)*($VR$4:$VR$40=1))&gt;0)</f>
      </c>
      <c r="VT16" t="str">
        <f>=$VT15+--($VS16)</f>
      </c>
      <c r="VU16" t="str">
        <f>IF(ROW()-3&gt;MAX($VT$4:$VT$40),"",INDEX($QO$4:$QO$40,MATCH(ROW()-3,$VT$4:$VT$40,0)))</f>
      </c>
    </row>
    <row r="17">
      <c r="A17">
        <f>IF('Final Calculation Sheet'!$F$17="","",'Final Calculation Sheet'!$F$17)</f>
        <v/>
      </c>
      <c r="B17">
        <f>IF(A17="","",COUNTIFS(A$4:A$114,"&lt;"&amp;A17,A$4:A$114,"&lt;&gt;"&amp;"")+COUNTIF(A$4:A17,A17))</f>
        <v/>
      </c>
      <c r="C17">
        <f>IF(ROW()-3&gt;COUNTIF(A$4:A$114,"&lt;&gt;"&amp;""),"",INDEX(A$4:A$114,MATCH(ROW()-3,B$4:B$114,0)))</f>
        <v/>
      </c>
      <c r="D17">
        <f>D16+IF(AND(C17&lt;&gt;"",COUNTIF(C$4:C17,C17)=1),1,0)</f>
        <v/>
      </c>
      <c r="E17">
        <f>IF(ROW()-3&gt;MAX(D$4:D$114),"",INDEX(C$4:C$114,MATCH(ROW()-3,D$4:D$114,0)))</f>
        <v/>
      </c>
      <c r="F17">
        <f>ROW()-3</f>
        <v/>
      </c>
      <c r="G17">
        <f>IF(F17="","",COUNTIFS(F$4:F$40,"&lt;"&amp;F17,F$4:F$40,"&lt;&gt;"&amp;"")+COUNTIF(F$4:F17,F17))</f>
        <v/>
      </c>
      <c r="H17">
        <f>IF(ROW()-3&gt;COUNTIF(F$4:F$40,"&lt;&gt;"&amp;""),"",INDEX(F$4:F$40,MATCH(ROW()-3,G$4:G$40,0)))</f>
        <v/>
      </c>
      <c r="I17">
        <f>I16+IF(AND(H17&lt;&gt;"",COUNTIF(H$4:H17,H17)=1),1,0)</f>
        <v/>
      </c>
      <c r="J17">
        <f>IF(ROW()-3&gt;MAX(I$4:I$40),"",INDEX(H$4:H$40,MATCH(ROW()-3,I$4:I$40,0)))</f>
        <v/>
      </c>
      <c r="K17">
        <f>IF('Final Calculation Sheet'!$F$17="","",'Final Calculation Sheet'!$F$17)</f>
        <v/>
      </c>
      <c r="L17">
        <f>IF(K17="","",COUNTIFS(K$4:K$40,"&lt;"&amp;K17,K$4:K$40,"&lt;&gt;"&amp;"")+COUNTIF(K$4:K17,K17))</f>
        <v/>
      </c>
      <c r="M17">
        <f>IF(ROW()-3&gt;COUNTIF(K$4:K$40,"&lt;&gt;"&amp;""),"",INDEX(K$4:K$40,MATCH(ROW()-3,L$4:L$40,0)))</f>
        <v/>
      </c>
      <c r="N17">
        <f>N16+IF(AND(M17&lt;&gt;"",COUNTIF(M$4:M17,M17)=1),1,0)</f>
        <v/>
      </c>
      <c r="O17">
        <f>IF(ROW()-3&gt;MAX(N$4:N$40),"",INDEX(M$4:M$40,MATCH(ROW()-3,N$4:N$40,0)))</f>
        <v/>
      </c>
      <c r="P17">
        <f>IF('Final Calculation Sheet'!$G$17="","",'Final Calculation Sheet'!$G$17)</f>
        <v/>
      </c>
      <c r="Q17">
        <f>IF(P17="","",COUNTIFS(P$4:P$40,"&lt;"&amp;P17,P$4:P$40,"&lt;&gt;"&amp;"")+COUNTIF(P$4:P17,P17))</f>
        <v/>
      </c>
      <c r="R17">
        <f>IF(ROW()-3&gt;COUNTIF(P$4:P$40,"&lt;&gt;"&amp;""),"",INDEX(P$4:P$40,MATCH(ROW()-3,Q$4:Q$40,0)))</f>
        <v/>
      </c>
      <c r="S17">
        <f>S16+IF(AND(R17&lt;&gt;"",COUNTIF(R$4:R17,R17)=1),1,0)</f>
        <v/>
      </c>
      <c r="T17">
        <f>IF(ROW()-3&gt;MAX(S$4:S$40),"",INDEX(R$4:R$40,MATCH(ROW()-3,S$4:S$40,0)))</f>
        <v/>
      </c>
      <c r="U17">
        <f>IF('Final Calculation Sheet'!$B$17="","",'Final Calculation Sheet'!$B$17)</f>
        <v/>
      </c>
      <c r="V17">
        <f>IF(U17="","",COUNTIFS(U$4:U$40,"&lt;"&amp;U17,U$4:U$40,"&lt;&gt;"&amp;"")+COUNTIF(U$4:U17,U17))</f>
        <v/>
      </c>
      <c r="W17">
        <f>IF(ROW()-3&gt;COUNTIF(U$4:U$40,"&lt;&gt;"&amp;""),"",INDEX(U$4:U$40,MATCH(ROW()-3,V$4:V$40,0)))</f>
        <v/>
      </c>
      <c r="X17">
        <f>X16+IF(AND(W17&lt;&gt;"",COUNTIF(W$4:W17,W17)=1),1,0)</f>
        <v/>
      </c>
      <c r="Y17">
        <f>IF(ROW()-3&gt;MAX(X$4:X$40),"",INDEX(W$4:W$40,MATCH(ROW()-3,X$4:X$40,0)))</f>
        <v/>
      </c>
      <c r="Z17">
        <f>IF('Final Calculation Sheet'!$D$17="","",'Final Calculation Sheet'!$D$17)</f>
        <v/>
      </c>
      <c r="AA17">
        <f>IF(Z17="","",COUNTIFS(Z$4:Z$40,"&lt;"&amp;Z17,Z$4:Z$40,"&lt;&gt;"&amp;"")+COUNTIF(Z$4:Z17,Z17))</f>
        <v/>
      </c>
      <c r="AB17">
        <f>IF(ROW()-3&gt;COUNTIF(Z$4:Z$40,"&lt;&gt;"&amp;""),"",INDEX(Z$4:Z$40,MATCH(ROW()-3,AA$4:AA$40,0)))</f>
        <v/>
      </c>
      <c r="AC17">
        <f>AC16+IF(AND(AB17&lt;&gt;"",COUNTIF(AB$4:AB17,AB17)=1),1,0)</f>
        <v/>
      </c>
      <c r="AD17">
        <f>IF(ROW()-3&gt;MAX(AC$4:AC$40),"",INDEX(AB$4:AB$40,MATCH(ROW()-3,AC$4:AC$40,0)))</f>
        <v/>
      </c>
      <c r="AE17">
        <f>IF('Final Calculation Sheet'!$A$17="","",'Final Calculation Sheet'!$A$17)</f>
        <v/>
      </c>
      <c r="AF17">
        <f>IF(AE17="","",COUNTIFS(AE$4:AE$40,"&lt;"&amp;AE17,AE$4:AE$40,"&lt;&gt;"&amp;"")+COUNTIF(AE$4:AE17,AE17))</f>
        <v/>
      </c>
      <c r="AG17">
        <f>IF(ROW()-3&gt;COUNTIF(AE$4:AE$40,"&lt;&gt;"&amp;""),"",INDEX(AE$4:AE$40,MATCH(ROW()-3,AF$4:AF$40,0)))</f>
        <v/>
      </c>
      <c r="AH17">
        <f>AH16+IF(AND(AG17&lt;&gt;"",COUNTIF(AG$4:AG17,AG17)=1),1,0)</f>
        <v/>
      </c>
      <c r="AI17">
        <f>IF(ROW()-3&gt;MAX(AH$4:AH$40),"",INDEX(AG$4:AG$40,MATCH(ROW()-3,AH$4:AH$40,0)))</f>
        <v/>
      </c>
      <c r="AJ17">
        <f>IF('Final Calculation Sheet'!$E$17="","",'Final Calculation Sheet'!$E$17)</f>
        <v/>
      </c>
      <c r="AK17">
        <f>IF(AJ17="","",COUNTIFS(AJ$4:AJ$40,"&lt;"&amp;AJ17,AJ$4:AJ$40,"&lt;&gt;"&amp;"")+COUNTIF(AJ$4:AJ17,AJ17))</f>
        <v/>
      </c>
      <c r="AL17">
        <f>IF(ROW()-3&gt;COUNTIF(AJ$4:AJ$40,"&lt;&gt;"&amp;""),"",INDEX(AJ$4:AJ$40,MATCH(ROW()-3,AK$4:AK$40,0)))</f>
        <v/>
      </c>
      <c r="AM17">
        <f>AM16+IF(AND(AL17&lt;&gt;"",COUNTIF(AL$4:AL17,AL17)=1),1,0)</f>
        <v/>
      </c>
      <c r="AN17">
        <f>IF(ROW()-3&gt;MAX(AM$4:AM$40),"",INDEX(AL$4:AL$40,MATCH(ROW()-3,AM$4:AM$40,0)))</f>
        <v/>
      </c>
      <c r="AO17" s="55">
        <f>IF('Final Calculation Sheet'!$C$17="","",'Final Calculation Sheet'!$C$17)</f>
        <v/>
      </c>
      <c r="AP17">
        <f>IF(AO17="","",COUNTIFS(AO$4:AO$40,"&lt;"&amp;AO17,AO$4:AO$40,"&lt;&gt;"&amp;"")+COUNTIF(AO$4:AO17,AO17))</f>
        <v/>
      </c>
      <c r="AQ17" s="55">
        <f>IF(ROW()-3&gt;COUNTIF(AO$4:AO$40,"&lt;&gt;"&amp;""),"",INDEX(AO$4:AO$40,MATCH(ROW()-3,AP$4:AP$40,0)))</f>
        <v/>
      </c>
      <c r="AR17">
        <f>AR16+IF(AND(AQ17&lt;&gt;"",COUNTIF(AQ$4:AQ17,AQ17)=1),1,0)</f>
        <v/>
      </c>
      <c r="AS17" s="55">
        <f>IF(ROW()-3&gt;MAX(AR$4:AR$40),"",INDEX(AQ$4:AQ$40,MATCH(ROW()-3,AR$4:AR$40,0)))</f>
        <v/>
      </c>
      <c r="AT17" s="55">
        <f>IF('Final Calculation Sheet'!$H$17="","",'Final Calculation Sheet'!$H$17)</f>
        <v/>
      </c>
      <c r="AU17">
        <f>IF(AT17="","",COUNTIFS(AT$4:AT$40,"&lt;"&amp;AT17,AT$4:AT$40,"&lt;&gt;"&amp;"")+COUNTIF(AT$4:AT17,AT17))</f>
        <v/>
      </c>
      <c r="AV17" s="55">
        <f>IF(ROW()-3&gt;COUNTIF(AT$4:AT$40,"&lt;&gt;"&amp;""),"",INDEX(AT$4:AT$40,MATCH(ROW()-3,AU$4:AU$40,0)))</f>
        <v/>
      </c>
      <c r="AW17">
        <f>AW16+IF(AND(AV17&lt;&gt;"",COUNTIF(AV$4:AV17,AV17)=1),1,0)</f>
        <v/>
      </c>
      <c r="AX17" s="55">
        <f>IF(ROW()-3&gt;MAX(AW$4:AW$40),"",INDEX(AV$4:AV$40,MATCH(ROW()-3,AW$4:AW$40,0)))</f>
        <v/>
      </c>
      <c r="AY17" s="55">
        <f>IF('Final Calculation Sheet'!$I$17="","",'Final Calculation Sheet'!$I$17)</f>
        <v/>
      </c>
      <c r="AZ17">
        <f>IF(AY17="","",COUNTIFS(AY$4:AY$40,"&lt;"&amp;AY17,AY$4:AY$40,"&lt;&gt;"&amp;"")+COUNTIF(AY$4:AY17,AY17))</f>
        <v/>
      </c>
      <c r="BA17" s="55">
        <f>IF(ROW()-3&gt;COUNTIF(AY$4:AY$40,"&lt;&gt;"&amp;""),"",INDEX(AY$4:AY$40,MATCH(ROW()-3,AZ$4:AZ$40,0)))</f>
        <v/>
      </c>
      <c r="BB17">
        <f>BB16+IF(AND(BA17&lt;&gt;"",COUNTIF(BA$4:BA17,BA17)=1),1,0)</f>
        <v/>
      </c>
      <c r="BC17" s="55">
        <f>IF(ROW()-3&gt;MAX(BB$4:BB$40),"",INDEX(BA$4:BA$40,MATCH(ROW()-3,BB$4:BB$40,0)))</f>
        <v/>
      </c>
      <c r="BD17" s="55">
        <f>IF('Final Calculation Sheet'!$J$17="","",'Final Calculation Sheet'!$J$17)</f>
        <v/>
      </c>
      <c r="BE17">
        <f>IF(BD17="","",COUNTIFS(BD$4:BD$40,"&lt;"&amp;BD17,BD$4:BD$40,"&lt;&gt;"&amp;"")+COUNTIF(BD$4:BD17,BD17))</f>
        <v/>
      </c>
      <c r="BF17" s="55">
        <f>IF(ROW()-3&gt;COUNTIF(BD$4:BD$40,"&lt;&gt;"&amp;""),"",INDEX(BD$4:BD$40,MATCH(ROW()-3,BE$4:BE$40,0)))</f>
        <v/>
      </c>
      <c r="BG17">
        <f>BG16+IF(AND(BF17&lt;&gt;"",COUNTIF(BF$4:BF17,BF17)=1),1,0)</f>
        <v/>
      </c>
      <c r="BH17" s="55">
        <f>IF(ROW()-3&gt;MAX(BG$4:BG$40),"",INDEX(BF$4:BF$40,MATCH(ROW()-3,BG$4:BG$40,0)))</f>
        <v/>
      </c>
      <c r="BI17" s="55">
        <f>IF('Final Calculation Sheet'!$K$17="","",'Final Calculation Sheet'!$K$17)</f>
        <v/>
      </c>
      <c r="BJ17">
        <f>IF(BI17="","",COUNTIFS(BI$4:BI$40,"&lt;"&amp;BI17,BI$4:BI$40,"&lt;&gt;"&amp;"")+COUNTIF(BI$4:BI17,BI17))</f>
        <v/>
      </c>
      <c r="BK17" s="55">
        <f>IF(ROW()-3&gt;COUNTIF(BI$4:BI$40,"&lt;&gt;"&amp;""),"",INDEX(BI$4:BI$40,MATCH(ROW()-3,BJ$4:BJ$40,0)))</f>
        <v/>
      </c>
      <c r="BL17">
        <f>BL16+IF(AND(BK17&lt;&gt;"",COUNTIF(BK$4:BK17,BK17)=1),1,0)</f>
        <v/>
      </c>
      <c r="BM17" s="55">
        <f>IF(ROW()-3&gt;MAX(BL$4:BL$40),"",INDEX(BK$4:BK$40,MATCH(ROW()-3,BL$4:BL$40,0)))</f>
        <v/>
      </c>
      <c r="BN17" s="55">
        <f>IF('Final Calculation Sheet'!$L$17="","",'Final Calculation Sheet'!$L$17)</f>
        <v/>
      </c>
      <c r="BO17">
        <f>IF(BN17="","",COUNTIFS(BN$4:BN$40,"&lt;"&amp;BN17,BN$4:BN$40,"&lt;&gt;"&amp;"")+COUNTIF(BN$4:BN17,BN17))</f>
        <v/>
      </c>
      <c r="BP17" s="55">
        <f>IF(ROW()-3&gt;COUNTIF(BN$4:BN$40,"&lt;&gt;"&amp;""),"",INDEX(BN$4:BN$40,MATCH(ROW()-3,BO$4:BO$40,0)))</f>
        <v/>
      </c>
      <c r="BQ17">
        <f>BQ16+IF(AND(BP17&lt;&gt;"",COUNTIF(BP$4:BP17,BP17)=1),1,0)</f>
        <v/>
      </c>
      <c r="BR17" s="55">
        <f>IF(ROW()-3&gt;MAX(BQ$4:BQ$40),"",INDEX(BP$4:BP$40,MATCH(ROW()-3,BQ$4:BQ$40,0)))</f>
        <v/>
      </c>
      <c r="BS17" s="55">
        <f>IF('Final Calculation Sheet'!$M$17="","",'Final Calculation Sheet'!$M$17)</f>
        <v/>
      </c>
      <c r="BT17">
        <f>IF(BS17="","",COUNTIFS(BS$4:BS$40,"&lt;"&amp;BS17,BS$4:BS$40,"&lt;&gt;"&amp;"")+COUNTIF(BS$4:BS17,BS17))</f>
        <v/>
      </c>
      <c r="BU17" s="55">
        <f>IF(ROW()-3&gt;COUNTIF(BS$4:BS$40,"&lt;&gt;"&amp;""),"",INDEX(BS$4:BS$40,MATCH(ROW()-3,BT$4:BT$40,0)))</f>
        <v/>
      </c>
      <c r="BV17">
        <f>BV16+IF(AND(BU17&lt;&gt;"",COUNTIF(BU$4:BU17,BU17)=1),1,0)</f>
        <v/>
      </c>
      <c r="BW17" s="55">
        <f>IF(ROW()-3&gt;MAX(BV$4:BV$40),"",INDEX(BU$4:BU$40,MATCH(ROW()-3,BV$4:BV$40,0)))</f>
        <v/>
      </c>
      <c r="BX17" s="138">
        <f>IF('Final Calculation Sheet'!$N$17="","",'Final Calculation Sheet'!$N$17)</f>
        <v/>
      </c>
      <c r="BY17">
        <f>IF(BX17="","",COUNTIFS(BX$4:BX$40,"&lt;"&amp;BX17,BX$4:BX$40,"&lt;&gt;"&amp;"")+COUNTIF(BX$4:BX17,BX17))</f>
        <v/>
      </c>
      <c r="BZ17" s="138">
        <f>IF(ROW()-3&gt;COUNTIF(BX$4:BX$40,"&lt;&gt;"&amp;""),"",INDEX(BX$4:BX$40,MATCH(ROW()-3,BY$4:BY$40,0)))</f>
        <v/>
      </c>
      <c r="CA17">
        <f>CA16+IF(AND(BZ17&lt;&gt;"",COUNTIF(BZ$4:BZ17,BZ17)=1),1,0)</f>
        <v/>
      </c>
      <c r="CB17" s="138">
        <f>IF(ROW()-3&gt;MAX(CA$4:CA$40),"",INDEX(BZ$4:BZ$40,MATCH(ROW()-3,CA$4:CA$40,0)))</f>
        <v/>
      </c>
      <c r="CC17" s="55">
        <f>IF('Final Calculation Sheet'!$O$17="","",'Final Calculation Sheet'!$O$17)</f>
        <v/>
      </c>
      <c r="CD17">
        <f>IF(CC17="","",COUNTIFS(CC$4:CC$40,"&lt;"&amp;CC17,CC$4:CC$40,"&lt;&gt;"&amp;"")+COUNTIF(CC$4:CC17,CC17))</f>
        <v/>
      </c>
      <c r="CE17" s="55">
        <f>IF(ROW()-3&gt;COUNTIF(CC$4:CC$40,"&lt;&gt;"&amp;""),"",INDEX(CC$4:CC$40,MATCH(ROW()-3,CD$4:CD$40,0)))</f>
        <v/>
      </c>
      <c r="CF17">
        <f>CF16+IF(AND(CE17&lt;&gt;"",COUNTIF(CE$4:CE17,CE17)=1),1,0)</f>
        <v/>
      </c>
      <c r="CG17" s="55">
        <f>IF(ROW()-3&gt;MAX(CF$4:CF$40),"",INDEX(CE$4:CE$40,MATCH(ROW()-3,CF$4:CF$40,0)))</f>
        <v/>
      </c>
      <c r="CH17" s="55">
        <f>IF('Final Calculation Sheet'!$P$17="","",'Final Calculation Sheet'!$P$17)</f>
        <v/>
      </c>
      <c r="CI17">
        <f>IF(CH17="","",COUNTIFS(CH$4:CH$40,"&lt;"&amp;CH17,CH$4:CH$40,"&lt;&gt;"&amp;"")+COUNTIF(CH$4:CH17,CH17))</f>
        <v/>
      </c>
      <c r="CJ17" s="55">
        <f>IF(ROW()-3&gt;COUNTIF(CH$4:CH$40,"&lt;&gt;"&amp;""),"",INDEX(CH$4:CH$40,MATCH(ROW()-3,CI$4:CI$40,0)))</f>
        <v/>
      </c>
      <c r="CK17">
        <f>CK16+IF(AND(CJ17&lt;&gt;"",COUNTIF(CJ$4:CJ17,CJ17)=1),1,0)</f>
        <v/>
      </c>
      <c r="CL17" s="55">
        <f>IF(ROW()-3&gt;MAX(CK$4:CK$40),"",INDEX(CJ$4:CJ$40,MATCH(ROW()-3,CK$4:CK$40,0)))</f>
        <v/>
      </c>
      <c r="CM17" s="139">
        <f>IF('Final Calculation Sheet'!$Q$17="","",'Final Calculation Sheet'!$Q$17)</f>
        <v/>
      </c>
      <c r="CN17">
        <f>IF(CM17="","",COUNTIFS(CM$4:CM$40,"&lt;"&amp;CM17,CM$4:CM$40,"&lt;&gt;"&amp;"")+COUNTIF(CM$4:CM17,CM17))</f>
        <v/>
      </c>
      <c r="CO17" s="139">
        <f>IF(ROW()-3&gt;COUNTIF(CM$4:CM$40,"&lt;&gt;"&amp;""),"",INDEX(CM$4:CM$40,MATCH(ROW()-3,CN$4:CN$40,0)))</f>
        <v/>
      </c>
      <c r="CP17">
        <f>CP16+IF(AND(CO17&lt;&gt;"",COUNTIF(CO$4:CO17,CO17)=1),1,0)</f>
        <v/>
      </c>
      <c r="CQ17">
        <f>IF(ROW()-3&gt;MAX(CP$4:CP$40),"",INDEX(CO$4:CO$40,MATCH(ROW()-3,CP$4:CP$40,0)))</f>
        <v/>
      </c>
      <c r="CR17" s="55">
        <f>IF('Final Calculation Sheet'!$R$17="","",'Final Calculation Sheet'!$R$17)</f>
        <v/>
      </c>
      <c r="CS17">
        <f>IF(CR17="","",COUNTIFS(CR$4:CR$40,"&lt;"&amp;CR17,CR$4:CR$40,"&lt;&gt;"&amp;"")+COUNTIF(CR$4:CR17,CR17))</f>
        <v/>
      </c>
      <c r="CT17" s="55">
        <f>IF(ROW()-3&gt;COUNTIF(CR$4:CR$40,"&lt;&gt;"&amp;""),"",INDEX(CR$4:CR$40,MATCH(ROW()-3,CS$4:CS$40,0)))</f>
        <v/>
      </c>
      <c r="CU17">
        <f>CU16+IF(AND(CT17&lt;&gt;"",COUNTIF(CT$4:CT17,CT17)=1),1,0)</f>
        <v/>
      </c>
      <c r="CV17">
        <f>IF(ROW()-3&gt;MAX(CU$4:CU$40),"",INDEX(CT$4:CT$40,MATCH(ROW()-3,CU$4:CU$40,0)))</f>
        <v/>
      </c>
      <c r="CW17" s="55">
        <f>IF('Final Calculation Sheet'!$S$17="","",'Final Calculation Sheet'!$S$17)</f>
        <v/>
      </c>
      <c r="CX17">
        <f>IF(CW17="","",COUNTIFS(CW$4:CW$40,"&lt;"&amp;CW17,CW$4:CW$40,"&lt;&gt;"&amp;"")+COUNTIF(CW$4:CW17,CW17))</f>
        <v/>
      </c>
      <c r="CY17" s="55">
        <f>IF(ROW()-3&gt;COUNTIF(CW$4:CW$40,"&lt;&gt;"&amp;""),"",INDEX(CW$4:CW$40,MATCH(ROW()-3,CX$4:CX$40,0)))</f>
        <v/>
      </c>
      <c r="CZ17">
        <f>CZ16+IF(AND(CY17&lt;&gt;"",COUNTIF(CY$4:CY17,CY17)=1),1,0)</f>
        <v/>
      </c>
      <c r="DA17" s="55">
        <f>IF(ROW()-3&gt;MAX(CZ$4:CZ$40),"",INDEX(CY$4:CY$40,MATCH(ROW()-3,CZ$4:CZ$40,0)))</f>
        <v/>
      </c>
      <c r="DB17" s="55">
        <f>IF('Final Calculation Sheet'!$T$17="","",'Final Calculation Sheet'!$T$17)</f>
        <v/>
      </c>
      <c r="DC17">
        <f>IF(DB17="","",COUNTIFS(DB$4:DB$40,"&lt;"&amp;DB17,DB$4:DB$40,"&lt;&gt;"&amp;"")+COUNTIF(DB$4:DB17,DB17))</f>
        <v/>
      </c>
      <c r="DD17" s="55">
        <f>IF(ROW()-3&gt;COUNTIF(DB$4:DB$40,"&lt;&gt;"&amp;""),"",INDEX(DB$4:DB$40,MATCH(ROW()-3,DC$4:DC$40,0)))</f>
        <v/>
      </c>
      <c r="DE17">
        <f>DE16+IF(AND(DD17&lt;&gt;"",COUNTIF(DD$4:DD17,DD17)=1),1,0)</f>
        <v/>
      </c>
      <c r="DF17" s="55">
        <f>IF(ROW()-3&gt;MAX(DE$4:DE$40),"",INDEX(DD$4:DD$40,MATCH(ROW()-3,DE$4:DE$40,0)))</f>
        <v/>
      </c>
      <c r="DG17" s="140">
        <f>IF('Final Calculation Sheet'!$U$17="","",'Final Calculation Sheet'!$U$17)</f>
        <v/>
      </c>
      <c r="DH17">
        <f>IF(DG17="","",COUNTIFS(DG$4:DG$40,"&lt;"&amp;DG17,DG$4:DG$40,"&lt;&gt;"&amp;"")+COUNTIF(DG$4:DG17,DG17))</f>
        <v/>
      </c>
      <c r="DI17" s="140">
        <f>IF(ROW()-3&gt;COUNTIF(DG$4:DG$40,"&lt;&gt;"&amp;""),"",INDEX(DG$4:DG$40,MATCH(ROW()-3,DH$4:DH$40,0)))</f>
        <v/>
      </c>
      <c r="DJ17">
        <f>DJ16+IF(AND(DI17&lt;&gt;"",COUNTIF(DI$4:DI17,DI17)=1),1,0)</f>
        <v/>
      </c>
      <c r="DK17" s="140">
        <f>IF(ROW()-3&gt;MAX(DJ$4:DJ$40),"",INDEX(DI$4:DI$40,MATCH(ROW()-3,DJ$4:DJ$40,0)))</f>
        <v/>
      </c>
      <c r="DL17">
        <f>IF('Final Calculation Sheet'!$V$17="","",'Final Calculation Sheet'!$V$17)</f>
        <v/>
      </c>
      <c r="DM17">
        <f>IF(DL17="","",COUNTIFS(DL$4:DL$40,"&lt;"&amp;DL17,DL$4:DL$40,"&lt;&gt;"&amp;"")+COUNTIF(DL$4:DL17,DL17))</f>
        <v/>
      </c>
      <c r="DN17">
        <f>IF(ROW()-3&gt;COUNTIF(DL$4:DL$40,"&lt;&gt;"&amp;""),"",INDEX(DL$4:DL$40,MATCH(ROW()-3,DM$4:DM$40,0)))</f>
        <v/>
      </c>
      <c r="DO17">
        <f>DO16+IF(AND(DN17&lt;&gt;"",COUNTIF(DN$4:DN17,DN17)=1),1,0)</f>
        <v/>
      </c>
      <c r="DP17">
        <f>IF(ROW()-3&gt;MAX(DO$4:DO$40),"",INDEX(DN$4:DN$40,MATCH(ROW()-3,DO$4:DO$40,0)))</f>
        <v/>
      </c>
      <c r="DQ17" s="55">
        <f>IF('Final Calculation Sheet'!$W$17="","",'Final Calculation Sheet'!$W$17)</f>
        <v/>
      </c>
      <c r="DR17">
        <f>IF(DQ17="","",COUNTIFS(DQ$4:DQ$40,"&lt;"&amp;DQ17,DQ$4:DQ$40,"&lt;&gt;"&amp;"")+COUNTIF(DQ$4:DQ17,DQ17))</f>
        <v/>
      </c>
      <c r="DS17" s="55">
        <f>IF(ROW()-3&gt;COUNTIF(DQ$4:DQ$40,"&lt;&gt;"&amp;""),"",INDEX(DQ$4:DQ$40,MATCH(ROW()-3,DR$4:DR$40,0)))</f>
        <v/>
      </c>
      <c r="DT17">
        <f>DT16+IF(AND(DS17&lt;&gt;"",COUNTIF(DS$4:DS17,DS17)=1),1,0)</f>
        <v/>
      </c>
      <c r="DU17" s="55">
        <f>IF(ROW()-3&gt;MAX(DT$4:DT$40),"",INDEX(DS$4:DS$40,MATCH(ROW()-3,DT$4:DT$40,0)))</f>
        <v/>
      </c>
      <c r="DV17" s="55">
        <f>IF('Final Calculation Sheet'!$X$17="","",'Final Calculation Sheet'!$X$17)</f>
        <v/>
      </c>
      <c r="DW17">
        <f>IF(DV17="","",COUNTIFS(DV$4:DV$40,"&lt;"&amp;DV17,DV$4:DV$40,"&lt;&gt;"&amp;"")+COUNTIF(DV$4:DV17,DV17))</f>
        <v/>
      </c>
      <c r="DX17" s="55">
        <f>IF(ROW()-3&gt;COUNTIF(DV$4:DV$40,"&lt;&gt;"&amp;""),"",INDEX(DV$4:DV$40,MATCH(ROW()-3,DW$4:DW$40,0)))</f>
        <v/>
      </c>
      <c r="DY17">
        <f>DY16+IF(AND(DX17&lt;&gt;"",COUNTIF(DX$4:DX17,DX17)=1),1,0)</f>
        <v/>
      </c>
      <c r="DZ17">
        <f>IF(ROW()-3&gt;MAX(DY$4:DY$40),"",INDEX(DX$4:DX$40,MATCH(ROW()-3,DY$4:DY$40,0)))</f>
        <v/>
      </c>
      <c r="EA17">
        <f>IF('Final Calculation Sheet'!$Y$17="","",'Final Calculation Sheet'!$Y$17)</f>
        <v/>
      </c>
      <c r="EB17">
        <f>IF(EA17="","",COUNTIFS(EA$4:EA$40,"&lt;"&amp;EA17,EA$4:EA$40,"&lt;&gt;"&amp;"")+COUNTIF(EA$4:EA17,EA17))</f>
        <v/>
      </c>
      <c r="EC17">
        <f>IF(ROW()-3&gt;COUNTIF(EA$4:EA$40,"&lt;&gt;"&amp;""),"",INDEX(EA$4:EA$40,MATCH(ROW()-3,EB$4:EB$40,0)))</f>
        <v/>
      </c>
      <c r="ED17">
        <f>ED16+IF(AND(EC17&lt;&gt;"",COUNTIF(EC$4:EC17,EC17)=1),1,0)</f>
        <v/>
      </c>
      <c r="EE17">
        <f>IF(ROW()-3&gt;MAX(ED$4:ED$40),"",INDEX(EC$4:EC$40,MATCH(ROW()-3,ED$4:ED$40,0)))</f>
        <v/>
      </c>
      <c r="EF17" s="55">
        <f>IF('Final Calculation Sheet'!$Z$17="","",'Final Calculation Sheet'!$Z$17)</f>
        <v/>
      </c>
      <c r="EG17">
        <f>IF(EF17="","",COUNTIFS(EF$4:EF$40,"&lt;"&amp;EF17,EF$4:EF$40,"&lt;&gt;"&amp;"")+COUNTIF(EF$4:EF17,EF17))</f>
        <v/>
      </c>
      <c r="EH17" s="55">
        <f>IF(ROW()-3&gt;COUNTIF(EF$4:EF$40,"&lt;&gt;"&amp;""),"",INDEX(EF$4:EF$40,MATCH(ROW()-3,EG$4:EG$40,0)))</f>
        <v/>
      </c>
      <c r="EI17">
        <f>EI16+IF(AND(EH17&lt;&gt;"",COUNTIF(EH$4:EH17,EH17)=1),1,0)</f>
        <v/>
      </c>
      <c r="EJ17">
        <f>IF(ROW()-3&gt;MAX(EI$4:EI$40),"",INDEX(EH$4:EH$40,MATCH(ROW()-3,EI$4:EI$40,0)))</f>
        <v/>
      </c>
      <c r="EK17">
        <f>IF('Final Calculation Sheet'!$AA$17="","",'Final Calculation Sheet'!$AA$17)</f>
        <v/>
      </c>
      <c r="EL17">
        <f>IF(EK17="","",COUNTIFS(EK$4:EK$40,"&lt;"&amp;EK17,EK$4:EK$40,"&lt;&gt;"&amp;"")+COUNTIF(EK$4:EK17,EK17))</f>
        <v/>
      </c>
      <c r="EM17">
        <f>IF(ROW()-3&gt;COUNTIF(EK$4:EK$40,"&lt;&gt;"&amp;""),"",INDEX(EK$4:EK$40,MATCH(ROW()-3,EL$4:EL$40,0)))</f>
        <v/>
      </c>
      <c r="EN17">
        <f>EN16+IF(AND(EM17&lt;&gt;"",COUNTIF(EM$4:EM17,EM17)=1),1,0)</f>
        <v/>
      </c>
      <c r="EO17">
        <f>IF(ROW()-3&gt;MAX(EN$4:EN$40),"",INDEX(EM$4:EM$40,MATCH(ROW()-3,EN$4:EN$40,0)))</f>
        <v/>
      </c>
      <c r="EP17">
        <f>IF('Final Calculation Sheet'!$AB$17="","",'Final Calculation Sheet'!$AB$17)</f>
        <v/>
      </c>
      <c r="EQ17">
        <f>IF(EP17="","",COUNTIFS(EP$4:EP$40,"&lt;"&amp;EP17,EP$4:EP$40,"&lt;&gt;"&amp;"")+COUNTIF(EP$4:EP17,EP17))</f>
        <v/>
      </c>
      <c r="ER17">
        <f>IF(ROW()-3&gt;COUNTIF(EP$4:EP$40,"&lt;&gt;"&amp;""),"",INDEX(EP$4:EP$40,MATCH(ROW()-3,EQ$4:EQ$40,0)))</f>
        <v/>
      </c>
      <c r="ES17">
        <f>ES16+IF(AND(ER17&lt;&gt;"",COUNTIF(ER$4:ER17,ER17)=1),1,0)</f>
        <v/>
      </c>
      <c r="ET17">
        <f>IF(ROW()-3&gt;MAX(ES$4:ES$40),"",INDEX(ER$4:ER$40,MATCH(ROW()-3,ES$4:ES$40,0)))</f>
        <v/>
      </c>
      <c r="EU17" s="55">
        <f>IF('Final Calculation Sheet'!$AC$17="","",'Final Calculation Sheet'!$AC$17)</f>
        <v/>
      </c>
      <c r="EV17">
        <f>IF(EU17="","",COUNTIFS(EU$4:EU$40,"&lt;"&amp;EU17,EU$4:EU$40,"&lt;&gt;"&amp;"")+COUNTIF(EU$4:EU17,EU17))</f>
        <v/>
      </c>
      <c r="EW17" s="55">
        <f>IF(ROW()-3&gt;COUNTIF(EU$4:EU$40,"&lt;&gt;"&amp;""),"",INDEX(EU$4:EU$40,MATCH(ROW()-3,EV$4:EV$40,0)))</f>
        <v/>
      </c>
      <c r="EX17">
        <f>EX16+IF(AND(EW17&lt;&gt;"",COUNTIF(EW$4:EW17,EW17)=1),1,0)</f>
        <v/>
      </c>
      <c r="EY17" s="55">
        <f>IF(ROW()-3&gt;MAX(EX$4:EX$40),"",INDEX(EW$4:EW$40,MATCH(ROW()-3,EX$4:EX$40,0)))</f>
        <v/>
      </c>
      <c r="EZ17" s="55">
        <f>IF('Final Calculation Sheet'!$AD$17="","",'Final Calculation Sheet'!$AD$17)</f>
        <v/>
      </c>
      <c r="FA17">
        <f>IF(EZ17="","",COUNTIFS(EZ$4:EZ$40,"&lt;"&amp;EZ17,EZ$4:EZ$40,"&lt;&gt;"&amp;"")+COUNTIF(EZ$4:EZ17,EZ17))</f>
        <v/>
      </c>
      <c r="FB17" s="55">
        <f>IF(ROW()-3&gt;COUNTIF(EZ$4:EZ$40,"&lt;&gt;"&amp;""),"",INDEX(EZ$4:EZ$40,MATCH(ROW()-3,FA$4:FA$40,0)))</f>
        <v/>
      </c>
      <c r="FC17">
        <f>FC16+IF(AND(FB17&lt;&gt;"",COUNTIF(FB$4:FB17,FB17)=1),1,0)</f>
        <v/>
      </c>
      <c r="FD17">
        <f>IF(ROW()-3&gt;MAX(FC$4:FC$40),"",INDEX(FB$4:FB$40,MATCH(ROW()-3,FC$4:FC$40,0)))</f>
        <v/>
      </c>
      <c r="FE17">
        <f>IF('Final Calculation Sheet'!$AF$17="","",'Final Calculation Sheet'!$AF$17)</f>
        <v/>
      </c>
      <c r="FF17">
        <f>IF(FE17="","",COUNTIFS(FE$4:FE$40,"&lt;"&amp;FE17,FE$4:FE$40,"&lt;&gt;"&amp;"")+COUNTIF(FE$4:FE17,FE17))</f>
        <v/>
      </c>
      <c r="FG17">
        <f>IF(ROW()-3&gt;COUNTIF(FE$4:FE$40,"&lt;&gt;"&amp;""),"",INDEX(FE$4:FE$40,MATCH(ROW()-3,FF$4:FF$40,0)))</f>
        <v/>
      </c>
      <c r="FH17">
        <f>FH16+IF(AND(FG17&lt;&gt;"",COUNTIF(FG$4:FG17,FG17)=1),1,0)</f>
        <v/>
      </c>
      <c r="FI17">
        <f>IF(ROW()-3&gt;MAX(FH$4:FH$40),"",INDEX(FG$4:FG$40,MATCH(ROW()-3,FH$4:FH$40,0)))</f>
        <v/>
      </c>
      <c r="FJ17" s="141">
        <f>IF('Final Calculation Sheet'!$AG$17="","",'Final Calculation Sheet'!$AG$17)</f>
        <v/>
      </c>
      <c r="FK17">
        <f>IF(FJ17="","",COUNTIFS(FJ$4:FJ$40,"&lt;"&amp;FJ17,FJ$4:FJ$40,"&lt;&gt;"&amp;"")+COUNTIF(FJ$4:FJ17,FJ17))</f>
        <v/>
      </c>
      <c r="FL17" s="141">
        <f>IF(ROW()-3&gt;COUNTIF(FJ$4:FJ$40,"&lt;&gt;"&amp;""),"",INDEX(FJ$4:FJ$40,MATCH(ROW()-3,FK$4:FK$40,0)))</f>
        <v/>
      </c>
      <c r="FM17">
        <f>FM16+IF(AND(FL17&lt;&gt;"",COUNTIF(FL$4:FL17,FL17)=1),1,0)</f>
        <v/>
      </c>
      <c r="FN17">
        <f>IF(ROW()-3&gt;MAX(FM$4:FM$40),"",INDEX(FL$4:FL$40,MATCH(ROW()-3,FM$4:FM$40,0)))</f>
        <v/>
      </c>
      <c r="FO17">
        <f>IF('Final Calculation Sheet'!$AH$17="","",'Final Calculation Sheet'!$AH$17)</f>
        <v/>
      </c>
      <c r="FP17">
        <f>IF(FO17="","",COUNTIFS(FO$4:FO$40,"&lt;"&amp;FO17,FO$4:FO$40,"&lt;&gt;"&amp;"")+COUNTIF(FO$4:FO17,FO17))</f>
        <v/>
      </c>
      <c r="FQ17">
        <f>IF(ROW()-3&gt;COUNTIF(FO$4:FO$40,"&lt;&gt;"&amp;""),"",INDEX(FO$4:FO$40,MATCH(ROW()-3,FP$4:FP$40,0)))</f>
        <v/>
      </c>
      <c r="FR17">
        <f>FR16+IF(AND(FQ17&lt;&gt;"",COUNTIF(FQ$4:FQ17,FQ17)=1),1,0)</f>
        <v/>
      </c>
      <c r="FS17">
        <f>IF(ROW()-3&gt;MAX(FR$4:FR$40),"",INDEX(FQ$4:FQ$40,MATCH(ROW()-3,FR$4:FR$40,0)))</f>
        <v/>
      </c>
      <c r="FU17">
        <f>IF(FT17="","",COUNTIFS(FT$4:FT$40,"&lt;"&amp;FT17,FT$4:FT$40,"&lt;&gt;"&amp;"")+COUNTIF(FT$4:FT17,FT17))</f>
        <v/>
      </c>
      <c r="FV17">
        <f>IF(ROW()-3&gt;COUNTIF(FT$4:FT$40,"&lt;&gt;"&amp;""),"",INDEX(FT$4:FT$40,MATCH(ROW()-3,FU$4:FU$40,0)))</f>
        <v/>
      </c>
      <c r="FW17">
        <f>FW16+IF(AND(FV17&lt;&gt;"",COUNTIF(FV$4:FV17,FV17)=1),1,0)</f>
        <v/>
      </c>
      <c r="FX17">
        <f>IF(ROW()-3&gt;MAX(FW$4:FW$40),"",INDEX(FV$4:FV$40,MATCH(ROW()-3,FW$4:FW$40,0)))</f>
        <v/>
      </c>
      <c r="FY17">
        <f>IF(COUNTIF('Live Search'!BM$16:BO$16,0)+COUNTIF('Live Search'!BQ$16:CU$16,0)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7">
        <f>IF($Y$17="",FALSE,SUMPRODUCT(('Final Calculation Sheet'!$B$4:$B$40=$Y$17)*($FY$6:$FY$42=1))&gt;0)</f>
        <v/>
      </c>
      <c r="GA17">
        <f>$GA$16+--($FZ$17)</f>
        <v/>
      </c>
      <c r="GB17">
        <f>IF(ROW()-3&gt;MAX($GA$4:$GA$40),"",INDEX($Y$4:$Y$40,MATCH(ROW()-3,$GA$4:$GA$40,0)))</f>
        <v/>
      </c>
      <c r="GC17">
        <f>IF(COUNTIF('Live Search'!BM$16:BM$16,0)+COUNTIF('Live Search'!BO$16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GD17">
        <f>IF($O$17="",FALSE,SUMPRODUCT(('Final Calculation Sheet'!$F$4:$F$40=$O$17)*($GC$6:$GC$42=1))&gt;0)</f>
        <v/>
      </c>
      <c r="GE17">
        <f>$GE$16+--($GD17)</f>
        <v/>
      </c>
      <c r="GF17">
        <f>IF(ROW()-3&gt;MAX($GE$4:$GE$40),"",INDEX($O$4:$O$40,MATCH(ROW()-3,$GE$4:$GE$40,0)))</f>
        <v/>
      </c>
      <c r="GG17">
        <f>IF(COUNTIF('Live Search'!BM$16:BN$16,0)+COUNTIF('Live Search'!BP$16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GH17">
        <f>IF($T$17="",FALSE,SUMPRODUCT(('Final Calculation Sheet'!$G$4:$G$40=$T$17)*($GG$6:$GG$42=1))&gt;0)</f>
        <v/>
      </c>
      <c r="GI17">
        <f>$GI$16+--($GH17)</f>
        <v/>
      </c>
      <c r="GJ17">
        <f>IF(ROW()-3&gt;MAX($GI$4:$GI$40),"",INDEX($T$4:$T$40,MATCH(ROW()-3,$GI$4:$GI$40,0)))</f>
        <v/>
      </c>
      <c r="GK17">
        <f>IF(COUNTIF('Live Search'!BM$16:BP$16,0)+COUNTIF('Live Search'!BR$16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GL17">
        <f>IF($AD$17="",FALSE,SUMPRODUCT(('Final Calculation Sheet'!$D$4:$D$40=$AD$17)*($GK$6:$GK$42=1))&gt;0)</f>
        <v/>
      </c>
      <c r="GM17">
        <f>$GM$16+--($GL17)</f>
        <v/>
      </c>
      <c r="GN17">
        <f>IF(ROW()-3&gt;MAX($GM$4:$GM$40),"",INDEX($AD$4:$AD$40,MATCH(ROW()-3,$GM$4:$GM$40,0)))</f>
        <v/>
      </c>
      <c r="GO17">
        <f>IF(COUNTIF('Live Search'!BM$16:BQ$16,0)+COUNTIF('Live Search'!BS$16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GP17">
        <f>IF($AI$17="",FALSE,SUMPRODUCT(('Final Calculation Sheet'!$A$4:$A$40=$AI$17)*($GO$6:$GO$42=1))&gt;0)</f>
        <v/>
      </c>
      <c r="GQ17">
        <f>$GQ$16+--($GP17)</f>
        <v/>
      </c>
      <c r="GR17">
        <f>IF(ROW()-3&gt;MAX($GQ$4:$GQ$40),"",INDEX($AI$4:$AI$40,MATCH(ROW()-3,$GQ$4:$GQ$40,0)))</f>
        <v/>
      </c>
      <c r="GS17">
        <f>IF(COUNTIF('Live Search'!BM$16:BR$16,0)+COUNTIF('Live Search'!BT$16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GT17">
        <f>IF($AN$17="",FALSE,SUMPRODUCT(('Final Calculation Sheet'!$E$4:$E$40=$AN$17)*($GS$6:$GS$42=1))&gt;0)</f>
        <v/>
      </c>
      <c r="GU17">
        <f>$GU$16+--($GT17)</f>
        <v/>
      </c>
      <c r="GV17">
        <f>IF(ROW()-3&gt;MAX($GU$4:$GU$40),"",INDEX($AN$4:$AN$40,MATCH(ROW()-3,$GU$4:$GU$40,0)))</f>
        <v/>
      </c>
      <c r="GW17">
        <f>IF(COUNTIF('Live Search'!BM$16:BS$16,0)+COUNTIF('Live Search'!BU$16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GX17">
        <f>IF($AS$17="",FALSE,SUMPRODUCT(('Final Calculation Sheet'!$C$4:$C$40=$AS$17)*($GW$6:$GW$42=1))&gt;0)</f>
        <v/>
      </c>
      <c r="GY17">
        <f>$GY$16+--($GX17)</f>
        <v/>
      </c>
      <c r="GZ17">
        <f>IF(ROW()-3&gt;MAX($GY$4:$GY$40),"",INDEX($AS$4:$AS$40,MATCH(ROW()-3,$GY$4:$GY$40,0)))</f>
        <v/>
      </c>
      <c r="HA17">
        <f>IF(COUNTIF('Live Search'!BM$16:BT$16,0)+COUNTIF('Live Search'!BV$16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HB17">
        <f>IF($AX$17="",FALSE,SUMPRODUCT(('Final Calculation Sheet'!$H$4:$H$40=$AX$17)*($HA$6:$HA$42=1))&gt;0)</f>
        <v/>
      </c>
      <c r="HC17">
        <f>$HC$16+--($HB17)</f>
        <v/>
      </c>
      <c r="HD17">
        <f>IF(ROW()-3&gt;MAX($HC$4:$HC$40),"",INDEX($AX$4:$AX$40,MATCH(ROW()-3,$HC$4:$HC$40,0)))</f>
        <v/>
      </c>
      <c r="HE17">
        <f>IF(COUNTIF('Live Search'!BM$16:BU$16,0)+COUNTIF('Live Search'!BW$16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HF17">
        <f>IF($BC$17="",FALSE,SUMPRODUCT(('Final Calculation Sheet'!$I$4:$I$40=$BC$17)*($HE$6:$HE$42=1))&gt;0)</f>
        <v/>
      </c>
      <c r="HG17">
        <f>$HG$16+--($HF17)</f>
        <v/>
      </c>
      <c r="HH17">
        <f>IF(ROW()-3&gt;MAX($HG$4:$HG$40),"",INDEX($BC$4:$BC$40,MATCH(ROW()-3,$HG$4:$HG$40,0)))</f>
        <v/>
      </c>
      <c r="HI17">
        <f>IF(COUNTIF('Live Search'!BM$16:BV$16,0)+COUNTIF('Live Search'!BX$16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HJ17">
        <f>IF($BH$17="",FALSE,SUMPRODUCT(('Final Calculation Sheet'!$J$4:$J$40=$BH$17)*($HI$6:$HI$42=1))&gt;0)</f>
        <v/>
      </c>
      <c r="HK17">
        <f>$HK$16+--($HJ17)</f>
        <v/>
      </c>
      <c r="HL17">
        <f>IF(ROW()-3&gt;MAX($HK$4:$HK$40),"",INDEX($BH$4:$BH$40,MATCH(ROW()-3,$HK$4:$HK$40,0)))</f>
        <v/>
      </c>
      <c r="HM17">
        <f>IF(COUNTIF('Live Search'!BM$16:BW$16,0)+COUNTIF('Live Search'!BY$16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HN17">
        <f>IF($BM$17="",FALSE,SUMPRODUCT(('Final Calculation Sheet'!$K$4:$K$40=$BM$17)*($HM$6:$HM$42=1))&gt;0)</f>
        <v/>
      </c>
      <c r="HO17">
        <f>$HO$16+--($HN17)</f>
        <v/>
      </c>
      <c r="HP17">
        <f>IF(ROW()-3&gt;MAX($HO$4:$HO$40),"",INDEX($BM$4:$BM$40,MATCH(ROW()-3,$HO$4:$HO$40,0)))</f>
        <v/>
      </c>
      <c r="HQ17">
        <f>IF(COUNTIF('Live Search'!BM$16:BX$16,0)+COUNTIF('Live Search'!BZ$16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HR17">
        <f>IF($BR$17="",FALSE,SUMPRODUCT(('Final Calculation Sheet'!$L$4:$L$40=$BR$17)*($HQ$6:$HQ$42=1))&gt;0)</f>
        <v/>
      </c>
      <c r="HS17">
        <f>$HS$16+--($HR17)</f>
        <v/>
      </c>
      <c r="HT17">
        <f>IF(ROW()-3&gt;MAX($HS$4:$HS$40),"",INDEX($BR$4:$BR$40,MATCH(ROW()-3,$HS$4:$HS$40,0)))</f>
        <v/>
      </c>
      <c r="HU17">
        <f>IF(COUNTIF('Live Search'!BM$16:BY$16,0)+COUNTIF('Live Search'!CA$16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HV17">
        <f>IF($BW$17="",FALSE,SUMPRODUCT(('Final Calculation Sheet'!$M$4:$M$40=$BW$17)*($HU$6:$HU$42=1))&gt;0)</f>
        <v/>
      </c>
      <c r="HW17">
        <f>$HW$16+--($HV17)</f>
        <v/>
      </c>
      <c r="HX17">
        <f>IF(ROW()-3&gt;MAX($HW$4:$HW$40),"",INDEX($BW$4:$BW$40,MATCH(ROW()-3,$HW$4:$HW$40,0)))</f>
        <v/>
      </c>
      <c r="HY17">
        <f>IF(COUNTIF('Live Search'!BM$16:BZ$16,0)+COUNTIF('Live Search'!CB$16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HZ17">
        <f>IF($CB$17="",FALSE,SUMPRODUCT(('Final Calculation Sheet'!$N$4:$N$40=$CB$17)*($HY$6:$HY$42=1))&gt;0)</f>
        <v/>
      </c>
      <c r="IA17">
        <f>$IA$16+--($HZ17)</f>
        <v/>
      </c>
      <c r="IB17">
        <f>IF(ROW()-3&gt;MAX($IA$4:$IA$40),"",INDEX($CB$4:$CB$40,MATCH(ROW()-3,$IA$4:$IA$40,0)))</f>
        <v/>
      </c>
      <c r="IC17">
        <f>IF(COUNTIF('Live Search'!BM$16:CA$16,0)+COUNTIF('Live Search'!CC$16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ID17">
        <f>IF($CG$17="",FALSE,SUMPRODUCT(('Final Calculation Sheet'!$O$4:$O$40=$CG$17)*($IC$6:$IC$42=1))&gt;0)</f>
        <v/>
      </c>
      <c r="IE17">
        <f>$IE$16+--($ID17)</f>
        <v/>
      </c>
      <c r="IF17">
        <f>IF(ROW()-3&gt;MAX($IE$4:$IE$40),"",INDEX($CG$4:$CG$40,MATCH(ROW()-3,$IE$4:$IE$40,0)))</f>
        <v/>
      </c>
      <c r="IG17">
        <f>IF(COUNTIF('Live Search'!BM$16:CB$16,0)+COUNTIF('Live Search'!CD$16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IH17">
        <f>IF($CL$17="",FALSE,SUMPRODUCT(('Final Calculation Sheet'!$P$4:$P$40=$CL$17)*($IG$6:$IG$42=1))&gt;0)</f>
        <v/>
      </c>
      <c r="II17">
        <f>$II$16+--($IH17)</f>
        <v/>
      </c>
      <c r="IJ17">
        <f>IF(ROW()-3&gt;MAX($II$4:$II$40),"",INDEX($CL$4:$CL$40,MATCH(ROW()-3,$II$4:$II$40,0)))</f>
        <v/>
      </c>
      <c r="IK17">
        <f>IF(COUNTIF('Live Search'!BM$16:CC$16,0)+COUNTIF('Live Search'!CE$16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IL17">
        <f>IF($CQ$17="",FALSE,SUMPRODUCT(('Final Calculation Sheet'!$Q$4:$Q$40=$CQ$17)*($IK$6:$IK$42=1))&gt;0)</f>
        <v/>
      </c>
      <c r="IM17">
        <f>$IM$16+--($IL17)</f>
        <v/>
      </c>
      <c r="IN17">
        <f>IF(ROW()-3&gt;MAX($IM$4:$IM$40),"",INDEX($CQ$4:$CQ$40,MATCH(ROW()-3,$IM$4:$IM$40,0)))</f>
        <v/>
      </c>
      <c r="IO17">
        <f>IF(COUNTIF('Live Search'!BM$16:CD$16,0)+COUNTIF('Live Search'!CF$16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IP17">
        <f>IF($CV$17="",FALSE,SUMPRODUCT(('Final Calculation Sheet'!$R$4:$R$40=$CV$17)*($IO$6:$IO$42=1))&gt;0)</f>
        <v/>
      </c>
      <c r="IQ17">
        <f>$IQ$16+--($IP17)</f>
        <v/>
      </c>
      <c r="IR17">
        <f>IF(ROW()-3&gt;MAX($IQ$4:$IQ$40),"",INDEX($CV$4:$CV$40,MATCH(ROW()-3,$IQ$4:$IQ$40,0)))</f>
        <v/>
      </c>
      <c r="IS17">
        <f>IF(COUNTIF('Live Search'!BM$16:CE$16,0)+COUNTIF('Live Search'!CG$16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IT17">
        <f>IF($DA$17="",FALSE,SUMPRODUCT(('Final Calculation Sheet'!$S$4:$S$40=$DA$17)*($IS$6:$IS$42=1))&gt;0)</f>
        <v/>
      </c>
      <c r="IU17">
        <f>$IU$16+--($IT17)</f>
        <v/>
      </c>
      <c r="IV17">
        <f>IF(ROW()-3&gt;MAX($IU$4:$IU$40),"",INDEX($DA$4:$DA$40,MATCH(ROW()-3,$IU$4:$IU$40,0)))</f>
        <v/>
      </c>
      <c r="IW17">
        <f>IF(COUNTIF('Live Search'!BM$16:CF$16,0)+COUNTIF('Live Search'!CH$16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IX17">
        <f>IF($DF$17="",FALSE,SUMPRODUCT(('Final Calculation Sheet'!$T$4:$T$40=$DF$17)*($IW$6:$IW$42=1))&gt;0)</f>
        <v/>
      </c>
      <c r="IY17">
        <f>$IY$16+--($IX17)</f>
        <v/>
      </c>
      <c r="IZ17">
        <f>IF(ROW()-3&gt;MAX($IY$4:$IY$40),"",INDEX($DF$4:$DF$40,MATCH(ROW()-3,$IY$4:$IY$40,0)))</f>
        <v/>
      </c>
      <c r="JA17">
        <f>IF(COUNTIF('Live Search'!BM$16:CG$16,0)+COUNTIF('Live Search'!CI$16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JB17">
        <f>IF($DK$17="",FALSE,SUMPRODUCT(('Final Calculation Sheet'!$U$4:$U$40=$DK$17)*($JA$6:$JA$42=1))&gt;0)</f>
        <v/>
      </c>
      <c r="JC17">
        <f>$JC$16+--($JB17)</f>
        <v/>
      </c>
      <c r="JD17">
        <f>IF(ROW()-3&gt;MAX($JC$4:$JC$40),"",INDEX($DK$4:$DK$40,MATCH(ROW()-3,$JC$4:$JC$40,0)))</f>
        <v/>
      </c>
      <c r="JE17">
        <f>IF(COUNTIF('Live Search'!BM$16:CH$16,0)+COUNTIF('Live Search'!CJ$16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JF17">
        <f>IF($DP$17="",FALSE,SUMPRODUCT(('Final Calculation Sheet'!$V$4:$V$40=$DP$17)*($JE$6:$JE$42=1))&gt;0)</f>
        <v/>
      </c>
      <c r="JG17">
        <f>$JG$16+--($JF17)</f>
        <v/>
      </c>
      <c r="JH17">
        <f>IF(ROW()-3&gt;MAX($JG$4:$JG$40),"",INDEX($DP$4:$DP$40,MATCH(ROW()-3,$JG$4:$JG$40,0)))</f>
        <v/>
      </c>
      <c r="JI17">
        <f>IF(COUNTIF('Live Search'!BM$16:CI$16,0)+COUNTIF('Live Search'!CK$16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JJ17">
        <f>IF($DU$17="",FALSE,SUMPRODUCT(('Final Calculation Sheet'!$W$4:$W$40=$DU$17)*($JI$6:$JI$42=1))&gt;0)</f>
        <v/>
      </c>
      <c r="JK17">
        <f>$JK$16+--($JJ17)</f>
        <v/>
      </c>
      <c r="JL17">
        <f>IF(ROW()-3&gt;MAX($JK$4:$JK$40),"",INDEX($DU$4:$DU$40,MATCH(ROW()-3,$JK$4:$JK$40,0)))</f>
        <v/>
      </c>
      <c r="JM17">
        <f>IF(COUNTIF('Live Search'!BM$16:CJ$16,0)+COUNTIF('Live Search'!CL$16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JN17">
        <f>IF($DZ$17="",FALSE,SUMPRODUCT(('Final Calculation Sheet'!$X$4:$X$40=$DZ$17)*($JM$6:$JM$42=1))&gt;0)</f>
        <v/>
      </c>
      <c r="JO17">
        <f>$JO$16+--($JN17)</f>
        <v/>
      </c>
      <c r="JP17">
        <f>IF(ROW()-3&gt;MAX($JO$4:$JO$40),"",INDEX($DZ$4:$DZ$40,MATCH(ROW()-3,$JO$4:$JO$40,0)))</f>
        <v/>
      </c>
      <c r="JQ17">
        <f>IF(COUNTIF('Live Search'!BM$16:CK$16,0)+COUNTIF('Live Search'!CM$16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JR17">
        <f>IF($EE$17="",FALSE,SUMPRODUCT(('Final Calculation Sheet'!$Y$4:$Y$40=$EE$17)*($JQ$6:$JQ$42=1))&gt;0)</f>
        <v/>
      </c>
      <c r="JS17">
        <f>$JS$16+--($JR17)</f>
        <v/>
      </c>
      <c r="JT17">
        <f>IF(ROW()-3&gt;MAX($JS$4:$JS$40),"",INDEX($EE$4:$EE$40,MATCH(ROW()-3,$JS$4:$JS$40,0)))</f>
        <v/>
      </c>
      <c r="JU17">
        <f>IF(COUNTIF('Live Search'!BM$16:CL$16,0)+COUNTIF('Live Search'!CN$16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JV17">
        <f>IF($EJ$17="",FALSE,SUMPRODUCT(('Final Calculation Sheet'!$Z$4:$Z$40=$EJ$17)*($JU$6:$JU$42=1))&gt;0)</f>
        <v/>
      </c>
      <c r="JW17">
        <f>$JW$16+--($JV17)</f>
        <v/>
      </c>
      <c r="JX17">
        <f>IF(ROW()-3&gt;MAX($JW$4:$JW$40),"",INDEX($EJ$4:$EJ$40,MATCH(ROW()-3,$JW$4:$JW$40,0)))</f>
        <v/>
      </c>
      <c r="JY17">
        <f>IF(COUNTIF('Live Search'!BM$16:CM$16,0)+COUNTIF('Live Search'!CO$16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JZ17">
        <f>IF($EO$17="",FALSE,SUMPRODUCT(('Final Calculation Sheet'!$AA$4:$AA$40=$EO$17)*($JY$6:$JY$42=1))&gt;0)</f>
        <v/>
      </c>
      <c r="KA17">
        <f>$KA$16+--($JZ17)</f>
        <v/>
      </c>
      <c r="KB17">
        <f>IF(ROW()-3&gt;MAX($KA$4:$KA$40),"",INDEX($EO$4:$EO$40,MATCH(ROW()-3,$KA$4:$KA$40,0)))</f>
        <v/>
      </c>
      <c r="KC17">
        <f>IF(COUNTIF('Live Search'!BM$16:CN$16,0)+COUNTIF('Live Search'!CP$16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KD17">
        <f>IF($ET$17="",FALSE,SUMPRODUCT(('Final Calculation Sheet'!$AB$4:$AB$40=$ET$17)*($KC$6:$KC$42=1))&gt;0)</f>
        <v/>
      </c>
      <c r="KE17">
        <f>$KE$16+--($KD17)</f>
        <v/>
      </c>
      <c r="KF17">
        <f>IF(ROW()-3&gt;MAX($KE$4:$KE$40),"",INDEX($ET$4:$ET$40,MATCH(ROW()-3,$KE$4:$KE$40,0)))</f>
        <v/>
      </c>
      <c r="KG17">
        <f>IF(COUNTIF('Live Search'!BM$16:CO$16,0)+COUNTIF('Live Search'!CQ$16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KH17">
        <f>IF($EY$17="",FALSE,SUMPRODUCT(('Final Calculation Sheet'!$AC$4:$AC$40=$EY$17)*($KG$6:$KG$42=1))&gt;0)</f>
        <v/>
      </c>
      <c r="KI17">
        <f>$KI$16+--($KH17)</f>
        <v/>
      </c>
      <c r="KJ17">
        <f>IF(ROW()-3&gt;MAX($KI$4:$KI$40),"",INDEX($EY$4:$EY$40,MATCH(ROW()-3,$KI$4:$KI$40,0)))</f>
        <v/>
      </c>
      <c r="KK17">
        <f>IF(COUNTIF('Live Search'!BM$16:CP$16,0)+COUNTIF('Live Search'!CR$16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KL17">
        <f>IF($FD$17="",FALSE,SUMPRODUCT(('Final Calculation Sheet'!$AD$4:$AD$40=$FD$17)*($KK$6:$KK$42=1))&gt;0)</f>
        <v/>
      </c>
      <c r="KM17">
        <f>$KM$16+--($KL17)</f>
        <v/>
      </c>
      <c r="KN17">
        <f>IF(ROW()-3&gt;MAX($KM$4:$KM$40),"",INDEX($FD$4:$FD$40,MATCH(ROW()-3,$KM$4:$KM$40,0)))</f>
        <v/>
      </c>
      <c r="KO17">
        <f>IF(COUNTIF('Live Search'!BM$16:CT$16,0)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KP17">
        <f>IF($FX$17="",FALSE,SUMPRODUCT((IF('Final Calculation Sheet'!$AD$4:$AD$40&lt;=5,"SETTLED","OUTSTANDING")=$FX$17)*($KO$6:$KO$42=1))&gt;0)</f>
        <v/>
      </c>
      <c r="KQ17">
        <f>$KQ$16+--($KP17)</f>
        <v/>
      </c>
      <c r="KR17">
        <f>IF(ROW()-3&gt;MAX($KQ$4:$KQ$40),"",INDEX($FX$4:$FX$40,MATCH(ROW()-3,$KQ$4:$KQ$40,0)))</f>
        <v/>
      </c>
      <c r="KS17">
        <f>IF(COUNTIF('Live Search'!BM$16:CQ$16,0)+COUNTIF('Live Search'!CS$16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KT17">
        <f>IF($FI$17="",FALSE,SUMPRODUCT(('Final Calculation Sheet'!$AF$4:$AF$40=$FI$17)*($KS$6:$KS$42=1))&gt;0)</f>
        <v/>
      </c>
      <c r="KU17">
        <f>$KU$16+--($KT17)</f>
        <v/>
      </c>
      <c r="KV17">
        <f>IF(ROW()-3&gt;MAX($KU$4:$KU$40),"",INDEX($FI$4:$FI$40,MATCH(ROW()-3,$KU$4:$KU$40,0)))</f>
        <v/>
      </c>
      <c r="KW17">
        <f>IF(COUNTIF('Live Search'!BM$16:CR$16,0)+COUNTIF('Live Search'!CT$16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KX17">
        <f>IF($FN$17="",FALSE,SUMPRODUCT(('Final Calculation Sheet'!$AG$4:$AG$40=$FN$17)*($KW$6:$KW$42=1))&gt;0)</f>
        <v/>
      </c>
      <c r="KY17">
        <f>$KY$16+--($KX17)</f>
        <v/>
      </c>
      <c r="KZ17">
        <f>IF(ROW()-3&gt;MAX($KY$4:$KY$40),"",INDEX($FN$4:$FN$40,MATCH(ROW()-3,$KY$4:$KY$40,0)))</f>
        <v/>
      </c>
      <c r="LA17">
        <f>IF(COUNTIF('Live Search'!BM$16:CS$16,0)+COUNTIF('Live Search'!CU$16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LB17">
        <f>IF($FS$17="",FALSE,SUMPRODUCT(('Final Calculation Sheet'!$AH$4:$AH$40=$FS$17)*($LA$6:$LA$42=1))&gt;0)</f>
        <v/>
      </c>
      <c r="LC17">
        <f>$LC$16+--($LB17)</f>
        <v/>
      </c>
      <c r="LD17">
        <f>IF(ROW()-3&gt;MAX($LC$4:$LC$40),"",INDEX($FS$4:$FS$40,MATCH(ROW()-3,$LC$4:$LC$40,0)))</f>
        <v/>
      </c>
      <c r="LE17">
        <f>IF(COUNTIF('Buyer Groups'!DH70:EN70,0)&gt;0,0,1)</f>
        <v/>
      </c>
      <c r="LF17">
        <f>IF($O$17="",FALSE,SUMPRODUCT(('Final Calculation Sheet'!$F$4:$F$40=$O$17)*($LE$6:$LE$42=1))&gt;0)</f>
        <v/>
      </c>
      <c r="LG17">
        <f>$LG$16+--($LF17)</f>
        <v/>
      </c>
      <c r="LH17">
        <f>IF(ROW()-3&gt;MAX($LG$4:$LG$40),"",INDEX($O$4:$O$40,MATCH(ROW()-3,$LG$4:$LG$40,0)))</f>
        <v/>
      </c>
      <c r="LI17">
        <f>IF(COUNTIF('Buyer Groups'!DG70:DG70,0)+COUNTIF('Buyer Groups'!DI70:EN70,0)&gt;0,0,1)</f>
        <v/>
      </c>
      <c r="LJ17">
        <f>IF($T$17="",FALSE,SUMPRODUCT(('Final Calculation Sheet'!$G$4:$G$40=$T$17)*($LI$6:$LI$42=1))&gt;0)</f>
        <v/>
      </c>
      <c r="LK17">
        <f>$LK$16+--($LJ17)</f>
        <v/>
      </c>
      <c r="LL17">
        <f>IF(ROW()-3&gt;MAX($LK$4:$LK$40),"",INDEX($T$4:$T$40,MATCH(ROW()-3,$LK$4:$LK$40,0)))</f>
        <v/>
      </c>
      <c r="LM17">
        <f>IF(COUNTIF('Buyer Groups'!DG70:DH70,0)+COUNTIF('Buyer Groups'!DJ70:EN70,0)&gt;0,0,1)</f>
        <v/>
      </c>
      <c r="LN17">
        <f>IF($Y$17="",FALSE,SUMPRODUCT(('Final Calculation Sheet'!$B$4:$B$40=$Y$17)*($LM$6:$LM$42=1))&gt;0)</f>
        <v/>
      </c>
      <c r="LO17">
        <f>$LO$16+--($LN17)</f>
        <v/>
      </c>
      <c r="LP17">
        <f>IF(ROW()-3&gt;MAX($LO$4:$LO$40),"",INDEX($Y$4:$Y$40,MATCH(ROW()-3,$LO$4:$LO$40,0)))</f>
        <v/>
      </c>
      <c r="LQ17">
        <f>IF(COUNTIF('Buyer Groups'!DG70:DI70,0)+COUNTIF('Buyer Groups'!DK70:EN70,0)&gt;0,0,1)</f>
        <v/>
      </c>
      <c r="LR17">
        <f>IF($AD$17="",FALSE,SUMPRODUCT(('Final Calculation Sheet'!$D$4:$D$40=$AD$17)*($LQ$6:$LQ$42=1))&gt;0)</f>
        <v/>
      </c>
      <c r="LS17">
        <f>$LS$16+--($LR17)</f>
        <v/>
      </c>
      <c r="LT17">
        <f>IF(ROW()-3&gt;MAX($LS$4:$LS$40),"",INDEX($AD$4:$AD$40,MATCH(ROW()-3,$LS$4:$LS$40,0)))</f>
        <v/>
      </c>
      <c r="LU17">
        <f>IF(COUNTIF('Buyer Groups'!DG70:DJ70,0)+COUNTIF('Buyer Groups'!DL70:EN70,0)&gt;0,0,1)</f>
        <v/>
      </c>
      <c r="LV17">
        <f>IF($AI$17="",FALSE,SUMPRODUCT(('Final Calculation Sheet'!$A$4:$A$40=$AI$17)*($LU$6:$LU$42=1))&gt;0)</f>
        <v/>
      </c>
      <c r="LW17">
        <f>$LW$16+--($LV17)</f>
        <v/>
      </c>
      <c r="LX17">
        <f>IF(ROW()-3&gt;MAX($LW$4:$LW$40),"",INDEX($AI$4:$AI$40,MATCH(ROW()-3,$LW$4:$LW$40,0)))</f>
        <v/>
      </c>
      <c r="LY17">
        <f>IF(COUNTIF('Buyer Groups'!DG70:DK70,0)+COUNTIF('Buyer Groups'!DM70:EN70,0)&gt;0,0,1)</f>
        <v/>
      </c>
      <c r="LZ17">
        <f>IF($AN$17="",FALSE,SUMPRODUCT(('Final Calculation Sheet'!$E$4:$E$40=$AN$17)*($LY$6:$LY$42=1))&gt;0)</f>
        <v/>
      </c>
      <c r="MA17">
        <f>$MA$16+--($LZ17)</f>
        <v/>
      </c>
      <c r="MB17">
        <f>IF(ROW()-3&gt;MAX($MA$4:$MA$40),"",INDEX($AN$4:$AN$40,MATCH(ROW()-3,$MA$4:$MA$40,0)))</f>
        <v/>
      </c>
      <c r="MC17">
        <f>IF(COUNTIF('Buyer Groups'!DG70:DL70,0)+COUNTIF('Buyer Groups'!DN70:EN70,0)&gt;0,0,1)</f>
        <v/>
      </c>
      <c r="MD17">
        <f>IF($AS$17="",FALSE,SUMPRODUCT(('Final Calculation Sheet'!$C$4:$C$40=$AS$17)*($MC$6:$MC$42=1))&gt;0)</f>
        <v/>
      </c>
      <c r="ME17">
        <f>$ME$16+--($MD17)</f>
        <v/>
      </c>
      <c r="MF17">
        <f>IF(ROW()-3&gt;MAX($ME$4:$ME$40),"",INDEX($AS$4:$AS$40,MATCH(ROW()-3,$ME$4:$ME$40,0)))</f>
        <v/>
      </c>
      <c r="MG17">
        <f>IF(COUNTIF('Buyer Groups'!DG70:DM70,0)+COUNTIF('Buyer Groups'!DO70:EN70,0)&gt;0,0,1)</f>
        <v/>
      </c>
      <c r="MH17">
        <f>IF($AX$17="",FALSE,SUMPRODUCT(('Final Calculation Sheet'!$H$4:$H$40=$AX$17)*($MG$6:$MG$42=1))&gt;0)</f>
        <v/>
      </c>
      <c r="MI17">
        <f>$MI$16+--($MH17)</f>
        <v/>
      </c>
      <c r="MJ17">
        <f>IF(ROW()-3&gt;MAX($MI$4:$MI$40),"",INDEX($AX$4:$AX$40,MATCH(ROW()-3,$MI$4:$MI$40,0)))</f>
        <v/>
      </c>
      <c r="MK17">
        <f>IF(COUNTIF('Buyer Groups'!DG70:DN70,0)+COUNTIF('Buyer Groups'!DP70:EN70,0)&gt;0,0,1)</f>
        <v/>
      </c>
      <c r="ML17">
        <f>IF($BC$17="",FALSE,SUMPRODUCT(('Final Calculation Sheet'!$I$4:$I$40=$BC$17)*($MK$6:$MK$42=1))&gt;0)</f>
        <v/>
      </c>
      <c r="MM17">
        <f>$MM$16+--($ML17)</f>
        <v/>
      </c>
      <c r="MN17">
        <f>IF(ROW()-3&gt;MAX($MM$4:$MM$40),"",INDEX($BC$4:$BC$40,MATCH(ROW()-3,$MM$4:$MM$40,0)))</f>
        <v/>
      </c>
      <c r="MO17">
        <f>IF(COUNTIF('Buyer Groups'!DG70:DO70,0)+COUNTIF('Buyer Groups'!DQ70:EN70,0)&gt;0,0,1)</f>
        <v/>
      </c>
      <c r="MP17">
        <f>IF($BH$17="",FALSE,SUMPRODUCT(('Final Calculation Sheet'!$J$4:$J$40=$BH$17)*($MO$6:$MO$42=1))&gt;0)</f>
        <v/>
      </c>
      <c r="MQ17">
        <f>$MQ$16+--($MP17)</f>
        <v/>
      </c>
      <c r="MR17">
        <f>IF(ROW()-3&gt;MAX($MQ$4:$MQ$40),"",INDEX($BH$4:$BH$40,MATCH(ROW()-3,$MQ$4:$MQ$40,0)))</f>
        <v/>
      </c>
      <c r="MS17">
        <f>IF(COUNTIF('Buyer Groups'!DG70:DP70,0)+COUNTIF('Buyer Groups'!DR70:EN70,0)&gt;0,0,1)</f>
        <v/>
      </c>
      <c r="MT17">
        <f>IF($BM$17="",FALSE,SUMPRODUCT(('Final Calculation Sheet'!$K$4:$K$40=$BM$17)*($MS$6:$MS$42=1))&gt;0)</f>
        <v/>
      </c>
      <c r="MU17">
        <f>$MU$16+--($MT17)</f>
        <v/>
      </c>
      <c r="MV17">
        <f>IF(ROW()-3&gt;MAX($MU$4:$MU$40),"",INDEX($BM$4:$BM$40,MATCH(ROW()-3,$MU$4:$MU$40,0)))</f>
        <v/>
      </c>
      <c r="MW17">
        <f>IF(COUNTIF('Buyer Groups'!DG70:DQ70,0)+COUNTIF('Buyer Groups'!DS70:EN70,0)&gt;0,0,1)</f>
        <v/>
      </c>
      <c r="MX17">
        <f>IF($BR$17="",FALSE,SUMPRODUCT(('Final Calculation Sheet'!$L$4:$L$40=$BR$17)*($MW$6:$MW$42=1))&gt;0)</f>
        <v/>
      </c>
      <c r="MY17">
        <f>$MY$16+--($MX17)</f>
        <v/>
      </c>
      <c r="MZ17">
        <f>IF(ROW()-3&gt;MAX($MY$4:$MY$40),"",INDEX($BR$4:$BR$40,MATCH(ROW()-3,$MY$4:$MY$40,0)))</f>
        <v/>
      </c>
      <c r="NA17">
        <f>IF(COUNTIF('Buyer Groups'!DG70:DR70,0)+COUNTIF('Buyer Groups'!DT70:EN70,0)&gt;0,0,1)</f>
        <v/>
      </c>
      <c r="NB17">
        <f>IF($BW$17="",FALSE,SUMPRODUCT(('Final Calculation Sheet'!$M$4:$M$40=$BW$17)*($NA$6:$NA$42=1))&gt;0)</f>
        <v/>
      </c>
      <c r="NC17">
        <f>$NC$16+--($NB17)</f>
        <v/>
      </c>
      <c r="ND17">
        <f>IF(ROW()-3&gt;MAX($NC$4:$NC$40),"",INDEX($BW$4:$BW$40,MATCH(ROW()-3,$NC$4:$NC$40,0)))</f>
        <v/>
      </c>
      <c r="NE17">
        <f>IF(COUNTIF('Buyer Groups'!DG70:DS70,0)+COUNTIF('Buyer Groups'!DU70:EN70,0)&gt;0,0,1)</f>
        <v/>
      </c>
      <c r="NF17">
        <f>IF($CB$17="",FALSE,SUMPRODUCT(('Final Calculation Sheet'!$N$4:$N$40=$CB$17)*($NE$6:$NE$42=1))&gt;0)</f>
        <v/>
      </c>
      <c r="NG17">
        <f>$NG$16+--($NF17)</f>
        <v/>
      </c>
      <c r="NH17">
        <f>IF(ROW()-3&gt;MAX($NG$4:$NG$40),"",INDEX($CB$4:$CB$40,MATCH(ROW()-3,$NG$4:$NG$40,0)))</f>
        <v/>
      </c>
      <c r="NI17">
        <f>IF(COUNTIF('Buyer Groups'!DG70:DT70,0)+COUNTIF('Buyer Groups'!DV70:EN70,0)&gt;0,0,1)</f>
        <v/>
      </c>
      <c r="NJ17">
        <f>IF($CG$17="",FALSE,SUMPRODUCT(('Final Calculation Sheet'!$O$4:$O$40=$CG$17)*($NI$6:$NI$42=1))&gt;0)</f>
        <v/>
      </c>
      <c r="NK17">
        <f>$NK$16+--($NJ17)</f>
        <v/>
      </c>
      <c r="NL17">
        <f>IF(ROW()-3&gt;MAX($NK$4:$NK$40),"",INDEX($CG$4:$CG$40,MATCH(ROW()-3,$NK$4:$NK$40,0)))</f>
        <v/>
      </c>
      <c r="NM17">
        <f>IF(COUNTIF('Buyer Groups'!DG70:DU70,0)+COUNTIF('Buyer Groups'!DW70:EN70,0)&gt;0,0,1)</f>
        <v/>
      </c>
      <c r="NN17">
        <f>IF($CL$17="",FALSE,SUMPRODUCT(('Final Calculation Sheet'!$P$4:$P$40=$CL$17)*($NM$6:$NM$42=1))&gt;0)</f>
        <v/>
      </c>
      <c r="NO17">
        <f>$NO$16+--($NN17)</f>
        <v/>
      </c>
      <c r="NP17">
        <f>IF(ROW()-3&gt;MAX($NO$4:$NO$40),"",INDEX($CL$4:$CL$40,MATCH(ROW()-3,$NO$4:$NO$40,0)))</f>
        <v/>
      </c>
      <c r="NQ17">
        <f>IF(COUNTIF('Buyer Groups'!DG70:DV70,0)+COUNTIF('Buyer Groups'!DX70:EN70,0)&gt;0,0,1)</f>
        <v/>
      </c>
      <c r="NR17">
        <f>IF($CQ$17="",FALSE,SUMPRODUCT(('Final Calculation Sheet'!$Q$4:$Q$40=$CQ$17)*($NQ$6:$NQ$42=1))&gt;0)</f>
        <v/>
      </c>
      <c r="NS17">
        <f>$NS$16+--($NR17)</f>
        <v/>
      </c>
      <c r="NT17">
        <f>IF(ROW()-3&gt;MAX($NS$4:$NS$40),"",INDEX($CQ$4:$CQ$40,MATCH(ROW()-3,$NS$4:$NS$40,0)))</f>
        <v/>
      </c>
      <c r="NU17">
        <f>IF(COUNTIF('Buyer Groups'!DG70:DW70,0)+COUNTIF('Buyer Groups'!DY70:EN70,0)&gt;0,0,1)</f>
        <v/>
      </c>
      <c r="NV17">
        <f>IF($CV$17="",FALSE,SUMPRODUCT(('Final Calculation Sheet'!$R$4:$R$40=$CV$17)*($NU$6:$NU$42=1))&gt;0)</f>
        <v/>
      </c>
      <c r="NW17">
        <f>$NW$16+--($NV17)</f>
        <v/>
      </c>
      <c r="NX17">
        <f>IF(ROW()-3&gt;MAX($NW$4:$NW$40),"",INDEX($CV$4:$CV$40,MATCH(ROW()-3,$NW$4:$NW$40,0)))</f>
        <v/>
      </c>
      <c r="NY17">
        <f>IF(COUNTIF('Buyer Groups'!DG70:DX70,0)+COUNTIF('Buyer Groups'!DZ70:EN70,0)&gt;0,0,1)</f>
        <v/>
      </c>
      <c r="NZ17">
        <f>IF($DA$17="",FALSE,SUMPRODUCT(('Final Calculation Sheet'!$S$4:$S$40=$DA$17)*($NY$6:$NY$42=1))&gt;0)</f>
        <v/>
      </c>
      <c r="OA17">
        <f>$OA$16+--($NZ17)</f>
        <v/>
      </c>
      <c r="OB17">
        <f>IF(ROW()-3&gt;MAX($OA$4:$OA$40),"",INDEX($DA$4:$DA$40,MATCH(ROW()-3,$OA$4:$OA$40,0)))</f>
        <v/>
      </c>
      <c r="OC17">
        <f>IF(COUNTIF('Buyer Groups'!DG70:DY70,0)+COUNTIF('Buyer Groups'!EA70:EN70,0)&gt;0,0,1)</f>
        <v/>
      </c>
      <c r="OD17">
        <f>IF($DF$17="",FALSE,SUMPRODUCT(('Final Calculation Sheet'!$T$4:$T$40=$DF$17)*($OC$6:$OC$42=1))&gt;0)</f>
        <v/>
      </c>
      <c r="OE17">
        <f>$OE$16+--($OD17)</f>
        <v/>
      </c>
      <c r="OF17">
        <f>IF(ROW()-3&gt;MAX($OE$4:$OE$40),"",INDEX($DF$4:$DF$40,MATCH(ROW()-3,$OE$4:$OE$40,0)))</f>
        <v/>
      </c>
      <c r="OG17">
        <f>IF(COUNTIF('Buyer Groups'!DG70:DZ70,0)+COUNTIF('Buyer Groups'!EB70:EN70,0)&gt;0,0,1)</f>
        <v/>
      </c>
      <c r="OH17">
        <f>IF($DK$17="",FALSE,SUMPRODUCT(('Final Calculation Sheet'!$U$4:$U$40=$DK$17)*($OG$6:$OG$42=1))&gt;0)</f>
        <v/>
      </c>
      <c r="OI17">
        <f>$OI$16+--($OH17)</f>
        <v/>
      </c>
      <c r="OJ17">
        <f>IF(ROW()-3&gt;MAX($OI$4:$OI$40),"",INDEX($DK$4:$DK$40,MATCH(ROW()-3,$OI$4:$OI$40,0)))</f>
        <v/>
      </c>
      <c r="OK17">
        <f>IF(COUNTIF('Buyer Groups'!DG70:EA70,0)+COUNTIF('Buyer Groups'!EC70:EN70,0)&gt;0,0,1)</f>
        <v/>
      </c>
      <c r="OL17">
        <f>IF($DP$17="",FALSE,SUMPRODUCT(('Final Calculation Sheet'!$V$4:$V$40=$DP$17)*($OK$6:$OK$42=1))&gt;0)</f>
        <v/>
      </c>
      <c r="OM17">
        <f>$OM$16+--($OL17)</f>
        <v/>
      </c>
      <c r="ON17">
        <f>IF(ROW()-3&gt;MAX($OM$4:$OM$40),"",INDEX($DP$4:$DP$40,MATCH(ROW()-3,$OM$4:$OM$40,0)))</f>
        <v/>
      </c>
      <c r="OO17">
        <f>IF(COUNTIF('Buyer Groups'!DG70:EB70,0)+COUNTIF('Buyer Groups'!ED70:EN70,0)&gt;0,0,1)</f>
        <v/>
      </c>
      <c r="OP17">
        <f>IF($DU$17="",FALSE,SUMPRODUCT(('Final Calculation Sheet'!$W$4:$W$40=$DU$17)*($OO$6:$OO$42=1))&gt;0)</f>
        <v/>
      </c>
      <c r="OQ17">
        <f>$OQ$16+--($OP17)</f>
        <v/>
      </c>
      <c r="OR17">
        <f>IF(ROW()-3&gt;MAX($OQ$4:$OQ$40),"",INDEX($DU$4:$DU$40,MATCH(ROW()-3,$OQ$4:$OQ$40,0)))</f>
        <v/>
      </c>
      <c r="OS17">
        <f>IF(COUNTIF('Buyer Groups'!DG70:EC70,0)+COUNTIF('Buyer Groups'!EE70:EN70,0)&gt;0,0,1)</f>
        <v/>
      </c>
      <c r="OT17">
        <f>IF($DZ$17="",FALSE,SUMPRODUCT(('Final Calculation Sheet'!$X$4:$X$40=$DZ$17)*($OS$6:$OS$42=1))&gt;0)</f>
        <v/>
      </c>
      <c r="OU17">
        <f>$OU$16+--($OT17)</f>
        <v/>
      </c>
      <c r="OV17">
        <f>IF(ROW()-3&gt;MAX($OU$4:$OU$40),"",INDEX($DZ$4:$DZ$40,MATCH(ROW()-3,$OU$4:$OU$40,0)))</f>
        <v/>
      </c>
      <c r="OW17">
        <f>IF(COUNTIF('Buyer Groups'!DG70:ED70,0)+COUNTIF('Buyer Groups'!EF70:EN70,0)&gt;0,0,1)</f>
        <v/>
      </c>
      <c r="OX17">
        <f>IF($EE$17="",FALSE,SUMPRODUCT(('Final Calculation Sheet'!$Y$4:$Y$40=$EE$17)*($OW$6:$OW$42=1))&gt;0)</f>
        <v/>
      </c>
      <c r="OY17">
        <f>$OY$16+--($OX17)</f>
        <v/>
      </c>
      <c r="OZ17">
        <f>IF(ROW()-3&gt;MAX($OY$4:$OY$40),"",INDEX($EE$4:$EE$40,MATCH(ROW()-3,$OY$4:$OY$40,0)))</f>
        <v/>
      </c>
      <c r="PA17">
        <f>IF(COUNTIF('Buyer Groups'!DG70:EE70,0)+COUNTIF('Buyer Groups'!EG70:EN70,0)&gt;0,0,1)</f>
        <v/>
      </c>
      <c r="PB17">
        <f>IF($EJ$17="",FALSE,SUMPRODUCT(('Final Calculation Sheet'!$Z$4:$Z$40=$EJ$17)*($PA$6:$PA$42=1))&gt;0)</f>
        <v/>
      </c>
      <c r="PC17">
        <f>$PC$16+--($PB17)</f>
        <v/>
      </c>
      <c r="PD17">
        <f>IF(ROW()-3&gt;MAX($PC$4:$PC$40),"",INDEX($EJ$4:$EJ$40,MATCH(ROW()-3,$PC$4:$PC$40,0)))</f>
        <v/>
      </c>
      <c r="PE17">
        <f>IF(COUNTIF('Buyer Groups'!DG70:EF70,0)+COUNTIF('Buyer Groups'!EH70:EN70,0)&gt;0,0,1)</f>
        <v/>
      </c>
      <c r="PF17">
        <f>IF($EO$17="",FALSE,SUMPRODUCT(('Final Calculation Sheet'!$AA$4:$AA$40=$EO$17)*($PE$6:$PE$42=1))&gt;0)</f>
        <v/>
      </c>
      <c r="PG17">
        <f>$PG$16+--($PF17)</f>
        <v/>
      </c>
      <c r="PH17">
        <f>IF(ROW()-3&gt;MAX($PG$4:$PG$40),"",INDEX($EO$4:$EO$40,MATCH(ROW()-3,$PG$4:$PG$40,0)))</f>
        <v/>
      </c>
      <c r="PI17">
        <f>IF(COUNTIF('Buyer Groups'!DG70:EG70,0)+COUNTIF('Buyer Groups'!EI70:EN70,0)&gt;0,0,1)</f>
        <v/>
      </c>
      <c r="PJ17">
        <f>IF($ET$17="",FALSE,SUMPRODUCT(('Final Calculation Sheet'!$AB$4:$AB$40=$ET$17)*($PI$6:$PI$42=1))&gt;0)</f>
        <v/>
      </c>
      <c r="PK17">
        <f>$PK$16+--($PJ17)</f>
        <v/>
      </c>
      <c r="PL17">
        <f>IF(ROW()-3&gt;MAX($PK$4:$PK$40),"",INDEX($ET$4:$ET$40,MATCH(ROW()-3,$PK$4:$PK$40,0)))</f>
        <v/>
      </c>
      <c r="PM17">
        <f>IF(COUNTIF('Buyer Groups'!DG70:EH70,0)+COUNTIF('Buyer Groups'!EJ70:EN70,0)&gt;0,0,1)</f>
        <v/>
      </c>
      <c r="PN17">
        <f>IF($EY$17="",FALSE,SUMPRODUCT(('Final Calculation Sheet'!$AC$4:$AC$40=$EY$17)*($PM$6:$PM$42=1))&gt;0)</f>
        <v/>
      </c>
      <c r="PO17">
        <f>$PO$16+--($PN17)</f>
        <v/>
      </c>
      <c r="PP17">
        <f>IF(ROW()-3&gt;MAX($PO$4:$PO$40),"",INDEX($EY$4:$EY$40,MATCH(ROW()-3,$PO$4:$PO$40,0)))</f>
        <v/>
      </c>
      <c r="PQ17">
        <f>IF(COUNTIF('Buyer Groups'!DG70:EI70,0)+COUNTIF('Buyer Groups'!EK70:EN70,0)&gt;0,0,1)</f>
        <v/>
      </c>
      <c r="PR17">
        <f>IF($FD$17="",FALSE,SUMPRODUCT(('Final Calculation Sheet'!$AD$4:$AD$40=$FD$17)*($PQ$6:$PQ$42=1))&gt;0)</f>
        <v/>
      </c>
      <c r="PS17">
        <f>$PS$16+--($PR17)</f>
        <v/>
      </c>
      <c r="PT17">
        <f>IF(ROW()-3&gt;MAX($PS$4:$PS$40),"",INDEX($FD$4:$FD$40,MATCH(ROW()-3,$PS$4:$PS$40,0)))</f>
        <v/>
      </c>
      <c r="PU17">
        <f>IF(COUNTIF('Buyer Groups'!DG70:EJ70,0)+COUNTIF('Buyer Groups'!EL70:EN70,0)&gt;0,0,1)</f>
        <v/>
      </c>
      <c r="PV17">
        <f>IF($FX$17="",FALSE,SUMPRODUCT((IF('Final Calculation Sheet'!$AD$4:$AD$40&lt;=5,"SETTLED","OUTSTANDING")=$FX$17)*($PU$6:$PU$42=1))&gt;0)</f>
        <v/>
      </c>
      <c r="PW17">
        <f>$PW$16+--($PV17)</f>
        <v/>
      </c>
      <c r="PX17">
        <f>IF(ROW()-3&gt;MAX($PW$4:$PW$40),"",INDEX($FX$4:$FX$40,MATCH(ROW()-3,$PW$4:$PW$40,0)))</f>
        <v/>
      </c>
      <c r="PY17">
        <f>IF(COUNTIF('Buyer Groups'!DG70:EK70,0)+COUNTIF('Buyer Groups'!EM70:EN70,0)&gt;0,0,1)</f>
        <v/>
      </c>
      <c r="PZ17">
        <f>IF($FI$17="",FALSE,SUMPRODUCT(('Final Calculation Sheet'!$AF$4:$AF$40=$FI$17)*($PY$6:$PY$42=1))&gt;0)</f>
        <v/>
      </c>
      <c r="QA17">
        <f>$QA$16+--($PZ17)</f>
        <v/>
      </c>
      <c r="QB17">
        <f>IF(ROW()-3&gt;MAX($QA$4:$QA$40),"",INDEX($FI$4:$FI$40,MATCH(ROW()-3,$QA$4:$QA$40,0)))</f>
        <v/>
      </c>
      <c r="QC17">
        <f>IF(COUNTIF('Buyer Groups'!DG70:EL70,0)+COUNTIF('Buyer Groups'!EN70:EN70,0)&gt;0,0,1)</f>
        <v/>
      </c>
      <c r="QD17">
        <f>IF($FN$17="",FALSE,SUMPRODUCT(('Final Calculation Sheet'!$AG$4:$AG$40=$FN$17)*($QC$6:$QC$42=1))&gt;0)</f>
        <v/>
      </c>
      <c r="QE17">
        <f>$QE$16+--($QD17)</f>
        <v/>
      </c>
      <c r="QF17">
        <f>IF(ROW()-3&gt;MAX($QE$4:$QE$40),"",INDEX($FN$4:$FN$40,MATCH(ROW()-3,$QE$4:$QE$40,0)))</f>
        <v/>
      </c>
      <c r="QG17">
        <f>IF(COUNTIF('Buyer Groups'!DG70:EM70,0)&gt;0,0,1)</f>
        <v/>
      </c>
      <c r="QH17">
        <f>IF($FS$17="",FALSE,SUMPRODUCT(('Final Calculation Sheet'!$AH$4:$AH$40=$FS$17)*($QG$6:$QG$42=1))&gt;0)</f>
        <v/>
      </c>
      <c r="QI17">
        <f>$QI$16+--($QH17)</f>
        <v/>
      </c>
      <c r="QJ17">
        <f>IF(ROW()-3&gt;MAX($QI$4:$QI$40),"",INDEX($FS$4:$FS$40,MATCH(ROW()-3,$QI$4:$QI$40,0)))</f>
        <v/>
      </c>
      <c r="QK17" t="str">
        <f>IF('Final Calculation Sheet'!$AH$17="","",'Final Calculation Sheet'!$AH$17)</f>
      </c>
      <c r="QL17" t="str">
        <f>IF(QK17="","",COUNTIFS(QK$4:QK$40,"&lt;"&amp;QK17,QK$4:QK$40,"&lt;&gt;"&amp;"")+COUNTIF(QK$4:QK17,QK17))</f>
      </c>
      <c r="QM17" t="str">
        <f>IF(ROW()-3&gt;COUNTIF(QK$4:QK$40,"&lt;&gt;"&amp;""),"",INDEX(QK$4:QK$40,MATCH(ROW()-3,QL$4:QL$40,0)))</f>
      </c>
      <c r="QN17" t="str">
        <f>=QN16+F(AND(QM17&lt;&gt;"",COUNTIF(QM$4:QM17,QM17)=1),1,0)</f>
      </c>
      <c r="QO17" t="str">
        <f>IF(ROW()-3&gt;MAX(QN$4:QN$40),"",INDEX(QM$4:QM$40,MATCH(ROW()-3,QN$4:QN$40,0)))</f>
      </c>
      <c r="QP17" t="str">
        <f>IF(COUNTIF('Final Calculation Sheet'!$AM17:$BS17,0)&gt;0,0,1)</f>
      </c>
      <c r="QQ17" t="str">
        <f>IF($AI$17="",FALSE,SUMPRODUCT(('Final Calculation Sheet'!$A$4:$A$40=$AI$17)*($QP$4:$QP$40=1))&gt;0)</f>
      </c>
      <c r="QR17" t="str">
        <f>=$QR16+--($QQ17)</f>
      </c>
      <c r="QS17" t="str">
        <f>IF(ROW()-3&gt;MAX($QR$4:$QR$40),"",INDEX($AI$4:$AI$40,MATCH(ROW()-3,$QR$4:$QR$40,0)))</f>
      </c>
      <c r="QT17" t="str">
        <f>IF(COUNTIF('Final Calculation Sheet'!$AL17:$AL17,0)+COUNTIF('Final Calculation Sheet'!$AN17:$BS17,0)&gt;0,0,1)</f>
      </c>
      <c r="QU17" t="str">
        <f>IF($Y$17="",FALSE,SUMPRODUCT(('Final Calculation Sheet'!$B$4:$B$40=$Y$17)*($QT$4:$QT$40=1))&gt;0)</f>
      </c>
      <c r="QV17" t="str">
        <f>=$QV16+--($QU17)</f>
      </c>
      <c r="QW17" t="str">
        <f>IF(ROW()-3&gt;MAX($QV$4:$QV$40),"",INDEX($Y$4:$Y$40,MATCH(ROW()-3,$QV$4:$QV$40,0)))</f>
      </c>
      <c r="QX17" t="str">
        <f>IF(COUNTIF('Final Calculation Sheet'!$AL17:$AM17,0)+COUNTIF('Final Calculation Sheet'!$AO17:$BS17,0)&gt;0,0,1)</f>
      </c>
      <c r="QY17" t="str">
        <f>IF($AS$17="",FALSE,SUMPRODUCT(('Final Calculation Sheet'!$C$4:$C$40=$AS$17)*($QX$4:$QX$40=1))&gt;0)</f>
      </c>
      <c r="QZ17" t="str">
        <f>=$QZ16+--($QY17)</f>
      </c>
      <c r="RA17" t="str">
        <f>IF(ROW()-3&gt;MAX($QZ$4:$QZ$40),"",INDEX($AS$4:$AS$40,MATCH(ROW()-3,$QZ$4:$QZ$40,0)))</f>
      </c>
      <c r="RB17" t="str">
        <f>IF(COUNTIF('Final Calculation Sheet'!$AL17:$AN17,0)+COUNTIF('Final Calculation Sheet'!$AP17:$BS17,0)&gt;0,0,1)</f>
      </c>
      <c r="RC17" t="str">
        <f>IF($AD$17="",FALSE,SUMPRODUCT(('Final Calculation Sheet'!$D$4:$D$40=$AD$17)*($RB$4:$RB$40=1))&gt;0)</f>
      </c>
      <c r="RD17" t="str">
        <f>=$RD16+--($RC17)</f>
      </c>
      <c r="RE17" t="str">
        <f>IF(ROW()-3&gt;MAX($RD$4:$RD$40),"",INDEX($AD$4:$AD$40,MATCH(ROW()-3,$RD$4:$RD$40,0)))</f>
      </c>
      <c r="RF17" t="str">
        <f>IF(COUNTIF('Final Calculation Sheet'!$AL17:$AO17,0)+COUNTIF('Final Calculation Sheet'!$AQ17:$BS17,0)&gt;0,0,1)</f>
      </c>
      <c r="RG17" t="str">
        <f>IF($AN$17="",FALSE,SUMPRODUCT(('Final Calculation Sheet'!$E$4:$E$40=$AN$17)*($RF$4:$RF$40=1))&gt;0)</f>
      </c>
      <c r="RH17" t="str">
        <f>=$RH16+--($RG17)</f>
      </c>
      <c r="RI17" t="str">
        <f>IF(ROW()-3&gt;MAX($RH$4:$RH$40),"",INDEX($AN$4:$AN$40,MATCH(ROW()-3,$RH$4:$RH$40,0)))</f>
      </c>
      <c r="RJ17" t="str">
        <f>IF(COUNTIF('Final Calculation Sheet'!$AL17:$AP17,0)+COUNTIF('Final Calculation Sheet'!$AR17:$BS17,0)&gt;0,0,1)</f>
      </c>
      <c r="RK17" t="str">
        <f>IF($O$17="",FALSE,SUMPRODUCT(('Final Calculation Sheet'!$F$4:$F$40=$O$17)*($RJ$4:$RJ$40=1))&gt;0)</f>
      </c>
      <c r="RL17" t="str">
        <f>=$RL16+--($RK17)</f>
      </c>
      <c r="RM17" t="str">
        <f>IF(ROW()-3&gt;MAX($RL$4:$RL$40),"",INDEX($O$4:$O$40,MATCH(ROW()-3,$RL$4:$RL$40,0)))</f>
      </c>
      <c r="RN17" t="str">
        <f>IF(COUNTIF('Final Calculation Sheet'!$AL17:$AQ17,0)+COUNTIF('Final Calculation Sheet'!$AS17:$BS17,0)&gt;0,0,1)</f>
      </c>
      <c r="RO17" t="str">
        <f>IF($T$17="",FALSE,SUMPRODUCT(('Final Calculation Sheet'!$G$4:$G$40=$T$17)*($RN$4:$RN$40=1))&gt;0)</f>
      </c>
      <c r="RP17" t="str">
        <f>=$RP16+--($RO17)</f>
      </c>
      <c r="RQ17" t="str">
        <f>IF(ROW()-3&gt;MAX($RP$4:$RP$40),"",INDEX($T$4:$T$40,MATCH(ROW()-3,$RP$4:$RP$40,0)))</f>
      </c>
      <c r="RR17" t="str">
        <f>IF(COUNTIF('Final Calculation Sheet'!$AL17:$AR17,0)+COUNTIF('Final Calculation Sheet'!$AT17:$BS17,0)&gt;0,0,1)</f>
      </c>
      <c r="RS17" t="str">
        <f>IF($AX$17="",FALSE,SUMPRODUCT(('Final Calculation Sheet'!$H$4:$H$40=$AX$17)*($RR$4:$RR$40=1))&gt;0)</f>
      </c>
      <c r="RT17" t="str">
        <f>=$RT16+--($RS17)</f>
      </c>
      <c r="RU17" t="str">
        <f>IF(ROW()-3&gt;MAX($RT$4:$RT$40),"",INDEX($AX$4:$AX$40,MATCH(ROW()-3,$RT$4:$RT$40,0)))</f>
      </c>
      <c r="RV17" t="str">
        <f>IF(COUNTIF('Final Calculation Sheet'!$AL17:$AS17,0)+COUNTIF('Final Calculation Sheet'!$AU17:$BS17,0)&gt;0,0,1)</f>
      </c>
      <c r="RW17" t="str">
        <f>IF($BC$17="",FALSE,SUMPRODUCT(('Final Calculation Sheet'!$I$4:$I$40=$BC$17)*($RV$4:$RV$40=1))&gt;0)</f>
      </c>
      <c r="RX17" t="str">
        <f>=$RX16+--($RW17)</f>
      </c>
      <c r="RY17" t="str">
        <f>IF(ROW()-3&gt;MAX($RX$4:$RX$40),"",INDEX($BC$4:$BC$40,MATCH(ROW()-3,$RX$4:$RX$40,0)))</f>
      </c>
      <c r="RZ17" t="str">
        <f>IF(COUNTIF('Final Calculation Sheet'!$AL17:$AT17,0)+COUNTIF('Final Calculation Sheet'!$AV17:$BS17,0)&gt;0,0,1)</f>
      </c>
      <c r="SA17" t="str">
        <f>IF($BH$17="",FALSE,SUMPRODUCT(('Final Calculation Sheet'!$J$4:$J$40=$BH$17)*($RZ$4:$RZ$40=1))&gt;0)</f>
      </c>
      <c r="SB17" t="str">
        <f>=$SB16+--($SA17)</f>
      </c>
      <c r="SC17" t="str">
        <f>IF(ROW()-3&gt;MAX($SB$4:$SB$40),"",INDEX($BH$4:$BH$40,MATCH(ROW()-3,$SB$4:$SB$40,0)))</f>
      </c>
      <c r="SD17" t="str">
        <f>IF(COUNTIF('Final Calculation Sheet'!$AL17:$AU17,0)+COUNTIF('Final Calculation Sheet'!$AW17:$BS17,0)&gt;0,0,1)</f>
      </c>
      <c r="SE17" t="str">
        <f>IF($BM$17="",FALSE,SUMPRODUCT(('Final Calculation Sheet'!$K$4:$K$40=$BM$17)*($SD$4:$SD$40=1))&gt;0)</f>
      </c>
      <c r="SF17" t="str">
        <f>=$SF16+--($SE17)</f>
      </c>
      <c r="SG17" t="str">
        <f>IF(ROW()-3&gt;MAX($SF$4:$SF$40),"",INDEX($BM$4:$BM$40,MATCH(ROW()-3,$SF$4:$SF$40,0)))</f>
      </c>
      <c r="SH17" t="str">
        <f>IF(COUNTIF('Final Calculation Sheet'!$AL17:$AV17,0)+COUNTIF('Final Calculation Sheet'!$AX17:$BS17,0)&gt;0,0,1)</f>
      </c>
      <c r="SI17" t="str">
        <f>IF($BR$17="",FALSE,SUMPRODUCT(('Final Calculation Sheet'!$L$4:$L$40=$BR$17)*($SH$4:$SH$40=1))&gt;0)</f>
      </c>
      <c r="SJ17" t="str">
        <f>=$SJ16+--($SI17)</f>
      </c>
      <c r="SK17" t="str">
        <f>IF(ROW()-3&gt;MAX($SJ$4:$SJ$40),"",INDEX($BR$4:$BR$40,MATCH(ROW()-3,$SJ$4:$SJ$40,0)))</f>
      </c>
      <c r="SL17" t="str">
        <f>IF(COUNTIF('Final Calculation Sheet'!$AL17:$AW17,0)+COUNTIF('Final Calculation Sheet'!$AY17:$BS17,0)&gt;0,0,1)</f>
      </c>
      <c r="SM17" t="str">
        <f>IF($BW$17="",FALSE,SUMPRODUCT(('Final Calculation Sheet'!$M$4:$M$40=$BW$17)*($SL$4:$SL$40=1))&gt;0)</f>
      </c>
      <c r="SN17" t="str">
        <f>=$SN16+--($SM17)</f>
      </c>
      <c r="SO17" t="str">
        <f>IF(ROW()-3&gt;MAX($SN$4:$SN$40),"",INDEX($BW$4:$BW$40,MATCH(ROW()-3,$SN$4:$SN$40,0)))</f>
      </c>
      <c r="SP17" t="str">
        <f>IF(COUNTIF('Final Calculation Sheet'!$AL17:$AX17,0)+COUNTIF('Final Calculation Sheet'!$AZ17:$BS17,0)&gt;0,0,1)</f>
      </c>
      <c r="SQ17" t="str">
        <f>IF($CB$17="",FALSE,SUMPRODUCT(('Final Calculation Sheet'!$N$4:$N$40=$CB$17)*($SP$4:$SP$40=1))&gt;0)</f>
      </c>
      <c r="SR17" t="str">
        <f>=$SR16+--($SQ17)</f>
      </c>
      <c r="SS17" t="str">
        <f>IF(ROW()-3&gt;MAX($SR$4:$SR$40),"",INDEX($CB$4:$CB$40,MATCH(ROW()-3,$SR$4:$SR$40,0)))</f>
      </c>
      <c r="ST17" t="str">
        <f>IF(COUNTIF('Final Calculation Sheet'!$AL17:$AY17,0)+COUNTIF('Final Calculation Sheet'!$BA17:$BS17,0)&gt;0,0,1)</f>
      </c>
      <c r="SU17" t="str">
        <f>IF($CG$17="",FALSE,SUMPRODUCT(('Final Calculation Sheet'!$O$4:$O$40=$CG$17)*($ST$4:$ST$40=1))&gt;0)</f>
      </c>
      <c r="SV17" t="str">
        <f>=$SV16+--($SU17)</f>
      </c>
      <c r="SW17" t="str">
        <f>IF(ROW()-3&gt;MAX($SV$4:$SV$40),"",INDEX($CG$4:$CG$40,MATCH(ROW()-3,$SV$4:$SV$40,0)))</f>
      </c>
      <c r="SX17" t="str">
        <f>IF(COUNTIF('Final Calculation Sheet'!$AL17:$AZ17,0)+COUNTIF('Final Calculation Sheet'!$BB17:$BS17,0)&gt;0,0,1)</f>
      </c>
      <c r="SY17" t="str">
        <f>IF($CL$17="",FALSE,SUMPRODUCT(('Final Calculation Sheet'!$P$4:$P$40=$CL$17)*($SX$4:$SX$40=1))&gt;0)</f>
      </c>
      <c r="SZ17" t="str">
        <f>=$SZ16+--($SY17)</f>
      </c>
      <c r="TA17" t="str">
        <f>IF(ROW()-3&gt;MAX($SZ$4:$SZ$40),"",INDEX($CL$4:$CL$40,MATCH(ROW()-3,$SZ$4:$SZ$40,0)))</f>
      </c>
      <c r="TB17" t="str">
        <f>IF(COUNTIF('Final Calculation Sheet'!$AL17:$BA17,0)+COUNTIF('Final Calculation Sheet'!$BC17:$BS17,0)&gt;0,0,1)</f>
      </c>
      <c r="TC17" t="str">
        <f>IF($CQ$17="",FALSE,SUMPRODUCT(('Final Calculation Sheet'!$Q$4:$Q$40=$CQ$17)*($TB$4:$TB$40=1))&gt;0)</f>
      </c>
      <c r="TD17" t="str">
        <f>=$TD16+--($TC17)</f>
      </c>
      <c r="TE17" t="str">
        <f>IF(ROW()-3&gt;MAX($TD$4:$TD$40),"",INDEX($CQ$4:$CQ$40,MATCH(ROW()-3,$TD$4:$TD$40,0)))</f>
      </c>
      <c r="TF17" t="str">
        <f>IF(COUNTIF('Final Calculation Sheet'!$AL17:$BB17,0)+COUNTIF('Final Calculation Sheet'!$BD17:$BS17,0)&gt;0,0,1)</f>
      </c>
      <c r="TG17" t="str">
        <f>IF($CV$17="",FALSE,SUMPRODUCT(('Final Calculation Sheet'!$R$4:$R$40=$CV$17)*($TF$4:$TF$40=1))&gt;0)</f>
      </c>
      <c r="TH17" t="str">
        <f>=$TH16+--($TG17)</f>
      </c>
      <c r="TI17" t="str">
        <f>IF(ROW()-3&gt;MAX($TH$4:$TH$40),"",INDEX($CV$4:$CV$40,MATCH(ROW()-3,$TH$4:$TH$40,0)))</f>
      </c>
      <c r="TJ17" t="str">
        <f>IF(COUNTIF('Final Calculation Sheet'!$AL17:$BC17,0)+COUNTIF('Final Calculation Sheet'!$BE17:$BS17,0)&gt;0,0,1)</f>
      </c>
      <c r="TK17" t="str">
        <f>IF($DA$17="",FALSE,SUMPRODUCT(('Final Calculation Sheet'!$S$4:$S$40=$DA$17)*($TJ$4:$TJ$40=1))&gt;0)</f>
      </c>
      <c r="TL17" t="str">
        <f>=$TL16+--($TK17)</f>
      </c>
      <c r="TM17" t="str">
        <f>IF(ROW()-3&gt;MAX($TL$4:$TL$40),"",INDEX($DA$4:$DA$40,MATCH(ROW()-3,$TL$4:$TL$40,0)))</f>
      </c>
      <c r="TN17" t="str">
        <f>IF(COUNTIF('Final Calculation Sheet'!$AL17:$BD17,0)+COUNTIF('Final Calculation Sheet'!$BF17:$BS17,0)&gt;0,0,1)</f>
      </c>
      <c r="TO17" t="str">
        <f>IF($DF$17="",FALSE,SUMPRODUCT(('Final Calculation Sheet'!$T$4:$T$40=$DF$17)*($TN$4:$TN$40=1))&gt;0)</f>
      </c>
      <c r="TP17" t="str">
        <f>=$TP16+--($TO17)</f>
      </c>
      <c r="TQ17" t="str">
        <f>IF(ROW()-3&gt;MAX($TP$4:$TP$40),"",INDEX($DF$4:$DF$40,MATCH(ROW()-3,$TP$4:$TP$40,0)))</f>
      </c>
      <c r="TR17" t="str">
        <f>IF(COUNTIF('Final Calculation Sheet'!$AL17:$BE17,0)+COUNTIF('Final Calculation Sheet'!$BG17:$BS17,0)&gt;0,0,1)</f>
      </c>
      <c r="TS17" t="str">
        <f>IF($DK$17="",FALSE,SUMPRODUCT(('Final Calculation Sheet'!$U$4:$U$40=$DK$17)*($TR$4:$TR$40=1))&gt;0)</f>
      </c>
      <c r="TT17" t="str">
        <f>=$TT16+--($TS17)</f>
      </c>
      <c r="TU17" t="str">
        <f>IF(ROW()-3&gt;MAX($TT$4:$TT$40),"",INDEX($DK$4:$DK$40,MATCH(ROW()-3,$TT$4:$TT$40,0)))</f>
      </c>
      <c r="TV17" t="str">
        <f>IF(COUNTIF('Final Calculation Sheet'!$AL17:$BF17,0)+COUNTIF('Final Calculation Sheet'!$BH17:$BS17,0)&gt;0,0,1)</f>
      </c>
      <c r="TW17" t="str">
        <f>IF($DP$17="",FALSE,SUMPRODUCT(('Final Calculation Sheet'!$V$4:$V$40=$DP$17)*($TV$4:$TV$40=1))&gt;0)</f>
      </c>
      <c r="TX17" t="str">
        <f>=$TX16+--($TW17)</f>
      </c>
      <c r="TY17" t="str">
        <f>IF(ROW()-3&gt;MAX($TX$4:$TX$40),"",INDEX($DP$4:$DP$40,MATCH(ROW()-3,$TX$4:$TX$40,0)))</f>
      </c>
      <c r="TZ17" t="str">
        <f>IF(COUNTIF('Final Calculation Sheet'!$AL17:$BG17,0)+COUNTIF('Final Calculation Sheet'!$BI17:$BS17,0)&gt;0,0,1)</f>
      </c>
      <c r="UA17" t="str">
        <f>IF($DU$17="",FALSE,SUMPRODUCT(('Final Calculation Sheet'!$W$4:$W$40=$DU$17)*($TZ$4:$TZ$40=1))&gt;0)</f>
      </c>
      <c r="UB17" t="str">
        <f>=$UB16+--($UA17)</f>
      </c>
      <c r="UC17" t="str">
        <f>IF(ROW()-3&gt;MAX($UB$4:$UB$40),"",INDEX($DU$4:$DU$40,MATCH(ROW()-3,$UB$4:$UB$40,0)))</f>
      </c>
      <c r="UD17" t="str">
        <f>IF(COUNTIF('Final Calculation Sheet'!$AL17:$BH17,0)+COUNTIF('Final Calculation Sheet'!$BJ17:$BS17,0)&gt;0,0,1)</f>
      </c>
      <c r="UE17" t="str">
        <f>IF($DZ$17="",FALSE,SUMPRODUCT(('Final Calculation Sheet'!$X$4:$X$40=$DZ$17)*($UD$4:$UD$40=1))&gt;0)</f>
      </c>
      <c r="UF17" t="str">
        <f>=$UF16+--($UE17)</f>
      </c>
      <c r="UG17" t="str">
        <f>IF(ROW()-3&gt;MAX($UF$4:$UF$40),"",INDEX($DZ$4:$DZ$40,MATCH(ROW()-3,$UF$4:$UF$40,0)))</f>
      </c>
      <c r="UH17" t="str">
        <f>IF(COUNTIF('Final Calculation Sheet'!$AL17:$BI17,0)+COUNTIF('Final Calculation Sheet'!$BK17:$BS17,0)&gt;0,0,1)</f>
      </c>
      <c r="UI17" t="str">
        <f>IF($EE$17="",FALSE,SUMPRODUCT(('Final Calculation Sheet'!$Y$4:$Y$40=$EE$17)*($UH$4:$UH$40=1))&gt;0)</f>
      </c>
      <c r="UJ17" t="str">
        <f>=$UJ16+--($UI17)</f>
      </c>
      <c r="UK17" t="str">
        <f>IF(ROW()-3&gt;MAX($UJ$4:$UJ$40),"",INDEX($EE$4:$EE$40,MATCH(ROW()-3,$UJ$4:$UJ$40,0)))</f>
      </c>
      <c r="UL17" t="str">
        <f>IF(COUNTIF('Final Calculation Sheet'!$AL17:$BJ17,0)+COUNTIF('Final Calculation Sheet'!$BL17:$BS17,0)&gt;0,0,1)</f>
      </c>
      <c r="UM17" t="str">
        <f>IF($EJ$17="",FALSE,SUMPRODUCT(('Final Calculation Sheet'!$Z$4:$Z$40=$EJ$17)*($UL$4:$UL$40=1))&gt;0)</f>
      </c>
      <c r="UN17" t="str">
        <f>=$UN16+--($UM17)</f>
      </c>
      <c r="UO17" t="str">
        <f>IF(ROW()-3&gt;MAX($UN$4:$UN$40),"",INDEX($EJ$4:$EJ$40,MATCH(ROW()-3,$UN$4:$UN$40,0)))</f>
      </c>
      <c r="UP17" t="str">
        <f>IF(COUNTIF('Final Calculation Sheet'!$AL17:$BK17,0)+COUNTIF('Final Calculation Sheet'!$BM17:$BS17,0)&gt;0,0,1)</f>
      </c>
      <c r="UQ17" t="str">
        <f>IF($EO$17="",FALSE,SUMPRODUCT(('Final Calculation Sheet'!$AA$4:$AA$40=$EO$17)*($UP$4:$UP$40=1))&gt;0)</f>
      </c>
      <c r="UR17" t="str">
        <f>=$UR16+--($UQ17)</f>
      </c>
      <c r="US17" t="str">
        <f>IF(ROW()-3&gt;MAX($UR$4:$UR$40),"",INDEX($EO$4:$EO$40,MATCH(ROW()-3,$UR$4:$UR$40,0)))</f>
      </c>
      <c r="UT17" t="str">
        <f>IF(COUNTIF('Final Calculation Sheet'!$AL17:$BL17,0)+COUNTIF('Final Calculation Sheet'!$BN17:$BS17,0)&gt;0,0,1)</f>
      </c>
      <c r="UU17" t="str">
        <f>IF($ET$17="",FALSE,SUMPRODUCT(('Final Calculation Sheet'!$AB$4:$AB$40=$ET$17)*($UT$4:$UT$40=1))&gt;0)</f>
      </c>
      <c r="UV17" t="str">
        <f>=$UV16+--($UU17)</f>
      </c>
      <c r="UW17" t="str">
        <f>IF(ROW()-3&gt;MAX($UV$4:$UV$40),"",INDEX($ET$4:$ET$40,MATCH(ROW()-3,$UV$4:$UV$40,0)))</f>
      </c>
      <c r="UX17" t="str">
        <f>IF(COUNTIF('Final Calculation Sheet'!$AL17:$BM17,0)+COUNTIF('Final Calculation Sheet'!$BO17:$BS17,0)&gt;0,0,1)</f>
      </c>
      <c r="UY17" t="str">
        <f>IF($EY$17="",FALSE,SUMPRODUCT(('Final Calculation Sheet'!$AC$4:$AC$40=$EY$17)*($UX$4:$UX$40=1))&gt;0)</f>
      </c>
      <c r="UZ17" t="str">
        <f>=$UZ16+--($UY17)</f>
      </c>
      <c r="VA17" t="str">
        <f>IF(ROW()-3&gt;MAX($UZ$4:$UZ$40),"",INDEX($EY$4:$EY$40,MATCH(ROW()-3,$UZ$4:$UZ$40,0)))</f>
      </c>
      <c r="VB17" t="str">
        <f>IF(COUNTIF('Final Calculation Sheet'!$AL17:$BN17,0)+COUNTIF('Final Calculation Sheet'!$BP17:$BS17,0)&gt;0,0,1)</f>
      </c>
      <c r="VC17" t="str">
        <f>IF($FD$17="",FALSE,SUMPRODUCT(('Final Calculation Sheet'!$AD$4:$AD$40=$FD$17)*($VB$4:$VB$40=1))&gt;0)</f>
      </c>
      <c r="VD17" t="str">
        <f>=$VD16+--($VC17)</f>
      </c>
      <c r="VE17" t="str">
        <f>IF(ROW()-3&gt;MAX($VD$4:$VD$40),"",INDEX($FD$4:$FD$40,MATCH(ROW()-3,$VD$4:$VD$40,0)))</f>
      </c>
      <c r="VF17" t="str">
        <f>IF(COUNTIF('Final Calculation Sheet'!$AL17:$BO17,0)+COUNTIF('Final Calculation Sheet'!$BQ17:$BS17,0)&gt;0,0,1)</f>
      </c>
      <c r="VG17" t="str">
        <f>IF($FI$17="",FALSE,SUMPRODUCT(('Final Calculation Sheet'!$AE$4:$AE$40=$FI$17)*($VF$4:$VF$40=1))&gt;0)</f>
      </c>
      <c r="VH17" t="str">
        <f>=$VH16+--($VG17)</f>
      </c>
      <c r="VI17" t="str">
        <f>IF(ROW()-3&gt;MAX($VH$4:$VH$40),"",INDEX($FI$4:$FI$40,MATCH(ROW()-3,$VH$4:$VH$40,0)))</f>
      </c>
      <c r="VJ17" t="str">
        <f>IF(COUNTIF('Final Calculation Sheet'!$AL17:$BP17,0)+COUNTIF('Final Calculation Sheet'!$BR17:$BS17,0)&gt;0,0,1)</f>
      </c>
      <c r="VK17" t="str">
        <f>IF($FN$17="",FALSE,SUMPRODUCT(('Final Calculation Sheet'!$AF$4:$AF$40=$FN$17)*($VJ$4:$VJ$40=1))&gt;0)</f>
      </c>
      <c r="VL17" t="str">
        <f>=$VL16+--($VK17)</f>
      </c>
      <c r="VM17" t="str">
        <f>IF(ROW()-3&gt;MAX($VL$4:$VL$40),"",INDEX($FN$4:$FN$40,MATCH(ROW()-3,$VL$4:$VL$40,0)))</f>
      </c>
      <c r="VN17" t="str">
        <f>IF(COUNTIF('Final Calculation Sheet'!$AL17:$BQ17,0)+COUNTIF('Final Calculation Sheet'!$BS17:$BS17,0)&gt;0,0,1)</f>
      </c>
      <c r="VO17" t="str">
        <f>IF($FS$17="",FALSE,SUMPRODUCT(('Final Calculation Sheet'!$AG$4:$AG$40=$FS$17)*($VN$4:$VN$40=1))&gt;0)</f>
      </c>
      <c r="VP17" t="str">
        <f>=$VP16+--($VO17)</f>
      </c>
      <c r="VQ17" t="str">
        <f>IF(ROW()-3&gt;MAX($VP$4:$VP$40),"",INDEX($FS$4:$FS$40,MATCH(ROW()-3,$VP$4:$VP$40,0)))</f>
      </c>
      <c r="VR17" t="str">
        <f>IF(COUNTIF('Final Calculation Sheet'!$AL17:$BR17,0)&gt;0,0,1)</f>
      </c>
      <c r="VS17" t="str">
        <f>IF($QO$17="",FALSE,SUMPRODUCT(('Final Calculation Sheet'!$AH$4:$AH$40=$QO$17)*($VR$4:$VR$40=1))&gt;0)</f>
      </c>
      <c r="VT17" t="str">
        <f>=$VT16+--($VS17)</f>
      </c>
      <c r="VU17" t="str">
        <f>IF(ROW()-3&gt;MAX($VT$4:$VT$40),"",INDEX($QO$4:$QO$40,MATCH(ROW()-3,$VT$4:$VT$40,0)))</f>
      </c>
    </row>
    <row r="18">
      <c r="A18">
        <f>IF('Final Calculation Sheet'!$F$18="","",'Final Calculation Sheet'!$F$18)</f>
        <v/>
      </c>
      <c r="B18">
        <f>IF(A18="","",COUNTIFS(A$4:A$114,"&lt;"&amp;A18,A$4:A$114,"&lt;&gt;"&amp;"")+COUNTIF(A$4:A18,A18))</f>
        <v/>
      </c>
      <c r="C18">
        <f>IF(ROW()-3&gt;COUNTIF(A$4:A$114,"&lt;&gt;"&amp;""),"",INDEX(A$4:A$114,MATCH(ROW()-3,B$4:B$114,0)))</f>
        <v/>
      </c>
      <c r="D18">
        <f>D17+IF(AND(C18&lt;&gt;"",COUNTIF(C$4:C18,C18)=1),1,0)</f>
        <v/>
      </c>
      <c r="E18">
        <f>IF(ROW()-3&gt;MAX(D$4:D$114),"",INDEX(C$4:C$114,MATCH(ROW()-3,D$4:D$114,0)))</f>
        <v/>
      </c>
      <c r="F18">
        <f>ROW()-3</f>
        <v/>
      </c>
      <c r="G18">
        <f>IF(F18="","",COUNTIFS(F$4:F$40,"&lt;"&amp;F18,F$4:F$40,"&lt;&gt;"&amp;"")+COUNTIF(F$4:F18,F18))</f>
        <v/>
      </c>
      <c r="H18">
        <f>IF(ROW()-3&gt;COUNTIF(F$4:F$40,"&lt;&gt;"&amp;""),"",INDEX(F$4:F$40,MATCH(ROW()-3,G$4:G$40,0)))</f>
        <v/>
      </c>
      <c r="I18">
        <f>I17+IF(AND(H18&lt;&gt;"",COUNTIF(H$4:H18,H18)=1),1,0)</f>
        <v/>
      </c>
      <c r="J18">
        <f>IF(ROW()-3&gt;MAX(I$4:I$40),"",INDEX(H$4:H$40,MATCH(ROW()-3,I$4:I$40,0)))</f>
        <v/>
      </c>
      <c r="K18">
        <f>IF('Final Calculation Sheet'!$F$18="","",'Final Calculation Sheet'!$F$18)</f>
        <v/>
      </c>
      <c r="L18">
        <f>IF(K18="","",COUNTIFS(K$4:K$40,"&lt;"&amp;K18,K$4:K$40,"&lt;&gt;"&amp;"")+COUNTIF(K$4:K18,K18))</f>
        <v/>
      </c>
      <c r="M18">
        <f>IF(ROW()-3&gt;COUNTIF(K$4:K$40,"&lt;&gt;"&amp;""),"",INDEX(K$4:K$40,MATCH(ROW()-3,L$4:L$40,0)))</f>
        <v/>
      </c>
      <c r="N18">
        <f>N17+IF(AND(M18&lt;&gt;"",COUNTIF(M$4:M18,M18)=1),1,0)</f>
        <v/>
      </c>
      <c r="O18">
        <f>IF(ROW()-3&gt;MAX(N$4:N$40),"",INDEX(M$4:M$40,MATCH(ROW()-3,N$4:N$40,0)))</f>
        <v/>
      </c>
      <c r="P18">
        <f>IF('Final Calculation Sheet'!$G$18="","",'Final Calculation Sheet'!$G$18)</f>
        <v/>
      </c>
      <c r="Q18">
        <f>IF(P18="","",COUNTIFS(P$4:P$40,"&lt;"&amp;P18,P$4:P$40,"&lt;&gt;"&amp;"")+COUNTIF(P$4:P18,P18))</f>
        <v/>
      </c>
      <c r="R18">
        <f>IF(ROW()-3&gt;COUNTIF(P$4:P$40,"&lt;&gt;"&amp;""),"",INDEX(P$4:P$40,MATCH(ROW()-3,Q$4:Q$40,0)))</f>
        <v/>
      </c>
      <c r="S18">
        <f>S17+IF(AND(R18&lt;&gt;"",COUNTIF(R$4:R18,R18)=1),1,0)</f>
        <v/>
      </c>
      <c r="T18">
        <f>IF(ROW()-3&gt;MAX(S$4:S$40),"",INDEX(R$4:R$40,MATCH(ROW()-3,S$4:S$40,0)))</f>
        <v/>
      </c>
      <c r="U18">
        <f>IF('Final Calculation Sheet'!$B$18="","",'Final Calculation Sheet'!$B$18)</f>
        <v/>
      </c>
      <c r="V18">
        <f>IF(U18="","",COUNTIFS(U$4:U$40,"&lt;"&amp;U18,U$4:U$40,"&lt;&gt;"&amp;"")+COUNTIF(U$4:U18,U18))</f>
        <v/>
      </c>
      <c r="W18">
        <f>IF(ROW()-3&gt;COUNTIF(U$4:U$40,"&lt;&gt;"&amp;""),"",INDEX(U$4:U$40,MATCH(ROW()-3,V$4:V$40,0)))</f>
        <v/>
      </c>
      <c r="X18">
        <f>X17+IF(AND(W18&lt;&gt;"",COUNTIF(W$4:W18,W18)=1),1,0)</f>
        <v/>
      </c>
      <c r="Y18">
        <f>IF(ROW()-3&gt;MAX(X$4:X$40),"",INDEX(W$4:W$40,MATCH(ROW()-3,X$4:X$40,0)))</f>
        <v/>
      </c>
      <c r="Z18">
        <f>IF('Final Calculation Sheet'!$D$18="","",'Final Calculation Sheet'!$D$18)</f>
        <v/>
      </c>
      <c r="AA18">
        <f>IF(Z18="","",COUNTIFS(Z$4:Z$40,"&lt;"&amp;Z18,Z$4:Z$40,"&lt;&gt;"&amp;"")+COUNTIF(Z$4:Z18,Z18))</f>
        <v/>
      </c>
      <c r="AB18">
        <f>IF(ROW()-3&gt;COUNTIF(Z$4:Z$40,"&lt;&gt;"&amp;""),"",INDEX(Z$4:Z$40,MATCH(ROW()-3,AA$4:AA$40,0)))</f>
        <v/>
      </c>
      <c r="AC18">
        <f>AC17+IF(AND(AB18&lt;&gt;"",COUNTIF(AB$4:AB18,AB18)=1),1,0)</f>
        <v/>
      </c>
      <c r="AD18">
        <f>IF(ROW()-3&gt;MAX(AC$4:AC$40),"",INDEX(AB$4:AB$40,MATCH(ROW()-3,AC$4:AC$40,0)))</f>
        <v/>
      </c>
      <c r="AE18">
        <f>IF('Final Calculation Sheet'!$A$18="","",'Final Calculation Sheet'!$A$18)</f>
        <v/>
      </c>
      <c r="AF18">
        <f>IF(AE18="","",COUNTIFS(AE$4:AE$40,"&lt;"&amp;AE18,AE$4:AE$40,"&lt;&gt;"&amp;"")+COUNTIF(AE$4:AE18,AE18))</f>
        <v/>
      </c>
      <c r="AG18">
        <f>IF(ROW()-3&gt;COUNTIF(AE$4:AE$40,"&lt;&gt;"&amp;""),"",INDEX(AE$4:AE$40,MATCH(ROW()-3,AF$4:AF$40,0)))</f>
        <v/>
      </c>
      <c r="AH18">
        <f>AH17+IF(AND(AG18&lt;&gt;"",COUNTIF(AG$4:AG18,AG18)=1),1,0)</f>
        <v/>
      </c>
      <c r="AI18">
        <f>IF(ROW()-3&gt;MAX(AH$4:AH$40),"",INDEX(AG$4:AG$40,MATCH(ROW()-3,AH$4:AH$40,0)))</f>
        <v/>
      </c>
      <c r="AJ18">
        <f>IF('Final Calculation Sheet'!$E$18="","",'Final Calculation Sheet'!$E$18)</f>
        <v/>
      </c>
      <c r="AK18">
        <f>IF(AJ18="","",COUNTIFS(AJ$4:AJ$40,"&lt;"&amp;AJ18,AJ$4:AJ$40,"&lt;&gt;"&amp;"")+COUNTIF(AJ$4:AJ18,AJ18))</f>
        <v/>
      </c>
      <c r="AL18">
        <f>IF(ROW()-3&gt;COUNTIF(AJ$4:AJ$40,"&lt;&gt;"&amp;""),"",INDEX(AJ$4:AJ$40,MATCH(ROW()-3,AK$4:AK$40,0)))</f>
        <v/>
      </c>
      <c r="AM18">
        <f>AM17+IF(AND(AL18&lt;&gt;"",COUNTIF(AL$4:AL18,AL18)=1),1,0)</f>
        <v/>
      </c>
      <c r="AN18">
        <f>IF(ROW()-3&gt;MAX(AM$4:AM$40),"",INDEX(AL$4:AL$40,MATCH(ROW()-3,AM$4:AM$40,0)))</f>
        <v/>
      </c>
      <c r="AO18" s="55">
        <f>IF('Final Calculation Sheet'!$C$18="","",'Final Calculation Sheet'!$C$18)</f>
        <v/>
      </c>
      <c r="AP18">
        <f>IF(AO18="","",COUNTIFS(AO$4:AO$40,"&lt;"&amp;AO18,AO$4:AO$40,"&lt;&gt;"&amp;"")+COUNTIF(AO$4:AO18,AO18))</f>
        <v/>
      </c>
      <c r="AQ18" s="55">
        <f>IF(ROW()-3&gt;COUNTIF(AO$4:AO$40,"&lt;&gt;"&amp;""),"",INDEX(AO$4:AO$40,MATCH(ROW()-3,AP$4:AP$40,0)))</f>
        <v/>
      </c>
      <c r="AR18">
        <f>AR17+IF(AND(AQ18&lt;&gt;"",COUNTIF(AQ$4:AQ18,AQ18)=1),1,0)</f>
        <v/>
      </c>
      <c r="AS18" s="55">
        <f>IF(ROW()-3&gt;MAX(AR$4:AR$40),"",INDEX(AQ$4:AQ$40,MATCH(ROW()-3,AR$4:AR$40,0)))</f>
        <v/>
      </c>
      <c r="AT18" s="55">
        <f>IF('Final Calculation Sheet'!$H$18="","",'Final Calculation Sheet'!$H$18)</f>
        <v/>
      </c>
      <c r="AU18">
        <f>IF(AT18="","",COUNTIFS(AT$4:AT$40,"&lt;"&amp;AT18,AT$4:AT$40,"&lt;&gt;"&amp;"")+COUNTIF(AT$4:AT18,AT18))</f>
        <v/>
      </c>
      <c r="AV18" s="55">
        <f>IF(ROW()-3&gt;COUNTIF(AT$4:AT$40,"&lt;&gt;"&amp;""),"",INDEX(AT$4:AT$40,MATCH(ROW()-3,AU$4:AU$40,0)))</f>
        <v/>
      </c>
      <c r="AW18">
        <f>AW17+IF(AND(AV18&lt;&gt;"",COUNTIF(AV$4:AV18,AV18)=1),1,0)</f>
        <v/>
      </c>
      <c r="AX18" s="55">
        <f>IF(ROW()-3&gt;MAX(AW$4:AW$40),"",INDEX(AV$4:AV$40,MATCH(ROW()-3,AW$4:AW$40,0)))</f>
        <v/>
      </c>
      <c r="AY18" s="55">
        <f>IF('Final Calculation Sheet'!$I$18="","",'Final Calculation Sheet'!$I$18)</f>
        <v/>
      </c>
      <c r="AZ18">
        <f>IF(AY18="","",COUNTIFS(AY$4:AY$40,"&lt;"&amp;AY18,AY$4:AY$40,"&lt;&gt;"&amp;"")+COUNTIF(AY$4:AY18,AY18))</f>
        <v/>
      </c>
      <c r="BA18" s="55">
        <f>IF(ROW()-3&gt;COUNTIF(AY$4:AY$40,"&lt;&gt;"&amp;""),"",INDEX(AY$4:AY$40,MATCH(ROW()-3,AZ$4:AZ$40,0)))</f>
        <v/>
      </c>
      <c r="BB18">
        <f>BB17+IF(AND(BA18&lt;&gt;"",COUNTIF(BA$4:BA18,BA18)=1),1,0)</f>
        <v/>
      </c>
      <c r="BC18" s="55">
        <f>IF(ROW()-3&gt;MAX(BB$4:BB$40),"",INDEX(BA$4:BA$40,MATCH(ROW()-3,BB$4:BB$40,0)))</f>
        <v/>
      </c>
      <c r="BD18" s="55">
        <f>IF('Final Calculation Sheet'!$J$18="","",'Final Calculation Sheet'!$J$18)</f>
        <v/>
      </c>
      <c r="BE18">
        <f>IF(BD18="","",COUNTIFS(BD$4:BD$40,"&lt;"&amp;BD18,BD$4:BD$40,"&lt;&gt;"&amp;"")+COUNTIF(BD$4:BD18,BD18))</f>
        <v/>
      </c>
      <c r="BF18" s="55">
        <f>IF(ROW()-3&gt;COUNTIF(BD$4:BD$40,"&lt;&gt;"&amp;""),"",INDEX(BD$4:BD$40,MATCH(ROW()-3,BE$4:BE$40,0)))</f>
        <v/>
      </c>
      <c r="BG18">
        <f>BG17+IF(AND(BF18&lt;&gt;"",COUNTIF(BF$4:BF18,BF18)=1),1,0)</f>
        <v/>
      </c>
      <c r="BH18" s="55">
        <f>IF(ROW()-3&gt;MAX(BG$4:BG$40),"",INDEX(BF$4:BF$40,MATCH(ROW()-3,BG$4:BG$40,0)))</f>
        <v/>
      </c>
      <c r="BI18" s="55">
        <f>IF('Final Calculation Sheet'!$K$18="","",'Final Calculation Sheet'!$K$18)</f>
        <v/>
      </c>
      <c r="BJ18">
        <f>IF(BI18="","",COUNTIFS(BI$4:BI$40,"&lt;"&amp;BI18,BI$4:BI$40,"&lt;&gt;"&amp;"")+COUNTIF(BI$4:BI18,BI18))</f>
        <v/>
      </c>
      <c r="BK18" s="55">
        <f>IF(ROW()-3&gt;COUNTIF(BI$4:BI$40,"&lt;&gt;"&amp;""),"",INDEX(BI$4:BI$40,MATCH(ROW()-3,BJ$4:BJ$40,0)))</f>
        <v/>
      </c>
      <c r="BL18">
        <f>BL17+IF(AND(BK18&lt;&gt;"",COUNTIF(BK$4:BK18,BK18)=1),1,0)</f>
        <v/>
      </c>
      <c r="BM18" s="55">
        <f>IF(ROW()-3&gt;MAX(BL$4:BL$40),"",INDEX(BK$4:BK$40,MATCH(ROW()-3,BL$4:BL$40,0)))</f>
        <v/>
      </c>
      <c r="BN18" s="55">
        <f>IF('Final Calculation Sheet'!$L$18="","",'Final Calculation Sheet'!$L$18)</f>
        <v/>
      </c>
      <c r="BO18">
        <f>IF(BN18="","",COUNTIFS(BN$4:BN$40,"&lt;"&amp;BN18,BN$4:BN$40,"&lt;&gt;"&amp;"")+COUNTIF(BN$4:BN18,BN18))</f>
        <v/>
      </c>
      <c r="BP18" s="55">
        <f>IF(ROW()-3&gt;COUNTIF(BN$4:BN$40,"&lt;&gt;"&amp;""),"",INDEX(BN$4:BN$40,MATCH(ROW()-3,BO$4:BO$40,0)))</f>
        <v/>
      </c>
      <c r="BQ18">
        <f>BQ17+IF(AND(BP18&lt;&gt;"",COUNTIF(BP$4:BP18,BP18)=1),1,0)</f>
        <v/>
      </c>
      <c r="BR18" s="55">
        <f>IF(ROW()-3&gt;MAX(BQ$4:BQ$40),"",INDEX(BP$4:BP$40,MATCH(ROW()-3,BQ$4:BQ$40,0)))</f>
        <v/>
      </c>
      <c r="BS18" s="55">
        <f>IF('Final Calculation Sheet'!$M$18="","",'Final Calculation Sheet'!$M$18)</f>
        <v/>
      </c>
      <c r="BT18">
        <f>IF(BS18="","",COUNTIFS(BS$4:BS$40,"&lt;"&amp;BS18,BS$4:BS$40,"&lt;&gt;"&amp;"")+COUNTIF(BS$4:BS18,BS18))</f>
        <v/>
      </c>
      <c r="BU18" s="55">
        <f>IF(ROW()-3&gt;COUNTIF(BS$4:BS$40,"&lt;&gt;"&amp;""),"",INDEX(BS$4:BS$40,MATCH(ROW()-3,BT$4:BT$40,0)))</f>
        <v/>
      </c>
      <c r="BV18">
        <f>BV17+IF(AND(BU18&lt;&gt;"",COUNTIF(BU$4:BU18,BU18)=1),1,0)</f>
        <v/>
      </c>
      <c r="BW18" s="55">
        <f>IF(ROW()-3&gt;MAX(BV$4:BV$40),"",INDEX(BU$4:BU$40,MATCH(ROW()-3,BV$4:BV$40,0)))</f>
        <v/>
      </c>
      <c r="BX18" s="138">
        <f>IF('Final Calculation Sheet'!$N$18="","",'Final Calculation Sheet'!$N$18)</f>
        <v/>
      </c>
      <c r="BY18">
        <f>IF(BX18="","",COUNTIFS(BX$4:BX$40,"&lt;"&amp;BX18,BX$4:BX$40,"&lt;&gt;"&amp;"")+COUNTIF(BX$4:BX18,BX18))</f>
        <v/>
      </c>
      <c r="BZ18" s="138">
        <f>IF(ROW()-3&gt;COUNTIF(BX$4:BX$40,"&lt;&gt;"&amp;""),"",INDEX(BX$4:BX$40,MATCH(ROW()-3,BY$4:BY$40,0)))</f>
        <v/>
      </c>
      <c r="CA18">
        <f>CA17+IF(AND(BZ18&lt;&gt;"",COUNTIF(BZ$4:BZ18,BZ18)=1),1,0)</f>
        <v/>
      </c>
      <c r="CB18" s="138">
        <f>IF(ROW()-3&gt;MAX(CA$4:CA$40),"",INDEX(BZ$4:BZ$40,MATCH(ROW()-3,CA$4:CA$40,0)))</f>
        <v/>
      </c>
      <c r="CC18" s="55">
        <f>IF('Final Calculation Sheet'!$O$18="","",'Final Calculation Sheet'!$O$18)</f>
        <v/>
      </c>
      <c r="CD18">
        <f>IF(CC18="","",COUNTIFS(CC$4:CC$40,"&lt;"&amp;CC18,CC$4:CC$40,"&lt;&gt;"&amp;"")+COUNTIF(CC$4:CC18,CC18))</f>
        <v/>
      </c>
      <c r="CE18" s="55">
        <f>IF(ROW()-3&gt;COUNTIF(CC$4:CC$40,"&lt;&gt;"&amp;""),"",INDEX(CC$4:CC$40,MATCH(ROW()-3,CD$4:CD$40,0)))</f>
        <v/>
      </c>
      <c r="CF18">
        <f>CF17+IF(AND(CE18&lt;&gt;"",COUNTIF(CE$4:CE18,CE18)=1),1,0)</f>
        <v/>
      </c>
      <c r="CG18" s="55">
        <f>IF(ROW()-3&gt;MAX(CF$4:CF$40),"",INDEX(CE$4:CE$40,MATCH(ROW()-3,CF$4:CF$40,0)))</f>
        <v/>
      </c>
      <c r="CH18" s="55">
        <f>IF('Final Calculation Sheet'!$P$18="","",'Final Calculation Sheet'!$P$18)</f>
        <v/>
      </c>
      <c r="CI18">
        <f>IF(CH18="","",COUNTIFS(CH$4:CH$40,"&lt;"&amp;CH18,CH$4:CH$40,"&lt;&gt;"&amp;"")+COUNTIF(CH$4:CH18,CH18))</f>
        <v/>
      </c>
      <c r="CJ18" s="55">
        <f>IF(ROW()-3&gt;COUNTIF(CH$4:CH$40,"&lt;&gt;"&amp;""),"",INDEX(CH$4:CH$40,MATCH(ROW()-3,CI$4:CI$40,0)))</f>
        <v/>
      </c>
      <c r="CK18">
        <f>CK17+IF(AND(CJ18&lt;&gt;"",COUNTIF(CJ$4:CJ18,CJ18)=1),1,0)</f>
        <v/>
      </c>
      <c r="CL18" s="55">
        <f>IF(ROW()-3&gt;MAX(CK$4:CK$40),"",INDEX(CJ$4:CJ$40,MATCH(ROW()-3,CK$4:CK$40,0)))</f>
        <v/>
      </c>
      <c r="CM18" s="139">
        <f>IF('Final Calculation Sheet'!$Q$18="","",'Final Calculation Sheet'!$Q$18)</f>
        <v/>
      </c>
      <c r="CN18">
        <f>IF(CM18="","",COUNTIFS(CM$4:CM$40,"&lt;"&amp;CM18,CM$4:CM$40,"&lt;&gt;"&amp;"")+COUNTIF(CM$4:CM18,CM18))</f>
        <v/>
      </c>
      <c r="CO18" s="139">
        <f>IF(ROW()-3&gt;COUNTIF(CM$4:CM$40,"&lt;&gt;"&amp;""),"",INDEX(CM$4:CM$40,MATCH(ROW()-3,CN$4:CN$40,0)))</f>
        <v/>
      </c>
      <c r="CP18">
        <f>CP17+IF(AND(CO18&lt;&gt;"",COUNTIF(CO$4:CO18,CO18)=1),1,0)</f>
        <v/>
      </c>
      <c r="CQ18">
        <f>IF(ROW()-3&gt;MAX(CP$4:CP$40),"",INDEX(CO$4:CO$40,MATCH(ROW()-3,CP$4:CP$40,0)))</f>
        <v/>
      </c>
      <c r="CR18" s="55">
        <f>IF('Final Calculation Sheet'!$R$18="","",'Final Calculation Sheet'!$R$18)</f>
        <v/>
      </c>
      <c r="CS18">
        <f>IF(CR18="","",COUNTIFS(CR$4:CR$40,"&lt;"&amp;CR18,CR$4:CR$40,"&lt;&gt;"&amp;"")+COUNTIF(CR$4:CR18,CR18))</f>
        <v/>
      </c>
      <c r="CT18" s="55">
        <f>IF(ROW()-3&gt;COUNTIF(CR$4:CR$40,"&lt;&gt;"&amp;""),"",INDEX(CR$4:CR$40,MATCH(ROW()-3,CS$4:CS$40,0)))</f>
        <v/>
      </c>
      <c r="CU18">
        <f>CU17+IF(AND(CT18&lt;&gt;"",COUNTIF(CT$4:CT18,CT18)=1),1,0)</f>
        <v/>
      </c>
      <c r="CV18">
        <f>IF(ROW()-3&gt;MAX(CU$4:CU$40),"",INDEX(CT$4:CT$40,MATCH(ROW()-3,CU$4:CU$40,0)))</f>
        <v/>
      </c>
      <c r="CW18" s="55">
        <f>IF('Final Calculation Sheet'!$S$18="","",'Final Calculation Sheet'!$S$18)</f>
        <v/>
      </c>
      <c r="CX18">
        <f>IF(CW18="","",COUNTIFS(CW$4:CW$40,"&lt;"&amp;CW18,CW$4:CW$40,"&lt;&gt;"&amp;"")+COUNTIF(CW$4:CW18,CW18))</f>
        <v/>
      </c>
      <c r="CY18" s="55">
        <f>IF(ROW()-3&gt;COUNTIF(CW$4:CW$40,"&lt;&gt;"&amp;""),"",INDEX(CW$4:CW$40,MATCH(ROW()-3,CX$4:CX$40,0)))</f>
        <v/>
      </c>
      <c r="CZ18">
        <f>CZ17+IF(AND(CY18&lt;&gt;"",COUNTIF(CY$4:CY18,CY18)=1),1,0)</f>
        <v/>
      </c>
      <c r="DA18" s="55">
        <f>IF(ROW()-3&gt;MAX(CZ$4:CZ$40),"",INDEX(CY$4:CY$40,MATCH(ROW()-3,CZ$4:CZ$40,0)))</f>
        <v/>
      </c>
      <c r="DB18" s="55">
        <f>IF('Final Calculation Sheet'!$T$18="","",'Final Calculation Sheet'!$T$18)</f>
        <v/>
      </c>
      <c r="DC18">
        <f>IF(DB18="","",COUNTIFS(DB$4:DB$40,"&lt;"&amp;DB18,DB$4:DB$40,"&lt;&gt;"&amp;"")+COUNTIF(DB$4:DB18,DB18))</f>
        <v/>
      </c>
      <c r="DD18" s="55">
        <f>IF(ROW()-3&gt;COUNTIF(DB$4:DB$40,"&lt;&gt;"&amp;""),"",INDEX(DB$4:DB$40,MATCH(ROW()-3,DC$4:DC$40,0)))</f>
        <v/>
      </c>
      <c r="DE18">
        <f>DE17+IF(AND(DD18&lt;&gt;"",COUNTIF(DD$4:DD18,DD18)=1),1,0)</f>
        <v/>
      </c>
      <c r="DF18" s="55">
        <f>IF(ROW()-3&gt;MAX(DE$4:DE$40),"",INDEX(DD$4:DD$40,MATCH(ROW()-3,DE$4:DE$40,0)))</f>
        <v/>
      </c>
      <c r="DG18" s="140">
        <f>IF('Final Calculation Sheet'!$U$18="","",'Final Calculation Sheet'!$U$18)</f>
        <v/>
      </c>
      <c r="DH18">
        <f>IF(DG18="","",COUNTIFS(DG$4:DG$40,"&lt;"&amp;DG18,DG$4:DG$40,"&lt;&gt;"&amp;"")+COUNTIF(DG$4:DG18,DG18))</f>
        <v/>
      </c>
      <c r="DI18" s="140">
        <f>IF(ROW()-3&gt;COUNTIF(DG$4:DG$40,"&lt;&gt;"&amp;""),"",INDEX(DG$4:DG$40,MATCH(ROW()-3,DH$4:DH$40,0)))</f>
        <v/>
      </c>
      <c r="DJ18">
        <f>DJ17+IF(AND(DI18&lt;&gt;"",COUNTIF(DI$4:DI18,DI18)=1),1,0)</f>
        <v/>
      </c>
      <c r="DK18" s="140">
        <f>IF(ROW()-3&gt;MAX(DJ$4:DJ$40),"",INDEX(DI$4:DI$40,MATCH(ROW()-3,DJ$4:DJ$40,0)))</f>
        <v/>
      </c>
      <c r="DL18">
        <f>IF('Final Calculation Sheet'!$V$18="","",'Final Calculation Sheet'!$V$18)</f>
        <v/>
      </c>
      <c r="DM18">
        <f>IF(DL18="","",COUNTIFS(DL$4:DL$40,"&lt;"&amp;DL18,DL$4:DL$40,"&lt;&gt;"&amp;"")+COUNTIF(DL$4:DL18,DL18))</f>
        <v/>
      </c>
      <c r="DN18">
        <f>IF(ROW()-3&gt;COUNTIF(DL$4:DL$40,"&lt;&gt;"&amp;""),"",INDEX(DL$4:DL$40,MATCH(ROW()-3,DM$4:DM$40,0)))</f>
        <v/>
      </c>
      <c r="DO18">
        <f>DO17+IF(AND(DN18&lt;&gt;"",COUNTIF(DN$4:DN18,DN18)=1),1,0)</f>
        <v/>
      </c>
      <c r="DP18">
        <f>IF(ROW()-3&gt;MAX(DO$4:DO$40),"",INDEX(DN$4:DN$40,MATCH(ROW()-3,DO$4:DO$40,0)))</f>
        <v/>
      </c>
      <c r="DQ18" s="55">
        <f>IF('Final Calculation Sheet'!$W$18="","",'Final Calculation Sheet'!$W$18)</f>
        <v/>
      </c>
      <c r="DR18">
        <f>IF(DQ18="","",COUNTIFS(DQ$4:DQ$40,"&lt;"&amp;DQ18,DQ$4:DQ$40,"&lt;&gt;"&amp;"")+COUNTIF(DQ$4:DQ18,DQ18))</f>
        <v/>
      </c>
      <c r="DS18" s="55">
        <f>IF(ROW()-3&gt;COUNTIF(DQ$4:DQ$40,"&lt;&gt;"&amp;""),"",INDEX(DQ$4:DQ$40,MATCH(ROW()-3,DR$4:DR$40,0)))</f>
        <v/>
      </c>
      <c r="DT18">
        <f>DT17+IF(AND(DS18&lt;&gt;"",COUNTIF(DS$4:DS18,DS18)=1),1,0)</f>
        <v/>
      </c>
      <c r="DU18" s="55">
        <f>IF(ROW()-3&gt;MAX(DT$4:DT$40),"",INDEX(DS$4:DS$40,MATCH(ROW()-3,DT$4:DT$40,0)))</f>
        <v/>
      </c>
      <c r="DV18" s="55">
        <f>IF('Final Calculation Sheet'!$X$18="","",'Final Calculation Sheet'!$X$18)</f>
        <v/>
      </c>
      <c r="DW18">
        <f>IF(DV18="","",COUNTIFS(DV$4:DV$40,"&lt;"&amp;DV18,DV$4:DV$40,"&lt;&gt;"&amp;"")+COUNTIF(DV$4:DV18,DV18))</f>
        <v/>
      </c>
      <c r="DX18" s="55">
        <f>IF(ROW()-3&gt;COUNTIF(DV$4:DV$40,"&lt;&gt;"&amp;""),"",INDEX(DV$4:DV$40,MATCH(ROW()-3,DW$4:DW$40,0)))</f>
        <v/>
      </c>
      <c r="DY18">
        <f>DY17+IF(AND(DX18&lt;&gt;"",COUNTIF(DX$4:DX18,DX18)=1),1,0)</f>
        <v/>
      </c>
      <c r="DZ18">
        <f>IF(ROW()-3&gt;MAX(DY$4:DY$40),"",INDEX(DX$4:DX$40,MATCH(ROW()-3,DY$4:DY$40,0)))</f>
        <v/>
      </c>
      <c r="EA18">
        <f>IF('Final Calculation Sheet'!$Y$18="","",'Final Calculation Sheet'!$Y$18)</f>
        <v/>
      </c>
      <c r="EB18">
        <f>IF(EA18="","",COUNTIFS(EA$4:EA$40,"&lt;"&amp;EA18,EA$4:EA$40,"&lt;&gt;"&amp;"")+COUNTIF(EA$4:EA18,EA18))</f>
        <v/>
      </c>
      <c r="EC18">
        <f>IF(ROW()-3&gt;COUNTIF(EA$4:EA$40,"&lt;&gt;"&amp;""),"",INDEX(EA$4:EA$40,MATCH(ROW()-3,EB$4:EB$40,0)))</f>
        <v/>
      </c>
      <c r="ED18">
        <f>ED17+IF(AND(EC18&lt;&gt;"",COUNTIF(EC$4:EC18,EC18)=1),1,0)</f>
        <v/>
      </c>
      <c r="EE18">
        <f>IF(ROW()-3&gt;MAX(ED$4:ED$40),"",INDEX(EC$4:EC$40,MATCH(ROW()-3,ED$4:ED$40,0)))</f>
        <v/>
      </c>
      <c r="EF18" s="55">
        <f>IF('Final Calculation Sheet'!$Z$18="","",'Final Calculation Sheet'!$Z$18)</f>
        <v/>
      </c>
      <c r="EG18">
        <f>IF(EF18="","",COUNTIFS(EF$4:EF$40,"&lt;"&amp;EF18,EF$4:EF$40,"&lt;&gt;"&amp;"")+COUNTIF(EF$4:EF18,EF18))</f>
        <v/>
      </c>
      <c r="EH18" s="55">
        <f>IF(ROW()-3&gt;COUNTIF(EF$4:EF$40,"&lt;&gt;"&amp;""),"",INDEX(EF$4:EF$40,MATCH(ROW()-3,EG$4:EG$40,0)))</f>
        <v/>
      </c>
      <c r="EI18">
        <f>EI17+IF(AND(EH18&lt;&gt;"",COUNTIF(EH$4:EH18,EH18)=1),1,0)</f>
        <v/>
      </c>
      <c r="EJ18">
        <f>IF(ROW()-3&gt;MAX(EI$4:EI$40),"",INDEX(EH$4:EH$40,MATCH(ROW()-3,EI$4:EI$40,0)))</f>
        <v/>
      </c>
      <c r="EK18">
        <f>IF('Final Calculation Sheet'!$AA$18="","",'Final Calculation Sheet'!$AA$18)</f>
        <v/>
      </c>
      <c r="EL18">
        <f>IF(EK18="","",COUNTIFS(EK$4:EK$40,"&lt;"&amp;EK18,EK$4:EK$40,"&lt;&gt;"&amp;"")+COUNTIF(EK$4:EK18,EK18))</f>
        <v/>
      </c>
      <c r="EM18">
        <f>IF(ROW()-3&gt;COUNTIF(EK$4:EK$40,"&lt;&gt;"&amp;""),"",INDEX(EK$4:EK$40,MATCH(ROW()-3,EL$4:EL$40,0)))</f>
        <v/>
      </c>
      <c r="EN18">
        <f>EN17+IF(AND(EM18&lt;&gt;"",COUNTIF(EM$4:EM18,EM18)=1),1,0)</f>
        <v/>
      </c>
      <c r="EO18">
        <f>IF(ROW()-3&gt;MAX(EN$4:EN$40),"",INDEX(EM$4:EM$40,MATCH(ROW()-3,EN$4:EN$40,0)))</f>
        <v/>
      </c>
      <c r="EP18">
        <f>IF('Final Calculation Sheet'!$AB$18="","",'Final Calculation Sheet'!$AB$18)</f>
        <v/>
      </c>
      <c r="EQ18">
        <f>IF(EP18="","",COUNTIFS(EP$4:EP$40,"&lt;"&amp;EP18,EP$4:EP$40,"&lt;&gt;"&amp;"")+COUNTIF(EP$4:EP18,EP18))</f>
        <v/>
      </c>
      <c r="ER18">
        <f>IF(ROW()-3&gt;COUNTIF(EP$4:EP$40,"&lt;&gt;"&amp;""),"",INDEX(EP$4:EP$40,MATCH(ROW()-3,EQ$4:EQ$40,0)))</f>
        <v/>
      </c>
      <c r="ES18">
        <f>ES17+IF(AND(ER18&lt;&gt;"",COUNTIF(ER$4:ER18,ER18)=1),1,0)</f>
        <v/>
      </c>
      <c r="ET18">
        <f>IF(ROW()-3&gt;MAX(ES$4:ES$40),"",INDEX(ER$4:ER$40,MATCH(ROW()-3,ES$4:ES$40,0)))</f>
        <v/>
      </c>
      <c r="EU18" s="55">
        <f>IF('Final Calculation Sheet'!$AC$18="","",'Final Calculation Sheet'!$AC$18)</f>
        <v/>
      </c>
      <c r="EV18">
        <f>IF(EU18="","",COUNTIFS(EU$4:EU$40,"&lt;"&amp;EU18,EU$4:EU$40,"&lt;&gt;"&amp;"")+COUNTIF(EU$4:EU18,EU18))</f>
        <v/>
      </c>
      <c r="EW18" s="55">
        <f>IF(ROW()-3&gt;COUNTIF(EU$4:EU$40,"&lt;&gt;"&amp;""),"",INDEX(EU$4:EU$40,MATCH(ROW()-3,EV$4:EV$40,0)))</f>
        <v/>
      </c>
      <c r="EX18">
        <f>EX17+IF(AND(EW18&lt;&gt;"",COUNTIF(EW$4:EW18,EW18)=1),1,0)</f>
        <v/>
      </c>
      <c r="EY18" s="55">
        <f>IF(ROW()-3&gt;MAX(EX$4:EX$40),"",INDEX(EW$4:EW$40,MATCH(ROW()-3,EX$4:EX$40,0)))</f>
        <v/>
      </c>
      <c r="EZ18" s="55">
        <f>IF('Final Calculation Sheet'!$AD$18="","",'Final Calculation Sheet'!$AD$18)</f>
        <v/>
      </c>
      <c r="FA18">
        <f>IF(EZ18="","",COUNTIFS(EZ$4:EZ$40,"&lt;"&amp;EZ18,EZ$4:EZ$40,"&lt;&gt;"&amp;"")+COUNTIF(EZ$4:EZ18,EZ18))</f>
        <v/>
      </c>
      <c r="FB18" s="55">
        <f>IF(ROW()-3&gt;COUNTIF(EZ$4:EZ$40,"&lt;&gt;"&amp;""),"",INDEX(EZ$4:EZ$40,MATCH(ROW()-3,FA$4:FA$40,0)))</f>
        <v/>
      </c>
      <c r="FC18">
        <f>FC17+IF(AND(FB18&lt;&gt;"",COUNTIF(FB$4:FB18,FB18)=1),1,0)</f>
        <v/>
      </c>
      <c r="FD18">
        <f>IF(ROW()-3&gt;MAX(FC$4:FC$40),"",INDEX(FB$4:FB$40,MATCH(ROW()-3,FC$4:FC$40,0)))</f>
        <v/>
      </c>
      <c r="FE18">
        <f>IF('Final Calculation Sheet'!$AF$18="","",'Final Calculation Sheet'!$AF$18)</f>
        <v/>
      </c>
      <c r="FF18">
        <f>IF(FE18="","",COUNTIFS(FE$4:FE$40,"&lt;"&amp;FE18,FE$4:FE$40,"&lt;&gt;"&amp;"")+COUNTIF(FE$4:FE18,FE18))</f>
        <v/>
      </c>
      <c r="FG18">
        <f>IF(ROW()-3&gt;COUNTIF(FE$4:FE$40,"&lt;&gt;"&amp;""),"",INDEX(FE$4:FE$40,MATCH(ROW()-3,FF$4:FF$40,0)))</f>
        <v/>
      </c>
      <c r="FH18">
        <f>FH17+IF(AND(FG18&lt;&gt;"",COUNTIF(FG$4:FG18,FG18)=1),1,0)</f>
        <v/>
      </c>
      <c r="FI18">
        <f>IF(ROW()-3&gt;MAX(FH$4:FH$40),"",INDEX(FG$4:FG$40,MATCH(ROW()-3,FH$4:FH$40,0)))</f>
        <v/>
      </c>
      <c r="FJ18" s="141">
        <f>IF('Final Calculation Sheet'!$AG$18="","",'Final Calculation Sheet'!$AG$18)</f>
        <v/>
      </c>
      <c r="FK18">
        <f>IF(FJ18="","",COUNTIFS(FJ$4:FJ$40,"&lt;"&amp;FJ18,FJ$4:FJ$40,"&lt;&gt;"&amp;"")+COUNTIF(FJ$4:FJ18,FJ18))</f>
        <v/>
      </c>
      <c r="FL18" s="141">
        <f>IF(ROW()-3&gt;COUNTIF(FJ$4:FJ$40,"&lt;&gt;"&amp;""),"",INDEX(FJ$4:FJ$40,MATCH(ROW()-3,FK$4:FK$40,0)))</f>
        <v/>
      </c>
      <c r="FM18">
        <f>FM17+IF(AND(FL18&lt;&gt;"",COUNTIF(FL$4:FL18,FL18)=1),1,0)</f>
        <v/>
      </c>
      <c r="FN18">
        <f>IF(ROW()-3&gt;MAX(FM$4:FM$40),"",INDEX(FL$4:FL$40,MATCH(ROW()-3,FM$4:FM$40,0)))</f>
        <v/>
      </c>
      <c r="FO18">
        <f>IF('Final Calculation Sheet'!$AH$18="","",'Final Calculation Sheet'!$AH$18)</f>
        <v/>
      </c>
      <c r="FP18">
        <f>IF(FO18="","",COUNTIFS(FO$4:FO$40,"&lt;"&amp;FO18,FO$4:FO$40,"&lt;&gt;"&amp;"")+COUNTIF(FO$4:FO18,FO18))</f>
        <v/>
      </c>
      <c r="FQ18">
        <f>IF(ROW()-3&gt;COUNTIF(FO$4:FO$40,"&lt;&gt;"&amp;""),"",INDEX(FO$4:FO$40,MATCH(ROW()-3,FP$4:FP$40,0)))</f>
        <v/>
      </c>
      <c r="FR18">
        <f>FR17+IF(AND(FQ18&lt;&gt;"",COUNTIF(FQ$4:FQ18,FQ18)=1),1,0)</f>
        <v/>
      </c>
      <c r="FS18">
        <f>IF(ROW()-3&gt;MAX(FR$4:FR$40),"",INDEX(FQ$4:FQ$40,MATCH(ROW()-3,FR$4:FR$40,0)))</f>
        <v/>
      </c>
      <c r="FU18">
        <f>IF(FT18="","",COUNTIFS(FT$4:FT$40,"&lt;"&amp;FT18,FT$4:FT$40,"&lt;&gt;"&amp;"")+COUNTIF(FT$4:FT18,FT18))</f>
        <v/>
      </c>
      <c r="FV18">
        <f>IF(ROW()-3&gt;COUNTIF(FT$4:FT$40,"&lt;&gt;"&amp;""),"",INDEX(FT$4:FT$40,MATCH(ROW()-3,FU$4:FU$40,0)))</f>
        <v/>
      </c>
      <c r="FW18">
        <f>FW17+IF(AND(FV18&lt;&gt;"",COUNTIF(FV$4:FV18,FV18)=1),1,0)</f>
        <v/>
      </c>
      <c r="FX18">
        <f>IF(ROW()-3&gt;MAX(FW$4:FW$40),"",INDEX(FV$4:FV$40,MATCH(ROW()-3,FW$4:FW$40,0)))</f>
        <v/>
      </c>
      <c r="FY18">
        <f>IF(COUNTIF('Live Search'!BM$17:BO$17,0)+COUNTIF('Live Search'!BQ$17:CU$17,0)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8">
        <f>IF($Y$18="",FALSE,SUMPRODUCT(('Final Calculation Sheet'!$B$4:$B$40=$Y$18)*($FY$6:$FY$42=1))&gt;0)</f>
        <v/>
      </c>
      <c r="GA18">
        <f>$GA$17+--($FZ$18)</f>
        <v/>
      </c>
      <c r="GB18">
        <f>IF(ROW()-3&gt;MAX($GA$4:$GA$40),"",INDEX($Y$4:$Y$40,MATCH(ROW()-3,$GA$4:$GA$40,0)))</f>
        <v/>
      </c>
      <c r="GC18">
        <f>IF(COUNTIF('Live Search'!BM$17:BM$17,0)+COUNTIF('Live Search'!BO$17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GD18">
        <f>IF($O$18="",FALSE,SUMPRODUCT(('Final Calculation Sheet'!$F$4:$F$40=$O$18)*($GC$6:$GC$42=1))&gt;0)</f>
        <v/>
      </c>
      <c r="GE18">
        <f>$GE$17+--($GD18)</f>
        <v/>
      </c>
      <c r="GF18">
        <f>IF(ROW()-3&gt;MAX($GE$4:$GE$40),"",INDEX($O$4:$O$40,MATCH(ROW()-3,$GE$4:$GE$40,0)))</f>
        <v/>
      </c>
      <c r="GG18">
        <f>IF(COUNTIF('Live Search'!BM$17:BN$17,0)+COUNTIF('Live Search'!BP$17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GH18">
        <f>IF($T$18="",FALSE,SUMPRODUCT(('Final Calculation Sheet'!$G$4:$G$40=$T$18)*($GG$6:$GG$42=1))&gt;0)</f>
        <v/>
      </c>
      <c r="GI18">
        <f>$GI$17+--($GH18)</f>
        <v/>
      </c>
      <c r="GJ18">
        <f>IF(ROW()-3&gt;MAX($GI$4:$GI$40),"",INDEX($T$4:$T$40,MATCH(ROW()-3,$GI$4:$GI$40,0)))</f>
        <v/>
      </c>
      <c r="GK18">
        <f>IF(COUNTIF('Live Search'!BM$17:BP$17,0)+COUNTIF('Live Search'!BR$17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GL18">
        <f>IF($AD$18="",FALSE,SUMPRODUCT(('Final Calculation Sheet'!$D$4:$D$40=$AD$18)*($GK$6:$GK$42=1))&gt;0)</f>
        <v/>
      </c>
      <c r="GM18">
        <f>$GM$17+--($GL18)</f>
        <v/>
      </c>
      <c r="GN18">
        <f>IF(ROW()-3&gt;MAX($GM$4:$GM$40),"",INDEX($AD$4:$AD$40,MATCH(ROW()-3,$GM$4:$GM$40,0)))</f>
        <v/>
      </c>
      <c r="GO18">
        <f>IF(COUNTIF('Live Search'!BM$17:BQ$17,0)+COUNTIF('Live Search'!BS$17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GP18">
        <f>IF($AI$18="",FALSE,SUMPRODUCT(('Final Calculation Sheet'!$A$4:$A$40=$AI$18)*($GO$6:$GO$42=1))&gt;0)</f>
        <v/>
      </c>
      <c r="GQ18">
        <f>$GQ$17+--($GP18)</f>
        <v/>
      </c>
      <c r="GR18">
        <f>IF(ROW()-3&gt;MAX($GQ$4:$GQ$40),"",INDEX($AI$4:$AI$40,MATCH(ROW()-3,$GQ$4:$GQ$40,0)))</f>
        <v/>
      </c>
      <c r="GS18">
        <f>IF(COUNTIF('Live Search'!BM$17:BR$17,0)+COUNTIF('Live Search'!BT$17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GT18">
        <f>IF($AN$18="",FALSE,SUMPRODUCT(('Final Calculation Sheet'!$E$4:$E$40=$AN$18)*($GS$6:$GS$42=1))&gt;0)</f>
        <v/>
      </c>
      <c r="GU18">
        <f>$GU$17+--($GT18)</f>
        <v/>
      </c>
      <c r="GV18">
        <f>IF(ROW()-3&gt;MAX($GU$4:$GU$40),"",INDEX($AN$4:$AN$40,MATCH(ROW()-3,$GU$4:$GU$40,0)))</f>
        <v/>
      </c>
      <c r="GW18">
        <f>IF(COUNTIF('Live Search'!BM$17:BS$17,0)+COUNTIF('Live Search'!BU$17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GX18">
        <f>IF($AS$18="",FALSE,SUMPRODUCT(('Final Calculation Sheet'!$C$4:$C$40=$AS$18)*($GW$6:$GW$42=1))&gt;0)</f>
        <v/>
      </c>
      <c r="GY18">
        <f>$GY$17+--($GX18)</f>
        <v/>
      </c>
      <c r="GZ18">
        <f>IF(ROW()-3&gt;MAX($GY$4:$GY$40),"",INDEX($AS$4:$AS$40,MATCH(ROW()-3,$GY$4:$GY$40,0)))</f>
        <v/>
      </c>
      <c r="HA18">
        <f>IF(COUNTIF('Live Search'!BM$17:BT$17,0)+COUNTIF('Live Search'!BV$17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HB18">
        <f>IF($AX$18="",FALSE,SUMPRODUCT(('Final Calculation Sheet'!$H$4:$H$40=$AX$18)*($HA$6:$HA$42=1))&gt;0)</f>
        <v/>
      </c>
      <c r="HC18">
        <f>$HC$17+--($HB18)</f>
        <v/>
      </c>
      <c r="HD18">
        <f>IF(ROW()-3&gt;MAX($HC$4:$HC$40),"",INDEX($AX$4:$AX$40,MATCH(ROW()-3,$HC$4:$HC$40,0)))</f>
        <v/>
      </c>
      <c r="HE18">
        <f>IF(COUNTIF('Live Search'!BM$17:BU$17,0)+COUNTIF('Live Search'!BW$17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HF18">
        <f>IF($BC$18="",FALSE,SUMPRODUCT(('Final Calculation Sheet'!$I$4:$I$40=$BC$18)*($HE$6:$HE$42=1))&gt;0)</f>
        <v/>
      </c>
      <c r="HG18">
        <f>$HG$17+--($HF18)</f>
        <v/>
      </c>
      <c r="HH18">
        <f>IF(ROW()-3&gt;MAX($HG$4:$HG$40),"",INDEX($BC$4:$BC$40,MATCH(ROW()-3,$HG$4:$HG$40,0)))</f>
        <v/>
      </c>
      <c r="HI18">
        <f>IF(COUNTIF('Live Search'!BM$17:BV$17,0)+COUNTIF('Live Search'!BX$17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HJ18">
        <f>IF($BH$18="",FALSE,SUMPRODUCT(('Final Calculation Sheet'!$J$4:$J$40=$BH$18)*($HI$6:$HI$42=1))&gt;0)</f>
        <v/>
      </c>
      <c r="HK18">
        <f>$HK$17+--($HJ18)</f>
        <v/>
      </c>
      <c r="HL18">
        <f>IF(ROW()-3&gt;MAX($HK$4:$HK$40),"",INDEX($BH$4:$BH$40,MATCH(ROW()-3,$HK$4:$HK$40,0)))</f>
        <v/>
      </c>
      <c r="HM18">
        <f>IF(COUNTIF('Live Search'!BM$17:BW$17,0)+COUNTIF('Live Search'!BY$17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HN18">
        <f>IF($BM$18="",FALSE,SUMPRODUCT(('Final Calculation Sheet'!$K$4:$K$40=$BM$18)*($HM$6:$HM$42=1))&gt;0)</f>
        <v/>
      </c>
      <c r="HO18">
        <f>$HO$17+--($HN18)</f>
        <v/>
      </c>
      <c r="HP18">
        <f>IF(ROW()-3&gt;MAX($HO$4:$HO$40),"",INDEX($BM$4:$BM$40,MATCH(ROW()-3,$HO$4:$HO$40,0)))</f>
        <v/>
      </c>
      <c r="HQ18">
        <f>IF(COUNTIF('Live Search'!BM$17:BX$17,0)+COUNTIF('Live Search'!BZ$17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HR18">
        <f>IF($BR$18="",FALSE,SUMPRODUCT(('Final Calculation Sheet'!$L$4:$L$40=$BR$18)*($HQ$6:$HQ$42=1))&gt;0)</f>
        <v/>
      </c>
      <c r="HS18">
        <f>$HS$17+--($HR18)</f>
        <v/>
      </c>
      <c r="HT18">
        <f>IF(ROW()-3&gt;MAX($HS$4:$HS$40),"",INDEX($BR$4:$BR$40,MATCH(ROW()-3,$HS$4:$HS$40,0)))</f>
        <v/>
      </c>
      <c r="HU18">
        <f>IF(COUNTIF('Live Search'!BM$17:BY$17,0)+COUNTIF('Live Search'!CA$17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HV18">
        <f>IF($BW$18="",FALSE,SUMPRODUCT(('Final Calculation Sheet'!$M$4:$M$40=$BW$18)*($HU$6:$HU$42=1))&gt;0)</f>
        <v/>
      </c>
      <c r="HW18">
        <f>$HW$17+--($HV18)</f>
        <v/>
      </c>
      <c r="HX18">
        <f>IF(ROW()-3&gt;MAX($HW$4:$HW$40),"",INDEX($BW$4:$BW$40,MATCH(ROW()-3,$HW$4:$HW$40,0)))</f>
        <v/>
      </c>
      <c r="HY18">
        <f>IF(COUNTIF('Live Search'!BM$17:BZ$17,0)+COUNTIF('Live Search'!CB$17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HZ18">
        <f>IF($CB$18="",FALSE,SUMPRODUCT(('Final Calculation Sheet'!$N$4:$N$40=$CB$18)*($HY$6:$HY$42=1))&gt;0)</f>
        <v/>
      </c>
      <c r="IA18">
        <f>$IA$17+--($HZ18)</f>
        <v/>
      </c>
      <c r="IB18">
        <f>IF(ROW()-3&gt;MAX($IA$4:$IA$40),"",INDEX($CB$4:$CB$40,MATCH(ROW()-3,$IA$4:$IA$40,0)))</f>
        <v/>
      </c>
      <c r="IC18">
        <f>IF(COUNTIF('Live Search'!BM$17:CA$17,0)+COUNTIF('Live Search'!CC$17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ID18">
        <f>IF($CG$18="",FALSE,SUMPRODUCT(('Final Calculation Sheet'!$O$4:$O$40=$CG$18)*($IC$6:$IC$42=1))&gt;0)</f>
        <v/>
      </c>
      <c r="IE18">
        <f>$IE$17+--($ID18)</f>
        <v/>
      </c>
      <c r="IF18">
        <f>IF(ROW()-3&gt;MAX($IE$4:$IE$40),"",INDEX($CG$4:$CG$40,MATCH(ROW()-3,$IE$4:$IE$40,0)))</f>
        <v/>
      </c>
      <c r="IG18">
        <f>IF(COUNTIF('Live Search'!BM$17:CB$17,0)+COUNTIF('Live Search'!CD$17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IH18">
        <f>IF($CL$18="",FALSE,SUMPRODUCT(('Final Calculation Sheet'!$P$4:$P$40=$CL$18)*($IG$6:$IG$42=1))&gt;0)</f>
        <v/>
      </c>
      <c r="II18">
        <f>$II$17+--($IH18)</f>
        <v/>
      </c>
      <c r="IJ18">
        <f>IF(ROW()-3&gt;MAX($II$4:$II$40),"",INDEX($CL$4:$CL$40,MATCH(ROW()-3,$II$4:$II$40,0)))</f>
        <v/>
      </c>
      <c r="IK18">
        <f>IF(COUNTIF('Live Search'!BM$17:CC$17,0)+COUNTIF('Live Search'!CE$17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IL18">
        <f>IF($CQ$18="",FALSE,SUMPRODUCT(('Final Calculation Sheet'!$Q$4:$Q$40=$CQ$18)*($IK$6:$IK$42=1))&gt;0)</f>
        <v/>
      </c>
      <c r="IM18">
        <f>$IM$17+--($IL18)</f>
        <v/>
      </c>
      <c r="IN18">
        <f>IF(ROW()-3&gt;MAX($IM$4:$IM$40),"",INDEX($CQ$4:$CQ$40,MATCH(ROW()-3,$IM$4:$IM$40,0)))</f>
        <v/>
      </c>
      <c r="IO18">
        <f>IF(COUNTIF('Live Search'!BM$17:CD$17,0)+COUNTIF('Live Search'!CF$17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IP18">
        <f>IF($CV$18="",FALSE,SUMPRODUCT(('Final Calculation Sheet'!$R$4:$R$40=$CV$18)*($IO$6:$IO$42=1))&gt;0)</f>
        <v/>
      </c>
      <c r="IQ18">
        <f>$IQ$17+--($IP18)</f>
        <v/>
      </c>
      <c r="IR18">
        <f>IF(ROW()-3&gt;MAX($IQ$4:$IQ$40),"",INDEX($CV$4:$CV$40,MATCH(ROW()-3,$IQ$4:$IQ$40,0)))</f>
        <v/>
      </c>
      <c r="IS18">
        <f>IF(COUNTIF('Live Search'!BM$17:CE$17,0)+COUNTIF('Live Search'!CG$17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IT18">
        <f>IF($DA$18="",FALSE,SUMPRODUCT(('Final Calculation Sheet'!$S$4:$S$40=$DA$18)*($IS$6:$IS$42=1))&gt;0)</f>
        <v/>
      </c>
      <c r="IU18">
        <f>$IU$17+--($IT18)</f>
        <v/>
      </c>
      <c r="IV18">
        <f>IF(ROW()-3&gt;MAX($IU$4:$IU$40),"",INDEX($DA$4:$DA$40,MATCH(ROW()-3,$IU$4:$IU$40,0)))</f>
        <v/>
      </c>
      <c r="IW18">
        <f>IF(COUNTIF('Live Search'!BM$17:CF$17,0)+COUNTIF('Live Search'!CH$17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IX18">
        <f>IF($DF$18="",FALSE,SUMPRODUCT(('Final Calculation Sheet'!$T$4:$T$40=$DF$18)*($IW$6:$IW$42=1))&gt;0)</f>
        <v/>
      </c>
      <c r="IY18">
        <f>$IY$17+--($IX18)</f>
        <v/>
      </c>
      <c r="IZ18">
        <f>IF(ROW()-3&gt;MAX($IY$4:$IY$40),"",INDEX($DF$4:$DF$40,MATCH(ROW()-3,$IY$4:$IY$40,0)))</f>
        <v/>
      </c>
      <c r="JA18">
        <f>IF(COUNTIF('Live Search'!BM$17:CG$17,0)+COUNTIF('Live Search'!CI$17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JB18">
        <f>IF($DK$18="",FALSE,SUMPRODUCT(('Final Calculation Sheet'!$U$4:$U$40=$DK$18)*($JA$6:$JA$42=1))&gt;0)</f>
        <v/>
      </c>
      <c r="JC18">
        <f>$JC$17+--($JB18)</f>
        <v/>
      </c>
      <c r="JD18">
        <f>IF(ROW()-3&gt;MAX($JC$4:$JC$40),"",INDEX($DK$4:$DK$40,MATCH(ROW()-3,$JC$4:$JC$40,0)))</f>
        <v/>
      </c>
      <c r="JE18">
        <f>IF(COUNTIF('Live Search'!BM$17:CH$17,0)+COUNTIF('Live Search'!CJ$17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JF18">
        <f>IF($DP$18="",FALSE,SUMPRODUCT(('Final Calculation Sheet'!$V$4:$V$40=$DP$18)*($JE$6:$JE$42=1))&gt;0)</f>
        <v/>
      </c>
      <c r="JG18">
        <f>$JG$17+--($JF18)</f>
        <v/>
      </c>
      <c r="JH18">
        <f>IF(ROW()-3&gt;MAX($JG$4:$JG$40),"",INDEX($DP$4:$DP$40,MATCH(ROW()-3,$JG$4:$JG$40,0)))</f>
        <v/>
      </c>
      <c r="JI18">
        <f>IF(COUNTIF('Live Search'!BM$17:CI$17,0)+COUNTIF('Live Search'!CK$17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JJ18">
        <f>IF($DU$18="",FALSE,SUMPRODUCT(('Final Calculation Sheet'!$W$4:$W$40=$DU$18)*($JI$6:$JI$42=1))&gt;0)</f>
        <v/>
      </c>
      <c r="JK18">
        <f>$JK$17+--($JJ18)</f>
        <v/>
      </c>
      <c r="JL18">
        <f>IF(ROW()-3&gt;MAX($JK$4:$JK$40),"",INDEX($DU$4:$DU$40,MATCH(ROW()-3,$JK$4:$JK$40,0)))</f>
        <v/>
      </c>
      <c r="JM18">
        <f>IF(COUNTIF('Live Search'!BM$17:CJ$17,0)+COUNTIF('Live Search'!CL$17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JN18">
        <f>IF($DZ$18="",FALSE,SUMPRODUCT(('Final Calculation Sheet'!$X$4:$X$40=$DZ$18)*($JM$6:$JM$42=1))&gt;0)</f>
        <v/>
      </c>
      <c r="JO18">
        <f>$JO$17+--($JN18)</f>
        <v/>
      </c>
      <c r="JP18">
        <f>IF(ROW()-3&gt;MAX($JO$4:$JO$40),"",INDEX($DZ$4:$DZ$40,MATCH(ROW()-3,$JO$4:$JO$40,0)))</f>
        <v/>
      </c>
      <c r="JQ18">
        <f>IF(COUNTIF('Live Search'!BM$17:CK$17,0)+COUNTIF('Live Search'!CM$17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JR18">
        <f>IF($EE$18="",FALSE,SUMPRODUCT(('Final Calculation Sheet'!$Y$4:$Y$40=$EE$18)*($JQ$6:$JQ$42=1))&gt;0)</f>
        <v/>
      </c>
      <c r="JS18">
        <f>$JS$17+--($JR18)</f>
        <v/>
      </c>
      <c r="JT18">
        <f>IF(ROW()-3&gt;MAX($JS$4:$JS$40),"",INDEX($EE$4:$EE$40,MATCH(ROW()-3,$JS$4:$JS$40,0)))</f>
        <v/>
      </c>
      <c r="JU18">
        <f>IF(COUNTIF('Live Search'!BM$17:CL$17,0)+COUNTIF('Live Search'!CN$17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JV18">
        <f>IF($EJ$18="",FALSE,SUMPRODUCT(('Final Calculation Sheet'!$Z$4:$Z$40=$EJ$18)*($JU$6:$JU$42=1))&gt;0)</f>
        <v/>
      </c>
      <c r="JW18">
        <f>$JW$17+--($JV18)</f>
        <v/>
      </c>
      <c r="JX18">
        <f>IF(ROW()-3&gt;MAX($JW$4:$JW$40),"",INDEX($EJ$4:$EJ$40,MATCH(ROW()-3,$JW$4:$JW$40,0)))</f>
        <v/>
      </c>
      <c r="JY18">
        <f>IF(COUNTIF('Live Search'!BM$17:CM$17,0)+COUNTIF('Live Search'!CO$17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JZ18">
        <f>IF($EO$18="",FALSE,SUMPRODUCT(('Final Calculation Sheet'!$AA$4:$AA$40=$EO$18)*($JY$6:$JY$42=1))&gt;0)</f>
        <v/>
      </c>
      <c r="KA18">
        <f>$KA$17+--($JZ18)</f>
        <v/>
      </c>
      <c r="KB18">
        <f>IF(ROW()-3&gt;MAX($KA$4:$KA$40),"",INDEX($EO$4:$EO$40,MATCH(ROW()-3,$KA$4:$KA$40,0)))</f>
        <v/>
      </c>
      <c r="KC18">
        <f>IF(COUNTIF('Live Search'!BM$17:CN$17,0)+COUNTIF('Live Search'!CP$17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KD18">
        <f>IF($ET$18="",FALSE,SUMPRODUCT(('Final Calculation Sheet'!$AB$4:$AB$40=$ET$18)*($KC$6:$KC$42=1))&gt;0)</f>
        <v/>
      </c>
      <c r="KE18">
        <f>$KE$17+--($KD18)</f>
        <v/>
      </c>
      <c r="KF18">
        <f>IF(ROW()-3&gt;MAX($KE$4:$KE$40),"",INDEX($ET$4:$ET$40,MATCH(ROW()-3,$KE$4:$KE$40,0)))</f>
        <v/>
      </c>
      <c r="KG18">
        <f>IF(COUNTIF('Live Search'!BM$17:CO$17,0)+COUNTIF('Live Search'!CQ$17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KH18">
        <f>IF($EY$18="",FALSE,SUMPRODUCT(('Final Calculation Sheet'!$AC$4:$AC$40=$EY$18)*($KG$6:$KG$42=1))&gt;0)</f>
        <v/>
      </c>
      <c r="KI18">
        <f>$KI$17+--($KH18)</f>
        <v/>
      </c>
      <c r="KJ18">
        <f>IF(ROW()-3&gt;MAX($KI$4:$KI$40),"",INDEX($EY$4:$EY$40,MATCH(ROW()-3,$KI$4:$KI$40,0)))</f>
        <v/>
      </c>
      <c r="KK18">
        <f>IF(COUNTIF('Live Search'!BM$17:CP$17,0)+COUNTIF('Live Search'!CR$17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KL18">
        <f>IF($FD$18="",FALSE,SUMPRODUCT(('Final Calculation Sheet'!$AD$4:$AD$40=$FD$18)*($KK$6:$KK$42=1))&gt;0)</f>
        <v/>
      </c>
      <c r="KM18">
        <f>$KM$17+--($KL18)</f>
        <v/>
      </c>
      <c r="KN18">
        <f>IF(ROW()-3&gt;MAX($KM$4:$KM$40),"",INDEX($FD$4:$FD$40,MATCH(ROW()-3,$KM$4:$KM$40,0)))</f>
        <v/>
      </c>
      <c r="KO18">
        <f>IF(COUNTIF('Live Search'!BM$17:CT$17,0)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KP18">
        <f>IF($FX$18="",FALSE,SUMPRODUCT((IF('Final Calculation Sheet'!$AD$4:$AD$40&lt;=5,"SETTLED","OUTSTANDING")=$FX$18)*($KO$6:$KO$42=1))&gt;0)</f>
        <v/>
      </c>
      <c r="KQ18">
        <f>$KQ$17+--($KP18)</f>
        <v/>
      </c>
      <c r="KR18">
        <f>IF(ROW()-3&gt;MAX($KQ$4:$KQ$40),"",INDEX($FX$4:$FX$40,MATCH(ROW()-3,$KQ$4:$KQ$40,0)))</f>
        <v/>
      </c>
      <c r="KS18">
        <f>IF(COUNTIF('Live Search'!BM$17:CQ$17,0)+COUNTIF('Live Search'!CS$17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KT18">
        <f>IF($FI$18="",FALSE,SUMPRODUCT(('Final Calculation Sheet'!$AF$4:$AF$40=$FI$18)*($KS$6:$KS$42=1))&gt;0)</f>
        <v/>
      </c>
      <c r="KU18">
        <f>$KU$17+--($KT18)</f>
        <v/>
      </c>
      <c r="KV18">
        <f>IF(ROW()-3&gt;MAX($KU$4:$KU$40),"",INDEX($FI$4:$FI$40,MATCH(ROW()-3,$KU$4:$KU$40,0)))</f>
        <v/>
      </c>
      <c r="KW18">
        <f>IF(COUNTIF('Live Search'!BM$17:CR$17,0)+COUNTIF('Live Search'!CT$17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KX18">
        <f>IF($FN$18="",FALSE,SUMPRODUCT(('Final Calculation Sheet'!$AG$4:$AG$40=$FN$18)*($KW$6:$KW$42=1))&gt;0)</f>
        <v/>
      </c>
      <c r="KY18">
        <f>$KY$17+--($KX18)</f>
        <v/>
      </c>
      <c r="KZ18">
        <f>IF(ROW()-3&gt;MAX($KY$4:$KY$40),"",INDEX($FN$4:$FN$40,MATCH(ROW()-3,$KY$4:$KY$40,0)))</f>
        <v/>
      </c>
      <c r="LA18">
        <f>IF(COUNTIF('Live Search'!BM$17:CS$17,0)+COUNTIF('Live Search'!CU$17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LB18">
        <f>IF($FS$18="",FALSE,SUMPRODUCT(('Final Calculation Sheet'!$AH$4:$AH$40=$FS$18)*($LA$6:$LA$42=1))&gt;0)</f>
        <v/>
      </c>
      <c r="LC18">
        <f>$LC$17+--($LB18)</f>
        <v/>
      </c>
      <c r="LD18">
        <f>IF(ROW()-3&gt;MAX($LC$4:$LC$40),"",INDEX($FS$4:$FS$40,MATCH(ROW()-3,$LC$4:$LC$40,0)))</f>
        <v/>
      </c>
      <c r="LE18">
        <f>IF(COUNTIF('Buyer Groups'!DH71:EN71,0)&gt;0,0,1)</f>
        <v/>
      </c>
      <c r="LF18">
        <f>IF($O$18="",FALSE,SUMPRODUCT(('Final Calculation Sheet'!$F$4:$F$40=$O$18)*($LE$6:$LE$42=1))&gt;0)</f>
        <v/>
      </c>
      <c r="LG18">
        <f>$LG$17+--($LF18)</f>
        <v/>
      </c>
      <c r="LH18">
        <f>IF(ROW()-3&gt;MAX($LG$4:$LG$40),"",INDEX($O$4:$O$40,MATCH(ROW()-3,$LG$4:$LG$40,0)))</f>
        <v/>
      </c>
      <c r="LI18">
        <f>IF(COUNTIF('Buyer Groups'!DG71:DG71,0)+COUNTIF('Buyer Groups'!DI71:EN71,0)&gt;0,0,1)</f>
        <v/>
      </c>
      <c r="LJ18">
        <f>IF($T$18="",FALSE,SUMPRODUCT(('Final Calculation Sheet'!$G$4:$G$40=$T$18)*($LI$6:$LI$42=1))&gt;0)</f>
        <v/>
      </c>
      <c r="LK18">
        <f>$LK$17+--($LJ18)</f>
        <v/>
      </c>
      <c r="LL18">
        <f>IF(ROW()-3&gt;MAX($LK$4:$LK$40),"",INDEX($T$4:$T$40,MATCH(ROW()-3,$LK$4:$LK$40,0)))</f>
        <v/>
      </c>
      <c r="LM18">
        <f>IF(COUNTIF('Buyer Groups'!DG71:DH71,0)+COUNTIF('Buyer Groups'!DJ71:EN71,0)&gt;0,0,1)</f>
        <v/>
      </c>
      <c r="LN18">
        <f>IF($Y$18="",FALSE,SUMPRODUCT(('Final Calculation Sheet'!$B$4:$B$40=$Y$18)*($LM$6:$LM$42=1))&gt;0)</f>
        <v/>
      </c>
      <c r="LO18">
        <f>$LO$17+--($LN18)</f>
        <v/>
      </c>
      <c r="LP18">
        <f>IF(ROW()-3&gt;MAX($LO$4:$LO$40),"",INDEX($Y$4:$Y$40,MATCH(ROW()-3,$LO$4:$LO$40,0)))</f>
        <v/>
      </c>
      <c r="LQ18">
        <f>IF(COUNTIF('Buyer Groups'!DG71:DI71,0)+COUNTIF('Buyer Groups'!DK71:EN71,0)&gt;0,0,1)</f>
        <v/>
      </c>
      <c r="LR18">
        <f>IF($AD$18="",FALSE,SUMPRODUCT(('Final Calculation Sheet'!$D$4:$D$40=$AD$18)*($LQ$6:$LQ$42=1))&gt;0)</f>
        <v/>
      </c>
      <c r="LS18">
        <f>$LS$17+--($LR18)</f>
        <v/>
      </c>
      <c r="LT18">
        <f>IF(ROW()-3&gt;MAX($LS$4:$LS$40),"",INDEX($AD$4:$AD$40,MATCH(ROW()-3,$LS$4:$LS$40,0)))</f>
        <v/>
      </c>
      <c r="LU18">
        <f>IF(COUNTIF('Buyer Groups'!DG71:DJ71,0)+COUNTIF('Buyer Groups'!DL71:EN71,0)&gt;0,0,1)</f>
        <v/>
      </c>
      <c r="LV18">
        <f>IF($AI$18="",FALSE,SUMPRODUCT(('Final Calculation Sheet'!$A$4:$A$40=$AI$18)*($LU$6:$LU$42=1))&gt;0)</f>
        <v/>
      </c>
      <c r="LW18">
        <f>$LW$17+--($LV18)</f>
        <v/>
      </c>
      <c r="LX18">
        <f>IF(ROW()-3&gt;MAX($LW$4:$LW$40),"",INDEX($AI$4:$AI$40,MATCH(ROW()-3,$LW$4:$LW$40,0)))</f>
        <v/>
      </c>
      <c r="LY18">
        <f>IF(COUNTIF('Buyer Groups'!DG71:DK71,0)+COUNTIF('Buyer Groups'!DM71:EN71,0)&gt;0,0,1)</f>
        <v/>
      </c>
      <c r="LZ18">
        <f>IF($AN$18="",FALSE,SUMPRODUCT(('Final Calculation Sheet'!$E$4:$E$40=$AN$18)*($LY$6:$LY$42=1))&gt;0)</f>
        <v/>
      </c>
      <c r="MA18">
        <f>$MA$17+--($LZ18)</f>
        <v/>
      </c>
      <c r="MB18">
        <f>IF(ROW()-3&gt;MAX($MA$4:$MA$40),"",INDEX($AN$4:$AN$40,MATCH(ROW()-3,$MA$4:$MA$40,0)))</f>
        <v/>
      </c>
      <c r="MC18">
        <f>IF(COUNTIF('Buyer Groups'!DG71:DL71,0)+COUNTIF('Buyer Groups'!DN71:EN71,0)&gt;0,0,1)</f>
        <v/>
      </c>
      <c r="MD18">
        <f>IF($AS$18="",FALSE,SUMPRODUCT(('Final Calculation Sheet'!$C$4:$C$40=$AS$18)*($MC$6:$MC$42=1))&gt;0)</f>
        <v/>
      </c>
      <c r="ME18">
        <f>$ME$17+--($MD18)</f>
        <v/>
      </c>
      <c r="MF18">
        <f>IF(ROW()-3&gt;MAX($ME$4:$ME$40),"",INDEX($AS$4:$AS$40,MATCH(ROW()-3,$ME$4:$ME$40,0)))</f>
        <v/>
      </c>
      <c r="MG18">
        <f>IF(COUNTIF('Buyer Groups'!DG71:DM71,0)+COUNTIF('Buyer Groups'!DO71:EN71,0)&gt;0,0,1)</f>
        <v/>
      </c>
      <c r="MH18">
        <f>IF($AX$18="",FALSE,SUMPRODUCT(('Final Calculation Sheet'!$H$4:$H$40=$AX$18)*($MG$6:$MG$42=1))&gt;0)</f>
        <v/>
      </c>
      <c r="MI18">
        <f>$MI$17+--($MH18)</f>
        <v/>
      </c>
      <c r="MJ18">
        <f>IF(ROW()-3&gt;MAX($MI$4:$MI$40),"",INDEX($AX$4:$AX$40,MATCH(ROW()-3,$MI$4:$MI$40,0)))</f>
        <v/>
      </c>
      <c r="MK18">
        <f>IF(COUNTIF('Buyer Groups'!DG71:DN71,0)+COUNTIF('Buyer Groups'!DP71:EN71,0)&gt;0,0,1)</f>
        <v/>
      </c>
      <c r="ML18">
        <f>IF($BC$18="",FALSE,SUMPRODUCT(('Final Calculation Sheet'!$I$4:$I$40=$BC$18)*($MK$6:$MK$42=1))&gt;0)</f>
        <v/>
      </c>
      <c r="MM18">
        <f>$MM$17+--($ML18)</f>
        <v/>
      </c>
      <c r="MN18">
        <f>IF(ROW()-3&gt;MAX($MM$4:$MM$40),"",INDEX($BC$4:$BC$40,MATCH(ROW()-3,$MM$4:$MM$40,0)))</f>
        <v/>
      </c>
      <c r="MO18">
        <f>IF(COUNTIF('Buyer Groups'!DG71:DO71,0)+COUNTIF('Buyer Groups'!DQ71:EN71,0)&gt;0,0,1)</f>
        <v/>
      </c>
      <c r="MP18">
        <f>IF($BH$18="",FALSE,SUMPRODUCT(('Final Calculation Sheet'!$J$4:$J$40=$BH$18)*($MO$6:$MO$42=1))&gt;0)</f>
        <v/>
      </c>
      <c r="MQ18">
        <f>$MQ$17+--($MP18)</f>
        <v/>
      </c>
      <c r="MR18">
        <f>IF(ROW()-3&gt;MAX($MQ$4:$MQ$40),"",INDEX($BH$4:$BH$40,MATCH(ROW()-3,$MQ$4:$MQ$40,0)))</f>
        <v/>
      </c>
      <c r="MS18">
        <f>IF(COUNTIF('Buyer Groups'!DG71:DP71,0)+COUNTIF('Buyer Groups'!DR71:EN71,0)&gt;0,0,1)</f>
        <v/>
      </c>
      <c r="MT18">
        <f>IF($BM$18="",FALSE,SUMPRODUCT(('Final Calculation Sheet'!$K$4:$K$40=$BM$18)*($MS$6:$MS$42=1))&gt;0)</f>
        <v/>
      </c>
      <c r="MU18">
        <f>$MU$17+--($MT18)</f>
        <v/>
      </c>
      <c r="MV18">
        <f>IF(ROW()-3&gt;MAX($MU$4:$MU$40),"",INDEX($BM$4:$BM$40,MATCH(ROW()-3,$MU$4:$MU$40,0)))</f>
        <v/>
      </c>
      <c r="MW18">
        <f>IF(COUNTIF('Buyer Groups'!DG71:DQ71,0)+COUNTIF('Buyer Groups'!DS71:EN71,0)&gt;0,0,1)</f>
        <v/>
      </c>
      <c r="MX18">
        <f>IF($BR$18="",FALSE,SUMPRODUCT(('Final Calculation Sheet'!$L$4:$L$40=$BR$18)*($MW$6:$MW$42=1))&gt;0)</f>
        <v/>
      </c>
      <c r="MY18">
        <f>$MY$17+--($MX18)</f>
        <v/>
      </c>
      <c r="MZ18">
        <f>IF(ROW()-3&gt;MAX($MY$4:$MY$40),"",INDEX($BR$4:$BR$40,MATCH(ROW()-3,$MY$4:$MY$40,0)))</f>
        <v/>
      </c>
      <c r="NA18">
        <f>IF(COUNTIF('Buyer Groups'!DG71:DR71,0)+COUNTIF('Buyer Groups'!DT71:EN71,0)&gt;0,0,1)</f>
        <v/>
      </c>
      <c r="NB18">
        <f>IF($BW$18="",FALSE,SUMPRODUCT(('Final Calculation Sheet'!$M$4:$M$40=$BW$18)*($NA$6:$NA$42=1))&gt;0)</f>
        <v/>
      </c>
      <c r="NC18">
        <f>$NC$17+--($NB18)</f>
        <v/>
      </c>
      <c r="ND18">
        <f>IF(ROW()-3&gt;MAX($NC$4:$NC$40),"",INDEX($BW$4:$BW$40,MATCH(ROW()-3,$NC$4:$NC$40,0)))</f>
        <v/>
      </c>
      <c r="NE18">
        <f>IF(COUNTIF('Buyer Groups'!DG71:DS71,0)+COUNTIF('Buyer Groups'!DU71:EN71,0)&gt;0,0,1)</f>
        <v/>
      </c>
      <c r="NF18">
        <f>IF($CB$18="",FALSE,SUMPRODUCT(('Final Calculation Sheet'!$N$4:$N$40=$CB$18)*($NE$6:$NE$42=1))&gt;0)</f>
        <v/>
      </c>
      <c r="NG18">
        <f>$NG$17+--($NF18)</f>
        <v/>
      </c>
      <c r="NH18">
        <f>IF(ROW()-3&gt;MAX($NG$4:$NG$40),"",INDEX($CB$4:$CB$40,MATCH(ROW()-3,$NG$4:$NG$40,0)))</f>
        <v/>
      </c>
      <c r="NI18">
        <f>IF(COUNTIF('Buyer Groups'!DG71:DT71,0)+COUNTIF('Buyer Groups'!DV71:EN71,0)&gt;0,0,1)</f>
        <v/>
      </c>
      <c r="NJ18">
        <f>IF($CG$18="",FALSE,SUMPRODUCT(('Final Calculation Sheet'!$O$4:$O$40=$CG$18)*($NI$6:$NI$42=1))&gt;0)</f>
        <v/>
      </c>
      <c r="NK18">
        <f>$NK$17+--($NJ18)</f>
        <v/>
      </c>
      <c r="NL18">
        <f>IF(ROW()-3&gt;MAX($NK$4:$NK$40),"",INDEX($CG$4:$CG$40,MATCH(ROW()-3,$NK$4:$NK$40,0)))</f>
        <v/>
      </c>
      <c r="NM18">
        <f>IF(COUNTIF('Buyer Groups'!DG71:DU71,0)+COUNTIF('Buyer Groups'!DW71:EN71,0)&gt;0,0,1)</f>
        <v/>
      </c>
      <c r="NN18">
        <f>IF($CL$18="",FALSE,SUMPRODUCT(('Final Calculation Sheet'!$P$4:$P$40=$CL$18)*($NM$6:$NM$42=1))&gt;0)</f>
        <v/>
      </c>
      <c r="NO18">
        <f>$NO$17+--($NN18)</f>
        <v/>
      </c>
      <c r="NP18">
        <f>IF(ROW()-3&gt;MAX($NO$4:$NO$40),"",INDEX($CL$4:$CL$40,MATCH(ROW()-3,$NO$4:$NO$40,0)))</f>
        <v/>
      </c>
      <c r="NQ18">
        <f>IF(COUNTIF('Buyer Groups'!DG71:DV71,0)+COUNTIF('Buyer Groups'!DX71:EN71,0)&gt;0,0,1)</f>
        <v/>
      </c>
      <c r="NR18">
        <f>IF($CQ$18="",FALSE,SUMPRODUCT(('Final Calculation Sheet'!$Q$4:$Q$40=$CQ$18)*($NQ$6:$NQ$42=1))&gt;0)</f>
        <v/>
      </c>
      <c r="NS18">
        <f>$NS$17+--($NR18)</f>
        <v/>
      </c>
      <c r="NT18">
        <f>IF(ROW()-3&gt;MAX($NS$4:$NS$40),"",INDEX($CQ$4:$CQ$40,MATCH(ROW()-3,$NS$4:$NS$40,0)))</f>
        <v/>
      </c>
      <c r="NU18">
        <f>IF(COUNTIF('Buyer Groups'!DG71:DW71,0)+COUNTIF('Buyer Groups'!DY71:EN71,0)&gt;0,0,1)</f>
        <v/>
      </c>
      <c r="NV18">
        <f>IF($CV$18="",FALSE,SUMPRODUCT(('Final Calculation Sheet'!$R$4:$R$40=$CV$18)*($NU$6:$NU$42=1))&gt;0)</f>
        <v/>
      </c>
      <c r="NW18">
        <f>$NW$17+--($NV18)</f>
        <v/>
      </c>
      <c r="NX18">
        <f>IF(ROW()-3&gt;MAX($NW$4:$NW$40),"",INDEX($CV$4:$CV$40,MATCH(ROW()-3,$NW$4:$NW$40,0)))</f>
        <v/>
      </c>
      <c r="NY18">
        <f>IF(COUNTIF('Buyer Groups'!DG71:DX71,0)+COUNTIF('Buyer Groups'!DZ71:EN71,0)&gt;0,0,1)</f>
        <v/>
      </c>
      <c r="NZ18">
        <f>IF($DA$18="",FALSE,SUMPRODUCT(('Final Calculation Sheet'!$S$4:$S$40=$DA$18)*($NY$6:$NY$42=1))&gt;0)</f>
        <v/>
      </c>
      <c r="OA18">
        <f>$OA$17+--($NZ18)</f>
        <v/>
      </c>
      <c r="OB18">
        <f>IF(ROW()-3&gt;MAX($OA$4:$OA$40),"",INDEX($DA$4:$DA$40,MATCH(ROW()-3,$OA$4:$OA$40,0)))</f>
        <v/>
      </c>
      <c r="OC18">
        <f>IF(COUNTIF('Buyer Groups'!DG71:DY71,0)+COUNTIF('Buyer Groups'!EA71:EN71,0)&gt;0,0,1)</f>
        <v/>
      </c>
      <c r="OD18">
        <f>IF($DF$18="",FALSE,SUMPRODUCT(('Final Calculation Sheet'!$T$4:$T$40=$DF$18)*($OC$6:$OC$42=1))&gt;0)</f>
        <v/>
      </c>
      <c r="OE18">
        <f>$OE$17+--($OD18)</f>
        <v/>
      </c>
      <c r="OF18">
        <f>IF(ROW()-3&gt;MAX($OE$4:$OE$40),"",INDEX($DF$4:$DF$40,MATCH(ROW()-3,$OE$4:$OE$40,0)))</f>
        <v/>
      </c>
      <c r="OG18">
        <f>IF(COUNTIF('Buyer Groups'!DG71:DZ71,0)+COUNTIF('Buyer Groups'!EB71:EN71,0)&gt;0,0,1)</f>
        <v/>
      </c>
      <c r="OH18">
        <f>IF($DK$18="",FALSE,SUMPRODUCT(('Final Calculation Sheet'!$U$4:$U$40=$DK$18)*($OG$6:$OG$42=1))&gt;0)</f>
        <v/>
      </c>
      <c r="OI18">
        <f>$OI$17+--($OH18)</f>
        <v/>
      </c>
      <c r="OJ18">
        <f>IF(ROW()-3&gt;MAX($OI$4:$OI$40),"",INDEX($DK$4:$DK$40,MATCH(ROW()-3,$OI$4:$OI$40,0)))</f>
        <v/>
      </c>
      <c r="OK18">
        <f>IF(COUNTIF('Buyer Groups'!DG71:EA71,0)+COUNTIF('Buyer Groups'!EC71:EN71,0)&gt;0,0,1)</f>
        <v/>
      </c>
      <c r="OL18">
        <f>IF($DP$18="",FALSE,SUMPRODUCT(('Final Calculation Sheet'!$V$4:$V$40=$DP$18)*($OK$6:$OK$42=1))&gt;0)</f>
        <v/>
      </c>
      <c r="OM18">
        <f>$OM$17+--($OL18)</f>
        <v/>
      </c>
      <c r="ON18">
        <f>IF(ROW()-3&gt;MAX($OM$4:$OM$40),"",INDEX($DP$4:$DP$40,MATCH(ROW()-3,$OM$4:$OM$40,0)))</f>
        <v/>
      </c>
      <c r="OO18">
        <f>IF(COUNTIF('Buyer Groups'!DG71:EB71,0)+COUNTIF('Buyer Groups'!ED71:EN71,0)&gt;0,0,1)</f>
        <v/>
      </c>
      <c r="OP18">
        <f>IF($DU$18="",FALSE,SUMPRODUCT(('Final Calculation Sheet'!$W$4:$W$40=$DU$18)*($OO$6:$OO$42=1))&gt;0)</f>
        <v/>
      </c>
      <c r="OQ18">
        <f>$OQ$17+--($OP18)</f>
        <v/>
      </c>
      <c r="OR18">
        <f>IF(ROW()-3&gt;MAX($OQ$4:$OQ$40),"",INDEX($DU$4:$DU$40,MATCH(ROW()-3,$OQ$4:$OQ$40,0)))</f>
        <v/>
      </c>
      <c r="OS18">
        <f>IF(COUNTIF('Buyer Groups'!DG71:EC71,0)+COUNTIF('Buyer Groups'!EE71:EN71,0)&gt;0,0,1)</f>
        <v/>
      </c>
      <c r="OT18">
        <f>IF($DZ$18="",FALSE,SUMPRODUCT(('Final Calculation Sheet'!$X$4:$X$40=$DZ$18)*($OS$6:$OS$42=1))&gt;0)</f>
        <v/>
      </c>
      <c r="OU18">
        <f>$OU$17+--($OT18)</f>
        <v/>
      </c>
      <c r="OV18">
        <f>IF(ROW()-3&gt;MAX($OU$4:$OU$40),"",INDEX($DZ$4:$DZ$40,MATCH(ROW()-3,$OU$4:$OU$40,0)))</f>
        <v/>
      </c>
      <c r="OW18">
        <f>IF(COUNTIF('Buyer Groups'!DG71:ED71,0)+COUNTIF('Buyer Groups'!EF71:EN71,0)&gt;0,0,1)</f>
        <v/>
      </c>
      <c r="OX18">
        <f>IF($EE$18="",FALSE,SUMPRODUCT(('Final Calculation Sheet'!$Y$4:$Y$40=$EE$18)*($OW$6:$OW$42=1))&gt;0)</f>
        <v/>
      </c>
      <c r="OY18">
        <f>$OY$17+--($OX18)</f>
        <v/>
      </c>
      <c r="OZ18">
        <f>IF(ROW()-3&gt;MAX($OY$4:$OY$40),"",INDEX($EE$4:$EE$40,MATCH(ROW()-3,$OY$4:$OY$40,0)))</f>
        <v/>
      </c>
      <c r="PA18">
        <f>IF(COUNTIF('Buyer Groups'!DG71:EE71,0)+COUNTIF('Buyer Groups'!EG71:EN71,0)&gt;0,0,1)</f>
        <v/>
      </c>
      <c r="PB18">
        <f>IF($EJ$18="",FALSE,SUMPRODUCT(('Final Calculation Sheet'!$Z$4:$Z$40=$EJ$18)*($PA$6:$PA$42=1))&gt;0)</f>
        <v/>
      </c>
      <c r="PC18">
        <f>$PC$17+--($PB18)</f>
        <v/>
      </c>
      <c r="PD18">
        <f>IF(ROW()-3&gt;MAX($PC$4:$PC$40),"",INDEX($EJ$4:$EJ$40,MATCH(ROW()-3,$PC$4:$PC$40,0)))</f>
        <v/>
      </c>
      <c r="PE18">
        <f>IF(COUNTIF('Buyer Groups'!DG71:EF71,0)+COUNTIF('Buyer Groups'!EH71:EN71,0)&gt;0,0,1)</f>
        <v/>
      </c>
      <c r="PF18">
        <f>IF($EO$18="",FALSE,SUMPRODUCT(('Final Calculation Sheet'!$AA$4:$AA$40=$EO$18)*($PE$6:$PE$42=1))&gt;0)</f>
        <v/>
      </c>
      <c r="PG18">
        <f>$PG$17+--($PF18)</f>
        <v/>
      </c>
      <c r="PH18">
        <f>IF(ROW()-3&gt;MAX($PG$4:$PG$40),"",INDEX($EO$4:$EO$40,MATCH(ROW()-3,$PG$4:$PG$40,0)))</f>
        <v/>
      </c>
      <c r="PI18">
        <f>IF(COUNTIF('Buyer Groups'!DG71:EG71,0)+COUNTIF('Buyer Groups'!EI71:EN71,0)&gt;0,0,1)</f>
        <v/>
      </c>
      <c r="PJ18">
        <f>IF($ET$18="",FALSE,SUMPRODUCT(('Final Calculation Sheet'!$AB$4:$AB$40=$ET$18)*($PI$6:$PI$42=1))&gt;0)</f>
        <v/>
      </c>
      <c r="PK18">
        <f>$PK$17+--($PJ18)</f>
        <v/>
      </c>
      <c r="PL18">
        <f>IF(ROW()-3&gt;MAX($PK$4:$PK$40),"",INDEX($ET$4:$ET$40,MATCH(ROW()-3,$PK$4:$PK$40,0)))</f>
        <v/>
      </c>
      <c r="PM18">
        <f>IF(COUNTIF('Buyer Groups'!DG71:EH71,0)+COUNTIF('Buyer Groups'!EJ71:EN71,0)&gt;0,0,1)</f>
        <v/>
      </c>
      <c r="PN18">
        <f>IF($EY$18="",FALSE,SUMPRODUCT(('Final Calculation Sheet'!$AC$4:$AC$40=$EY$18)*($PM$6:$PM$42=1))&gt;0)</f>
        <v/>
      </c>
      <c r="PO18">
        <f>$PO$17+--($PN18)</f>
        <v/>
      </c>
      <c r="PP18">
        <f>IF(ROW()-3&gt;MAX($PO$4:$PO$40),"",INDEX($EY$4:$EY$40,MATCH(ROW()-3,$PO$4:$PO$40,0)))</f>
        <v/>
      </c>
      <c r="PQ18">
        <f>IF(COUNTIF('Buyer Groups'!DG71:EI71,0)+COUNTIF('Buyer Groups'!EK71:EN71,0)&gt;0,0,1)</f>
        <v/>
      </c>
      <c r="PR18">
        <f>IF($FD$18="",FALSE,SUMPRODUCT(('Final Calculation Sheet'!$AD$4:$AD$40=$FD$18)*($PQ$6:$PQ$42=1))&gt;0)</f>
        <v/>
      </c>
      <c r="PS18">
        <f>$PS$17+--($PR18)</f>
        <v/>
      </c>
      <c r="PT18">
        <f>IF(ROW()-3&gt;MAX($PS$4:$PS$40),"",INDEX($FD$4:$FD$40,MATCH(ROW()-3,$PS$4:$PS$40,0)))</f>
        <v/>
      </c>
      <c r="PU18">
        <f>IF(COUNTIF('Buyer Groups'!DG71:EJ71,0)+COUNTIF('Buyer Groups'!EL71:EN71,0)&gt;0,0,1)</f>
        <v/>
      </c>
      <c r="PV18">
        <f>IF($FX$18="",FALSE,SUMPRODUCT((IF('Final Calculation Sheet'!$AD$4:$AD$40&lt;=5,"SETTLED","OUTSTANDING")=$FX$18)*($PU$6:$PU$42=1))&gt;0)</f>
        <v/>
      </c>
      <c r="PW18">
        <f>$PW$17+--($PV18)</f>
        <v/>
      </c>
      <c r="PX18">
        <f>IF(ROW()-3&gt;MAX($PW$4:$PW$40),"",INDEX($FX$4:$FX$40,MATCH(ROW()-3,$PW$4:$PW$40,0)))</f>
        <v/>
      </c>
      <c r="PY18">
        <f>IF(COUNTIF('Buyer Groups'!DG71:EK71,0)+COUNTIF('Buyer Groups'!EM71:EN71,0)&gt;0,0,1)</f>
        <v/>
      </c>
      <c r="PZ18">
        <f>IF($FI$18="",FALSE,SUMPRODUCT(('Final Calculation Sheet'!$AF$4:$AF$40=$FI$18)*($PY$6:$PY$42=1))&gt;0)</f>
        <v/>
      </c>
      <c r="QA18">
        <f>$QA$17+--($PZ18)</f>
        <v/>
      </c>
      <c r="QB18">
        <f>IF(ROW()-3&gt;MAX($QA$4:$QA$40),"",INDEX($FI$4:$FI$40,MATCH(ROW()-3,$QA$4:$QA$40,0)))</f>
        <v/>
      </c>
      <c r="QC18">
        <f>IF(COUNTIF('Buyer Groups'!DG71:EL71,0)+COUNTIF('Buyer Groups'!EN71:EN71,0)&gt;0,0,1)</f>
        <v/>
      </c>
      <c r="QD18">
        <f>IF($FN$18="",FALSE,SUMPRODUCT(('Final Calculation Sheet'!$AG$4:$AG$40=$FN$18)*($QC$6:$QC$42=1))&gt;0)</f>
        <v/>
      </c>
      <c r="QE18">
        <f>$QE$17+--($QD18)</f>
        <v/>
      </c>
      <c r="QF18">
        <f>IF(ROW()-3&gt;MAX($QE$4:$QE$40),"",INDEX($FN$4:$FN$40,MATCH(ROW()-3,$QE$4:$QE$40,0)))</f>
        <v/>
      </c>
      <c r="QG18">
        <f>IF(COUNTIF('Buyer Groups'!DG71:EM71,0)&gt;0,0,1)</f>
        <v/>
      </c>
      <c r="QH18">
        <f>IF($FS$18="",FALSE,SUMPRODUCT(('Final Calculation Sheet'!$AH$4:$AH$40=$FS$18)*($QG$6:$QG$42=1))&gt;0)</f>
        <v/>
      </c>
      <c r="QI18">
        <f>$QI$17+--($QH18)</f>
        <v/>
      </c>
      <c r="QJ18">
        <f>IF(ROW()-3&gt;MAX($QI$4:$QI$40),"",INDEX($FS$4:$FS$40,MATCH(ROW()-3,$QI$4:$QI$40,0)))</f>
        <v/>
      </c>
      <c r="QK18" t="str">
        <f>IF('Final Calculation Sheet'!$AH$18="","",'Final Calculation Sheet'!$AH$18)</f>
      </c>
      <c r="QL18" t="str">
        <f>IF(QK18="","",COUNTIFS(QK$4:QK$40,"&lt;"&amp;QK18,QK$4:QK$40,"&lt;&gt;"&amp;"")+COUNTIF(QK$4:QK18,QK18))</f>
      </c>
      <c r="QM18" t="str">
        <f>IF(ROW()-3&gt;COUNTIF(QK$4:QK$40,"&lt;&gt;"&amp;""),"",INDEX(QK$4:QK$40,MATCH(ROW()-3,QL$4:QL$40,0)))</f>
      </c>
      <c r="QN18" t="str">
        <f>=QN17+F(AND(QM18&lt;&gt;"",COUNTIF(QM$4:QM18,QM18)=1),1,0)</f>
      </c>
      <c r="QO18" t="str">
        <f>IF(ROW()-3&gt;MAX(QN$4:QN$40),"",INDEX(QM$4:QM$40,MATCH(ROW()-3,QN$4:QN$40,0)))</f>
      </c>
      <c r="QP18" t="str">
        <f>IF(COUNTIF('Final Calculation Sheet'!$AM18:$BS18,0)&gt;0,0,1)</f>
      </c>
      <c r="QQ18" t="str">
        <f>IF($AI$18="",FALSE,SUMPRODUCT(('Final Calculation Sheet'!$A$4:$A$40=$AI$18)*($QP$4:$QP$40=1))&gt;0)</f>
      </c>
      <c r="QR18" t="str">
        <f>=$QR17+--($QQ18)</f>
      </c>
      <c r="QS18" t="str">
        <f>IF(ROW()-3&gt;MAX($QR$4:$QR$40),"",INDEX($AI$4:$AI$40,MATCH(ROW()-3,$QR$4:$QR$40,0)))</f>
      </c>
      <c r="QT18" t="str">
        <f>IF(COUNTIF('Final Calculation Sheet'!$AL18:$AL18,0)+COUNTIF('Final Calculation Sheet'!$AN18:$BS18,0)&gt;0,0,1)</f>
      </c>
      <c r="QU18" t="str">
        <f>IF($Y$18="",FALSE,SUMPRODUCT(('Final Calculation Sheet'!$B$4:$B$40=$Y$18)*($QT$4:$QT$40=1))&gt;0)</f>
      </c>
      <c r="QV18" t="str">
        <f>=$QV17+--($QU18)</f>
      </c>
      <c r="QW18" t="str">
        <f>IF(ROW()-3&gt;MAX($QV$4:$QV$40),"",INDEX($Y$4:$Y$40,MATCH(ROW()-3,$QV$4:$QV$40,0)))</f>
      </c>
      <c r="QX18" t="str">
        <f>IF(COUNTIF('Final Calculation Sheet'!$AL18:$AM18,0)+COUNTIF('Final Calculation Sheet'!$AO18:$BS18,0)&gt;0,0,1)</f>
      </c>
      <c r="QY18" t="str">
        <f>IF($AS$18="",FALSE,SUMPRODUCT(('Final Calculation Sheet'!$C$4:$C$40=$AS$18)*($QX$4:$QX$40=1))&gt;0)</f>
      </c>
      <c r="QZ18" t="str">
        <f>=$QZ17+--($QY18)</f>
      </c>
      <c r="RA18" t="str">
        <f>IF(ROW()-3&gt;MAX($QZ$4:$QZ$40),"",INDEX($AS$4:$AS$40,MATCH(ROW()-3,$QZ$4:$QZ$40,0)))</f>
      </c>
      <c r="RB18" t="str">
        <f>IF(COUNTIF('Final Calculation Sheet'!$AL18:$AN18,0)+COUNTIF('Final Calculation Sheet'!$AP18:$BS18,0)&gt;0,0,1)</f>
      </c>
      <c r="RC18" t="str">
        <f>IF($AD$18="",FALSE,SUMPRODUCT(('Final Calculation Sheet'!$D$4:$D$40=$AD$18)*($RB$4:$RB$40=1))&gt;0)</f>
      </c>
      <c r="RD18" t="str">
        <f>=$RD17+--($RC18)</f>
      </c>
      <c r="RE18" t="str">
        <f>IF(ROW()-3&gt;MAX($RD$4:$RD$40),"",INDEX($AD$4:$AD$40,MATCH(ROW()-3,$RD$4:$RD$40,0)))</f>
      </c>
      <c r="RF18" t="str">
        <f>IF(COUNTIF('Final Calculation Sheet'!$AL18:$AO18,0)+COUNTIF('Final Calculation Sheet'!$AQ18:$BS18,0)&gt;0,0,1)</f>
      </c>
      <c r="RG18" t="str">
        <f>IF($AN$18="",FALSE,SUMPRODUCT(('Final Calculation Sheet'!$E$4:$E$40=$AN$18)*($RF$4:$RF$40=1))&gt;0)</f>
      </c>
      <c r="RH18" t="str">
        <f>=$RH17+--($RG18)</f>
      </c>
      <c r="RI18" t="str">
        <f>IF(ROW()-3&gt;MAX($RH$4:$RH$40),"",INDEX($AN$4:$AN$40,MATCH(ROW()-3,$RH$4:$RH$40,0)))</f>
      </c>
      <c r="RJ18" t="str">
        <f>IF(COUNTIF('Final Calculation Sheet'!$AL18:$AP18,0)+COUNTIF('Final Calculation Sheet'!$AR18:$BS18,0)&gt;0,0,1)</f>
      </c>
      <c r="RK18" t="str">
        <f>IF($O$18="",FALSE,SUMPRODUCT(('Final Calculation Sheet'!$F$4:$F$40=$O$18)*($RJ$4:$RJ$40=1))&gt;0)</f>
      </c>
      <c r="RL18" t="str">
        <f>=$RL17+--($RK18)</f>
      </c>
      <c r="RM18" t="str">
        <f>IF(ROW()-3&gt;MAX($RL$4:$RL$40),"",INDEX($O$4:$O$40,MATCH(ROW()-3,$RL$4:$RL$40,0)))</f>
      </c>
      <c r="RN18" t="str">
        <f>IF(COUNTIF('Final Calculation Sheet'!$AL18:$AQ18,0)+COUNTIF('Final Calculation Sheet'!$AS18:$BS18,0)&gt;0,0,1)</f>
      </c>
      <c r="RO18" t="str">
        <f>IF($T$18="",FALSE,SUMPRODUCT(('Final Calculation Sheet'!$G$4:$G$40=$T$18)*($RN$4:$RN$40=1))&gt;0)</f>
      </c>
      <c r="RP18" t="str">
        <f>=$RP17+--($RO18)</f>
      </c>
      <c r="RQ18" t="str">
        <f>IF(ROW()-3&gt;MAX($RP$4:$RP$40),"",INDEX($T$4:$T$40,MATCH(ROW()-3,$RP$4:$RP$40,0)))</f>
      </c>
      <c r="RR18" t="str">
        <f>IF(COUNTIF('Final Calculation Sheet'!$AL18:$AR18,0)+COUNTIF('Final Calculation Sheet'!$AT18:$BS18,0)&gt;0,0,1)</f>
      </c>
      <c r="RS18" t="str">
        <f>IF($AX$18="",FALSE,SUMPRODUCT(('Final Calculation Sheet'!$H$4:$H$40=$AX$18)*($RR$4:$RR$40=1))&gt;0)</f>
      </c>
      <c r="RT18" t="str">
        <f>=$RT17+--($RS18)</f>
      </c>
      <c r="RU18" t="str">
        <f>IF(ROW()-3&gt;MAX($RT$4:$RT$40),"",INDEX($AX$4:$AX$40,MATCH(ROW()-3,$RT$4:$RT$40,0)))</f>
      </c>
      <c r="RV18" t="str">
        <f>IF(COUNTIF('Final Calculation Sheet'!$AL18:$AS18,0)+COUNTIF('Final Calculation Sheet'!$AU18:$BS18,0)&gt;0,0,1)</f>
      </c>
      <c r="RW18" t="str">
        <f>IF($BC$18="",FALSE,SUMPRODUCT(('Final Calculation Sheet'!$I$4:$I$40=$BC$18)*($RV$4:$RV$40=1))&gt;0)</f>
      </c>
      <c r="RX18" t="str">
        <f>=$RX17+--($RW18)</f>
      </c>
      <c r="RY18" t="str">
        <f>IF(ROW()-3&gt;MAX($RX$4:$RX$40),"",INDEX($BC$4:$BC$40,MATCH(ROW()-3,$RX$4:$RX$40,0)))</f>
      </c>
      <c r="RZ18" t="str">
        <f>IF(COUNTIF('Final Calculation Sheet'!$AL18:$AT18,0)+COUNTIF('Final Calculation Sheet'!$AV18:$BS18,0)&gt;0,0,1)</f>
      </c>
      <c r="SA18" t="str">
        <f>IF($BH$18="",FALSE,SUMPRODUCT(('Final Calculation Sheet'!$J$4:$J$40=$BH$18)*($RZ$4:$RZ$40=1))&gt;0)</f>
      </c>
      <c r="SB18" t="str">
        <f>=$SB17+--($SA18)</f>
      </c>
      <c r="SC18" t="str">
        <f>IF(ROW()-3&gt;MAX($SB$4:$SB$40),"",INDEX($BH$4:$BH$40,MATCH(ROW()-3,$SB$4:$SB$40,0)))</f>
      </c>
      <c r="SD18" t="str">
        <f>IF(COUNTIF('Final Calculation Sheet'!$AL18:$AU18,0)+COUNTIF('Final Calculation Sheet'!$AW18:$BS18,0)&gt;0,0,1)</f>
      </c>
      <c r="SE18" t="str">
        <f>IF($BM$18="",FALSE,SUMPRODUCT(('Final Calculation Sheet'!$K$4:$K$40=$BM$18)*($SD$4:$SD$40=1))&gt;0)</f>
      </c>
      <c r="SF18" t="str">
        <f>=$SF17+--($SE18)</f>
      </c>
      <c r="SG18" t="str">
        <f>IF(ROW()-3&gt;MAX($SF$4:$SF$40),"",INDEX($BM$4:$BM$40,MATCH(ROW()-3,$SF$4:$SF$40,0)))</f>
      </c>
      <c r="SH18" t="str">
        <f>IF(COUNTIF('Final Calculation Sheet'!$AL18:$AV18,0)+COUNTIF('Final Calculation Sheet'!$AX18:$BS18,0)&gt;0,0,1)</f>
      </c>
      <c r="SI18" t="str">
        <f>IF($BR$18="",FALSE,SUMPRODUCT(('Final Calculation Sheet'!$L$4:$L$40=$BR$18)*($SH$4:$SH$40=1))&gt;0)</f>
      </c>
      <c r="SJ18" t="str">
        <f>=$SJ17+--($SI18)</f>
      </c>
      <c r="SK18" t="str">
        <f>IF(ROW()-3&gt;MAX($SJ$4:$SJ$40),"",INDEX($BR$4:$BR$40,MATCH(ROW()-3,$SJ$4:$SJ$40,0)))</f>
      </c>
      <c r="SL18" t="str">
        <f>IF(COUNTIF('Final Calculation Sheet'!$AL18:$AW18,0)+COUNTIF('Final Calculation Sheet'!$AY18:$BS18,0)&gt;0,0,1)</f>
      </c>
      <c r="SM18" t="str">
        <f>IF($BW$18="",FALSE,SUMPRODUCT(('Final Calculation Sheet'!$M$4:$M$40=$BW$18)*($SL$4:$SL$40=1))&gt;0)</f>
      </c>
      <c r="SN18" t="str">
        <f>=$SN17+--($SM18)</f>
      </c>
      <c r="SO18" t="str">
        <f>IF(ROW()-3&gt;MAX($SN$4:$SN$40),"",INDEX($BW$4:$BW$40,MATCH(ROW()-3,$SN$4:$SN$40,0)))</f>
      </c>
      <c r="SP18" t="str">
        <f>IF(COUNTIF('Final Calculation Sheet'!$AL18:$AX18,0)+COUNTIF('Final Calculation Sheet'!$AZ18:$BS18,0)&gt;0,0,1)</f>
      </c>
      <c r="SQ18" t="str">
        <f>IF($CB$18="",FALSE,SUMPRODUCT(('Final Calculation Sheet'!$N$4:$N$40=$CB$18)*($SP$4:$SP$40=1))&gt;0)</f>
      </c>
      <c r="SR18" t="str">
        <f>=$SR17+--($SQ18)</f>
      </c>
      <c r="SS18" t="str">
        <f>IF(ROW()-3&gt;MAX($SR$4:$SR$40),"",INDEX($CB$4:$CB$40,MATCH(ROW()-3,$SR$4:$SR$40,0)))</f>
      </c>
      <c r="ST18" t="str">
        <f>IF(COUNTIF('Final Calculation Sheet'!$AL18:$AY18,0)+COUNTIF('Final Calculation Sheet'!$BA18:$BS18,0)&gt;0,0,1)</f>
      </c>
      <c r="SU18" t="str">
        <f>IF($CG$18="",FALSE,SUMPRODUCT(('Final Calculation Sheet'!$O$4:$O$40=$CG$18)*($ST$4:$ST$40=1))&gt;0)</f>
      </c>
      <c r="SV18" t="str">
        <f>=$SV17+--($SU18)</f>
      </c>
      <c r="SW18" t="str">
        <f>IF(ROW()-3&gt;MAX($SV$4:$SV$40),"",INDEX($CG$4:$CG$40,MATCH(ROW()-3,$SV$4:$SV$40,0)))</f>
      </c>
      <c r="SX18" t="str">
        <f>IF(COUNTIF('Final Calculation Sheet'!$AL18:$AZ18,0)+COUNTIF('Final Calculation Sheet'!$BB18:$BS18,0)&gt;0,0,1)</f>
      </c>
      <c r="SY18" t="str">
        <f>IF($CL$18="",FALSE,SUMPRODUCT(('Final Calculation Sheet'!$P$4:$P$40=$CL$18)*($SX$4:$SX$40=1))&gt;0)</f>
      </c>
      <c r="SZ18" t="str">
        <f>=$SZ17+--($SY18)</f>
      </c>
      <c r="TA18" t="str">
        <f>IF(ROW()-3&gt;MAX($SZ$4:$SZ$40),"",INDEX($CL$4:$CL$40,MATCH(ROW()-3,$SZ$4:$SZ$40,0)))</f>
      </c>
      <c r="TB18" t="str">
        <f>IF(COUNTIF('Final Calculation Sheet'!$AL18:$BA18,0)+COUNTIF('Final Calculation Sheet'!$BC18:$BS18,0)&gt;0,0,1)</f>
      </c>
      <c r="TC18" t="str">
        <f>IF($CQ$18="",FALSE,SUMPRODUCT(('Final Calculation Sheet'!$Q$4:$Q$40=$CQ$18)*($TB$4:$TB$40=1))&gt;0)</f>
      </c>
      <c r="TD18" t="str">
        <f>=$TD17+--($TC18)</f>
      </c>
      <c r="TE18" t="str">
        <f>IF(ROW()-3&gt;MAX($TD$4:$TD$40),"",INDEX($CQ$4:$CQ$40,MATCH(ROW()-3,$TD$4:$TD$40,0)))</f>
      </c>
      <c r="TF18" t="str">
        <f>IF(COUNTIF('Final Calculation Sheet'!$AL18:$BB18,0)+COUNTIF('Final Calculation Sheet'!$BD18:$BS18,0)&gt;0,0,1)</f>
      </c>
      <c r="TG18" t="str">
        <f>IF($CV$18="",FALSE,SUMPRODUCT(('Final Calculation Sheet'!$R$4:$R$40=$CV$18)*($TF$4:$TF$40=1))&gt;0)</f>
      </c>
      <c r="TH18" t="str">
        <f>=$TH17+--($TG18)</f>
      </c>
      <c r="TI18" t="str">
        <f>IF(ROW()-3&gt;MAX($TH$4:$TH$40),"",INDEX($CV$4:$CV$40,MATCH(ROW()-3,$TH$4:$TH$40,0)))</f>
      </c>
      <c r="TJ18" t="str">
        <f>IF(COUNTIF('Final Calculation Sheet'!$AL18:$BC18,0)+COUNTIF('Final Calculation Sheet'!$BE18:$BS18,0)&gt;0,0,1)</f>
      </c>
      <c r="TK18" t="str">
        <f>IF($DA$18="",FALSE,SUMPRODUCT(('Final Calculation Sheet'!$S$4:$S$40=$DA$18)*($TJ$4:$TJ$40=1))&gt;0)</f>
      </c>
      <c r="TL18" t="str">
        <f>=$TL17+--($TK18)</f>
      </c>
      <c r="TM18" t="str">
        <f>IF(ROW()-3&gt;MAX($TL$4:$TL$40),"",INDEX($DA$4:$DA$40,MATCH(ROW()-3,$TL$4:$TL$40,0)))</f>
      </c>
      <c r="TN18" t="str">
        <f>IF(COUNTIF('Final Calculation Sheet'!$AL18:$BD18,0)+COUNTIF('Final Calculation Sheet'!$BF18:$BS18,0)&gt;0,0,1)</f>
      </c>
      <c r="TO18" t="str">
        <f>IF($DF$18="",FALSE,SUMPRODUCT(('Final Calculation Sheet'!$T$4:$T$40=$DF$18)*($TN$4:$TN$40=1))&gt;0)</f>
      </c>
      <c r="TP18" t="str">
        <f>=$TP17+--($TO18)</f>
      </c>
      <c r="TQ18" t="str">
        <f>IF(ROW()-3&gt;MAX($TP$4:$TP$40),"",INDEX($DF$4:$DF$40,MATCH(ROW()-3,$TP$4:$TP$40,0)))</f>
      </c>
      <c r="TR18" t="str">
        <f>IF(COUNTIF('Final Calculation Sheet'!$AL18:$BE18,0)+COUNTIF('Final Calculation Sheet'!$BG18:$BS18,0)&gt;0,0,1)</f>
      </c>
      <c r="TS18" t="str">
        <f>IF($DK$18="",FALSE,SUMPRODUCT(('Final Calculation Sheet'!$U$4:$U$40=$DK$18)*($TR$4:$TR$40=1))&gt;0)</f>
      </c>
      <c r="TT18" t="str">
        <f>=$TT17+--($TS18)</f>
      </c>
      <c r="TU18" t="str">
        <f>IF(ROW()-3&gt;MAX($TT$4:$TT$40),"",INDEX($DK$4:$DK$40,MATCH(ROW()-3,$TT$4:$TT$40,0)))</f>
      </c>
      <c r="TV18" t="str">
        <f>IF(COUNTIF('Final Calculation Sheet'!$AL18:$BF18,0)+COUNTIF('Final Calculation Sheet'!$BH18:$BS18,0)&gt;0,0,1)</f>
      </c>
      <c r="TW18" t="str">
        <f>IF($DP$18="",FALSE,SUMPRODUCT(('Final Calculation Sheet'!$V$4:$V$40=$DP$18)*($TV$4:$TV$40=1))&gt;0)</f>
      </c>
      <c r="TX18" t="str">
        <f>=$TX17+--($TW18)</f>
      </c>
      <c r="TY18" t="str">
        <f>IF(ROW()-3&gt;MAX($TX$4:$TX$40),"",INDEX($DP$4:$DP$40,MATCH(ROW()-3,$TX$4:$TX$40,0)))</f>
      </c>
      <c r="TZ18" t="str">
        <f>IF(COUNTIF('Final Calculation Sheet'!$AL18:$BG18,0)+COUNTIF('Final Calculation Sheet'!$BI18:$BS18,0)&gt;0,0,1)</f>
      </c>
      <c r="UA18" t="str">
        <f>IF($DU$18="",FALSE,SUMPRODUCT(('Final Calculation Sheet'!$W$4:$W$40=$DU$18)*($TZ$4:$TZ$40=1))&gt;0)</f>
      </c>
      <c r="UB18" t="str">
        <f>=$UB17+--($UA18)</f>
      </c>
      <c r="UC18" t="str">
        <f>IF(ROW()-3&gt;MAX($UB$4:$UB$40),"",INDEX($DU$4:$DU$40,MATCH(ROW()-3,$UB$4:$UB$40,0)))</f>
      </c>
      <c r="UD18" t="str">
        <f>IF(COUNTIF('Final Calculation Sheet'!$AL18:$BH18,0)+COUNTIF('Final Calculation Sheet'!$BJ18:$BS18,0)&gt;0,0,1)</f>
      </c>
      <c r="UE18" t="str">
        <f>IF($DZ$18="",FALSE,SUMPRODUCT(('Final Calculation Sheet'!$X$4:$X$40=$DZ$18)*($UD$4:$UD$40=1))&gt;0)</f>
      </c>
      <c r="UF18" t="str">
        <f>=$UF17+--($UE18)</f>
      </c>
      <c r="UG18" t="str">
        <f>IF(ROW()-3&gt;MAX($UF$4:$UF$40),"",INDEX($DZ$4:$DZ$40,MATCH(ROW()-3,$UF$4:$UF$40,0)))</f>
      </c>
      <c r="UH18" t="str">
        <f>IF(COUNTIF('Final Calculation Sheet'!$AL18:$BI18,0)+COUNTIF('Final Calculation Sheet'!$BK18:$BS18,0)&gt;0,0,1)</f>
      </c>
      <c r="UI18" t="str">
        <f>IF($EE$18="",FALSE,SUMPRODUCT(('Final Calculation Sheet'!$Y$4:$Y$40=$EE$18)*($UH$4:$UH$40=1))&gt;0)</f>
      </c>
      <c r="UJ18" t="str">
        <f>=$UJ17+--($UI18)</f>
      </c>
      <c r="UK18" t="str">
        <f>IF(ROW()-3&gt;MAX($UJ$4:$UJ$40),"",INDEX($EE$4:$EE$40,MATCH(ROW()-3,$UJ$4:$UJ$40,0)))</f>
      </c>
      <c r="UL18" t="str">
        <f>IF(COUNTIF('Final Calculation Sheet'!$AL18:$BJ18,0)+COUNTIF('Final Calculation Sheet'!$BL18:$BS18,0)&gt;0,0,1)</f>
      </c>
      <c r="UM18" t="str">
        <f>IF($EJ$18="",FALSE,SUMPRODUCT(('Final Calculation Sheet'!$Z$4:$Z$40=$EJ$18)*($UL$4:$UL$40=1))&gt;0)</f>
      </c>
      <c r="UN18" t="str">
        <f>=$UN17+--($UM18)</f>
      </c>
      <c r="UO18" t="str">
        <f>IF(ROW()-3&gt;MAX($UN$4:$UN$40),"",INDEX($EJ$4:$EJ$40,MATCH(ROW()-3,$UN$4:$UN$40,0)))</f>
      </c>
      <c r="UP18" t="str">
        <f>IF(COUNTIF('Final Calculation Sheet'!$AL18:$BK18,0)+COUNTIF('Final Calculation Sheet'!$BM18:$BS18,0)&gt;0,0,1)</f>
      </c>
      <c r="UQ18" t="str">
        <f>IF($EO$18="",FALSE,SUMPRODUCT(('Final Calculation Sheet'!$AA$4:$AA$40=$EO$18)*($UP$4:$UP$40=1))&gt;0)</f>
      </c>
      <c r="UR18" t="str">
        <f>=$UR17+--($UQ18)</f>
      </c>
      <c r="US18" t="str">
        <f>IF(ROW()-3&gt;MAX($UR$4:$UR$40),"",INDEX($EO$4:$EO$40,MATCH(ROW()-3,$UR$4:$UR$40,0)))</f>
      </c>
      <c r="UT18" t="str">
        <f>IF(COUNTIF('Final Calculation Sheet'!$AL18:$BL18,0)+COUNTIF('Final Calculation Sheet'!$BN18:$BS18,0)&gt;0,0,1)</f>
      </c>
      <c r="UU18" t="str">
        <f>IF($ET$18="",FALSE,SUMPRODUCT(('Final Calculation Sheet'!$AB$4:$AB$40=$ET$18)*($UT$4:$UT$40=1))&gt;0)</f>
      </c>
      <c r="UV18" t="str">
        <f>=$UV17+--($UU18)</f>
      </c>
      <c r="UW18" t="str">
        <f>IF(ROW()-3&gt;MAX($UV$4:$UV$40),"",INDEX($ET$4:$ET$40,MATCH(ROW()-3,$UV$4:$UV$40,0)))</f>
      </c>
      <c r="UX18" t="str">
        <f>IF(COUNTIF('Final Calculation Sheet'!$AL18:$BM18,0)+COUNTIF('Final Calculation Sheet'!$BO18:$BS18,0)&gt;0,0,1)</f>
      </c>
      <c r="UY18" t="str">
        <f>IF($EY$18="",FALSE,SUMPRODUCT(('Final Calculation Sheet'!$AC$4:$AC$40=$EY$18)*($UX$4:$UX$40=1))&gt;0)</f>
      </c>
      <c r="UZ18" t="str">
        <f>=$UZ17+--($UY18)</f>
      </c>
      <c r="VA18" t="str">
        <f>IF(ROW()-3&gt;MAX($UZ$4:$UZ$40),"",INDEX($EY$4:$EY$40,MATCH(ROW()-3,$UZ$4:$UZ$40,0)))</f>
      </c>
      <c r="VB18" t="str">
        <f>IF(COUNTIF('Final Calculation Sheet'!$AL18:$BN18,0)+COUNTIF('Final Calculation Sheet'!$BP18:$BS18,0)&gt;0,0,1)</f>
      </c>
      <c r="VC18" t="str">
        <f>IF($FD$18="",FALSE,SUMPRODUCT(('Final Calculation Sheet'!$AD$4:$AD$40=$FD$18)*($VB$4:$VB$40=1))&gt;0)</f>
      </c>
      <c r="VD18" t="str">
        <f>=$VD17+--($VC18)</f>
      </c>
      <c r="VE18" t="str">
        <f>IF(ROW()-3&gt;MAX($VD$4:$VD$40),"",INDEX($FD$4:$FD$40,MATCH(ROW()-3,$VD$4:$VD$40,0)))</f>
      </c>
      <c r="VF18" t="str">
        <f>IF(COUNTIF('Final Calculation Sheet'!$AL18:$BO18,0)+COUNTIF('Final Calculation Sheet'!$BQ18:$BS18,0)&gt;0,0,1)</f>
      </c>
      <c r="VG18" t="str">
        <f>IF($FI$18="",FALSE,SUMPRODUCT(('Final Calculation Sheet'!$AE$4:$AE$40=$FI$18)*($VF$4:$VF$40=1))&gt;0)</f>
      </c>
      <c r="VH18" t="str">
        <f>=$VH17+--($VG18)</f>
      </c>
      <c r="VI18" t="str">
        <f>IF(ROW()-3&gt;MAX($VH$4:$VH$40),"",INDEX($FI$4:$FI$40,MATCH(ROW()-3,$VH$4:$VH$40,0)))</f>
      </c>
      <c r="VJ18" t="str">
        <f>IF(COUNTIF('Final Calculation Sheet'!$AL18:$BP18,0)+COUNTIF('Final Calculation Sheet'!$BR18:$BS18,0)&gt;0,0,1)</f>
      </c>
      <c r="VK18" t="str">
        <f>IF($FN$18="",FALSE,SUMPRODUCT(('Final Calculation Sheet'!$AF$4:$AF$40=$FN$18)*($VJ$4:$VJ$40=1))&gt;0)</f>
      </c>
      <c r="VL18" t="str">
        <f>=$VL17+--($VK18)</f>
      </c>
      <c r="VM18" t="str">
        <f>IF(ROW()-3&gt;MAX($VL$4:$VL$40),"",INDEX($FN$4:$FN$40,MATCH(ROW()-3,$VL$4:$VL$40,0)))</f>
      </c>
      <c r="VN18" t="str">
        <f>IF(COUNTIF('Final Calculation Sheet'!$AL18:$BQ18,0)+COUNTIF('Final Calculation Sheet'!$BS18:$BS18,0)&gt;0,0,1)</f>
      </c>
      <c r="VO18" t="str">
        <f>IF($FS$18="",FALSE,SUMPRODUCT(('Final Calculation Sheet'!$AG$4:$AG$40=$FS$18)*($VN$4:$VN$40=1))&gt;0)</f>
      </c>
      <c r="VP18" t="str">
        <f>=$VP17+--($VO18)</f>
      </c>
      <c r="VQ18" t="str">
        <f>IF(ROW()-3&gt;MAX($VP$4:$VP$40),"",INDEX($FS$4:$FS$40,MATCH(ROW()-3,$VP$4:$VP$40,0)))</f>
      </c>
      <c r="VR18" t="str">
        <f>IF(COUNTIF('Final Calculation Sheet'!$AL18:$BR18,0)&gt;0,0,1)</f>
      </c>
      <c r="VS18" t="str">
        <f>IF($QO$18="",FALSE,SUMPRODUCT(('Final Calculation Sheet'!$AH$4:$AH$40=$QO$18)*($VR$4:$VR$40=1))&gt;0)</f>
      </c>
      <c r="VT18" t="str">
        <f>=$VT17+--($VS18)</f>
      </c>
      <c r="VU18" t="str">
        <f>IF(ROW()-3&gt;MAX($VT$4:$VT$40),"",INDEX($QO$4:$QO$40,MATCH(ROW()-3,$VT$4:$VT$40,0)))</f>
      </c>
    </row>
    <row r="19">
      <c r="A19">
        <f>IF('Final Calculation Sheet'!$F$19="","",'Final Calculation Sheet'!$F$19)</f>
        <v/>
      </c>
      <c r="B19">
        <f>IF(A19="","",COUNTIFS(A$4:A$114,"&lt;"&amp;A19,A$4:A$114,"&lt;&gt;"&amp;"")+COUNTIF(A$4:A19,A19))</f>
        <v/>
      </c>
      <c r="C19">
        <f>IF(ROW()-3&gt;COUNTIF(A$4:A$114,"&lt;&gt;"&amp;""),"",INDEX(A$4:A$114,MATCH(ROW()-3,B$4:B$114,0)))</f>
        <v/>
      </c>
      <c r="D19">
        <f>D18+IF(AND(C19&lt;&gt;"",COUNTIF(C$4:C19,C19)=1),1,0)</f>
        <v/>
      </c>
      <c r="E19">
        <f>IF(ROW()-3&gt;MAX(D$4:D$114),"",INDEX(C$4:C$114,MATCH(ROW()-3,D$4:D$114,0)))</f>
        <v/>
      </c>
      <c r="F19">
        <f>ROW()-3</f>
        <v/>
      </c>
      <c r="G19">
        <f>IF(F19="","",COUNTIFS(F$4:F$40,"&lt;"&amp;F19,F$4:F$40,"&lt;&gt;"&amp;"")+COUNTIF(F$4:F19,F19))</f>
        <v/>
      </c>
      <c r="H19">
        <f>IF(ROW()-3&gt;COUNTIF(F$4:F$40,"&lt;&gt;"&amp;""),"",INDEX(F$4:F$40,MATCH(ROW()-3,G$4:G$40,0)))</f>
        <v/>
      </c>
      <c r="I19">
        <f>I18+IF(AND(H19&lt;&gt;"",COUNTIF(H$4:H19,H19)=1),1,0)</f>
        <v/>
      </c>
      <c r="J19">
        <f>IF(ROW()-3&gt;MAX(I$4:I$40),"",INDEX(H$4:H$40,MATCH(ROW()-3,I$4:I$40,0)))</f>
        <v/>
      </c>
      <c r="K19">
        <f>IF('Final Calculation Sheet'!$F$19="","",'Final Calculation Sheet'!$F$19)</f>
        <v/>
      </c>
      <c r="L19">
        <f>IF(K19="","",COUNTIFS(K$4:K$40,"&lt;"&amp;K19,K$4:K$40,"&lt;&gt;"&amp;"")+COUNTIF(K$4:K19,K19))</f>
        <v/>
      </c>
      <c r="M19">
        <f>IF(ROW()-3&gt;COUNTIF(K$4:K$40,"&lt;&gt;"&amp;""),"",INDEX(K$4:K$40,MATCH(ROW()-3,L$4:L$40,0)))</f>
        <v/>
      </c>
      <c r="N19">
        <f>N18+IF(AND(M19&lt;&gt;"",COUNTIF(M$4:M19,M19)=1),1,0)</f>
        <v/>
      </c>
      <c r="O19">
        <f>IF(ROW()-3&gt;MAX(N$4:N$40),"",INDEX(M$4:M$40,MATCH(ROW()-3,N$4:N$40,0)))</f>
        <v/>
      </c>
      <c r="P19">
        <f>IF('Final Calculation Sheet'!$G$19="","",'Final Calculation Sheet'!$G$19)</f>
        <v/>
      </c>
      <c r="Q19">
        <f>IF(P19="","",COUNTIFS(P$4:P$40,"&lt;"&amp;P19,P$4:P$40,"&lt;&gt;"&amp;"")+COUNTIF(P$4:P19,P19))</f>
        <v/>
      </c>
      <c r="R19">
        <f>IF(ROW()-3&gt;COUNTIF(P$4:P$40,"&lt;&gt;"&amp;""),"",INDEX(P$4:P$40,MATCH(ROW()-3,Q$4:Q$40,0)))</f>
        <v/>
      </c>
      <c r="S19">
        <f>S18+IF(AND(R19&lt;&gt;"",COUNTIF(R$4:R19,R19)=1),1,0)</f>
        <v/>
      </c>
      <c r="T19">
        <f>IF(ROW()-3&gt;MAX(S$4:S$40),"",INDEX(R$4:R$40,MATCH(ROW()-3,S$4:S$40,0)))</f>
        <v/>
      </c>
      <c r="U19">
        <f>IF('Final Calculation Sheet'!$B$19="","",'Final Calculation Sheet'!$B$19)</f>
        <v/>
      </c>
      <c r="V19">
        <f>IF(U19="","",COUNTIFS(U$4:U$40,"&lt;"&amp;U19,U$4:U$40,"&lt;&gt;"&amp;"")+COUNTIF(U$4:U19,U19))</f>
        <v/>
      </c>
      <c r="W19">
        <f>IF(ROW()-3&gt;COUNTIF(U$4:U$40,"&lt;&gt;"&amp;""),"",INDEX(U$4:U$40,MATCH(ROW()-3,V$4:V$40,0)))</f>
        <v/>
      </c>
      <c r="X19">
        <f>X18+IF(AND(W19&lt;&gt;"",COUNTIF(W$4:W19,W19)=1),1,0)</f>
        <v/>
      </c>
      <c r="Y19">
        <f>IF(ROW()-3&gt;MAX(X$4:X$40),"",INDEX(W$4:W$40,MATCH(ROW()-3,X$4:X$40,0)))</f>
        <v/>
      </c>
      <c r="Z19">
        <f>IF('Final Calculation Sheet'!$D$19="","",'Final Calculation Sheet'!$D$19)</f>
        <v/>
      </c>
      <c r="AA19">
        <f>IF(Z19="","",COUNTIFS(Z$4:Z$40,"&lt;"&amp;Z19,Z$4:Z$40,"&lt;&gt;"&amp;"")+COUNTIF(Z$4:Z19,Z19))</f>
        <v/>
      </c>
      <c r="AB19">
        <f>IF(ROW()-3&gt;COUNTIF(Z$4:Z$40,"&lt;&gt;"&amp;""),"",INDEX(Z$4:Z$40,MATCH(ROW()-3,AA$4:AA$40,0)))</f>
        <v/>
      </c>
      <c r="AC19">
        <f>AC18+IF(AND(AB19&lt;&gt;"",COUNTIF(AB$4:AB19,AB19)=1),1,0)</f>
        <v/>
      </c>
      <c r="AD19">
        <f>IF(ROW()-3&gt;MAX(AC$4:AC$40),"",INDEX(AB$4:AB$40,MATCH(ROW()-3,AC$4:AC$40,0)))</f>
        <v/>
      </c>
      <c r="AE19">
        <f>IF('Final Calculation Sheet'!$A$19="","",'Final Calculation Sheet'!$A$19)</f>
        <v/>
      </c>
      <c r="AF19">
        <f>IF(AE19="","",COUNTIFS(AE$4:AE$40,"&lt;"&amp;AE19,AE$4:AE$40,"&lt;&gt;"&amp;"")+COUNTIF(AE$4:AE19,AE19))</f>
        <v/>
      </c>
      <c r="AG19">
        <f>IF(ROW()-3&gt;COUNTIF(AE$4:AE$40,"&lt;&gt;"&amp;""),"",INDEX(AE$4:AE$40,MATCH(ROW()-3,AF$4:AF$40,0)))</f>
        <v/>
      </c>
      <c r="AH19">
        <f>AH18+IF(AND(AG19&lt;&gt;"",COUNTIF(AG$4:AG19,AG19)=1),1,0)</f>
        <v/>
      </c>
      <c r="AI19">
        <f>IF(ROW()-3&gt;MAX(AH$4:AH$40),"",INDEX(AG$4:AG$40,MATCH(ROW()-3,AH$4:AH$40,0)))</f>
        <v/>
      </c>
      <c r="AJ19">
        <f>IF('Final Calculation Sheet'!$E$19="","",'Final Calculation Sheet'!$E$19)</f>
        <v/>
      </c>
      <c r="AK19">
        <f>IF(AJ19="","",COUNTIFS(AJ$4:AJ$40,"&lt;"&amp;AJ19,AJ$4:AJ$40,"&lt;&gt;"&amp;"")+COUNTIF(AJ$4:AJ19,AJ19))</f>
        <v/>
      </c>
      <c r="AL19">
        <f>IF(ROW()-3&gt;COUNTIF(AJ$4:AJ$40,"&lt;&gt;"&amp;""),"",INDEX(AJ$4:AJ$40,MATCH(ROW()-3,AK$4:AK$40,0)))</f>
        <v/>
      </c>
      <c r="AM19">
        <f>AM18+IF(AND(AL19&lt;&gt;"",COUNTIF(AL$4:AL19,AL19)=1),1,0)</f>
        <v/>
      </c>
      <c r="AN19">
        <f>IF(ROW()-3&gt;MAX(AM$4:AM$40),"",INDEX(AL$4:AL$40,MATCH(ROW()-3,AM$4:AM$40,0)))</f>
        <v/>
      </c>
      <c r="AO19" s="55">
        <f>IF('Final Calculation Sheet'!$C$19="","",'Final Calculation Sheet'!$C$19)</f>
        <v/>
      </c>
      <c r="AP19">
        <f>IF(AO19="","",COUNTIFS(AO$4:AO$40,"&lt;"&amp;AO19,AO$4:AO$40,"&lt;&gt;"&amp;"")+COUNTIF(AO$4:AO19,AO19))</f>
        <v/>
      </c>
      <c r="AQ19" s="55">
        <f>IF(ROW()-3&gt;COUNTIF(AO$4:AO$40,"&lt;&gt;"&amp;""),"",INDEX(AO$4:AO$40,MATCH(ROW()-3,AP$4:AP$40,0)))</f>
        <v/>
      </c>
      <c r="AR19">
        <f>AR18+IF(AND(AQ19&lt;&gt;"",COUNTIF(AQ$4:AQ19,AQ19)=1),1,0)</f>
        <v/>
      </c>
      <c r="AS19" s="55">
        <f>IF(ROW()-3&gt;MAX(AR$4:AR$40),"",INDEX(AQ$4:AQ$40,MATCH(ROW()-3,AR$4:AR$40,0)))</f>
        <v/>
      </c>
      <c r="AT19" s="55">
        <f>IF('Final Calculation Sheet'!$H$19="","",'Final Calculation Sheet'!$H$19)</f>
        <v/>
      </c>
      <c r="AU19">
        <f>IF(AT19="","",COUNTIFS(AT$4:AT$40,"&lt;"&amp;AT19,AT$4:AT$40,"&lt;&gt;"&amp;"")+COUNTIF(AT$4:AT19,AT19))</f>
        <v/>
      </c>
      <c r="AV19" s="55">
        <f>IF(ROW()-3&gt;COUNTIF(AT$4:AT$40,"&lt;&gt;"&amp;""),"",INDEX(AT$4:AT$40,MATCH(ROW()-3,AU$4:AU$40,0)))</f>
        <v/>
      </c>
      <c r="AW19">
        <f>AW18+IF(AND(AV19&lt;&gt;"",COUNTIF(AV$4:AV19,AV19)=1),1,0)</f>
        <v/>
      </c>
      <c r="AX19" s="55">
        <f>IF(ROW()-3&gt;MAX(AW$4:AW$40),"",INDEX(AV$4:AV$40,MATCH(ROW()-3,AW$4:AW$40,0)))</f>
        <v/>
      </c>
      <c r="AY19" s="55">
        <f>IF('Final Calculation Sheet'!$I$19="","",'Final Calculation Sheet'!$I$19)</f>
        <v/>
      </c>
      <c r="AZ19">
        <f>IF(AY19="","",COUNTIFS(AY$4:AY$40,"&lt;"&amp;AY19,AY$4:AY$40,"&lt;&gt;"&amp;"")+COUNTIF(AY$4:AY19,AY19))</f>
        <v/>
      </c>
      <c r="BA19" s="55">
        <f>IF(ROW()-3&gt;COUNTIF(AY$4:AY$40,"&lt;&gt;"&amp;""),"",INDEX(AY$4:AY$40,MATCH(ROW()-3,AZ$4:AZ$40,0)))</f>
        <v/>
      </c>
      <c r="BB19">
        <f>BB18+IF(AND(BA19&lt;&gt;"",COUNTIF(BA$4:BA19,BA19)=1),1,0)</f>
        <v/>
      </c>
      <c r="BC19" s="55">
        <f>IF(ROW()-3&gt;MAX(BB$4:BB$40),"",INDEX(BA$4:BA$40,MATCH(ROW()-3,BB$4:BB$40,0)))</f>
        <v/>
      </c>
      <c r="BD19" s="55">
        <f>IF('Final Calculation Sheet'!$J$19="","",'Final Calculation Sheet'!$J$19)</f>
        <v/>
      </c>
      <c r="BE19">
        <f>IF(BD19="","",COUNTIFS(BD$4:BD$40,"&lt;"&amp;BD19,BD$4:BD$40,"&lt;&gt;"&amp;"")+COUNTIF(BD$4:BD19,BD19))</f>
        <v/>
      </c>
      <c r="BF19" s="55">
        <f>IF(ROW()-3&gt;COUNTIF(BD$4:BD$40,"&lt;&gt;"&amp;""),"",INDEX(BD$4:BD$40,MATCH(ROW()-3,BE$4:BE$40,0)))</f>
        <v/>
      </c>
      <c r="BG19">
        <f>BG18+IF(AND(BF19&lt;&gt;"",COUNTIF(BF$4:BF19,BF19)=1),1,0)</f>
        <v/>
      </c>
      <c r="BH19" s="55">
        <f>IF(ROW()-3&gt;MAX(BG$4:BG$40),"",INDEX(BF$4:BF$40,MATCH(ROW()-3,BG$4:BG$40,0)))</f>
        <v/>
      </c>
      <c r="BI19" s="55">
        <f>IF('Final Calculation Sheet'!$K$19="","",'Final Calculation Sheet'!$K$19)</f>
        <v/>
      </c>
      <c r="BJ19">
        <f>IF(BI19="","",COUNTIFS(BI$4:BI$40,"&lt;"&amp;BI19,BI$4:BI$40,"&lt;&gt;"&amp;"")+COUNTIF(BI$4:BI19,BI19))</f>
        <v/>
      </c>
      <c r="BK19" s="55">
        <f>IF(ROW()-3&gt;COUNTIF(BI$4:BI$40,"&lt;&gt;"&amp;""),"",INDEX(BI$4:BI$40,MATCH(ROW()-3,BJ$4:BJ$40,0)))</f>
        <v/>
      </c>
      <c r="BL19">
        <f>BL18+IF(AND(BK19&lt;&gt;"",COUNTIF(BK$4:BK19,BK19)=1),1,0)</f>
        <v/>
      </c>
      <c r="BM19" s="55">
        <f>IF(ROW()-3&gt;MAX(BL$4:BL$40),"",INDEX(BK$4:BK$40,MATCH(ROW()-3,BL$4:BL$40,0)))</f>
        <v/>
      </c>
      <c r="BN19" s="55">
        <f>IF('Final Calculation Sheet'!$L$19="","",'Final Calculation Sheet'!$L$19)</f>
        <v/>
      </c>
      <c r="BO19">
        <f>IF(BN19="","",COUNTIFS(BN$4:BN$40,"&lt;"&amp;BN19,BN$4:BN$40,"&lt;&gt;"&amp;"")+COUNTIF(BN$4:BN19,BN19))</f>
        <v/>
      </c>
      <c r="BP19" s="55">
        <f>IF(ROW()-3&gt;COUNTIF(BN$4:BN$40,"&lt;&gt;"&amp;""),"",INDEX(BN$4:BN$40,MATCH(ROW()-3,BO$4:BO$40,0)))</f>
        <v/>
      </c>
      <c r="BQ19">
        <f>BQ18+IF(AND(BP19&lt;&gt;"",COUNTIF(BP$4:BP19,BP19)=1),1,0)</f>
        <v/>
      </c>
      <c r="BR19" s="55">
        <f>IF(ROW()-3&gt;MAX(BQ$4:BQ$40),"",INDEX(BP$4:BP$40,MATCH(ROW()-3,BQ$4:BQ$40,0)))</f>
        <v/>
      </c>
      <c r="BS19" s="55">
        <f>IF('Final Calculation Sheet'!$M$19="","",'Final Calculation Sheet'!$M$19)</f>
        <v/>
      </c>
      <c r="BT19">
        <f>IF(BS19="","",COUNTIFS(BS$4:BS$40,"&lt;"&amp;BS19,BS$4:BS$40,"&lt;&gt;"&amp;"")+COUNTIF(BS$4:BS19,BS19))</f>
        <v/>
      </c>
      <c r="BU19" s="55">
        <f>IF(ROW()-3&gt;COUNTIF(BS$4:BS$40,"&lt;&gt;"&amp;""),"",INDEX(BS$4:BS$40,MATCH(ROW()-3,BT$4:BT$40,0)))</f>
        <v/>
      </c>
      <c r="BV19">
        <f>BV18+IF(AND(BU19&lt;&gt;"",COUNTIF(BU$4:BU19,BU19)=1),1,0)</f>
        <v/>
      </c>
      <c r="BW19" s="55">
        <f>IF(ROW()-3&gt;MAX(BV$4:BV$40),"",INDEX(BU$4:BU$40,MATCH(ROW()-3,BV$4:BV$40,0)))</f>
        <v/>
      </c>
      <c r="BX19" s="138">
        <f>IF('Final Calculation Sheet'!$N$19="","",'Final Calculation Sheet'!$N$19)</f>
        <v/>
      </c>
      <c r="BY19">
        <f>IF(BX19="","",COUNTIFS(BX$4:BX$40,"&lt;"&amp;BX19,BX$4:BX$40,"&lt;&gt;"&amp;"")+COUNTIF(BX$4:BX19,BX19))</f>
        <v/>
      </c>
      <c r="BZ19" s="138">
        <f>IF(ROW()-3&gt;COUNTIF(BX$4:BX$40,"&lt;&gt;"&amp;""),"",INDEX(BX$4:BX$40,MATCH(ROW()-3,BY$4:BY$40,0)))</f>
        <v/>
      </c>
      <c r="CA19">
        <f>CA18+IF(AND(BZ19&lt;&gt;"",COUNTIF(BZ$4:BZ19,BZ19)=1),1,0)</f>
        <v/>
      </c>
      <c r="CB19" s="138">
        <f>IF(ROW()-3&gt;MAX(CA$4:CA$40),"",INDEX(BZ$4:BZ$40,MATCH(ROW()-3,CA$4:CA$40,0)))</f>
        <v/>
      </c>
      <c r="CC19" s="55">
        <f>IF('Final Calculation Sheet'!$O$19="","",'Final Calculation Sheet'!$O$19)</f>
        <v/>
      </c>
      <c r="CD19">
        <f>IF(CC19="","",COUNTIFS(CC$4:CC$40,"&lt;"&amp;CC19,CC$4:CC$40,"&lt;&gt;"&amp;"")+COUNTIF(CC$4:CC19,CC19))</f>
        <v/>
      </c>
      <c r="CE19" s="55">
        <f>IF(ROW()-3&gt;COUNTIF(CC$4:CC$40,"&lt;&gt;"&amp;""),"",INDEX(CC$4:CC$40,MATCH(ROW()-3,CD$4:CD$40,0)))</f>
        <v/>
      </c>
      <c r="CF19">
        <f>CF18+IF(AND(CE19&lt;&gt;"",COUNTIF(CE$4:CE19,CE19)=1),1,0)</f>
        <v/>
      </c>
      <c r="CG19" s="55">
        <f>IF(ROW()-3&gt;MAX(CF$4:CF$40),"",INDEX(CE$4:CE$40,MATCH(ROW()-3,CF$4:CF$40,0)))</f>
        <v/>
      </c>
      <c r="CH19" s="55">
        <f>IF('Final Calculation Sheet'!$P$19="","",'Final Calculation Sheet'!$P$19)</f>
        <v/>
      </c>
      <c r="CI19">
        <f>IF(CH19="","",COUNTIFS(CH$4:CH$40,"&lt;"&amp;CH19,CH$4:CH$40,"&lt;&gt;"&amp;"")+COUNTIF(CH$4:CH19,CH19))</f>
        <v/>
      </c>
      <c r="CJ19" s="55">
        <f>IF(ROW()-3&gt;COUNTIF(CH$4:CH$40,"&lt;&gt;"&amp;""),"",INDEX(CH$4:CH$40,MATCH(ROW()-3,CI$4:CI$40,0)))</f>
        <v/>
      </c>
      <c r="CK19">
        <f>CK18+IF(AND(CJ19&lt;&gt;"",COUNTIF(CJ$4:CJ19,CJ19)=1),1,0)</f>
        <v/>
      </c>
      <c r="CL19" s="55">
        <f>IF(ROW()-3&gt;MAX(CK$4:CK$40),"",INDEX(CJ$4:CJ$40,MATCH(ROW()-3,CK$4:CK$40,0)))</f>
        <v/>
      </c>
      <c r="CM19" s="139">
        <f>IF('Final Calculation Sheet'!$Q$19="","",'Final Calculation Sheet'!$Q$19)</f>
        <v/>
      </c>
      <c r="CN19">
        <f>IF(CM19="","",COUNTIFS(CM$4:CM$40,"&lt;"&amp;CM19,CM$4:CM$40,"&lt;&gt;"&amp;"")+COUNTIF(CM$4:CM19,CM19))</f>
        <v/>
      </c>
      <c r="CO19" s="139">
        <f>IF(ROW()-3&gt;COUNTIF(CM$4:CM$40,"&lt;&gt;"&amp;""),"",INDEX(CM$4:CM$40,MATCH(ROW()-3,CN$4:CN$40,0)))</f>
        <v/>
      </c>
      <c r="CP19">
        <f>CP18+IF(AND(CO19&lt;&gt;"",COUNTIF(CO$4:CO19,CO19)=1),1,0)</f>
        <v/>
      </c>
      <c r="CQ19">
        <f>IF(ROW()-3&gt;MAX(CP$4:CP$40),"",INDEX(CO$4:CO$40,MATCH(ROW()-3,CP$4:CP$40,0)))</f>
        <v/>
      </c>
      <c r="CR19" s="55">
        <f>IF('Final Calculation Sheet'!$R$19="","",'Final Calculation Sheet'!$R$19)</f>
        <v/>
      </c>
      <c r="CS19">
        <f>IF(CR19="","",COUNTIFS(CR$4:CR$40,"&lt;"&amp;CR19,CR$4:CR$40,"&lt;&gt;"&amp;"")+COUNTIF(CR$4:CR19,CR19))</f>
        <v/>
      </c>
      <c r="CT19" s="55">
        <f>IF(ROW()-3&gt;COUNTIF(CR$4:CR$40,"&lt;&gt;"&amp;""),"",INDEX(CR$4:CR$40,MATCH(ROW()-3,CS$4:CS$40,0)))</f>
        <v/>
      </c>
      <c r="CU19">
        <f>CU18+IF(AND(CT19&lt;&gt;"",COUNTIF(CT$4:CT19,CT19)=1),1,0)</f>
        <v/>
      </c>
      <c r="CV19">
        <f>IF(ROW()-3&gt;MAX(CU$4:CU$40),"",INDEX(CT$4:CT$40,MATCH(ROW()-3,CU$4:CU$40,0)))</f>
        <v/>
      </c>
      <c r="CW19" s="55">
        <f>IF('Final Calculation Sheet'!$S$19="","",'Final Calculation Sheet'!$S$19)</f>
        <v/>
      </c>
      <c r="CX19">
        <f>IF(CW19="","",COUNTIFS(CW$4:CW$40,"&lt;"&amp;CW19,CW$4:CW$40,"&lt;&gt;"&amp;"")+COUNTIF(CW$4:CW19,CW19))</f>
        <v/>
      </c>
      <c r="CY19" s="55">
        <f>IF(ROW()-3&gt;COUNTIF(CW$4:CW$40,"&lt;&gt;"&amp;""),"",INDEX(CW$4:CW$40,MATCH(ROW()-3,CX$4:CX$40,0)))</f>
        <v/>
      </c>
      <c r="CZ19">
        <f>CZ18+IF(AND(CY19&lt;&gt;"",COUNTIF(CY$4:CY19,CY19)=1),1,0)</f>
        <v/>
      </c>
      <c r="DA19" s="55">
        <f>IF(ROW()-3&gt;MAX(CZ$4:CZ$40),"",INDEX(CY$4:CY$40,MATCH(ROW()-3,CZ$4:CZ$40,0)))</f>
        <v/>
      </c>
      <c r="DB19" s="55">
        <f>IF('Final Calculation Sheet'!$T$19="","",'Final Calculation Sheet'!$T$19)</f>
        <v/>
      </c>
      <c r="DC19">
        <f>IF(DB19="","",COUNTIFS(DB$4:DB$40,"&lt;"&amp;DB19,DB$4:DB$40,"&lt;&gt;"&amp;"")+COUNTIF(DB$4:DB19,DB19))</f>
        <v/>
      </c>
      <c r="DD19" s="55">
        <f>IF(ROW()-3&gt;COUNTIF(DB$4:DB$40,"&lt;&gt;"&amp;""),"",INDEX(DB$4:DB$40,MATCH(ROW()-3,DC$4:DC$40,0)))</f>
        <v/>
      </c>
      <c r="DE19">
        <f>DE18+IF(AND(DD19&lt;&gt;"",COUNTIF(DD$4:DD19,DD19)=1),1,0)</f>
        <v/>
      </c>
      <c r="DF19" s="55">
        <f>IF(ROW()-3&gt;MAX(DE$4:DE$40),"",INDEX(DD$4:DD$40,MATCH(ROW()-3,DE$4:DE$40,0)))</f>
        <v/>
      </c>
      <c r="DG19" s="140">
        <f>IF('Final Calculation Sheet'!$U$19="","",'Final Calculation Sheet'!$U$19)</f>
        <v/>
      </c>
      <c r="DH19">
        <f>IF(DG19="","",COUNTIFS(DG$4:DG$40,"&lt;"&amp;DG19,DG$4:DG$40,"&lt;&gt;"&amp;"")+COUNTIF(DG$4:DG19,DG19))</f>
        <v/>
      </c>
      <c r="DI19" s="140">
        <f>IF(ROW()-3&gt;COUNTIF(DG$4:DG$40,"&lt;&gt;"&amp;""),"",INDEX(DG$4:DG$40,MATCH(ROW()-3,DH$4:DH$40,0)))</f>
        <v/>
      </c>
      <c r="DJ19">
        <f>DJ18+IF(AND(DI19&lt;&gt;"",COUNTIF(DI$4:DI19,DI19)=1),1,0)</f>
        <v/>
      </c>
      <c r="DK19" s="140">
        <f>IF(ROW()-3&gt;MAX(DJ$4:DJ$40),"",INDEX(DI$4:DI$40,MATCH(ROW()-3,DJ$4:DJ$40,0)))</f>
        <v/>
      </c>
      <c r="DL19">
        <f>IF('Final Calculation Sheet'!$V$19="","",'Final Calculation Sheet'!$V$19)</f>
        <v/>
      </c>
      <c r="DM19">
        <f>IF(DL19="","",COUNTIFS(DL$4:DL$40,"&lt;"&amp;DL19,DL$4:DL$40,"&lt;&gt;"&amp;"")+COUNTIF(DL$4:DL19,DL19))</f>
        <v/>
      </c>
      <c r="DN19">
        <f>IF(ROW()-3&gt;COUNTIF(DL$4:DL$40,"&lt;&gt;"&amp;""),"",INDEX(DL$4:DL$40,MATCH(ROW()-3,DM$4:DM$40,0)))</f>
        <v/>
      </c>
      <c r="DO19">
        <f>DO18+IF(AND(DN19&lt;&gt;"",COUNTIF(DN$4:DN19,DN19)=1),1,0)</f>
        <v/>
      </c>
      <c r="DP19">
        <f>IF(ROW()-3&gt;MAX(DO$4:DO$40),"",INDEX(DN$4:DN$40,MATCH(ROW()-3,DO$4:DO$40,0)))</f>
        <v/>
      </c>
      <c r="DQ19" s="55">
        <f>IF('Final Calculation Sheet'!$W$19="","",'Final Calculation Sheet'!$W$19)</f>
        <v/>
      </c>
      <c r="DR19">
        <f>IF(DQ19="","",COUNTIFS(DQ$4:DQ$40,"&lt;"&amp;DQ19,DQ$4:DQ$40,"&lt;&gt;"&amp;"")+COUNTIF(DQ$4:DQ19,DQ19))</f>
        <v/>
      </c>
      <c r="DS19" s="55">
        <f>IF(ROW()-3&gt;COUNTIF(DQ$4:DQ$40,"&lt;&gt;"&amp;""),"",INDEX(DQ$4:DQ$40,MATCH(ROW()-3,DR$4:DR$40,0)))</f>
        <v/>
      </c>
      <c r="DT19">
        <f>DT18+IF(AND(DS19&lt;&gt;"",COUNTIF(DS$4:DS19,DS19)=1),1,0)</f>
        <v/>
      </c>
      <c r="DU19" s="55">
        <f>IF(ROW()-3&gt;MAX(DT$4:DT$40),"",INDEX(DS$4:DS$40,MATCH(ROW()-3,DT$4:DT$40,0)))</f>
        <v/>
      </c>
      <c r="DV19" s="55">
        <f>IF('Final Calculation Sheet'!$X$19="","",'Final Calculation Sheet'!$X$19)</f>
        <v/>
      </c>
      <c r="DW19">
        <f>IF(DV19="","",COUNTIFS(DV$4:DV$40,"&lt;"&amp;DV19,DV$4:DV$40,"&lt;&gt;"&amp;"")+COUNTIF(DV$4:DV19,DV19))</f>
        <v/>
      </c>
      <c r="DX19" s="55">
        <f>IF(ROW()-3&gt;COUNTIF(DV$4:DV$40,"&lt;&gt;"&amp;""),"",INDEX(DV$4:DV$40,MATCH(ROW()-3,DW$4:DW$40,0)))</f>
        <v/>
      </c>
      <c r="DY19">
        <f>DY18+IF(AND(DX19&lt;&gt;"",COUNTIF(DX$4:DX19,DX19)=1),1,0)</f>
        <v/>
      </c>
      <c r="DZ19">
        <f>IF(ROW()-3&gt;MAX(DY$4:DY$40),"",INDEX(DX$4:DX$40,MATCH(ROW()-3,DY$4:DY$40,0)))</f>
        <v/>
      </c>
      <c r="EA19">
        <f>IF('Final Calculation Sheet'!$Y$19="","",'Final Calculation Sheet'!$Y$19)</f>
        <v/>
      </c>
      <c r="EB19">
        <f>IF(EA19="","",COUNTIFS(EA$4:EA$40,"&lt;"&amp;EA19,EA$4:EA$40,"&lt;&gt;"&amp;"")+COUNTIF(EA$4:EA19,EA19))</f>
        <v/>
      </c>
      <c r="EC19">
        <f>IF(ROW()-3&gt;COUNTIF(EA$4:EA$40,"&lt;&gt;"&amp;""),"",INDEX(EA$4:EA$40,MATCH(ROW()-3,EB$4:EB$40,0)))</f>
        <v/>
      </c>
      <c r="ED19">
        <f>ED18+IF(AND(EC19&lt;&gt;"",COUNTIF(EC$4:EC19,EC19)=1),1,0)</f>
        <v/>
      </c>
      <c r="EE19">
        <f>IF(ROW()-3&gt;MAX(ED$4:ED$40),"",INDEX(EC$4:EC$40,MATCH(ROW()-3,ED$4:ED$40,0)))</f>
        <v/>
      </c>
      <c r="EF19" s="55">
        <f>IF('Final Calculation Sheet'!$Z$19="","",'Final Calculation Sheet'!$Z$19)</f>
        <v/>
      </c>
      <c r="EG19">
        <f>IF(EF19="","",COUNTIFS(EF$4:EF$40,"&lt;"&amp;EF19,EF$4:EF$40,"&lt;&gt;"&amp;"")+COUNTIF(EF$4:EF19,EF19))</f>
        <v/>
      </c>
      <c r="EH19" s="55">
        <f>IF(ROW()-3&gt;COUNTIF(EF$4:EF$40,"&lt;&gt;"&amp;""),"",INDEX(EF$4:EF$40,MATCH(ROW()-3,EG$4:EG$40,0)))</f>
        <v/>
      </c>
      <c r="EI19">
        <f>EI18+IF(AND(EH19&lt;&gt;"",COUNTIF(EH$4:EH19,EH19)=1),1,0)</f>
        <v/>
      </c>
      <c r="EJ19">
        <f>IF(ROW()-3&gt;MAX(EI$4:EI$40),"",INDEX(EH$4:EH$40,MATCH(ROW()-3,EI$4:EI$40,0)))</f>
        <v/>
      </c>
      <c r="EK19">
        <f>IF('Final Calculation Sheet'!$AA$19="","",'Final Calculation Sheet'!$AA$19)</f>
        <v/>
      </c>
      <c r="EL19">
        <f>IF(EK19="","",COUNTIFS(EK$4:EK$40,"&lt;"&amp;EK19,EK$4:EK$40,"&lt;&gt;"&amp;"")+COUNTIF(EK$4:EK19,EK19))</f>
        <v/>
      </c>
      <c r="EM19">
        <f>IF(ROW()-3&gt;COUNTIF(EK$4:EK$40,"&lt;&gt;"&amp;""),"",INDEX(EK$4:EK$40,MATCH(ROW()-3,EL$4:EL$40,0)))</f>
        <v/>
      </c>
      <c r="EN19">
        <f>EN18+IF(AND(EM19&lt;&gt;"",COUNTIF(EM$4:EM19,EM19)=1),1,0)</f>
        <v/>
      </c>
      <c r="EO19">
        <f>IF(ROW()-3&gt;MAX(EN$4:EN$40),"",INDEX(EM$4:EM$40,MATCH(ROW()-3,EN$4:EN$40,0)))</f>
        <v/>
      </c>
      <c r="EP19">
        <f>IF('Final Calculation Sheet'!$AB$19="","",'Final Calculation Sheet'!$AB$19)</f>
        <v/>
      </c>
      <c r="EQ19">
        <f>IF(EP19="","",COUNTIFS(EP$4:EP$40,"&lt;"&amp;EP19,EP$4:EP$40,"&lt;&gt;"&amp;"")+COUNTIF(EP$4:EP19,EP19))</f>
        <v/>
      </c>
      <c r="ER19">
        <f>IF(ROW()-3&gt;COUNTIF(EP$4:EP$40,"&lt;&gt;"&amp;""),"",INDEX(EP$4:EP$40,MATCH(ROW()-3,EQ$4:EQ$40,0)))</f>
        <v/>
      </c>
      <c r="ES19">
        <f>ES18+IF(AND(ER19&lt;&gt;"",COUNTIF(ER$4:ER19,ER19)=1),1,0)</f>
        <v/>
      </c>
      <c r="ET19">
        <f>IF(ROW()-3&gt;MAX(ES$4:ES$40),"",INDEX(ER$4:ER$40,MATCH(ROW()-3,ES$4:ES$40,0)))</f>
        <v/>
      </c>
      <c r="EU19" s="55">
        <f>IF('Final Calculation Sheet'!$AC$19="","",'Final Calculation Sheet'!$AC$19)</f>
        <v/>
      </c>
      <c r="EV19">
        <f>IF(EU19="","",COUNTIFS(EU$4:EU$40,"&lt;"&amp;EU19,EU$4:EU$40,"&lt;&gt;"&amp;"")+COUNTIF(EU$4:EU19,EU19))</f>
        <v/>
      </c>
      <c r="EW19" s="55">
        <f>IF(ROW()-3&gt;COUNTIF(EU$4:EU$40,"&lt;&gt;"&amp;""),"",INDEX(EU$4:EU$40,MATCH(ROW()-3,EV$4:EV$40,0)))</f>
        <v/>
      </c>
      <c r="EX19">
        <f>EX18+IF(AND(EW19&lt;&gt;"",COUNTIF(EW$4:EW19,EW19)=1),1,0)</f>
        <v/>
      </c>
      <c r="EY19" s="55">
        <f>IF(ROW()-3&gt;MAX(EX$4:EX$40),"",INDEX(EW$4:EW$40,MATCH(ROW()-3,EX$4:EX$40,0)))</f>
        <v/>
      </c>
      <c r="EZ19" s="55">
        <f>IF('Final Calculation Sheet'!$AD$19="","",'Final Calculation Sheet'!$AD$19)</f>
        <v/>
      </c>
      <c r="FA19">
        <f>IF(EZ19="","",COUNTIFS(EZ$4:EZ$40,"&lt;"&amp;EZ19,EZ$4:EZ$40,"&lt;&gt;"&amp;"")+COUNTIF(EZ$4:EZ19,EZ19))</f>
        <v/>
      </c>
      <c r="FB19" s="55">
        <f>IF(ROW()-3&gt;COUNTIF(EZ$4:EZ$40,"&lt;&gt;"&amp;""),"",INDEX(EZ$4:EZ$40,MATCH(ROW()-3,FA$4:FA$40,0)))</f>
        <v/>
      </c>
      <c r="FC19">
        <f>FC18+IF(AND(FB19&lt;&gt;"",COUNTIF(FB$4:FB19,FB19)=1),1,0)</f>
        <v/>
      </c>
      <c r="FD19">
        <f>IF(ROW()-3&gt;MAX(FC$4:FC$40),"",INDEX(FB$4:FB$40,MATCH(ROW()-3,FC$4:FC$40,0)))</f>
        <v/>
      </c>
      <c r="FE19">
        <f>IF('Final Calculation Sheet'!$AF$19="","",'Final Calculation Sheet'!$AF$19)</f>
        <v/>
      </c>
      <c r="FF19">
        <f>IF(FE19="","",COUNTIFS(FE$4:FE$40,"&lt;"&amp;FE19,FE$4:FE$40,"&lt;&gt;"&amp;"")+COUNTIF(FE$4:FE19,FE19))</f>
        <v/>
      </c>
      <c r="FG19">
        <f>IF(ROW()-3&gt;COUNTIF(FE$4:FE$40,"&lt;&gt;"&amp;""),"",INDEX(FE$4:FE$40,MATCH(ROW()-3,FF$4:FF$40,0)))</f>
        <v/>
      </c>
      <c r="FH19">
        <f>FH18+IF(AND(FG19&lt;&gt;"",COUNTIF(FG$4:FG19,FG19)=1),1,0)</f>
        <v/>
      </c>
      <c r="FI19">
        <f>IF(ROW()-3&gt;MAX(FH$4:FH$40),"",INDEX(FG$4:FG$40,MATCH(ROW()-3,FH$4:FH$40,0)))</f>
        <v/>
      </c>
      <c r="FJ19" s="141">
        <f>IF('Final Calculation Sheet'!$AG$19="","",'Final Calculation Sheet'!$AG$19)</f>
        <v/>
      </c>
      <c r="FK19">
        <f>IF(FJ19="","",COUNTIFS(FJ$4:FJ$40,"&lt;"&amp;FJ19,FJ$4:FJ$40,"&lt;&gt;"&amp;"")+COUNTIF(FJ$4:FJ19,FJ19))</f>
        <v/>
      </c>
      <c r="FL19" s="141">
        <f>IF(ROW()-3&gt;COUNTIF(FJ$4:FJ$40,"&lt;&gt;"&amp;""),"",INDEX(FJ$4:FJ$40,MATCH(ROW()-3,FK$4:FK$40,0)))</f>
        <v/>
      </c>
      <c r="FM19">
        <f>FM18+IF(AND(FL19&lt;&gt;"",COUNTIF(FL$4:FL19,FL19)=1),1,0)</f>
        <v/>
      </c>
      <c r="FN19">
        <f>IF(ROW()-3&gt;MAX(FM$4:FM$40),"",INDEX(FL$4:FL$40,MATCH(ROW()-3,FM$4:FM$40,0)))</f>
        <v/>
      </c>
      <c r="FO19">
        <f>IF('Final Calculation Sheet'!$AH$19="","",'Final Calculation Sheet'!$AH$19)</f>
        <v/>
      </c>
      <c r="FP19">
        <f>IF(FO19="","",COUNTIFS(FO$4:FO$40,"&lt;"&amp;FO19,FO$4:FO$40,"&lt;&gt;"&amp;"")+COUNTIF(FO$4:FO19,FO19))</f>
        <v/>
      </c>
      <c r="FQ19">
        <f>IF(ROW()-3&gt;COUNTIF(FO$4:FO$40,"&lt;&gt;"&amp;""),"",INDEX(FO$4:FO$40,MATCH(ROW()-3,FP$4:FP$40,0)))</f>
        <v/>
      </c>
      <c r="FR19">
        <f>FR18+IF(AND(FQ19&lt;&gt;"",COUNTIF(FQ$4:FQ19,FQ19)=1),1,0)</f>
        <v/>
      </c>
      <c r="FS19">
        <f>IF(ROW()-3&gt;MAX(FR$4:FR$40),"",INDEX(FQ$4:FQ$40,MATCH(ROW()-3,FR$4:FR$40,0)))</f>
        <v/>
      </c>
      <c r="FU19">
        <f>IF(FT19="","",COUNTIFS(FT$4:FT$40,"&lt;"&amp;FT19,FT$4:FT$40,"&lt;&gt;"&amp;"")+COUNTIF(FT$4:FT19,FT19))</f>
        <v/>
      </c>
      <c r="FV19">
        <f>IF(ROW()-3&gt;COUNTIF(FT$4:FT$40,"&lt;&gt;"&amp;""),"",INDEX(FT$4:FT$40,MATCH(ROW()-3,FU$4:FU$40,0)))</f>
        <v/>
      </c>
      <c r="FW19">
        <f>FW18+IF(AND(FV19&lt;&gt;"",COUNTIF(FV$4:FV19,FV19)=1),1,0)</f>
        <v/>
      </c>
      <c r="FX19">
        <f>IF(ROW()-3&gt;MAX(FW$4:FW$40),"",INDEX(FV$4:FV$40,MATCH(ROW()-3,FW$4:FW$40,0)))</f>
        <v/>
      </c>
      <c r="FY19">
        <f>IF(COUNTIF('Live Search'!BM$18:BO$18,0)+COUNTIF('Live Search'!BQ$18:CU$18,0)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19">
        <f>IF($Y$19="",FALSE,SUMPRODUCT(('Final Calculation Sheet'!$B$4:$B$40=$Y$19)*($FY$6:$FY$42=1))&gt;0)</f>
        <v/>
      </c>
      <c r="GA19">
        <f>$GA$18+--($FZ$19)</f>
        <v/>
      </c>
      <c r="GB19">
        <f>IF(ROW()-3&gt;MAX($GA$4:$GA$40),"",INDEX($Y$4:$Y$40,MATCH(ROW()-3,$GA$4:$GA$40,0)))</f>
        <v/>
      </c>
      <c r="GC19">
        <f>IF(COUNTIF('Live Search'!BM$18:BM$18,0)+COUNTIF('Live Search'!BO$18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GD19">
        <f>IF($O$19="",FALSE,SUMPRODUCT(('Final Calculation Sheet'!$F$4:$F$40=$O$19)*($GC$6:$GC$42=1))&gt;0)</f>
        <v/>
      </c>
      <c r="GE19">
        <f>$GE$18+--($GD19)</f>
        <v/>
      </c>
      <c r="GF19">
        <f>IF(ROW()-3&gt;MAX($GE$4:$GE$40),"",INDEX($O$4:$O$40,MATCH(ROW()-3,$GE$4:$GE$40,0)))</f>
        <v/>
      </c>
      <c r="GG19">
        <f>IF(COUNTIF('Live Search'!BM$18:BN$18,0)+COUNTIF('Live Search'!BP$18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GH19">
        <f>IF($T$19="",FALSE,SUMPRODUCT(('Final Calculation Sheet'!$G$4:$G$40=$T$19)*($GG$6:$GG$42=1))&gt;0)</f>
        <v/>
      </c>
      <c r="GI19">
        <f>$GI$18+--($GH19)</f>
        <v/>
      </c>
      <c r="GJ19">
        <f>IF(ROW()-3&gt;MAX($GI$4:$GI$40),"",INDEX($T$4:$T$40,MATCH(ROW()-3,$GI$4:$GI$40,0)))</f>
        <v/>
      </c>
      <c r="GK19">
        <f>IF(COUNTIF('Live Search'!BM$18:BP$18,0)+COUNTIF('Live Search'!BR$18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GL19">
        <f>IF($AD$19="",FALSE,SUMPRODUCT(('Final Calculation Sheet'!$D$4:$D$40=$AD$19)*($GK$6:$GK$42=1))&gt;0)</f>
        <v/>
      </c>
      <c r="GM19">
        <f>$GM$18+--($GL19)</f>
        <v/>
      </c>
      <c r="GN19">
        <f>IF(ROW()-3&gt;MAX($GM$4:$GM$40),"",INDEX($AD$4:$AD$40,MATCH(ROW()-3,$GM$4:$GM$40,0)))</f>
        <v/>
      </c>
      <c r="GO19">
        <f>IF(COUNTIF('Live Search'!BM$18:BQ$18,0)+COUNTIF('Live Search'!BS$18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GP19">
        <f>IF($AI$19="",FALSE,SUMPRODUCT(('Final Calculation Sheet'!$A$4:$A$40=$AI$19)*($GO$6:$GO$42=1))&gt;0)</f>
        <v/>
      </c>
      <c r="GQ19">
        <f>$GQ$18+--($GP19)</f>
        <v/>
      </c>
      <c r="GR19">
        <f>IF(ROW()-3&gt;MAX($GQ$4:$GQ$40),"",INDEX($AI$4:$AI$40,MATCH(ROW()-3,$GQ$4:$GQ$40,0)))</f>
        <v/>
      </c>
      <c r="GS19">
        <f>IF(COUNTIF('Live Search'!BM$18:BR$18,0)+COUNTIF('Live Search'!BT$18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GT19">
        <f>IF($AN$19="",FALSE,SUMPRODUCT(('Final Calculation Sheet'!$E$4:$E$40=$AN$19)*($GS$6:$GS$42=1))&gt;0)</f>
        <v/>
      </c>
      <c r="GU19">
        <f>$GU$18+--($GT19)</f>
        <v/>
      </c>
      <c r="GV19">
        <f>IF(ROW()-3&gt;MAX($GU$4:$GU$40),"",INDEX($AN$4:$AN$40,MATCH(ROW()-3,$GU$4:$GU$40,0)))</f>
        <v/>
      </c>
      <c r="GW19">
        <f>IF(COUNTIF('Live Search'!BM$18:BS$18,0)+COUNTIF('Live Search'!BU$18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GX19">
        <f>IF($AS$19="",FALSE,SUMPRODUCT(('Final Calculation Sheet'!$C$4:$C$40=$AS$19)*($GW$6:$GW$42=1))&gt;0)</f>
        <v/>
      </c>
      <c r="GY19">
        <f>$GY$18+--($GX19)</f>
        <v/>
      </c>
      <c r="GZ19">
        <f>IF(ROW()-3&gt;MAX($GY$4:$GY$40),"",INDEX($AS$4:$AS$40,MATCH(ROW()-3,$GY$4:$GY$40,0)))</f>
        <v/>
      </c>
      <c r="HA19">
        <f>IF(COUNTIF('Live Search'!BM$18:BT$18,0)+COUNTIF('Live Search'!BV$18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HB19">
        <f>IF($AX$19="",FALSE,SUMPRODUCT(('Final Calculation Sheet'!$H$4:$H$40=$AX$19)*($HA$6:$HA$42=1))&gt;0)</f>
        <v/>
      </c>
      <c r="HC19">
        <f>$HC$18+--($HB19)</f>
        <v/>
      </c>
      <c r="HD19">
        <f>IF(ROW()-3&gt;MAX($HC$4:$HC$40),"",INDEX($AX$4:$AX$40,MATCH(ROW()-3,$HC$4:$HC$40,0)))</f>
        <v/>
      </c>
      <c r="HE19">
        <f>IF(COUNTIF('Live Search'!BM$18:BU$18,0)+COUNTIF('Live Search'!BW$18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HF19">
        <f>IF($BC$19="",FALSE,SUMPRODUCT(('Final Calculation Sheet'!$I$4:$I$40=$BC$19)*($HE$6:$HE$42=1))&gt;0)</f>
        <v/>
      </c>
      <c r="HG19">
        <f>$HG$18+--($HF19)</f>
        <v/>
      </c>
      <c r="HH19">
        <f>IF(ROW()-3&gt;MAX($HG$4:$HG$40),"",INDEX($BC$4:$BC$40,MATCH(ROW()-3,$HG$4:$HG$40,0)))</f>
        <v/>
      </c>
      <c r="HI19">
        <f>IF(COUNTIF('Live Search'!BM$18:BV$18,0)+COUNTIF('Live Search'!BX$18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HJ19">
        <f>IF($BH$19="",FALSE,SUMPRODUCT(('Final Calculation Sheet'!$J$4:$J$40=$BH$19)*($HI$6:$HI$42=1))&gt;0)</f>
        <v/>
      </c>
      <c r="HK19">
        <f>$HK$18+--($HJ19)</f>
        <v/>
      </c>
      <c r="HL19">
        <f>IF(ROW()-3&gt;MAX($HK$4:$HK$40),"",INDEX($BH$4:$BH$40,MATCH(ROW()-3,$HK$4:$HK$40,0)))</f>
        <v/>
      </c>
      <c r="HM19">
        <f>IF(COUNTIF('Live Search'!BM$18:BW$18,0)+COUNTIF('Live Search'!BY$18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HN19">
        <f>IF($BM$19="",FALSE,SUMPRODUCT(('Final Calculation Sheet'!$K$4:$K$40=$BM$19)*($HM$6:$HM$42=1))&gt;0)</f>
        <v/>
      </c>
      <c r="HO19">
        <f>$HO$18+--($HN19)</f>
        <v/>
      </c>
      <c r="HP19">
        <f>IF(ROW()-3&gt;MAX($HO$4:$HO$40),"",INDEX($BM$4:$BM$40,MATCH(ROW()-3,$HO$4:$HO$40,0)))</f>
        <v/>
      </c>
      <c r="HQ19">
        <f>IF(COUNTIF('Live Search'!BM$18:BX$18,0)+COUNTIF('Live Search'!BZ$18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HR19">
        <f>IF($BR$19="",FALSE,SUMPRODUCT(('Final Calculation Sheet'!$L$4:$L$40=$BR$19)*($HQ$6:$HQ$42=1))&gt;0)</f>
        <v/>
      </c>
      <c r="HS19">
        <f>$HS$18+--($HR19)</f>
        <v/>
      </c>
      <c r="HT19">
        <f>IF(ROW()-3&gt;MAX($HS$4:$HS$40),"",INDEX($BR$4:$BR$40,MATCH(ROW()-3,$HS$4:$HS$40,0)))</f>
        <v/>
      </c>
      <c r="HU19">
        <f>IF(COUNTIF('Live Search'!BM$18:BY$18,0)+COUNTIF('Live Search'!CA$18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HV19">
        <f>IF($BW$19="",FALSE,SUMPRODUCT(('Final Calculation Sheet'!$M$4:$M$40=$BW$19)*($HU$6:$HU$42=1))&gt;0)</f>
        <v/>
      </c>
      <c r="HW19">
        <f>$HW$18+--($HV19)</f>
        <v/>
      </c>
      <c r="HX19">
        <f>IF(ROW()-3&gt;MAX($HW$4:$HW$40),"",INDEX($BW$4:$BW$40,MATCH(ROW()-3,$HW$4:$HW$40,0)))</f>
        <v/>
      </c>
      <c r="HY19">
        <f>IF(COUNTIF('Live Search'!BM$18:BZ$18,0)+COUNTIF('Live Search'!CB$18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HZ19">
        <f>IF($CB$19="",FALSE,SUMPRODUCT(('Final Calculation Sheet'!$N$4:$N$40=$CB$19)*($HY$6:$HY$42=1))&gt;0)</f>
        <v/>
      </c>
      <c r="IA19">
        <f>$IA$18+--($HZ19)</f>
        <v/>
      </c>
      <c r="IB19">
        <f>IF(ROW()-3&gt;MAX($IA$4:$IA$40),"",INDEX($CB$4:$CB$40,MATCH(ROW()-3,$IA$4:$IA$40,0)))</f>
        <v/>
      </c>
      <c r="IC19">
        <f>IF(COUNTIF('Live Search'!BM$18:CA$18,0)+COUNTIF('Live Search'!CC$18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ID19">
        <f>IF($CG$19="",FALSE,SUMPRODUCT(('Final Calculation Sheet'!$O$4:$O$40=$CG$19)*($IC$6:$IC$42=1))&gt;0)</f>
        <v/>
      </c>
      <c r="IE19">
        <f>$IE$18+--($ID19)</f>
        <v/>
      </c>
      <c r="IF19">
        <f>IF(ROW()-3&gt;MAX($IE$4:$IE$40),"",INDEX($CG$4:$CG$40,MATCH(ROW()-3,$IE$4:$IE$40,0)))</f>
        <v/>
      </c>
      <c r="IG19">
        <f>IF(COUNTIF('Live Search'!BM$18:CB$18,0)+COUNTIF('Live Search'!CD$18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IH19">
        <f>IF($CL$19="",FALSE,SUMPRODUCT(('Final Calculation Sheet'!$P$4:$P$40=$CL$19)*($IG$6:$IG$42=1))&gt;0)</f>
        <v/>
      </c>
      <c r="II19">
        <f>$II$18+--($IH19)</f>
        <v/>
      </c>
      <c r="IJ19">
        <f>IF(ROW()-3&gt;MAX($II$4:$II$40),"",INDEX($CL$4:$CL$40,MATCH(ROW()-3,$II$4:$II$40,0)))</f>
        <v/>
      </c>
      <c r="IK19">
        <f>IF(COUNTIF('Live Search'!BM$18:CC$18,0)+COUNTIF('Live Search'!CE$18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IL19">
        <f>IF($CQ$19="",FALSE,SUMPRODUCT(('Final Calculation Sheet'!$Q$4:$Q$40=$CQ$19)*($IK$6:$IK$42=1))&gt;0)</f>
        <v/>
      </c>
      <c r="IM19">
        <f>$IM$18+--($IL19)</f>
        <v/>
      </c>
      <c r="IN19">
        <f>IF(ROW()-3&gt;MAX($IM$4:$IM$40),"",INDEX($CQ$4:$CQ$40,MATCH(ROW()-3,$IM$4:$IM$40,0)))</f>
        <v/>
      </c>
      <c r="IO19">
        <f>IF(COUNTIF('Live Search'!BM$18:CD$18,0)+COUNTIF('Live Search'!CF$18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IP19">
        <f>IF($CV$19="",FALSE,SUMPRODUCT(('Final Calculation Sheet'!$R$4:$R$40=$CV$19)*($IO$6:$IO$42=1))&gt;0)</f>
        <v/>
      </c>
      <c r="IQ19">
        <f>$IQ$18+--($IP19)</f>
        <v/>
      </c>
      <c r="IR19">
        <f>IF(ROW()-3&gt;MAX($IQ$4:$IQ$40),"",INDEX($CV$4:$CV$40,MATCH(ROW()-3,$IQ$4:$IQ$40,0)))</f>
        <v/>
      </c>
      <c r="IS19">
        <f>IF(COUNTIF('Live Search'!BM$18:CE$18,0)+COUNTIF('Live Search'!CG$18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IT19">
        <f>IF($DA$19="",FALSE,SUMPRODUCT(('Final Calculation Sheet'!$S$4:$S$40=$DA$19)*($IS$6:$IS$42=1))&gt;0)</f>
        <v/>
      </c>
      <c r="IU19">
        <f>$IU$18+--($IT19)</f>
        <v/>
      </c>
      <c r="IV19">
        <f>IF(ROW()-3&gt;MAX($IU$4:$IU$40),"",INDEX($DA$4:$DA$40,MATCH(ROW()-3,$IU$4:$IU$40,0)))</f>
        <v/>
      </c>
      <c r="IW19">
        <f>IF(COUNTIF('Live Search'!BM$18:CF$18,0)+COUNTIF('Live Search'!CH$18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IX19">
        <f>IF($DF$19="",FALSE,SUMPRODUCT(('Final Calculation Sheet'!$T$4:$T$40=$DF$19)*($IW$6:$IW$42=1))&gt;0)</f>
        <v/>
      </c>
      <c r="IY19">
        <f>$IY$18+--($IX19)</f>
        <v/>
      </c>
      <c r="IZ19">
        <f>IF(ROW()-3&gt;MAX($IY$4:$IY$40),"",INDEX($DF$4:$DF$40,MATCH(ROW()-3,$IY$4:$IY$40,0)))</f>
        <v/>
      </c>
      <c r="JA19">
        <f>IF(COUNTIF('Live Search'!BM$18:CG$18,0)+COUNTIF('Live Search'!CI$18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JB19">
        <f>IF($DK$19="",FALSE,SUMPRODUCT(('Final Calculation Sheet'!$U$4:$U$40=$DK$19)*($JA$6:$JA$42=1))&gt;0)</f>
        <v/>
      </c>
      <c r="JC19">
        <f>$JC$18+--($JB19)</f>
        <v/>
      </c>
      <c r="JD19">
        <f>IF(ROW()-3&gt;MAX($JC$4:$JC$40),"",INDEX($DK$4:$DK$40,MATCH(ROW()-3,$JC$4:$JC$40,0)))</f>
        <v/>
      </c>
      <c r="JE19">
        <f>IF(COUNTIF('Live Search'!BM$18:CH$18,0)+COUNTIF('Live Search'!CJ$18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JF19">
        <f>IF($DP$19="",FALSE,SUMPRODUCT(('Final Calculation Sheet'!$V$4:$V$40=$DP$19)*($JE$6:$JE$42=1))&gt;0)</f>
        <v/>
      </c>
      <c r="JG19">
        <f>$JG$18+--($JF19)</f>
        <v/>
      </c>
      <c r="JH19">
        <f>IF(ROW()-3&gt;MAX($JG$4:$JG$40),"",INDEX($DP$4:$DP$40,MATCH(ROW()-3,$JG$4:$JG$40,0)))</f>
        <v/>
      </c>
      <c r="JI19">
        <f>IF(COUNTIF('Live Search'!BM$18:CI$18,0)+COUNTIF('Live Search'!CK$18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JJ19">
        <f>IF($DU$19="",FALSE,SUMPRODUCT(('Final Calculation Sheet'!$W$4:$W$40=$DU$19)*($JI$6:$JI$42=1))&gt;0)</f>
        <v/>
      </c>
      <c r="JK19">
        <f>$JK$18+--($JJ19)</f>
        <v/>
      </c>
      <c r="JL19">
        <f>IF(ROW()-3&gt;MAX($JK$4:$JK$40),"",INDEX($DU$4:$DU$40,MATCH(ROW()-3,$JK$4:$JK$40,0)))</f>
        <v/>
      </c>
      <c r="JM19">
        <f>IF(COUNTIF('Live Search'!BM$18:CJ$18,0)+COUNTIF('Live Search'!CL$18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JN19">
        <f>IF($DZ$19="",FALSE,SUMPRODUCT(('Final Calculation Sheet'!$X$4:$X$40=$DZ$19)*($JM$6:$JM$42=1))&gt;0)</f>
        <v/>
      </c>
      <c r="JO19">
        <f>$JO$18+--($JN19)</f>
        <v/>
      </c>
      <c r="JP19">
        <f>IF(ROW()-3&gt;MAX($JO$4:$JO$40),"",INDEX($DZ$4:$DZ$40,MATCH(ROW()-3,$JO$4:$JO$40,0)))</f>
        <v/>
      </c>
      <c r="JQ19">
        <f>IF(COUNTIF('Live Search'!BM$18:CK$18,0)+COUNTIF('Live Search'!CM$18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JR19">
        <f>IF($EE$19="",FALSE,SUMPRODUCT(('Final Calculation Sheet'!$Y$4:$Y$40=$EE$19)*($JQ$6:$JQ$42=1))&gt;0)</f>
        <v/>
      </c>
      <c r="JS19">
        <f>$JS$18+--($JR19)</f>
        <v/>
      </c>
      <c r="JT19">
        <f>IF(ROW()-3&gt;MAX($JS$4:$JS$40),"",INDEX($EE$4:$EE$40,MATCH(ROW()-3,$JS$4:$JS$40,0)))</f>
        <v/>
      </c>
      <c r="JU19">
        <f>IF(COUNTIF('Live Search'!BM$18:CL$18,0)+COUNTIF('Live Search'!CN$18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JV19">
        <f>IF($EJ$19="",FALSE,SUMPRODUCT(('Final Calculation Sheet'!$Z$4:$Z$40=$EJ$19)*($JU$6:$JU$42=1))&gt;0)</f>
        <v/>
      </c>
      <c r="JW19">
        <f>$JW$18+--($JV19)</f>
        <v/>
      </c>
      <c r="JX19">
        <f>IF(ROW()-3&gt;MAX($JW$4:$JW$40),"",INDEX($EJ$4:$EJ$40,MATCH(ROW()-3,$JW$4:$JW$40,0)))</f>
        <v/>
      </c>
      <c r="JY19">
        <f>IF(COUNTIF('Live Search'!BM$18:CM$18,0)+COUNTIF('Live Search'!CO$18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JZ19">
        <f>IF($EO$19="",FALSE,SUMPRODUCT(('Final Calculation Sheet'!$AA$4:$AA$40=$EO$19)*($JY$6:$JY$42=1))&gt;0)</f>
        <v/>
      </c>
      <c r="KA19">
        <f>$KA$18+--($JZ19)</f>
        <v/>
      </c>
      <c r="KB19">
        <f>IF(ROW()-3&gt;MAX($KA$4:$KA$40),"",INDEX($EO$4:$EO$40,MATCH(ROW()-3,$KA$4:$KA$40,0)))</f>
        <v/>
      </c>
      <c r="KC19">
        <f>IF(COUNTIF('Live Search'!BM$18:CN$18,0)+COUNTIF('Live Search'!CP$18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KD19">
        <f>IF($ET$19="",FALSE,SUMPRODUCT(('Final Calculation Sheet'!$AB$4:$AB$40=$ET$19)*($KC$6:$KC$42=1))&gt;0)</f>
        <v/>
      </c>
      <c r="KE19">
        <f>$KE$18+--($KD19)</f>
        <v/>
      </c>
      <c r="KF19">
        <f>IF(ROW()-3&gt;MAX($KE$4:$KE$40),"",INDEX($ET$4:$ET$40,MATCH(ROW()-3,$KE$4:$KE$40,0)))</f>
        <v/>
      </c>
      <c r="KG19">
        <f>IF(COUNTIF('Live Search'!BM$18:CO$18,0)+COUNTIF('Live Search'!CQ$18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KH19">
        <f>IF($EY$19="",FALSE,SUMPRODUCT(('Final Calculation Sheet'!$AC$4:$AC$40=$EY$19)*($KG$6:$KG$42=1))&gt;0)</f>
        <v/>
      </c>
      <c r="KI19">
        <f>$KI$18+--($KH19)</f>
        <v/>
      </c>
      <c r="KJ19">
        <f>IF(ROW()-3&gt;MAX($KI$4:$KI$40),"",INDEX($EY$4:$EY$40,MATCH(ROW()-3,$KI$4:$KI$40,0)))</f>
        <v/>
      </c>
      <c r="KK19">
        <f>IF(COUNTIF('Live Search'!BM$18:CP$18,0)+COUNTIF('Live Search'!CR$18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KL19">
        <f>IF($FD$19="",FALSE,SUMPRODUCT(('Final Calculation Sheet'!$AD$4:$AD$40=$FD$19)*($KK$6:$KK$42=1))&gt;0)</f>
        <v/>
      </c>
      <c r="KM19">
        <f>$KM$18+--($KL19)</f>
        <v/>
      </c>
      <c r="KN19">
        <f>IF(ROW()-3&gt;MAX($KM$4:$KM$40),"",INDEX($FD$4:$FD$40,MATCH(ROW()-3,$KM$4:$KM$40,0)))</f>
        <v/>
      </c>
      <c r="KO19">
        <f>IF(COUNTIF('Live Search'!BM$18:CT$18,0)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KP19">
        <f>IF($FX$19="",FALSE,SUMPRODUCT((IF('Final Calculation Sheet'!$AD$4:$AD$40&lt;=5,"SETTLED","OUTSTANDING")=$FX$19)*($KO$6:$KO$42=1))&gt;0)</f>
        <v/>
      </c>
      <c r="KQ19">
        <f>$KQ$18+--($KP19)</f>
        <v/>
      </c>
      <c r="KR19">
        <f>IF(ROW()-3&gt;MAX($KQ$4:$KQ$40),"",INDEX($FX$4:$FX$40,MATCH(ROW()-3,$KQ$4:$KQ$40,0)))</f>
        <v/>
      </c>
      <c r="KS19">
        <f>IF(COUNTIF('Live Search'!BM$18:CQ$18,0)+COUNTIF('Live Search'!CS$18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KT19">
        <f>IF($FI$19="",FALSE,SUMPRODUCT(('Final Calculation Sheet'!$AF$4:$AF$40=$FI$19)*($KS$6:$KS$42=1))&gt;0)</f>
        <v/>
      </c>
      <c r="KU19">
        <f>$KU$18+--($KT19)</f>
        <v/>
      </c>
      <c r="KV19">
        <f>IF(ROW()-3&gt;MAX($KU$4:$KU$40),"",INDEX($FI$4:$FI$40,MATCH(ROW()-3,$KU$4:$KU$40,0)))</f>
        <v/>
      </c>
      <c r="KW19">
        <f>IF(COUNTIF('Live Search'!BM$18:CR$18,0)+COUNTIF('Live Search'!CT$18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KX19">
        <f>IF($FN$19="",FALSE,SUMPRODUCT(('Final Calculation Sheet'!$AG$4:$AG$40=$FN$19)*($KW$6:$KW$42=1))&gt;0)</f>
        <v/>
      </c>
      <c r="KY19">
        <f>$KY$18+--($KX19)</f>
        <v/>
      </c>
      <c r="KZ19">
        <f>IF(ROW()-3&gt;MAX($KY$4:$KY$40),"",INDEX($FN$4:$FN$40,MATCH(ROW()-3,$KY$4:$KY$40,0)))</f>
        <v/>
      </c>
      <c r="LA19">
        <f>IF(COUNTIF('Live Search'!BM$18:CS$18,0)+COUNTIF('Live Search'!CU$18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LB19">
        <f>IF($FS$19="",FALSE,SUMPRODUCT(('Final Calculation Sheet'!$AH$4:$AH$40=$FS$19)*($LA$6:$LA$42=1))&gt;0)</f>
        <v/>
      </c>
      <c r="LC19">
        <f>$LC$18+--($LB19)</f>
        <v/>
      </c>
      <c r="LD19">
        <f>IF(ROW()-3&gt;MAX($LC$4:$LC$40),"",INDEX($FS$4:$FS$40,MATCH(ROW()-3,$LC$4:$LC$40,0)))</f>
        <v/>
      </c>
      <c r="LE19">
        <f>IF(COUNTIF('Buyer Groups'!DH72:EN72,0)&gt;0,0,1)</f>
        <v/>
      </c>
      <c r="LF19">
        <f>IF($O$19="",FALSE,SUMPRODUCT(('Final Calculation Sheet'!$F$4:$F$40=$O$19)*($LE$6:$LE$42=1))&gt;0)</f>
        <v/>
      </c>
      <c r="LG19">
        <f>$LG$18+--($LF19)</f>
        <v/>
      </c>
      <c r="LH19">
        <f>IF(ROW()-3&gt;MAX($LG$4:$LG$40),"",INDEX($O$4:$O$40,MATCH(ROW()-3,$LG$4:$LG$40,0)))</f>
        <v/>
      </c>
      <c r="LI19">
        <f>IF(COUNTIF('Buyer Groups'!DG72:DG72,0)+COUNTIF('Buyer Groups'!DI72:EN72,0)&gt;0,0,1)</f>
        <v/>
      </c>
      <c r="LJ19">
        <f>IF($T$19="",FALSE,SUMPRODUCT(('Final Calculation Sheet'!$G$4:$G$40=$T$19)*($LI$6:$LI$42=1))&gt;0)</f>
        <v/>
      </c>
      <c r="LK19">
        <f>$LK$18+--($LJ19)</f>
        <v/>
      </c>
      <c r="LL19">
        <f>IF(ROW()-3&gt;MAX($LK$4:$LK$40),"",INDEX($T$4:$T$40,MATCH(ROW()-3,$LK$4:$LK$40,0)))</f>
        <v/>
      </c>
      <c r="LM19">
        <f>IF(COUNTIF('Buyer Groups'!DG72:DH72,0)+COUNTIF('Buyer Groups'!DJ72:EN72,0)&gt;0,0,1)</f>
        <v/>
      </c>
      <c r="LN19">
        <f>IF($Y$19="",FALSE,SUMPRODUCT(('Final Calculation Sheet'!$B$4:$B$40=$Y$19)*($LM$6:$LM$42=1))&gt;0)</f>
        <v/>
      </c>
      <c r="LO19">
        <f>$LO$18+--($LN19)</f>
        <v/>
      </c>
      <c r="LP19">
        <f>IF(ROW()-3&gt;MAX($LO$4:$LO$40),"",INDEX($Y$4:$Y$40,MATCH(ROW()-3,$LO$4:$LO$40,0)))</f>
        <v/>
      </c>
      <c r="LQ19">
        <f>IF(COUNTIF('Buyer Groups'!DG72:DI72,0)+COUNTIF('Buyer Groups'!DK72:EN72,0)&gt;0,0,1)</f>
        <v/>
      </c>
      <c r="LR19">
        <f>IF($AD$19="",FALSE,SUMPRODUCT(('Final Calculation Sheet'!$D$4:$D$40=$AD$19)*($LQ$6:$LQ$42=1))&gt;0)</f>
        <v/>
      </c>
      <c r="LS19">
        <f>$LS$18+--($LR19)</f>
        <v/>
      </c>
      <c r="LT19">
        <f>IF(ROW()-3&gt;MAX($LS$4:$LS$40),"",INDEX($AD$4:$AD$40,MATCH(ROW()-3,$LS$4:$LS$40,0)))</f>
        <v/>
      </c>
      <c r="LU19">
        <f>IF(COUNTIF('Buyer Groups'!DG72:DJ72,0)+COUNTIF('Buyer Groups'!DL72:EN72,0)&gt;0,0,1)</f>
        <v/>
      </c>
      <c r="LV19">
        <f>IF($AI$19="",FALSE,SUMPRODUCT(('Final Calculation Sheet'!$A$4:$A$40=$AI$19)*($LU$6:$LU$42=1))&gt;0)</f>
        <v/>
      </c>
      <c r="LW19">
        <f>$LW$18+--($LV19)</f>
        <v/>
      </c>
      <c r="LX19">
        <f>IF(ROW()-3&gt;MAX($LW$4:$LW$40),"",INDEX($AI$4:$AI$40,MATCH(ROW()-3,$LW$4:$LW$40,0)))</f>
        <v/>
      </c>
      <c r="LY19">
        <f>IF(COUNTIF('Buyer Groups'!DG72:DK72,0)+COUNTIF('Buyer Groups'!DM72:EN72,0)&gt;0,0,1)</f>
        <v/>
      </c>
      <c r="LZ19">
        <f>IF($AN$19="",FALSE,SUMPRODUCT(('Final Calculation Sheet'!$E$4:$E$40=$AN$19)*($LY$6:$LY$42=1))&gt;0)</f>
        <v/>
      </c>
      <c r="MA19">
        <f>$MA$18+--($LZ19)</f>
        <v/>
      </c>
      <c r="MB19">
        <f>IF(ROW()-3&gt;MAX($MA$4:$MA$40),"",INDEX($AN$4:$AN$40,MATCH(ROW()-3,$MA$4:$MA$40,0)))</f>
        <v/>
      </c>
      <c r="MC19">
        <f>IF(COUNTIF('Buyer Groups'!DG72:DL72,0)+COUNTIF('Buyer Groups'!DN72:EN72,0)&gt;0,0,1)</f>
        <v/>
      </c>
      <c r="MD19">
        <f>IF($AS$19="",FALSE,SUMPRODUCT(('Final Calculation Sheet'!$C$4:$C$40=$AS$19)*($MC$6:$MC$42=1))&gt;0)</f>
        <v/>
      </c>
      <c r="ME19">
        <f>$ME$18+--($MD19)</f>
        <v/>
      </c>
      <c r="MF19">
        <f>IF(ROW()-3&gt;MAX($ME$4:$ME$40),"",INDEX($AS$4:$AS$40,MATCH(ROW()-3,$ME$4:$ME$40,0)))</f>
        <v/>
      </c>
      <c r="MG19">
        <f>IF(COUNTIF('Buyer Groups'!DG72:DM72,0)+COUNTIF('Buyer Groups'!DO72:EN72,0)&gt;0,0,1)</f>
        <v/>
      </c>
      <c r="MH19">
        <f>IF($AX$19="",FALSE,SUMPRODUCT(('Final Calculation Sheet'!$H$4:$H$40=$AX$19)*($MG$6:$MG$42=1))&gt;0)</f>
        <v/>
      </c>
      <c r="MI19">
        <f>$MI$18+--($MH19)</f>
        <v/>
      </c>
      <c r="MJ19">
        <f>IF(ROW()-3&gt;MAX($MI$4:$MI$40),"",INDEX($AX$4:$AX$40,MATCH(ROW()-3,$MI$4:$MI$40,0)))</f>
        <v/>
      </c>
      <c r="MK19">
        <f>IF(COUNTIF('Buyer Groups'!DG72:DN72,0)+COUNTIF('Buyer Groups'!DP72:EN72,0)&gt;0,0,1)</f>
        <v/>
      </c>
      <c r="ML19">
        <f>IF($BC$19="",FALSE,SUMPRODUCT(('Final Calculation Sheet'!$I$4:$I$40=$BC$19)*($MK$6:$MK$42=1))&gt;0)</f>
        <v/>
      </c>
      <c r="MM19">
        <f>$MM$18+--($ML19)</f>
        <v/>
      </c>
      <c r="MN19">
        <f>IF(ROW()-3&gt;MAX($MM$4:$MM$40),"",INDEX($BC$4:$BC$40,MATCH(ROW()-3,$MM$4:$MM$40,0)))</f>
        <v/>
      </c>
      <c r="MO19">
        <f>IF(COUNTIF('Buyer Groups'!DG72:DO72,0)+COUNTIF('Buyer Groups'!DQ72:EN72,0)&gt;0,0,1)</f>
        <v/>
      </c>
      <c r="MP19">
        <f>IF($BH$19="",FALSE,SUMPRODUCT(('Final Calculation Sheet'!$J$4:$J$40=$BH$19)*($MO$6:$MO$42=1))&gt;0)</f>
        <v/>
      </c>
      <c r="MQ19">
        <f>$MQ$18+--($MP19)</f>
        <v/>
      </c>
      <c r="MR19">
        <f>IF(ROW()-3&gt;MAX($MQ$4:$MQ$40),"",INDEX($BH$4:$BH$40,MATCH(ROW()-3,$MQ$4:$MQ$40,0)))</f>
        <v/>
      </c>
      <c r="MS19">
        <f>IF(COUNTIF('Buyer Groups'!DG72:DP72,0)+COUNTIF('Buyer Groups'!DR72:EN72,0)&gt;0,0,1)</f>
        <v/>
      </c>
      <c r="MT19">
        <f>IF($BM$19="",FALSE,SUMPRODUCT(('Final Calculation Sheet'!$K$4:$K$40=$BM$19)*($MS$6:$MS$42=1))&gt;0)</f>
        <v/>
      </c>
      <c r="MU19">
        <f>$MU$18+--($MT19)</f>
        <v/>
      </c>
      <c r="MV19">
        <f>IF(ROW()-3&gt;MAX($MU$4:$MU$40),"",INDEX($BM$4:$BM$40,MATCH(ROW()-3,$MU$4:$MU$40,0)))</f>
        <v/>
      </c>
      <c r="MW19">
        <f>IF(COUNTIF('Buyer Groups'!DG72:DQ72,0)+COUNTIF('Buyer Groups'!DS72:EN72,0)&gt;0,0,1)</f>
        <v/>
      </c>
      <c r="MX19">
        <f>IF($BR$19="",FALSE,SUMPRODUCT(('Final Calculation Sheet'!$L$4:$L$40=$BR$19)*($MW$6:$MW$42=1))&gt;0)</f>
        <v/>
      </c>
      <c r="MY19">
        <f>$MY$18+--($MX19)</f>
        <v/>
      </c>
      <c r="MZ19">
        <f>IF(ROW()-3&gt;MAX($MY$4:$MY$40),"",INDEX($BR$4:$BR$40,MATCH(ROW()-3,$MY$4:$MY$40,0)))</f>
        <v/>
      </c>
      <c r="NA19">
        <f>IF(COUNTIF('Buyer Groups'!DG72:DR72,0)+COUNTIF('Buyer Groups'!DT72:EN72,0)&gt;0,0,1)</f>
        <v/>
      </c>
      <c r="NB19">
        <f>IF($BW$19="",FALSE,SUMPRODUCT(('Final Calculation Sheet'!$M$4:$M$40=$BW$19)*($NA$6:$NA$42=1))&gt;0)</f>
        <v/>
      </c>
      <c r="NC19">
        <f>$NC$18+--($NB19)</f>
        <v/>
      </c>
      <c r="ND19">
        <f>IF(ROW()-3&gt;MAX($NC$4:$NC$40),"",INDEX($BW$4:$BW$40,MATCH(ROW()-3,$NC$4:$NC$40,0)))</f>
        <v/>
      </c>
      <c r="NE19">
        <f>IF(COUNTIF('Buyer Groups'!DG72:DS72,0)+COUNTIF('Buyer Groups'!DU72:EN72,0)&gt;0,0,1)</f>
        <v/>
      </c>
      <c r="NF19">
        <f>IF($CB$19="",FALSE,SUMPRODUCT(('Final Calculation Sheet'!$N$4:$N$40=$CB$19)*($NE$6:$NE$42=1))&gt;0)</f>
        <v/>
      </c>
      <c r="NG19">
        <f>$NG$18+--($NF19)</f>
        <v/>
      </c>
      <c r="NH19">
        <f>IF(ROW()-3&gt;MAX($NG$4:$NG$40),"",INDEX($CB$4:$CB$40,MATCH(ROW()-3,$NG$4:$NG$40,0)))</f>
        <v/>
      </c>
      <c r="NI19">
        <f>IF(COUNTIF('Buyer Groups'!DG72:DT72,0)+COUNTIF('Buyer Groups'!DV72:EN72,0)&gt;0,0,1)</f>
        <v/>
      </c>
      <c r="NJ19">
        <f>IF($CG$19="",FALSE,SUMPRODUCT(('Final Calculation Sheet'!$O$4:$O$40=$CG$19)*($NI$6:$NI$42=1))&gt;0)</f>
        <v/>
      </c>
      <c r="NK19">
        <f>$NK$18+--($NJ19)</f>
        <v/>
      </c>
      <c r="NL19">
        <f>IF(ROW()-3&gt;MAX($NK$4:$NK$40),"",INDEX($CG$4:$CG$40,MATCH(ROW()-3,$NK$4:$NK$40,0)))</f>
        <v/>
      </c>
      <c r="NM19">
        <f>IF(COUNTIF('Buyer Groups'!DG72:DU72,0)+COUNTIF('Buyer Groups'!DW72:EN72,0)&gt;0,0,1)</f>
        <v/>
      </c>
      <c r="NN19">
        <f>IF($CL$19="",FALSE,SUMPRODUCT(('Final Calculation Sheet'!$P$4:$P$40=$CL$19)*($NM$6:$NM$42=1))&gt;0)</f>
        <v/>
      </c>
      <c r="NO19">
        <f>$NO$18+--($NN19)</f>
        <v/>
      </c>
      <c r="NP19">
        <f>IF(ROW()-3&gt;MAX($NO$4:$NO$40),"",INDEX($CL$4:$CL$40,MATCH(ROW()-3,$NO$4:$NO$40,0)))</f>
        <v/>
      </c>
      <c r="NQ19">
        <f>IF(COUNTIF('Buyer Groups'!DG72:DV72,0)+COUNTIF('Buyer Groups'!DX72:EN72,0)&gt;0,0,1)</f>
        <v/>
      </c>
      <c r="NR19">
        <f>IF($CQ$19="",FALSE,SUMPRODUCT(('Final Calculation Sheet'!$Q$4:$Q$40=$CQ$19)*($NQ$6:$NQ$42=1))&gt;0)</f>
        <v/>
      </c>
      <c r="NS19">
        <f>$NS$18+--($NR19)</f>
        <v/>
      </c>
      <c r="NT19">
        <f>IF(ROW()-3&gt;MAX($NS$4:$NS$40),"",INDEX($CQ$4:$CQ$40,MATCH(ROW()-3,$NS$4:$NS$40,0)))</f>
        <v/>
      </c>
      <c r="NU19">
        <f>IF(COUNTIF('Buyer Groups'!DG72:DW72,0)+COUNTIF('Buyer Groups'!DY72:EN72,0)&gt;0,0,1)</f>
        <v/>
      </c>
      <c r="NV19">
        <f>IF($CV$19="",FALSE,SUMPRODUCT(('Final Calculation Sheet'!$R$4:$R$40=$CV$19)*($NU$6:$NU$42=1))&gt;0)</f>
        <v/>
      </c>
      <c r="NW19">
        <f>$NW$18+--($NV19)</f>
        <v/>
      </c>
      <c r="NX19">
        <f>IF(ROW()-3&gt;MAX($NW$4:$NW$40),"",INDEX($CV$4:$CV$40,MATCH(ROW()-3,$NW$4:$NW$40,0)))</f>
        <v/>
      </c>
      <c r="NY19">
        <f>IF(COUNTIF('Buyer Groups'!DG72:DX72,0)+COUNTIF('Buyer Groups'!DZ72:EN72,0)&gt;0,0,1)</f>
        <v/>
      </c>
      <c r="NZ19">
        <f>IF($DA$19="",FALSE,SUMPRODUCT(('Final Calculation Sheet'!$S$4:$S$40=$DA$19)*($NY$6:$NY$42=1))&gt;0)</f>
        <v/>
      </c>
      <c r="OA19">
        <f>$OA$18+--($NZ19)</f>
        <v/>
      </c>
      <c r="OB19">
        <f>IF(ROW()-3&gt;MAX($OA$4:$OA$40),"",INDEX($DA$4:$DA$40,MATCH(ROW()-3,$OA$4:$OA$40,0)))</f>
        <v/>
      </c>
      <c r="OC19">
        <f>IF(COUNTIF('Buyer Groups'!DG72:DY72,0)+COUNTIF('Buyer Groups'!EA72:EN72,0)&gt;0,0,1)</f>
        <v/>
      </c>
      <c r="OD19">
        <f>IF($DF$19="",FALSE,SUMPRODUCT(('Final Calculation Sheet'!$T$4:$T$40=$DF$19)*($OC$6:$OC$42=1))&gt;0)</f>
        <v/>
      </c>
      <c r="OE19">
        <f>$OE$18+--($OD19)</f>
        <v/>
      </c>
      <c r="OF19">
        <f>IF(ROW()-3&gt;MAX($OE$4:$OE$40),"",INDEX($DF$4:$DF$40,MATCH(ROW()-3,$OE$4:$OE$40,0)))</f>
        <v/>
      </c>
      <c r="OG19">
        <f>IF(COUNTIF('Buyer Groups'!DG72:DZ72,0)+COUNTIF('Buyer Groups'!EB72:EN72,0)&gt;0,0,1)</f>
        <v/>
      </c>
      <c r="OH19">
        <f>IF($DK$19="",FALSE,SUMPRODUCT(('Final Calculation Sheet'!$U$4:$U$40=$DK$19)*($OG$6:$OG$42=1))&gt;0)</f>
        <v/>
      </c>
      <c r="OI19">
        <f>$OI$18+--($OH19)</f>
        <v/>
      </c>
      <c r="OJ19">
        <f>IF(ROW()-3&gt;MAX($OI$4:$OI$40),"",INDEX($DK$4:$DK$40,MATCH(ROW()-3,$OI$4:$OI$40,0)))</f>
        <v/>
      </c>
      <c r="OK19">
        <f>IF(COUNTIF('Buyer Groups'!DG72:EA72,0)+COUNTIF('Buyer Groups'!EC72:EN72,0)&gt;0,0,1)</f>
        <v/>
      </c>
      <c r="OL19">
        <f>IF($DP$19="",FALSE,SUMPRODUCT(('Final Calculation Sheet'!$V$4:$V$40=$DP$19)*($OK$6:$OK$42=1))&gt;0)</f>
        <v/>
      </c>
      <c r="OM19">
        <f>$OM$18+--($OL19)</f>
        <v/>
      </c>
      <c r="ON19">
        <f>IF(ROW()-3&gt;MAX($OM$4:$OM$40),"",INDEX($DP$4:$DP$40,MATCH(ROW()-3,$OM$4:$OM$40,0)))</f>
        <v/>
      </c>
      <c r="OO19">
        <f>IF(COUNTIF('Buyer Groups'!DG72:EB72,0)+COUNTIF('Buyer Groups'!ED72:EN72,0)&gt;0,0,1)</f>
        <v/>
      </c>
      <c r="OP19">
        <f>IF($DU$19="",FALSE,SUMPRODUCT(('Final Calculation Sheet'!$W$4:$W$40=$DU$19)*($OO$6:$OO$42=1))&gt;0)</f>
        <v/>
      </c>
      <c r="OQ19">
        <f>$OQ$18+--($OP19)</f>
        <v/>
      </c>
      <c r="OR19">
        <f>IF(ROW()-3&gt;MAX($OQ$4:$OQ$40),"",INDEX($DU$4:$DU$40,MATCH(ROW()-3,$OQ$4:$OQ$40,0)))</f>
        <v/>
      </c>
      <c r="OS19">
        <f>IF(COUNTIF('Buyer Groups'!DG72:EC72,0)+COUNTIF('Buyer Groups'!EE72:EN72,0)&gt;0,0,1)</f>
        <v/>
      </c>
      <c r="OT19">
        <f>IF($DZ$19="",FALSE,SUMPRODUCT(('Final Calculation Sheet'!$X$4:$X$40=$DZ$19)*($OS$6:$OS$42=1))&gt;0)</f>
        <v/>
      </c>
      <c r="OU19">
        <f>$OU$18+--($OT19)</f>
        <v/>
      </c>
      <c r="OV19">
        <f>IF(ROW()-3&gt;MAX($OU$4:$OU$40),"",INDEX($DZ$4:$DZ$40,MATCH(ROW()-3,$OU$4:$OU$40,0)))</f>
        <v/>
      </c>
      <c r="OW19">
        <f>IF(COUNTIF('Buyer Groups'!DG72:ED72,0)+COUNTIF('Buyer Groups'!EF72:EN72,0)&gt;0,0,1)</f>
        <v/>
      </c>
      <c r="OX19">
        <f>IF($EE$19="",FALSE,SUMPRODUCT(('Final Calculation Sheet'!$Y$4:$Y$40=$EE$19)*($OW$6:$OW$42=1))&gt;0)</f>
        <v/>
      </c>
      <c r="OY19">
        <f>$OY$18+--($OX19)</f>
        <v/>
      </c>
      <c r="OZ19">
        <f>IF(ROW()-3&gt;MAX($OY$4:$OY$40),"",INDEX($EE$4:$EE$40,MATCH(ROW()-3,$OY$4:$OY$40,0)))</f>
        <v/>
      </c>
      <c r="PA19">
        <f>IF(COUNTIF('Buyer Groups'!DG72:EE72,0)+COUNTIF('Buyer Groups'!EG72:EN72,0)&gt;0,0,1)</f>
        <v/>
      </c>
      <c r="PB19">
        <f>IF($EJ$19="",FALSE,SUMPRODUCT(('Final Calculation Sheet'!$Z$4:$Z$40=$EJ$19)*($PA$6:$PA$42=1))&gt;0)</f>
        <v/>
      </c>
      <c r="PC19">
        <f>$PC$18+--($PB19)</f>
        <v/>
      </c>
      <c r="PD19">
        <f>IF(ROW()-3&gt;MAX($PC$4:$PC$40),"",INDEX($EJ$4:$EJ$40,MATCH(ROW()-3,$PC$4:$PC$40,0)))</f>
        <v/>
      </c>
      <c r="PE19">
        <f>IF(COUNTIF('Buyer Groups'!DG72:EF72,0)+COUNTIF('Buyer Groups'!EH72:EN72,0)&gt;0,0,1)</f>
        <v/>
      </c>
      <c r="PF19">
        <f>IF($EO$19="",FALSE,SUMPRODUCT(('Final Calculation Sheet'!$AA$4:$AA$40=$EO$19)*($PE$6:$PE$42=1))&gt;0)</f>
        <v/>
      </c>
      <c r="PG19">
        <f>$PG$18+--($PF19)</f>
        <v/>
      </c>
      <c r="PH19">
        <f>IF(ROW()-3&gt;MAX($PG$4:$PG$40),"",INDEX($EO$4:$EO$40,MATCH(ROW()-3,$PG$4:$PG$40,0)))</f>
        <v/>
      </c>
      <c r="PI19">
        <f>IF(COUNTIF('Buyer Groups'!DG72:EG72,0)+COUNTIF('Buyer Groups'!EI72:EN72,0)&gt;0,0,1)</f>
        <v/>
      </c>
      <c r="PJ19">
        <f>IF($ET$19="",FALSE,SUMPRODUCT(('Final Calculation Sheet'!$AB$4:$AB$40=$ET$19)*($PI$6:$PI$42=1))&gt;0)</f>
        <v/>
      </c>
      <c r="PK19">
        <f>$PK$18+--($PJ19)</f>
        <v/>
      </c>
      <c r="PL19">
        <f>IF(ROW()-3&gt;MAX($PK$4:$PK$40),"",INDEX($ET$4:$ET$40,MATCH(ROW()-3,$PK$4:$PK$40,0)))</f>
        <v/>
      </c>
      <c r="PM19">
        <f>IF(COUNTIF('Buyer Groups'!DG72:EH72,0)+COUNTIF('Buyer Groups'!EJ72:EN72,0)&gt;0,0,1)</f>
        <v/>
      </c>
      <c r="PN19">
        <f>IF($EY$19="",FALSE,SUMPRODUCT(('Final Calculation Sheet'!$AC$4:$AC$40=$EY$19)*($PM$6:$PM$42=1))&gt;0)</f>
        <v/>
      </c>
      <c r="PO19">
        <f>$PO$18+--($PN19)</f>
        <v/>
      </c>
      <c r="PP19">
        <f>IF(ROW()-3&gt;MAX($PO$4:$PO$40),"",INDEX($EY$4:$EY$40,MATCH(ROW()-3,$PO$4:$PO$40,0)))</f>
        <v/>
      </c>
      <c r="PQ19">
        <f>IF(COUNTIF('Buyer Groups'!DG72:EI72,0)+COUNTIF('Buyer Groups'!EK72:EN72,0)&gt;0,0,1)</f>
        <v/>
      </c>
      <c r="PR19">
        <f>IF($FD$19="",FALSE,SUMPRODUCT(('Final Calculation Sheet'!$AD$4:$AD$40=$FD$19)*($PQ$6:$PQ$42=1))&gt;0)</f>
        <v/>
      </c>
      <c r="PS19">
        <f>$PS$18+--($PR19)</f>
        <v/>
      </c>
      <c r="PT19">
        <f>IF(ROW()-3&gt;MAX($PS$4:$PS$40),"",INDEX($FD$4:$FD$40,MATCH(ROW()-3,$PS$4:$PS$40,0)))</f>
        <v/>
      </c>
      <c r="PU19">
        <f>IF(COUNTIF('Buyer Groups'!DG72:EJ72,0)+COUNTIF('Buyer Groups'!EL72:EN72,0)&gt;0,0,1)</f>
        <v/>
      </c>
      <c r="PV19">
        <f>IF($FX$19="",FALSE,SUMPRODUCT((IF('Final Calculation Sheet'!$AD$4:$AD$40&lt;=5,"SETTLED","OUTSTANDING")=$FX$19)*($PU$6:$PU$42=1))&gt;0)</f>
        <v/>
      </c>
      <c r="PW19">
        <f>$PW$18+--($PV19)</f>
        <v/>
      </c>
      <c r="PX19">
        <f>IF(ROW()-3&gt;MAX($PW$4:$PW$40),"",INDEX($FX$4:$FX$40,MATCH(ROW()-3,$PW$4:$PW$40,0)))</f>
        <v/>
      </c>
      <c r="PY19">
        <f>IF(COUNTIF('Buyer Groups'!DG72:EK72,0)+COUNTIF('Buyer Groups'!EM72:EN72,0)&gt;0,0,1)</f>
        <v/>
      </c>
      <c r="PZ19">
        <f>IF($FI$19="",FALSE,SUMPRODUCT(('Final Calculation Sheet'!$AF$4:$AF$40=$FI$19)*($PY$6:$PY$42=1))&gt;0)</f>
        <v/>
      </c>
      <c r="QA19">
        <f>$QA$18+--($PZ19)</f>
        <v/>
      </c>
      <c r="QB19">
        <f>IF(ROW()-3&gt;MAX($QA$4:$QA$40),"",INDEX($FI$4:$FI$40,MATCH(ROW()-3,$QA$4:$QA$40,0)))</f>
        <v/>
      </c>
      <c r="QC19">
        <f>IF(COUNTIF('Buyer Groups'!DG72:EL72,0)+COUNTIF('Buyer Groups'!EN72:EN72,0)&gt;0,0,1)</f>
        <v/>
      </c>
      <c r="QD19">
        <f>IF($FN$19="",FALSE,SUMPRODUCT(('Final Calculation Sheet'!$AG$4:$AG$40=$FN$19)*($QC$6:$QC$42=1))&gt;0)</f>
        <v/>
      </c>
      <c r="QE19">
        <f>$QE$18+--($QD19)</f>
        <v/>
      </c>
      <c r="QF19">
        <f>IF(ROW()-3&gt;MAX($QE$4:$QE$40),"",INDEX($FN$4:$FN$40,MATCH(ROW()-3,$QE$4:$QE$40,0)))</f>
        <v/>
      </c>
      <c r="QG19">
        <f>IF(COUNTIF('Buyer Groups'!DG72:EM72,0)&gt;0,0,1)</f>
        <v/>
      </c>
      <c r="QH19">
        <f>IF($FS$19="",FALSE,SUMPRODUCT(('Final Calculation Sheet'!$AH$4:$AH$40=$FS$19)*($QG$6:$QG$42=1))&gt;0)</f>
        <v/>
      </c>
      <c r="QI19">
        <f>$QI$18+--($QH19)</f>
        <v/>
      </c>
      <c r="QJ19">
        <f>IF(ROW()-3&gt;MAX($QI$4:$QI$40),"",INDEX($FS$4:$FS$40,MATCH(ROW()-3,$QI$4:$QI$40,0)))</f>
        <v/>
      </c>
      <c r="QK19" t="str">
        <f>IF('Final Calculation Sheet'!$AH$19="","",'Final Calculation Sheet'!$AH$19)</f>
      </c>
      <c r="QL19" t="str">
        <f>IF(QK19="","",COUNTIFS(QK$4:QK$40,"&lt;"&amp;QK19,QK$4:QK$40,"&lt;&gt;"&amp;"")+COUNTIF(QK$4:QK19,QK19))</f>
      </c>
      <c r="QM19" t="str">
        <f>IF(ROW()-3&gt;COUNTIF(QK$4:QK$40,"&lt;&gt;"&amp;""),"",INDEX(QK$4:QK$40,MATCH(ROW()-3,QL$4:QL$40,0)))</f>
      </c>
      <c r="QN19" t="str">
        <f>=QN18+F(AND(QM19&lt;&gt;"",COUNTIF(QM$4:QM19,QM19)=1),1,0)</f>
      </c>
      <c r="QO19" t="str">
        <f>IF(ROW()-3&gt;MAX(QN$4:QN$40),"",INDEX(QM$4:QM$40,MATCH(ROW()-3,QN$4:QN$40,0)))</f>
      </c>
      <c r="QP19" t="str">
        <f>IF(COUNTIF('Final Calculation Sheet'!$AM19:$BS19,0)&gt;0,0,1)</f>
      </c>
      <c r="QQ19" t="str">
        <f>IF($AI$19="",FALSE,SUMPRODUCT(('Final Calculation Sheet'!$A$4:$A$40=$AI$19)*($QP$4:$QP$40=1))&gt;0)</f>
      </c>
      <c r="QR19" t="str">
        <f>=$QR18+--($QQ19)</f>
      </c>
      <c r="QS19" t="str">
        <f>IF(ROW()-3&gt;MAX($QR$4:$QR$40),"",INDEX($AI$4:$AI$40,MATCH(ROW()-3,$QR$4:$QR$40,0)))</f>
      </c>
      <c r="QT19" t="str">
        <f>IF(COUNTIF('Final Calculation Sheet'!$AL19:$AL19,0)+COUNTIF('Final Calculation Sheet'!$AN19:$BS19,0)&gt;0,0,1)</f>
      </c>
      <c r="QU19" t="str">
        <f>IF($Y$19="",FALSE,SUMPRODUCT(('Final Calculation Sheet'!$B$4:$B$40=$Y$19)*($QT$4:$QT$40=1))&gt;0)</f>
      </c>
      <c r="QV19" t="str">
        <f>=$QV18+--($QU19)</f>
      </c>
      <c r="QW19" t="str">
        <f>IF(ROW()-3&gt;MAX($QV$4:$QV$40),"",INDEX($Y$4:$Y$40,MATCH(ROW()-3,$QV$4:$QV$40,0)))</f>
      </c>
      <c r="QX19" t="str">
        <f>IF(COUNTIF('Final Calculation Sheet'!$AL19:$AM19,0)+COUNTIF('Final Calculation Sheet'!$AO19:$BS19,0)&gt;0,0,1)</f>
      </c>
      <c r="QY19" t="str">
        <f>IF($AS$19="",FALSE,SUMPRODUCT(('Final Calculation Sheet'!$C$4:$C$40=$AS$19)*($QX$4:$QX$40=1))&gt;0)</f>
      </c>
      <c r="QZ19" t="str">
        <f>=$QZ18+--($QY19)</f>
      </c>
      <c r="RA19" t="str">
        <f>IF(ROW()-3&gt;MAX($QZ$4:$QZ$40),"",INDEX($AS$4:$AS$40,MATCH(ROW()-3,$QZ$4:$QZ$40,0)))</f>
      </c>
      <c r="RB19" t="str">
        <f>IF(COUNTIF('Final Calculation Sheet'!$AL19:$AN19,0)+COUNTIF('Final Calculation Sheet'!$AP19:$BS19,0)&gt;0,0,1)</f>
      </c>
      <c r="RC19" t="str">
        <f>IF($AD$19="",FALSE,SUMPRODUCT(('Final Calculation Sheet'!$D$4:$D$40=$AD$19)*($RB$4:$RB$40=1))&gt;0)</f>
      </c>
      <c r="RD19" t="str">
        <f>=$RD18+--($RC19)</f>
      </c>
      <c r="RE19" t="str">
        <f>IF(ROW()-3&gt;MAX($RD$4:$RD$40),"",INDEX($AD$4:$AD$40,MATCH(ROW()-3,$RD$4:$RD$40,0)))</f>
      </c>
      <c r="RF19" t="str">
        <f>IF(COUNTIF('Final Calculation Sheet'!$AL19:$AO19,0)+COUNTIF('Final Calculation Sheet'!$AQ19:$BS19,0)&gt;0,0,1)</f>
      </c>
      <c r="RG19" t="str">
        <f>IF($AN$19="",FALSE,SUMPRODUCT(('Final Calculation Sheet'!$E$4:$E$40=$AN$19)*($RF$4:$RF$40=1))&gt;0)</f>
      </c>
      <c r="RH19" t="str">
        <f>=$RH18+--($RG19)</f>
      </c>
      <c r="RI19" t="str">
        <f>IF(ROW()-3&gt;MAX($RH$4:$RH$40),"",INDEX($AN$4:$AN$40,MATCH(ROW()-3,$RH$4:$RH$40,0)))</f>
      </c>
      <c r="RJ19" t="str">
        <f>IF(COUNTIF('Final Calculation Sheet'!$AL19:$AP19,0)+COUNTIF('Final Calculation Sheet'!$AR19:$BS19,0)&gt;0,0,1)</f>
      </c>
      <c r="RK19" t="str">
        <f>IF($O$19="",FALSE,SUMPRODUCT(('Final Calculation Sheet'!$F$4:$F$40=$O$19)*($RJ$4:$RJ$40=1))&gt;0)</f>
      </c>
      <c r="RL19" t="str">
        <f>=$RL18+--($RK19)</f>
      </c>
      <c r="RM19" t="str">
        <f>IF(ROW()-3&gt;MAX($RL$4:$RL$40),"",INDEX($O$4:$O$40,MATCH(ROW()-3,$RL$4:$RL$40,0)))</f>
      </c>
      <c r="RN19" t="str">
        <f>IF(COUNTIF('Final Calculation Sheet'!$AL19:$AQ19,0)+COUNTIF('Final Calculation Sheet'!$AS19:$BS19,0)&gt;0,0,1)</f>
      </c>
      <c r="RO19" t="str">
        <f>IF($T$19="",FALSE,SUMPRODUCT(('Final Calculation Sheet'!$G$4:$G$40=$T$19)*($RN$4:$RN$40=1))&gt;0)</f>
      </c>
      <c r="RP19" t="str">
        <f>=$RP18+--($RO19)</f>
      </c>
      <c r="RQ19" t="str">
        <f>IF(ROW()-3&gt;MAX($RP$4:$RP$40),"",INDEX($T$4:$T$40,MATCH(ROW()-3,$RP$4:$RP$40,0)))</f>
      </c>
      <c r="RR19" t="str">
        <f>IF(COUNTIF('Final Calculation Sheet'!$AL19:$AR19,0)+COUNTIF('Final Calculation Sheet'!$AT19:$BS19,0)&gt;0,0,1)</f>
      </c>
      <c r="RS19" t="str">
        <f>IF($AX$19="",FALSE,SUMPRODUCT(('Final Calculation Sheet'!$H$4:$H$40=$AX$19)*($RR$4:$RR$40=1))&gt;0)</f>
      </c>
      <c r="RT19" t="str">
        <f>=$RT18+--($RS19)</f>
      </c>
      <c r="RU19" t="str">
        <f>IF(ROW()-3&gt;MAX($RT$4:$RT$40),"",INDEX($AX$4:$AX$40,MATCH(ROW()-3,$RT$4:$RT$40,0)))</f>
      </c>
      <c r="RV19" t="str">
        <f>IF(COUNTIF('Final Calculation Sheet'!$AL19:$AS19,0)+COUNTIF('Final Calculation Sheet'!$AU19:$BS19,0)&gt;0,0,1)</f>
      </c>
      <c r="RW19" t="str">
        <f>IF($BC$19="",FALSE,SUMPRODUCT(('Final Calculation Sheet'!$I$4:$I$40=$BC$19)*($RV$4:$RV$40=1))&gt;0)</f>
      </c>
      <c r="RX19" t="str">
        <f>=$RX18+--($RW19)</f>
      </c>
      <c r="RY19" t="str">
        <f>IF(ROW()-3&gt;MAX($RX$4:$RX$40),"",INDEX($BC$4:$BC$40,MATCH(ROW()-3,$RX$4:$RX$40,0)))</f>
      </c>
      <c r="RZ19" t="str">
        <f>IF(COUNTIF('Final Calculation Sheet'!$AL19:$AT19,0)+COUNTIF('Final Calculation Sheet'!$AV19:$BS19,0)&gt;0,0,1)</f>
      </c>
      <c r="SA19" t="str">
        <f>IF($BH$19="",FALSE,SUMPRODUCT(('Final Calculation Sheet'!$J$4:$J$40=$BH$19)*($RZ$4:$RZ$40=1))&gt;0)</f>
      </c>
      <c r="SB19" t="str">
        <f>=$SB18+--($SA19)</f>
      </c>
      <c r="SC19" t="str">
        <f>IF(ROW()-3&gt;MAX($SB$4:$SB$40),"",INDEX($BH$4:$BH$40,MATCH(ROW()-3,$SB$4:$SB$40,0)))</f>
      </c>
      <c r="SD19" t="str">
        <f>IF(COUNTIF('Final Calculation Sheet'!$AL19:$AU19,0)+COUNTIF('Final Calculation Sheet'!$AW19:$BS19,0)&gt;0,0,1)</f>
      </c>
      <c r="SE19" t="str">
        <f>IF($BM$19="",FALSE,SUMPRODUCT(('Final Calculation Sheet'!$K$4:$K$40=$BM$19)*($SD$4:$SD$40=1))&gt;0)</f>
      </c>
      <c r="SF19" t="str">
        <f>=$SF18+--($SE19)</f>
      </c>
      <c r="SG19" t="str">
        <f>IF(ROW()-3&gt;MAX($SF$4:$SF$40),"",INDEX($BM$4:$BM$40,MATCH(ROW()-3,$SF$4:$SF$40,0)))</f>
      </c>
      <c r="SH19" t="str">
        <f>IF(COUNTIF('Final Calculation Sheet'!$AL19:$AV19,0)+COUNTIF('Final Calculation Sheet'!$AX19:$BS19,0)&gt;0,0,1)</f>
      </c>
      <c r="SI19" t="str">
        <f>IF($BR$19="",FALSE,SUMPRODUCT(('Final Calculation Sheet'!$L$4:$L$40=$BR$19)*($SH$4:$SH$40=1))&gt;0)</f>
      </c>
      <c r="SJ19" t="str">
        <f>=$SJ18+--($SI19)</f>
      </c>
      <c r="SK19" t="str">
        <f>IF(ROW()-3&gt;MAX($SJ$4:$SJ$40),"",INDEX($BR$4:$BR$40,MATCH(ROW()-3,$SJ$4:$SJ$40,0)))</f>
      </c>
      <c r="SL19" t="str">
        <f>IF(COUNTIF('Final Calculation Sheet'!$AL19:$AW19,0)+COUNTIF('Final Calculation Sheet'!$AY19:$BS19,0)&gt;0,0,1)</f>
      </c>
      <c r="SM19" t="str">
        <f>IF($BW$19="",FALSE,SUMPRODUCT(('Final Calculation Sheet'!$M$4:$M$40=$BW$19)*($SL$4:$SL$40=1))&gt;0)</f>
      </c>
      <c r="SN19" t="str">
        <f>=$SN18+--($SM19)</f>
      </c>
      <c r="SO19" t="str">
        <f>IF(ROW()-3&gt;MAX($SN$4:$SN$40),"",INDEX($BW$4:$BW$40,MATCH(ROW()-3,$SN$4:$SN$40,0)))</f>
      </c>
      <c r="SP19" t="str">
        <f>IF(COUNTIF('Final Calculation Sheet'!$AL19:$AX19,0)+COUNTIF('Final Calculation Sheet'!$AZ19:$BS19,0)&gt;0,0,1)</f>
      </c>
      <c r="SQ19" t="str">
        <f>IF($CB$19="",FALSE,SUMPRODUCT(('Final Calculation Sheet'!$N$4:$N$40=$CB$19)*($SP$4:$SP$40=1))&gt;0)</f>
      </c>
      <c r="SR19" t="str">
        <f>=$SR18+--($SQ19)</f>
      </c>
      <c r="SS19" t="str">
        <f>IF(ROW()-3&gt;MAX($SR$4:$SR$40),"",INDEX($CB$4:$CB$40,MATCH(ROW()-3,$SR$4:$SR$40,0)))</f>
      </c>
      <c r="ST19" t="str">
        <f>IF(COUNTIF('Final Calculation Sheet'!$AL19:$AY19,0)+COUNTIF('Final Calculation Sheet'!$BA19:$BS19,0)&gt;0,0,1)</f>
      </c>
      <c r="SU19" t="str">
        <f>IF($CG$19="",FALSE,SUMPRODUCT(('Final Calculation Sheet'!$O$4:$O$40=$CG$19)*($ST$4:$ST$40=1))&gt;0)</f>
      </c>
      <c r="SV19" t="str">
        <f>=$SV18+--($SU19)</f>
      </c>
      <c r="SW19" t="str">
        <f>IF(ROW()-3&gt;MAX($SV$4:$SV$40),"",INDEX($CG$4:$CG$40,MATCH(ROW()-3,$SV$4:$SV$40,0)))</f>
      </c>
      <c r="SX19" t="str">
        <f>IF(COUNTIF('Final Calculation Sheet'!$AL19:$AZ19,0)+COUNTIF('Final Calculation Sheet'!$BB19:$BS19,0)&gt;0,0,1)</f>
      </c>
      <c r="SY19" t="str">
        <f>IF($CL$19="",FALSE,SUMPRODUCT(('Final Calculation Sheet'!$P$4:$P$40=$CL$19)*($SX$4:$SX$40=1))&gt;0)</f>
      </c>
      <c r="SZ19" t="str">
        <f>=$SZ18+--($SY19)</f>
      </c>
      <c r="TA19" t="str">
        <f>IF(ROW()-3&gt;MAX($SZ$4:$SZ$40),"",INDEX($CL$4:$CL$40,MATCH(ROW()-3,$SZ$4:$SZ$40,0)))</f>
      </c>
      <c r="TB19" t="str">
        <f>IF(COUNTIF('Final Calculation Sheet'!$AL19:$BA19,0)+COUNTIF('Final Calculation Sheet'!$BC19:$BS19,0)&gt;0,0,1)</f>
      </c>
      <c r="TC19" t="str">
        <f>IF($CQ$19="",FALSE,SUMPRODUCT(('Final Calculation Sheet'!$Q$4:$Q$40=$CQ$19)*($TB$4:$TB$40=1))&gt;0)</f>
      </c>
      <c r="TD19" t="str">
        <f>=$TD18+--($TC19)</f>
      </c>
      <c r="TE19" t="str">
        <f>IF(ROW()-3&gt;MAX($TD$4:$TD$40),"",INDEX($CQ$4:$CQ$40,MATCH(ROW()-3,$TD$4:$TD$40,0)))</f>
      </c>
      <c r="TF19" t="str">
        <f>IF(COUNTIF('Final Calculation Sheet'!$AL19:$BB19,0)+COUNTIF('Final Calculation Sheet'!$BD19:$BS19,0)&gt;0,0,1)</f>
      </c>
      <c r="TG19" t="str">
        <f>IF($CV$19="",FALSE,SUMPRODUCT(('Final Calculation Sheet'!$R$4:$R$40=$CV$19)*($TF$4:$TF$40=1))&gt;0)</f>
      </c>
      <c r="TH19" t="str">
        <f>=$TH18+--($TG19)</f>
      </c>
      <c r="TI19" t="str">
        <f>IF(ROW()-3&gt;MAX($TH$4:$TH$40),"",INDEX($CV$4:$CV$40,MATCH(ROW()-3,$TH$4:$TH$40,0)))</f>
      </c>
      <c r="TJ19" t="str">
        <f>IF(COUNTIF('Final Calculation Sheet'!$AL19:$BC19,0)+COUNTIF('Final Calculation Sheet'!$BE19:$BS19,0)&gt;0,0,1)</f>
      </c>
      <c r="TK19" t="str">
        <f>IF($DA$19="",FALSE,SUMPRODUCT(('Final Calculation Sheet'!$S$4:$S$40=$DA$19)*($TJ$4:$TJ$40=1))&gt;0)</f>
      </c>
      <c r="TL19" t="str">
        <f>=$TL18+--($TK19)</f>
      </c>
      <c r="TM19" t="str">
        <f>IF(ROW()-3&gt;MAX($TL$4:$TL$40),"",INDEX($DA$4:$DA$40,MATCH(ROW()-3,$TL$4:$TL$40,0)))</f>
      </c>
      <c r="TN19" t="str">
        <f>IF(COUNTIF('Final Calculation Sheet'!$AL19:$BD19,0)+COUNTIF('Final Calculation Sheet'!$BF19:$BS19,0)&gt;0,0,1)</f>
      </c>
      <c r="TO19" t="str">
        <f>IF($DF$19="",FALSE,SUMPRODUCT(('Final Calculation Sheet'!$T$4:$T$40=$DF$19)*($TN$4:$TN$40=1))&gt;0)</f>
      </c>
      <c r="TP19" t="str">
        <f>=$TP18+--($TO19)</f>
      </c>
      <c r="TQ19" t="str">
        <f>IF(ROW()-3&gt;MAX($TP$4:$TP$40),"",INDEX($DF$4:$DF$40,MATCH(ROW()-3,$TP$4:$TP$40,0)))</f>
      </c>
      <c r="TR19" t="str">
        <f>IF(COUNTIF('Final Calculation Sheet'!$AL19:$BE19,0)+COUNTIF('Final Calculation Sheet'!$BG19:$BS19,0)&gt;0,0,1)</f>
      </c>
      <c r="TS19" t="str">
        <f>IF($DK$19="",FALSE,SUMPRODUCT(('Final Calculation Sheet'!$U$4:$U$40=$DK$19)*($TR$4:$TR$40=1))&gt;0)</f>
      </c>
      <c r="TT19" t="str">
        <f>=$TT18+--($TS19)</f>
      </c>
      <c r="TU19" t="str">
        <f>IF(ROW()-3&gt;MAX($TT$4:$TT$40),"",INDEX($DK$4:$DK$40,MATCH(ROW()-3,$TT$4:$TT$40,0)))</f>
      </c>
      <c r="TV19" t="str">
        <f>IF(COUNTIF('Final Calculation Sheet'!$AL19:$BF19,0)+COUNTIF('Final Calculation Sheet'!$BH19:$BS19,0)&gt;0,0,1)</f>
      </c>
      <c r="TW19" t="str">
        <f>IF($DP$19="",FALSE,SUMPRODUCT(('Final Calculation Sheet'!$V$4:$V$40=$DP$19)*($TV$4:$TV$40=1))&gt;0)</f>
      </c>
      <c r="TX19" t="str">
        <f>=$TX18+--($TW19)</f>
      </c>
      <c r="TY19" t="str">
        <f>IF(ROW()-3&gt;MAX($TX$4:$TX$40),"",INDEX($DP$4:$DP$40,MATCH(ROW()-3,$TX$4:$TX$40,0)))</f>
      </c>
      <c r="TZ19" t="str">
        <f>IF(COUNTIF('Final Calculation Sheet'!$AL19:$BG19,0)+COUNTIF('Final Calculation Sheet'!$BI19:$BS19,0)&gt;0,0,1)</f>
      </c>
      <c r="UA19" t="str">
        <f>IF($DU$19="",FALSE,SUMPRODUCT(('Final Calculation Sheet'!$W$4:$W$40=$DU$19)*($TZ$4:$TZ$40=1))&gt;0)</f>
      </c>
      <c r="UB19" t="str">
        <f>=$UB18+--($UA19)</f>
      </c>
      <c r="UC19" t="str">
        <f>IF(ROW()-3&gt;MAX($UB$4:$UB$40),"",INDEX($DU$4:$DU$40,MATCH(ROW()-3,$UB$4:$UB$40,0)))</f>
      </c>
      <c r="UD19" t="str">
        <f>IF(COUNTIF('Final Calculation Sheet'!$AL19:$BH19,0)+COUNTIF('Final Calculation Sheet'!$BJ19:$BS19,0)&gt;0,0,1)</f>
      </c>
      <c r="UE19" t="str">
        <f>IF($DZ$19="",FALSE,SUMPRODUCT(('Final Calculation Sheet'!$X$4:$X$40=$DZ$19)*($UD$4:$UD$40=1))&gt;0)</f>
      </c>
      <c r="UF19" t="str">
        <f>=$UF18+--($UE19)</f>
      </c>
      <c r="UG19" t="str">
        <f>IF(ROW()-3&gt;MAX($UF$4:$UF$40),"",INDEX($DZ$4:$DZ$40,MATCH(ROW()-3,$UF$4:$UF$40,0)))</f>
      </c>
      <c r="UH19" t="str">
        <f>IF(COUNTIF('Final Calculation Sheet'!$AL19:$BI19,0)+COUNTIF('Final Calculation Sheet'!$BK19:$BS19,0)&gt;0,0,1)</f>
      </c>
      <c r="UI19" t="str">
        <f>IF($EE$19="",FALSE,SUMPRODUCT(('Final Calculation Sheet'!$Y$4:$Y$40=$EE$19)*($UH$4:$UH$40=1))&gt;0)</f>
      </c>
      <c r="UJ19" t="str">
        <f>=$UJ18+--($UI19)</f>
      </c>
      <c r="UK19" t="str">
        <f>IF(ROW()-3&gt;MAX($UJ$4:$UJ$40),"",INDEX($EE$4:$EE$40,MATCH(ROW()-3,$UJ$4:$UJ$40,0)))</f>
      </c>
      <c r="UL19" t="str">
        <f>IF(COUNTIF('Final Calculation Sheet'!$AL19:$BJ19,0)+COUNTIF('Final Calculation Sheet'!$BL19:$BS19,0)&gt;0,0,1)</f>
      </c>
      <c r="UM19" t="str">
        <f>IF($EJ$19="",FALSE,SUMPRODUCT(('Final Calculation Sheet'!$Z$4:$Z$40=$EJ$19)*($UL$4:$UL$40=1))&gt;0)</f>
      </c>
      <c r="UN19" t="str">
        <f>=$UN18+--($UM19)</f>
      </c>
      <c r="UO19" t="str">
        <f>IF(ROW()-3&gt;MAX($UN$4:$UN$40),"",INDEX($EJ$4:$EJ$40,MATCH(ROW()-3,$UN$4:$UN$40,0)))</f>
      </c>
      <c r="UP19" t="str">
        <f>IF(COUNTIF('Final Calculation Sheet'!$AL19:$BK19,0)+COUNTIF('Final Calculation Sheet'!$BM19:$BS19,0)&gt;0,0,1)</f>
      </c>
      <c r="UQ19" t="str">
        <f>IF($EO$19="",FALSE,SUMPRODUCT(('Final Calculation Sheet'!$AA$4:$AA$40=$EO$19)*($UP$4:$UP$40=1))&gt;0)</f>
      </c>
      <c r="UR19" t="str">
        <f>=$UR18+--($UQ19)</f>
      </c>
      <c r="US19" t="str">
        <f>IF(ROW()-3&gt;MAX($UR$4:$UR$40),"",INDEX($EO$4:$EO$40,MATCH(ROW()-3,$UR$4:$UR$40,0)))</f>
      </c>
      <c r="UT19" t="str">
        <f>IF(COUNTIF('Final Calculation Sheet'!$AL19:$BL19,0)+COUNTIF('Final Calculation Sheet'!$BN19:$BS19,0)&gt;0,0,1)</f>
      </c>
      <c r="UU19" t="str">
        <f>IF($ET$19="",FALSE,SUMPRODUCT(('Final Calculation Sheet'!$AB$4:$AB$40=$ET$19)*($UT$4:$UT$40=1))&gt;0)</f>
      </c>
      <c r="UV19" t="str">
        <f>=$UV18+--($UU19)</f>
      </c>
      <c r="UW19" t="str">
        <f>IF(ROW()-3&gt;MAX($UV$4:$UV$40),"",INDEX($ET$4:$ET$40,MATCH(ROW()-3,$UV$4:$UV$40,0)))</f>
      </c>
      <c r="UX19" t="str">
        <f>IF(COUNTIF('Final Calculation Sheet'!$AL19:$BM19,0)+COUNTIF('Final Calculation Sheet'!$BO19:$BS19,0)&gt;0,0,1)</f>
      </c>
      <c r="UY19" t="str">
        <f>IF($EY$19="",FALSE,SUMPRODUCT(('Final Calculation Sheet'!$AC$4:$AC$40=$EY$19)*($UX$4:$UX$40=1))&gt;0)</f>
      </c>
      <c r="UZ19" t="str">
        <f>=$UZ18+--($UY19)</f>
      </c>
      <c r="VA19" t="str">
        <f>IF(ROW()-3&gt;MAX($UZ$4:$UZ$40),"",INDEX($EY$4:$EY$40,MATCH(ROW()-3,$UZ$4:$UZ$40,0)))</f>
      </c>
      <c r="VB19" t="str">
        <f>IF(COUNTIF('Final Calculation Sheet'!$AL19:$BN19,0)+COUNTIF('Final Calculation Sheet'!$BP19:$BS19,0)&gt;0,0,1)</f>
      </c>
      <c r="VC19" t="str">
        <f>IF($FD$19="",FALSE,SUMPRODUCT(('Final Calculation Sheet'!$AD$4:$AD$40=$FD$19)*($VB$4:$VB$40=1))&gt;0)</f>
      </c>
      <c r="VD19" t="str">
        <f>=$VD18+--($VC19)</f>
      </c>
      <c r="VE19" t="str">
        <f>IF(ROW()-3&gt;MAX($VD$4:$VD$40),"",INDEX($FD$4:$FD$40,MATCH(ROW()-3,$VD$4:$VD$40,0)))</f>
      </c>
      <c r="VF19" t="str">
        <f>IF(COUNTIF('Final Calculation Sheet'!$AL19:$BO19,0)+COUNTIF('Final Calculation Sheet'!$BQ19:$BS19,0)&gt;0,0,1)</f>
      </c>
      <c r="VG19" t="str">
        <f>IF($FI$19="",FALSE,SUMPRODUCT(('Final Calculation Sheet'!$AE$4:$AE$40=$FI$19)*($VF$4:$VF$40=1))&gt;0)</f>
      </c>
      <c r="VH19" t="str">
        <f>=$VH18+--($VG19)</f>
      </c>
      <c r="VI19" t="str">
        <f>IF(ROW()-3&gt;MAX($VH$4:$VH$40),"",INDEX($FI$4:$FI$40,MATCH(ROW()-3,$VH$4:$VH$40,0)))</f>
      </c>
      <c r="VJ19" t="str">
        <f>IF(COUNTIF('Final Calculation Sheet'!$AL19:$BP19,0)+COUNTIF('Final Calculation Sheet'!$BR19:$BS19,0)&gt;0,0,1)</f>
      </c>
      <c r="VK19" t="str">
        <f>IF($FN$19="",FALSE,SUMPRODUCT(('Final Calculation Sheet'!$AF$4:$AF$40=$FN$19)*($VJ$4:$VJ$40=1))&gt;0)</f>
      </c>
      <c r="VL19" t="str">
        <f>=$VL18+--($VK19)</f>
      </c>
      <c r="VM19" t="str">
        <f>IF(ROW()-3&gt;MAX($VL$4:$VL$40),"",INDEX($FN$4:$FN$40,MATCH(ROW()-3,$VL$4:$VL$40,0)))</f>
      </c>
      <c r="VN19" t="str">
        <f>IF(COUNTIF('Final Calculation Sheet'!$AL19:$BQ19,0)+COUNTIF('Final Calculation Sheet'!$BS19:$BS19,0)&gt;0,0,1)</f>
      </c>
      <c r="VO19" t="str">
        <f>IF($FS$19="",FALSE,SUMPRODUCT(('Final Calculation Sheet'!$AG$4:$AG$40=$FS$19)*($VN$4:$VN$40=1))&gt;0)</f>
      </c>
      <c r="VP19" t="str">
        <f>=$VP18+--($VO19)</f>
      </c>
      <c r="VQ19" t="str">
        <f>IF(ROW()-3&gt;MAX($VP$4:$VP$40),"",INDEX($FS$4:$FS$40,MATCH(ROW()-3,$VP$4:$VP$40,0)))</f>
      </c>
      <c r="VR19" t="str">
        <f>IF(COUNTIF('Final Calculation Sheet'!$AL19:$BR19,0)&gt;0,0,1)</f>
      </c>
      <c r="VS19" t="str">
        <f>IF($QO$19="",FALSE,SUMPRODUCT(('Final Calculation Sheet'!$AH$4:$AH$40=$QO$19)*($VR$4:$VR$40=1))&gt;0)</f>
      </c>
      <c r="VT19" t="str">
        <f>=$VT18+--($VS19)</f>
      </c>
      <c r="VU19" t="str">
        <f>IF(ROW()-3&gt;MAX($VT$4:$VT$40),"",INDEX($QO$4:$QO$40,MATCH(ROW()-3,$VT$4:$VT$40,0)))</f>
      </c>
    </row>
    <row r="20">
      <c r="A20">
        <f>IF('Final Calculation Sheet'!$F$20="","",'Final Calculation Sheet'!$F$20)</f>
        <v/>
      </c>
      <c r="B20">
        <f>IF(A20="","",COUNTIFS(A$4:A$114,"&lt;"&amp;A20,A$4:A$114,"&lt;&gt;"&amp;"")+COUNTIF(A$4:A20,A20))</f>
        <v/>
      </c>
      <c r="C20">
        <f>IF(ROW()-3&gt;COUNTIF(A$4:A$114,"&lt;&gt;"&amp;""),"",INDEX(A$4:A$114,MATCH(ROW()-3,B$4:B$114,0)))</f>
        <v/>
      </c>
      <c r="D20">
        <f>D19+IF(AND(C20&lt;&gt;"",COUNTIF(C$4:C20,C20)=1),1,0)</f>
        <v/>
      </c>
      <c r="E20">
        <f>IF(ROW()-3&gt;MAX(D$4:D$114),"",INDEX(C$4:C$114,MATCH(ROW()-3,D$4:D$114,0)))</f>
        <v/>
      </c>
      <c r="F20">
        <f>ROW()-3</f>
        <v/>
      </c>
      <c r="G20">
        <f>IF(F20="","",COUNTIFS(F$4:F$40,"&lt;"&amp;F20,F$4:F$40,"&lt;&gt;"&amp;"")+COUNTIF(F$4:F20,F20))</f>
        <v/>
      </c>
      <c r="H20">
        <f>IF(ROW()-3&gt;COUNTIF(F$4:F$40,"&lt;&gt;"&amp;""),"",INDEX(F$4:F$40,MATCH(ROW()-3,G$4:G$40,0)))</f>
        <v/>
      </c>
      <c r="I20">
        <f>I19+IF(AND(H20&lt;&gt;"",COUNTIF(H$4:H20,H20)=1),1,0)</f>
        <v/>
      </c>
      <c r="J20">
        <f>IF(ROW()-3&gt;MAX(I$4:I$40),"",INDEX(H$4:H$40,MATCH(ROW()-3,I$4:I$40,0)))</f>
        <v/>
      </c>
      <c r="K20">
        <f>IF('Final Calculation Sheet'!$F$20="","",'Final Calculation Sheet'!$F$20)</f>
        <v/>
      </c>
      <c r="L20">
        <f>IF(K20="","",COUNTIFS(K$4:K$40,"&lt;"&amp;K20,K$4:K$40,"&lt;&gt;"&amp;"")+COUNTIF(K$4:K20,K20))</f>
        <v/>
      </c>
      <c r="M20">
        <f>IF(ROW()-3&gt;COUNTIF(K$4:K$40,"&lt;&gt;"&amp;""),"",INDEX(K$4:K$40,MATCH(ROW()-3,L$4:L$40,0)))</f>
        <v/>
      </c>
      <c r="N20">
        <f>N19+IF(AND(M20&lt;&gt;"",COUNTIF(M$4:M20,M20)=1),1,0)</f>
        <v/>
      </c>
      <c r="O20">
        <f>IF(ROW()-3&gt;MAX(N$4:N$40),"",INDEX(M$4:M$40,MATCH(ROW()-3,N$4:N$40,0)))</f>
        <v/>
      </c>
      <c r="P20">
        <f>IF('Final Calculation Sheet'!$G$20="","",'Final Calculation Sheet'!$G$20)</f>
        <v/>
      </c>
      <c r="Q20">
        <f>IF(P20="","",COUNTIFS(P$4:P$40,"&lt;"&amp;P20,P$4:P$40,"&lt;&gt;"&amp;"")+COUNTIF(P$4:P20,P20))</f>
        <v/>
      </c>
      <c r="R20">
        <f>IF(ROW()-3&gt;COUNTIF(P$4:P$40,"&lt;&gt;"&amp;""),"",INDEX(P$4:P$40,MATCH(ROW()-3,Q$4:Q$40,0)))</f>
        <v/>
      </c>
      <c r="S20">
        <f>S19+IF(AND(R20&lt;&gt;"",COUNTIF(R$4:R20,R20)=1),1,0)</f>
        <v/>
      </c>
      <c r="T20">
        <f>IF(ROW()-3&gt;MAX(S$4:S$40),"",INDEX(R$4:R$40,MATCH(ROW()-3,S$4:S$40,0)))</f>
        <v/>
      </c>
      <c r="U20">
        <f>IF('Final Calculation Sheet'!$B$20="","",'Final Calculation Sheet'!$B$20)</f>
        <v/>
      </c>
      <c r="V20">
        <f>IF(U20="","",COUNTIFS(U$4:U$40,"&lt;"&amp;U20,U$4:U$40,"&lt;&gt;"&amp;"")+COUNTIF(U$4:U20,U20))</f>
        <v/>
      </c>
      <c r="W20">
        <f>IF(ROW()-3&gt;COUNTIF(U$4:U$40,"&lt;&gt;"&amp;""),"",INDEX(U$4:U$40,MATCH(ROW()-3,V$4:V$40,0)))</f>
        <v/>
      </c>
      <c r="X20">
        <f>X19+IF(AND(W20&lt;&gt;"",COUNTIF(W$4:W20,W20)=1),1,0)</f>
        <v/>
      </c>
      <c r="Y20">
        <f>IF(ROW()-3&gt;MAX(X$4:X$40),"",INDEX(W$4:W$40,MATCH(ROW()-3,X$4:X$40,0)))</f>
        <v/>
      </c>
      <c r="Z20">
        <f>IF('Final Calculation Sheet'!$D$20="","",'Final Calculation Sheet'!$D$20)</f>
        <v/>
      </c>
      <c r="AA20">
        <f>IF(Z20="","",COUNTIFS(Z$4:Z$40,"&lt;"&amp;Z20,Z$4:Z$40,"&lt;&gt;"&amp;"")+COUNTIF(Z$4:Z20,Z20))</f>
        <v/>
      </c>
      <c r="AB20">
        <f>IF(ROW()-3&gt;COUNTIF(Z$4:Z$40,"&lt;&gt;"&amp;""),"",INDEX(Z$4:Z$40,MATCH(ROW()-3,AA$4:AA$40,0)))</f>
        <v/>
      </c>
      <c r="AC20">
        <f>AC19+IF(AND(AB20&lt;&gt;"",COUNTIF(AB$4:AB20,AB20)=1),1,0)</f>
        <v/>
      </c>
      <c r="AD20">
        <f>IF(ROW()-3&gt;MAX(AC$4:AC$40),"",INDEX(AB$4:AB$40,MATCH(ROW()-3,AC$4:AC$40,0)))</f>
        <v/>
      </c>
      <c r="AE20">
        <f>IF('Final Calculation Sheet'!$A$20="","",'Final Calculation Sheet'!$A$20)</f>
        <v/>
      </c>
      <c r="AF20">
        <f>IF(AE20="","",COUNTIFS(AE$4:AE$40,"&lt;"&amp;AE20,AE$4:AE$40,"&lt;&gt;"&amp;"")+COUNTIF(AE$4:AE20,AE20))</f>
        <v/>
      </c>
      <c r="AG20">
        <f>IF(ROW()-3&gt;COUNTIF(AE$4:AE$40,"&lt;&gt;"&amp;""),"",INDEX(AE$4:AE$40,MATCH(ROW()-3,AF$4:AF$40,0)))</f>
        <v/>
      </c>
      <c r="AH20">
        <f>AH19+IF(AND(AG20&lt;&gt;"",COUNTIF(AG$4:AG20,AG20)=1),1,0)</f>
        <v/>
      </c>
      <c r="AI20">
        <f>IF(ROW()-3&gt;MAX(AH$4:AH$40),"",INDEX(AG$4:AG$40,MATCH(ROW()-3,AH$4:AH$40,0)))</f>
        <v/>
      </c>
      <c r="AJ20">
        <f>IF('Final Calculation Sheet'!$E$20="","",'Final Calculation Sheet'!$E$20)</f>
        <v/>
      </c>
      <c r="AK20">
        <f>IF(AJ20="","",COUNTIFS(AJ$4:AJ$40,"&lt;"&amp;AJ20,AJ$4:AJ$40,"&lt;&gt;"&amp;"")+COUNTIF(AJ$4:AJ20,AJ20))</f>
        <v/>
      </c>
      <c r="AL20">
        <f>IF(ROW()-3&gt;COUNTIF(AJ$4:AJ$40,"&lt;&gt;"&amp;""),"",INDEX(AJ$4:AJ$40,MATCH(ROW()-3,AK$4:AK$40,0)))</f>
        <v/>
      </c>
      <c r="AM20">
        <f>AM19+IF(AND(AL20&lt;&gt;"",COUNTIF(AL$4:AL20,AL20)=1),1,0)</f>
        <v/>
      </c>
      <c r="AN20">
        <f>IF(ROW()-3&gt;MAX(AM$4:AM$40),"",INDEX(AL$4:AL$40,MATCH(ROW()-3,AM$4:AM$40,0)))</f>
        <v/>
      </c>
      <c r="AO20" s="55">
        <f>IF('Final Calculation Sheet'!$C$20="","",'Final Calculation Sheet'!$C$20)</f>
        <v/>
      </c>
      <c r="AP20">
        <f>IF(AO20="","",COUNTIFS(AO$4:AO$40,"&lt;"&amp;AO20,AO$4:AO$40,"&lt;&gt;"&amp;"")+COUNTIF(AO$4:AO20,AO20))</f>
        <v/>
      </c>
      <c r="AQ20" s="55">
        <f>IF(ROW()-3&gt;COUNTIF(AO$4:AO$40,"&lt;&gt;"&amp;""),"",INDEX(AO$4:AO$40,MATCH(ROW()-3,AP$4:AP$40,0)))</f>
        <v/>
      </c>
      <c r="AR20">
        <f>AR19+IF(AND(AQ20&lt;&gt;"",COUNTIF(AQ$4:AQ20,AQ20)=1),1,0)</f>
        <v/>
      </c>
      <c r="AS20" s="55">
        <f>IF(ROW()-3&gt;MAX(AR$4:AR$40),"",INDEX(AQ$4:AQ$40,MATCH(ROW()-3,AR$4:AR$40,0)))</f>
        <v/>
      </c>
      <c r="AT20" s="55">
        <f>IF('Final Calculation Sheet'!$H$20="","",'Final Calculation Sheet'!$H$20)</f>
        <v/>
      </c>
      <c r="AU20">
        <f>IF(AT20="","",COUNTIFS(AT$4:AT$40,"&lt;"&amp;AT20,AT$4:AT$40,"&lt;&gt;"&amp;"")+COUNTIF(AT$4:AT20,AT20))</f>
        <v/>
      </c>
      <c r="AV20" s="55">
        <f>IF(ROW()-3&gt;COUNTIF(AT$4:AT$40,"&lt;&gt;"&amp;""),"",INDEX(AT$4:AT$40,MATCH(ROW()-3,AU$4:AU$40,0)))</f>
        <v/>
      </c>
      <c r="AW20">
        <f>AW19+IF(AND(AV20&lt;&gt;"",COUNTIF(AV$4:AV20,AV20)=1),1,0)</f>
        <v/>
      </c>
      <c r="AX20" s="55">
        <f>IF(ROW()-3&gt;MAX(AW$4:AW$40),"",INDEX(AV$4:AV$40,MATCH(ROW()-3,AW$4:AW$40,0)))</f>
        <v/>
      </c>
      <c r="AY20" s="55">
        <f>IF('Final Calculation Sheet'!$I$20="","",'Final Calculation Sheet'!$I$20)</f>
        <v/>
      </c>
      <c r="AZ20">
        <f>IF(AY20="","",COUNTIFS(AY$4:AY$40,"&lt;"&amp;AY20,AY$4:AY$40,"&lt;&gt;"&amp;"")+COUNTIF(AY$4:AY20,AY20))</f>
        <v/>
      </c>
      <c r="BA20" s="55">
        <f>IF(ROW()-3&gt;COUNTIF(AY$4:AY$40,"&lt;&gt;"&amp;""),"",INDEX(AY$4:AY$40,MATCH(ROW()-3,AZ$4:AZ$40,0)))</f>
        <v/>
      </c>
      <c r="BB20">
        <f>BB19+IF(AND(BA20&lt;&gt;"",COUNTIF(BA$4:BA20,BA20)=1),1,0)</f>
        <v/>
      </c>
      <c r="BC20" s="55">
        <f>IF(ROW()-3&gt;MAX(BB$4:BB$40),"",INDEX(BA$4:BA$40,MATCH(ROW()-3,BB$4:BB$40,0)))</f>
        <v/>
      </c>
      <c r="BD20" s="55">
        <f>IF('Final Calculation Sheet'!$J$20="","",'Final Calculation Sheet'!$J$20)</f>
        <v/>
      </c>
      <c r="BE20">
        <f>IF(BD20="","",COUNTIFS(BD$4:BD$40,"&lt;"&amp;BD20,BD$4:BD$40,"&lt;&gt;"&amp;"")+COUNTIF(BD$4:BD20,BD20))</f>
        <v/>
      </c>
      <c r="BF20" s="55">
        <f>IF(ROW()-3&gt;COUNTIF(BD$4:BD$40,"&lt;&gt;"&amp;""),"",INDEX(BD$4:BD$40,MATCH(ROW()-3,BE$4:BE$40,0)))</f>
        <v/>
      </c>
      <c r="BG20">
        <f>BG19+IF(AND(BF20&lt;&gt;"",COUNTIF(BF$4:BF20,BF20)=1),1,0)</f>
        <v/>
      </c>
      <c r="BH20" s="55">
        <f>IF(ROW()-3&gt;MAX(BG$4:BG$40),"",INDEX(BF$4:BF$40,MATCH(ROW()-3,BG$4:BG$40,0)))</f>
        <v/>
      </c>
      <c r="BI20" s="55">
        <f>IF('Final Calculation Sheet'!$K$20="","",'Final Calculation Sheet'!$K$20)</f>
        <v/>
      </c>
      <c r="BJ20">
        <f>IF(BI20="","",COUNTIFS(BI$4:BI$40,"&lt;"&amp;BI20,BI$4:BI$40,"&lt;&gt;"&amp;"")+COUNTIF(BI$4:BI20,BI20))</f>
        <v/>
      </c>
      <c r="BK20" s="55">
        <f>IF(ROW()-3&gt;COUNTIF(BI$4:BI$40,"&lt;&gt;"&amp;""),"",INDEX(BI$4:BI$40,MATCH(ROW()-3,BJ$4:BJ$40,0)))</f>
        <v/>
      </c>
      <c r="BL20">
        <f>BL19+IF(AND(BK20&lt;&gt;"",COUNTIF(BK$4:BK20,BK20)=1),1,0)</f>
        <v/>
      </c>
      <c r="BM20" s="55">
        <f>IF(ROW()-3&gt;MAX(BL$4:BL$40),"",INDEX(BK$4:BK$40,MATCH(ROW()-3,BL$4:BL$40,0)))</f>
        <v/>
      </c>
      <c r="BN20" s="55">
        <f>IF('Final Calculation Sheet'!$L$20="","",'Final Calculation Sheet'!$L$20)</f>
        <v/>
      </c>
      <c r="BO20">
        <f>IF(BN20="","",COUNTIFS(BN$4:BN$40,"&lt;"&amp;BN20,BN$4:BN$40,"&lt;&gt;"&amp;"")+COUNTIF(BN$4:BN20,BN20))</f>
        <v/>
      </c>
      <c r="BP20" s="55">
        <f>IF(ROW()-3&gt;COUNTIF(BN$4:BN$40,"&lt;&gt;"&amp;""),"",INDEX(BN$4:BN$40,MATCH(ROW()-3,BO$4:BO$40,0)))</f>
        <v/>
      </c>
      <c r="BQ20">
        <f>BQ19+IF(AND(BP20&lt;&gt;"",COUNTIF(BP$4:BP20,BP20)=1),1,0)</f>
        <v/>
      </c>
      <c r="BR20" s="55">
        <f>IF(ROW()-3&gt;MAX(BQ$4:BQ$40),"",INDEX(BP$4:BP$40,MATCH(ROW()-3,BQ$4:BQ$40,0)))</f>
        <v/>
      </c>
      <c r="BS20" s="55">
        <f>IF('Final Calculation Sheet'!$M$20="","",'Final Calculation Sheet'!$M$20)</f>
        <v/>
      </c>
      <c r="BT20">
        <f>IF(BS20="","",COUNTIFS(BS$4:BS$40,"&lt;"&amp;BS20,BS$4:BS$40,"&lt;&gt;"&amp;"")+COUNTIF(BS$4:BS20,BS20))</f>
        <v/>
      </c>
      <c r="BU20" s="55">
        <f>IF(ROW()-3&gt;COUNTIF(BS$4:BS$40,"&lt;&gt;"&amp;""),"",INDEX(BS$4:BS$40,MATCH(ROW()-3,BT$4:BT$40,0)))</f>
        <v/>
      </c>
      <c r="BV20">
        <f>BV19+IF(AND(BU20&lt;&gt;"",COUNTIF(BU$4:BU20,BU20)=1),1,0)</f>
        <v/>
      </c>
      <c r="BW20" s="55">
        <f>IF(ROW()-3&gt;MAX(BV$4:BV$40),"",INDEX(BU$4:BU$40,MATCH(ROW()-3,BV$4:BV$40,0)))</f>
        <v/>
      </c>
      <c r="BX20" s="138">
        <f>IF('Final Calculation Sheet'!$N$20="","",'Final Calculation Sheet'!$N$20)</f>
        <v/>
      </c>
      <c r="BY20">
        <f>IF(BX20="","",COUNTIFS(BX$4:BX$40,"&lt;"&amp;BX20,BX$4:BX$40,"&lt;&gt;"&amp;"")+COUNTIF(BX$4:BX20,BX20))</f>
        <v/>
      </c>
      <c r="BZ20" s="138">
        <f>IF(ROW()-3&gt;COUNTIF(BX$4:BX$40,"&lt;&gt;"&amp;""),"",INDEX(BX$4:BX$40,MATCH(ROW()-3,BY$4:BY$40,0)))</f>
        <v/>
      </c>
      <c r="CA20">
        <f>CA19+IF(AND(BZ20&lt;&gt;"",COUNTIF(BZ$4:BZ20,BZ20)=1),1,0)</f>
        <v/>
      </c>
      <c r="CB20" s="138">
        <f>IF(ROW()-3&gt;MAX(CA$4:CA$40),"",INDEX(BZ$4:BZ$40,MATCH(ROW()-3,CA$4:CA$40,0)))</f>
        <v/>
      </c>
      <c r="CC20" s="55">
        <f>IF('Final Calculation Sheet'!$O$20="","",'Final Calculation Sheet'!$O$20)</f>
        <v/>
      </c>
      <c r="CD20">
        <f>IF(CC20="","",COUNTIFS(CC$4:CC$40,"&lt;"&amp;CC20,CC$4:CC$40,"&lt;&gt;"&amp;"")+COUNTIF(CC$4:CC20,CC20))</f>
        <v/>
      </c>
      <c r="CE20" s="55">
        <f>IF(ROW()-3&gt;COUNTIF(CC$4:CC$40,"&lt;&gt;"&amp;""),"",INDEX(CC$4:CC$40,MATCH(ROW()-3,CD$4:CD$40,0)))</f>
        <v/>
      </c>
      <c r="CF20">
        <f>CF19+IF(AND(CE20&lt;&gt;"",COUNTIF(CE$4:CE20,CE20)=1),1,0)</f>
        <v/>
      </c>
      <c r="CG20" s="55">
        <f>IF(ROW()-3&gt;MAX(CF$4:CF$40),"",INDEX(CE$4:CE$40,MATCH(ROW()-3,CF$4:CF$40,0)))</f>
        <v/>
      </c>
      <c r="CH20" s="55">
        <f>IF('Final Calculation Sheet'!$P$20="","",'Final Calculation Sheet'!$P$20)</f>
        <v/>
      </c>
      <c r="CI20">
        <f>IF(CH20="","",COUNTIFS(CH$4:CH$40,"&lt;"&amp;CH20,CH$4:CH$40,"&lt;&gt;"&amp;"")+COUNTIF(CH$4:CH20,CH20))</f>
        <v/>
      </c>
      <c r="CJ20" s="55">
        <f>IF(ROW()-3&gt;COUNTIF(CH$4:CH$40,"&lt;&gt;"&amp;""),"",INDEX(CH$4:CH$40,MATCH(ROW()-3,CI$4:CI$40,0)))</f>
        <v/>
      </c>
      <c r="CK20">
        <f>CK19+IF(AND(CJ20&lt;&gt;"",COUNTIF(CJ$4:CJ20,CJ20)=1),1,0)</f>
        <v/>
      </c>
      <c r="CL20" s="55">
        <f>IF(ROW()-3&gt;MAX(CK$4:CK$40),"",INDEX(CJ$4:CJ$40,MATCH(ROW()-3,CK$4:CK$40,0)))</f>
        <v/>
      </c>
      <c r="CM20" s="139">
        <f>IF('Final Calculation Sheet'!$Q$20="","",'Final Calculation Sheet'!$Q$20)</f>
        <v/>
      </c>
      <c r="CN20">
        <f>IF(CM20="","",COUNTIFS(CM$4:CM$40,"&lt;"&amp;CM20,CM$4:CM$40,"&lt;&gt;"&amp;"")+COUNTIF(CM$4:CM20,CM20))</f>
        <v/>
      </c>
      <c r="CO20" s="139">
        <f>IF(ROW()-3&gt;COUNTIF(CM$4:CM$40,"&lt;&gt;"&amp;""),"",INDEX(CM$4:CM$40,MATCH(ROW()-3,CN$4:CN$40,0)))</f>
        <v/>
      </c>
      <c r="CP20">
        <f>CP19+IF(AND(CO20&lt;&gt;"",COUNTIF(CO$4:CO20,CO20)=1),1,0)</f>
        <v/>
      </c>
      <c r="CQ20">
        <f>IF(ROW()-3&gt;MAX(CP$4:CP$40),"",INDEX(CO$4:CO$40,MATCH(ROW()-3,CP$4:CP$40,0)))</f>
        <v/>
      </c>
      <c r="CR20" s="55">
        <f>IF('Final Calculation Sheet'!$R$20="","",'Final Calculation Sheet'!$R$20)</f>
        <v/>
      </c>
      <c r="CS20">
        <f>IF(CR20="","",COUNTIFS(CR$4:CR$40,"&lt;"&amp;CR20,CR$4:CR$40,"&lt;&gt;"&amp;"")+COUNTIF(CR$4:CR20,CR20))</f>
        <v/>
      </c>
      <c r="CT20" s="55">
        <f>IF(ROW()-3&gt;COUNTIF(CR$4:CR$40,"&lt;&gt;"&amp;""),"",INDEX(CR$4:CR$40,MATCH(ROW()-3,CS$4:CS$40,0)))</f>
        <v/>
      </c>
      <c r="CU20">
        <f>CU19+IF(AND(CT20&lt;&gt;"",COUNTIF(CT$4:CT20,CT20)=1),1,0)</f>
        <v/>
      </c>
      <c r="CV20">
        <f>IF(ROW()-3&gt;MAX(CU$4:CU$40),"",INDEX(CT$4:CT$40,MATCH(ROW()-3,CU$4:CU$40,0)))</f>
        <v/>
      </c>
      <c r="CW20" s="55">
        <f>IF('Final Calculation Sheet'!$S$20="","",'Final Calculation Sheet'!$S$20)</f>
        <v/>
      </c>
      <c r="CX20">
        <f>IF(CW20="","",COUNTIFS(CW$4:CW$40,"&lt;"&amp;CW20,CW$4:CW$40,"&lt;&gt;"&amp;"")+COUNTIF(CW$4:CW20,CW20))</f>
        <v/>
      </c>
      <c r="CY20" s="55">
        <f>IF(ROW()-3&gt;COUNTIF(CW$4:CW$40,"&lt;&gt;"&amp;""),"",INDEX(CW$4:CW$40,MATCH(ROW()-3,CX$4:CX$40,0)))</f>
        <v/>
      </c>
      <c r="CZ20">
        <f>CZ19+IF(AND(CY20&lt;&gt;"",COUNTIF(CY$4:CY20,CY20)=1),1,0)</f>
        <v/>
      </c>
      <c r="DA20" s="55">
        <f>IF(ROW()-3&gt;MAX(CZ$4:CZ$40),"",INDEX(CY$4:CY$40,MATCH(ROW()-3,CZ$4:CZ$40,0)))</f>
        <v/>
      </c>
      <c r="DB20" s="55">
        <f>IF('Final Calculation Sheet'!$T$20="","",'Final Calculation Sheet'!$T$20)</f>
        <v/>
      </c>
      <c r="DC20">
        <f>IF(DB20="","",COUNTIFS(DB$4:DB$40,"&lt;"&amp;DB20,DB$4:DB$40,"&lt;&gt;"&amp;"")+COUNTIF(DB$4:DB20,DB20))</f>
        <v/>
      </c>
      <c r="DD20" s="55">
        <f>IF(ROW()-3&gt;COUNTIF(DB$4:DB$40,"&lt;&gt;"&amp;""),"",INDEX(DB$4:DB$40,MATCH(ROW()-3,DC$4:DC$40,0)))</f>
        <v/>
      </c>
      <c r="DE20">
        <f>DE19+IF(AND(DD20&lt;&gt;"",COUNTIF(DD$4:DD20,DD20)=1),1,0)</f>
        <v/>
      </c>
      <c r="DF20" s="55">
        <f>IF(ROW()-3&gt;MAX(DE$4:DE$40),"",INDEX(DD$4:DD$40,MATCH(ROW()-3,DE$4:DE$40,0)))</f>
        <v/>
      </c>
      <c r="DG20" s="140">
        <f>IF('Final Calculation Sheet'!$U$20="","",'Final Calculation Sheet'!$U$20)</f>
        <v/>
      </c>
      <c r="DH20">
        <f>IF(DG20="","",COUNTIFS(DG$4:DG$40,"&lt;"&amp;DG20,DG$4:DG$40,"&lt;&gt;"&amp;"")+COUNTIF(DG$4:DG20,DG20))</f>
        <v/>
      </c>
      <c r="DI20" s="140">
        <f>IF(ROW()-3&gt;COUNTIF(DG$4:DG$40,"&lt;&gt;"&amp;""),"",INDEX(DG$4:DG$40,MATCH(ROW()-3,DH$4:DH$40,0)))</f>
        <v/>
      </c>
      <c r="DJ20">
        <f>DJ19+IF(AND(DI20&lt;&gt;"",COUNTIF(DI$4:DI20,DI20)=1),1,0)</f>
        <v/>
      </c>
      <c r="DK20" s="140">
        <f>IF(ROW()-3&gt;MAX(DJ$4:DJ$40),"",INDEX(DI$4:DI$40,MATCH(ROW()-3,DJ$4:DJ$40,0)))</f>
        <v/>
      </c>
      <c r="DL20">
        <f>IF('Final Calculation Sheet'!$V$20="","",'Final Calculation Sheet'!$V$20)</f>
        <v/>
      </c>
      <c r="DM20">
        <f>IF(DL20="","",COUNTIFS(DL$4:DL$40,"&lt;"&amp;DL20,DL$4:DL$40,"&lt;&gt;"&amp;"")+COUNTIF(DL$4:DL20,DL20))</f>
        <v/>
      </c>
      <c r="DN20">
        <f>IF(ROW()-3&gt;COUNTIF(DL$4:DL$40,"&lt;&gt;"&amp;""),"",INDEX(DL$4:DL$40,MATCH(ROW()-3,DM$4:DM$40,0)))</f>
        <v/>
      </c>
      <c r="DO20">
        <f>DO19+IF(AND(DN20&lt;&gt;"",COUNTIF(DN$4:DN20,DN20)=1),1,0)</f>
        <v/>
      </c>
      <c r="DP20">
        <f>IF(ROW()-3&gt;MAX(DO$4:DO$40),"",INDEX(DN$4:DN$40,MATCH(ROW()-3,DO$4:DO$40,0)))</f>
        <v/>
      </c>
      <c r="DQ20" s="55">
        <f>IF('Final Calculation Sheet'!$W$20="","",'Final Calculation Sheet'!$W$20)</f>
        <v/>
      </c>
      <c r="DR20">
        <f>IF(DQ20="","",COUNTIFS(DQ$4:DQ$40,"&lt;"&amp;DQ20,DQ$4:DQ$40,"&lt;&gt;"&amp;"")+COUNTIF(DQ$4:DQ20,DQ20))</f>
        <v/>
      </c>
      <c r="DS20" s="55">
        <f>IF(ROW()-3&gt;COUNTIF(DQ$4:DQ$40,"&lt;&gt;"&amp;""),"",INDEX(DQ$4:DQ$40,MATCH(ROW()-3,DR$4:DR$40,0)))</f>
        <v/>
      </c>
      <c r="DT20">
        <f>DT19+IF(AND(DS20&lt;&gt;"",COUNTIF(DS$4:DS20,DS20)=1),1,0)</f>
        <v/>
      </c>
      <c r="DU20" s="55">
        <f>IF(ROW()-3&gt;MAX(DT$4:DT$40),"",INDEX(DS$4:DS$40,MATCH(ROW()-3,DT$4:DT$40,0)))</f>
        <v/>
      </c>
      <c r="DV20" s="55">
        <f>IF('Final Calculation Sheet'!$X$20="","",'Final Calculation Sheet'!$X$20)</f>
        <v/>
      </c>
      <c r="DW20">
        <f>IF(DV20="","",COUNTIFS(DV$4:DV$40,"&lt;"&amp;DV20,DV$4:DV$40,"&lt;&gt;"&amp;"")+COUNTIF(DV$4:DV20,DV20))</f>
        <v/>
      </c>
      <c r="DX20" s="55">
        <f>IF(ROW()-3&gt;COUNTIF(DV$4:DV$40,"&lt;&gt;"&amp;""),"",INDEX(DV$4:DV$40,MATCH(ROW()-3,DW$4:DW$40,0)))</f>
        <v/>
      </c>
      <c r="DY20">
        <f>DY19+IF(AND(DX20&lt;&gt;"",COUNTIF(DX$4:DX20,DX20)=1),1,0)</f>
        <v/>
      </c>
      <c r="DZ20">
        <f>IF(ROW()-3&gt;MAX(DY$4:DY$40),"",INDEX(DX$4:DX$40,MATCH(ROW()-3,DY$4:DY$40,0)))</f>
        <v/>
      </c>
      <c r="EA20">
        <f>IF('Final Calculation Sheet'!$Y$20="","",'Final Calculation Sheet'!$Y$20)</f>
        <v/>
      </c>
      <c r="EB20">
        <f>IF(EA20="","",COUNTIFS(EA$4:EA$40,"&lt;"&amp;EA20,EA$4:EA$40,"&lt;&gt;"&amp;"")+COUNTIF(EA$4:EA20,EA20))</f>
        <v/>
      </c>
      <c r="EC20">
        <f>IF(ROW()-3&gt;COUNTIF(EA$4:EA$40,"&lt;&gt;"&amp;""),"",INDEX(EA$4:EA$40,MATCH(ROW()-3,EB$4:EB$40,0)))</f>
        <v/>
      </c>
      <c r="ED20">
        <f>ED19+IF(AND(EC20&lt;&gt;"",COUNTIF(EC$4:EC20,EC20)=1),1,0)</f>
        <v/>
      </c>
      <c r="EE20">
        <f>IF(ROW()-3&gt;MAX(ED$4:ED$40),"",INDEX(EC$4:EC$40,MATCH(ROW()-3,ED$4:ED$40,0)))</f>
        <v/>
      </c>
      <c r="EF20" s="55">
        <f>IF('Final Calculation Sheet'!$Z$20="","",'Final Calculation Sheet'!$Z$20)</f>
        <v/>
      </c>
      <c r="EG20">
        <f>IF(EF20="","",COUNTIFS(EF$4:EF$40,"&lt;"&amp;EF20,EF$4:EF$40,"&lt;&gt;"&amp;"")+COUNTIF(EF$4:EF20,EF20))</f>
        <v/>
      </c>
      <c r="EH20" s="55">
        <f>IF(ROW()-3&gt;COUNTIF(EF$4:EF$40,"&lt;&gt;"&amp;""),"",INDEX(EF$4:EF$40,MATCH(ROW()-3,EG$4:EG$40,0)))</f>
        <v/>
      </c>
      <c r="EI20">
        <f>EI19+IF(AND(EH20&lt;&gt;"",COUNTIF(EH$4:EH20,EH20)=1),1,0)</f>
        <v/>
      </c>
      <c r="EJ20">
        <f>IF(ROW()-3&gt;MAX(EI$4:EI$40),"",INDEX(EH$4:EH$40,MATCH(ROW()-3,EI$4:EI$40,0)))</f>
        <v/>
      </c>
      <c r="EK20">
        <f>IF('Final Calculation Sheet'!$AA$20="","",'Final Calculation Sheet'!$AA$20)</f>
        <v/>
      </c>
      <c r="EL20">
        <f>IF(EK20="","",COUNTIFS(EK$4:EK$40,"&lt;"&amp;EK20,EK$4:EK$40,"&lt;&gt;"&amp;"")+COUNTIF(EK$4:EK20,EK20))</f>
        <v/>
      </c>
      <c r="EM20">
        <f>IF(ROW()-3&gt;COUNTIF(EK$4:EK$40,"&lt;&gt;"&amp;""),"",INDEX(EK$4:EK$40,MATCH(ROW()-3,EL$4:EL$40,0)))</f>
        <v/>
      </c>
      <c r="EN20">
        <f>EN19+IF(AND(EM20&lt;&gt;"",COUNTIF(EM$4:EM20,EM20)=1),1,0)</f>
        <v/>
      </c>
      <c r="EO20">
        <f>IF(ROW()-3&gt;MAX(EN$4:EN$40),"",INDEX(EM$4:EM$40,MATCH(ROW()-3,EN$4:EN$40,0)))</f>
        <v/>
      </c>
      <c r="EP20">
        <f>IF('Final Calculation Sheet'!$AB$20="","",'Final Calculation Sheet'!$AB$20)</f>
        <v/>
      </c>
      <c r="EQ20">
        <f>IF(EP20="","",COUNTIFS(EP$4:EP$40,"&lt;"&amp;EP20,EP$4:EP$40,"&lt;&gt;"&amp;"")+COUNTIF(EP$4:EP20,EP20))</f>
        <v/>
      </c>
      <c r="ER20">
        <f>IF(ROW()-3&gt;COUNTIF(EP$4:EP$40,"&lt;&gt;"&amp;""),"",INDEX(EP$4:EP$40,MATCH(ROW()-3,EQ$4:EQ$40,0)))</f>
        <v/>
      </c>
      <c r="ES20">
        <f>ES19+IF(AND(ER20&lt;&gt;"",COUNTIF(ER$4:ER20,ER20)=1),1,0)</f>
        <v/>
      </c>
      <c r="ET20">
        <f>IF(ROW()-3&gt;MAX(ES$4:ES$40),"",INDEX(ER$4:ER$40,MATCH(ROW()-3,ES$4:ES$40,0)))</f>
        <v/>
      </c>
      <c r="EU20" s="55">
        <f>IF('Final Calculation Sheet'!$AC$20="","",'Final Calculation Sheet'!$AC$20)</f>
        <v/>
      </c>
      <c r="EV20">
        <f>IF(EU20="","",COUNTIFS(EU$4:EU$40,"&lt;"&amp;EU20,EU$4:EU$40,"&lt;&gt;"&amp;"")+COUNTIF(EU$4:EU20,EU20))</f>
        <v/>
      </c>
      <c r="EW20" s="55">
        <f>IF(ROW()-3&gt;COUNTIF(EU$4:EU$40,"&lt;&gt;"&amp;""),"",INDEX(EU$4:EU$40,MATCH(ROW()-3,EV$4:EV$40,0)))</f>
        <v/>
      </c>
      <c r="EX20">
        <f>EX19+IF(AND(EW20&lt;&gt;"",COUNTIF(EW$4:EW20,EW20)=1),1,0)</f>
        <v/>
      </c>
      <c r="EY20" s="55">
        <f>IF(ROW()-3&gt;MAX(EX$4:EX$40),"",INDEX(EW$4:EW$40,MATCH(ROW()-3,EX$4:EX$40,0)))</f>
        <v/>
      </c>
      <c r="EZ20" s="55">
        <f>IF('Final Calculation Sheet'!$AD$20="","",'Final Calculation Sheet'!$AD$20)</f>
        <v/>
      </c>
      <c r="FA20">
        <f>IF(EZ20="","",COUNTIFS(EZ$4:EZ$40,"&lt;"&amp;EZ20,EZ$4:EZ$40,"&lt;&gt;"&amp;"")+COUNTIF(EZ$4:EZ20,EZ20))</f>
        <v/>
      </c>
      <c r="FB20" s="55">
        <f>IF(ROW()-3&gt;COUNTIF(EZ$4:EZ$40,"&lt;&gt;"&amp;""),"",INDEX(EZ$4:EZ$40,MATCH(ROW()-3,FA$4:FA$40,0)))</f>
        <v/>
      </c>
      <c r="FC20">
        <f>FC19+IF(AND(FB20&lt;&gt;"",COUNTIF(FB$4:FB20,FB20)=1),1,0)</f>
        <v/>
      </c>
      <c r="FD20">
        <f>IF(ROW()-3&gt;MAX(FC$4:FC$40),"",INDEX(FB$4:FB$40,MATCH(ROW()-3,FC$4:FC$40,0)))</f>
        <v/>
      </c>
      <c r="FE20">
        <f>IF('Final Calculation Sheet'!$AF$20="","",'Final Calculation Sheet'!$AF$20)</f>
        <v/>
      </c>
      <c r="FF20">
        <f>IF(FE20="","",COUNTIFS(FE$4:FE$40,"&lt;"&amp;FE20,FE$4:FE$40,"&lt;&gt;"&amp;"")+COUNTIF(FE$4:FE20,FE20))</f>
        <v/>
      </c>
      <c r="FG20">
        <f>IF(ROW()-3&gt;COUNTIF(FE$4:FE$40,"&lt;&gt;"&amp;""),"",INDEX(FE$4:FE$40,MATCH(ROW()-3,FF$4:FF$40,0)))</f>
        <v/>
      </c>
      <c r="FH20">
        <f>FH19+IF(AND(FG20&lt;&gt;"",COUNTIF(FG$4:FG20,FG20)=1),1,0)</f>
        <v/>
      </c>
      <c r="FI20">
        <f>IF(ROW()-3&gt;MAX(FH$4:FH$40),"",INDEX(FG$4:FG$40,MATCH(ROW()-3,FH$4:FH$40,0)))</f>
        <v/>
      </c>
      <c r="FJ20" s="141">
        <f>IF('Final Calculation Sheet'!$AG$20="","",'Final Calculation Sheet'!$AG$20)</f>
        <v/>
      </c>
      <c r="FK20">
        <f>IF(FJ20="","",COUNTIFS(FJ$4:FJ$40,"&lt;"&amp;FJ20,FJ$4:FJ$40,"&lt;&gt;"&amp;"")+COUNTIF(FJ$4:FJ20,FJ20))</f>
        <v/>
      </c>
      <c r="FL20" s="141">
        <f>IF(ROW()-3&gt;COUNTIF(FJ$4:FJ$40,"&lt;&gt;"&amp;""),"",INDEX(FJ$4:FJ$40,MATCH(ROW()-3,FK$4:FK$40,0)))</f>
        <v/>
      </c>
      <c r="FM20">
        <f>FM19+IF(AND(FL20&lt;&gt;"",COUNTIF(FL$4:FL20,FL20)=1),1,0)</f>
        <v/>
      </c>
      <c r="FN20">
        <f>IF(ROW()-3&gt;MAX(FM$4:FM$40),"",INDEX(FL$4:FL$40,MATCH(ROW()-3,FM$4:FM$40,0)))</f>
        <v/>
      </c>
      <c r="FO20">
        <f>IF('Final Calculation Sheet'!$AH$20="","",'Final Calculation Sheet'!$AH$20)</f>
        <v/>
      </c>
      <c r="FP20">
        <f>IF(FO20="","",COUNTIFS(FO$4:FO$40,"&lt;"&amp;FO20,FO$4:FO$40,"&lt;&gt;"&amp;"")+COUNTIF(FO$4:FO20,FO20))</f>
        <v/>
      </c>
      <c r="FQ20">
        <f>IF(ROW()-3&gt;COUNTIF(FO$4:FO$40,"&lt;&gt;"&amp;""),"",INDEX(FO$4:FO$40,MATCH(ROW()-3,FP$4:FP$40,0)))</f>
        <v/>
      </c>
      <c r="FR20">
        <f>FR19+IF(AND(FQ20&lt;&gt;"",COUNTIF(FQ$4:FQ20,FQ20)=1),1,0)</f>
        <v/>
      </c>
      <c r="FS20">
        <f>IF(ROW()-3&gt;MAX(FR$4:FR$40),"",INDEX(FQ$4:FQ$40,MATCH(ROW()-3,FR$4:FR$40,0)))</f>
        <v/>
      </c>
      <c r="FU20">
        <f>IF(FT20="","",COUNTIFS(FT$4:FT$40,"&lt;"&amp;FT20,FT$4:FT$40,"&lt;&gt;"&amp;"")+COUNTIF(FT$4:FT20,FT20))</f>
        <v/>
      </c>
      <c r="FV20">
        <f>IF(ROW()-3&gt;COUNTIF(FT$4:FT$40,"&lt;&gt;"&amp;""),"",INDEX(FT$4:FT$40,MATCH(ROW()-3,FU$4:FU$40,0)))</f>
        <v/>
      </c>
      <c r="FW20">
        <f>FW19+IF(AND(FV20&lt;&gt;"",COUNTIF(FV$4:FV20,FV20)=1),1,0)</f>
        <v/>
      </c>
      <c r="FX20">
        <f>IF(ROW()-3&gt;MAX(FW$4:FW$40),"",INDEX(FV$4:FV$40,MATCH(ROW()-3,FW$4:FW$40,0)))</f>
        <v/>
      </c>
      <c r="FY20">
        <f>IF(COUNTIF('Live Search'!BM$19:BO$19,0)+COUNTIF('Live Search'!BQ$19:CU$19,0)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0">
        <f>IF($Y$20="",FALSE,SUMPRODUCT(('Final Calculation Sheet'!$B$4:$B$40=$Y$20)*($FY$6:$FY$42=1))&gt;0)</f>
        <v/>
      </c>
      <c r="GA20">
        <f>$GA$19+--($FZ$20)</f>
        <v/>
      </c>
      <c r="GB20">
        <f>IF(ROW()-3&gt;MAX($GA$4:$GA$40),"",INDEX($Y$4:$Y$40,MATCH(ROW()-3,$GA$4:$GA$40,0)))</f>
        <v/>
      </c>
      <c r="GC20">
        <f>IF(COUNTIF('Live Search'!BM$19:BM$19,0)+COUNTIF('Live Search'!BO$19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GD20">
        <f>IF($O$20="",FALSE,SUMPRODUCT(('Final Calculation Sheet'!$F$4:$F$40=$O$20)*($GC$6:$GC$42=1))&gt;0)</f>
        <v/>
      </c>
      <c r="GE20">
        <f>$GE$19+--($GD20)</f>
        <v/>
      </c>
      <c r="GF20">
        <f>IF(ROW()-3&gt;MAX($GE$4:$GE$40),"",INDEX($O$4:$O$40,MATCH(ROW()-3,$GE$4:$GE$40,0)))</f>
        <v/>
      </c>
      <c r="GG20">
        <f>IF(COUNTIF('Live Search'!BM$19:BN$19,0)+COUNTIF('Live Search'!BP$19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GH20">
        <f>IF($T$20="",FALSE,SUMPRODUCT(('Final Calculation Sheet'!$G$4:$G$40=$T$20)*($GG$6:$GG$42=1))&gt;0)</f>
        <v/>
      </c>
      <c r="GI20">
        <f>$GI$19+--($GH20)</f>
        <v/>
      </c>
      <c r="GJ20">
        <f>IF(ROW()-3&gt;MAX($GI$4:$GI$40),"",INDEX($T$4:$T$40,MATCH(ROW()-3,$GI$4:$GI$40,0)))</f>
        <v/>
      </c>
      <c r="GK20">
        <f>IF(COUNTIF('Live Search'!BM$19:BP$19,0)+COUNTIF('Live Search'!BR$19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GL20">
        <f>IF($AD$20="",FALSE,SUMPRODUCT(('Final Calculation Sheet'!$D$4:$D$40=$AD$20)*($GK$6:$GK$42=1))&gt;0)</f>
        <v/>
      </c>
      <c r="GM20">
        <f>$GM$19+--($GL20)</f>
        <v/>
      </c>
      <c r="GN20">
        <f>IF(ROW()-3&gt;MAX($GM$4:$GM$40),"",INDEX($AD$4:$AD$40,MATCH(ROW()-3,$GM$4:$GM$40,0)))</f>
        <v/>
      </c>
      <c r="GO20">
        <f>IF(COUNTIF('Live Search'!BM$19:BQ$19,0)+COUNTIF('Live Search'!BS$19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GP20">
        <f>IF($AI$20="",FALSE,SUMPRODUCT(('Final Calculation Sheet'!$A$4:$A$40=$AI$20)*($GO$6:$GO$42=1))&gt;0)</f>
        <v/>
      </c>
      <c r="GQ20">
        <f>$GQ$19+--($GP20)</f>
        <v/>
      </c>
      <c r="GR20">
        <f>IF(ROW()-3&gt;MAX($GQ$4:$GQ$40),"",INDEX($AI$4:$AI$40,MATCH(ROW()-3,$GQ$4:$GQ$40,0)))</f>
        <v/>
      </c>
      <c r="GS20">
        <f>IF(COUNTIF('Live Search'!BM$19:BR$19,0)+COUNTIF('Live Search'!BT$19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GT20">
        <f>IF($AN$20="",FALSE,SUMPRODUCT(('Final Calculation Sheet'!$E$4:$E$40=$AN$20)*($GS$6:$GS$42=1))&gt;0)</f>
        <v/>
      </c>
      <c r="GU20">
        <f>$GU$19+--($GT20)</f>
        <v/>
      </c>
      <c r="GV20">
        <f>IF(ROW()-3&gt;MAX($GU$4:$GU$40),"",INDEX($AN$4:$AN$40,MATCH(ROW()-3,$GU$4:$GU$40,0)))</f>
        <v/>
      </c>
      <c r="GW20">
        <f>IF(COUNTIF('Live Search'!BM$19:BS$19,0)+COUNTIF('Live Search'!BU$19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GX20">
        <f>IF($AS$20="",FALSE,SUMPRODUCT(('Final Calculation Sheet'!$C$4:$C$40=$AS$20)*($GW$6:$GW$42=1))&gt;0)</f>
        <v/>
      </c>
      <c r="GY20">
        <f>$GY$19+--($GX20)</f>
        <v/>
      </c>
      <c r="GZ20">
        <f>IF(ROW()-3&gt;MAX($GY$4:$GY$40),"",INDEX($AS$4:$AS$40,MATCH(ROW()-3,$GY$4:$GY$40,0)))</f>
        <v/>
      </c>
      <c r="HA20">
        <f>IF(COUNTIF('Live Search'!BM$19:BT$19,0)+COUNTIF('Live Search'!BV$19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HB20">
        <f>IF($AX$20="",FALSE,SUMPRODUCT(('Final Calculation Sheet'!$H$4:$H$40=$AX$20)*($HA$6:$HA$42=1))&gt;0)</f>
        <v/>
      </c>
      <c r="HC20">
        <f>$HC$19+--($HB20)</f>
        <v/>
      </c>
      <c r="HD20">
        <f>IF(ROW()-3&gt;MAX($HC$4:$HC$40),"",INDEX($AX$4:$AX$40,MATCH(ROW()-3,$HC$4:$HC$40,0)))</f>
        <v/>
      </c>
      <c r="HE20">
        <f>IF(COUNTIF('Live Search'!BM$19:BU$19,0)+COUNTIF('Live Search'!BW$19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HF20">
        <f>IF($BC$20="",FALSE,SUMPRODUCT(('Final Calculation Sheet'!$I$4:$I$40=$BC$20)*($HE$6:$HE$42=1))&gt;0)</f>
        <v/>
      </c>
      <c r="HG20">
        <f>$HG$19+--($HF20)</f>
        <v/>
      </c>
      <c r="HH20">
        <f>IF(ROW()-3&gt;MAX($HG$4:$HG$40),"",INDEX($BC$4:$BC$40,MATCH(ROW()-3,$HG$4:$HG$40,0)))</f>
        <v/>
      </c>
      <c r="HI20">
        <f>IF(COUNTIF('Live Search'!BM$19:BV$19,0)+COUNTIF('Live Search'!BX$19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HJ20">
        <f>IF($BH$20="",FALSE,SUMPRODUCT(('Final Calculation Sheet'!$J$4:$J$40=$BH$20)*($HI$6:$HI$42=1))&gt;0)</f>
        <v/>
      </c>
      <c r="HK20">
        <f>$HK$19+--($HJ20)</f>
        <v/>
      </c>
      <c r="HL20">
        <f>IF(ROW()-3&gt;MAX($HK$4:$HK$40),"",INDEX($BH$4:$BH$40,MATCH(ROW()-3,$HK$4:$HK$40,0)))</f>
        <v/>
      </c>
      <c r="HM20">
        <f>IF(COUNTIF('Live Search'!BM$19:BW$19,0)+COUNTIF('Live Search'!BY$19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HN20">
        <f>IF($BM$20="",FALSE,SUMPRODUCT(('Final Calculation Sheet'!$K$4:$K$40=$BM$20)*($HM$6:$HM$42=1))&gt;0)</f>
        <v/>
      </c>
      <c r="HO20">
        <f>$HO$19+--($HN20)</f>
        <v/>
      </c>
      <c r="HP20">
        <f>IF(ROW()-3&gt;MAX($HO$4:$HO$40),"",INDEX($BM$4:$BM$40,MATCH(ROW()-3,$HO$4:$HO$40,0)))</f>
        <v/>
      </c>
      <c r="HQ20">
        <f>IF(COUNTIF('Live Search'!BM$19:BX$19,0)+COUNTIF('Live Search'!BZ$19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HR20">
        <f>IF($BR$20="",FALSE,SUMPRODUCT(('Final Calculation Sheet'!$L$4:$L$40=$BR$20)*($HQ$6:$HQ$42=1))&gt;0)</f>
        <v/>
      </c>
      <c r="HS20">
        <f>$HS$19+--($HR20)</f>
        <v/>
      </c>
      <c r="HT20">
        <f>IF(ROW()-3&gt;MAX($HS$4:$HS$40),"",INDEX($BR$4:$BR$40,MATCH(ROW()-3,$HS$4:$HS$40,0)))</f>
        <v/>
      </c>
      <c r="HU20">
        <f>IF(COUNTIF('Live Search'!BM$19:BY$19,0)+COUNTIF('Live Search'!CA$19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HV20">
        <f>IF($BW$20="",FALSE,SUMPRODUCT(('Final Calculation Sheet'!$M$4:$M$40=$BW$20)*($HU$6:$HU$42=1))&gt;0)</f>
        <v/>
      </c>
      <c r="HW20">
        <f>$HW$19+--($HV20)</f>
        <v/>
      </c>
      <c r="HX20">
        <f>IF(ROW()-3&gt;MAX($HW$4:$HW$40),"",INDEX($BW$4:$BW$40,MATCH(ROW()-3,$HW$4:$HW$40,0)))</f>
        <v/>
      </c>
      <c r="HY20">
        <f>IF(COUNTIF('Live Search'!BM$19:BZ$19,0)+COUNTIF('Live Search'!CB$19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HZ20">
        <f>IF($CB$20="",FALSE,SUMPRODUCT(('Final Calculation Sheet'!$N$4:$N$40=$CB$20)*($HY$6:$HY$42=1))&gt;0)</f>
        <v/>
      </c>
      <c r="IA20">
        <f>$IA$19+--($HZ20)</f>
        <v/>
      </c>
      <c r="IB20">
        <f>IF(ROW()-3&gt;MAX($IA$4:$IA$40),"",INDEX($CB$4:$CB$40,MATCH(ROW()-3,$IA$4:$IA$40,0)))</f>
        <v/>
      </c>
      <c r="IC20">
        <f>IF(COUNTIF('Live Search'!BM$19:CA$19,0)+COUNTIF('Live Search'!CC$19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ID20">
        <f>IF($CG$20="",FALSE,SUMPRODUCT(('Final Calculation Sheet'!$O$4:$O$40=$CG$20)*($IC$6:$IC$42=1))&gt;0)</f>
        <v/>
      </c>
      <c r="IE20">
        <f>$IE$19+--($ID20)</f>
        <v/>
      </c>
      <c r="IF20">
        <f>IF(ROW()-3&gt;MAX($IE$4:$IE$40),"",INDEX($CG$4:$CG$40,MATCH(ROW()-3,$IE$4:$IE$40,0)))</f>
        <v/>
      </c>
      <c r="IG20">
        <f>IF(COUNTIF('Live Search'!BM$19:CB$19,0)+COUNTIF('Live Search'!CD$19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IH20">
        <f>IF($CL$20="",FALSE,SUMPRODUCT(('Final Calculation Sheet'!$P$4:$P$40=$CL$20)*($IG$6:$IG$42=1))&gt;0)</f>
        <v/>
      </c>
      <c r="II20">
        <f>$II$19+--($IH20)</f>
        <v/>
      </c>
      <c r="IJ20">
        <f>IF(ROW()-3&gt;MAX($II$4:$II$40),"",INDEX($CL$4:$CL$40,MATCH(ROW()-3,$II$4:$II$40,0)))</f>
        <v/>
      </c>
      <c r="IK20">
        <f>IF(COUNTIF('Live Search'!BM$19:CC$19,0)+COUNTIF('Live Search'!CE$19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IL20">
        <f>IF($CQ$20="",FALSE,SUMPRODUCT(('Final Calculation Sheet'!$Q$4:$Q$40=$CQ$20)*($IK$6:$IK$42=1))&gt;0)</f>
        <v/>
      </c>
      <c r="IM20">
        <f>$IM$19+--($IL20)</f>
        <v/>
      </c>
      <c r="IN20">
        <f>IF(ROW()-3&gt;MAX($IM$4:$IM$40),"",INDEX($CQ$4:$CQ$40,MATCH(ROW()-3,$IM$4:$IM$40,0)))</f>
        <v/>
      </c>
      <c r="IO20">
        <f>IF(COUNTIF('Live Search'!BM$19:CD$19,0)+COUNTIF('Live Search'!CF$19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IP20">
        <f>IF($CV$20="",FALSE,SUMPRODUCT(('Final Calculation Sheet'!$R$4:$R$40=$CV$20)*($IO$6:$IO$42=1))&gt;0)</f>
        <v/>
      </c>
      <c r="IQ20">
        <f>$IQ$19+--($IP20)</f>
        <v/>
      </c>
      <c r="IR20">
        <f>IF(ROW()-3&gt;MAX($IQ$4:$IQ$40),"",INDEX($CV$4:$CV$40,MATCH(ROW()-3,$IQ$4:$IQ$40,0)))</f>
        <v/>
      </c>
      <c r="IS20">
        <f>IF(COUNTIF('Live Search'!BM$19:CE$19,0)+COUNTIF('Live Search'!CG$19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IT20">
        <f>IF($DA$20="",FALSE,SUMPRODUCT(('Final Calculation Sheet'!$S$4:$S$40=$DA$20)*($IS$6:$IS$42=1))&gt;0)</f>
        <v/>
      </c>
      <c r="IU20">
        <f>$IU$19+--($IT20)</f>
        <v/>
      </c>
      <c r="IV20">
        <f>IF(ROW()-3&gt;MAX($IU$4:$IU$40),"",INDEX($DA$4:$DA$40,MATCH(ROW()-3,$IU$4:$IU$40,0)))</f>
        <v/>
      </c>
      <c r="IW20">
        <f>IF(COUNTIF('Live Search'!BM$19:CF$19,0)+COUNTIF('Live Search'!CH$19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IX20">
        <f>IF($DF$20="",FALSE,SUMPRODUCT(('Final Calculation Sheet'!$T$4:$T$40=$DF$20)*($IW$6:$IW$42=1))&gt;0)</f>
        <v/>
      </c>
      <c r="IY20">
        <f>$IY$19+--($IX20)</f>
        <v/>
      </c>
      <c r="IZ20">
        <f>IF(ROW()-3&gt;MAX($IY$4:$IY$40),"",INDEX($DF$4:$DF$40,MATCH(ROW()-3,$IY$4:$IY$40,0)))</f>
        <v/>
      </c>
      <c r="JA20">
        <f>IF(COUNTIF('Live Search'!BM$19:CG$19,0)+COUNTIF('Live Search'!CI$19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JB20">
        <f>IF($DK$20="",FALSE,SUMPRODUCT(('Final Calculation Sheet'!$U$4:$U$40=$DK$20)*($JA$6:$JA$42=1))&gt;0)</f>
        <v/>
      </c>
      <c r="JC20">
        <f>$JC$19+--($JB20)</f>
        <v/>
      </c>
      <c r="JD20">
        <f>IF(ROW()-3&gt;MAX($JC$4:$JC$40),"",INDEX($DK$4:$DK$40,MATCH(ROW()-3,$JC$4:$JC$40,0)))</f>
        <v/>
      </c>
      <c r="JE20">
        <f>IF(COUNTIF('Live Search'!BM$19:CH$19,0)+COUNTIF('Live Search'!CJ$19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JF20">
        <f>IF($DP$20="",FALSE,SUMPRODUCT(('Final Calculation Sheet'!$V$4:$V$40=$DP$20)*($JE$6:$JE$42=1))&gt;0)</f>
        <v/>
      </c>
      <c r="JG20">
        <f>$JG$19+--($JF20)</f>
        <v/>
      </c>
      <c r="JH20">
        <f>IF(ROW()-3&gt;MAX($JG$4:$JG$40),"",INDEX($DP$4:$DP$40,MATCH(ROW()-3,$JG$4:$JG$40,0)))</f>
        <v/>
      </c>
      <c r="JI20">
        <f>IF(COUNTIF('Live Search'!BM$19:CI$19,0)+COUNTIF('Live Search'!CK$19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JJ20">
        <f>IF($DU$20="",FALSE,SUMPRODUCT(('Final Calculation Sheet'!$W$4:$W$40=$DU$20)*($JI$6:$JI$42=1))&gt;0)</f>
        <v/>
      </c>
      <c r="JK20">
        <f>$JK$19+--($JJ20)</f>
        <v/>
      </c>
      <c r="JL20">
        <f>IF(ROW()-3&gt;MAX($JK$4:$JK$40),"",INDEX($DU$4:$DU$40,MATCH(ROW()-3,$JK$4:$JK$40,0)))</f>
        <v/>
      </c>
      <c r="JM20">
        <f>IF(COUNTIF('Live Search'!BM$19:CJ$19,0)+COUNTIF('Live Search'!CL$19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JN20">
        <f>IF($DZ$20="",FALSE,SUMPRODUCT(('Final Calculation Sheet'!$X$4:$X$40=$DZ$20)*($JM$6:$JM$42=1))&gt;0)</f>
        <v/>
      </c>
      <c r="JO20">
        <f>$JO$19+--($JN20)</f>
        <v/>
      </c>
      <c r="JP20">
        <f>IF(ROW()-3&gt;MAX($JO$4:$JO$40),"",INDEX($DZ$4:$DZ$40,MATCH(ROW()-3,$JO$4:$JO$40,0)))</f>
        <v/>
      </c>
      <c r="JQ20">
        <f>IF(COUNTIF('Live Search'!BM$19:CK$19,0)+COUNTIF('Live Search'!CM$19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JR20">
        <f>IF($EE$20="",FALSE,SUMPRODUCT(('Final Calculation Sheet'!$Y$4:$Y$40=$EE$20)*($JQ$6:$JQ$42=1))&gt;0)</f>
        <v/>
      </c>
      <c r="JS20">
        <f>$JS$19+--($JR20)</f>
        <v/>
      </c>
      <c r="JT20">
        <f>IF(ROW()-3&gt;MAX($JS$4:$JS$40),"",INDEX($EE$4:$EE$40,MATCH(ROW()-3,$JS$4:$JS$40,0)))</f>
        <v/>
      </c>
      <c r="JU20">
        <f>IF(COUNTIF('Live Search'!BM$19:CL$19,0)+COUNTIF('Live Search'!CN$19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JV20">
        <f>IF($EJ$20="",FALSE,SUMPRODUCT(('Final Calculation Sheet'!$Z$4:$Z$40=$EJ$20)*($JU$6:$JU$42=1))&gt;0)</f>
        <v/>
      </c>
      <c r="JW20">
        <f>$JW$19+--($JV20)</f>
        <v/>
      </c>
      <c r="JX20">
        <f>IF(ROW()-3&gt;MAX($JW$4:$JW$40),"",INDEX($EJ$4:$EJ$40,MATCH(ROW()-3,$JW$4:$JW$40,0)))</f>
        <v/>
      </c>
      <c r="JY20">
        <f>IF(COUNTIF('Live Search'!BM$19:CM$19,0)+COUNTIF('Live Search'!CO$19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JZ20">
        <f>IF($EO$20="",FALSE,SUMPRODUCT(('Final Calculation Sheet'!$AA$4:$AA$40=$EO$20)*($JY$6:$JY$42=1))&gt;0)</f>
        <v/>
      </c>
      <c r="KA20">
        <f>$KA$19+--($JZ20)</f>
        <v/>
      </c>
      <c r="KB20">
        <f>IF(ROW()-3&gt;MAX($KA$4:$KA$40),"",INDEX($EO$4:$EO$40,MATCH(ROW()-3,$KA$4:$KA$40,0)))</f>
        <v/>
      </c>
      <c r="KC20">
        <f>IF(COUNTIF('Live Search'!BM$19:CN$19,0)+COUNTIF('Live Search'!CP$19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KD20">
        <f>IF($ET$20="",FALSE,SUMPRODUCT(('Final Calculation Sheet'!$AB$4:$AB$40=$ET$20)*($KC$6:$KC$42=1))&gt;0)</f>
        <v/>
      </c>
      <c r="KE20">
        <f>$KE$19+--($KD20)</f>
        <v/>
      </c>
      <c r="KF20">
        <f>IF(ROW()-3&gt;MAX($KE$4:$KE$40),"",INDEX($ET$4:$ET$40,MATCH(ROW()-3,$KE$4:$KE$40,0)))</f>
        <v/>
      </c>
      <c r="KG20">
        <f>IF(COUNTIF('Live Search'!BM$19:CO$19,0)+COUNTIF('Live Search'!CQ$19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KH20">
        <f>IF($EY$20="",FALSE,SUMPRODUCT(('Final Calculation Sheet'!$AC$4:$AC$40=$EY$20)*($KG$6:$KG$42=1))&gt;0)</f>
        <v/>
      </c>
      <c r="KI20">
        <f>$KI$19+--($KH20)</f>
        <v/>
      </c>
      <c r="KJ20">
        <f>IF(ROW()-3&gt;MAX($KI$4:$KI$40),"",INDEX($EY$4:$EY$40,MATCH(ROW()-3,$KI$4:$KI$40,0)))</f>
        <v/>
      </c>
      <c r="KK20">
        <f>IF(COUNTIF('Live Search'!BM$19:CP$19,0)+COUNTIF('Live Search'!CR$19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KL20">
        <f>IF($FD$20="",FALSE,SUMPRODUCT(('Final Calculation Sheet'!$AD$4:$AD$40=$FD$20)*($KK$6:$KK$42=1))&gt;0)</f>
        <v/>
      </c>
      <c r="KM20">
        <f>$KM$19+--($KL20)</f>
        <v/>
      </c>
      <c r="KN20">
        <f>IF(ROW()-3&gt;MAX($KM$4:$KM$40),"",INDEX($FD$4:$FD$40,MATCH(ROW()-3,$KM$4:$KM$40,0)))</f>
        <v/>
      </c>
      <c r="KO20">
        <f>IF(COUNTIF('Live Search'!BM$19:CT$19,0)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KP20">
        <f>IF($FX$20="",FALSE,SUMPRODUCT((IF('Final Calculation Sheet'!$AD$4:$AD$40&lt;=5,"SETTLED","OUTSTANDING")=$FX$20)*($KO$6:$KO$42=1))&gt;0)</f>
        <v/>
      </c>
      <c r="KQ20">
        <f>$KQ$19+--($KP20)</f>
        <v/>
      </c>
      <c r="KR20">
        <f>IF(ROW()-3&gt;MAX($KQ$4:$KQ$40),"",INDEX($FX$4:$FX$40,MATCH(ROW()-3,$KQ$4:$KQ$40,0)))</f>
        <v/>
      </c>
      <c r="KS20">
        <f>IF(COUNTIF('Live Search'!BM$19:CQ$19,0)+COUNTIF('Live Search'!CS$19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KT20">
        <f>IF($FI$20="",FALSE,SUMPRODUCT(('Final Calculation Sheet'!$AF$4:$AF$40=$FI$20)*($KS$6:$KS$42=1))&gt;0)</f>
        <v/>
      </c>
      <c r="KU20">
        <f>$KU$19+--($KT20)</f>
        <v/>
      </c>
      <c r="KV20">
        <f>IF(ROW()-3&gt;MAX($KU$4:$KU$40),"",INDEX($FI$4:$FI$40,MATCH(ROW()-3,$KU$4:$KU$40,0)))</f>
        <v/>
      </c>
      <c r="KW20">
        <f>IF(COUNTIF('Live Search'!BM$19:CR$19,0)+COUNTIF('Live Search'!CT$19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KX20">
        <f>IF($FN$20="",FALSE,SUMPRODUCT(('Final Calculation Sheet'!$AG$4:$AG$40=$FN$20)*($KW$6:$KW$42=1))&gt;0)</f>
        <v/>
      </c>
      <c r="KY20">
        <f>$KY$19+--($KX20)</f>
        <v/>
      </c>
      <c r="KZ20">
        <f>IF(ROW()-3&gt;MAX($KY$4:$KY$40),"",INDEX($FN$4:$FN$40,MATCH(ROW()-3,$KY$4:$KY$40,0)))</f>
        <v/>
      </c>
      <c r="LA20">
        <f>IF(COUNTIF('Live Search'!BM$19:CS$19,0)+COUNTIF('Live Search'!CU$19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LB20">
        <f>IF($FS$20="",FALSE,SUMPRODUCT(('Final Calculation Sheet'!$AH$4:$AH$40=$FS$20)*($LA$6:$LA$42=1))&gt;0)</f>
        <v/>
      </c>
      <c r="LC20">
        <f>$LC$19+--($LB20)</f>
        <v/>
      </c>
      <c r="LD20">
        <f>IF(ROW()-3&gt;MAX($LC$4:$LC$40),"",INDEX($FS$4:$FS$40,MATCH(ROW()-3,$LC$4:$LC$40,0)))</f>
        <v/>
      </c>
      <c r="LE20">
        <f>IF(COUNTIF('Buyer Groups'!DH73:EN73,0)&gt;0,0,1)</f>
        <v/>
      </c>
      <c r="LF20">
        <f>IF($O$20="",FALSE,SUMPRODUCT(('Final Calculation Sheet'!$F$4:$F$40=$O$20)*($LE$6:$LE$42=1))&gt;0)</f>
        <v/>
      </c>
      <c r="LG20">
        <f>$LG$19+--($LF20)</f>
        <v/>
      </c>
      <c r="LH20">
        <f>IF(ROW()-3&gt;MAX($LG$4:$LG$40),"",INDEX($O$4:$O$40,MATCH(ROW()-3,$LG$4:$LG$40,0)))</f>
        <v/>
      </c>
      <c r="LI20">
        <f>IF(COUNTIF('Buyer Groups'!DG73:DG73,0)+COUNTIF('Buyer Groups'!DI73:EN73,0)&gt;0,0,1)</f>
        <v/>
      </c>
      <c r="LJ20">
        <f>IF($T$20="",FALSE,SUMPRODUCT(('Final Calculation Sheet'!$G$4:$G$40=$T$20)*($LI$6:$LI$42=1))&gt;0)</f>
        <v/>
      </c>
      <c r="LK20">
        <f>$LK$19+--($LJ20)</f>
        <v/>
      </c>
      <c r="LL20">
        <f>IF(ROW()-3&gt;MAX($LK$4:$LK$40),"",INDEX($T$4:$T$40,MATCH(ROW()-3,$LK$4:$LK$40,0)))</f>
        <v/>
      </c>
      <c r="LM20">
        <f>IF(COUNTIF('Buyer Groups'!DG73:DH73,0)+COUNTIF('Buyer Groups'!DJ73:EN73,0)&gt;0,0,1)</f>
        <v/>
      </c>
      <c r="LN20">
        <f>IF($Y$20="",FALSE,SUMPRODUCT(('Final Calculation Sheet'!$B$4:$B$40=$Y$20)*($LM$6:$LM$42=1))&gt;0)</f>
        <v/>
      </c>
      <c r="LO20">
        <f>$LO$19+--($LN20)</f>
        <v/>
      </c>
      <c r="LP20">
        <f>IF(ROW()-3&gt;MAX($LO$4:$LO$40),"",INDEX($Y$4:$Y$40,MATCH(ROW()-3,$LO$4:$LO$40,0)))</f>
        <v/>
      </c>
      <c r="LQ20">
        <f>IF(COUNTIF('Buyer Groups'!DG73:DI73,0)+COUNTIF('Buyer Groups'!DK73:EN73,0)&gt;0,0,1)</f>
        <v/>
      </c>
      <c r="LR20">
        <f>IF($AD$20="",FALSE,SUMPRODUCT(('Final Calculation Sheet'!$D$4:$D$40=$AD$20)*($LQ$6:$LQ$42=1))&gt;0)</f>
        <v/>
      </c>
      <c r="LS20">
        <f>$LS$19+--($LR20)</f>
        <v/>
      </c>
      <c r="LT20">
        <f>IF(ROW()-3&gt;MAX($LS$4:$LS$40),"",INDEX($AD$4:$AD$40,MATCH(ROW()-3,$LS$4:$LS$40,0)))</f>
        <v/>
      </c>
      <c r="LU20">
        <f>IF(COUNTIF('Buyer Groups'!DG73:DJ73,0)+COUNTIF('Buyer Groups'!DL73:EN73,0)&gt;0,0,1)</f>
        <v/>
      </c>
      <c r="LV20">
        <f>IF($AI$20="",FALSE,SUMPRODUCT(('Final Calculation Sheet'!$A$4:$A$40=$AI$20)*($LU$6:$LU$42=1))&gt;0)</f>
        <v/>
      </c>
      <c r="LW20">
        <f>$LW$19+--($LV20)</f>
        <v/>
      </c>
      <c r="LX20">
        <f>IF(ROW()-3&gt;MAX($LW$4:$LW$40),"",INDEX($AI$4:$AI$40,MATCH(ROW()-3,$LW$4:$LW$40,0)))</f>
        <v/>
      </c>
      <c r="LY20">
        <f>IF(COUNTIF('Buyer Groups'!DG73:DK73,0)+COUNTIF('Buyer Groups'!DM73:EN73,0)&gt;0,0,1)</f>
        <v/>
      </c>
      <c r="LZ20">
        <f>IF($AN$20="",FALSE,SUMPRODUCT(('Final Calculation Sheet'!$E$4:$E$40=$AN$20)*($LY$6:$LY$42=1))&gt;0)</f>
        <v/>
      </c>
      <c r="MA20">
        <f>$MA$19+--($LZ20)</f>
        <v/>
      </c>
      <c r="MB20">
        <f>IF(ROW()-3&gt;MAX($MA$4:$MA$40),"",INDEX($AN$4:$AN$40,MATCH(ROW()-3,$MA$4:$MA$40,0)))</f>
        <v/>
      </c>
      <c r="MC20">
        <f>IF(COUNTIF('Buyer Groups'!DG73:DL73,0)+COUNTIF('Buyer Groups'!DN73:EN73,0)&gt;0,0,1)</f>
        <v/>
      </c>
      <c r="MD20">
        <f>IF($AS$20="",FALSE,SUMPRODUCT(('Final Calculation Sheet'!$C$4:$C$40=$AS$20)*($MC$6:$MC$42=1))&gt;0)</f>
        <v/>
      </c>
      <c r="ME20">
        <f>$ME$19+--($MD20)</f>
        <v/>
      </c>
      <c r="MF20">
        <f>IF(ROW()-3&gt;MAX($ME$4:$ME$40),"",INDEX($AS$4:$AS$40,MATCH(ROW()-3,$ME$4:$ME$40,0)))</f>
        <v/>
      </c>
      <c r="MG20">
        <f>IF(COUNTIF('Buyer Groups'!DG73:DM73,0)+COUNTIF('Buyer Groups'!DO73:EN73,0)&gt;0,0,1)</f>
        <v/>
      </c>
      <c r="MH20">
        <f>IF($AX$20="",FALSE,SUMPRODUCT(('Final Calculation Sheet'!$H$4:$H$40=$AX$20)*($MG$6:$MG$42=1))&gt;0)</f>
        <v/>
      </c>
      <c r="MI20">
        <f>$MI$19+--($MH20)</f>
        <v/>
      </c>
      <c r="MJ20">
        <f>IF(ROW()-3&gt;MAX($MI$4:$MI$40),"",INDEX($AX$4:$AX$40,MATCH(ROW()-3,$MI$4:$MI$40,0)))</f>
        <v/>
      </c>
      <c r="MK20">
        <f>IF(COUNTIF('Buyer Groups'!DG73:DN73,0)+COUNTIF('Buyer Groups'!DP73:EN73,0)&gt;0,0,1)</f>
        <v/>
      </c>
      <c r="ML20">
        <f>IF($BC$20="",FALSE,SUMPRODUCT(('Final Calculation Sheet'!$I$4:$I$40=$BC$20)*($MK$6:$MK$42=1))&gt;0)</f>
        <v/>
      </c>
      <c r="MM20">
        <f>$MM$19+--($ML20)</f>
        <v/>
      </c>
      <c r="MN20">
        <f>IF(ROW()-3&gt;MAX($MM$4:$MM$40),"",INDEX($BC$4:$BC$40,MATCH(ROW()-3,$MM$4:$MM$40,0)))</f>
        <v/>
      </c>
      <c r="MO20">
        <f>IF(COUNTIF('Buyer Groups'!DG73:DO73,0)+COUNTIF('Buyer Groups'!DQ73:EN73,0)&gt;0,0,1)</f>
        <v/>
      </c>
      <c r="MP20">
        <f>IF($BH$20="",FALSE,SUMPRODUCT(('Final Calculation Sheet'!$J$4:$J$40=$BH$20)*($MO$6:$MO$42=1))&gt;0)</f>
        <v/>
      </c>
      <c r="MQ20">
        <f>$MQ$19+--($MP20)</f>
        <v/>
      </c>
      <c r="MR20">
        <f>IF(ROW()-3&gt;MAX($MQ$4:$MQ$40),"",INDEX($BH$4:$BH$40,MATCH(ROW()-3,$MQ$4:$MQ$40,0)))</f>
        <v/>
      </c>
      <c r="MS20">
        <f>IF(COUNTIF('Buyer Groups'!DG73:DP73,0)+COUNTIF('Buyer Groups'!DR73:EN73,0)&gt;0,0,1)</f>
        <v/>
      </c>
      <c r="MT20">
        <f>IF($BM$20="",FALSE,SUMPRODUCT(('Final Calculation Sheet'!$K$4:$K$40=$BM$20)*($MS$6:$MS$42=1))&gt;0)</f>
        <v/>
      </c>
      <c r="MU20">
        <f>$MU$19+--($MT20)</f>
        <v/>
      </c>
      <c r="MV20">
        <f>IF(ROW()-3&gt;MAX($MU$4:$MU$40),"",INDEX($BM$4:$BM$40,MATCH(ROW()-3,$MU$4:$MU$40,0)))</f>
        <v/>
      </c>
      <c r="MW20">
        <f>IF(COUNTIF('Buyer Groups'!DG73:DQ73,0)+COUNTIF('Buyer Groups'!DS73:EN73,0)&gt;0,0,1)</f>
        <v/>
      </c>
      <c r="MX20">
        <f>IF($BR$20="",FALSE,SUMPRODUCT(('Final Calculation Sheet'!$L$4:$L$40=$BR$20)*($MW$6:$MW$42=1))&gt;0)</f>
        <v/>
      </c>
      <c r="MY20">
        <f>$MY$19+--($MX20)</f>
        <v/>
      </c>
      <c r="MZ20">
        <f>IF(ROW()-3&gt;MAX($MY$4:$MY$40),"",INDEX($BR$4:$BR$40,MATCH(ROW()-3,$MY$4:$MY$40,0)))</f>
        <v/>
      </c>
      <c r="NA20">
        <f>IF(COUNTIF('Buyer Groups'!DG73:DR73,0)+COUNTIF('Buyer Groups'!DT73:EN73,0)&gt;0,0,1)</f>
        <v/>
      </c>
      <c r="NB20">
        <f>IF($BW$20="",FALSE,SUMPRODUCT(('Final Calculation Sheet'!$M$4:$M$40=$BW$20)*($NA$6:$NA$42=1))&gt;0)</f>
        <v/>
      </c>
      <c r="NC20">
        <f>$NC$19+--($NB20)</f>
        <v/>
      </c>
      <c r="ND20">
        <f>IF(ROW()-3&gt;MAX($NC$4:$NC$40),"",INDEX($BW$4:$BW$40,MATCH(ROW()-3,$NC$4:$NC$40,0)))</f>
        <v/>
      </c>
      <c r="NE20">
        <f>IF(COUNTIF('Buyer Groups'!DG73:DS73,0)+COUNTIF('Buyer Groups'!DU73:EN73,0)&gt;0,0,1)</f>
        <v/>
      </c>
      <c r="NF20">
        <f>IF($CB$20="",FALSE,SUMPRODUCT(('Final Calculation Sheet'!$N$4:$N$40=$CB$20)*($NE$6:$NE$42=1))&gt;0)</f>
        <v/>
      </c>
      <c r="NG20">
        <f>$NG$19+--($NF20)</f>
        <v/>
      </c>
      <c r="NH20">
        <f>IF(ROW()-3&gt;MAX($NG$4:$NG$40),"",INDEX($CB$4:$CB$40,MATCH(ROW()-3,$NG$4:$NG$40,0)))</f>
        <v/>
      </c>
      <c r="NI20">
        <f>IF(COUNTIF('Buyer Groups'!DG73:DT73,0)+COUNTIF('Buyer Groups'!DV73:EN73,0)&gt;0,0,1)</f>
        <v/>
      </c>
      <c r="NJ20">
        <f>IF($CG$20="",FALSE,SUMPRODUCT(('Final Calculation Sheet'!$O$4:$O$40=$CG$20)*($NI$6:$NI$42=1))&gt;0)</f>
        <v/>
      </c>
      <c r="NK20">
        <f>$NK$19+--($NJ20)</f>
        <v/>
      </c>
      <c r="NL20">
        <f>IF(ROW()-3&gt;MAX($NK$4:$NK$40),"",INDEX($CG$4:$CG$40,MATCH(ROW()-3,$NK$4:$NK$40,0)))</f>
        <v/>
      </c>
      <c r="NM20">
        <f>IF(COUNTIF('Buyer Groups'!DG73:DU73,0)+COUNTIF('Buyer Groups'!DW73:EN73,0)&gt;0,0,1)</f>
        <v/>
      </c>
      <c r="NN20">
        <f>IF($CL$20="",FALSE,SUMPRODUCT(('Final Calculation Sheet'!$P$4:$P$40=$CL$20)*($NM$6:$NM$42=1))&gt;0)</f>
        <v/>
      </c>
      <c r="NO20">
        <f>$NO$19+--($NN20)</f>
        <v/>
      </c>
      <c r="NP20">
        <f>IF(ROW()-3&gt;MAX($NO$4:$NO$40),"",INDEX($CL$4:$CL$40,MATCH(ROW()-3,$NO$4:$NO$40,0)))</f>
        <v/>
      </c>
      <c r="NQ20">
        <f>IF(COUNTIF('Buyer Groups'!DG73:DV73,0)+COUNTIF('Buyer Groups'!DX73:EN73,0)&gt;0,0,1)</f>
        <v/>
      </c>
      <c r="NR20">
        <f>IF($CQ$20="",FALSE,SUMPRODUCT(('Final Calculation Sheet'!$Q$4:$Q$40=$CQ$20)*($NQ$6:$NQ$42=1))&gt;0)</f>
        <v/>
      </c>
      <c r="NS20">
        <f>$NS$19+--($NR20)</f>
        <v/>
      </c>
      <c r="NT20">
        <f>IF(ROW()-3&gt;MAX($NS$4:$NS$40),"",INDEX($CQ$4:$CQ$40,MATCH(ROW()-3,$NS$4:$NS$40,0)))</f>
        <v/>
      </c>
      <c r="NU20">
        <f>IF(COUNTIF('Buyer Groups'!DG73:DW73,0)+COUNTIF('Buyer Groups'!DY73:EN73,0)&gt;0,0,1)</f>
        <v/>
      </c>
      <c r="NV20">
        <f>IF($CV$20="",FALSE,SUMPRODUCT(('Final Calculation Sheet'!$R$4:$R$40=$CV$20)*($NU$6:$NU$42=1))&gt;0)</f>
        <v/>
      </c>
      <c r="NW20">
        <f>$NW$19+--($NV20)</f>
        <v/>
      </c>
      <c r="NX20">
        <f>IF(ROW()-3&gt;MAX($NW$4:$NW$40),"",INDEX($CV$4:$CV$40,MATCH(ROW()-3,$NW$4:$NW$40,0)))</f>
        <v/>
      </c>
      <c r="NY20">
        <f>IF(COUNTIF('Buyer Groups'!DG73:DX73,0)+COUNTIF('Buyer Groups'!DZ73:EN73,0)&gt;0,0,1)</f>
        <v/>
      </c>
      <c r="NZ20">
        <f>IF($DA$20="",FALSE,SUMPRODUCT(('Final Calculation Sheet'!$S$4:$S$40=$DA$20)*($NY$6:$NY$42=1))&gt;0)</f>
        <v/>
      </c>
      <c r="OA20">
        <f>$OA$19+--($NZ20)</f>
        <v/>
      </c>
      <c r="OB20">
        <f>IF(ROW()-3&gt;MAX($OA$4:$OA$40),"",INDEX($DA$4:$DA$40,MATCH(ROW()-3,$OA$4:$OA$40,0)))</f>
        <v/>
      </c>
      <c r="OC20">
        <f>IF(COUNTIF('Buyer Groups'!DG73:DY73,0)+COUNTIF('Buyer Groups'!EA73:EN73,0)&gt;0,0,1)</f>
        <v/>
      </c>
      <c r="OD20">
        <f>IF($DF$20="",FALSE,SUMPRODUCT(('Final Calculation Sheet'!$T$4:$T$40=$DF$20)*($OC$6:$OC$42=1))&gt;0)</f>
        <v/>
      </c>
      <c r="OE20">
        <f>$OE$19+--($OD20)</f>
        <v/>
      </c>
      <c r="OF20">
        <f>IF(ROW()-3&gt;MAX($OE$4:$OE$40),"",INDEX($DF$4:$DF$40,MATCH(ROW()-3,$OE$4:$OE$40,0)))</f>
        <v/>
      </c>
      <c r="OG20">
        <f>IF(COUNTIF('Buyer Groups'!DG73:DZ73,0)+COUNTIF('Buyer Groups'!EB73:EN73,0)&gt;0,0,1)</f>
        <v/>
      </c>
      <c r="OH20">
        <f>IF($DK$20="",FALSE,SUMPRODUCT(('Final Calculation Sheet'!$U$4:$U$40=$DK$20)*($OG$6:$OG$42=1))&gt;0)</f>
        <v/>
      </c>
      <c r="OI20">
        <f>$OI$19+--($OH20)</f>
        <v/>
      </c>
      <c r="OJ20">
        <f>IF(ROW()-3&gt;MAX($OI$4:$OI$40),"",INDEX($DK$4:$DK$40,MATCH(ROW()-3,$OI$4:$OI$40,0)))</f>
        <v/>
      </c>
      <c r="OK20">
        <f>IF(COUNTIF('Buyer Groups'!DG73:EA73,0)+COUNTIF('Buyer Groups'!EC73:EN73,0)&gt;0,0,1)</f>
        <v/>
      </c>
      <c r="OL20">
        <f>IF($DP$20="",FALSE,SUMPRODUCT(('Final Calculation Sheet'!$V$4:$V$40=$DP$20)*($OK$6:$OK$42=1))&gt;0)</f>
        <v/>
      </c>
      <c r="OM20">
        <f>$OM$19+--($OL20)</f>
        <v/>
      </c>
      <c r="ON20">
        <f>IF(ROW()-3&gt;MAX($OM$4:$OM$40),"",INDEX($DP$4:$DP$40,MATCH(ROW()-3,$OM$4:$OM$40,0)))</f>
        <v/>
      </c>
      <c r="OO20">
        <f>IF(COUNTIF('Buyer Groups'!DG73:EB73,0)+COUNTIF('Buyer Groups'!ED73:EN73,0)&gt;0,0,1)</f>
        <v/>
      </c>
      <c r="OP20">
        <f>IF($DU$20="",FALSE,SUMPRODUCT(('Final Calculation Sheet'!$W$4:$W$40=$DU$20)*($OO$6:$OO$42=1))&gt;0)</f>
        <v/>
      </c>
      <c r="OQ20">
        <f>$OQ$19+--($OP20)</f>
        <v/>
      </c>
      <c r="OR20">
        <f>IF(ROW()-3&gt;MAX($OQ$4:$OQ$40),"",INDEX($DU$4:$DU$40,MATCH(ROW()-3,$OQ$4:$OQ$40,0)))</f>
        <v/>
      </c>
      <c r="OS20">
        <f>IF(COUNTIF('Buyer Groups'!DG73:EC73,0)+COUNTIF('Buyer Groups'!EE73:EN73,0)&gt;0,0,1)</f>
        <v/>
      </c>
      <c r="OT20">
        <f>IF($DZ$20="",FALSE,SUMPRODUCT(('Final Calculation Sheet'!$X$4:$X$40=$DZ$20)*($OS$6:$OS$42=1))&gt;0)</f>
        <v/>
      </c>
      <c r="OU20">
        <f>$OU$19+--($OT20)</f>
        <v/>
      </c>
      <c r="OV20">
        <f>IF(ROW()-3&gt;MAX($OU$4:$OU$40),"",INDEX($DZ$4:$DZ$40,MATCH(ROW()-3,$OU$4:$OU$40,0)))</f>
        <v/>
      </c>
      <c r="OW20">
        <f>IF(COUNTIF('Buyer Groups'!DG73:ED73,0)+COUNTIF('Buyer Groups'!EF73:EN73,0)&gt;0,0,1)</f>
        <v/>
      </c>
      <c r="OX20">
        <f>IF($EE$20="",FALSE,SUMPRODUCT(('Final Calculation Sheet'!$Y$4:$Y$40=$EE$20)*($OW$6:$OW$42=1))&gt;0)</f>
        <v/>
      </c>
      <c r="OY20">
        <f>$OY$19+--($OX20)</f>
        <v/>
      </c>
      <c r="OZ20">
        <f>IF(ROW()-3&gt;MAX($OY$4:$OY$40),"",INDEX($EE$4:$EE$40,MATCH(ROW()-3,$OY$4:$OY$40,0)))</f>
        <v/>
      </c>
      <c r="PA20">
        <f>IF(COUNTIF('Buyer Groups'!DG73:EE73,0)+COUNTIF('Buyer Groups'!EG73:EN73,0)&gt;0,0,1)</f>
        <v/>
      </c>
      <c r="PB20">
        <f>IF($EJ$20="",FALSE,SUMPRODUCT(('Final Calculation Sheet'!$Z$4:$Z$40=$EJ$20)*($PA$6:$PA$42=1))&gt;0)</f>
        <v/>
      </c>
      <c r="PC20">
        <f>$PC$19+--($PB20)</f>
        <v/>
      </c>
      <c r="PD20">
        <f>IF(ROW()-3&gt;MAX($PC$4:$PC$40),"",INDEX($EJ$4:$EJ$40,MATCH(ROW()-3,$PC$4:$PC$40,0)))</f>
        <v/>
      </c>
      <c r="PE20">
        <f>IF(COUNTIF('Buyer Groups'!DG73:EF73,0)+COUNTIF('Buyer Groups'!EH73:EN73,0)&gt;0,0,1)</f>
        <v/>
      </c>
      <c r="PF20">
        <f>IF($EO$20="",FALSE,SUMPRODUCT(('Final Calculation Sheet'!$AA$4:$AA$40=$EO$20)*($PE$6:$PE$42=1))&gt;0)</f>
        <v/>
      </c>
      <c r="PG20">
        <f>$PG$19+--($PF20)</f>
        <v/>
      </c>
      <c r="PH20">
        <f>IF(ROW()-3&gt;MAX($PG$4:$PG$40),"",INDEX($EO$4:$EO$40,MATCH(ROW()-3,$PG$4:$PG$40,0)))</f>
        <v/>
      </c>
      <c r="PI20">
        <f>IF(COUNTIF('Buyer Groups'!DG73:EG73,0)+COUNTIF('Buyer Groups'!EI73:EN73,0)&gt;0,0,1)</f>
        <v/>
      </c>
      <c r="PJ20">
        <f>IF($ET$20="",FALSE,SUMPRODUCT(('Final Calculation Sheet'!$AB$4:$AB$40=$ET$20)*($PI$6:$PI$42=1))&gt;0)</f>
        <v/>
      </c>
      <c r="PK20">
        <f>$PK$19+--($PJ20)</f>
        <v/>
      </c>
      <c r="PL20">
        <f>IF(ROW()-3&gt;MAX($PK$4:$PK$40),"",INDEX($ET$4:$ET$40,MATCH(ROW()-3,$PK$4:$PK$40,0)))</f>
        <v/>
      </c>
      <c r="PM20">
        <f>IF(COUNTIF('Buyer Groups'!DG73:EH73,0)+COUNTIF('Buyer Groups'!EJ73:EN73,0)&gt;0,0,1)</f>
        <v/>
      </c>
      <c r="PN20">
        <f>IF($EY$20="",FALSE,SUMPRODUCT(('Final Calculation Sheet'!$AC$4:$AC$40=$EY$20)*($PM$6:$PM$42=1))&gt;0)</f>
        <v/>
      </c>
      <c r="PO20">
        <f>$PO$19+--($PN20)</f>
        <v/>
      </c>
      <c r="PP20">
        <f>IF(ROW()-3&gt;MAX($PO$4:$PO$40),"",INDEX($EY$4:$EY$40,MATCH(ROW()-3,$PO$4:$PO$40,0)))</f>
        <v/>
      </c>
      <c r="PQ20">
        <f>IF(COUNTIF('Buyer Groups'!DG73:EI73,0)+COUNTIF('Buyer Groups'!EK73:EN73,0)&gt;0,0,1)</f>
        <v/>
      </c>
      <c r="PR20">
        <f>IF($FD$20="",FALSE,SUMPRODUCT(('Final Calculation Sheet'!$AD$4:$AD$40=$FD$20)*($PQ$6:$PQ$42=1))&gt;0)</f>
        <v/>
      </c>
      <c r="PS20">
        <f>$PS$19+--($PR20)</f>
        <v/>
      </c>
      <c r="PT20">
        <f>IF(ROW()-3&gt;MAX($PS$4:$PS$40),"",INDEX($FD$4:$FD$40,MATCH(ROW()-3,$PS$4:$PS$40,0)))</f>
        <v/>
      </c>
      <c r="PU20">
        <f>IF(COUNTIF('Buyer Groups'!DG73:EJ73,0)+COUNTIF('Buyer Groups'!EL73:EN73,0)&gt;0,0,1)</f>
        <v/>
      </c>
      <c r="PV20">
        <f>IF($FX$20="",FALSE,SUMPRODUCT((IF('Final Calculation Sheet'!$AD$4:$AD$40&lt;=5,"SETTLED","OUTSTANDING")=$FX$20)*($PU$6:$PU$42=1))&gt;0)</f>
        <v/>
      </c>
      <c r="PW20">
        <f>$PW$19+--($PV20)</f>
        <v/>
      </c>
      <c r="PX20">
        <f>IF(ROW()-3&gt;MAX($PW$4:$PW$40),"",INDEX($FX$4:$FX$40,MATCH(ROW()-3,$PW$4:$PW$40,0)))</f>
        <v/>
      </c>
      <c r="PY20">
        <f>IF(COUNTIF('Buyer Groups'!DG73:EK73,0)+COUNTIF('Buyer Groups'!EM73:EN73,0)&gt;0,0,1)</f>
        <v/>
      </c>
      <c r="PZ20">
        <f>IF($FI$20="",FALSE,SUMPRODUCT(('Final Calculation Sheet'!$AF$4:$AF$40=$FI$20)*($PY$6:$PY$42=1))&gt;0)</f>
        <v/>
      </c>
      <c r="QA20">
        <f>$QA$19+--($PZ20)</f>
        <v/>
      </c>
      <c r="QB20">
        <f>IF(ROW()-3&gt;MAX($QA$4:$QA$40),"",INDEX($FI$4:$FI$40,MATCH(ROW()-3,$QA$4:$QA$40,0)))</f>
        <v/>
      </c>
      <c r="QC20">
        <f>IF(COUNTIF('Buyer Groups'!DG73:EL73,0)+COUNTIF('Buyer Groups'!EN73:EN73,0)&gt;0,0,1)</f>
        <v/>
      </c>
      <c r="QD20">
        <f>IF($FN$20="",FALSE,SUMPRODUCT(('Final Calculation Sheet'!$AG$4:$AG$40=$FN$20)*($QC$6:$QC$42=1))&gt;0)</f>
        <v/>
      </c>
      <c r="QE20">
        <f>$QE$19+--($QD20)</f>
        <v/>
      </c>
      <c r="QF20">
        <f>IF(ROW()-3&gt;MAX($QE$4:$QE$40),"",INDEX($FN$4:$FN$40,MATCH(ROW()-3,$QE$4:$QE$40,0)))</f>
        <v/>
      </c>
      <c r="QG20">
        <f>IF(COUNTIF('Buyer Groups'!DG73:EM73,0)&gt;0,0,1)</f>
        <v/>
      </c>
      <c r="QH20">
        <f>IF($FS$20="",FALSE,SUMPRODUCT(('Final Calculation Sheet'!$AH$4:$AH$40=$FS$20)*($QG$6:$QG$42=1))&gt;0)</f>
        <v/>
      </c>
      <c r="QI20">
        <f>$QI$19+--($QH20)</f>
        <v/>
      </c>
      <c r="QJ20">
        <f>IF(ROW()-3&gt;MAX($QI$4:$QI$40),"",INDEX($FS$4:$FS$40,MATCH(ROW()-3,$QI$4:$QI$40,0)))</f>
        <v/>
      </c>
      <c r="QK20" t="str">
        <f>IF('Final Calculation Sheet'!$AH$20="","",'Final Calculation Sheet'!$AH$20)</f>
      </c>
      <c r="QL20" t="str">
        <f>IF(QK20="","",COUNTIFS(QK$4:QK$40,"&lt;"&amp;QK20,QK$4:QK$40,"&lt;&gt;"&amp;"")+COUNTIF(QK$4:QK20,QK20))</f>
      </c>
      <c r="QM20" t="str">
        <f>IF(ROW()-3&gt;COUNTIF(QK$4:QK$40,"&lt;&gt;"&amp;""),"",INDEX(QK$4:QK$40,MATCH(ROW()-3,QL$4:QL$40,0)))</f>
      </c>
      <c r="QN20" t="str">
        <f>=QN19+F(AND(QM20&lt;&gt;"",COUNTIF(QM$4:QM20,QM20)=1),1,0)</f>
      </c>
      <c r="QO20" t="str">
        <f>IF(ROW()-3&gt;MAX(QN$4:QN$40),"",INDEX(QM$4:QM$40,MATCH(ROW()-3,QN$4:QN$40,0)))</f>
      </c>
      <c r="QP20" t="str">
        <f>IF(COUNTIF('Final Calculation Sheet'!$AM20:$BS20,0)&gt;0,0,1)</f>
      </c>
      <c r="QQ20" t="str">
        <f>IF($AI$20="",FALSE,SUMPRODUCT(('Final Calculation Sheet'!$A$4:$A$40=$AI$20)*($QP$4:$QP$40=1))&gt;0)</f>
      </c>
      <c r="QR20" t="str">
        <f>=$QR19+--($QQ20)</f>
      </c>
      <c r="QS20" t="str">
        <f>IF(ROW()-3&gt;MAX($QR$4:$QR$40),"",INDEX($AI$4:$AI$40,MATCH(ROW()-3,$QR$4:$QR$40,0)))</f>
      </c>
      <c r="QT20" t="str">
        <f>IF(COUNTIF('Final Calculation Sheet'!$AL20:$AL20,0)+COUNTIF('Final Calculation Sheet'!$AN20:$BS20,0)&gt;0,0,1)</f>
      </c>
      <c r="QU20" t="str">
        <f>IF($Y$20="",FALSE,SUMPRODUCT(('Final Calculation Sheet'!$B$4:$B$40=$Y$20)*($QT$4:$QT$40=1))&gt;0)</f>
      </c>
      <c r="QV20" t="str">
        <f>=$QV19+--($QU20)</f>
      </c>
      <c r="QW20" t="str">
        <f>IF(ROW()-3&gt;MAX($QV$4:$QV$40),"",INDEX($Y$4:$Y$40,MATCH(ROW()-3,$QV$4:$QV$40,0)))</f>
      </c>
      <c r="QX20" t="str">
        <f>IF(COUNTIF('Final Calculation Sheet'!$AL20:$AM20,0)+COUNTIF('Final Calculation Sheet'!$AO20:$BS20,0)&gt;0,0,1)</f>
      </c>
      <c r="QY20" t="str">
        <f>IF($AS$20="",FALSE,SUMPRODUCT(('Final Calculation Sheet'!$C$4:$C$40=$AS$20)*($QX$4:$QX$40=1))&gt;0)</f>
      </c>
      <c r="QZ20" t="str">
        <f>=$QZ19+--($QY20)</f>
      </c>
      <c r="RA20" t="str">
        <f>IF(ROW()-3&gt;MAX($QZ$4:$QZ$40),"",INDEX($AS$4:$AS$40,MATCH(ROW()-3,$QZ$4:$QZ$40,0)))</f>
      </c>
      <c r="RB20" t="str">
        <f>IF(COUNTIF('Final Calculation Sheet'!$AL20:$AN20,0)+COUNTIF('Final Calculation Sheet'!$AP20:$BS20,0)&gt;0,0,1)</f>
      </c>
      <c r="RC20" t="str">
        <f>IF($AD$20="",FALSE,SUMPRODUCT(('Final Calculation Sheet'!$D$4:$D$40=$AD$20)*($RB$4:$RB$40=1))&gt;0)</f>
      </c>
      <c r="RD20" t="str">
        <f>=$RD19+--($RC20)</f>
      </c>
      <c r="RE20" t="str">
        <f>IF(ROW()-3&gt;MAX($RD$4:$RD$40),"",INDEX($AD$4:$AD$40,MATCH(ROW()-3,$RD$4:$RD$40,0)))</f>
      </c>
      <c r="RF20" t="str">
        <f>IF(COUNTIF('Final Calculation Sheet'!$AL20:$AO20,0)+COUNTIF('Final Calculation Sheet'!$AQ20:$BS20,0)&gt;0,0,1)</f>
      </c>
      <c r="RG20" t="str">
        <f>IF($AN$20="",FALSE,SUMPRODUCT(('Final Calculation Sheet'!$E$4:$E$40=$AN$20)*($RF$4:$RF$40=1))&gt;0)</f>
      </c>
      <c r="RH20" t="str">
        <f>=$RH19+--($RG20)</f>
      </c>
      <c r="RI20" t="str">
        <f>IF(ROW()-3&gt;MAX($RH$4:$RH$40),"",INDEX($AN$4:$AN$40,MATCH(ROW()-3,$RH$4:$RH$40,0)))</f>
      </c>
      <c r="RJ20" t="str">
        <f>IF(COUNTIF('Final Calculation Sheet'!$AL20:$AP20,0)+COUNTIF('Final Calculation Sheet'!$AR20:$BS20,0)&gt;0,0,1)</f>
      </c>
      <c r="RK20" t="str">
        <f>IF($O$20="",FALSE,SUMPRODUCT(('Final Calculation Sheet'!$F$4:$F$40=$O$20)*($RJ$4:$RJ$40=1))&gt;0)</f>
      </c>
      <c r="RL20" t="str">
        <f>=$RL19+--($RK20)</f>
      </c>
      <c r="RM20" t="str">
        <f>IF(ROW()-3&gt;MAX($RL$4:$RL$40),"",INDEX($O$4:$O$40,MATCH(ROW()-3,$RL$4:$RL$40,0)))</f>
      </c>
      <c r="RN20" t="str">
        <f>IF(COUNTIF('Final Calculation Sheet'!$AL20:$AQ20,0)+COUNTIF('Final Calculation Sheet'!$AS20:$BS20,0)&gt;0,0,1)</f>
      </c>
      <c r="RO20" t="str">
        <f>IF($T$20="",FALSE,SUMPRODUCT(('Final Calculation Sheet'!$G$4:$G$40=$T$20)*($RN$4:$RN$40=1))&gt;0)</f>
      </c>
      <c r="RP20" t="str">
        <f>=$RP19+--($RO20)</f>
      </c>
      <c r="RQ20" t="str">
        <f>IF(ROW()-3&gt;MAX($RP$4:$RP$40),"",INDEX($T$4:$T$40,MATCH(ROW()-3,$RP$4:$RP$40,0)))</f>
      </c>
      <c r="RR20" t="str">
        <f>IF(COUNTIF('Final Calculation Sheet'!$AL20:$AR20,0)+COUNTIF('Final Calculation Sheet'!$AT20:$BS20,0)&gt;0,0,1)</f>
      </c>
      <c r="RS20" t="str">
        <f>IF($AX$20="",FALSE,SUMPRODUCT(('Final Calculation Sheet'!$H$4:$H$40=$AX$20)*($RR$4:$RR$40=1))&gt;0)</f>
      </c>
      <c r="RT20" t="str">
        <f>=$RT19+--($RS20)</f>
      </c>
      <c r="RU20" t="str">
        <f>IF(ROW()-3&gt;MAX($RT$4:$RT$40),"",INDEX($AX$4:$AX$40,MATCH(ROW()-3,$RT$4:$RT$40,0)))</f>
      </c>
      <c r="RV20" t="str">
        <f>IF(COUNTIF('Final Calculation Sheet'!$AL20:$AS20,0)+COUNTIF('Final Calculation Sheet'!$AU20:$BS20,0)&gt;0,0,1)</f>
      </c>
      <c r="RW20" t="str">
        <f>IF($BC$20="",FALSE,SUMPRODUCT(('Final Calculation Sheet'!$I$4:$I$40=$BC$20)*($RV$4:$RV$40=1))&gt;0)</f>
      </c>
      <c r="RX20" t="str">
        <f>=$RX19+--($RW20)</f>
      </c>
      <c r="RY20" t="str">
        <f>IF(ROW()-3&gt;MAX($RX$4:$RX$40),"",INDEX($BC$4:$BC$40,MATCH(ROW()-3,$RX$4:$RX$40,0)))</f>
      </c>
      <c r="RZ20" t="str">
        <f>IF(COUNTIF('Final Calculation Sheet'!$AL20:$AT20,0)+COUNTIF('Final Calculation Sheet'!$AV20:$BS20,0)&gt;0,0,1)</f>
      </c>
      <c r="SA20" t="str">
        <f>IF($BH$20="",FALSE,SUMPRODUCT(('Final Calculation Sheet'!$J$4:$J$40=$BH$20)*($RZ$4:$RZ$40=1))&gt;0)</f>
      </c>
      <c r="SB20" t="str">
        <f>=$SB19+--($SA20)</f>
      </c>
      <c r="SC20" t="str">
        <f>IF(ROW()-3&gt;MAX($SB$4:$SB$40),"",INDEX($BH$4:$BH$40,MATCH(ROW()-3,$SB$4:$SB$40,0)))</f>
      </c>
      <c r="SD20" t="str">
        <f>IF(COUNTIF('Final Calculation Sheet'!$AL20:$AU20,0)+COUNTIF('Final Calculation Sheet'!$AW20:$BS20,0)&gt;0,0,1)</f>
      </c>
      <c r="SE20" t="str">
        <f>IF($BM$20="",FALSE,SUMPRODUCT(('Final Calculation Sheet'!$K$4:$K$40=$BM$20)*($SD$4:$SD$40=1))&gt;0)</f>
      </c>
      <c r="SF20" t="str">
        <f>=$SF19+--($SE20)</f>
      </c>
      <c r="SG20" t="str">
        <f>IF(ROW()-3&gt;MAX($SF$4:$SF$40),"",INDEX($BM$4:$BM$40,MATCH(ROW()-3,$SF$4:$SF$40,0)))</f>
      </c>
      <c r="SH20" t="str">
        <f>IF(COUNTIF('Final Calculation Sheet'!$AL20:$AV20,0)+COUNTIF('Final Calculation Sheet'!$AX20:$BS20,0)&gt;0,0,1)</f>
      </c>
      <c r="SI20" t="str">
        <f>IF($BR$20="",FALSE,SUMPRODUCT(('Final Calculation Sheet'!$L$4:$L$40=$BR$20)*($SH$4:$SH$40=1))&gt;0)</f>
      </c>
      <c r="SJ20" t="str">
        <f>=$SJ19+--($SI20)</f>
      </c>
      <c r="SK20" t="str">
        <f>IF(ROW()-3&gt;MAX($SJ$4:$SJ$40),"",INDEX($BR$4:$BR$40,MATCH(ROW()-3,$SJ$4:$SJ$40,0)))</f>
      </c>
      <c r="SL20" t="str">
        <f>IF(COUNTIF('Final Calculation Sheet'!$AL20:$AW20,0)+COUNTIF('Final Calculation Sheet'!$AY20:$BS20,0)&gt;0,0,1)</f>
      </c>
      <c r="SM20" t="str">
        <f>IF($BW$20="",FALSE,SUMPRODUCT(('Final Calculation Sheet'!$M$4:$M$40=$BW$20)*($SL$4:$SL$40=1))&gt;0)</f>
      </c>
      <c r="SN20" t="str">
        <f>=$SN19+--($SM20)</f>
      </c>
      <c r="SO20" t="str">
        <f>IF(ROW()-3&gt;MAX($SN$4:$SN$40),"",INDEX($BW$4:$BW$40,MATCH(ROW()-3,$SN$4:$SN$40,0)))</f>
      </c>
      <c r="SP20" t="str">
        <f>IF(COUNTIF('Final Calculation Sheet'!$AL20:$AX20,0)+COUNTIF('Final Calculation Sheet'!$AZ20:$BS20,0)&gt;0,0,1)</f>
      </c>
      <c r="SQ20" t="str">
        <f>IF($CB$20="",FALSE,SUMPRODUCT(('Final Calculation Sheet'!$N$4:$N$40=$CB$20)*($SP$4:$SP$40=1))&gt;0)</f>
      </c>
      <c r="SR20" t="str">
        <f>=$SR19+--($SQ20)</f>
      </c>
      <c r="SS20" t="str">
        <f>IF(ROW()-3&gt;MAX($SR$4:$SR$40),"",INDEX($CB$4:$CB$40,MATCH(ROW()-3,$SR$4:$SR$40,0)))</f>
      </c>
      <c r="ST20" t="str">
        <f>IF(COUNTIF('Final Calculation Sheet'!$AL20:$AY20,0)+COUNTIF('Final Calculation Sheet'!$BA20:$BS20,0)&gt;0,0,1)</f>
      </c>
      <c r="SU20" t="str">
        <f>IF($CG$20="",FALSE,SUMPRODUCT(('Final Calculation Sheet'!$O$4:$O$40=$CG$20)*($ST$4:$ST$40=1))&gt;0)</f>
      </c>
      <c r="SV20" t="str">
        <f>=$SV19+--($SU20)</f>
      </c>
      <c r="SW20" t="str">
        <f>IF(ROW()-3&gt;MAX($SV$4:$SV$40),"",INDEX($CG$4:$CG$40,MATCH(ROW()-3,$SV$4:$SV$40,0)))</f>
      </c>
      <c r="SX20" t="str">
        <f>IF(COUNTIF('Final Calculation Sheet'!$AL20:$AZ20,0)+COUNTIF('Final Calculation Sheet'!$BB20:$BS20,0)&gt;0,0,1)</f>
      </c>
      <c r="SY20" t="str">
        <f>IF($CL$20="",FALSE,SUMPRODUCT(('Final Calculation Sheet'!$P$4:$P$40=$CL$20)*($SX$4:$SX$40=1))&gt;0)</f>
      </c>
      <c r="SZ20" t="str">
        <f>=$SZ19+--($SY20)</f>
      </c>
      <c r="TA20" t="str">
        <f>IF(ROW()-3&gt;MAX($SZ$4:$SZ$40),"",INDEX($CL$4:$CL$40,MATCH(ROW()-3,$SZ$4:$SZ$40,0)))</f>
      </c>
      <c r="TB20" t="str">
        <f>IF(COUNTIF('Final Calculation Sheet'!$AL20:$BA20,0)+COUNTIF('Final Calculation Sheet'!$BC20:$BS20,0)&gt;0,0,1)</f>
      </c>
      <c r="TC20" t="str">
        <f>IF($CQ$20="",FALSE,SUMPRODUCT(('Final Calculation Sheet'!$Q$4:$Q$40=$CQ$20)*($TB$4:$TB$40=1))&gt;0)</f>
      </c>
      <c r="TD20" t="str">
        <f>=$TD19+--($TC20)</f>
      </c>
      <c r="TE20" t="str">
        <f>IF(ROW()-3&gt;MAX($TD$4:$TD$40),"",INDEX($CQ$4:$CQ$40,MATCH(ROW()-3,$TD$4:$TD$40,0)))</f>
      </c>
      <c r="TF20" t="str">
        <f>IF(COUNTIF('Final Calculation Sheet'!$AL20:$BB20,0)+COUNTIF('Final Calculation Sheet'!$BD20:$BS20,0)&gt;0,0,1)</f>
      </c>
      <c r="TG20" t="str">
        <f>IF($CV$20="",FALSE,SUMPRODUCT(('Final Calculation Sheet'!$R$4:$R$40=$CV$20)*($TF$4:$TF$40=1))&gt;0)</f>
      </c>
      <c r="TH20" t="str">
        <f>=$TH19+--($TG20)</f>
      </c>
      <c r="TI20" t="str">
        <f>IF(ROW()-3&gt;MAX($TH$4:$TH$40),"",INDEX($CV$4:$CV$40,MATCH(ROW()-3,$TH$4:$TH$40,0)))</f>
      </c>
      <c r="TJ20" t="str">
        <f>IF(COUNTIF('Final Calculation Sheet'!$AL20:$BC20,0)+COUNTIF('Final Calculation Sheet'!$BE20:$BS20,0)&gt;0,0,1)</f>
      </c>
      <c r="TK20" t="str">
        <f>IF($DA$20="",FALSE,SUMPRODUCT(('Final Calculation Sheet'!$S$4:$S$40=$DA$20)*($TJ$4:$TJ$40=1))&gt;0)</f>
      </c>
      <c r="TL20" t="str">
        <f>=$TL19+--($TK20)</f>
      </c>
      <c r="TM20" t="str">
        <f>IF(ROW()-3&gt;MAX($TL$4:$TL$40),"",INDEX($DA$4:$DA$40,MATCH(ROW()-3,$TL$4:$TL$40,0)))</f>
      </c>
      <c r="TN20" t="str">
        <f>IF(COUNTIF('Final Calculation Sheet'!$AL20:$BD20,0)+COUNTIF('Final Calculation Sheet'!$BF20:$BS20,0)&gt;0,0,1)</f>
      </c>
      <c r="TO20" t="str">
        <f>IF($DF$20="",FALSE,SUMPRODUCT(('Final Calculation Sheet'!$T$4:$T$40=$DF$20)*($TN$4:$TN$40=1))&gt;0)</f>
      </c>
      <c r="TP20" t="str">
        <f>=$TP19+--($TO20)</f>
      </c>
      <c r="TQ20" t="str">
        <f>IF(ROW()-3&gt;MAX($TP$4:$TP$40),"",INDEX($DF$4:$DF$40,MATCH(ROW()-3,$TP$4:$TP$40,0)))</f>
      </c>
      <c r="TR20" t="str">
        <f>IF(COUNTIF('Final Calculation Sheet'!$AL20:$BE20,0)+COUNTIF('Final Calculation Sheet'!$BG20:$BS20,0)&gt;0,0,1)</f>
      </c>
      <c r="TS20" t="str">
        <f>IF($DK$20="",FALSE,SUMPRODUCT(('Final Calculation Sheet'!$U$4:$U$40=$DK$20)*($TR$4:$TR$40=1))&gt;0)</f>
      </c>
      <c r="TT20" t="str">
        <f>=$TT19+--($TS20)</f>
      </c>
      <c r="TU20" t="str">
        <f>IF(ROW()-3&gt;MAX($TT$4:$TT$40),"",INDEX($DK$4:$DK$40,MATCH(ROW()-3,$TT$4:$TT$40,0)))</f>
      </c>
      <c r="TV20" t="str">
        <f>IF(COUNTIF('Final Calculation Sheet'!$AL20:$BF20,0)+COUNTIF('Final Calculation Sheet'!$BH20:$BS20,0)&gt;0,0,1)</f>
      </c>
      <c r="TW20" t="str">
        <f>IF($DP$20="",FALSE,SUMPRODUCT(('Final Calculation Sheet'!$V$4:$V$40=$DP$20)*($TV$4:$TV$40=1))&gt;0)</f>
      </c>
      <c r="TX20" t="str">
        <f>=$TX19+--($TW20)</f>
      </c>
      <c r="TY20" t="str">
        <f>IF(ROW()-3&gt;MAX($TX$4:$TX$40),"",INDEX($DP$4:$DP$40,MATCH(ROW()-3,$TX$4:$TX$40,0)))</f>
      </c>
      <c r="TZ20" t="str">
        <f>IF(COUNTIF('Final Calculation Sheet'!$AL20:$BG20,0)+COUNTIF('Final Calculation Sheet'!$BI20:$BS20,0)&gt;0,0,1)</f>
      </c>
      <c r="UA20" t="str">
        <f>IF($DU$20="",FALSE,SUMPRODUCT(('Final Calculation Sheet'!$W$4:$W$40=$DU$20)*($TZ$4:$TZ$40=1))&gt;0)</f>
      </c>
      <c r="UB20" t="str">
        <f>=$UB19+--($UA20)</f>
      </c>
      <c r="UC20" t="str">
        <f>IF(ROW()-3&gt;MAX($UB$4:$UB$40),"",INDEX($DU$4:$DU$40,MATCH(ROW()-3,$UB$4:$UB$40,0)))</f>
      </c>
      <c r="UD20" t="str">
        <f>IF(COUNTIF('Final Calculation Sheet'!$AL20:$BH20,0)+COUNTIF('Final Calculation Sheet'!$BJ20:$BS20,0)&gt;0,0,1)</f>
      </c>
      <c r="UE20" t="str">
        <f>IF($DZ$20="",FALSE,SUMPRODUCT(('Final Calculation Sheet'!$X$4:$X$40=$DZ$20)*($UD$4:$UD$40=1))&gt;0)</f>
      </c>
      <c r="UF20" t="str">
        <f>=$UF19+--($UE20)</f>
      </c>
      <c r="UG20" t="str">
        <f>IF(ROW()-3&gt;MAX($UF$4:$UF$40),"",INDEX($DZ$4:$DZ$40,MATCH(ROW()-3,$UF$4:$UF$40,0)))</f>
      </c>
      <c r="UH20" t="str">
        <f>IF(COUNTIF('Final Calculation Sheet'!$AL20:$BI20,0)+COUNTIF('Final Calculation Sheet'!$BK20:$BS20,0)&gt;0,0,1)</f>
      </c>
      <c r="UI20" t="str">
        <f>IF($EE$20="",FALSE,SUMPRODUCT(('Final Calculation Sheet'!$Y$4:$Y$40=$EE$20)*($UH$4:$UH$40=1))&gt;0)</f>
      </c>
      <c r="UJ20" t="str">
        <f>=$UJ19+--($UI20)</f>
      </c>
      <c r="UK20" t="str">
        <f>IF(ROW()-3&gt;MAX($UJ$4:$UJ$40),"",INDEX($EE$4:$EE$40,MATCH(ROW()-3,$UJ$4:$UJ$40,0)))</f>
      </c>
      <c r="UL20" t="str">
        <f>IF(COUNTIF('Final Calculation Sheet'!$AL20:$BJ20,0)+COUNTIF('Final Calculation Sheet'!$BL20:$BS20,0)&gt;0,0,1)</f>
      </c>
      <c r="UM20" t="str">
        <f>IF($EJ$20="",FALSE,SUMPRODUCT(('Final Calculation Sheet'!$Z$4:$Z$40=$EJ$20)*($UL$4:$UL$40=1))&gt;0)</f>
      </c>
      <c r="UN20" t="str">
        <f>=$UN19+--($UM20)</f>
      </c>
      <c r="UO20" t="str">
        <f>IF(ROW()-3&gt;MAX($UN$4:$UN$40),"",INDEX($EJ$4:$EJ$40,MATCH(ROW()-3,$UN$4:$UN$40,0)))</f>
      </c>
      <c r="UP20" t="str">
        <f>IF(COUNTIF('Final Calculation Sheet'!$AL20:$BK20,0)+COUNTIF('Final Calculation Sheet'!$BM20:$BS20,0)&gt;0,0,1)</f>
      </c>
      <c r="UQ20" t="str">
        <f>IF($EO$20="",FALSE,SUMPRODUCT(('Final Calculation Sheet'!$AA$4:$AA$40=$EO$20)*($UP$4:$UP$40=1))&gt;0)</f>
      </c>
      <c r="UR20" t="str">
        <f>=$UR19+--($UQ20)</f>
      </c>
      <c r="US20" t="str">
        <f>IF(ROW()-3&gt;MAX($UR$4:$UR$40),"",INDEX($EO$4:$EO$40,MATCH(ROW()-3,$UR$4:$UR$40,0)))</f>
      </c>
      <c r="UT20" t="str">
        <f>IF(COUNTIF('Final Calculation Sheet'!$AL20:$BL20,0)+COUNTIF('Final Calculation Sheet'!$BN20:$BS20,0)&gt;0,0,1)</f>
      </c>
      <c r="UU20" t="str">
        <f>IF($ET$20="",FALSE,SUMPRODUCT(('Final Calculation Sheet'!$AB$4:$AB$40=$ET$20)*($UT$4:$UT$40=1))&gt;0)</f>
      </c>
      <c r="UV20" t="str">
        <f>=$UV19+--($UU20)</f>
      </c>
      <c r="UW20" t="str">
        <f>IF(ROW()-3&gt;MAX($UV$4:$UV$40),"",INDEX($ET$4:$ET$40,MATCH(ROW()-3,$UV$4:$UV$40,0)))</f>
      </c>
      <c r="UX20" t="str">
        <f>IF(COUNTIF('Final Calculation Sheet'!$AL20:$BM20,0)+COUNTIF('Final Calculation Sheet'!$BO20:$BS20,0)&gt;0,0,1)</f>
      </c>
      <c r="UY20" t="str">
        <f>IF($EY$20="",FALSE,SUMPRODUCT(('Final Calculation Sheet'!$AC$4:$AC$40=$EY$20)*($UX$4:$UX$40=1))&gt;0)</f>
      </c>
      <c r="UZ20" t="str">
        <f>=$UZ19+--($UY20)</f>
      </c>
      <c r="VA20" t="str">
        <f>IF(ROW()-3&gt;MAX($UZ$4:$UZ$40),"",INDEX($EY$4:$EY$40,MATCH(ROW()-3,$UZ$4:$UZ$40,0)))</f>
      </c>
      <c r="VB20" t="str">
        <f>IF(COUNTIF('Final Calculation Sheet'!$AL20:$BN20,0)+COUNTIF('Final Calculation Sheet'!$BP20:$BS20,0)&gt;0,0,1)</f>
      </c>
      <c r="VC20" t="str">
        <f>IF($FD$20="",FALSE,SUMPRODUCT(('Final Calculation Sheet'!$AD$4:$AD$40=$FD$20)*($VB$4:$VB$40=1))&gt;0)</f>
      </c>
      <c r="VD20" t="str">
        <f>=$VD19+--($VC20)</f>
      </c>
      <c r="VE20" t="str">
        <f>IF(ROW()-3&gt;MAX($VD$4:$VD$40),"",INDEX($FD$4:$FD$40,MATCH(ROW()-3,$VD$4:$VD$40,0)))</f>
      </c>
      <c r="VF20" t="str">
        <f>IF(COUNTIF('Final Calculation Sheet'!$AL20:$BO20,0)+COUNTIF('Final Calculation Sheet'!$BQ20:$BS20,0)&gt;0,0,1)</f>
      </c>
      <c r="VG20" t="str">
        <f>IF($FI$20="",FALSE,SUMPRODUCT(('Final Calculation Sheet'!$AE$4:$AE$40=$FI$20)*($VF$4:$VF$40=1))&gt;0)</f>
      </c>
      <c r="VH20" t="str">
        <f>=$VH19+--($VG20)</f>
      </c>
      <c r="VI20" t="str">
        <f>IF(ROW()-3&gt;MAX($VH$4:$VH$40),"",INDEX($FI$4:$FI$40,MATCH(ROW()-3,$VH$4:$VH$40,0)))</f>
      </c>
      <c r="VJ20" t="str">
        <f>IF(COUNTIF('Final Calculation Sheet'!$AL20:$BP20,0)+COUNTIF('Final Calculation Sheet'!$BR20:$BS20,0)&gt;0,0,1)</f>
      </c>
      <c r="VK20" t="str">
        <f>IF($FN$20="",FALSE,SUMPRODUCT(('Final Calculation Sheet'!$AF$4:$AF$40=$FN$20)*($VJ$4:$VJ$40=1))&gt;0)</f>
      </c>
      <c r="VL20" t="str">
        <f>=$VL19+--($VK20)</f>
      </c>
      <c r="VM20" t="str">
        <f>IF(ROW()-3&gt;MAX($VL$4:$VL$40),"",INDEX($FN$4:$FN$40,MATCH(ROW()-3,$VL$4:$VL$40,0)))</f>
      </c>
      <c r="VN20" t="str">
        <f>IF(COUNTIF('Final Calculation Sheet'!$AL20:$BQ20,0)+COUNTIF('Final Calculation Sheet'!$BS20:$BS20,0)&gt;0,0,1)</f>
      </c>
      <c r="VO20" t="str">
        <f>IF($FS$20="",FALSE,SUMPRODUCT(('Final Calculation Sheet'!$AG$4:$AG$40=$FS$20)*($VN$4:$VN$40=1))&gt;0)</f>
      </c>
      <c r="VP20" t="str">
        <f>=$VP19+--($VO20)</f>
      </c>
      <c r="VQ20" t="str">
        <f>IF(ROW()-3&gt;MAX($VP$4:$VP$40),"",INDEX($FS$4:$FS$40,MATCH(ROW()-3,$VP$4:$VP$40,0)))</f>
      </c>
      <c r="VR20" t="str">
        <f>IF(COUNTIF('Final Calculation Sheet'!$AL20:$BR20,0)&gt;0,0,1)</f>
      </c>
      <c r="VS20" t="str">
        <f>IF($QO$20="",FALSE,SUMPRODUCT(('Final Calculation Sheet'!$AH$4:$AH$40=$QO$20)*($VR$4:$VR$40=1))&gt;0)</f>
      </c>
      <c r="VT20" t="str">
        <f>=$VT19+--($VS20)</f>
      </c>
      <c r="VU20" t="str">
        <f>IF(ROW()-3&gt;MAX($VT$4:$VT$40),"",INDEX($QO$4:$QO$40,MATCH(ROW()-3,$VT$4:$VT$40,0)))</f>
      </c>
    </row>
    <row r="21">
      <c r="A21">
        <f>IF('Final Calculation Sheet'!$F$21="","",'Final Calculation Sheet'!$F$21)</f>
        <v/>
      </c>
      <c r="B21">
        <f>IF(A21="","",COUNTIFS(A$4:A$114,"&lt;"&amp;A21,A$4:A$114,"&lt;&gt;"&amp;"")+COUNTIF(A$4:A21,A21))</f>
        <v/>
      </c>
      <c r="C21">
        <f>IF(ROW()-3&gt;COUNTIF(A$4:A$114,"&lt;&gt;"&amp;""),"",INDEX(A$4:A$114,MATCH(ROW()-3,B$4:B$114,0)))</f>
        <v/>
      </c>
      <c r="D21">
        <f>D20+IF(AND(C21&lt;&gt;"",COUNTIF(C$4:C21,C21)=1),1,0)</f>
        <v/>
      </c>
      <c r="E21">
        <f>IF(ROW()-3&gt;MAX(D$4:D$114),"",INDEX(C$4:C$114,MATCH(ROW()-3,D$4:D$114,0)))</f>
        <v/>
      </c>
      <c r="F21">
        <f>ROW()-3</f>
        <v/>
      </c>
      <c r="G21">
        <f>IF(F21="","",COUNTIFS(F$4:F$40,"&lt;"&amp;F21,F$4:F$40,"&lt;&gt;"&amp;"")+COUNTIF(F$4:F21,F21))</f>
        <v/>
      </c>
      <c r="H21">
        <f>IF(ROW()-3&gt;COUNTIF(F$4:F$40,"&lt;&gt;"&amp;""),"",INDEX(F$4:F$40,MATCH(ROW()-3,G$4:G$40,0)))</f>
        <v/>
      </c>
      <c r="I21">
        <f>I20+IF(AND(H21&lt;&gt;"",COUNTIF(H$4:H21,H21)=1),1,0)</f>
        <v/>
      </c>
      <c r="J21">
        <f>IF(ROW()-3&gt;MAX(I$4:I$40),"",INDEX(H$4:H$40,MATCH(ROW()-3,I$4:I$40,0)))</f>
        <v/>
      </c>
      <c r="K21">
        <f>IF('Final Calculation Sheet'!$F$21="","",'Final Calculation Sheet'!$F$21)</f>
        <v/>
      </c>
      <c r="L21">
        <f>IF(K21="","",COUNTIFS(K$4:K$40,"&lt;"&amp;K21,K$4:K$40,"&lt;&gt;"&amp;"")+COUNTIF(K$4:K21,K21))</f>
        <v/>
      </c>
      <c r="M21">
        <f>IF(ROW()-3&gt;COUNTIF(K$4:K$40,"&lt;&gt;"&amp;""),"",INDEX(K$4:K$40,MATCH(ROW()-3,L$4:L$40,0)))</f>
        <v/>
      </c>
      <c r="N21">
        <f>N20+IF(AND(M21&lt;&gt;"",COUNTIF(M$4:M21,M21)=1),1,0)</f>
        <v/>
      </c>
      <c r="O21">
        <f>IF(ROW()-3&gt;MAX(N$4:N$40),"",INDEX(M$4:M$40,MATCH(ROW()-3,N$4:N$40,0)))</f>
        <v/>
      </c>
      <c r="P21">
        <f>IF('Final Calculation Sheet'!$G$21="","",'Final Calculation Sheet'!$G$21)</f>
        <v/>
      </c>
      <c r="Q21">
        <f>IF(P21="","",COUNTIFS(P$4:P$40,"&lt;"&amp;P21,P$4:P$40,"&lt;&gt;"&amp;"")+COUNTIF(P$4:P21,P21))</f>
        <v/>
      </c>
      <c r="R21">
        <f>IF(ROW()-3&gt;COUNTIF(P$4:P$40,"&lt;&gt;"&amp;""),"",INDEX(P$4:P$40,MATCH(ROW()-3,Q$4:Q$40,0)))</f>
        <v/>
      </c>
      <c r="S21">
        <f>S20+IF(AND(R21&lt;&gt;"",COUNTIF(R$4:R21,R21)=1),1,0)</f>
        <v/>
      </c>
      <c r="T21">
        <f>IF(ROW()-3&gt;MAX(S$4:S$40),"",INDEX(R$4:R$40,MATCH(ROW()-3,S$4:S$40,0)))</f>
        <v/>
      </c>
      <c r="U21">
        <f>IF('Final Calculation Sheet'!$B$21="","",'Final Calculation Sheet'!$B$21)</f>
        <v/>
      </c>
      <c r="V21">
        <f>IF(U21="","",COUNTIFS(U$4:U$40,"&lt;"&amp;U21,U$4:U$40,"&lt;&gt;"&amp;"")+COUNTIF(U$4:U21,U21))</f>
        <v/>
      </c>
      <c r="W21">
        <f>IF(ROW()-3&gt;COUNTIF(U$4:U$40,"&lt;&gt;"&amp;""),"",INDEX(U$4:U$40,MATCH(ROW()-3,V$4:V$40,0)))</f>
        <v/>
      </c>
      <c r="X21">
        <f>X20+IF(AND(W21&lt;&gt;"",COUNTIF(W$4:W21,W21)=1),1,0)</f>
        <v/>
      </c>
      <c r="Y21">
        <f>IF(ROW()-3&gt;MAX(X$4:X$40),"",INDEX(W$4:W$40,MATCH(ROW()-3,X$4:X$40,0)))</f>
        <v/>
      </c>
      <c r="Z21">
        <f>IF('Final Calculation Sheet'!$D$21="","",'Final Calculation Sheet'!$D$21)</f>
        <v/>
      </c>
      <c r="AA21">
        <f>IF(Z21="","",COUNTIFS(Z$4:Z$40,"&lt;"&amp;Z21,Z$4:Z$40,"&lt;&gt;"&amp;"")+COUNTIF(Z$4:Z21,Z21))</f>
        <v/>
      </c>
      <c r="AB21">
        <f>IF(ROW()-3&gt;COUNTIF(Z$4:Z$40,"&lt;&gt;"&amp;""),"",INDEX(Z$4:Z$40,MATCH(ROW()-3,AA$4:AA$40,0)))</f>
        <v/>
      </c>
      <c r="AC21">
        <f>AC20+IF(AND(AB21&lt;&gt;"",COUNTIF(AB$4:AB21,AB21)=1),1,0)</f>
        <v/>
      </c>
      <c r="AD21">
        <f>IF(ROW()-3&gt;MAX(AC$4:AC$40),"",INDEX(AB$4:AB$40,MATCH(ROW()-3,AC$4:AC$40,0)))</f>
        <v/>
      </c>
      <c r="AE21">
        <f>IF('Final Calculation Sheet'!$A$21="","",'Final Calculation Sheet'!$A$21)</f>
        <v/>
      </c>
      <c r="AF21">
        <f>IF(AE21="","",COUNTIFS(AE$4:AE$40,"&lt;"&amp;AE21,AE$4:AE$40,"&lt;&gt;"&amp;"")+COUNTIF(AE$4:AE21,AE21))</f>
        <v/>
      </c>
      <c r="AG21">
        <f>IF(ROW()-3&gt;COUNTIF(AE$4:AE$40,"&lt;&gt;"&amp;""),"",INDEX(AE$4:AE$40,MATCH(ROW()-3,AF$4:AF$40,0)))</f>
        <v/>
      </c>
      <c r="AH21">
        <f>AH20+IF(AND(AG21&lt;&gt;"",COUNTIF(AG$4:AG21,AG21)=1),1,0)</f>
        <v/>
      </c>
      <c r="AI21">
        <f>IF(ROW()-3&gt;MAX(AH$4:AH$40),"",INDEX(AG$4:AG$40,MATCH(ROW()-3,AH$4:AH$40,0)))</f>
        <v/>
      </c>
      <c r="AJ21">
        <f>IF('Final Calculation Sheet'!$E$21="","",'Final Calculation Sheet'!$E$21)</f>
        <v/>
      </c>
      <c r="AK21">
        <f>IF(AJ21="","",COUNTIFS(AJ$4:AJ$40,"&lt;"&amp;AJ21,AJ$4:AJ$40,"&lt;&gt;"&amp;"")+COUNTIF(AJ$4:AJ21,AJ21))</f>
        <v/>
      </c>
      <c r="AL21">
        <f>IF(ROW()-3&gt;COUNTIF(AJ$4:AJ$40,"&lt;&gt;"&amp;""),"",INDEX(AJ$4:AJ$40,MATCH(ROW()-3,AK$4:AK$40,0)))</f>
        <v/>
      </c>
      <c r="AM21">
        <f>AM20+IF(AND(AL21&lt;&gt;"",COUNTIF(AL$4:AL21,AL21)=1),1,0)</f>
        <v/>
      </c>
      <c r="AN21">
        <f>IF(ROW()-3&gt;MAX(AM$4:AM$40),"",INDEX(AL$4:AL$40,MATCH(ROW()-3,AM$4:AM$40,0)))</f>
        <v/>
      </c>
      <c r="AO21" s="55">
        <f>IF('Final Calculation Sheet'!$C$21="","",'Final Calculation Sheet'!$C$21)</f>
        <v/>
      </c>
      <c r="AP21">
        <f>IF(AO21="","",COUNTIFS(AO$4:AO$40,"&lt;"&amp;AO21,AO$4:AO$40,"&lt;&gt;"&amp;"")+COUNTIF(AO$4:AO21,AO21))</f>
        <v/>
      </c>
      <c r="AQ21" s="55">
        <f>IF(ROW()-3&gt;COUNTIF(AO$4:AO$40,"&lt;&gt;"&amp;""),"",INDEX(AO$4:AO$40,MATCH(ROW()-3,AP$4:AP$40,0)))</f>
        <v/>
      </c>
      <c r="AR21">
        <f>AR20+IF(AND(AQ21&lt;&gt;"",COUNTIF(AQ$4:AQ21,AQ21)=1),1,0)</f>
        <v/>
      </c>
      <c r="AS21" s="55">
        <f>IF(ROW()-3&gt;MAX(AR$4:AR$40),"",INDEX(AQ$4:AQ$40,MATCH(ROW()-3,AR$4:AR$40,0)))</f>
        <v/>
      </c>
      <c r="AT21" s="55">
        <f>IF('Final Calculation Sheet'!$H$21="","",'Final Calculation Sheet'!$H$21)</f>
        <v/>
      </c>
      <c r="AU21">
        <f>IF(AT21="","",COUNTIFS(AT$4:AT$40,"&lt;"&amp;AT21,AT$4:AT$40,"&lt;&gt;"&amp;"")+COUNTIF(AT$4:AT21,AT21))</f>
        <v/>
      </c>
      <c r="AV21" s="55">
        <f>IF(ROW()-3&gt;COUNTIF(AT$4:AT$40,"&lt;&gt;"&amp;""),"",INDEX(AT$4:AT$40,MATCH(ROW()-3,AU$4:AU$40,0)))</f>
        <v/>
      </c>
      <c r="AW21">
        <f>AW20+IF(AND(AV21&lt;&gt;"",COUNTIF(AV$4:AV21,AV21)=1),1,0)</f>
        <v/>
      </c>
      <c r="AX21" s="55">
        <f>IF(ROW()-3&gt;MAX(AW$4:AW$40),"",INDEX(AV$4:AV$40,MATCH(ROW()-3,AW$4:AW$40,0)))</f>
        <v/>
      </c>
      <c r="AY21" s="55">
        <f>IF('Final Calculation Sheet'!$I$21="","",'Final Calculation Sheet'!$I$21)</f>
        <v/>
      </c>
      <c r="AZ21">
        <f>IF(AY21="","",COUNTIFS(AY$4:AY$40,"&lt;"&amp;AY21,AY$4:AY$40,"&lt;&gt;"&amp;"")+COUNTIF(AY$4:AY21,AY21))</f>
        <v/>
      </c>
      <c r="BA21" s="55">
        <f>IF(ROW()-3&gt;COUNTIF(AY$4:AY$40,"&lt;&gt;"&amp;""),"",INDEX(AY$4:AY$40,MATCH(ROW()-3,AZ$4:AZ$40,0)))</f>
        <v/>
      </c>
      <c r="BB21">
        <f>BB20+IF(AND(BA21&lt;&gt;"",COUNTIF(BA$4:BA21,BA21)=1),1,0)</f>
        <v/>
      </c>
      <c r="BC21" s="55">
        <f>IF(ROW()-3&gt;MAX(BB$4:BB$40),"",INDEX(BA$4:BA$40,MATCH(ROW()-3,BB$4:BB$40,0)))</f>
        <v/>
      </c>
      <c r="BD21" s="55">
        <f>IF('Final Calculation Sheet'!$J$21="","",'Final Calculation Sheet'!$J$21)</f>
        <v/>
      </c>
      <c r="BE21">
        <f>IF(BD21="","",COUNTIFS(BD$4:BD$40,"&lt;"&amp;BD21,BD$4:BD$40,"&lt;&gt;"&amp;"")+COUNTIF(BD$4:BD21,BD21))</f>
        <v/>
      </c>
      <c r="BF21" s="55">
        <f>IF(ROW()-3&gt;COUNTIF(BD$4:BD$40,"&lt;&gt;"&amp;""),"",INDEX(BD$4:BD$40,MATCH(ROW()-3,BE$4:BE$40,0)))</f>
        <v/>
      </c>
      <c r="BG21">
        <f>BG20+IF(AND(BF21&lt;&gt;"",COUNTIF(BF$4:BF21,BF21)=1),1,0)</f>
        <v/>
      </c>
      <c r="BH21" s="55">
        <f>IF(ROW()-3&gt;MAX(BG$4:BG$40),"",INDEX(BF$4:BF$40,MATCH(ROW()-3,BG$4:BG$40,0)))</f>
        <v/>
      </c>
      <c r="BI21" s="55">
        <f>IF('Final Calculation Sheet'!$K$21="","",'Final Calculation Sheet'!$K$21)</f>
        <v/>
      </c>
      <c r="BJ21">
        <f>IF(BI21="","",COUNTIFS(BI$4:BI$40,"&lt;"&amp;BI21,BI$4:BI$40,"&lt;&gt;"&amp;"")+COUNTIF(BI$4:BI21,BI21))</f>
        <v/>
      </c>
      <c r="BK21" s="55">
        <f>IF(ROW()-3&gt;COUNTIF(BI$4:BI$40,"&lt;&gt;"&amp;""),"",INDEX(BI$4:BI$40,MATCH(ROW()-3,BJ$4:BJ$40,0)))</f>
        <v/>
      </c>
      <c r="BL21">
        <f>BL20+IF(AND(BK21&lt;&gt;"",COUNTIF(BK$4:BK21,BK21)=1),1,0)</f>
        <v/>
      </c>
      <c r="BM21" s="55">
        <f>IF(ROW()-3&gt;MAX(BL$4:BL$40),"",INDEX(BK$4:BK$40,MATCH(ROW()-3,BL$4:BL$40,0)))</f>
        <v/>
      </c>
      <c r="BN21" s="55">
        <f>IF('Final Calculation Sheet'!$L$21="","",'Final Calculation Sheet'!$L$21)</f>
        <v/>
      </c>
      <c r="BO21">
        <f>IF(BN21="","",COUNTIFS(BN$4:BN$40,"&lt;"&amp;BN21,BN$4:BN$40,"&lt;&gt;"&amp;"")+COUNTIF(BN$4:BN21,BN21))</f>
        <v/>
      </c>
      <c r="BP21" s="55">
        <f>IF(ROW()-3&gt;COUNTIF(BN$4:BN$40,"&lt;&gt;"&amp;""),"",INDEX(BN$4:BN$40,MATCH(ROW()-3,BO$4:BO$40,0)))</f>
        <v/>
      </c>
      <c r="BQ21">
        <f>BQ20+IF(AND(BP21&lt;&gt;"",COUNTIF(BP$4:BP21,BP21)=1),1,0)</f>
        <v/>
      </c>
      <c r="BR21" s="55">
        <f>IF(ROW()-3&gt;MAX(BQ$4:BQ$40),"",INDEX(BP$4:BP$40,MATCH(ROW()-3,BQ$4:BQ$40,0)))</f>
        <v/>
      </c>
      <c r="BS21" s="55">
        <f>IF('Final Calculation Sheet'!$M$21="","",'Final Calculation Sheet'!$M$21)</f>
        <v/>
      </c>
      <c r="BT21">
        <f>IF(BS21="","",COUNTIFS(BS$4:BS$40,"&lt;"&amp;BS21,BS$4:BS$40,"&lt;&gt;"&amp;"")+COUNTIF(BS$4:BS21,BS21))</f>
        <v/>
      </c>
      <c r="BU21" s="55">
        <f>IF(ROW()-3&gt;COUNTIF(BS$4:BS$40,"&lt;&gt;"&amp;""),"",INDEX(BS$4:BS$40,MATCH(ROW()-3,BT$4:BT$40,0)))</f>
        <v/>
      </c>
      <c r="BV21">
        <f>BV20+IF(AND(BU21&lt;&gt;"",COUNTIF(BU$4:BU21,BU21)=1),1,0)</f>
        <v/>
      </c>
      <c r="BW21" s="55">
        <f>IF(ROW()-3&gt;MAX(BV$4:BV$40),"",INDEX(BU$4:BU$40,MATCH(ROW()-3,BV$4:BV$40,0)))</f>
        <v/>
      </c>
      <c r="BX21" s="138">
        <f>IF('Final Calculation Sheet'!$N$21="","",'Final Calculation Sheet'!$N$21)</f>
        <v/>
      </c>
      <c r="BY21">
        <f>IF(BX21="","",COUNTIFS(BX$4:BX$40,"&lt;"&amp;BX21,BX$4:BX$40,"&lt;&gt;"&amp;"")+COUNTIF(BX$4:BX21,BX21))</f>
        <v/>
      </c>
      <c r="BZ21" s="138">
        <f>IF(ROW()-3&gt;COUNTIF(BX$4:BX$40,"&lt;&gt;"&amp;""),"",INDEX(BX$4:BX$40,MATCH(ROW()-3,BY$4:BY$40,0)))</f>
        <v/>
      </c>
      <c r="CA21">
        <f>CA20+IF(AND(BZ21&lt;&gt;"",COUNTIF(BZ$4:BZ21,BZ21)=1),1,0)</f>
        <v/>
      </c>
      <c r="CB21" s="138">
        <f>IF(ROW()-3&gt;MAX(CA$4:CA$40),"",INDEX(BZ$4:BZ$40,MATCH(ROW()-3,CA$4:CA$40,0)))</f>
        <v/>
      </c>
      <c r="CC21" s="55">
        <f>IF('Final Calculation Sheet'!$O$21="","",'Final Calculation Sheet'!$O$21)</f>
        <v/>
      </c>
      <c r="CD21">
        <f>IF(CC21="","",COUNTIFS(CC$4:CC$40,"&lt;"&amp;CC21,CC$4:CC$40,"&lt;&gt;"&amp;"")+COUNTIF(CC$4:CC21,CC21))</f>
        <v/>
      </c>
      <c r="CE21" s="55">
        <f>IF(ROW()-3&gt;COUNTIF(CC$4:CC$40,"&lt;&gt;"&amp;""),"",INDEX(CC$4:CC$40,MATCH(ROW()-3,CD$4:CD$40,0)))</f>
        <v/>
      </c>
      <c r="CF21">
        <f>CF20+IF(AND(CE21&lt;&gt;"",COUNTIF(CE$4:CE21,CE21)=1),1,0)</f>
        <v/>
      </c>
      <c r="CG21" s="55">
        <f>IF(ROW()-3&gt;MAX(CF$4:CF$40),"",INDEX(CE$4:CE$40,MATCH(ROW()-3,CF$4:CF$40,0)))</f>
        <v/>
      </c>
      <c r="CH21" s="55">
        <f>IF('Final Calculation Sheet'!$P$21="","",'Final Calculation Sheet'!$P$21)</f>
        <v/>
      </c>
      <c r="CI21">
        <f>IF(CH21="","",COUNTIFS(CH$4:CH$40,"&lt;"&amp;CH21,CH$4:CH$40,"&lt;&gt;"&amp;"")+COUNTIF(CH$4:CH21,CH21))</f>
        <v/>
      </c>
      <c r="CJ21" s="55">
        <f>IF(ROW()-3&gt;COUNTIF(CH$4:CH$40,"&lt;&gt;"&amp;""),"",INDEX(CH$4:CH$40,MATCH(ROW()-3,CI$4:CI$40,0)))</f>
        <v/>
      </c>
      <c r="CK21">
        <f>CK20+IF(AND(CJ21&lt;&gt;"",COUNTIF(CJ$4:CJ21,CJ21)=1),1,0)</f>
        <v/>
      </c>
      <c r="CL21" s="55">
        <f>IF(ROW()-3&gt;MAX(CK$4:CK$40),"",INDEX(CJ$4:CJ$40,MATCH(ROW()-3,CK$4:CK$40,0)))</f>
        <v/>
      </c>
      <c r="CM21" s="139">
        <f>IF('Final Calculation Sheet'!$Q$21="","",'Final Calculation Sheet'!$Q$21)</f>
        <v/>
      </c>
      <c r="CN21">
        <f>IF(CM21="","",COUNTIFS(CM$4:CM$40,"&lt;"&amp;CM21,CM$4:CM$40,"&lt;&gt;"&amp;"")+COUNTIF(CM$4:CM21,CM21))</f>
        <v/>
      </c>
      <c r="CO21" s="139">
        <f>IF(ROW()-3&gt;COUNTIF(CM$4:CM$40,"&lt;&gt;"&amp;""),"",INDEX(CM$4:CM$40,MATCH(ROW()-3,CN$4:CN$40,0)))</f>
        <v/>
      </c>
      <c r="CP21">
        <f>CP20+IF(AND(CO21&lt;&gt;"",COUNTIF(CO$4:CO21,CO21)=1),1,0)</f>
        <v/>
      </c>
      <c r="CQ21">
        <f>IF(ROW()-3&gt;MAX(CP$4:CP$40),"",INDEX(CO$4:CO$40,MATCH(ROW()-3,CP$4:CP$40,0)))</f>
        <v/>
      </c>
      <c r="CR21" s="55">
        <f>IF('Final Calculation Sheet'!$R$21="","",'Final Calculation Sheet'!$R$21)</f>
        <v/>
      </c>
      <c r="CS21">
        <f>IF(CR21="","",COUNTIFS(CR$4:CR$40,"&lt;"&amp;CR21,CR$4:CR$40,"&lt;&gt;"&amp;"")+COUNTIF(CR$4:CR21,CR21))</f>
        <v/>
      </c>
      <c r="CT21" s="55">
        <f>IF(ROW()-3&gt;COUNTIF(CR$4:CR$40,"&lt;&gt;"&amp;""),"",INDEX(CR$4:CR$40,MATCH(ROW()-3,CS$4:CS$40,0)))</f>
        <v/>
      </c>
      <c r="CU21">
        <f>CU20+IF(AND(CT21&lt;&gt;"",COUNTIF(CT$4:CT21,CT21)=1),1,0)</f>
        <v/>
      </c>
      <c r="CV21">
        <f>IF(ROW()-3&gt;MAX(CU$4:CU$40),"",INDEX(CT$4:CT$40,MATCH(ROW()-3,CU$4:CU$40,0)))</f>
        <v/>
      </c>
      <c r="CW21" s="55">
        <f>IF('Final Calculation Sheet'!$S$21="","",'Final Calculation Sheet'!$S$21)</f>
        <v/>
      </c>
      <c r="CX21">
        <f>IF(CW21="","",COUNTIFS(CW$4:CW$40,"&lt;"&amp;CW21,CW$4:CW$40,"&lt;&gt;"&amp;"")+COUNTIF(CW$4:CW21,CW21))</f>
        <v/>
      </c>
      <c r="CY21" s="55">
        <f>IF(ROW()-3&gt;COUNTIF(CW$4:CW$40,"&lt;&gt;"&amp;""),"",INDEX(CW$4:CW$40,MATCH(ROW()-3,CX$4:CX$40,0)))</f>
        <v/>
      </c>
      <c r="CZ21">
        <f>CZ20+IF(AND(CY21&lt;&gt;"",COUNTIF(CY$4:CY21,CY21)=1),1,0)</f>
        <v/>
      </c>
      <c r="DA21" s="55">
        <f>IF(ROW()-3&gt;MAX(CZ$4:CZ$40),"",INDEX(CY$4:CY$40,MATCH(ROW()-3,CZ$4:CZ$40,0)))</f>
        <v/>
      </c>
      <c r="DB21" s="55">
        <f>IF('Final Calculation Sheet'!$T$21="","",'Final Calculation Sheet'!$T$21)</f>
        <v/>
      </c>
      <c r="DC21">
        <f>IF(DB21="","",COUNTIFS(DB$4:DB$40,"&lt;"&amp;DB21,DB$4:DB$40,"&lt;&gt;"&amp;"")+COUNTIF(DB$4:DB21,DB21))</f>
        <v/>
      </c>
      <c r="DD21" s="55">
        <f>IF(ROW()-3&gt;COUNTIF(DB$4:DB$40,"&lt;&gt;"&amp;""),"",INDEX(DB$4:DB$40,MATCH(ROW()-3,DC$4:DC$40,0)))</f>
        <v/>
      </c>
      <c r="DE21">
        <f>DE20+IF(AND(DD21&lt;&gt;"",COUNTIF(DD$4:DD21,DD21)=1),1,0)</f>
        <v/>
      </c>
      <c r="DF21" s="55">
        <f>IF(ROW()-3&gt;MAX(DE$4:DE$40),"",INDEX(DD$4:DD$40,MATCH(ROW()-3,DE$4:DE$40,0)))</f>
        <v/>
      </c>
      <c r="DG21" s="140">
        <f>IF('Final Calculation Sheet'!$U$21="","",'Final Calculation Sheet'!$U$21)</f>
        <v/>
      </c>
      <c r="DH21">
        <f>IF(DG21="","",COUNTIFS(DG$4:DG$40,"&lt;"&amp;DG21,DG$4:DG$40,"&lt;&gt;"&amp;"")+COUNTIF(DG$4:DG21,DG21))</f>
        <v/>
      </c>
      <c r="DI21" s="140">
        <f>IF(ROW()-3&gt;COUNTIF(DG$4:DG$40,"&lt;&gt;"&amp;""),"",INDEX(DG$4:DG$40,MATCH(ROW()-3,DH$4:DH$40,0)))</f>
        <v/>
      </c>
      <c r="DJ21">
        <f>DJ20+IF(AND(DI21&lt;&gt;"",COUNTIF(DI$4:DI21,DI21)=1),1,0)</f>
        <v/>
      </c>
      <c r="DK21" s="140">
        <f>IF(ROW()-3&gt;MAX(DJ$4:DJ$40),"",INDEX(DI$4:DI$40,MATCH(ROW()-3,DJ$4:DJ$40,0)))</f>
        <v/>
      </c>
      <c r="DL21">
        <f>IF('Final Calculation Sheet'!$V$21="","",'Final Calculation Sheet'!$V$21)</f>
        <v/>
      </c>
      <c r="DM21">
        <f>IF(DL21="","",COUNTIFS(DL$4:DL$40,"&lt;"&amp;DL21,DL$4:DL$40,"&lt;&gt;"&amp;"")+COUNTIF(DL$4:DL21,DL21))</f>
        <v/>
      </c>
      <c r="DN21">
        <f>IF(ROW()-3&gt;COUNTIF(DL$4:DL$40,"&lt;&gt;"&amp;""),"",INDEX(DL$4:DL$40,MATCH(ROW()-3,DM$4:DM$40,0)))</f>
        <v/>
      </c>
      <c r="DO21">
        <f>DO20+IF(AND(DN21&lt;&gt;"",COUNTIF(DN$4:DN21,DN21)=1),1,0)</f>
        <v/>
      </c>
      <c r="DP21">
        <f>IF(ROW()-3&gt;MAX(DO$4:DO$40),"",INDEX(DN$4:DN$40,MATCH(ROW()-3,DO$4:DO$40,0)))</f>
        <v/>
      </c>
      <c r="DQ21" s="55">
        <f>IF('Final Calculation Sheet'!$W$21="","",'Final Calculation Sheet'!$W$21)</f>
        <v/>
      </c>
      <c r="DR21">
        <f>IF(DQ21="","",COUNTIFS(DQ$4:DQ$40,"&lt;"&amp;DQ21,DQ$4:DQ$40,"&lt;&gt;"&amp;"")+COUNTIF(DQ$4:DQ21,DQ21))</f>
        <v/>
      </c>
      <c r="DS21" s="55">
        <f>IF(ROW()-3&gt;COUNTIF(DQ$4:DQ$40,"&lt;&gt;"&amp;""),"",INDEX(DQ$4:DQ$40,MATCH(ROW()-3,DR$4:DR$40,0)))</f>
        <v/>
      </c>
      <c r="DT21">
        <f>DT20+IF(AND(DS21&lt;&gt;"",COUNTIF(DS$4:DS21,DS21)=1),1,0)</f>
        <v/>
      </c>
      <c r="DU21" s="55">
        <f>IF(ROW()-3&gt;MAX(DT$4:DT$40),"",INDEX(DS$4:DS$40,MATCH(ROW()-3,DT$4:DT$40,0)))</f>
        <v/>
      </c>
      <c r="DV21" s="55">
        <f>IF('Final Calculation Sheet'!$X$21="","",'Final Calculation Sheet'!$X$21)</f>
        <v/>
      </c>
      <c r="DW21">
        <f>IF(DV21="","",COUNTIFS(DV$4:DV$40,"&lt;"&amp;DV21,DV$4:DV$40,"&lt;&gt;"&amp;"")+COUNTIF(DV$4:DV21,DV21))</f>
        <v/>
      </c>
      <c r="DX21" s="55">
        <f>IF(ROW()-3&gt;COUNTIF(DV$4:DV$40,"&lt;&gt;"&amp;""),"",INDEX(DV$4:DV$40,MATCH(ROW()-3,DW$4:DW$40,0)))</f>
        <v/>
      </c>
      <c r="DY21">
        <f>DY20+IF(AND(DX21&lt;&gt;"",COUNTIF(DX$4:DX21,DX21)=1),1,0)</f>
        <v/>
      </c>
      <c r="DZ21">
        <f>IF(ROW()-3&gt;MAX(DY$4:DY$40),"",INDEX(DX$4:DX$40,MATCH(ROW()-3,DY$4:DY$40,0)))</f>
        <v/>
      </c>
      <c r="EA21">
        <f>IF('Final Calculation Sheet'!$Y$21="","",'Final Calculation Sheet'!$Y$21)</f>
        <v/>
      </c>
      <c r="EB21">
        <f>IF(EA21="","",COUNTIFS(EA$4:EA$40,"&lt;"&amp;EA21,EA$4:EA$40,"&lt;&gt;"&amp;"")+COUNTIF(EA$4:EA21,EA21))</f>
        <v/>
      </c>
      <c r="EC21">
        <f>IF(ROW()-3&gt;COUNTIF(EA$4:EA$40,"&lt;&gt;"&amp;""),"",INDEX(EA$4:EA$40,MATCH(ROW()-3,EB$4:EB$40,0)))</f>
        <v/>
      </c>
      <c r="ED21">
        <f>ED20+IF(AND(EC21&lt;&gt;"",COUNTIF(EC$4:EC21,EC21)=1),1,0)</f>
        <v/>
      </c>
      <c r="EE21">
        <f>IF(ROW()-3&gt;MAX(ED$4:ED$40),"",INDEX(EC$4:EC$40,MATCH(ROW()-3,ED$4:ED$40,0)))</f>
        <v/>
      </c>
      <c r="EF21" s="55">
        <f>IF('Final Calculation Sheet'!$Z$21="","",'Final Calculation Sheet'!$Z$21)</f>
        <v/>
      </c>
      <c r="EG21">
        <f>IF(EF21="","",COUNTIFS(EF$4:EF$40,"&lt;"&amp;EF21,EF$4:EF$40,"&lt;&gt;"&amp;"")+COUNTIF(EF$4:EF21,EF21))</f>
        <v/>
      </c>
      <c r="EH21" s="55">
        <f>IF(ROW()-3&gt;COUNTIF(EF$4:EF$40,"&lt;&gt;"&amp;""),"",INDEX(EF$4:EF$40,MATCH(ROW()-3,EG$4:EG$40,0)))</f>
        <v/>
      </c>
      <c r="EI21">
        <f>EI20+IF(AND(EH21&lt;&gt;"",COUNTIF(EH$4:EH21,EH21)=1),1,0)</f>
        <v/>
      </c>
      <c r="EJ21">
        <f>IF(ROW()-3&gt;MAX(EI$4:EI$40),"",INDEX(EH$4:EH$40,MATCH(ROW()-3,EI$4:EI$40,0)))</f>
        <v/>
      </c>
      <c r="EK21">
        <f>IF('Final Calculation Sheet'!$AA$21="","",'Final Calculation Sheet'!$AA$21)</f>
        <v/>
      </c>
      <c r="EL21">
        <f>IF(EK21="","",COUNTIFS(EK$4:EK$40,"&lt;"&amp;EK21,EK$4:EK$40,"&lt;&gt;"&amp;"")+COUNTIF(EK$4:EK21,EK21))</f>
        <v/>
      </c>
      <c r="EM21">
        <f>IF(ROW()-3&gt;COUNTIF(EK$4:EK$40,"&lt;&gt;"&amp;""),"",INDEX(EK$4:EK$40,MATCH(ROW()-3,EL$4:EL$40,0)))</f>
        <v/>
      </c>
      <c r="EN21">
        <f>EN20+IF(AND(EM21&lt;&gt;"",COUNTIF(EM$4:EM21,EM21)=1),1,0)</f>
        <v/>
      </c>
      <c r="EO21">
        <f>IF(ROW()-3&gt;MAX(EN$4:EN$40),"",INDEX(EM$4:EM$40,MATCH(ROW()-3,EN$4:EN$40,0)))</f>
        <v/>
      </c>
      <c r="EP21">
        <f>IF('Final Calculation Sheet'!$AB$21="","",'Final Calculation Sheet'!$AB$21)</f>
        <v/>
      </c>
      <c r="EQ21">
        <f>IF(EP21="","",COUNTIFS(EP$4:EP$40,"&lt;"&amp;EP21,EP$4:EP$40,"&lt;&gt;"&amp;"")+COUNTIF(EP$4:EP21,EP21))</f>
        <v/>
      </c>
      <c r="ER21">
        <f>IF(ROW()-3&gt;COUNTIF(EP$4:EP$40,"&lt;&gt;"&amp;""),"",INDEX(EP$4:EP$40,MATCH(ROW()-3,EQ$4:EQ$40,0)))</f>
        <v/>
      </c>
      <c r="ES21">
        <f>ES20+IF(AND(ER21&lt;&gt;"",COUNTIF(ER$4:ER21,ER21)=1),1,0)</f>
        <v/>
      </c>
      <c r="ET21">
        <f>IF(ROW()-3&gt;MAX(ES$4:ES$40),"",INDEX(ER$4:ER$40,MATCH(ROW()-3,ES$4:ES$40,0)))</f>
        <v/>
      </c>
      <c r="EU21" s="55">
        <f>IF('Final Calculation Sheet'!$AC$21="","",'Final Calculation Sheet'!$AC$21)</f>
        <v/>
      </c>
      <c r="EV21">
        <f>IF(EU21="","",COUNTIFS(EU$4:EU$40,"&lt;"&amp;EU21,EU$4:EU$40,"&lt;&gt;"&amp;"")+COUNTIF(EU$4:EU21,EU21))</f>
        <v/>
      </c>
      <c r="EW21" s="55">
        <f>IF(ROW()-3&gt;COUNTIF(EU$4:EU$40,"&lt;&gt;"&amp;""),"",INDEX(EU$4:EU$40,MATCH(ROW()-3,EV$4:EV$40,0)))</f>
        <v/>
      </c>
      <c r="EX21">
        <f>EX20+IF(AND(EW21&lt;&gt;"",COUNTIF(EW$4:EW21,EW21)=1),1,0)</f>
        <v/>
      </c>
      <c r="EY21" s="55">
        <f>IF(ROW()-3&gt;MAX(EX$4:EX$40),"",INDEX(EW$4:EW$40,MATCH(ROW()-3,EX$4:EX$40,0)))</f>
        <v/>
      </c>
      <c r="EZ21" s="55">
        <f>IF('Final Calculation Sheet'!$AD$21="","",'Final Calculation Sheet'!$AD$21)</f>
        <v/>
      </c>
      <c r="FA21">
        <f>IF(EZ21="","",COUNTIFS(EZ$4:EZ$40,"&lt;"&amp;EZ21,EZ$4:EZ$40,"&lt;&gt;"&amp;"")+COUNTIF(EZ$4:EZ21,EZ21))</f>
        <v/>
      </c>
      <c r="FB21" s="55">
        <f>IF(ROW()-3&gt;COUNTIF(EZ$4:EZ$40,"&lt;&gt;"&amp;""),"",INDEX(EZ$4:EZ$40,MATCH(ROW()-3,FA$4:FA$40,0)))</f>
        <v/>
      </c>
      <c r="FC21">
        <f>FC20+IF(AND(FB21&lt;&gt;"",COUNTIF(FB$4:FB21,FB21)=1),1,0)</f>
        <v/>
      </c>
      <c r="FD21">
        <f>IF(ROW()-3&gt;MAX(FC$4:FC$40),"",INDEX(FB$4:FB$40,MATCH(ROW()-3,FC$4:FC$40,0)))</f>
        <v/>
      </c>
      <c r="FE21">
        <f>IF('Final Calculation Sheet'!$AF$21="","",'Final Calculation Sheet'!$AF$21)</f>
        <v/>
      </c>
      <c r="FF21">
        <f>IF(FE21="","",COUNTIFS(FE$4:FE$40,"&lt;"&amp;FE21,FE$4:FE$40,"&lt;&gt;"&amp;"")+COUNTIF(FE$4:FE21,FE21))</f>
        <v/>
      </c>
      <c r="FG21">
        <f>IF(ROW()-3&gt;COUNTIF(FE$4:FE$40,"&lt;&gt;"&amp;""),"",INDEX(FE$4:FE$40,MATCH(ROW()-3,FF$4:FF$40,0)))</f>
        <v/>
      </c>
      <c r="FH21">
        <f>FH20+IF(AND(FG21&lt;&gt;"",COUNTIF(FG$4:FG21,FG21)=1),1,0)</f>
        <v/>
      </c>
      <c r="FI21">
        <f>IF(ROW()-3&gt;MAX(FH$4:FH$40),"",INDEX(FG$4:FG$40,MATCH(ROW()-3,FH$4:FH$40,0)))</f>
        <v/>
      </c>
      <c r="FJ21" s="141">
        <f>IF('Final Calculation Sheet'!$AG$21="","",'Final Calculation Sheet'!$AG$21)</f>
        <v/>
      </c>
      <c r="FK21">
        <f>IF(FJ21="","",COUNTIFS(FJ$4:FJ$40,"&lt;"&amp;FJ21,FJ$4:FJ$40,"&lt;&gt;"&amp;"")+COUNTIF(FJ$4:FJ21,FJ21))</f>
        <v/>
      </c>
      <c r="FL21" s="141">
        <f>IF(ROW()-3&gt;COUNTIF(FJ$4:FJ$40,"&lt;&gt;"&amp;""),"",INDEX(FJ$4:FJ$40,MATCH(ROW()-3,FK$4:FK$40,0)))</f>
        <v/>
      </c>
      <c r="FM21">
        <f>FM20+IF(AND(FL21&lt;&gt;"",COUNTIF(FL$4:FL21,FL21)=1),1,0)</f>
        <v/>
      </c>
      <c r="FN21">
        <f>IF(ROW()-3&gt;MAX(FM$4:FM$40),"",INDEX(FL$4:FL$40,MATCH(ROW()-3,FM$4:FM$40,0)))</f>
        <v/>
      </c>
      <c r="FO21">
        <f>IF('Final Calculation Sheet'!$AH$21="","",'Final Calculation Sheet'!$AH$21)</f>
        <v/>
      </c>
      <c r="FP21">
        <f>IF(FO21="","",COUNTIFS(FO$4:FO$40,"&lt;"&amp;FO21,FO$4:FO$40,"&lt;&gt;"&amp;"")+COUNTIF(FO$4:FO21,FO21))</f>
        <v/>
      </c>
      <c r="FQ21">
        <f>IF(ROW()-3&gt;COUNTIF(FO$4:FO$40,"&lt;&gt;"&amp;""),"",INDEX(FO$4:FO$40,MATCH(ROW()-3,FP$4:FP$40,0)))</f>
        <v/>
      </c>
      <c r="FR21">
        <f>FR20+IF(AND(FQ21&lt;&gt;"",COUNTIF(FQ$4:FQ21,FQ21)=1),1,0)</f>
        <v/>
      </c>
      <c r="FS21">
        <f>IF(ROW()-3&gt;MAX(FR$4:FR$40),"",INDEX(FQ$4:FQ$40,MATCH(ROW()-3,FR$4:FR$40,0)))</f>
        <v/>
      </c>
      <c r="FU21">
        <f>IF(FT21="","",COUNTIFS(FT$4:FT$40,"&lt;"&amp;FT21,FT$4:FT$40,"&lt;&gt;"&amp;"")+COUNTIF(FT$4:FT21,FT21))</f>
        <v/>
      </c>
      <c r="FV21">
        <f>IF(ROW()-3&gt;COUNTIF(FT$4:FT$40,"&lt;&gt;"&amp;""),"",INDEX(FT$4:FT$40,MATCH(ROW()-3,FU$4:FU$40,0)))</f>
        <v/>
      </c>
      <c r="FW21">
        <f>FW20+IF(AND(FV21&lt;&gt;"",COUNTIF(FV$4:FV21,FV21)=1),1,0)</f>
        <v/>
      </c>
      <c r="FX21">
        <f>IF(ROW()-3&gt;MAX(FW$4:FW$40),"",INDEX(FV$4:FV$40,MATCH(ROW()-3,FW$4:FW$40,0)))</f>
        <v/>
      </c>
      <c r="FY21">
        <f>IF(COUNTIF('Live Search'!BM$20:BO$20,0)+COUNTIF('Live Search'!BQ$20:CU$20,0)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1">
        <f>IF($Y$21="",FALSE,SUMPRODUCT(('Final Calculation Sheet'!$B$4:$B$40=$Y$21)*($FY$6:$FY$42=1))&gt;0)</f>
        <v/>
      </c>
      <c r="GA21">
        <f>$GA$20+--($FZ$21)</f>
        <v/>
      </c>
      <c r="GB21">
        <f>IF(ROW()-3&gt;MAX($GA$4:$GA$40),"",INDEX($Y$4:$Y$40,MATCH(ROW()-3,$GA$4:$GA$40,0)))</f>
        <v/>
      </c>
      <c r="GC21">
        <f>IF(COUNTIF('Live Search'!BM$20:BM$20,0)+COUNTIF('Live Search'!BO$20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GD21">
        <f>IF($O$21="",FALSE,SUMPRODUCT(('Final Calculation Sheet'!$F$4:$F$40=$O$21)*($GC$6:$GC$42=1))&gt;0)</f>
        <v/>
      </c>
      <c r="GE21">
        <f>$GE$20+--($GD21)</f>
        <v/>
      </c>
      <c r="GF21">
        <f>IF(ROW()-3&gt;MAX($GE$4:$GE$40),"",INDEX($O$4:$O$40,MATCH(ROW()-3,$GE$4:$GE$40,0)))</f>
        <v/>
      </c>
      <c r="GG21">
        <f>IF(COUNTIF('Live Search'!BM$20:BN$20,0)+COUNTIF('Live Search'!BP$20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GH21">
        <f>IF($T$21="",FALSE,SUMPRODUCT(('Final Calculation Sheet'!$G$4:$G$40=$T$21)*($GG$6:$GG$42=1))&gt;0)</f>
        <v/>
      </c>
      <c r="GI21">
        <f>$GI$20+--($GH21)</f>
        <v/>
      </c>
      <c r="GJ21">
        <f>IF(ROW()-3&gt;MAX($GI$4:$GI$40),"",INDEX($T$4:$T$40,MATCH(ROW()-3,$GI$4:$GI$40,0)))</f>
        <v/>
      </c>
      <c r="GK21">
        <f>IF(COUNTIF('Live Search'!BM$20:BP$20,0)+COUNTIF('Live Search'!BR$20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GL21">
        <f>IF($AD$21="",FALSE,SUMPRODUCT(('Final Calculation Sheet'!$D$4:$D$40=$AD$21)*($GK$6:$GK$42=1))&gt;0)</f>
        <v/>
      </c>
      <c r="GM21">
        <f>$GM$20+--($GL21)</f>
        <v/>
      </c>
      <c r="GN21">
        <f>IF(ROW()-3&gt;MAX($GM$4:$GM$40),"",INDEX($AD$4:$AD$40,MATCH(ROW()-3,$GM$4:$GM$40,0)))</f>
        <v/>
      </c>
      <c r="GO21">
        <f>IF(COUNTIF('Live Search'!BM$20:BQ$20,0)+COUNTIF('Live Search'!BS$20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GP21">
        <f>IF($AI$21="",FALSE,SUMPRODUCT(('Final Calculation Sheet'!$A$4:$A$40=$AI$21)*($GO$6:$GO$42=1))&gt;0)</f>
        <v/>
      </c>
      <c r="GQ21">
        <f>$GQ$20+--($GP21)</f>
        <v/>
      </c>
      <c r="GR21">
        <f>IF(ROW()-3&gt;MAX($GQ$4:$GQ$40),"",INDEX($AI$4:$AI$40,MATCH(ROW()-3,$GQ$4:$GQ$40,0)))</f>
        <v/>
      </c>
      <c r="GS21">
        <f>IF(COUNTIF('Live Search'!BM$20:BR$20,0)+COUNTIF('Live Search'!BT$20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GT21">
        <f>IF($AN$21="",FALSE,SUMPRODUCT(('Final Calculation Sheet'!$E$4:$E$40=$AN$21)*($GS$6:$GS$42=1))&gt;0)</f>
        <v/>
      </c>
      <c r="GU21">
        <f>$GU$20+--($GT21)</f>
        <v/>
      </c>
      <c r="GV21">
        <f>IF(ROW()-3&gt;MAX($GU$4:$GU$40),"",INDEX($AN$4:$AN$40,MATCH(ROW()-3,$GU$4:$GU$40,0)))</f>
        <v/>
      </c>
      <c r="GW21">
        <f>IF(COUNTIF('Live Search'!BM$20:BS$20,0)+COUNTIF('Live Search'!BU$20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GX21">
        <f>IF($AS$21="",FALSE,SUMPRODUCT(('Final Calculation Sheet'!$C$4:$C$40=$AS$21)*($GW$6:$GW$42=1))&gt;0)</f>
        <v/>
      </c>
      <c r="GY21">
        <f>$GY$20+--($GX21)</f>
        <v/>
      </c>
      <c r="GZ21">
        <f>IF(ROW()-3&gt;MAX($GY$4:$GY$40),"",INDEX($AS$4:$AS$40,MATCH(ROW()-3,$GY$4:$GY$40,0)))</f>
        <v/>
      </c>
      <c r="HA21">
        <f>IF(COUNTIF('Live Search'!BM$20:BT$20,0)+COUNTIF('Live Search'!BV$20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HB21">
        <f>IF($AX$21="",FALSE,SUMPRODUCT(('Final Calculation Sheet'!$H$4:$H$40=$AX$21)*($HA$6:$HA$42=1))&gt;0)</f>
        <v/>
      </c>
      <c r="HC21">
        <f>$HC$20+--($HB21)</f>
        <v/>
      </c>
      <c r="HD21">
        <f>IF(ROW()-3&gt;MAX($HC$4:$HC$40),"",INDEX($AX$4:$AX$40,MATCH(ROW()-3,$HC$4:$HC$40,0)))</f>
        <v/>
      </c>
      <c r="HE21">
        <f>IF(COUNTIF('Live Search'!BM$20:BU$20,0)+COUNTIF('Live Search'!BW$20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HF21">
        <f>IF($BC$21="",FALSE,SUMPRODUCT(('Final Calculation Sheet'!$I$4:$I$40=$BC$21)*($HE$6:$HE$42=1))&gt;0)</f>
        <v/>
      </c>
      <c r="HG21">
        <f>$HG$20+--($HF21)</f>
        <v/>
      </c>
      <c r="HH21">
        <f>IF(ROW()-3&gt;MAX($HG$4:$HG$40),"",INDEX($BC$4:$BC$40,MATCH(ROW()-3,$HG$4:$HG$40,0)))</f>
        <v/>
      </c>
      <c r="HI21">
        <f>IF(COUNTIF('Live Search'!BM$20:BV$20,0)+COUNTIF('Live Search'!BX$20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HJ21">
        <f>IF($BH$21="",FALSE,SUMPRODUCT(('Final Calculation Sheet'!$J$4:$J$40=$BH$21)*($HI$6:$HI$42=1))&gt;0)</f>
        <v/>
      </c>
      <c r="HK21">
        <f>$HK$20+--($HJ21)</f>
        <v/>
      </c>
      <c r="HL21">
        <f>IF(ROW()-3&gt;MAX($HK$4:$HK$40),"",INDEX($BH$4:$BH$40,MATCH(ROW()-3,$HK$4:$HK$40,0)))</f>
        <v/>
      </c>
      <c r="HM21">
        <f>IF(COUNTIF('Live Search'!BM$20:BW$20,0)+COUNTIF('Live Search'!BY$20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HN21">
        <f>IF($BM$21="",FALSE,SUMPRODUCT(('Final Calculation Sheet'!$K$4:$K$40=$BM$21)*($HM$6:$HM$42=1))&gt;0)</f>
        <v/>
      </c>
      <c r="HO21">
        <f>$HO$20+--($HN21)</f>
        <v/>
      </c>
      <c r="HP21">
        <f>IF(ROW()-3&gt;MAX($HO$4:$HO$40),"",INDEX($BM$4:$BM$40,MATCH(ROW()-3,$HO$4:$HO$40,0)))</f>
        <v/>
      </c>
      <c r="HQ21">
        <f>IF(COUNTIF('Live Search'!BM$20:BX$20,0)+COUNTIF('Live Search'!BZ$20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HR21">
        <f>IF($BR$21="",FALSE,SUMPRODUCT(('Final Calculation Sheet'!$L$4:$L$40=$BR$21)*($HQ$6:$HQ$42=1))&gt;0)</f>
        <v/>
      </c>
      <c r="HS21">
        <f>$HS$20+--($HR21)</f>
        <v/>
      </c>
      <c r="HT21">
        <f>IF(ROW()-3&gt;MAX($HS$4:$HS$40),"",INDEX($BR$4:$BR$40,MATCH(ROW()-3,$HS$4:$HS$40,0)))</f>
        <v/>
      </c>
      <c r="HU21">
        <f>IF(COUNTIF('Live Search'!BM$20:BY$20,0)+COUNTIF('Live Search'!CA$20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HV21">
        <f>IF($BW$21="",FALSE,SUMPRODUCT(('Final Calculation Sheet'!$M$4:$M$40=$BW$21)*($HU$6:$HU$42=1))&gt;0)</f>
        <v/>
      </c>
      <c r="HW21">
        <f>$HW$20+--($HV21)</f>
        <v/>
      </c>
      <c r="HX21">
        <f>IF(ROW()-3&gt;MAX($HW$4:$HW$40),"",INDEX($BW$4:$BW$40,MATCH(ROW()-3,$HW$4:$HW$40,0)))</f>
        <v/>
      </c>
      <c r="HY21">
        <f>IF(COUNTIF('Live Search'!BM$20:BZ$20,0)+COUNTIF('Live Search'!CB$20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HZ21">
        <f>IF($CB$21="",FALSE,SUMPRODUCT(('Final Calculation Sheet'!$N$4:$N$40=$CB$21)*($HY$6:$HY$42=1))&gt;0)</f>
        <v/>
      </c>
      <c r="IA21">
        <f>$IA$20+--($HZ21)</f>
        <v/>
      </c>
      <c r="IB21">
        <f>IF(ROW()-3&gt;MAX($IA$4:$IA$40),"",INDEX($CB$4:$CB$40,MATCH(ROW()-3,$IA$4:$IA$40,0)))</f>
        <v/>
      </c>
      <c r="IC21">
        <f>IF(COUNTIF('Live Search'!BM$20:CA$20,0)+COUNTIF('Live Search'!CC$20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ID21">
        <f>IF($CG$21="",FALSE,SUMPRODUCT(('Final Calculation Sheet'!$O$4:$O$40=$CG$21)*($IC$6:$IC$42=1))&gt;0)</f>
        <v/>
      </c>
      <c r="IE21">
        <f>$IE$20+--($ID21)</f>
        <v/>
      </c>
      <c r="IF21">
        <f>IF(ROW()-3&gt;MAX($IE$4:$IE$40),"",INDEX($CG$4:$CG$40,MATCH(ROW()-3,$IE$4:$IE$40,0)))</f>
        <v/>
      </c>
      <c r="IG21">
        <f>IF(COUNTIF('Live Search'!BM$20:CB$20,0)+COUNTIF('Live Search'!CD$20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IH21">
        <f>IF($CL$21="",FALSE,SUMPRODUCT(('Final Calculation Sheet'!$P$4:$P$40=$CL$21)*($IG$6:$IG$42=1))&gt;0)</f>
        <v/>
      </c>
      <c r="II21">
        <f>$II$20+--($IH21)</f>
        <v/>
      </c>
      <c r="IJ21">
        <f>IF(ROW()-3&gt;MAX($II$4:$II$40),"",INDEX($CL$4:$CL$40,MATCH(ROW()-3,$II$4:$II$40,0)))</f>
        <v/>
      </c>
      <c r="IK21">
        <f>IF(COUNTIF('Live Search'!BM$20:CC$20,0)+COUNTIF('Live Search'!CE$20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IL21">
        <f>IF($CQ$21="",FALSE,SUMPRODUCT(('Final Calculation Sheet'!$Q$4:$Q$40=$CQ$21)*($IK$6:$IK$42=1))&gt;0)</f>
        <v/>
      </c>
      <c r="IM21">
        <f>$IM$20+--($IL21)</f>
        <v/>
      </c>
      <c r="IN21">
        <f>IF(ROW()-3&gt;MAX($IM$4:$IM$40),"",INDEX($CQ$4:$CQ$40,MATCH(ROW()-3,$IM$4:$IM$40,0)))</f>
        <v/>
      </c>
      <c r="IO21">
        <f>IF(COUNTIF('Live Search'!BM$20:CD$20,0)+COUNTIF('Live Search'!CF$20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IP21">
        <f>IF($CV$21="",FALSE,SUMPRODUCT(('Final Calculation Sheet'!$R$4:$R$40=$CV$21)*($IO$6:$IO$42=1))&gt;0)</f>
        <v/>
      </c>
      <c r="IQ21">
        <f>$IQ$20+--($IP21)</f>
        <v/>
      </c>
      <c r="IR21">
        <f>IF(ROW()-3&gt;MAX($IQ$4:$IQ$40),"",INDEX($CV$4:$CV$40,MATCH(ROW()-3,$IQ$4:$IQ$40,0)))</f>
        <v/>
      </c>
      <c r="IS21">
        <f>IF(COUNTIF('Live Search'!BM$20:CE$20,0)+COUNTIF('Live Search'!CG$20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IT21">
        <f>IF($DA$21="",FALSE,SUMPRODUCT(('Final Calculation Sheet'!$S$4:$S$40=$DA$21)*($IS$6:$IS$42=1))&gt;0)</f>
        <v/>
      </c>
      <c r="IU21">
        <f>$IU$20+--($IT21)</f>
        <v/>
      </c>
      <c r="IV21">
        <f>IF(ROW()-3&gt;MAX($IU$4:$IU$40),"",INDEX($DA$4:$DA$40,MATCH(ROW()-3,$IU$4:$IU$40,0)))</f>
        <v/>
      </c>
      <c r="IW21">
        <f>IF(COUNTIF('Live Search'!BM$20:CF$20,0)+COUNTIF('Live Search'!CH$20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IX21">
        <f>IF($DF$21="",FALSE,SUMPRODUCT(('Final Calculation Sheet'!$T$4:$T$40=$DF$21)*($IW$6:$IW$42=1))&gt;0)</f>
        <v/>
      </c>
      <c r="IY21">
        <f>$IY$20+--($IX21)</f>
        <v/>
      </c>
      <c r="IZ21">
        <f>IF(ROW()-3&gt;MAX($IY$4:$IY$40),"",INDEX($DF$4:$DF$40,MATCH(ROW()-3,$IY$4:$IY$40,0)))</f>
        <v/>
      </c>
      <c r="JA21">
        <f>IF(COUNTIF('Live Search'!BM$20:CG$20,0)+COUNTIF('Live Search'!CI$20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JB21">
        <f>IF($DK$21="",FALSE,SUMPRODUCT(('Final Calculation Sheet'!$U$4:$U$40=$DK$21)*($JA$6:$JA$42=1))&gt;0)</f>
        <v/>
      </c>
      <c r="JC21">
        <f>$JC$20+--($JB21)</f>
        <v/>
      </c>
      <c r="JD21">
        <f>IF(ROW()-3&gt;MAX($JC$4:$JC$40),"",INDEX($DK$4:$DK$40,MATCH(ROW()-3,$JC$4:$JC$40,0)))</f>
        <v/>
      </c>
      <c r="JE21">
        <f>IF(COUNTIF('Live Search'!BM$20:CH$20,0)+COUNTIF('Live Search'!CJ$20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JF21">
        <f>IF($DP$21="",FALSE,SUMPRODUCT(('Final Calculation Sheet'!$V$4:$V$40=$DP$21)*($JE$6:$JE$42=1))&gt;0)</f>
        <v/>
      </c>
      <c r="JG21">
        <f>$JG$20+--($JF21)</f>
        <v/>
      </c>
      <c r="JH21">
        <f>IF(ROW()-3&gt;MAX($JG$4:$JG$40),"",INDEX($DP$4:$DP$40,MATCH(ROW()-3,$JG$4:$JG$40,0)))</f>
        <v/>
      </c>
      <c r="JI21">
        <f>IF(COUNTIF('Live Search'!BM$20:CI$20,0)+COUNTIF('Live Search'!CK$20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JJ21">
        <f>IF($DU$21="",FALSE,SUMPRODUCT(('Final Calculation Sheet'!$W$4:$W$40=$DU$21)*($JI$6:$JI$42=1))&gt;0)</f>
        <v/>
      </c>
      <c r="JK21">
        <f>$JK$20+--($JJ21)</f>
        <v/>
      </c>
      <c r="JL21">
        <f>IF(ROW()-3&gt;MAX($JK$4:$JK$40),"",INDEX($DU$4:$DU$40,MATCH(ROW()-3,$JK$4:$JK$40,0)))</f>
        <v/>
      </c>
      <c r="JM21">
        <f>IF(COUNTIF('Live Search'!BM$20:CJ$20,0)+COUNTIF('Live Search'!CL$20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JN21">
        <f>IF($DZ$21="",FALSE,SUMPRODUCT(('Final Calculation Sheet'!$X$4:$X$40=$DZ$21)*($JM$6:$JM$42=1))&gt;0)</f>
        <v/>
      </c>
      <c r="JO21">
        <f>$JO$20+--($JN21)</f>
        <v/>
      </c>
      <c r="JP21">
        <f>IF(ROW()-3&gt;MAX($JO$4:$JO$40),"",INDEX($DZ$4:$DZ$40,MATCH(ROW()-3,$JO$4:$JO$40,0)))</f>
        <v/>
      </c>
      <c r="JQ21">
        <f>IF(COUNTIF('Live Search'!BM$20:CK$20,0)+COUNTIF('Live Search'!CM$20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JR21">
        <f>IF($EE$21="",FALSE,SUMPRODUCT(('Final Calculation Sheet'!$Y$4:$Y$40=$EE$21)*($JQ$6:$JQ$42=1))&gt;0)</f>
        <v/>
      </c>
      <c r="JS21">
        <f>$JS$20+--($JR21)</f>
        <v/>
      </c>
      <c r="JT21">
        <f>IF(ROW()-3&gt;MAX($JS$4:$JS$40),"",INDEX($EE$4:$EE$40,MATCH(ROW()-3,$JS$4:$JS$40,0)))</f>
        <v/>
      </c>
      <c r="JU21">
        <f>IF(COUNTIF('Live Search'!BM$20:CL$20,0)+COUNTIF('Live Search'!CN$20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JV21">
        <f>IF($EJ$21="",FALSE,SUMPRODUCT(('Final Calculation Sheet'!$Z$4:$Z$40=$EJ$21)*($JU$6:$JU$42=1))&gt;0)</f>
        <v/>
      </c>
      <c r="JW21">
        <f>$JW$20+--($JV21)</f>
        <v/>
      </c>
      <c r="JX21">
        <f>IF(ROW()-3&gt;MAX($JW$4:$JW$40),"",INDEX($EJ$4:$EJ$40,MATCH(ROW()-3,$JW$4:$JW$40,0)))</f>
        <v/>
      </c>
      <c r="JY21">
        <f>IF(COUNTIF('Live Search'!BM$20:CM$20,0)+COUNTIF('Live Search'!CO$20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JZ21">
        <f>IF($EO$21="",FALSE,SUMPRODUCT(('Final Calculation Sheet'!$AA$4:$AA$40=$EO$21)*($JY$6:$JY$42=1))&gt;0)</f>
        <v/>
      </c>
      <c r="KA21">
        <f>$KA$20+--($JZ21)</f>
        <v/>
      </c>
      <c r="KB21">
        <f>IF(ROW()-3&gt;MAX($KA$4:$KA$40),"",INDEX($EO$4:$EO$40,MATCH(ROW()-3,$KA$4:$KA$40,0)))</f>
        <v/>
      </c>
      <c r="KC21">
        <f>IF(COUNTIF('Live Search'!BM$20:CN$20,0)+COUNTIF('Live Search'!CP$20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KD21">
        <f>IF($ET$21="",FALSE,SUMPRODUCT(('Final Calculation Sheet'!$AB$4:$AB$40=$ET$21)*($KC$6:$KC$42=1))&gt;0)</f>
        <v/>
      </c>
      <c r="KE21">
        <f>$KE$20+--($KD21)</f>
        <v/>
      </c>
      <c r="KF21">
        <f>IF(ROW()-3&gt;MAX($KE$4:$KE$40),"",INDEX($ET$4:$ET$40,MATCH(ROW()-3,$KE$4:$KE$40,0)))</f>
        <v/>
      </c>
      <c r="KG21">
        <f>IF(COUNTIF('Live Search'!BM$20:CO$20,0)+COUNTIF('Live Search'!CQ$20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KH21">
        <f>IF($EY$21="",FALSE,SUMPRODUCT(('Final Calculation Sheet'!$AC$4:$AC$40=$EY$21)*($KG$6:$KG$42=1))&gt;0)</f>
        <v/>
      </c>
      <c r="KI21">
        <f>$KI$20+--($KH21)</f>
        <v/>
      </c>
      <c r="KJ21">
        <f>IF(ROW()-3&gt;MAX($KI$4:$KI$40),"",INDEX($EY$4:$EY$40,MATCH(ROW()-3,$KI$4:$KI$40,0)))</f>
        <v/>
      </c>
      <c r="KK21">
        <f>IF(COUNTIF('Live Search'!BM$20:CP$20,0)+COUNTIF('Live Search'!CR$20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KL21">
        <f>IF($FD$21="",FALSE,SUMPRODUCT(('Final Calculation Sheet'!$AD$4:$AD$40=$FD$21)*($KK$6:$KK$42=1))&gt;0)</f>
        <v/>
      </c>
      <c r="KM21">
        <f>$KM$20+--($KL21)</f>
        <v/>
      </c>
      <c r="KN21">
        <f>IF(ROW()-3&gt;MAX($KM$4:$KM$40),"",INDEX($FD$4:$FD$40,MATCH(ROW()-3,$KM$4:$KM$40,0)))</f>
        <v/>
      </c>
      <c r="KO21">
        <f>IF(COUNTIF('Live Search'!BM$20:CT$20,0)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KP21">
        <f>IF($FX$21="",FALSE,SUMPRODUCT((IF('Final Calculation Sheet'!$AD$4:$AD$40&lt;=5,"SETTLED","OUTSTANDING")=$FX$21)*($KO$6:$KO$42=1))&gt;0)</f>
        <v/>
      </c>
      <c r="KQ21">
        <f>$KQ$20+--($KP21)</f>
        <v/>
      </c>
      <c r="KR21">
        <f>IF(ROW()-3&gt;MAX($KQ$4:$KQ$40),"",INDEX($FX$4:$FX$40,MATCH(ROW()-3,$KQ$4:$KQ$40,0)))</f>
        <v/>
      </c>
      <c r="KS21">
        <f>IF(COUNTIF('Live Search'!BM$20:CQ$20,0)+COUNTIF('Live Search'!CS$20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KT21">
        <f>IF($FI$21="",FALSE,SUMPRODUCT(('Final Calculation Sheet'!$AF$4:$AF$40=$FI$21)*($KS$6:$KS$42=1))&gt;0)</f>
        <v/>
      </c>
      <c r="KU21">
        <f>$KU$20+--($KT21)</f>
        <v/>
      </c>
      <c r="KV21">
        <f>IF(ROW()-3&gt;MAX($KU$4:$KU$40),"",INDEX($FI$4:$FI$40,MATCH(ROW()-3,$KU$4:$KU$40,0)))</f>
        <v/>
      </c>
      <c r="KW21">
        <f>IF(COUNTIF('Live Search'!BM$20:CR$20,0)+COUNTIF('Live Search'!CT$20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KX21">
        <f>IF($FN$21="",FALSE,SUMPRODUCT(('Final Calculation Sheet'!$AG$4:$AG$40=$FN$21)*($KW$6:$KW$42=1))&gt;0)</f>
        <v/>
      </c>
      <c r="KY21">
        <f>$KY$20+--($KX21)</f>
        <v/>
      </c>
      <c r="KZ21">
        <f>IF(ROW()-3&gt;MAX($KY$4:$KY$40),"",INDEX($FN$4:$FN$40,MATCH(ROW()-3,$KY$4:$KY$40,0)))</f>
        <v/>
      </c>
      <c r="LA21">
        <f>IF(COUNTIF('Live Search'!BM$20:CS$20,0)+COUNTIF('Live Search'!CU$20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LB21">
        <f>IF($FS$21="",FALSE,SUMPRODUCT(('Final Calculation Sheet'!$AH$4:$AH$40=$FS$21)*($LA$6:$LA$42=1))&gt;0)</f>
        <v/>
      </c>
      <c r="LC21">
        <f>$LC$20+--($LB21)</f>
        <v/>
      </c>
      <c r="LD21">
        <f>IF(ROW()-3&gt;MAX($LC$4:$LC$40),"",INDEX($FS$4:$FS$40,MATCH(ROW()-3,$LC$4:$LC$40,0)))</f>
        <v/>
      </c>
      <c r="LE21">
        <f>IF(COUNTIF('Buyer Groups'!DH74:EN74,0)&gt;0,0,1)</f>
        <v/>
      </c>
      <c r="LF21">
        <f>IF($O$21="",FALSE,SUMPRODUCT(('Final Calculation Sheet'!$F$4:$F$40=$O$21)*($LE$6:$LE$42=1))&gt;0)</f>
        <v/>
      </c>
      <c r="LG21">
        <f>$LG$20+--($LF21)</f>
        <v/>
      </c>
      <c r="LH21">
        <f>IF(ROW()-3&gt;MAX($LG$4:$LG$40),"",INDEX($O$4:$O$40,MATCH(ROW()-3,$LG$4:$LG$40,0)))</f>
        <v/>
      </c>
      <c r="LI21">
        <f>IF(COUNTIF('Buyer Groups'!DG74:DG74,0)+COUNTIF('Buyer Groups'!DI74:EN74,0)&gt;0,0,1)</f>
        <v/>
      </c>
      <c r="LJ21">
        <f>IF($T$21="",FALSE,SUMPRODUCT(('Final Calculation Sheet'!$G$4:$G$40=$T$21)*($LI$6:$LI$42=1))&gt;0)</f>
        <v/>
      </c>
      <c r="LK21">
        <f>$LK$20+--($LJ21)</f>
        <v/>
      </c>
      <c r="LL21">
        <f>IF(ROW()-3&gt;MAX($LK$4:$LK$40),"",INDEX($T$4:$T$40,MATCH(ROW()-3,$LK$4:$LK$40,0)))</f>
        <v/>
      </c>
      <c r="LM21">
        <f>IF(COUNTIF('Buyer Groups'!DG74:DH74,0)+COUNTIF('Buyer Groups'!DJ74:EN74,0)&gt;0,0,1)</f>
        <v/>
      </c>
      <c r="LN21">
        <f>IF($Y$21="",FALSE,SUMPRODUCT(('Final Calculation Sheet'!$B$4:$B$40=$Y$21)*($LM$6:$LM$42=1))&gt;0)</f>
        <v/>
      </c>
      <c r="LO21">
        <f>$LO$20+--($LN21)</f>
        <v/>
      </c>
      <c r="LP21">
        <f>IF(ROW()-3&gt;MAX($LO$4:$LO$40),"",INDEX($Y$4:$Y$40,MATCH(ROW()-3,$LO$4:$LO$40,0)))</f>
        <v/>
      </c>
      <c r="LQ21">
        <f>IF(COUNTIF('Buyer Groups'!DG74:DI74,0)+COUNTIF('Buyer Groups'!DK74:EN74,0)&gt;0,0,1)</f>
        <v/>
      </c>
      <c r="LR21">
        <f>IF($AD$21="",FALSE,SUMPRODUCT(('Final Calculation Sheet'!$D$4:$D$40=$AD$21)*($LQ$6:$LQ$42=1))&gt;0)</f>
        <v/>
      </c>
      <c r="LS21">
        <f>$LS$20+--($LR21)</f>
        <v/>
      </c>
      <c r="LT21">
        <f>IF(ROW()-3&gt;MAX($LS$4:$LS$40),"",INDEX($AD$4:$AD$40,MATCH(ROW()-3,$LS$4:$LS$40,0)))</f>
        <v/>
      </c>
      <c r="LU21">
        <f>IF(COUNTIF('Buyer Groups'!DG74:DJ74,0)+COUNTIF('Buyer Groups'!DL74:EN74,0)&gt;0,0,1)</f>
        <v/>
      </c>
      <c r="LV21">
        <f>IF($AI$21="",FALSE,SUMPRODUCT(('Final Calculation Sheet'!$A$4:$A$40=$AI$21)*($LU$6:$LU$42=1))&gt;0)</f>
        <v/>
      </c>
      <c r="LW21">
        <f>$LW$20+--($LV21)</f>
        <v/>
      </c>
      <c r="LX21">
        <f>IF(ROW()-3&gt;MAX($LW$4:$LW$40),"",INDEX($AI$4:$AI$40,MATCH(ROW()-3,$LW$4:$LW$40,0)))</f>
        <v/>
      </c>
      <c r="LY21">
        <f>IF(COUNTIF('Buyer Groups'!DG74:DK74,0)+COUNTIF('Buyer Groups'!DM74:EN74,0)&gt;0,0,1)</f>
        <v/>
      </c>
      <c r="LZ21">
        <f>IF($AN$21="",FALSE,SUMPRODUCT(('Final Calculation Sheet'!$E$4:$E$40=$AN$21)*($LY$6:$LY$42=1))&gt;0)</f>
        <v/>
      </c>
      <c r="MA21">
        <f>$MA$20+--($LZ21)</f>
        <v/>
      </c>
      <c r="MB21">
        <f>IF(ROW()-3&gt;MAX($MA$4:$MA$40),"",INDEX($AN$4:$AN$40,MATCH(ROW()-3,$MA$4:$MA$40,0)))</f>
        <v/>
      </c>
      <c r="MC21">
        <f>IF(COUNTIF('Buyer Groups'!DG74:DL74,0)+COUNTIF('Buyer Groups'!DN74:EN74,0)&gt;0,0,1)</f>
        <v/>
      </c>
      <c r="MD21">
        <f>IF($AS$21="",FALSE,SUMPRODUCT(('Final Calculation Sheet'!$C$4:$C$40=$AS$21)*($MC$6:$MC$42=1))&gt;0)</f>
        <v/>
      </c>
      <c r="ME21">
        <f>$ME$20+--($MD21)</f>
        <v/>
      </c>
      <c r="MF21">
        <f>IF(ROW()-3&gt;MAX($ME$4:$ME$40),"",INDEX($AS$4:$AS$40,MATCH(ROW()-3,$ME$4:$ME$40,0)))</f>
        <v/>
      </c>
      <c r="MG21">
        <f>IF(COUNTIF('Buyer Groups'!DG74:DM74,0)+COUNTIF('Buyer Groups'!DO74:EN74,0)&gt;0,0,1)</f>
        <v/>
      </c>
      <c r="MH21">
        <f>IF($AX$21="",FALSE,SUMPRODUCT(('Final Calculation Sheet'!$H$4:$H$40=$AX$21)*($MG$6:$MG$42=1))&gt;0)</f>
        <v/>
      </c>
      <c r="MI21">
        <f>$MI$20+--($MH21)</f>
        <v/>
      </c>
      <c r="MJ21">
        <f>IF(ROW()-3&gt;MAX($MI$4:$MI$40),"",INDEX($AX$4:$AX$40,MATCH(ROW()-3,$MI$4:$MI$40,0)))</f>
        <v/>
      </c>
      <c r="MK21">
        <f>IF(COUNTIF('Buyer Groups'!DG74:DN74,0)+COUNTIF('Buyer Groups'!DP74:EN74,0)&gt;0,0,1)</f>
        <v/>
      </c>
      <c r="ML21">
        <f>IF($BC$21="",FALSE,SUMPRODUCT(('Final Calculation Sheet'!$I$4:$I$40=$BC$21)*($MK$6:$MK$42=1))&gt;0)</f>
        <v/>
      </c>
      <c r="MM21">
        <f>$MM$20+--($ML21)</f>
        <v/>
      </c>
      <c r="MN21">
        <f>IF(ROW()-3&gt;MAX($MM$4:$MM$40),"",INDEX($BC$4:$BC$40,MATCH(ROW()-3,$MM$4:$MM$40,0)))</f>
        <v/>
      </c>
      <c r="MO21">
        <f>IF(COUNTIF('Buyer Groups'!DG74:DO74,0)+COUNTIF('Buyer Groups'!DQ74:EN74,0)&gt;0,0,1)</f>
        <v/>
      </c>
      <c r="MP21">
        <f>IF($BH$21="",FALSE,SUMPRODUCT(('Final Calculation Sheet'!$J$4:$J$40=$BH$21)*($MO$6:$MO$42=1))&gt;0)</f>
        <v/>
      </c>
      <c r="MQ21">
        <f>$MQ$20+--($MP21)</f>
        <v/>
      </c>
      <c r="MR21">
        <f>IF(ROW()-3&gt;MAX($MQ$4:$MQ$40),"",INDEX($BH$4:$BH$40,MATCH(ROW()-3,$MQ$4:$MQ$40,0)))</f>
        <v/>
      </c>
      <c r="MS21">
        <f>IF(COUNTIF('Buyer Groups'!DG74:DP74,0)+COUNTIF('Buyer Groups'!DR74:EN74,0)&gt;0,0,1)</f>
        <v/>
      </c>
      <c r="MT21">
        <f>IF($BM$21="",FALSE,SUMPRODUCT(('Final Calculation Sheet'!$K$4:$K$40=$BM$21)*($MS$6:$MS$42=1))&gt;0)</f>
        <v/>
      </c>
      <c r="MU21">
        <f>$MU$20+--($MT21)</f>
        <v/>
      </c>
      <c r="MV21">
        <f>IF(ROW()-3&gt;MAX($MU$4:$MU$40),"",INDEX($BM$4:$BM$40,MATCH(ROW()-3,$MU$4:$MU$40,0)))</f>
        <v/>
      </c>
      <c r="MW21">
        <f>IF(COUNTIF('Buyer Groups'!DG74:DQ74,0)+COUNTIF('Buyer Groups'!DS74:EN74,0)&gt;0,0,1)</f>
        <v/>
      </c>
      <c r="MX21">
        <f>IF($BR$21="",FALSE,SUMPRODUCT(('Final Calculation Sheet'!$L$4:$L$40=$BR$21)*($MW$6:$MW$42=1))&gt;0)</f>
        <v/>
      </c>
      <c r="MY21">
        <f>$MY$20+--($MX21)</f>
        <v/>
      </c>
      <c r="MZ21">
        <f>IF(ROW()-3&gt;MAX($MY$4:$MY$40),"",INDEX($BR$4:$BR$40,MATCH(ROW()-3,$MY$4:$MY$40,0)))</f>
        <v/>
      </c>
      <c r="NA21">
        <f>IF(COUNTIF('Buyer Groups'!DG74:DR74,0)+COUNTIF('Buyer Groups'!DT74:EN74,0)&gt;0,0,1)</f>
        <v/>
      </c>
      <c r="NB21">
        <f>IF($BW$21="",FALSE,SUMPRODUCT(('Final Calculation Sheet'!$M$4:$M$40=$BW$21)*($NA$6:$NA$42=1))&gt;0)</f>
        <v/>
      </c>
      <c r="NC21">
        <f>$NC$20+--($NB21)</f>
        <v/>
      </c>
      <c r="ND21">
        <f>IF(ROW()-3&gt;MAX($NC$4:$NC$40),"",INDEX($BW$4:$BW$40,MATCH(ROW()-3,$NC$4:$NC$40,0)))</f>
        <v/>
      </c>
      <c r="NE21">
        <f>IF(COUNTIF('Buyer Groups'!DG74:DS74,0)+COUNTIF('Buyer Groups'!DU74:EN74,0)&gt;0,0,1)</f>
        <v/>
      </c>
      <c r="NF21">
        <f>IF($CB$21="",FALSE,SUMPRODUCT(('Final Calculation Sheet'!$N$4:$N$40=$CB$21)*($NE$6:$NE$42=1))&gt;0)</f>
        <v/>
      </c>
      <c r="NG21">
        <f>$NG$20+--($NF21)</f>
        <v/>
      </c>
      <c r="NH21">
        <f>IF(ROW()-3&gt;MAX($NG$4:$NG$40),"",INDEX($CB$4:$CB$40,MATCH(ROW()-3,$NG$4:$NG$40,0)))</f>
        <v/>
      </c>
      <c r="NI21">
        <f>IF(COUNTIF('Buyer Groups'!DG74:DT74,0)+COUNTIF('Buyer Groups'!DV74:EN74,0)&gt;0,0,1)</f>
        <v/>
      </c>
      <c r="NJ21">
        <f>IF($CG$21="",FALSE,SUMPRODUCT(('Final Calculation Sheet'!$O$4:$O$40=$CG$21)*($NI$6:$NI$42=1))&gt;0)</f>
        <v/>
      </c>
      <c r="NK21">
        <f>$NK$20+--($NJ21)</f>
        <v/>
      </c>
      <c r="NL21">
        <f>IF(ROW()-3&gt;MAX($NK$4:$NK$40),"",INDEX($CG$4:$CG$40,MATCH(ROW()-3,$NK$4:$NK$40,0)))</f>
        <v/>
      </c>
      <c r="NM21">
        <f>IF(COUNTIF('Buyer Groups'!DG74:DU74,0)+COUNTIF('Buyer Groups'!DW74:EN74,0)&gt;0,0,1)</f>
        <v/>
      </c>
      <c r="NN21">
        <f>IF($CL$21="",FALSE,SUMPRODUCT(('Final Calculation Sheet'!$P$4:$P$40=$CL$21)*($NM$6:$NM$42=1))&gt;0)</f>
        <v/>
      </c>
      <c r="NO21">
        <f>$NO$20+--($NN21)</f>
        <v/>
      </c>
      <c r="NP21">
        <f>IF(ROW()-3&gt;MAX($NO$4:$NO$40),"",INDEX($CL$4:$CL$40,MATCH(ROW()-3,$NO$4:$NO$40,0)))</f>
        <v/>
      </c>
      <c r="NQ21">
        <f>IF(COUNTIF('Buyer Groups'!DG74:DV74,0)+COUNTIF('Buyer Groups'!DX74:EN74,0)&gt;0,0,1)</f>
        <v/>
      </c>
      <c r="NR21">
        <f>IF($CQ$21="",FALSE,SUMPRODUCT(('Final Calculation Sheet'!$Q$4:$Q$40=$CQ$21)*($NQ$6:$NQ$42=1))&gt;0)</f>
        <v/>
      </c>
      <c r="NS21">
        <f>$NS$20+--($NR21)</f>
        <v/>
      </c>
      <c r="NT21">
        <f>IF(ROW()-3&gt;MAX($NS$4:$NS$40),"",INDEX($CQ$4:$CQ$40,MATCH(ROW()-3,$NS$4:$NS$40,0)))</f>
        <v/>
      </c>
      <c r="NU21">
        <f>IF(COUNTIF('Buyer Groups'!DG74:DW74,0)+COUNTIF('Buyer Groups'!DY74:EN74,0)&gt;0,0,1)</f>
        <v/>
      </c>
      <c r="NV21">
        <f>IF($CV$21="",FALSE,SUMPRODUCT(('Final Calculation Sheet'!$R$4:$R$40=$CV$21)*($NU$6:$NU$42=1))&gt;0)</f>
        <v/>
      </c>
      <c r="NW21">
        <f>$NW$20+--($NV21)</f>
        <v/>
      </c>
      <c r="NX21">
        <f>IF(ROW()-3&gt;MAX($NW$4:$NW$40),"",INDEX($CV$4:$CV$40,MATCH(ROW()-3,$NW$4:$NW$40,0)))</f>
        <v/>
      </c>
      <c r="NY21">
        <f>IF(COUNTIF('Buyer Groups'!DG74:DX74,0)+COUNTIF('Buyer Groups'!DZ74:EN74,0)&gt;0,0,1)</f>
        <v/>
      </c>
      <c r="NZ21">
        <f>IF($DA$21="",FALSE,SUMPRODUCT(('Final Calculation Sheet'!$S$4:$S$40=$DA$21)*($NY$6:$NY$42=1))&gt;0)</f>
        <v/>
      </c>
      <c r="OA21">
        <f>$OA$20+--($NZ21)</f>
        <v/>
      </c>
      <c r="OB21">
        <f>IF(ROW()-3&gt;MAX($OA$4:$OA$40),"",INDEX($DA$4:$DA$40,MATCH(ROW()-3,$OA$4:$OA$40,0)))</f>
        <v/>
      </c>
      <c r="OC21">
        <f>IF(COUNTIF('Buyer Groups'!DG74:DY74,0)+COUNTIF('Buyer Groups'!EA74:EN74,0)&gt;0,0,1)</f>
        <v/>
      </c>
      <c r="OD21">
        <f>IF($DF$21="",FALSE,SUMPRODUCT(('Final Calculation Sheet'!$T$4:$T$40=$DF$21)*($OC$6:$OC$42=1))&gt;0)</f>
        <v/>
      </c>
      <c r="OE21">
        <f>$OE$20+--($OD21)</f>
        <v/>
      </c>
      <c r="OF21">
        <f>IF(ROW()-3&gt;MAX($OE$4:$OE$40),"",INDEX($DF$4:$DF$40,MATCH(ROW()-3,$OE$4:$OE$40,0)))</f>
        <v/>
      </c>
      <c r="OG21">
        <f>IF(COUNTIF('Buyer Groups'!DG74:DZ74,0)+COUNTIF('Buyer Groups'!EB74:EN74,0)&gt;0,0,1)</f>
        <v/>
      </c>
      <c r="OH21">
        <f>IF($DK$21="",FALSE,SUMPRODUCT(('Final Calculation Sheet'!$U$4:$U$40=$DK$21)*($OG$6:$OG$42=1))&gt;0)</f>
        <v/>
      </c>
      <c r="OI21">
        <f>$OI$20+--($OH21)</f>
        <v/>
      </c>
      <c r="OJ21">
        <f>IF(ROW()-3&gt;MAX($OI$4:$OI$40),"",INDEX($DK$4:$DK$40,MATCH(ROW()-3,$OI$4:$OI$40,0)))</f>
        <v/>
      </c>
      <c r="OK21">
        <f>IF(COUNTIF('Buyer Groups'!DG74:EA74,0)+COUNTIF('Buyer Groups'!EC74:EN74,0)&gt;0,0,1)</f>
        <v/>
      </c>
      <c r="OL21">
        <f>IF($DP$21="",FALSE,SUMPRODUCT(('Final Calculation Sheet'!$V$4:$V$40=$DP$21)*($OK$6:$OK$42=1))&gt;0)</f>
        <v/>
      </c>
      <c r="OM21">
        <f>$OM$20+--($OL21)</f>
        <v/>
      </c>
      <c r="ON21">
        <f>IF(ROW()-3&gt;MAX($OM$4:$OM$40),"",INDEX($DP$4:$DP$40,MATCH(ROW()-3,$OM$4:$OM$40,0)))</f>
        <v/>
      </c>
      <c r="OO21">
        <f>IF(COUNTIF('Buyer Groups'!DG74:EB74,0)+COUNTIF('Buyer Groups'!ED74:EN74,0)&gt;0,0,1)</f>
        <v/>
      </c>
      <c r="OP21">
        <f>IF($DU$21="",FALSE,SUMPRODUCT(('Final Calculation Sheet'!$W$4:$W$40=$DU$21)*($OO$6:$OO$42=1))&gt;0)</f>
        <v/>
      </c>
      <c r="OQ21">
        <f>$OQ$20+--($OP21)</f>
        <v/>
      </c>
      <c r="OR21">
        <f>IF(ROW()-3&gt;MAX($OQ$4:$OQ$40),"",INDEX($DU$4:$DU$40,MATCH(ROW()-3,$OQ$4:$OQ$40,0)))</f>
        <v/>
      </c>
      <c r="OS21">
        <f>IF(COUNTIF('Buyer Groups'!DG74:EC74,0)+COUNTIF('Buyer Groups'!EE74:EN74,0)&gt;0,0,1)</f>
        <v/>
      </c>
      <c r="OT21">
        <f>IF($DZ$21="",FALSE,SUMPRODUCT(('Final Calculation Sheet'!$X$4:$X$40=$DZ$21)*($OS$6:$OS$42=1))&gt;0)</f>
        <v/>
      </c>
      <c r="OU21">
        <f>$OU$20+--($OT21)</f>
        <v/>
      </c>
      <c r="OV21">
        <f>IF(ROW()-3&gt;MAX($OU$4:$OU$40),"",INDEX($DZ$4:$DZ$40,MATCH(ROW()-3,$OU$4:$OU$40,0)))</f>
        <v/>
      </c>
      <c r="OW21">
        <f>IF(COUNTIF('Buyer Groups'!DG74:ED74,0)+COUNTIF('Buyer Groups'!EF74:EN74,0)&gt;0,0,1)</f>
        <v/>
      </c>
      <c r="OX21">
        <f>IF($EE$21="",FALSE,SUMPRODUCT(('Final Calculation Sheet'!$Y$4:$Y$40=$EE$21)*($OW$6:$OW$42=1))&gt;0)</f>
        <v/>
      </c>
      <c r="OY21">
        <f>$OY$20+--($OX21)</f>
        <v/>
      </c>
      <c r="OZ21">
        <f>IF(ROW()-3&gt;MAX($OY$4:$OY$40),"",INDEX($EE$4:$EE$40,MATCH(ROW()-3,$OY$4:$OY$40,0)))</f>
        <v/>
      </c>
      <c r="PA21">
        <f>IF(COUNTIF('Buyer Groups'!DG74:EE74,0)+COUNTIF('Buyer Groups'!EG74:EN74,0)&gt;0,0,1)</f>
        <v/>
      </c>
      <c r="PB21">
        <f>IF($EJ$21="",FALSE,SUMPRODUCT(('Final Calculation Sheet'!$Z$4:$Z$40=$EJ$21)*($PA$6:$PA$42=1))&gt;0)</f>
        <v/>
      </c>
      <c r="PC21">
        <f>$PC$20+--($PB21)</f>
        <v/>
      </c>
      <c r="PD21">
        <f>IF(ROW()-3&gt;MAX($PC$4:$PC$40),"",INDEX($EJ$4:$EJ$40,MATCH(ROW()-3,$PC$4:$PC$40,0)))</f>
        <v/>
      </c>
      <c r="PE21">
        <f>IF(COUNTIF('Buyer Groups'!DG74:EF74,0)+COUNTIF('Buyer Groups'!EH74:EN74,0)&gt;0,0,1)</f>
        <v/>
      </c>
      <c r="PF21">
        <f>IF($EO$21="",FALSE,SUMPRODUCT(('Final Calculation Sheet'!$AA$4:$AA$40=$EO$21)*($PE$6:$PE$42=1))&gt;0)</f>
        <v/>
      </c>
      <c r="PG21">
        <f>$PG$20+--($PF21)</f>
        <v/>
      </c>
      <c r="PH21">
        <f>IF(ROW()-3&gt;MAX($PG$4:$PG$40),"",INDEX($EO$4:$EO$40,MATCH(ROW()-3,$PG$4:$PG$40,0)))</f>
        <v/>
      </c>
      <c r="PI21">
        <f>IF(COUNTIF('Buyer Groups'!DG74:EG74,0)+COUNTIF('Buyer Groups'!EI74:EN74,0)&gt;0,0,1)</f>
        <v/>
      </c>
      <c r="PJ21">
        <f>IF($ET$21="",FALSE,SUMPRODUCT(('Final Calculation Sheet'!$AB$4:$AB$40=$ET$21)*($PI$6:$PI$42=1))&gt;0)</f>
        <v/>
      </c>
      <c r="PK21">
        <f>$PK$20+--($PJ21)</f>
        <v/>
      </c>
      <c r="PL21">
        <f>IF(ROW()-3&gt;MAX($PK$4:$PK$40),"",INDEX($ET$4:$ET$40,MATCH(ROW()-3,$PK$4:$PK$40,0)))</f>
        <v/>
      </c>
      <c r="PM21">
        <f>IF(COUNTIF('Buyer Groups'!DG74:EH74,0)+COUNTIF('Buyer Groups'!EJ74:EN74,0)&gt;0,0,1)</f>
        <v/>
      </c>
      <c r="PN21">
        <f>IF($EY$21="",FALSE,SUMPRODUCT(('Final Calculation Sheet'!$AC$4:$AC$40=$EY$21)*($PM$6:$PM$42=1))&gt;0)</f>
        <v/>
      </c>
      <c r="PO21">
        <f>$PO$20+--($PN21)</f>
        <v/>
      </c>
      <c r="PP21">
        <f>IF(ROW()-3&gt;MAX($PO$4:$PO$40),"",INDEX($EY$4:$EY$40,MATCH(ROW()-3,$PO$4:$PO$40,0)))</f>
        <v/>
      </c>
      <c r="PQ21">
        <f>IF(COUNTIF('Buyer Groups'!DG74:EI74,0)+COUNTIF('Buyer Groups'!EK74:EN74,0)&gt;0,0,1)</f>
        <v/>
      </c>
      <c r="PR21">
        <f>IF($FD$21="",FALSE,SUMPRODUCT(('Final Calculation Sheet'!$AD$4:$AD$40=$FD$21)*($PQ$6:$PQ$42=1))&gt;0)</f>
        <v/>
      </c>
      <c r="PS21">
        <f>$PS$20+--($PR21)</f>
        <v/>
      </c>
      <c r="PT21">
        <f>IF(ROW()-3&gt;MAX($PS$4:$PS$40),"",INDEX($FD$4:$FD$40,MATCH(ROW()-3,$PS$4:$PS$40,0)))</f>
        <v/>
      </c>
      <c r="PU21">
        <f>IF(COUNTIF('Buyer Groups'!DG74:EJ74,0)+COUNTIF('Buyer Groups'!EL74:EN74,0)&gt;0,0,1)</f>
        <v/>
      </c>
      <c r="PV21">
        <f>IF($FX$21="",FALSE,SUMPRODUCT((IF('Final Calculation Sheet'!$AD$4:$AD$40&lt;=5,"SETTLED","OUTSTANDING")=$FX$21)*($PU$6:$PU$42=1))&gt;0)</f>
        <v/>
      </c>
      <c r="PW21">
        <f>$PW$20+--($PV21)</f>
        <v/>
      </c>
      <c r="PX21">
        <f>IF(ROW()-3&gt;MAX($PW$4:$PW$40),"",INDEX($FX$4:$FX$40,MATCH(ROW()-3,$PW$4:$PW$40,0)))</f>
        <v/>
      </c>
      <c r="PY21">
        <f>IF(COUNTIF('Buyer Groups'!DG74:EK74,0)+COUNTIF('Buyer Groups'!EM74:EN74,0)&gt;0,0,1)</f>
        <v/>
      </c>
      <c r="PZ21">
        <f>IF($FI$21="",FALSE,SUMPRODUCT(('Final Calculation Sheet'!$AF$4:$AF$40=$FI$21)*($PY$6:$PY$42=1))&gt;0)</f>
        <v/>
      </c>
      <c r="QA21">
        <f>$QA$20+--($PZ21)</f>
        <v/>
      </c>
      <c r="QB21">
        <f>IF(ROW()-3&gt;MAX($QA$4:$QA$40),"",INDEX($FI$4:$FI$40,MATCH(ROW()-3,$QA$4:$QA$40,0)))</f>
        <v/>
      </c>
      <c r="QC21">
        <f>IF(COUNTIF('Buyer Groups'!DG74:EL74,0)+COUNTIF('Buyer Groups'!EN74:EN74,0)&gt;0,0,1)</f>
        <v/>
      </c>
      <c r="QD21">
        <f>IF($FN$21="",FALSE,SUMPRODUCT(('Final Calculation Sheet'!$AG$4:$AG$40=$FN$21)*($QC$6:$QC$42=1))&gt;0)</f>
        <v/>
      </c>
      <c r="QE21">
        <f>$QE$20+--($QD21)</f>
        <v/>
      </c>
      <c r="QF21">
        <f>IF(ROW()-3&gt;MAX($QE$4:$QE$40),"",INDEX($FN$4:$FN$40,MATCH(ROW()-3,$QE$4:$QE$40,0)))</f>
        <v/>
      </c>
      <c r="QG21">
        <f>IF(COUNTIF('Buyer Groups'!DG74:EM74,0)&gt;0,0,1)</f>
        <v/>
      </c>
      <c r="QH21">
        <f>IF($FS$21="",FALSE,SUMPRODUCT(('Final Calculation Sheet'!$AH$4:$AH$40=$FS$21)*($QG$6:$QG$42=1))&gt;0)</f>
        <v/>
      </c>
      <c r="QI21">
        <f>$QI$20+--($QH21)</f>
        <v/>
      </c>
      <c r="QJ21">
        <f>IF(ROW()-3&gt;MAX($QI$4:$QI$40),"",INDEX($FS$4:$FS$40,MATCH(ROW()-3,$QI$4:$QI$40,0)))</f>
        <v/>
      </c>
      <c r="QK21" t="str">
        <f>IF('Final Calculation Sheet'!$AH$21="","",'Final Calculation Sheet'!$AH$21)</f>
      </c>
      <c r="QL21" t="str">
        <f>IF(QK21="","",COUNTIFS(QK$4:QK$40,"&lt;"&amp;QK21,QK$4:QK$40,"&lt;&gt;"&amp;"")+COUNTIF(QK$4:QK21,QK21))</f>
      </c>
      <c r="QM21" t="str">
        <f>IF(ROW()-3&gt;COUNTIF(QK$4:QK$40,"&lt;&gt;"&amp;""),"",INDEX(QK$4:QK$40,MATCH(ROW()-3,QL$4:QL$40,0)))</f>
      </c>
      <c r="QN21" t="str">
        <f>=QN20+F(AND(QM21&lt;&gt;"",COUNTIF(QM$4:QM21,QM21)=1),1,0)</f>
      </c>
      <c r="QO21" t="str">
        <f>IF(ROW()-3&gt;MAX(QN$4:QN$40),"",INDEX(QM$4:QM$40,MATCH(ROW()-3,QN$4:QN$40,0)))</f>
      </c>
      <c r="QP21" t="str">
        <f>IF(COUNTIF('Final Calculation Sheet'!$AM21:$BS21,0)&gt;0,0,1)</f>
      </c>
      <c r="QQ21" t="str">
        <f>IF($AI$21="",FALSE,SUMPRODUCT(('Final Calculation Sheet'!$A$4:$A$40=$AI$21)*($QP$4:$QP$40=1))&gt;0)</f>
      </c>
      <c r="QR21" t="str">
        <f>=$QR20+--($QQ21)</f>
      </c>
      <c r="QS21" t="str">
        <f>IF(ROW()-3&gt;MAX($QR$4:$QR$40),"",INDEX($AI$4:$AI$40,MATCH(ROW()-3,$QR$4:$QR$40,0)))</f>
      </c>
      <c r="QT21" t="str">
        <f>IF(COUNTIF('Final Calculation Sheet'!$AL21:$AL21,0)+COUNTIF('Final Calculation Sheet'!$AN21:$BS21,0)&gt;0,0,1)</f>
      </c>
      <c r="QU21" t="str">
        <f>IF($Y$21="",FALSE,SUMPRODUCT(('Final Calculation Sheet'!$B$4:$B$40=$Y$21)*($QT$4:$QT$40=1))&gt;0)</f>
      </c>
      <c r="QV21" t="str">
        <f>=$QV20+--($QU21)</f>
      </c>
      <c r="QW21" t="str">
        <f>IF(ROW()-3&gt;MAX($QV$4:$QV$40),"",INDEX($Y$4:$Y$40,MATCH(ROW()-3,$QV$4:$QV$40,0)))</f>
      </c>
      <c r="QX21" t="str">
        <f>IF(COUNTIF('Final Calculation Sheet'!$AL21:$AM21,0)+COUNTIF('Final Calculation Sheet'!$AO21:$BS21,0)&gt;0,0,1)</f>
      </c>
      <c r="QY21" t="str">
        <f>IF($AS$21="",FALSE,SUMPRODUCT(('Final Calculation Sheet'!$C$4:$C$40=$AS$21)*($QX$4:$QX$40=1))&gt;0)</f>
      </c>
      <c r="QZ21" t="str">
        <f>=$QZ20+--($QY21)</f>
      </c>
      <c r="RA21" t="str">
        <f>IF(ROW()-3&gt;MAX($QZ$4:$QZ$40),"",INDEX($AS$4:$AS$40,MATCH(ROW()-3,$QZ$4:$QZ$40,0)))</f>
      </c>
      <c r="RB21" t="str">
        <f>IF(COUNTIF('Final Calculation Sheet'!$AL21:$AN21,0)+COUNTIF('Final Calculation Sheet'!$AP21:$BS21,0)&gt;0,0,1)</f>
      </c>
      <c r="RC21" t="str">
        <f>IF($AD$21="",FALSE,SUMPRODUCT(('Final Calculation Sheet'!$D$4:$D$40=$AD$21)*($RB$4:$RB$40=1))&gt;0)</f>
      </c>
      <c r="RD21" t="str">
        <f>=$RD20+--($RC21)</f>
      </c>
      <c r="RE21" t="str">
        <f>IF(ROW()-3&gt;MAX($RD$4:$RD$40),"",INDEX($AD$4:$AD$40,MATCH(ROW()-3,$RD$4:$RD$40,0)))</f>
      </c>
      <c r="RF21" t="str">
        <f>IF(COUNTIF('Final Calculation Sheet'!$AL21:$AO21,0)+COUNTIF('Final Calculation Sheet'!$AQ21:$BS21,0)&gt;0,0,1)</f>
      </c>
      <c r="RG21" t="str">
        <f>IF($AN$21="",FALSE,SUMPRODUCT(('Final Calculation Sheet'!$E$4:$E$40=$AN$21)*($RF$4:$RF$40=1))&gt;0)</f>
      </c>
      <c r="RH21" t="str">
        <f>=$RH20+--($RG21)</f>
      </c>
      <c r="RI21" t="str">
        <f>IF(ROW()-3&gt;MAX($RH$4:$RH$40),"",INDEX($AN$4:$AN$40,MATCH(ROW()-3,$RH$4:$RH$40,0)))</f>
      </c>
      <c r="RJ21" t="str">
        <f>IF(COUNTIF('Final Calculation Sheet'!$AL21:$AP21,0)+COUNTIF('Final Calculation Sheet'!$AR21:$BS21,0)&gt;0,0,1)</f>
      </c>
      <c r="RK21" t="str">
        <f>IF($O$21="",FALSE,SUMPRODUCT(('Final Calculation Sheet'!$F$4:$F$40=$O$21)*($RJ$4:$RJ$40=1))&gt;0)</f>
      </c>
      <c r="RL21" t="str">
        <f>=$RL20+--($RK21)</f>
      </c>
      <c r="RM21" t="str">
        <f>IF(ROW()-3&gt;MAX($RL$4:$RL$40),"",INDEX($O$4:$O$40,MATCH(ROW()-3,$RL$4:$RL$40,0)))</f>
      </c>
      <c r="RN21" t="str">
        <f>IF(COUNTIF('Final Calculation Sheet'!$AL21:$AQ21,0)+COUNTIF('Final Calculation Sheet'!$AS21:$BS21,0)&gt;0,0,1)</f>
      </c>
      <c r="RO21" t="str">
        <f>IF($T$21="",FALSE,SUMPRODUCT(('Final Calculation Sheet'!$G$4:$G$40=$T$21)*($RN$4:$RN$40=1))&gt;0)</f>
      </c>
      <c r="RP21" t="str">
        <f>=$RP20+--($RO21)</f>
      </c>
      <c r="RQ21" t="str">
        <f>IF(ROW()-3&gt;MAX($RP$4:$RP$40),"",INDEX($T$4:$T$40,MATCH(ROW()-3,$RP$4:$RP$40,0)))</f>
      </c>
      <c r="RR21" t="str">
        <f>IF(COUNTIF('Final Calculation Sheet'!$AL21:$AR21,0)+COUNTIF('Final Calculation Sheet'!$AT21:$BS21,0)&gt;0,0,1)</f>
      </c>
      <c r="RS21" t="str">
        <f>IF($AX$21="",FALSE,SUMPRODUCT(('Final Calculation Sheet'!$H$4:$H$40=$AX$21)*($RR$4:$RR$40=1))&gt;0)</f>
      </c>
      <c r="RT21" t="str">
        <f>=$RT20+--($RS21)</f>
      </c>
      <c r="RU21" t="str">
        <f>IF(ROW()-3&gt;MAX($RT$4:$RT$40),"",INDEX($AX$4:$AX$40,MATCH(ROW()-3,$RT$4:$RT$40,0)))</f>
      </c>
      <c r="RV21" t="str">
        <f>IF(COUNTIF('Final Calculation Sheet'!$AL21:$AS21,0)+COUNTIF('Final Calculation Sheet'!$AU21:$BS21,0)&gt;0,0,1)</f>
      </c>
      <c r="RW21" t="str">
        <f>IF($BC$21="",FALSE,SUMPRODUCT(('Final Calculation Sheet'!$I$4:$I$40=$BC$21)*($RV$4:$RV$40=1))&gt;0)</f>
      </c>
      <c r="RX21" t="str">
        <f>=$RX20+--($RW21)</f>
      </c>
      <c r="RY21" t="str">
        <f>IF(ROW()-3&gt;MAX($RX$4:$RX$40),"",INDEX($BC$4:$BC$40,MATCH(ROW()-3,$RX$4:$RX$40,0)))</f>
      </c>
      <c r="RZ21" t="str">
        <f>IF(COUNTIF('Final Calculation Sheet'!$AL21:$AT21,0)+COUNTIF('Final Calculation Sheet'!$AV21:$BS21,0)&gt;0,0,1)</f>
      </c>
      <c r="SA21" t="str">
        <f>IF($BH$21="",FALSE,SUMPRODUCT(('Final Calculation Sheet'!$J$4:$J$40=$BH$21)*($RZ$4:$RZ$40=1))&gt;0)</f>
      </c>
      <c r="SB21" t="str">
        <f>=$SB20+--($SA21)</f>
      </c>
      <c r="SC21" t="str">
        <f>IF(ROW()-3&gt;MAX($SB$4:$SB$40),"",INDEX($BH$4:$BH$40,MATCH(ROW()-3,$SB$4:$SB$40,0)))</f>
      </c>
      <c r="SD21" t="str">
        <f>IF(COUNTIF('Final Calculation Sheet'!$AL21:$AU21,0)+COUNTIF('Final Calculation Sheet'!$AW21:$BS21,0)&gt;0,0,1)</f>
      </c>
      <c r="SE21" t="str">
        <f>IF($BM$21="",FALSE,SUMPRODUCT(('Final Calculation Sheet'!$K$4:$K$40=$BM$21)*($SD$4:$SD$40=1))&gt;0)</f>
      </c>
      <c r="SF21" t="str">
        <f>=$SF20+--($SE21)</f>
      </c>
      <c r="SG21" t="str">
        <f>IF(ROW()-3&gt;MAX($SF$4:$SF$40),"",INDEX($BM$4:$BM$40,MATCH(ROW()-3,$SF$4:$SF$40,0)))</f>
      </c>
      <c r="SH21" t="str">
        <f>IF(COUNTIF('Final Calculation Sheet'!$AL21:$AV21,0)+COUNTIF('Final Calculation Sheet'!$AX21:$BS21,0)&gt;0,0,1)</f>
      </c>
      <c r="SI21" t="str">
        <f>IF($BR$21="",FALSE,SUMPRODUCT(('Final Calculation Sheet'!$L$4:$L$40=$BR$21)*($SH$4:$SH$40=1))&gt;0)</f>
      </c>
      <c r="SJ21" t="str">
        <f>=$SJ20+--($SI21)</f>
      </c>
      <c r="SK21" t="str">
        <f>IF(ROW()-3&gt;MAX($SJ$4:$SJ$40),"",INDEX($BR$4:$BR$40,MATCH(ROW()-3,$SJ$4:$SJ$40,0)))</f>
      </c>
      <c r="SL21" t="str">
        <f>IF(COUNTIF('Final Calculation Sheet'!$AL21:$AW21,0)+COUNTIF('Final Calculation Sheet'!$AY21:$BS21,0)&gt;0,0,1)</f>
      </c>
      <c r="SM21" t="str">
        <f>IF($BW$21="",FALSE,SUMPRODUCT(('Final Calculation Sheet'!$M$4:$M$40=$BW$21)*($SL$4:$SL$40=1))&gt;0)</f>
      </c>
      <c r="SN21" t="str">
        <f>=$SN20+--($SM21)</f>
      </c>
      <c r="SO21" t="str">
        <f>IF(ROW()-3&gt;MAX($SN$4:$SN$40),"",INDEX($BW$4:$BW$40,MATCH(ROW()-3,$SN$4:$SN$40,0)))</f>
      </c>
      <c r="SP21" t="str">
        <f>IF(COUNTIF('Final Calculation Sheet'!$AL21:$AX21,0)+COUNTIF('Final Calculation Sheet'!$AZ21:$BS21,0)&gt;0,0,1)</f>
      </c>
      <c r="SQ21" t="str">
        <f>IF($CB$21="",FALSE,SUMPRODUCT(('Final Calculation Sheet'!$N$4:$N$40=$CB$21)*($SP$4:$SP$40=1))&gt;0)</f>
      </c>
      <c r="SR21" t="str">
        <f>=$SR20+--($SQ21)</f>
      </c>
      <c r="SS21" t="str">
        <f>IF(ROW()-3&gt;MAX($SR$4:$SR$40),"",INDEX($CB$4:$CB$40,MATCH(ROW()-3,$SR$4:$SR$40,0)))</f>
      </c>
      <c r="ST21" t="str">
        <f>IF(COUNTIF('Final Calculation Sheet'!$AL21:$AY21,0)+COUNTIF('Final Calculation Sheet'!$BA21:$BS21,0)&gt;0,0,1)</f>
      </c>
      <c r="SU21" t="str">
        <f>IF($CG$21="",FALSE,SUMPRODUCT(('Final Calculation Sheet'!$O$4:$O$40=$CG$21)*($ST$4:$ST$40=1))&gt;0)</f>
      </c>
      <c r="SV21" t="str">
        <f>=$SV20+--($SU21)</f>
      </c>
      <c r="SW21" t="str">
        <f>IF(ROW()-3&gt;MAX($SV$4:$SV$40),"",INDEX($CG$4:$CG$40,MATCH(ROW()-3,$SV$4:$SV$40,0)))</f>
      </c>
      <c r="SX21" t="str">
        <f>IF(COUNTIF('Final Calculation Sheet'!$AL21:$AZ21,0)+COUNTIF('Final Calculation Sheet'!$BB21:$BS21,0)&gt;0,0,1)</f>
      </c>
      <c r="SY21" t="str">
        <f>IF($CL$21="",FALSE,SUMPRODUCT(('Final Calculation Sheet'!$P$4:$P$40=$CL$21)*($SX$4:$SX$40=1))&gt;0)</f>
      </c>
      <c r="SZ21" t="str">
        <f>=$SZ20+--($SY21)</f>
      </c>
      <c r="TA21" t="str">
        <f>IF(ROW()-3&gt;MAX($SZ$4:$SZ$40),"",INDEX($CL$4:$CL$40,MATCH(ROW()-3,$SZ$4:$SZ$40,0)))</f>
      </c>
      <c r="TB21" t="str">
        <f>IF(COUNTIF('Final Calculation Sheet'!$AL21:$BA21,0)+COUNTIF('Final Calculation Sheet'!$BC21:$BS21,0)&gt;0,0,1)</f>
      </c>
      <c r="TC21" t="str">
        <f>IF($CQ$21="",FALSE,SUMPRODUCT(('Final Calculation Sheet'!$Q$4:$Q$40=$CQ$21)*($TB$4:$TB$40=1))&gt;0)</f>
      </c>
      <c r="TD21" t="str">
        <f>=$TD20+--($TC21)</f>
      </c>
      <c r="TE21" t="str">
        <f>IF(ROW()-3&gt;MAX($TD$4:$TD$40),"",INDEX($CQ$4:$CQ$40,MATCH(ROW()-3,$TD$4:$TD$40,0)))</f>
      </c>
      <c r="TF21" t="str">
        <f>IF(COUNTIF('Final Calculation Sheet'!$AL21:$BB21,0)+COUNTIF('Final Calculation Sheet'!$BD21:$BS21,0)&gt;0,0,1)</f>
      </c>
      <c r="TG21" t="str">
        <f>IF($CV$21="",FALSE,SUMPRODUCT(('Final Calculation Sheet'!$R$4:$R$40=$CV$21)*($TF$4:$TF$40=1))&gt;0)</f>
      </c>
      <c r="TH21" t="str">
        <f>=$TH20+--($TG21)</f>
      </c>
      <c r="TI21" t="str">
        <f>IF(ROW()-3&gt;MAX($TH$4:$TH$40),"",INDEX($CV$4:$CV$40,MATCH(ROW()-3,$TH$4:$TH$40,0)))</f>
      </c>
      <c r="TJ21" t="str">
        <f>IF(COUNTIF('Final Calculation Sheet'!$AL21:$BC21,0)+COUNTIF('Final Calculation Sheet'!$BE21:$BS21,0)&gt;0,0,1)</f>
      </c>
      <c r="TK21" t="str">
        <f>IF($DA$21="",FALSE,SUMPRODUCT(('Final Calculation Sheet'!$S$4:$S$40=$DA$21)*($TJ$4:$TJ$40=1))&gt;0)</f>
      </c>
      <c r="TL21" t="str">
        <f>=$TL20+--($TK21)</f>
      </c>
      <c r="TM21" t="str">
        <f>IF(ROW()-3&gt;MAX($TL$4:$TL$40),"",INDEX($DA$4:$DA$40,MATCH(ROW()-3,$TL$4:$TL$40,0)))</f>
      </c>
      <c r="TN21" t="str">
        <f>IF(COUNTIF('Final Calculation Sheet'!$AL21:$BD21,0)+COUNTIF('Final Calculation Sheet'!$BF21:$BS21,0)&gt;0,0,1)</f>
      </c>
      <c r="TO21" t="str">
        <f>IF($DF$21="",FALSE,SUMPRODUCT(('Final Calculation Sheet'!$T$4:$T$40=$DF$21)*($TN$4:$TN$40=1))&gt;0)</f>
      </c>
      <c r="TP21" t="str">
        <f>=$TP20+--($TO21)</f>
      </c>
      <c r="TQ21" t="str">
        <f>IF(ROW()-3&gt;MAX($TP$4:$TP$40),"",INDEX($DF$4:$DF$40,MATCH(ROW()-3,$TP$4:$TP$40,0)))</f>
      </c>
      <c r="TR21" t="str">
        <f>IF(COUNTIF('Final Calculation Sheet'!$AL21:$BE21,0)+COUNTIF('Final Calculation Sheet'!$BG21:$BS21,0)&gt;0,0,1)</f>
      </c>
      <c r="TS21" t="str">
        <f>IF($DK$21="",FALSE,SUMPRODUCT(('Final Calculation Sheet'!$U$4:$U$40=$DK$21)*($TR$4:$TR$40=1))&gt;0)</f>
      </c>
      <c r="TT21" t="str">
        <f>=$TT20+--($TS21)</f>
      </c>
      <c r="TU21" t="str">
        <f>IF(ROW()-3&gt;MAX($TT$4:$TT$40),"",INDEX($DK$4:$DK$40,MATCH(ROW()-3,$TT$4:$TT$40,0)))</f>
      </c>
      <c r="TV21" t="str">
        <f>IF(COUNTIF('Final Calculation Sheet'!$AL21:$BF21,0)+COUNTIF('Final Calculation Sheet'!$BH21:$BS21,0)&gt;0,0,1)</f>
      </c>
      <c r="TW21" t="str">
        <f>IF($DP$21="",FALSE,SUMPRODUCT(('Final Calculation Sheet'!$V$4:$V$40=$DP$21)*($TV$4:$TV$40=1))&gt;0)</f>
      </c>
      <c r="TX21" t="str">
        <f>=$TX20+--($TW21)</f>
      </c>
      <c r="TY21" t="str">
        <f>IF(ROW()-3&gt;MAX($TX$4:$TX$40),"",INDEX($DP$4:$DP$40,MATCH(ROW()-3,$TX$4:$TX$40,0)))</f>
      </c>
      <c r="TZ21" t="str">
        <f>IF(COUNTIF('Final Calculation Sheet'!$AL21:$BG21,0)+COUNTIF('Final Calculation Sheet'!$BI21:$BS21,0)&gt;0,0,1)</f>
      </c>
      <c r="UA21" t="str">
        <f>IF($DU$21="",FALSE,SUMPRODUCT(('Final Calculation Sheet'!$W$4:$W$40=$DU$21)*($TZ$4:$TZ$40=1))&gt;0)</f>
      </c>
      <c r="UB21" t="str">
        <f>=$UB20+--($UA21)</f>
      </c>
      <c r="UC21" t="str">
        <f>IF(ROW()-3&gt;MAX($UB$4:$UB$40),"",INDEX($DU$4:$DU$40,MATCH(ROW()-3,$UB$4:$UB$40,0)))</f>
      </c>
      <c r="UD21" t="str">
        <f>IF(COUNTIF('Final Calculation Sheet'!$AL21:$BH21,0)+COUNTIF('Final Calculation Sheet'!$BJ21:$BS21,0)&gt;0,0,1)</f>
      </c>
      <c r="UE21" t="str">
        <f>IF($DZ$21="",FALSE,SUMPRODUCT(('Final Calculation Sheet'!$X$4:$X$40=$DZ$21)*($UD$4:$UD$40=1))&gt;0)</f>
      </c>
      <c r="UF21" t="str">
        <f>=$UF20+--($UE21)</f>
      </c>
      <c r="UG21" t="str">
        <f>IF(ROW()-3&gt;MAX($UF$4:$UF$40),"",INDEX($DZ$4:$DZ$40,MATCH(ROW()-3,$UF$4:$UF$40,0)))</f>
      </c>
      <c r="UH21" t="str">
        <f>IF(COUNTIF('Final Calculation Sheet'!$AL21:$BI21,0)+COUNTIF('Final Calculation Sheet'!$BK21:$BS21,0)&gt;0,0,1)</f>
      </c>
      <c r="UI21" t="str">
        <f>IF($EE$21="",FALSE,SUMPRODUCT(('Final Calculation Sheet'!$Y$4:$Y$40=$EE$21)*($UH$4:$UH$40=1))&gt;0)</f>
      </c>
      <c r="UJ21" t="str">
        <f>=$UJ20+--($UI21)</f>
      </c>
      <c r="UK21" t="str">
        <f>IF(ROW()-3&gt;MAX($UJ$4:$UJ$40),"",INDEX($EE$4:$EE$40,MATCH(ROW()-3,$UJ$4:$UJ$40,0)))</f>
      </c>
      <c r="UL21" t="str">
        <f>IF(COUNTIF('Final Calculation Sheet'!$AL21:$BJ21,0)+COUNTIF('Final Calculation Sheet'!$BL21:$BS21,0)&gt;0,0,1)</f>
      </c>
      <c r="UM21" t="str">
        <f>IF($EJ$21="",FALSE,SUMPRODUCT(('Final Calculation Sheet'!$Z$4:$Z$40=$EJ$21)*($UL$4:$UL$40=1))&gt;0)</f>
      </c>
      <c r="UN21" t="str">
        <f>=$UN20+--($UM21)</f>
      </c>
      <c r="UO21" t="str">
        <f>IF(ROW()-3&gt;MAX($UN$4:$UN$40),"",INDEX($EJ$4:$EJ$40,MATCH(ROW()-3,$UN$4:$UN$40,0)))</f>
      </c>
      <c r="UP21" t="str">
        <f>IF(COUNTIF('Final Calculation Sheet'!$AL21:$BK21,0)+COUNTIF('Final Calculation Sheet'!$BM21:$BS21,0)&gt;0,0,1)</f>
      </c>
      <c r="UQ21" t="str">
        <f>IF($EO$21="",FALSE,SUMPRODUCT(('Final Calculation Sheet'!$AA$4:$AA$40=$EO$21)*($UP$4:$UP$40=1))&gt;0)</f>
      </c>
      <c r="UR21" t="str">
        <f>=$UR20+--($UQ21)</f>
      </c>
      <c r="US21" t="str">
        <f>IF(ROW()-3&gt;MAX($UR$4:$UR$40),"",INDEX($EO$4:$EO$40,MATCH(ROW()-3,$UR$4:$UR$40,0)))</f>
      </c>
      <c r="UT21" t="str">
        <f>IF(COUNTIF('Final Calculation Sheet'!$AL21:$BL21,0)+COUNTIF('Final Calculation Sheet'!$BN21:$BS21,0)&gt;0,0,1)</f>
      </c>
      <c r="UU21" t="str">
        <f>IF($ET$21="",FALSE,SUMPRODUCT(('Final Calculation Sheet'!$AB$4:$AB$40=$ET$21)*($UT$4:$UT$40=1))&gt;0)</f>
      </c>
      <c r="UV21" t="str">
        <f>=$UV20+--($UU21)</f>
      </c>
      <c r="UW21" t="str">
        <f>IF(ROW()-3&gt;MAX($UV$4:$UV$40),"",INDEX($ET$4:$ET$40,MATCH(ROW()-3,$UV$4:$UV$40,0)))</f>
      </c>
      <c r="UX21" t="str">
        <f>IF(COUNTIF('Final Calculation Sheet'!$AL21:$BM21,0)+COUNTIF('Final Calculation Sheet'!$BO21:$BS21,0)&gt;0,0,1)</f>
      </c>
      <c r="UY21" t="str">
        <f>IF($EY$21="",FALSE,SUMPRODUCT(('Final Calculation Sheet'!$AC$4:$AC$40=$EY$21)*($UX$4:$UX$40=1))&gt;0)</f>
      </c>
      <c r="UZ21" t="str">
        <f>=$UZ20+--($UY21)</f>
      </c>
      <c r="VA21" t="str">
        <f>IF(ROW()-3&gt;MAX($UZ$4:$UZ$40),"",INDEX($EY$4:$EY$40,MATCH(ROW()-3,$UZ$4:$UZ$40,0)))</f>
      </c>
      <c r="VB21" t="str">
        <f>IF(COUNTIF('Final Calculation Sheet'!$AL21:$BN21,0)+COUNTIF('Final Calculation Sheet'!$BP21:$BS21,0)&gt;0,0,1)</f>
      </c>
      <c r="VC21" t="str">
        <f>IF($FD$21="",FALSE,SUMPRODUCT(('Final Calculation Sheet'!$AD$4:$AD$40=$FD$21)*($VB$4:$VB$40=1))&gt;0)</f>
      </c>
      <c r="VD21" t="str">
        <f>=$VD20+--($VC21)</f>
      </c>
      <c r="VE21" t="str">
        <f>IF(ROW()-3&gt;MAX($VD$4:$VD$40),"",INDEX($FD$4:$FD$40,MATCH(ROW()-3,$VD$4:$VD$40,0)))</f>
      </c>
      <c r="VF21" t="str">
        <f>IF(COUNTIF('Final Calculation Sheet'!$AL21:$BO21,0)+COUNTIF('Final Calculation Sheet'!$BQ21:$BS21,0)&gt;0,0,1)</f>
      </c>
      <c r="VG21" t="str">
        <f>IF($FI$21="",FALSE,SUMPRODUCT(('Final Calculation Sheet'!$AE$4:$AE$40=$FI$21)*($VF$4:$VF$40=1))&gt;0)</f>
      </c>
      <c r="VH21" t="str">
        <f>=$VH20+--($VG21)</f>
      </c>
      <c r="VI21" t="str">
        <f>IF(ROW()-3&gt;MAX($VH$4:$VH$40),"",INDEX($FI$4:$FI$40,MATCH(ROW()-3,$VH$4:$VH$40,0)))</f>
      </c>
      <c r="VJ21" t="str">
        <f>IF(COUNTIF('Final Calculation Sheet'!$AL21:$BP21,0)+COUNTIF('Final Calculation Sheet'!$BR21:$BS21,0)&gt;0,0,1)</f>
      </c>
      <c r="VK21" t="str">
        <f>IF($FN$21="",FALSE,SUMPRODUCT(('Final Calculation Sheet'!$AF$4:$AF$40=$FN$21)*($VJ$4:$VJ$40=1))&gt;0)</f>
      </c>
      <c r="VL21" t="str">
        <f>=$VL20+--($VK21)</f>
      </c>
      <c r="VM21" t="str">
        <f>IF(ROW()-3&gt;MAX($VL$4:$VL$40),"",INDEX($FN$4:$FN$40,MATCH(ROW()-3,$VL$4:$VL$40,0)))</f>
      </c>
      <c r="VN21" t="str">
        <f>IF(COUNTIF('Final Calculation Sheet'!$AL21:$BQ21,0)+COUNTIF('Final Calculation Sheet'!$BS21:$BS21,0)&gt;0,0,1)</f>
      </c>
      <c r="VO21" t="str">
        <f>IF($FS$21="",FALSE,SUMPRODUCT(('Final Calculation Sheet'!$AG$4:$AG$40=$FS$21)*($VN$4:$VN$40=1))&gt;0)</f>
      </c>
      <c r="VP21" t="str">
        <f>=$VP20+--($VO21)</f>
      </c>
      <c r="VQ21" t="str">
        <f>IF(ROW()-3&gt;MAX($VP$4:$VP$40),"",INDEX($FS$4:$FS$40,MATCH(ROW()-3,$VP$4:$VP$40,0)))</f>
      </c>
      <c r="VR21" t="str">
        <f>IF(COUNTIF('Final Calculation Sheet'!$AL21:$BR21,0)&gt;0,0,1)</f>
      </c>
      <c r="VS21" t="str">
        <f>IF($QO$21="",FALSE,SUMPRODUCT(('Final Calculation Sheet'!$AH$4:$AH$40=$QO$21)*($VR$4:$VR$40=1))&gt;0)</f>
      </c>
      <c r="VT21" t="str">
        <f>=$VT20+--($VS21)</f>
      </c>
      <c r="VU21" t="str">
        <f>IF(ROW()-3&gt;MAX($VT$4:$VT$40),"",INDEX($QO$4:$QO$40,MATCH(ROW()-3,$VT$4:$VT$40,0)))</f>
      </c>
    </row>
    <row r="22">
      <c r="A22">
        <f>IF('Final Calculation Sheet'!$F$22="","",'Final Calculation Sheet'!$F$22)</f>
        <v/>
      </c>
      <c r="B22">
        <f>IF(A22="","",COUNTIFS(A$4:A$114,"&lt;"&amp;A22,A$4:A$114,"&lt;&gt;"&amp;"")+COUNTIF(A$4:A22,A22))</f>
        <v/>
      </c>
      <c r="C22">
        <f>IF(ROW()-3&gt;COUNTIF(A$4:A$114,"&lt;&gt;"&amp;""),"",INDEX(A$4:A$114,MATCH(ROW()-3,B$4:B$114,0)))</f>
        <v/>
      </c>
      <c r="D22">
        <f>D21+IF(AND(C22&lt;&gt;"",COUNTIF(C$4:C22,C22)=1),1,0)</f>
        <v/>
      </c>
      <c r="E22">
        <f>IF(ROW()-3&gt;MAX(D$4:D$114),"",INDEX(C$4:C$114,MATCH(ROW()-3,D$4:D$114,0)))</f>
        <v/>
      </c>
      <c r="F22">
        <f>ROW()-3</f>
        <v/>
      </c>
      <c r="G22">
        <f>IF(F22="","",COUNTIFS(F$4:F$40,"&lt;"&amp;F22,F$4:F$40,"&lt;&gt;"&amp;"")+COUNTIF(F$4:F22,F22))</f>
        <v/>
      </c>
      <c r="H22">
        <f>IF(ROW()-3&gt;COUNTIF(F$4:F$40,"&lt;&gt;"&amp;""),"",INDEX(F$4:F$40,MATCH(ROW()-3,G$4:G$40,0)))</f>
        <v/>
      </c>
      <c r="I22">
        <f>I21+IF(AND(H22&lt;&gt;"",COUNTIF(H$4:H22,H22)=1),1,0)</f>
        <v/>
      </c>
      <c r="J22">
        <f>IF(ROW()-3&gt;MAX(I$4:I$40),"",INDEX(H$4:H$40,MATCH(ROW()-3,I$4:I$40,0)))</f>
        <v/>
      </c>
      <c r="K22">
        <f>IF('Final Calculation Sheet'!$F$22="","",'Final Calculation Sheet'!$F$22)</f>
        <v/>
      </c>
      <c r="L22">
        <f>IF(K22="","",COUNTIFS(K$4:K$40,"&lt;"&amp;K22,K$4:K$40,"&lt;&gt;"&amp;"")+COUNTIF(K$4:K22,K22))</f>
        <v/>
      </c>
      <c r="M22">
        <f>IF(ROW()-3&gt;COUNTIF(K$4:K$40,"&lt;&gt;"&amp;""),"",INDEX(K$4:K$40,MATCH(ROW()-3,L$4:L$40,0)))</f>
        <v/>
      </c>
      <c r="N22">
        <f>N21+IF(AND(M22&lt;&gt;"",COUNTIF(M$4:M22,M22)=1),1,0)</f>
        <v/>
      </c>
      <c r="O22">
        <f>IF(ROW()-3&gt;MAX(N$4:N$40),"",INDEX(M$4:M$40,MATCH(ROW()-3,N$4:N$40,0)))</f>
        <v/>
      </c>
      <c r="P22">
        <f>IF('Final Calculation Sheet'!$G$22="","",'Final Calculation Sheet'!$G$22)</f>
        <v/>
      </c>
      <c r="Q22">
        <f>IF(P22="","",COUNTIFS(P$4:P$40,"&lt;"&amp;P22,P$4:P$40,"&lt;&gt;"&amp;"")+COUNTIF(P$4:P22,P22))</f>
        <v/>
      </c>
      <c r="R22">
        <f>IF(ROW()-3&gt;COUNTIF(P$4:P$40,"&lt;&gt;"&amp;""),"",INDEX(P$4:P$40,MATCH(ROW()-3,Q$4:Q$40,0)))</f>
        <v/>
      </c>
      <c r="S22">
        <f>S21+IF(AND(R22&lt;&gt;"",COUNTIF(R$4:R22,R22)=1),1,0)</f>
        <v/>
      </c>
      <c r="T22">
        <f>IF(ROW()-3&gt;MAX(S$4:S$40),"",INDEX(R$4:R$40,MATCH(ROW()-3,S$4:S$40,0)))</f>
        <v/>
      </c>
      <c r="U22">
        <f>IF('Final Calculation Sheet'!$B$22="","",'Final Calculation Sheet'!$B$22)</f>
        <v/>
      </c>
      <c r="V22">
        <f>IF(U22="","",COUNTIFS(U$4:U$40,"&lt;"&amp;U22,U$4:U$40,"&lt;&gt;"&amp;"")+COUNTIF(U$4:U22,U22))</f>
        <v/>
      </c>
      <c r="W22">
        <f>IF(ROW()-3&gt;COUNTIF(U$4:U$40,"&lt;&gt;"&amp;""),"",INDEX(U$4:U$40,MATCH(ROW()-3,V$4:V$40,0)))</f>
        <v/>
      </c>
      <c r="X22">
        <f>X21+IF(AND(W22&lt;&gt;"",COUNTIF(W$4:W22,W22)=1),1,0)</f>
        <v/>
      </c>
      <c r="Y22">
        <f>IF(ROW()-3&gt;MAX(X$4:X$40),"",INDEX(W$4:W$40,MATCH(ROW()-3,X$4:X$40,0)))</f>
        <v/>
      </c>
      <c r="Z22">
        <f>IF('Final Calculation Sheet'!$D$22="","",'Final Calculation Sheet'!$D$22)</f>
        <v/>
      </c>
      <c r="AA22">
        <f>IF(Z22="","",COUNTIFS(Z$4:Z$40,"&lt;"&amp;Z22,Z$4:Z$40,"&lt;&gt;"&amp;"")+COUNTIF(Z$4:Z22,Z22))</f>
        <v/>
      </c>
      <c r="AB22">
        <f>IF(ROW()-3&gt;COUNTIF(Z$4:Z$40,"&lt;&gt;"&amp;""),"",INDEX(Z$4:Z$40,MATCH(ROW()-3,AA$4:AA$40,0)))</f>
        <v/>
      </c>
      <c r="AC22">
        <f>AC21+IF(AND(AB22&lt;&gt;"",COUNTIF(AB$4:AB22,AB22)=1),1,0)</f>
        <v/>
      </c>
      <c r="AD22">
        <f>IF(ROW()-3&gt;MAX(AC$4:AC$40),"",INDEX(AB$4:AB$40,MATCH(ROW()-3,AC$4:AC$40,0)))</f>
        <v/>
      </c>
      <c r="AE22">
        <f>IF('Final Calculation Sheet'!$A$22="","",'Final Calculation Sheet'!$A$22)</f>
        <v/>
      </c>
      <c r="AF22">
        <f>IF(AE22="","",COUNTIFS(AE$4:AE$40,"&lt;"&amp;AE22,AE$4:AE$40,"&lt;&gt;"&amp;"")+COUNTIF(AE$4:AE22,AE22))</f>
        <v/>
      </c>
      <c r="AG22">
        <f>IF(ROW()-3&gt;COUNTIF(AE$4:AE$40,"&lt;&gt;"&amp;""),"",INDEX(AE$4:AE$40,MATCH(ROW()-3,AF$4:AF$40,0)))</f>
        <v/>
      </c>
      <c r="AH22">
        <f>AH21+IF(AND(AG22&lt;&gt;"",COUNTIF(AG$4:AG22,AG22)=1),1,0)</f>
        <v/>
      </c>
      <c r="AI22">
        <f>IF(ROW()-3&gt;MAX(AH$4:AH$40),"",INDEX(AG$4:AG$40,MATCH(ROW()-3,AH$4:AH$40,0)))</f>
        <v/>
      </c>
      <c r="AJ22">
        <f>IF('Final Calculation Sheet'!$E$22="","",'Final Calculation Sheet'!$E$22)</f>
        <v/>
      </c>
      <c r="AK22">
        <f>IF(AJ22="","",COUNTIFS(AJ$4:AJ$40,"&lt;"&amp;AJ22,AJ$4:AJ$40,"&lt;&gt;"&amp;"")+COUNTIF(AJ$4:AJ22,AJ22))</f>
        <v/>
      </c>
      <c r="AL22">
        <f>IF(ROW()-3&gt;COUNTIF(AJ$4:AJ$40,"&lt;&gt;"&amp;""),"",INDEX(AJ$4:AJ$40,MATCH(ROW()-3,AK$4:AK$40,0)))</f>
        <v/>
      </c>
      <c r="AM22">
        <f>AM21+IF(AND(AL22&lt;&gt;"",COUNTIF(AL$4:AL22,AL22)=1),1,0)</f>
        <v/>
      </c>
      <c r="AN22">
        <f>IF(ROW()-3&gt;MAX(AM$4:AM$40),"",INDEX(AL$4:AL$40,MATCH(ROW()-3,AM$4:AM$40,0)))</f>
        <v/>
      </c>
      <c r="AO22" s="55">
        <f>IF('Final Calculation Sheet'!$C$22="","",'Final Calculation Sheet'!$C$22)</f>
        <v/>
      </c>
      <c r="AP22">
        <f>IF(AO22="","",COUNTIFS(AO$4:AO$40,"&lt;"&amp;AO22,AO$4:AO$40,"&lt;&gt;"&amp;"")+COUNTIF(AO$4:AO22,AO22))</f>
        <v/>
      </c>
      <c r="AQ22" s="55">
        <f>IF(ROW()-3&gt;COUNTIF(AO$4:AO$40,"&lt;&gt;"&amp;""),"",INDEX(AO$4:AO$40,MATCH(ROW()-3,AP$4:AP$40,0)))</f>
        <v/>
      </c>
      <c r="AR22">
        <f>AR21+IF(AND(AQ22&lt;&gt;"",COUNTIF(AQ$4:AQ22,AQ22)=1),1,0)</f>
        <v/>
      </c>
      <c r="AS22" s="55">
        <f>IF(ROW()-3&gt;MAX(AR$4:AR$40),"",INDEX(AQ$4:AQ$40,MATCH(ROW()-3,AR$4:AR$40,0)))</f>
        <v/>
      </c>
      <c r="AT22" s="55">
        <f>IF('Final Calculation Sheet'!$H$22="","",'Final Calculation Sheet'!$H$22)</f>
        <v/>
      </c>
      <c r="AU22">
        <f>IF(AT22="","",COUNTIFS(AT$4:AT$40,"&lt;"&amp;AT22,AT$4:AT$40,"&lt;&gt;"&amp;"")+COUNTIF(AT$4:AT22,AT22))</f>
        <v/>
      </c>
      <c r="AV22" s="55">
        <f>IF(ROW()-3&gt;COUNTIF(AT$4:AT$40,"&lt;&gt;"&amp;""),"",INDEX(AT$4:AT$40,MATCH(ROW()-3,AU$4:AU$40,0)))</f>
        <v/>
      </c>
      <c r="AW22">
        <f>AW21+IF(AND(AV22&lt;&gt;"",COUNTIF(AV$4:AV22,AV22)=1),1,0)</f>
        <v/>
      </c>
      <c r="AX22" s="55">
        <f>IF(ROW()-3&gt;MAX(AW$4:AW$40),"",INDEX(AV$4:AV$40,MATCH(ROW()-3,AW$4:AW$40,0)))</f>
        <v/>
      </c>
      <c r="AY22" s="55">
        <f>IF('Final Calculation Sheet'!$I$22="","",'Final Calculation Sheet'!$I$22)</f>
        <v/>
      </c>
      <c r="AZ22">
        <f>IF(AY22="","",COUNTIFS(AY$4:AY$40,"&lt;"&amp;AY22,AY$4:AY$40,"&lt;&gt;"&amp;"")+COUNTIF(AY$4:AY22,AY22))</f>
        <v/>
      </c>
      <c r="BA22" s="55">
        <f>IF(ROW()-3&gt;COUNTIF(AY$4:AY$40,"&lt;&gt;"&amp;""),"",INDEX(AY$4:AY$40,MATCH(ROW()-3,AZ$4:AZ$40,0)))</f>
        <v/>
      </c>
      <c r="BB22">
        <f>BB21+IF(AND(BA22&lt;&gt;"",COUNTIF(BA$4:BA22,BA22)=1),1,0)</f>
        <v/>
      </c>
      <c r="BC22" s="55">
        <f>IF(ROW()-3&gt;MAX(BB$4:BB$40),"",INDEX(BA$4:BA$40,MATCH(ROW()-3,BB$4:BB$40,0)))</f>
        <v/>
      </c>
      <c r="BD22" s="55">
        <f>IF('Final Calculation Sheet'!$J$22="","",'Final Calculation Sheet'!$J$22)</f>
        <v/>
      </c>
      <c r="BE22">
        <f>IF(BD22="","",COUNTIFS(BD$4:BD$40,"&lt;"&amp;BD22,BD$4:BD$40,"&lt;&gt;"&amp;"")+COUNTIF(BD$4:BD22,BD22))</f>
        <v/>
      </c>
      <c r="BF22" s="55">
        <f>IF(ROW()-3&gt;COUNTIF(BD$4:BD$40,"&lt;&gt;"&amp;""),"",INDEX(BD$4:BD$40,MATCH(ROW()-3,BE$4:BE$40,0)))</f>
        <v/>
      </c>
      <c r="BG22">
        <f>BG21+IF(AND(BF22&lt;&gt;"",COUNTIF(BF$4:BF22,BF22)=1),1,0)</f>
        <v/>
      </c>
      <c r="BH22" s="55">
        <f>IF(ROW()-3&gt;MAX(BG$4:BG$40),"",INDEX(BF$4:BF$40,MATCH(ROW()-3,BG$4:BG$40,0)))</f>
        <v/>
      </c>
      <c r="BI22" s="55">
        <f>IF('Final Calculation Sheet'!$K$22="","",'Final Calculation Sheet'!$K$22)</f>
        <v/>
      </c>
      <c r="BJ22">
        <f>IF(BI22="","",COUNTIFS(BI$4:BI$40,"&lt;"&amp;BI22,BI$4:BI$40,"&lt;&gt;"&amp;"")+COUNTIF(BI$4:BI22,BI22))</f>
        <v/>
      </c>
      <c r="BK22" s="55">
        <f>IF(ROW()-3&gt;COUNTIF(BI$4:BI$40,"&lt;&gt;"&amp;""),"",INDEX(BI$4:BI$40,MATCH(ROW()-3,BJ$4:BJ$40,0)))</f>
        <v/>
      </c>
      <c r="BL22">
        <f>BL21+IF(AND(BK22&lt;&gt;"",COUNTIF(BK$4:BK22,BK22)=1),1,0)</f>
        <v/>
      </c>
      <c r="BM22" s="55">
        <f>IF(ROW()-3&gt;MAX(BL$4:BL$40),"",INDEX(BK$4:BK$40,MATCH(ROW()-3,BL$4:BL$40,0)))</f>
        <v/>
      </c>
      <c r="BN22" s="55">
        <f>IF('Final Calculation Sheet'!$L$22="","",'Final Calculation Sheet'!$L$22)</f>
        <v/>
      </c>
      <c r="BO22">
        <f>IF(BN22="","",COUNTIFS(BN$4:BN$40,"&lt;"&amp;BN22,BN$4:BN$40,"&lt;&gt;"&amp;"")+COUNTIF(BN$4:BN22,BN22))</f>
        <v/>
      </c>
      <c r="BP22" s="55">
        <f>IF(ROW()-3&gt;COUNTIF(BN$4:BN$40,"&lt;&gt;"&amp;""),"",INDEX(BN$4:BN$40,MATCH(ROW()-3,BO$4:BO$40,0)))</f>
        <v/>
      </c>
      <c r="BQ22">
        <f>BQ21+IF(AND(BP22&lt;&gt;"",COUNTIF(BP$4:BP22,BP22)=1),1,0)</f>
        <v/>
      </c>
      <c r="BR22" s="55">
        <f>IF(ROW()-3&gt;MAX(BQ$4:BQ$40),"",INDEX(BP$4:BP$40,MATCH(ROW()-3,BQ$4:BQ$40,0)))</f>
        <v/>
      </c>
      <c r="BS22" s="55">
        <f>IF('Final Calculation Sheet'!$M$22="","",'Final Calculation Sheet'!$M$22)</f>
        <v/>
      </c>
      <c r="BT22">
        <f>IF(BS22="","",COUNTIFS(BS$4:BS$40,"&lt;"&amp;BS22,BS$4:BS$40,"&lt;&gt;"&amp;"")+COUNTIF(BS$4:BS22,BS22))</f>
        <v/>
      </c>
      <c r="BU22" s="55">
        <f>IF(ROW()-3&gt;COUNTIF(BS$4:BS$40,"&lt;&gt;"&amp;""),"",INDEX(BS$4:BS$40,MATCH(ROW()-3,BT$4:BT$40,0)))</f>
        <v/>
      </c>
      <c r="BV22">
        <f>BV21+IF(AND(BU22&lt;&gt;"",COUNTIF(BU$4:BU22,BU22)=1),1,0)</f>
        <v/>
      </c>
      <c r="BW22" s="55">
        <f>IF(ROW()-3&gt;MAX(BV$4:BV$40),"",INDEX(BU$4:BU$40,MATCH(ROW()-3,BV$4:BV$40,0)))</f>
        <v/>
      </c>
      <c r="BX22" s="138">
        <f>IF('Final Calculation Sheet'!$N$22="","",'Final Calculation Sheet'!$N$22)</f>
        <v/>
      </c>
      <c r="BY22">
        <f>IF(BX22="","",COUNTIFS(BX$4:BX$40,"&lt;"&amp;BX22,BX$4:BX$40,"&lt;&gt;"&amp;"")+COUNTIF(BX$4:BX22,BX22))</f>
        <v/>
      </c>
      <c r="BZ22" s="138">
        <f>IF(ROW()-3&gt;COUNTIF(BX$4:BX$40,"&lt;&gt;"&amp;""),"",INDEX(BX$4:BX$40,MATCH(ROW()-3,BY$4:BY$40,0)))</f>
        <v/>
      </c>
      <c r="CA22">
        <f>CA21+IF(AND(BZ22&lt;&gt;"",COUNTIF(BZ$4:BZ22,BZ22)=1),1,0)</f>
        <v/>
      </c>
      <c r="CB22" s="138">
        <f>IF(ROW()-3&gt;MAX(CA$4:CA$40),"",INDEX(BZ$4:BZ$40,MATCH(ROW()-3,CA$4:CA$40,0)))</f>
        <v/>
      </c>
      <c r="CC22" s="55">
        <f>IF('Final Calculation Sheet'!$O$22="","",'Final Calculation Sheet'!$O$22)</f>
        <v/>
      </c>
      <c r="CD22">
        <f>IF(CC22="","",COUNTIFS(CC$4:CC$40,"&lt;"&amp;CC22,CC$4:CC$40,"&lt;&gt;"&amp;"")+COUNTIF(CC$4:CC22,CC22))</f>
        <v/>
      </c>
      <c r="CE22" s="55">
        <f>IF(ROW()-3&gt;COUNTIF(CC$4:CC$40,"&lt;&gt;"&amp;""),"",INDEX(CC$4:CC$40,MATCH(ROW()-3,CD$4:CD$40,0)))</f>
        <v/>
      </c>
      <c r="CF22">
        <f>CF21+IF(AND(CE22&lt;&gt;"",COUNTIF(CE$4:CE22,CE22)=1),1,0)</f>
        <v/>
      </c>
      <c r="CG22" s="55">
        <f>IF(ROW()-3&gt;MAX(CF$4:CF$40),"",INDEX(CE$4:CE$40,MATCH(ROW()-3,CF$4:CF$40,0)))</f>
        <v/>
      </c>
      <c r="CH22" s="55">
        <f>IF('Final Calculation Sheet'!$P$22="","",'Final Calculation Sheet'!$P$22)</f>
        <v/>
      </c>
      <c r="CI22">
        <f>IF(CH22="","",COUNTIFS(CH$4:CH$40,"&lt;"&amp;CH22,CH$4:CH$40,"&lt;&gt;"&amp;"")+COUNTIF(CH$4:CH22,CH22))</f>
        <v/>
      </c>
      <c r="CJ22" s="55">
        <f>IF(ROW()-3&gt;COUNTIF(CH$4:CH$40,"&lt;&gt;"&amp;""),"",INDEX(CH$4:CH$40,MATCH(ROW()-3,CI$4:CI$40,0)))</f>
        <v/>
      </c>
      <c r="CK22">
        <f>CK21+IF(AND(CJ22&lt;&gt;"",COUNTIF(CJ$4:CJ22,CJ22)=1),1,0)</f>
        <v/>
      </c>
      <c r="CL22" s="55">
        <f>IF(ROW()-3&gt;MAX(CK$4:CK$40),"",INDEX(CJ$4:CJ$40,MATCH(ROW()-3,CK$4:CK$40,0)))</f>
        <v/>
      </c>
      <c r="CM22" s="139">
        <f>IF('Final Calculation Sheet'!$Q$22="","",'Final Calculation Sheet'!$Q$22)</f>
        <v/>
      </c>
      <c r="CN22">
        <f>IF(CM22="","",COUNTIFS(CM$4:CM$40,"&lt;"&amp;CM22,CM$4:CM$40,"&lt;&gt;"&amp;"")+COUNTIF(CM$4:CM22,CM22))</f>
        <v/>
      </c>
      <c r="CO22" s="139">
        <f>IF(ROW()-3&gt;COUNTIF(CM$4:CM$40,"&lt;&gt;"&amp;""),"",INDEX(CM$4:CM$40,MATCH(ROW()-3,CN$4:CN$40,0)))</f>
        <v/>
      </c>
      <c r="CP22">
        <f>CP21+IF(AND(CO22&lt;&gt;"",COUNTIF(CO$4:CO22,CO22)=1),1,0)</f>
        <v/>
      </c>
      <c r="CQ22">
        <f>IF(ROW()-3&gt;MAX(CP$4:CP$40),"",INDEX(CO$4:CO$40,MATCH(ROW()-3,CP$4:CP$40,0)))</f>
        <v/>
      </c>
      <c r="CR22" s="55">
        <f>IF('Final Calculation Sheet'!$R$22="","",'Final Calculation Sheet'!$R$22)</f>
        <v/>
      </c>
      <c r="CS22">
        <f>IF(CR22="","",COUNTIFS(CR$4:CR$40,"&lt;"&amp;CR22,CR$4:CR$40,"&lt;&gt;"&amp;"")+COUNTIF(CR$4:CR22,CR22))</f>
        <v/>
      </c>
      <c r="CT22" s="55">
        <f>IF(ROW()-3&gt;COUNTIF(CR$4:CR$40,"&lt;&gt;"&amp;""),"",INDEX(CR$4:CR$40,MATCH(ROW()-3,CS$4:CS$40,0)))</f>
        <v/>
      </c>
      <c r="CU22">
        <f>CU21+IF(AND(CT22&lt;&gt;"",COUNTIF(CT$4:CT22,CT22)=1),1,0)</f>
        <v/>
      </c>
      <c r="CV22">
        <f>IF(ROW()-3&gt;MAX(CU$4:CU$40),"",INDEX(CT$4:CT$40,MATCH(ROW()-3,CU$4:CU$40,0)))</f>
        <v/>
      </c>
      <c r="CW22" s="55">
        <f>IF('Final Calculation Sheet'!$S$22="","",'Final Calculation Sheet'!$S$22)</f>
        <v/>
      </c>
      <c r="CX22">
        <f>IF(CW22="","",COUNTIFS(CW$4:CW$40,"&lt;"&amp;CW22,CW$4:CW$40,"&lt;&gt;"&amp;"")+COUNTIF(CW$4:CW22,CW22))</f>
        <v/>
      </c>
      <c r="CY22" s="55">
        <f>IF(ROW()-3&gt;COUNTIF(CW$4:CW$40,"&lt;&gt;"&amp;""),"",INDEX(CW$4:CW$40,MATCH(ROW()-3,CX$4:CX$40,0)))</f>
        <v/>
      </c>
      <c r="CZ22">
        <f>CZ21+IF(AND(CY22&lt;&gt;"",COUNTIF(CY$4:CY22,CY22)=1),1,0)</f>
        <v/>
      </c>
      <c r="DA22" s="55">
        <f>IF(ROW()-3&gt;MAX(CZ$4:CZ$40),"",INDEX(CY$4:CY$40,MATCH(ROW()-3,CZ$4:CZ$40,0)))</f>
        <v/>
      </c>
      <c r="DB22" s="55">
        <f>IF('Final Calculation Sheet'!$T$22="","",'Final Calculation Sheet'!$T$22)</f>
        <v/>
      </c>
      <c r="DC22">
        <f>IF(DB22="","",COUNTIFS(DB$4:DB$40,"&lt;"&amp;DB22,DB$4:DB$40,"&lt;&gt;"&amp;"")+COUNTIF(DB$4:DB22,DB22))</f>
        <v/>
      </c>
      <c r="DD22" s="55">
        <f>IF(ROW()-3&gt;COUNTIF(DB$4:DB$40,"&lt;&gt;"&amp;""),"",INDEX(DB$4:DB$40,MATCH(ROW()-3,DC$4:DC$40,0)))</f>
        <v/>
      </c>
      <c r="DE22">
        <f>DE21+IF(AND(DD22&lt;&gt;"",COUNTIF(DD$4:DD22,DD22)=1),1,0)</f>
        <v/>
      </c>
      <c r="DF22" s="55">
        <f>IF(ROW()-3&gt;MAX(DE$4:DE$40),"",INDEX(DD$4:DD$40,MATCH(ROW()-3,DE$4:DE$40,0)))</f>
        <v/>
      </c>
      <c r="DG22" s="140">
        <f>IF('Final Calculation Sheet'!$U$22="","",'Final Calculation Sheet'!$U$22)</f>
        <v/>
      </c>
      <c r="DH22">
        <f>IF(DG22="","",COUNTIFS(DG$4:DG$40,"&lt;"&amp;DG22,DG$4:DG$40,"&lt;&gt;"&amp;"")+COUNTIF(DG$4:DG22,DG22))</f>
        <v/>
      </c>
      <c r="DI22" s="140">
        <f>IF(ROW()-3&gt;COUNTIF(DG$4:DG$40,"&lt;&gt;"&amp;""),"",INDEX(DG$4:DG$40,MATCH(ROW()-3,DH$4:DH$40,0)))</f>
        <v/>
      </c>
      <c r="DJ22">
        <f>DJ21+IF(AND(DI22&lt;&gt;"",COUNTIF(DI$4:DI22,DI22)=1),1,0)</f>
        <v/>
      </c>
      <c r="DK22" s="140">
        <f>IF(ROW()-3&gt;MAX(DJ$4:DJ$40),"",INDEX(DI$4:DI$40,MATCH(ROW()-3,DJ$4:DJ$40,0)))</f>
        <v/>
      </c>
      <c r="DL22">
        <f>IF('Final Calculation Sheet'!$V$22="","",'Final Calculation Sheet'!$V$22)</f>
        <v/>
      </c>
      <c r="DM22">
        <f>IF(DL22="","",COUNTIFS(DL$4:DL$40,"&lt;"&amp;DL22,DL$4:DL$40,"&lt;&gt;"&amp;"")+COUNTIF(DL$4:DL22,DL22))</f>
        <v/>
      </c>
      <c r="DN22">
        <f>IF(ROW()-3&gt;COUNTIF(DL$4:DL$40,"&lt;&gt;"&amp;""),"",INDEX(DL$4:DL$40,MATCH(ROW()-3,DM$4:DM$40,0)))</f>
        <v/>
      </c>
      <c r="DO22">
        <f>DO21+IF(AND(DN22&lt;&gt;"",COUNTIF(DN$4:DN22,DN22)=1),1,0)</f>
        <v/>
      </c>
      <c r="DP22">
        <f>IF(ROW()-3&gt;MAX(DO$4:DO$40),"",INDEX(DN$4:DN$40,MATCH(ROW()-3,DO$4:DO$40,0)))</f>
        <v/>
      </c>
      <c r="DQ22" s="55">
        <f>IF('Final Calculation Sheet'!$W$22="","",'Final Calculation Sheet'!$W$22)</f>
        <v/>
      </c>
      <c r="DR22">
        <f>IF(DQ22="","",COUNTIFS(DQ$4:DQ$40,"&lt;"&amp;DQ22,DQ$4:DQ$40,"&lt;&gt;"&amp;"")+COUNTIF(DQ$4:DQ22,DQ22))</f>
        <v/>
      </c>
      <c r="DS22" s="55">
        <f>IF(ROW()-3&gt;COUNTIF(DQ$4:DQ$40,"&lt;&gt;"&amp;""),"",INDEX(DQ$4:DQ$40,MATCH(ROW()-3,DR$4:DR$40,0)))</f>
        <v/>
      </c>
      <c r="DT22">
        <f>DT21+IF(AND(DS22&lt;&gt;"",COUNTIF(DS$4:DS22,DS22)=1),1,0)</f>
        <v/>
      </c>
      <c r="DU22" s="55">
        <f>IF(ROW()-3&gt;MAX(DT$4:DT$40),"",INDEX(DS$4:DS$40,MATCH(ROW()-3,DT$4:DT$40,0)))</f>
        <v/>
      </c>
      <c r="DV22" s="55">
        <f>IF('Final Calculation Sheet'!$X$22="","",'Final Calculation Sheet'!$X$22)</f>
        <v/>
      </c>
      <c r="DW22">
        <f>IF(DV22="","",COUNTIFS(DV$4:DV$40,"&lt;"&amp;DV22,DV$4:DV$40,"&lt;&gt;"&amp;"")+COUNTIF(DV$4:DV22,DV22))</f>
        <v/>
      </c>
      <c r="DX22" s="55">
        <f>IF(ROW()-3&gt;COUNTIF(DV$4:DV$40,"&lt;&gt;"&amp;""),"",INDEX(DV$4:DV$40,MATCH(ROW()-3,DW$4:DW$40,0)))</f>
        <v/>
      </c>
      <c r="DY22">
        <f>DY21+IF(AND(DX22&lt;&gt;"",COUNTIF(DX$4:DX22,DX22)=1),1,0)</f>
        <v/>
      </c>
      <c r="DZ22">
        <f>IF(ROW()-3&gt;MAX(DY$4:DY$40),"",INDEX(DX$4:DX$40,MATCH(ROW()-3,DY$4:DY$40,0)))</f>
        <v/>
      </c>
      <c r="EA22">
        <f>IF('Final Calculation Sheet'!$Y$22="","",'Final Calculation Sheet'!$Y$22)</f>
        <v/>
      </c>
      <c r="EB22">
        <f>IF(EA22="","",COUNTIFS(EA$4:EA$40,"&lt;"&amp;EA22,EA$4:EA$40,"&lt;&gt;"&amp;"")+COUNTIF(EA$4:EA22,EA22))</f>
        <v/>
      </c>
      <c r="EC22">
        <f>IF(ROW()-3&gt;COUNTIF(EA$4:EA$40,"&lt;&gt;"&amp;""),"",INDEX(EA$4:EA$40,MATCH(ROW()-3,EB$4:EB$40,0)))</f>
        <v/>
      </c>
      <c r="ED22">
        <f>ED21+IF(AND(EC22&lt;&gt;"",COUNTIF(EC$4:EC22,EC22)=1),1,0)</f>
        <v/>
      </c>
      <c r="EE22">
        <f>IF(ROW()-3&gt;MAX(ED$4:ED$40),"",INDEX(EC$4:EC$40,MATCH(ROW()-3,ED$4:ED$40,0)))</f>
        <v/>
      </c>
      <c r="EF22" s="55">
        <f>IF('Final Calculation Sheet'!$Z$22="","",'Final Calculation Sheet'!$Z$22)</f>
        <v/>
      </c>
      <c r="EG22">
        <f>IF(EF22="","",COUNTIFS(EF$4:EF$40,"&lt;"&amp;EF22,EF$4:EF$40,"&lt;&gt;"&amp;"")+COUNTIF(EF$4:EF22,EF22))</f>
        <v/>
      </c>
      <c r="EH22" s="55">
        <f>IF(ROW()-3&gt;COUNTIF(EF$4:EF$40,"&lt;&gt;"&amp;""),"",INDEX(EF$4:EF$40,MATCH(ROW()-3,EG$4:EG$40,0)))</f>
        <v/>
      </c>
      <c r="EI22">
        <f>EI21+IF(AND(EH22&lt;&gt;"",COUNTIF(EH$4:EH22,EH22)=1),1,0)</f>
        <v/>
      </c>
      <c r="EJ22">
        <f>IF(ROW()-3&gt;MAX(EI$4:EI$40),"",INDEX(EH$4:EH$40,MATCH(ROW()-3,EI$4:EI$40,0)))</f>
        <v/>
      </c>
      <c r="EK22">
        <f>IF('Final Calculation Sheet'!$AA$22="","",'Final Calculation Sheet'!$AA$22)</f>
        <v/>
      </c>
      <c r="EL22">
        <f>IF(EK22="","",COUNTIFS(EK$4:EK$40,"&lt;"&amp;EK22,EK$4:EK$40,"&lt;&gt;"&amp;"")+COUNTIF(EK$4:EK22,EK22))</f>
        <v/>
      </c>
      <c r="EM22">
        <f>IF(ROW()-3&gt;COUNTIF(EK$4:EK$40,"&lt;&gt;"&amp;""),"",INDEX(EK$4:EK$40,MATCH(ROW()-3,EL$4:EL$40,0)))</f>
        <v/>
      </c>
      <c r="EN22">
        <f>EN21+IF(AND(EM22&lt;&gt;"",COUNTIF(EM$4:EM22,EM22)=1),1,0)</f>
        <v/>
      </c>
      <c r="EO22">
        <f>IF(ROW()-3&gt;MAX(EN$4:EN$40),"",INDEX(EM$4:EM$40,MATCH(ROW()-3,EN$4:EN$40,0)))</f>
        <v/>
      </c>
      <c r="EP22">
        <f>IF('Final Calculation Sheet'!$AB$22="","",'Final Calculation Sheet'!$AB$22)</f>
        <v/>
      </c>
      <c r="EQ22">
        <f>IF(EP22="","",COUNTIFS(EP$4:EP$40,"&lt;"&amp;EP22,EP$4:EP$40,"&lt;&gt;"&amp;"")+COUNTIF(EP$4:EP22,EP22))</f>
        <v/>
      </c>
      <c r="ER22">
        <f>IF(ROW()-3&gt;COUNTIF(EP$4:EP$40,"&lt;&gt;"&amp;""),"",INDEX(EP$4:EP$40,MATCH(ROW()-3,EQ$4:EQ$40,0)))</f>
        <v/>
      </c>
      <c r="ES22">
        <f>ES21+IF(AND(ER22&lt;&gt;"",COUNTIF(ER$4:ER22,ER22)=1),1,0)</f>
        <v/>
      </c>
      <c r="ET22">
        <f>IF(ROW()-3&gt;MAX(ES$4:ES$40),"",INDEX(ER$4:ER$40,MATCH(ROW()-3,ES$4:ES$40,0)))</f>
        <v/>
      </c>
      <c r="EU22" s="55">
        <f>IF('Final Calculation Sheet'!$AC$22="","",'Final Calculation Sheet'!$AC$22)</f>
        <v/>
      </c>
      <c r="EV22">
        <f>IF(EU22="","",COUNTIFS(EU$4:EU$40,"&lt;"&amp;EU22,EU$4:EU$40,"&lt;&gt;"&amp;"")+COUNTIF(EU$4:EU22,EU22))</f>
        <v/>
      </c>
      <c r="EW22" s="55">
        <f>IF(ROW()-3&gt;COUNTIF(EU$4:EU$40,"&lt;&gt;"&amp;""),"",INDEX(EU$4:EU$40,MATCH(ROW()-3,EV$4:EV$40,0)))</f>
        <v/>
      </c>
      <c r="EX22">
        <f>EX21+IF(AND(EW22&lt;&gt;"",COUNTIF(EW$4:EW22,EW22)=1),1,0)</f>
        <v/>
      </c>
      <c r="EY22" s="55">
        <f>IF(ROW()-3&gt;MAX(EX$4:EX$40),"",INDEX(EW$4:EW$40,MATCH(ROW()-3,EX$4:EX$40,0)))</f>
        <v/>
      </c>
      <c r="EZ22" s="55">
        <f>IF('Final Calculation Sheet'!$AD$22="","",'Final Calculation Sheet'!$AD$22)</f>
        <v/>
      </c>
      <c r="FA22">
        <f>IF(EZ22="","",COUNTIFS(EZ$4:EZ$40,"&lt;"&amp;EZ22,EZ$4:EZ$40,"&lt;&gt;"&amp;"")+COUNTIF(EZ$4:EZ22,EZ22))</f>
        <v/>
      </c>
      <c r="FB22" s="55">
        <f>IF(ROW()-3&gt;COUNTIF(EZ$4:EZ$40,"&lt;&gt;"&amp;""),"",INDEX(EZ$4:EZ$40,MATCH(ROW()-3,FA$4:FA$40,0)))</f>
        <v/>
      </c>
      <c r="FC22">
        <f>FC21+IF(AND(FB22&lt;&gt;"",COUNTIF(FB$4:FB22,FB22)=1),1,0)</f>
        <v/>
      </c>
      <c r="FD22">
        <f>IF(ROW()-3&gt;MAX(FC$4:FC$40),"",INDEX(FB$4:FB$40,MATCH(ROW()-3,FC$4:FC$40,0)))</f>
        <v/>
      </c>
      <c r="FE22">
        <f>IF('Final Calculation Sheet'!$AF$22="","",'Final Calculation Sheet'!$AF$22)</f>
        <v/>
      </c>
      <c r="FF22">
        <f>IF(FE22="","",COUNTIFS(FE$4:FE$40,"&lt;"&amp;FE22,FE$4:FE$40,"&lt;&gt;"&amp;"")+COUNTIF(FE$4:FE22,FE22))</f>
        <v/>
      </c>
      <c r="FG22">
        <f>IF(ROW()-3&gt;COUNTIF(FE$4:FE$40,"&lt;&gt;"&amp;""),"",INDEX(FE$4:FE$40,MATCH(ROW()-3,FF$4:FF$40,0)))</f>
        <v/>
      </c>
      <c r="FH22">
        <f>FH21+IF(AND(FG22&lt;&gt;"",COUNTIF(FG$4:FG22,FG22)=1),1,0)</f>
        <v/>
      </c>
      <c r="FI22">
        <f>IF(ROW()-3&gt;MAX(FH$4:FH$40),"",INDEX(FG$4:FG$40,MATCH(ROW()-3,FH$4:FH$40,0)))</f>
        <v/>
      </c>
      <c r="FJ22" s="141">
        <f>IF('Final Calculation Sheet'!$AG$22="","",'Final Calculation Sheet'!$AG$22)</f>
        <v/>
      </c>
      <c r="FK22">
        <f>IF(FJ22="","",COUNTIFS(FJ$4:FJ$40,"&lt;"&amp;FJ22,FJ$4:FJ$40,"&lt;&gt;"&amp;"")+COUNTIF(FJ$4:FJ22,FJ22))</f>
        <v/>
      </c>
      <c r="FL22" s="141">
        <f>IF(ROW()-3&gt;COUNTIF(FJ$4:FJ$40,"&lt;&gt;"&amp;""),"",INDEX(FJ$4:FJ$40,MATCH(ROW()-3,FK$4:FK$40,0)))</f>
        <v/>
      </c>
      <c r="FM22">
        <f>FM21+IF(AND(FL22&lt;&gt;"",COUNTIF(FL$4:FL22,FL22)=1),1,0)</f>
        <v/>
      </c>
      <c r="FN22">
        <f>IF(ROW()-3&gt;MAX(FM$4:FM$40),"",INDEX(FL$4:FL$40,MATCH(ROW()-3,FM$4:FM$40,0)))</f>
        <v/>
      </c>
      <c r="FO22">
        <f>IF('Final Calculation Sheet'!$AH$22="","",'Final Calculation Sheet'!$AH$22)</f>
        <v/>
      </c>
      <c r="FP22">
        <f>IF(FO22="","",COUNTIFS(FO$4:FO$40,"&lt;"&amp;FO22,FO$4:FO$40,"&lt;&gt;"&amp;"")+COUNTIF(FO$4:FO22,FO22))</f>
        <v/>
      </c>
      <c r="FQ22">
        <f>IF(ROW()-3&gt;COUNTIF(FO$4:FO$40,"&lt;&gt;"&amp;""),"",INDEX(FO$4:FO$40,MATCH(ROW()-3,FP$4:FP$40,0)))</f>
        <v/>
      </c>
      <c r="FR22">
        <f>FR21+IF(AND(FQ22&lt;&gt;"",COUNTIF(FQ$4:FQ22,FQ22)=1),1,0)</f>
        <v/>
      </c>
      <c r="FS22">
        <f>IF(ROW()-3&gt;MAX(FR$4:FR$40),"",INDEX(FQ$4:FQ$40,MATCH(ROW()-3,FR$4:FR$40,0)))</f>
        <v/>
      </c>
      <c r="FU22">
        <f>IF(FT22="","",COUNTIFS(FT$4:FT$40,"&lt;"&amp;FT22,FT$4:FT$40,"&lt;&gt;"&amp;"")+COUNTIF(FT$4:FT22,FT22))</f>
        <v/>
      </c>
      <c r="FV22">
        <f>IF(ROW()-3&gt;COUNTIF(FT$4:FT$40,"&lt;&gt;"&amp;""),"",INDEX(FT$4:FT$40,MATCH(ROW()-3,FU$4:FU$40,0)))</f>
        <v/>
      </c>
      <c r="FW22">
        <f>FW21+IF(AND(FV22&lt;&gt;"",COUNTIF(FV$4:FV22,FV22)=1),1,0)</f>
        <v/>
      </c>
      <c r="FX22">
        <f>IF(ROW()-3&gt;MAX(FW$4:FW$40),"",INDEX(FV$4:FV$40,MATCH(ROW()-3,FW$4:FW$40,0)))</f>
        <v/>
      </c>
      <c r="FY22">
        <f>IF(COUNTIF('Live Search'!BM$21:BO$21,0)+COUNTIF('Live Search'!BQ$21:CU$21,0)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2">
        <f>IF($Y$22="",FALSE,SUMPRODUCT(('Final Calculation Sheet'!$B$4:$B$40=$Y$22)*($FY$6:$FY$42=1))&gt;0)</f>
        <v/>
      </c>
      <c r="GA22">
        <f>$GA$21+--($FZ$22)</f>
        <v/>
      </c>
      <c r="GB22">
        <f>IF(ROW()-3&gt;MAX($GA$4:$GA$40),"",INDEX($Y$4:$Y$40,MATCH(ROW()-3,$GA$4:$GA$40,0)))</f>
        <v/>
      </c>
      <c r="GC22">
        <f>IF(COUNTIF('Live Search'!BM$21:BM$21,0)+COUNTIF('Live Search'!BO$21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GD22">
        <f>IF($O$22="",FALSE,SUMPRODUCT(('Final Calculation Sheet'!$F$4:$F$40=$O$22)*($GC$6:$GC$42=1))&gt;0)</f>
        <v/>
      </c>
      <c r="GE22">
        <f>$GE$21+--($GD22)</f>
        <v/>
      </c>
      <c r="GF22">
        <f>IF(ROW()-3&gt;MAX($GE$4:$GE$40),"",INDEX($O$4:$O$40,MATCH(ROW()-3,$GE$4:$GE$40,0)))</f>
        <v/>
      </c>
      <c r="GG22">
        <f>IF(COUNTIF('Live Search'!BM$21:BN$21,0)+COUNTIF('Live Search'!BP$21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GH22">
        <f>IF($T$22="",FALSE,SUMPRODUCT(('Final Calculation Sheet'!$G$4:$G$40=$T$22)*($GG$6:$GG$42=1))&gt;0)</f>
        <v/>
      </c>
      <c r="GI22">
        <f>$GI$21+--($GH22)</f>
        <v/>
      </c>
      <c r="GJ22">
        <f>IF(ROW()-3&gt;MAX($GI$4:$GI$40),"",INDEX($T$4:$T$40,MATCH(ROW()-3,$GI$4:$GI$40,0)))</f>
        <v/>
      </c>
      <c r="GK22">
        <f>IF(COUNTIF('Live Search'!BM$21:BP$21,0)+COUNTIF('Live Search'!BR$21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GL22">
        <f>IF($AD$22="",FALSE,SUMPRODUCT(('Final Calculation Sheet'!$D$4:$D$40=$AD$22)*($GK$6:$GK$42=1))&gt;0)</f>
        <v/>
      </c>
      <c r="GM22">
        <f>$GM$21+--($GL22)</f>
        <v/>
      </c>
      <c r="GN22">
        <f>IF(ROW()-3&gt;MAX($GM$4:$GM$40),"",INDEX($AD$4:$AD$40,MATCH(ROW()-3,$GM$4:$GM$40,0)))</f>
        <v/>
      </c>
      <c r="GO22">
        <f>IF(COUNTIF('Live Search'!BM$21:BQ$21,0)+COUNTIF('Live Search'!BS$21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GP22">
        <f>IF($AI$22="",FALSE,SUMPRODUCT(('Final Calculation Sheet'!$A$4:$A$40=$AI$22)*($GO$6:$GO$42=1))&gt;0)</f>
        <v/>
      </c>
      <c r="GQ22">
        <f>$GQ$21+--($GP22)</f>
        <v/>
      </c>
      <c r="GR22">
        <f>IF(ROW()-3&gt;MAX($GQ$4:$GQ$40),"",INDEX($AI$4:$AI$40,MATCH(ROW()-3,$GQ$4:$GQ$40,0)))</f>
        <v/>
      </c>
      <c r="GS22">
        <f>IF(COUNTIF('Live Search'!BM$21:BR$21,0)+COUNTIF('Live Search'!BT$21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GT22">
        <f>IF($AN$22="",FALSE,SUMPRODUCT(('Final Calculation Sheet'!$E$4:$E$40=$AN$22)*($GS$6:$GS$42=1))&gt;0)</f>
        <v/>
      </c>
      <c r="GU22">
        <f>$GU$21+--($GT22)</f>
        <v/>
      </c>
      <c r="GV22">
        <f>IF(ROW()-3&gt;MAX($GU$4:$GU$40),"",INDEX($AN$4:$AN$40,MATCH(ROW()-3,$GU$4:$GU$40,0)))</f>
        <v/>
      </c>
      <c r="GW22">
        <f>IF(COUNTIF('Live Search'!BM$21:BS$21,0)+COUNTIF('Live Search'!BU$21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GX22">
        <f>IF($AS$22="",FALSE,SUMPRODUCT(('Final Calculation Sheet'!$C$4:$C$40=$AS$22)*($GW$6:$GW$42=1))&gt;0)</f>
        <v/>
      </c>
      <c r="GY22">
        <f>$GY$21+--($GX22)</f>
        <v/>
      </c>
      <c r="GZ22">
        <f>IF(ROW()-3&gt;MAX($GY$4:$GY$40),"",INDEX($AS$4:$AS$40,MATCH(ROW()-3,$GY$4:$GY$40,0)))</f>
        <v/>
      </c>
      <c r="HA22">
        <f>IF(COUNTIF('Live Search'!BM$21:BT$21,0)+COUNTIF('Live Search'!BV$21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HB22">
        <f>IF($AX$22="",FALSE,SUMPRODUCT(('Final Calculation Sheet'!$H$4:$H$40=$AX$22)*($HA$6:$HA$42=1))&gt;0)</f>
        <v/>
      </c>
      <c r="HC22">
        <f>$HC$21+--($HB22)</f>
        <v/>
      </c>
      <c r="HD22">
        <f>IF(ROW()-3&gt;MAX($HC$4:$HC$40),"",INDEX($AX$4:$AX$40,MATCH(ROW()-3,$HC$4:$HC$40,0)))</f>
        <v/>
      </c>
      <c r="HE22">
        <f>IF(COUNTIF('Live Search'!BM$21:BU$21,0)+COUNTIF('Live Search'!BW$21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HF22">
        <f>IF($BC$22="",FALSE,SUMPRODUCT(('Final Calculation Sheet'!$I$4:$I$40=$BC$22)*($HE$6:$HE$42=1))&gt;0)</f>
        <v/>
      </c>
      <c r="HG22">
        <f>$HG$21+--($HF22)</f>
        <v/>
      </c>
      <c r="HH22">
        <f>IF(ROW()-3&gt;MAX($HG$4:$HG$40),"",INDEX($BC$4:$BC$40,MATCH(ROW()-3,$HG$4:$HG$40,0)))</f>
        <v/>
      </c>
      <c r="HI22">
        <f>IF(COUNTIF('Live Search'!BM$21:BV$21,0)+COUNTIF('Live Search'!BX$21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HJ22">
        <f>IF($BH$22="",FALSE,SUMPRODUCT(('Final Calculation Sheet'!$J$4:$J$40=$BH$22)*($HI$6:$HI$42=1))&gt;0)</f>
        <v/>
      </c>
      <c r="HK22">
        <f>$HK$21+--($HJ22)</f>
        <v/>
      </c>
      <c r="HL22">
        <f>IF(ROW()-3&gt;MAX($HK$4:$HK$40),"",INDEX($BH$4:$BH$40,MATCH(ROW()-3,$HK$4:$HK$40,0)))</f>
        <v/>
      </c>
      <c r="HM22">
        <f>IF(COUNTIF('Live Search'!BM$21:BW$21,0)+COUNTIF('Live Search'!BY$21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HN22">
        <f>IF($BM$22="",FALSE,SUMPRODUCT(('Final Calculation Sheet'!$K$4:$K$40=$BM$22)*($HM$6:$HM$42=1))&gt;0)</f>
        <v/>
      </c>
      <c r="HO22">
        <f>$HO$21+--($HN22)</f>
        <v/>
      </c>
      <c r="HP22">
        <f>IF(ROW()-3&gt;MAX($HO$4:$HO$40),"",INDEX($BM$4:$BM$40,MATCH(ROW()-3,$HO$4:$HO$40,0)))</f>
        <v/>
      </c>
      <c r="HQ22">
        <f>IF(COUNTIF('Live Search'!BM$21:BX$21,0)+COUNTIF('Live Search'!BZ$21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HR22">
        <f>IF($BR$22="",FALSE,SUMPRODUCT(('Final Calculation Sheet'!$L$4:$L$40=$BR$22)*($HQ$6:$HQ$42=1))&gt;0)</f>
        <v/>
      </c>
      <c r="HS22">
        <f>$HS$21+--($HR22)</f>
        <v/>
      </c>
      <c r="HT22">
        <f>IF(ROW()-3&gt;MAX($HS$4:$HS$40),"",INDEX($BR$4:$BR$40,MATCH(ROW()-3,$HS$4:$HS$40,0)))</f>
        <v/>
      </c>
      <c r="HU22">
        <f>IF(COUNTIF('Live Search'!BM$21:BY$21,0)+COUNTIF('Live Search'!CA$21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HV22">
        <f>IF($BW$22="",FALSE,SUMPRODUCT(('Final Calculation Sheet'!$M$4:$M$40=$BW$22)*($HU$6:$HU$42=1))&gt;0)</f>
        <v/>
      </c>
      <c r="HW22">
        <f>$HW$21+--($HV22)</f>
        <v/>
      </c>
      <c r="HX22">
        <f>IF(ROW()-3&gt;MAX($HW$4:$HW$40),"",INDEX($BW$4:$BW$40,MATCH(ROW()-3,$HW$4:$HW$40,0)))</f>
        <v/>
      </c>
      <c r="HY22">
        <f>IF(COUNTIF('Live Search'!BM$21:BZ$21,0)+COUNTIF('Live Search'!CB$21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HZ22">
        <f>IF($CB$22="",FALSE,SUMPRODUCT(('Final Calculation Sheet'!$N$4:$N$40=$CB$22)*($HY$6:$HY$42=1))&gt;0)</f>
        <v/>
      </c>
      <c r="IA22">
        <f>$IA$21+--($HZ22)</f>
        <v/>
      </c>
      <c r="IB22">
        <f>IF(ROW()-3&gt;MAX($IA$4:$IA$40),"",INDEX($CB$4:$CB$40,MATCH(ROW()-3,$IA$4:$IA$40,0)))</f>
        <v/>
      </c>
      <c r="IC22">
        <f>IF(COUNTIF('Live Search'!BM$21:CA$21,0)+COUNTIF('Live Search'!CC$21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ID22">
        <f>IF($CG$22="",FALSE,SUMPRODUCT(('Final Calculation Sheet'!$O$4:$O$40=$CG$22)*($IC$6:$IC$42=1))&gt;0)</f>
        <v/>
      </c>
      <c r="IE22">
        <f>$IE$21+--($ID22)</f>
        <v/>
      </c>
      <c r="IF22">
        <f>IF(ROW()-3&gt;MAX($IE$4:$IE$40),"",INDEX($CG$4:$CG$40,MATCH(ROW()-3,$IE$4:$IE$40,0)))</f>
        <v/>
      </c>
      <c r="IG22">
        <f>IF(COUNTIF('Live Search'!BM$21:CB$21,0)+COUNTIF('Live Search'!CD$21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IH22">
        <f>IF($CL$22="",FALSE,SUMPRODUCT(('Final Calculation Sheet'!$P$4:$P$40=$CL$22)*($IG$6:$IG$42=1))&gt;0)</f>
        <v/>
      </c>
      <c r="II22">
        <f>$II$21+--($IH22)</f>
        <v/>
      </c>
      <c r="IJ22">
        <f>IF(ROW()-3&gt;MAX($II$4:$II$40),"",INDEX($CL$4:$CL$40,MATCH(ROW()-3,$II$4:$II$40,0)))</f>
        <v/>
      </c>
      <c r="IK22">
        <f>IF(COUNTIF('Live Search'!BM$21:CC$21,0)+COUNTIF('Live Search'!CE$21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IL22">
        <f>IF($CQ$22="",FALSE,SUMPRODUCT(('Final Calculation Sheet'!$Q$4:$Q$40=$CQ$22)*($IK$6:$IK$42=1))&gt;0)</f>
        <v/>
      </c>
      <c r="IM22">
        <f>$IM$21+--($IL22)</f>
        <v/>
      </c>
      <c r="IN22">
        <f>IF(ROW()-3&gt;MAX($IM$4:$IM$40),"",INDEX($CQ$4:$CQ$40,MATCH(ROW()-3,$IM$4:$IM$40,0)))</f>
        <v/>
      </c>
      <c r="IO22">
        <f>IF(COUNTIF('Live Search'!BM$21:CD$21,0)+COUNTIF('Live Search'!CF$21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IP22">
        <f>IF($CV$22="",FALSE,SUMPRODUCT(('Final Calculation Sheet'!$R$4:$R$40=$CV$22)*($IO$6:$IO$42=1))&gt;0)</f>
        <v/>
      </c>
      <c r="IQ22">
        <f>$IQ$21+--($IP22)</f>
        <v/>
      </c>
      <c r="IR22">
        <f>IF(ROW()-3&gt;MAX($IQ$4:$IQ$40),"",INDEX($CV$4:$CV$40,MATCH(ROW()-3,$IQ$4:$IQ$40,0)))</f>
        <v/>
      </c>
      <c r="IS22">
        <f>IF(COUNTIF('Live Search'!BM$21:CE$21,0)+COUNTIF('Live Search'!CG$21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IT22">
        <f>IF($DA$22="",FALSE,SUMPRODUCT(('Final Calculation Sheet'!$S$4:$S$40=$DA$22)*($IS$6:$IS$42=1))&gt;0)</f>
        <v/>
      </c>
      <c r="IU22">
        <f>$IU$21+--($IT22)</f>
        <v/>
      </c>
      <c r="IV22">
        <f>IF(ROW()-3&gt;MAX($IU$4:$IU$40),"",INDEX($DA$4:$DA$40,MATCH(ROW()-3,$IU$4:$IU$40,0)))</f>
        <v/>
      </c>
      <c r="IW22">
        <f>IF(COUNTIF('Live Search'!BM$21:CF$21,0)+COUNTIF('Live Search'!CH$21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IX22">
        <f>IF($DF$22="",FALSE,SUMPRODUCT(('Final Calculation Sheet'!$T$4:$T$40=$DF$22)*($IW$6:$IW$42=1))&gt;0)</f>
        <v/>
      </c>
      <c r="IY22">
        <f>$IY$21+--($IX22)</f>
        <v/>
      </c>
      <c r="IZ22">
        <f>IF(ROW()-3&gt;MAX($IY$4:$IY$40),"",INDEX($DF$4:$DF$40,MATCH(ROW()-3,$IY$4:$IY$40,0)))</f>
        <v/>
      </c>
      <c r="JA22">
        <f>IF(COUNTIF('Live Search'!BM$21:CG$21,0)+COUNTIF('Live Search'!CI$21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JB22">
        <f>IF($DK$22="",FALSE,SUMPRODUCT(('Final Calculation Sheet'!$U$4:$U$40=$DK$22)*($JA$6:$JA$42=1))&gt;0)</f>
        <v/>
      </c>
      <c r="JC22">
        <f>$JC$21+--($JB22)</f>
        <v/>
      </c>
      <c r="JD22">
        <f>IF(ROW()-3&gt;MAX($JC$4:$JC$40),"",INDEX($DK$4:$DK$40,MATCH(ROW()-3,$JC$4:$JC$40,0)))</f>
        <v/>
      </c>
      <c r="JE22">
        <f>IF(COUNTIF('Live Search'!BM$21:CH$21,0)+COUNTIF('Live Search'!CJ$21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JF22">
        <f>IF($DP$22="",FALSE,SUMPRODUCT(('Final Calculation Sheet'!$V$4:$V$40=$DP$22)*($JE$6:$JE$42=1))&gt;0)</f>
        <v/>
      </c>
      <c r="JG22">
        <f>$JG$21+--($JF22)</f>
        <v/>
      </c>
      <c r="JH22">
        <f>IF(ROW()-3&gt;MAX($JG$4:$JG$40),"",INDEX($DP$4:$DP$40,MATCH(ROW()-3,$JG$4:$JG$40,0)))</f>
        <v/>
      </c>
      <c r="JI22">
        <f>IF(COUNTIF('Live Search'!BM$21:CI$21,0)+COUNTIF('Live Search'!CK$21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JJ22">
        <f>IF($DU$22="",FALSE,SUMPRODUCT(('Final Calculation Sheet'!$W$4:$W$40=$DU$22)*($JI$6:$JI$42=1))&gt;0)</f>
        <v/>
      </c>
      <c r="JK22">
        <f>$JK$21+--($JJ22)</f>
        <v/>
      </c>
      <c r="JL22">
        <f>IF(ROW()-3&gt;MAX($JK$4:$JK$40),"",INDEX($DU$4:$DU$40,MATCH(ROW()-3,$JK$4:$JK$40,0)))</f>
        <v/>
      </c>
      <c r="JM22">
        <f>IF(COUNTIF('Live Search'!BM$21:CJ$21,0)+COUNTIF('Live Search'!CL$21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JN22">
        <f>IF($DZ$22="",FALSE,SUMPRODUCT(('Final Calculation Sheet'!$X$4:$X$40=$DZ$22)*($JM$6:$JM$42=1))&gt;0)</f>
        <v/>
      </c>
      <c r="JO22">
        <f>$JO$21+--($JN22)</f>
        <v/>
      </c>
      <c r="JP22">
        <f>IF(ROW()-3&gt;MAX($JO$4:$JO$40),"",INDEX($DZ$4:$DZ$40,MATCH(ROW()-3,$JO$4:$JO$40,0)))</f>
        <v/>
      </c>
      <c r="JQ22">
        <f>IF(COUNTIF('Live Search'!BM$21:CK$21,0)+COUNTIF('Live Search'!CM$21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JR22">
        <f>IF($EE$22="",FALSE,SUMPRODUCT(('Final Calculation Sheet'!$Y$4:$Y$40=$EE$22)*($JQ$6:$JQ$42=1))&gt;0)</f>
        <v/>
      </c>
      <c r="JS22">
        <f>$JS$21+--($JR22)</f>
        <v/>
      </c>
      <c r="JT22">
        <f>IF(ROW()-3&gt;MAX($JS$4:$JS$40),"",INDEX($EE$4:$EE$40,MATCH(ROW()-3,$JS$4:$JS$40,0)))</f>
        <v/>
      </c>
      <c r="JU22">
        <f>IF(COUNTIF('Live Search'!BM$21:CL$21,0)+COUNTIF('Live Search'!CN$21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JV22">
        <f>IF($EJ$22="",FALSE,SUMPRODUCT(('Final Calculation Sheet'!$Z$4:$Z$40=$EJ$22)*($JU$6:$JU$42=1))&gt;0)</f>
        <v/>
      </c>
      <c r="JW22">
        <f>$JW$21+--($JV22)</f>
        <v/>
      </c>
      <c r="JX22">
        <f>IF(ROW()-3&gt;MAX($JW$4:$JW$40),"",INDEX($EJ$4:$EJ$40,MATCH(ROW()-3,$JW$4:$JW$40,0)))</f>
        <v/>
      </c>
      <c r="JY22">
        <f>IF(COUNTIF('Live Search'!BM$21:CM$21,0)+COUNTIF('Live Search'!CO$21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JZ22">
        <f>IF($EO$22="",FALSE,SUMPRODUCT(('Final Calculation Sheet'!$AA$4:$AA$40=$EO$22)*($JY$6:$JY$42=1))&gt;0)</f>
        <v/>
      </c>
      <c r="KA22">
        <f>$KA$21+--($JZ22)</f>
        <v/>
      </c>
      <c r="KB22">
        <f>IF(ROW()-3&gt;MAX($KA$4:$KA$40),"",INDEX($EO$4:$EO$40,MATCH(ROW()-3,$KA$4:$KA$40,0)))</f>
        <v/>
      </c>
      <c r="KC22">
        <f>IF(COUNTIF('Live Search'!BM$21:CN$21,0)+COUNTIF('Live Search'!CP$21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KD22">
        <f>IF($ET$22="",FALSE,SUMPRODUCT(('Final Calculation Sheet'!$AB$4:$AB$40=$ET$22)*($KC$6:$KC$42=1))&gt;0)</f>
        <v/>
      </c>
      <c r="KE22">
        <f>$KE$21+--($KD22)</f>
        <v/>
      </c>
      <c r="KF22">
        <f>IF(ROW()-3&gt;MAX($KE$4:$KE$40),"",INDEX($ET$4:$ET$40,MATCH(ROW()-3,$KE$4:$KE$40,0)))</f>
        <v/>
      </c>
      <c r="KG22">
        <f>IF(COUNTIF('Live Search'!BM$21:CO$21,0)+COUNTIF('Live Search'!CQ$21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KH22">
        <f>IF($EY$22="",FALSE,SUMPRODUCT(('Final Calculation Sheet'!$AC$4:$AC$40=$EY$22)*($KG$6:$KG$42=1))&gt;0)</f>
        <v/>
      </c>
      <c r="KI22">
        <f>$KI$21+--($KH22)</f>
        <v/>
      </c>
      <c r="KJ22">
        <f>IF(ROW()-3&gt;MAX($KI$4:$KI$40),"",INDEX($EY$4:$EY$40,MATCH(ROW()-3,$KI$4:$KI$40,0)))</f>
        <v/>
      </c>
      <c r="KK22">
        <f>IF(COUNTIF('Live Search'!BM$21:CP$21,0)+COUNTIF('Live Search'!CR$21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KL22">
        <f>IF($FD$22="",FALSE,SUMPRODUCT(('Final Calculation Sheet'!$AD$4:$AD$40=$FD$22)*($KK$6:$KK$42=1))&gt;0)</f>
        <v/>
      </c>
      <c r="KM22">
        <f>$KM$21+--($KL22)</f>
        <v/>
      </c>
      <c r="KN22">
        <f>IF(ROW()-3&gt;MAX($KM$4:$KM$40),"",INDEX($FD$4:$FD$40,MATCH(ROW()-3,$KM$4:$KM$40,0)))</f>
        <v/>
      </c>
      <c r="KO22">
        <f>IF(COUNTIF('Live Search'!BM$21:CT$21,0)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KP22">
        <f>IF($FX$22="",FALSE,SUMPRODUCT((IF('Final Calculation Sheet'!$AD$4:$AD$40&lt;=5,"SETTLED","OUTSTANDING")=$FX$22)*($KO$6:$KO$42=1))&gt;0)</f>
        <v/>
      </c>
      <c r="KQ22">
        <f>$KQ$21+--($KP22)</f>
        <v/>
      </c>
      <c r="KR22">
        <f>IF(ROW()-3&gt;MAX($KQ$4:$KQ$40),"",INDEX($FX$4:$FX$40,MATCH(ROW()-3,$KQ$4:$KQ$40,0)))</f>
        <v/>
      </c>
      <c r="KS22">
        <f>IF(COUNTIF('Live Search'!BM$21:CQ$21,0)+COUNTIF('Live Search'!CS$21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KT22">
        <f>IF($FI$22="",FALSE,SUMPRODUCT(('Final Calculation Sheet'!$AF$4:$AF$40=$FI$22)*($KS$6:$KS$42=1))&gt;0)</f>
        <v/>
      </c>
      <c r="KU22">
        <f>$KU$21+--($KT22)</f>
        <v/>
      </c>
      <c r="KV22">
        <f>IF(ROW()-3&gt;MAX($KU$4:$KU$40),"",INDEX($FI$4:$FI$40,MATCH(ROW()-3,$KU$4:$KU$40,0)))</f>
        <v/>
      </c>
      <c r="KW22">
        <f>IF(COUNTIF('Live Search'!BM$21:CR$21,0)+COUNTIF('Live Search'!CT$21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KX22">
        <f>IF($FN$22="",FALSE,SUMPRODUCT(('Final Calculation Sheet'!$AG$4:$AG$40=$FN$22)*($KW$6:$KW$42=1))&gt;0)</f>
        <v/>
      </c>
      <c r="KY22">
        <f>$KY$21+--($KX22)</f>
        <v/>
      </c>
      <c r="KZ22">
        <f>IF(ROW()-3&gt;MAX($KY$4:$KY$40),"",INDEX($FN$4:$FN$40,MATCH(ROW()-3,$KY$4:$KY$40,0)))</f>
        <v/>
      </c>
      <c r="LA22">
        <f>IF(COUNTIF('Live Search'!BM$21:CS$21,0)+COUNTIF('Live Search'!CU$21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LB22">
        <f>IF($FS$22="",FALSE,SUMPRODUCT(('Final Calculation Sheet'!$AH$4:$AH$40=$FS$22)*($LA$6:$LA$42=1))&gt;0)</f>
        <v/>
      </c>
      <c r="LC22">
        <f>$LC$21+--($LB22)</f>
        <v/>
      </c>
      <c r="LD22">
        <f>IF(ROW()-3&gt;MAX($LC$4:$LC$40),"",INDEX($FS$4:$FS$40,MATCH(ROW()-3,$LC$4:$LC$40,0)))</f>
        <v/>
      </c>
      <c r="LE22">
        <f>IF(COUNTIF('Buyer Groups'!DH75:EN75,0)&gt;0,0,1)</f>
        <v/>
      </c>
      <c r="LF22">
        <f>IF($O$22="",FALSE,SUMPRODUCT(('Final Calculation Sheet'!$F$4:$F$40=$O$22)*($LE$6:$LE$42=1))&gt;0)</f>
        <v/>
      </c>
      <c r="LG22">
        <f>$LG$21+--($LF22)</f>
        <v/>
      </c>
      <c r="LH22">
        <f>IF(ROW()-3&gt;MAX($LG$4:$LG$40),"",INDEX($O$4:$O$40,MATCH(ROW()-3,$LG$4:$LG$40,0)))</f>
        <v/>
      </c>
      <c r="LI22">
        <f>IF(COUNTIF('Buyer Groups'!DG75:DG75,0)+COUNTIF('Buyer Groups'!DI75:EN75,0)&gt;0,0,1)</f>
        <v/>
      </c>
      <c r="LJ22">
        <f>IF($T$22="",FALSE,SUMPRODUCT(('Final Calculation Sheet'!$G$4:$G$40=$T$22)*($LI$6:$LI$42=1))&gt;0)</f>
        <v/>
      </c>
      <c r="LK22">
        <f>$LK$21+--($LJ22)</f>
        <v/>
      </c>
      <c r="LL22">
        <f>IF(ROW()-3&gt;MAX($LK$4:$LK$40),"",INDEX($T$4:$T$40,MATCH(ROW()-3,$LK$4:$LK$40,0)))</f>
        <v/>
      </c>
      <c r="LM22">
        <f>IF(COUNTIF('Buyer Groups'!DG75:DH75,0)+COUNTIF('Buyer Groups'!DJ75:EN75,0)&gt;0,0,1)</f>
        <v/>
      </c>
      <c r="LN22">
        <f>IF($Y$22="",FALSE,SUMPRODUCT(('Final Calculation Sheet'!$B$4:$B$40=$Y$22)*($LM$6:$LM$42=1))&gt;0)</f>
        <v/>
      </c>
      <c r="LO22">
        <f>$LO$21+--($LN22)</f>
        <v/>
      </c>
      <c r="LP22">
        <f>IF(ROW()-3&gt;MAX($LO$4:$LO$40),"",INDEX($Y$4:$Y$40,MATCH(ROW()-3,$LO$4:$LO$40,0)))</f>
        <v/>
      </c>
      <c r="LQ22">
        <f>IF(COUNTIF('Buyer Groups'!DG75:DI75,0)+COUNTIF('Buyer Groups'!DK75:EN75,0)&gt;0,0,1)</f>
        <v/>
      </c>
      <c r="LR22">
        <f>IF($AD$22="",FALSE,SUMPRODUCT(('Final Calculation Sheet'!$D$4:$D$40=$AD$22)*($LQ$6:$LQ$42=1))&gt;0)</f>
        <v/>
      </c>
      <c r="LS22">
        <f>$LS$21+--($LR22)</f>
        <v/>
      </c>
      <c r="LT22">
        <f>IF(ROW()-3&gt;MAX($LS$4:$LS$40),"",INDEX($AD$4:$AD$40,MATCH(ROW()-3,$LS$4:$LS$40,0)))</f>
        <v/>
      </c>
      <c r="LU22">
        <f>IF(COUNTIF('Buyer Groups'!DG75:DJ75,0)+COUNTIF('Buyer Groups'!DL75:EN75,0)&gt;0,0,1)</f>
        <v/>
      </c>
      <c r="LV22">
        <f>IF($AI$22="",FALSE,SUMPRODUCT(('Final Calculation Sheet'!$A$4:$A$40=$AI$22)*($LU$6:$LU$42=1))&gt;0)</f>
        <v/>
      </c>
      <c r="LW22">
        <f>$LW$21+--($LV22)</f>
        <v/>
      </c>
      <c r="LX22">
        <f>IF(ROW()-3&gt;MAX($LW$4:$LW$40),"",INDEX($AI$4:$AI$40,MATCH(ROW()-3,$LW$4:$LW$40,0)))</f>
        <v/>
      </c>
      <c r="LY22">
        <f>IF(COUNTIF('Buyer Groups'!DG75:DK75,0)+COUNTIF('Buyer Groups'!DM75:EN75,0)&gt;0,0,1)</f>
        <v/>
      </c>
      <c r="LZ22">
        <f>IF($AN$22="",FALSE,SUMPRODUCT(('Final Calculation Sheet'!$E$4:$E$40=$AN$22)*($LY$6:$LY$42=1))&gt;0)</f>
        <v/>
      </c>
      <c r="MA22">
        <f>$MA$21+--($LZ22)</f>
        <v/>
      </c>
      <c r="MB22">
        <f>IF(ROW()-3&gt;MAX($MA$4:$MA$40),"",INDEX($AN$4:$AN$40,MATCH(ROW()-3,$MA$4:$MA$40,0)))</f>
        <v/>
      </c>
      <c r="MC22">
        <f>IF(COUNTIF('Buyer Groups'!DG75:DL75,0)+COUNTIF('Buyer Groups'!DN75:EN75,0)&gt;0,0,1)</f>
        <v/>
      </c>
      <c r="MD22">
        <f>IF($AS$22="",FALSE,SUMPRODUCT(('Final Calculation Sheet'!$C$4:$C$40=$AS$22)*($MC$6:$MC$42=1))&gt;0)</f>
        <v/>
      </c>
      <c r="ME22">
        <f>$ME$21+--($MD22)</f>
        <v/>
      </c>
      <c r="MF22">
        <f>IF(ROW()-3&gt;MAX($ME$4:$ME$40),"",INDEX($AS$4:$AS$40,MATCH(ROW()-3,$ME$4:$ME$40,0)))</f>
        <v/>
      </c>
      <c r="MG22">
        <f>IF(COUNTIF('Buyer Groups'!DG75:DM75,0)+COUNTIF('Buyer Groups'!DO75:EN75,0)&gt;0,0,1)</f>
        <v/>
      </c>
      <c r="MH22">
        <f>IF($AX$22="",FALSE,SUMPRODUCT(('Final Calculation Sheet'!$H$4:$H$40=$AX$22)*($MG$6:$MG$42=1))&gt;0)</f>
        <v/>
      </c>
      <c r="MI22">
        <f>$MI$21+--($MH22)</f>
        <v/>
      </c>
      <c r="MJ22">
        <f>IF(ROW()-3&gt;MAX($MI$4:$MI$40),"",INDEX($AX$4:$AX$40,MATCH(ROW()-3,$MI$4:$MI$40,0)))</f>
        <v/>
      </c>
      <c r="MK22">
        <f>IF(COUNTIF('Buyer Groups'!DG75:DN75,0)+COUNTIF('Buyer Groups'!DP75:EN75,0)&gt;0,0,1)</f>
        <v/>
      </c>
      <c r="ML22">
        <f>IF($BC$22="",FALSE,SUMPRODUCT(('Final Calculation Sheet'!$I$4:$I$40=$BC$22)*($MK$6:$MK$42=1))&gt;0)</f>
        <v/>
      </c>
      <c r="MM22">
        <f>$MM$21+--($ML22)</f>
        <v/>
      </c>
      <c r="MN22">
        <f>IF(ROW()-3&gt;MAX($MM$4:$MM$40),"",INDEX($BC$4:$BC$40,MATCH(ROW()-3,$MM$4:$MM$40,0)))</f>
        <v/>
      </c>
      <c r="MO22">
        <f>IF(COUNTIF('Buyer Groups'!DG75:DO75,0)+COUNTIF('Buyer Groups'!DQ75:EN75,0)&gt;0,0,1)</f>
        <v/>
      </c>
      <c r="MP22">
        <f>IF($BH$22="",FALSE,SUMPRODUCT(('Final Calculation Sheet'!$J$4:$J$40=$BH$22)*($MO$6:$MO$42=1))&gt;0)</f>
        <v/>
      </c>
      <c r="MQ22">
        <f>$MQ$21+--($MP22)</f>
        <v/>
      </c>
      <c r="MR22">
        <f>IF(ROW()-3&gt;MAX($MQ$4:$MQ$40),"",INDEX($BH$4:$BH$40,MATCH(ROW()-3,$MQ$4:$MQ$40,0)))</f>
        <v/>
      </c>
      <c r="MS22">
        <f>IF(COUNTIF('Buyer Groups'!DG75:DP75,0)+COUNTIF('Buyer Groups'!DR75:EN75,0)&gt;0,0,1)</f>
        <v/>
      </c>
      <c r="MT22">
        <f>IF($BM$22="",FALSE,SUMPRODUCT(('Final Calculation Sheet'!$K$4:$K$40=$BM$22)*($MS$6:$MS$42=1))&gt;0)</f>
        <v/>
      </c>
      <c r="MU22">
        <f>$MU$21+--($MT22)</f>
        <v/>
      </c>
      <c r="MV22">
        <f>IF(ROW()-3&gt;MAX($MU$4:$MU$40),"",INDEX($BM$4:$BM$40,MATCH(ROW()-3,$MU$4:$MU$40,0)))</f>
        <v/>
      </c>
      <c r="MW22">
        <f>IF(COUNTIF('Buyer Groups'!DG75:DQ75,0)+COUNTIF('Buyer Groups'!DS75:EN75,0)&gt;0,0,1)</f>
        <v/>
      </c>
      <c r="MX22">
        <f>IF($BR$22="",FALSE,SUMPRODUCT(('Final Calculation Sheet'!$L$4:$L$40=$BR$22)*($MW$6:$MW$42=1))&gt;0)</f>
        <v/>
      </c>
      <c r="MY22">
        <f>$MY$21+--($MX22)</f>
        <v/>
      </c>
      <c r="MZ22">
        <f>IF(ROW()-3&gt;MAX($MY$4:$MY$40),"",INDEX($BR$4:$BR$40,MATCH(ROW()-3,$MY$4:$MY$40,0)))</f>
        <v/>
      </c>
      <c r="NA22">
        <f>IF(COUNTIF('Buyer Groups'!DG75:DR75,0)+COUNTIF('Buyer Groups'!DT75:EN75,0)&gt;0,0,1)</f>
        <v/>
      </c>
      <c r="NB22">
        <f>IF($BW$22="",FALSE,SUMPRODUCT(('Final Calculation Sheet'!$M$4:$M$40=$BW$22)*($NA$6:$NA$42=1))&gt;0)</f>
        <v/>
      </c>
      <c r="NC22">
        <f>$NC$21+--($NB22)</f>
        <v/>
      </c>
      <c r="ND22">
        <f>IF(ROW()-3&gt;MAX($NC$4:$NC$40),"",INDEX($BW$4:$BW$40,MATCH(ROW()-3,$NC$4:$NC$40,0)))</f>
        <v/>
      </c>
      <c r="NE22">
        <f>IF(COUNTIF('Buyer Groups'!DG75:DS75,0)+COUNTIF('Buyer Groups'!DU75:EN75,0)&gt;0,0,1)</f>
        <v/>
      </c>
      <c r="NF22">
        <f>IF($CB$22="",FALSE,SUMPRODUCT(('Final Calculation Sheet'!$N$4:$N$40=$CB$22)*($NE$6:$NE$42=1))&gt;0)</f>
        <v/>
      </c>
      <c r="NG22">
        <f>$NG$21+--($NF22)</f>
        <v/>
      </c>
      <c r="NH22">
        <f>IF(ROW()-3&gt;MAX($NG$4:$NG$40),"",INDEX($CB$4:$CB$40,MATCH(ROW()-3,$NG$4:$NG$40,0)))</f>
        <v/>
      </c>
      <c r="NI22">
        <f>IF(COUNTIF('Buyer Groups'!DG75:DT75,0)+COUNTIF('Buyer Groups'!DV75:EN75,0)&gt;0,0,1)</f>
        <v/>
      </c>
      <c r="NJ22">
        <f>IF($CG$22="",FALSE,SUMPRODUCT(('Final Calculation Sheet'!$O$4:$O$40=$CG$22)*($NI$6:$NI$42=1))&gt;0)</f>
        <v/>
      </c>
      <c r="NK22">
        <f>$NK$21+--($NJ22)</f>
        <v/>
      </c>
      <c r="NL22">
        <f>IF(ROW()-3&gt;MAX($NK$4:$NK$40),"",INDEX($CG$4:$CG$40,MATCH(ROW()-3,$NK$4:$NK$40,0)))</f>
        <v/>
      </c>
      <c r="NM22">
        <f>IF(COUNTIF('Buyer Groups'!DG75:DU75,0)+COUNTIF('Buyer Groups'!DW75:EN75,0)&gt;0,0,1)</f>
        <v/>
      </c>
      <c r="NN22">
        <f>IF($CL$22="",FALSE,SUMPRODUCT(('Final Calculation Sheet'!$P$4:$P$40=$CL$22)*($NM$6:$NM$42=1))&gt;0)</f>
        <v/>
      </c>
      <c r="NO22">
        <f>$NO$21+--($NN22)</f>
        <v/>
      </c>
      <c r="NP22">
        <f>IF(ROW()-3&gt;MAX($NO$4:$NO$40),"",INDEX($CL$4:$CL$40,MATCH(ROW()-3,$NO$4:$NO$40,0)))</f>
        <v/>
      </c>
      <c r="NQ22">
        <f>IF(COUNTIF('Buyer Groups'!DG75:DV75,0)+COUNTIF('Buyer Groups'!DX75:EN75,0)&gt;0,0,1)</f>
        <v/>
      </c>
      <c r="NR22">
        <f>IF($CQ$22="",FALSE,SUMPRODUCT(('Final Calculation Sheet'!$Q$4:$Q$40=$CQ$22)*($NQ$6:$NQ$42=1))&gt;0)</f>
        <v/>
      </c>
      <c r="NS22">
        <f>$NS$21+--($NR22)</f>
        <v/>
      </c>
      <c r="NT22">
        <f>IF(ROW()-3&gt;MAX($NS$4:$NS$40),"",INDEX($CQ$4:$CQ$40,MATCH(ROW()-3,$NS$4:$NS$40,0)))</f>
        <v/>
      </c>
      <c r="NU22">
        <f>IF(COUNTIF('Buyer Groups'!DG75:DW75,0)+COUNTIF('Buyer Groups'!DY75:EN75,0)&gt;0,0,1)</f>
        <v/>
      </c>
      <c r="NV22">
        <f>IF($CV$22="",FALSE,SUMPRODUCT(('Final Calculation Sheet'!$R$4:$R$40=$CV$22)*($NU$6:$NU$42=1))&gt;0)</f>
        <v/>
      </c>
      <c r="NW22">
        <f>$NW$21+--($NV22)</f>
        <v/>
      </c>
      <c r="NX22">
        <f>IF(ROW()-3&gt;MAX($NW$4:$NW$40),"",INDEX($CV$4:$CV$40,MATCH(ROW()-3,$NW$4:$NW$40,0)))</f>
        <v/>
      </c>
      <c r="NY22">
        <f>IF(COUNTIF('Buyer Groups'!DG75:DX75,0)+COUNTIF('Buyer Groups'!DZ75:EN75,0)&gt;0,0,1)</f>
        <v/>
      </c>
      <c r="NZ22">
        <f>IF($DA$22="",FALSE,SUMPRODUCT(('Final Calculation Sheet'!$S$4:$S$40=$DA$22)*($NY$6:$NY$42=1))&gt;0)</f>
        <v/>
      </c>
      <c r="OA22">
        <f>$OA$21+--($NZ22)</f>
        <v/>
      </c>
      <c r="OB22">
        <f>IF(ROW()-3&gt;MAX($OA$4:$OA$40),"",INDEX($DA$4:$DA$40,MATCH(ROW()-3,$OA$4:$OA$40,0)))</f>
        <v/>
      </c>
      <c r="OC22">
        <f>IF(COUNTIF('Buyer Groups'!DG75:DY75,0)+COUNTIF('Buyer Groups'!EA75:EN75,0)&gt;0,0,1)</f>
        <v/>
      </c>
      <c r="OD22">
        <f>IF($DF$22="",FALSE,SUMPRODUCT(('Final Calculation Sheet'!$T$4:$T$40=$DF$22)*($OC$6:$OC$42=1))&gt;0)</f>
        <v/>
      </c>
      <c r="OE22">
        <f>$OE$21+--($OD22)</f>
        <v/>
      </c>
      <c r="OF22">
        <f>IF(ROW()-3&gt;MAX($OE$4:$OE$40),"",INDEX($DF$4:$DF$40,MATCH(ROW()-3,$OE$4:$OE$40,0)))</f>
        <v/>
      </c>
      <c r="OG22">
        <f>IF(COUNTIF('Buyer Groups'!DG75:DZ75,0)+COUNTIF('Buyer Groups'!EB75:EN75,0)&gt;0,0,1)</f>
        <v/>
      </c>
      <c r="OH22">
        <f>IF($DK$22="",FALSE,SUMPRODUCT(('Final Calculation Sheet'!$U$4:$U$40=$DK$22)*($OG$6:$OG$42=1))&gt;0)</f>
        <v/>
      </c>
      <c r="OI22">
        <f>$OI$21+--($OH22)</f>
        <v/>
      </c>
      <c r="OJ22">
        <f>IF(ROW()-3&gt;MAX($OI$4:$OI$40),"",INDEX($DK$4:$DK$40,MATCH(ROW()-3,$OI$4:$OI$40,0)))</f>
        <v/>
      </c>
      <c r="OK22">
        <f>IF(COUNTIF('Buyer Groups'!DG75:EA75,0)+COUNTIF('Buyer Groups'!EC75:EN75,0)&gt;0,0,1)</f>
        <v/>
      </c>
      <c r="OL22">
        <f>IF($DP$22="",FALSE,SUMPRODUCT(('Final Calculation Sheet'!$V$4:$V$40=$DP$22)*($OK$6:$OK$42=1))&gt;0)</f>
        <v/>
      </c>
      <c r="OM22">
        <f>$OM$21+--($OL22)</f>
        <v/>
      </c>
      <c r="ON22">
        <f>IF(ROW()-3&gt;MAX($OM$4:$OM$40),"",INDEX($DP$4:$DP$40,MATCH(ROW()-3,$OM$4:$OM$40,0)))</f>
        <v/>
      </c>
      <c r="OO22">
        <f>IF(COUNTIF('Buyer Groups'!DG75:EB75,0)+COUNTIF('Buyer Groups'!ED75:EN75,0)&gt;0,0,1)</f>
        <v/>
      </c>
      <c r="OP22">
        <f>IF($DU$22="",FALSE,SUMPRODUCT(('Final Calculation Sheet'!$W$4:$W$40=$DU$22)*($OO$6:$OO$42=1))&gt;0)</f>
        <v/>
      </c>
      <c r="OQ22">
        <f>$OQ$21+--($OP22)</f>
        <v/>
      </c>
      <c r="OR22">
        <f>IF(ROW()-3&gt;MAX($OQ$4:$OQ$40),"",INDEX($DU$4:$DU$40,MATCH(ROW()-3,$OQ$4:$OQ$40,0)))</f>
        <v/>
      </c>
      <c r="OS22">
        <f>IF(COUNTIF('Buyer Groups'!DG75:EC75,0)+COUNTIF('Buyer Groups'!EE75:EN75,0)&gt;0,0,1)</f>
        <v/>
      </c>
      <c r="OT22">
        <f>IF($DZ$22="",FALSE,SUMPRODUCT(('Final Calculation Sheet'!$X$4:$X$40=$DZ$22)*($OS$6:$OS$42=1))&gt;0)</f>
        <v/>
      </c>
      <c r="OU22">
        <f>$OU$21+--($OT22)</f>
        <v/>
      </c>
      <c r="OV22">
        <f>IF(ROW()-3&gt;MAX($OU$4:$OU$40),"",INDEX($DZ$4:$DZ$40,MATCH(ROW()-3,$OU$4:$OU$40,0)))</f>
        <v/>
      </c>
      <c r="OW22">
        <f>IF(COUNTIF('Buyer Groups'!DG75:ED75,0)+COUNTIF('Buyer Groups'!EF75:EN75,0)&gt;0,0,1)</f>
        <v/>
      </c>
      <c r="OX22">
        <f>IF($EE$22="",FALSE,SUMPRODUCT(('Final Calculation Sheet'!$Y$4:$Y$40=$EE$22)*($OW$6:$OW$42=1))&gt;0)</f>
        <v/>
      </c>
      <c r="OY22">
        <f>$OY$21+--($OX22)</f>
        <v/>
      </c>
      <c r="OZ22">
        <f>IF(ROW()-3&gt;MAX($OY$4:$OY$40),"",INDEX($EE$4:$EE$40,MATCH(ROW()-3,$OY$4:$OY$40,0)))</f>
        <v/>
      </c>
      <c r="PA22">
        <f>IF(COUNTIF('Buyer Groups'!DG75:EE75,0)+COUNTIF('Buyer Groups'!EG75:EN75,0)&gt;0,0,1)</f>
        <v/>
      </c>
      <c r="PB22">
        <f>IF($EJ$22="",FALSE,SUMPRODUCT(('Final Calculation Sheet'!$Z$4:$Z$40=$EJ$22)*($PA$6:$PA$42=1))&gt;0)</f>
        <v/>
      </c>
      <c r="PC22">
        <f>$PC$21+--($PB22)</f>
        <v/>
      </c>
      <c r="PD22">
        <f>IF(ROW()-3&gt;MAX($PC$4:$PC$40),"",INDEX($EJ$4:$EJ$40,MATCH(ROW()-3,$PC$4:$PC$40,0)))</f>
        <v/>
      </c>
      <c r="PE22">
        <f>IF(COUNTIF('Buyer Groups'!DG75:EF75,0)+COUNTIF('Buyer Groups'!EH75:EN75,0)&gt;0,0,1)</f>
        <v/>
      </c>
      <c r="PF22">
        <f>IF($EO$22="",FALSE,SUMPRODUCT(('Final Calculation Sheet'!$AA$4:$AA$40=$EO$22)*($PE$6:$PE$42=1))&gt;0)</f>
        <v/>
      </c>
      <c r="PG22">
        <f>$PG$21+--($PF22)</f>
        <v/>
      </c>
      <c r="PH22">
        <f>IF(ROW()-3&gt;MAX($PG$4:$PG$40),"",INDEX($EO$4:$EO$40,MATCH(ROW()-3,$PG$4:$PG$40,0)))</f>
        <v/>
      </c>
      <c r="PI22">
        <f>IF(COUNTIF('Buyer Groups'!DG75:EG75,0)+COUNTIF('Buyer Groups'!EI75:EN75,0)&gt;0,0,1)</f>
        <v/>
      </c>
      <c r="PJ22">
        <f>IF($ET$22="",FALSE,SUMPRODUCT(('Final Calculation Sheet'!$AB$4:$AB$40=$ET$22)*($PI$6:$PI$42=1))&gt;0)</f>
        <v/>
      </c>
      <c r="PK22">
        <f>$PK$21+--($PJ22)</f>
        <v/>
      </c>
      <c r="PL22">
        <f>IF(ROW()-3&gt;MAX($PK$4:$PK$40),"",INDEX($ET$4:$ET$40,MATCH(ROW()-3,$PK$4:$PK$40,0)))</f>
        <v/>
      </c>
      <c r="PM22">
        <f>IF(COUNTIF('Buyer Groups'!DG75:EH75,0)+COUNTIF('Buyer Groups'!EJ75:EN75,0)&gt;0,0,1)</f>
        <v/>
      </c>
      <c r="PN22">
        <f>IF($EY$22="",FALSE,SUMPRODUCT(('Final Calculation Sheet'!$AC$4:$AC$40=$EY$22)*($PM$6:$PM$42=1))&gt;0)</f>
        <v/>
      </c>
      <c r="PO22">
        <f>$PO$21+--($PN22)</f>
        <v/>
      </c>
      <c r="PP22">
        <f>IF(ROW()-3&gt;MAX($PO$4:$PO$40),"",INDEX($EY$4:$EY$40,MATCH(ROW()-3,$PO$4:$PO$40,0)))</f>
        <v/>
      </c>
      <c r="PQ22">
        <f>IF(COUNTIF('Buyer Groups'!DG75:EI75,0)+COUNTIF('Buyer Groups'!EK75:EN75,0)&gt;0,0,1)</f>
        <v/>
      </c>
      <c r="PR22">
        <f>IF($FD$22="",FALSE,SUMPRODUCT(('Final Calculation Sheet'!$AD$4:$AD$40=$FD$22)*($PQ$6:$PQ$42=1))&gt;0)</f>
        <v/>
      </c>
      <c r="PS22">
        <f>$PS$21+--($PR22)</f>
        <v/>
      </c>
      <c r="PT22">
        <f>IF(ROW()-3&gt;MAX($PS$4:$PS$40),"",INDEX($FD$4:$FD$40,MATCH(ROW()-3,$PS$4:$PS$40,0)))</f>
        <v/>
      </c>
      <c r="PU22">
        <f>IF(COUNTIF('Buyer Groups'!DG75:EJ75,0)+COUNTIF('Buyer Groups'!EL75:EN75,0)&gt;0,0,1)</f>
        <v/>
      </c>
      <c r="PV22">
        <f>IF($FX$22="",FALSE,SUMPRODUCT((IF('Final Calculation Sheet'!$AD$4:$AD$40&lt;=5,"SETTLED","OUTSTANDING")=$FX$22)*($PU$6:$PU$42=1))&gt;0)</f>
        <v/>
      </c>
      <c r="PW22">
        <f>$PW$21+--($PV22)</f>
        <v/>
      </c>
      <c r="PX22">
        <f>IF(ROW()-3&gt;MAX($PW$4:$PW$40),"",INDEX($FX$4:$FX$40,MATCH(ROW()-3,$PW$4:$PW$40,0)))</f>
        <v/>
      </c>
      <c r="PY22">
        <f>IF(COUNTIF('Buyer Groups'!DG75:EK75,0)+COUNTIF('Buyer Groups'!EM75:EN75,0)&gt;0,0,1)</f>
        <v/>
      </c>
      <c r="PZ22">
        <f>IF($FI$22="",FALSE,SUMPRODUCT(('Final Calculation Sheet'!$AF$4:$AF$40=$FI$22)*($PY$6:$PY$42=1))&gt;0)</f>
        <v/>
      </c>
      <c r="QA22">
        <f>$QA$21+--($PZ22)</f>
        <v/>
      </c>
      <c r="QB22">
        <f>IF(ROW()-3&gt;MAX($QA$4:$QA$40),"",INDEX($FI$4:$FI$40,MATCH(ROW()-3,$QA$4:$QA$40,0)))</f>
        <v/>
      </c>
      <c r="QC22">
        <f>IF(COUNTIF('Buyer Groups'!DG75:EL75,0)+COUNTIF('Buyer Groups'!EN75:EN75,0)&gt;0,0,1)</f>
        <v/>
      </c>
      <c r="QD22">
        <f>IF($FN$22="",FALSE,SUMPRODUCT(('Final Calculation Sheet'!$AG$4:$AG$40=$FN$22)*($QC$6:$QC$42=1))&gt;0)</f>
        <v/>
      </c>
      <c r="QE22">
        <f>$QE$21+--($QD22)</f>
        <v/>
      </c>
      <c r="QF22">
        <f>IF(ROW()-3&gt;MAX($QE$4:$QE$40),"",INDEX($FN$4:$FN$40,MATCH(ROW()-3,$QE$4:$QE$40,0)))</f>
        <v/>
      </c>
      <c r="QG22">
        <f>IF(COUNTIF('Buyer Groups'!DG75:EM75,0)&gt;0,0,1)</f>
        <v/>
      </c>
      <c r="QH22">
        <f>IF($FS$22="",FALSE,SUMPRODUCT(('Final Calculation Sheet'!$AH$4:$AH$40=$FS$22)*($QG$6:$QG$42=1))&gt;0)</f>
        <v/>
      </c>
      <c r="QI22">
        <f>$QI$21+--($QH22)</f>
        <v/>
      </c>
      <c r="QJ22">
        <f>IF(ROW()-3&gt;MAX($QI$4:$QI$40),"",INDEX($FS$4:$FS$40,MATCH(ROW()-3,$QI$4:$QI$40,0)))</f>
        <v/>
      </c>
      <c r="QK22" t="str">
        <f>IF('Final Calculation Sheet'!$AH$22="","",'Final Calculation Sheet'!$AH$22)</f>
      </c>
      <c r="QL22" t="str">
        <f>IF(QK22="","",COUNTIFS(QK$4:QK$40,"&lt;"&amp;QK22,QK$4:QK$40,"&lt;&gt;"&amp;"")+COUNTIF(QK$4:QK22,QK22))</f>
      </c>
      <c r="QM22" t="str">
        <f>IF(ROW()-3&gt;COUNTIF(QK$4:QK$40,"&lt;&gt;"&amp;""),"",INDEX(QK$4:QK$40,MATCH(ROW()-3,QL$4:QL$40,0)))</f>
      </c>
      <c r="QN22" t="str">
        <f>=QN21+F(AND(QM22&lt;&gt;"",COUNTIF(QM$4:QM22,QM22)=1),1,0)</f>
      </c>
      <c r="QO22" t="str">
        <f>IF(ROW()-3&gt;MAX(QN$4:QN$40),"",INDEX(QM$4:QM$40,MATCH(ROW()-3,QN$4:QN$40,0)))</f>
      </c>
      <c r="QP22" t="str">
        <f>IF(COUNTIF('Final Calculation Sheet'!$AM22:$BS22,0)&gt;0,0,1)</f>
      </c>
      <c r="QQ22" t="str">
        <f>IF($AI$22="",FALSE,SUMPRODUCT(('Final Calculation Sheet'!$A$4:$A$40=$AI$22)*($QP$4:$QP$40=1))&gt;0)</f>
      </c>
      <c r="QR22" t="str">
        <f>=$QR21+--($QQ22)</f>
      </c>
      <c r="QS22" t="str">
        <f>IF(ROW()-3&gt;MAX($QR$4:$QR$40),"",INDEX($AI$4:$AI$40,MATCH(ROW()-3,$QR$4:$QR$40,0)))</f>
      </c>
      <c r="QT22" t="str">
        <f>IF(COUNTIF('Final Calculation Sheet'!$AL22:$AL22,0)+COUNTIF('Final Calculation Sheet'!$AN22:$BS22,0)&gt;0,0,1)</f>
      </c>
      <c r="QU22" t="str">
        <f>IF($Y$22="",FALSE,SUMPRODUCT(('Final Calculation Sheet'!$B$4:$B$40=$Y$22)*($QT$4:$QT$40=1))&gt;0)</f>
      </c>
      <c r="QV22" t="str">
        <f>=$QV21+--($QU22)</f>
      </c>
      <c r="QW22" t="str">
        <f>IF(ROW()-3&gt;MAX($QV$4:$QV$40),"",INDEX($Y$4:$Y$40,MATCH(ROW()-3,$QV$4:$QV$40,0)))</f>
      </c>
      <c r="QX22" t="str">
        <f>IF(COUNTIF('Final Calculation Sheet'!$AL22:$AM22,0)+COUNTIF('Final Calculation Sheet'!$AO22:$BS22,0)&gt;0,0,1)</f>
      </c>
      <c r="QY22" t="str">
        <f>IF($AS$22="",FALSE,SUMPRODUCT(('Final Calculation Sheet'!$C$4:$C$40=$AS$22)*($QX$4:$QX$40=1))&gt;0)</f>
      </c>
      <c r="QZ22" t="str">
        <f>=$QZ21+--($QY22)</f>
      </c>
      <c r="RA22" t="str">
        <f>IF(ROW()-3&gt;MAX($QZ$4:$QZ$40),"",INDEX($AS$4:$AS$40,MATCH(ROW()-3,$QZ$4:$QZ$40,0)))</f>
      </c>
      <c r="RB22" t="str">
        <f>IF(COUNTIF('Final Calculation Sheet'!$AL22:$AN22,0)+COUNTIF('Final Calculation Sheet'!$AP22:$BS22,0)&gt;0,0,1)</f>
      </c>
      <c r="RC22" t="str">
        <f>IF($AD$22="",FALSE,SUMPRODUCT(('Final Calculation Sheet'!$D$4:$D$40=$AD$22)*($RB$4:$RB$40=1))&gt;0)</f>
      </c>
      <c r="RD22" t="str">
        <f>=$RD21+--($RC22)</f>
      </c>
      <c r="RE22" t="str">
        <f>IF(ROW()-3&gt;MAX($RD$4:$RD$40),"",INDEX($AD$4:$AD$40,MATCH(ROW()-3,$RD$4:$RD$40,0)))</f>
      </c>
      <c r="RF22" t="str">
        <f>IF(COUNTIF('Final Calculation Sheet'!$AL22:$AO22,0)+COUNTIF('Final Calculation Sheet'!$AQ22:$BS22,0)&gt;0,0,1)</f>
      </c>
      <c r="RG22" t="str">
        <f>IF($AN$22="",FALSE,SUMPRODUCT(('Final Calculation Sheet'!$E$4:$E$40=$AN$22)*($RF$4:$RF$40=1))&gt;0)</f>
      </c>
      <c r="RH22" t="str">
        <f>=$RH21+--($RG22)</f>
      </c>
      <c r="RI22" t="str">
        <f>IF(ROW()-3&gt;MAX($RH$4:$RH$40),"",INDEX($AN$4:$AN$40,MATCH(ROW()-3,$RH$4:$RH$40,0)))</f>
      </c>
      <c r="RJ22" t="str">
        <f>IF(COUNTIF('Final Calculation Sheet'!$AL22:$AP22,0)+COUNTIF('Final Calculation Sheet'!$AR22:$BS22,0)&gt;0,0,1)</f>
      </c>
      <c r="RK22" t="str">
        <f>IF($O$22="",FALSE,SUMPRODUCT(('Final Calculation Sheet'!$F$4:$F$40=$O$22)*($RJ$4:$RJ$40=1))&gt;0)</f>
      </c>
      <c r="RL22" t="str">
        <f>=$RL21+--($RK22)</f>
      </c>
      <c r="RM22" t="str">
        <f>IF(ROW()-3&gt;MAX($RL$4:$RL$40),"",INDEX($O$4:$O$40,MATCH(ROW()-3,$RL$4:$RL$40,0)))</f>
      </c>
      <c r="RN22" t="str">
        <f>IF(COUNTIF('Final Calculation Sheet'!$AL22:$AQ22,0)+COUNTIF('Final Calculation Sheet'!$AS22:$BS22,0)&gt;0,0,1)</f>
      </c>
      <c r="RO22" t="str">
        <f>IF($T$22="",FALSE,SUMPRODUCT(('Final Calculation Sheet'!$G$4:$G$40=$T$22)*($RN$4:$RN$40=1))&gt;0)</f>
      </c>
      <c r="RP22" t="str">
        <f>=$RP21+--($RO22)</f>
      </c>
      <c r="RQ22" t="str">
        <f>IF(ROW()-3&gt;MAX($RP$4:$RP$40),"",INDEX($T$4:$T$40,MATCH(ROW()-3,$RP$4:$RP$40,0)))</f>
      </c>
      <c r="RR22" t="str">
        <f>IF(COUNTIF('Final Calculation Sheet'!$AL22:$AR22,0)+COUNTIF('Final Calculation Sheet'!$AT22:$BS22,0)&gt;0,0,1)</f>
      </c>
      <c r="RS22" t="str">
        <f>IF($AX$22="",FALSE,SUMPRODUCT(('Final Calculation Sheet'!$H$4:$H$40=$AX$22)*($RR$4:$RR$40=1))&gt;0)</f>
      </c>
      <c r="RT22" t="str">
        <f>=$RT21+--($RS22)</f>
      </c>
      <c r="RU22" t="str">
        <f>IF(ROW()-3&gt;MAX($RT$4:$RT$40),"",INDEX($AX$4:$AX$40,MATCH(ROW()-3,$RT$4:$RT$40,0)))</f>
      </c>
      <c r="RV22" t="str">
        <f>IF(COUNTIF('Final Calculation Sheet'!$AL22:$AS22,0)+COUNTIF('Final Calculation Sheet'!$AU22:$BS22,0)&gt;0,0,1)</f>
      </c>
      <c r="RW22" t="str">
        <f>IF($BC$22="",FALSE,SUMPRODUCT(('Final Calculation Sheet'!$I$4:$I$40=$BC$22)*($RV$4:$RV$40=1))&gt;0)</f>
      </c>
      <c r="RX22" t="str">
        <f>=$RX21+--($RW22)</f>
      </c>
      <c r="RY22" t="str">
        <f>IF(ROW()-3&gt;MAX($RX$4:$RX$40),"",INDEX($BC$4:$BC$40,MATCH(ROW()-3,$RX$4:$RX$40,0)))</f>
      </c>
      <c r="RZ22" t="str">
        <f>IF(COUNTIF('Final Calculation Sheet'!$AL22:$AT22,0)+COUNTIF('Final Calculation Sheet'!$AV22:$BS22,0)&gt;0,0,1)</f>
      </c>
      <c r="SA22" t="str">
        <f>IF($BH$22="",FALSE,SUMPRODUCT(('Final Calculation Sheet'!$J$4:$J$40=$BH$22)*($RZ$4:$RZ$40=1))&gt;0)</f>
      </c>
      <c r="SB22" t="str">
        <f>=$SB21+--($SA22)</f>
      </c>
      <c r="SC22" t="str">
        <f>IF(ROW()-3&gt;MAX($SB$4:$SB$40),"",INDEX($BH$4:$BH$40,MATCH(ROW()-3,$SB$4:$SB$40,0)))</f>
      </c>
      <c r="SD22" t="str">
        <f>IF(COUNTIF('Final Calculation Sheet'!$AL22:$AU22,0)+COUNTIF('Final Calculation Sheet'!$AW22:$BS22,0)&gt;0,0,1)</f>
      </c>
      <c r="SE22" t="str">
        <f>IF($BM$22="",FALSE,SUMPRODUCT(('Final Calculation Sheet'!$K$4:$K$40=$BM$22)*($SD$4:$SD$40=1))&gt;0)</f>
      </c>
      <c r="SF22" t="str">
        <f>=$SF21+--($SE22)</f>
      </c>
      <c r="SG22" t="str">
        <f>IF(ROW()-3&gt;MAX($SF$4:$SF$40),"",INDEX($BM$4:$BM$40,MATCH(ROW()-3,$SF$4:$SF$40,0)))</f>
      </c>
      <c r="SH22" t="str">
        <f>IF(COUNTIF('Final Calculation Sheet'!$AL22:$AV22,0)+COUNTIF('Final Calculation Sheet'!$AX22:$BS22,0)&gt;0,0,1)</f>
      </c>
      <c r="SI22" t="str">
        <f>IF($BR$22="",FALSE,SUMPRODUCT(('Final Calculation Sheet'!$L$4:$L$40=$BR$22)*($SH$4:$SH$40=1))&gt;0)</f>
      </c>
      <c r="SJ22" t="str">
        <f>=$SJ21+--($SI22)</f>
      </c>
      <c r="SK22" t="str">
        <f>IF(ROW()-3&gt;MAX($SJ$4:$SJ$40),"",INDEX($BR$4:$BR$40,MATCH(ROW()-3,$SJ$4:$SJ$40,0)))</f>
      </c>
      <c r="SL22" t="str">
        <f>IF(COUNTIF('Final Calculation Sheet'!$AL22:$AW22,0)+COUNTIF('Final Calculation Sheet'!$AY22:$BS22,0)&gt;0,0,1)</f>
      </c>
      <c r="SM22" t="str">
        <f>IF($BW$22="",FALSE,SUMPRODUCT(('Final Calculation Sheet'!$M$4:$M$40=$BW$22)*($SL$4:$SL$40=1))&gt;0)</f>
      </c>
      <c r="SN22" t="str">
        <f>=$SN21+--($SM22)</f>
      </c>
      <c r="SO22" t="str">
        <f>IF(ROW()-3&gt;MAX($SN$4:$SN$40),"",INDEX($BW$4:$BW$40,MATCH(ROW()-3,$SN$4:$SN$40,0)))</f>
      </c>
      <c r="SP22" t="str">
        <f>IF(COUNTIF('Final Calculation Sheet'!$AL22:$AX22,0)+COUNTIF('Final Calculation Sheet'!$AZ22:$BS22,0)&gt;0,0,1)</f>
      </c>
      <c r="SQ22" t="str">
        <f>IF($CB$22="",FALSE,SUMPRODUCT(('Final Calculation Sheet'!$N$4:$N$40=$CB$22)*($SP$4:$SP$40=1))&gt;0)</f>
      </c>
      <c r="SR22" t="str">
        <f>=$SR21+--($SQ22)</f>
      </c>
      <c r="SS22" t="str">
        <f>IF(ROW()-3&gt;MAX($SR$4:$SR$40),"",INDEX($CB$4:$CB$40,MATCH(ROW()-3,$SR$4:$SR$40,0)))</f>
      </c>
      <c r="ST22" t="str">
        <f>IF(COUNTIF('Final Calculation Sheet'!$AL22:$AY22,0)+COUNTIF('Final Calculation Sheet'!$BA22:$BS22,0)&gt;0,0,1)</f>
      </c>
      <c r="SU22" t="str">
        <f>IF($CG$22="",FALSE,SUMPRODUCT(('Final Calculation Sheet'!$O$4:$O$40=$CG$22)*($ST$4:$ST$40=1))&gt;0)</f>
      </c>
      <c r="SV22" t="str">
        <f>=$SV21+--($SU22)</f>
      </c>
      <c r="SW22" t="str">
        <f>IF(ROW()-3&gt;MAX($SV$4:$SV$40),"",INDEX($CG$4:$CG$40,MATCH(ROW()-3,$SV$4:$SV$40,0)))</f>
      </c>
      <c r="SX22" t="str">
        <f>IF(COUNTIF('Final Calculation Sheet'!$AL22:$AZ22,0)+COUNTIF('Final Calculation Sheet'!$BB22:$BS22,0)&gt;0,0,1)</f>
      </c>
      <c r="SY22" t="str">
        <f>IF($CL$22="",FALSE,SUMPRODUCT(('Final Calculation Sheet'!$P$4:$P$40=$CL$22)*($SX$4:$SX$40=1))&gt;0)</f>
      </c>
      <c r="SZ22" t="str">
        <f>=$SZ21+--($SY22)</f>
      </c>
      <c r="TA22" t="str">
        <f>IF(ROW()-3&gt;MAX($SZ$4:$SZ$40),"",INDEX($CL$4:$CL$40,MATCH(ROW()-3,$SZ$4:$SZ$40,0)))</f>
      </c>
      <c r="TB22" t="str">
        <f>IF(COUNTIF('Final Calculation Sheet'!$AL22:$BA22,0)+COUNTIF('Final Calculation Sheet'!$BC22:$BS22,0)&gt;0,0,1)</f>
      </c>
      <c r="TC22" t="str">
        <f>IF($CQ$22="",FALSE,SUMPRODUCT(('Final Calculation Sheet'!$Q$4:$Q$40=$CQ$22)*($TB$4:$TB$40=1))&gt;0)</f>
      </c>
      <c r="TD22" t="str">
        <f>=$TD21+--($TC22)</f>
      </c>
      <c r="TE22" t="str">
        <f>IF(ROW()-3&gt;MAX($TD$4:$TD$40),"",INDEX($CQ$4:$CQ$40,MATCH(ROW()-3,$TD$4:$TD$40,0)))</f>
      </c>
      <c r="TF22" t="str">
        <f>IF(COUNTIF('Final Calculation Sheet'!$AL22:$BB22,0)+COUNTIF('Final Calculation Sheet'!$BD22:$BS22,0)&gt;0,0,1)</f>
      </c>
      <c r="TG22" t="str">
        <f>IF($CV$22="",FALSE,SUMPRODUCT(('Final Calculation Sheet'!$R$4:$R$40=$CV$22)*($TF$4:$TF$40=1))&gt;0)</f>
      </c>
      <c r="TH22" t="str">
        <f>=$TH21+--($TG22)</f>
      </c>
      <c r="TI22" t="str">
        <f>IF(ROW()-3&gt;MAX($TH$4:$TH$40),"",INDEX($CV$4:$CV$40,MATCH(ROW()-3,$TH$4:$TH$40,0)))</f>
      </c>
      <c r="TJ22" t="str">
        <f>IF(COUNTIF('Final Calculation Sheet'!$AL22:$BC22,0)+COUNTIF('Final Calculation Sheet'!$BE22:$BS22,0)&gt;0,0,1)</f>
      </c>
      <c r="TK22" t="str">
        <f>IF($DA$22="",FALSE,SUMPRODUCT(('Final Calculation Sheet'!$S$4:$S$40=$DA$22)*($TJ$4:$TJ$40=1))&gt;0)</f>
      </c>
      <c r="TL22" t="str">
        <f>=$TL21+--($TK22)</f>
      </c>
      <c r="TM22" t="str">
        <f>IF(ROW()-3&gt;MAX($TL$4:$TL$40),"",INDEX($DA$4:$DA$40,MATCH(ROW()-3,$TL$4:$TL$40,0)))</f>
      </c>
      <c r="TN22" t="str">
        <f>IF(COUNTIF('Final Calculation Sheet'!$AL22:$BD22,0)+COUNTIF('Final Calculation Sheet'!$BF22:$BS22,0)&gt;0,0,1)</f>
      </c>
      <c r="TO22" t="str">
        <f>IF($DF$22="",FALSE,SUMPRODUCT(('Final Calculation Sheet'!$T$4:$T$40=$DF$22)*($TN$4:$TN$40=1))&gt;0)</f>
      </c>
      <c r="TP22" t="str">
        <f>=$TP21+--($TO22)</f>
      </c>
      <c r="TQ22" t="str">
        <f>IF(ROW()-3&gt;MAX($TP$4:$TP$40),"",INDEX($DF$4:$DF$40,MATCH(ROW()-3,$TP$4:$TP$40,0)))</f>
      </c>
      <c r="TR22" t="str">
        <f>IF(COUNTIF('Final Calculation Sheet'!$AL22:$BE22,0)+COUNTIF('Final Calculation Sheet'!$BG22:$BS22,0)&gt;0,0,1)</f>
      </c>
      <c r="TS22" t="str">
        <f>IF($DK$22="",FALSE,SUMPRODUCT(('Final Calculation Sheet'!$U$4:$U$40=$DK$22)*($TR$4:$TR$40=1))&gt;0)</f>
      </c>
      <c r="TT22" t="str">
        <f>=$TT21+--($TS22)</f>
      </c>
      <c r="TU22" t="str">
        <f>IF(ROW()-3&gt;MAX($TT$4:$TT$40),"",INDEX($DK$4:$DK$40,MATCH(ROW()-3,$TT$4:$TT$40,0)))</f>
      </c>
      <c r="TV22" t="str">
        <f>IF(COUNTIF('Final Calculation Sheet'!$AL22:$BF22,0)+COUNTIF('Final Calculation Sheet'!$BH22:$BS22,0)&gt;0,0,1)</f>
      </c>
      <c r="TW22" t="str">
        <f>IF($DP$22="",FALSE,SUMPRODUCT(('Final Calculation Sheet'!$V$4:$V$40=$DP$22)*($TV$4:$TV$40=1))&gt;0)</f>
      </c>
      <c r="TX22" t="str">
        <f>=$TX21+--($TW22)</f>
      </c>
      <c r="TY22" t="str">
        <f>IF(ROW()-3&gt;MAX($TX$4:$TX$40),"",INDEX($DP$4:$DP$40,MATCH(ROW()-3,$TX$4:$TX$40,0)))</f>
      </c>
      <c r="TZ22" t="str">
        <f>IF(COUNTIF('Final Calculation Sheet'!$AL22:$BG22,0)+COUNTIF('Final Calculation Sheet'!$BI22:$BS22,0)&gt;0,0,1)</f>
      </c>
      <c r="UA22" t="str">
        <f>IF($DU$22="",FALSE,SUMPRODUCT(('Final Calculation Sheet'!$W$4:$W$40=$DU$22)*($TZ$4:$TZ$40=1))&gt;0)</f>
      </c>
      <c r="UB22" t="str">
        <f>=$UB21+--($UA22)</f>
      </c>
      <c r="UC22" t="str">
        <f>IF(ROW()-3&gt;MAX($UB$4:$UB$40),"",INDEX($DU$4:$DU$40,MATCH(ROW()-3,$UB$4:$UB$40,0)))</f>
      </c>
      <c r="UD22" t="str">
        <f>IF(COUNTIF('Final Calculation Sheet'!$AL22:$BH22,0)+COUNTIF('Final Calculation Sheet'!$BJ22:$BS22,0)&gt;0,0,1)</f>
      </c>
      <c r="UE22" t="str">
        <f>IF($DZ$22="",FALSE,SUMPRODUCT(('Final Calculation Sheet'!$X$4:$X$40=$DZ$22)*($UD$4:$UD$40=1))&gt;0)</f>
      </c>
      <c r="UF22" t="str">
        <f>=$UF21+--($UE22)</f>
      </c>
      <c r="UG22" t="str">
        <f>IF(ROW()-3&gt;MAX($UF$4:$UF$40),"",INDEX($DZ$4:$DZ$40,MATCH(ROW()-3,$UF$4:$UF$40,0)))</f>
      </c>
      <c r="UH22" t="str">
        <f>IF(COUNTIF('Final Calculation Sheet'!$AL22:$BI22,0)+COUNTIF('Final Calculation Sheet'!$BK22:$BS22,0)&gt;0,0,1)</f>
      </c>
      <c r="UI22" t="str">
        <f>IF($EE$22="",FALSE,SUMPRODUCT(('Final Calculation Sheet'!$Y$4:$Y$40=$EE$22)*($UH$4:$UH$40=1))&gt;0)</f>
      </c>
      <c r="UJ22" t="str">
        <f>=$UJ21+--($UI22)</f>
      </c>
      <c r="UK22" t="str">
        <f>IF(ROW()-3&gt;MAX($UJ$4:$UJ$40),"",INDEX($EE$4:$EE$40,MATCH(ROW()-3,$UJ$4:$UJ$40,0)))</f>
      </c>
      <c r="UL22" t="str">
        <f>IF(COUNTIF('Final Calculation Sheet'!$AL22:$BJ22,0)+COUNTIF('Final Calculation Sheet'!$BL22:$BS22,0)&gt;0,0,1)</f>
      </c>
      <c r="UM22" t="str">
        <f>IF($EJ$22="",FALSE,SUMPRODUCT(('Final Calculation Sheet'!$Z$4:$Z$40=$EJ$22)*($UL$4:$UL$40=1))&gt;0)</f>
      </c>
      <c r="UN22" t="str">
        <f>=$UN21+--($UM22)</f>
      </c>
      <c r="UO22" t="str">
        <f>IF(ROW()-3&gt;MAX($UN$4:$UN$40),"",INDEX($EJ$4:$EJ$40,MATCH(ROW()-3,$UN$4:$UN$40,0)))</f>
      </c>
      <c r="UP22" t="str">
        <f>IF(COUNTIF('Final Calculation Sheet'!$AL22:$BK22,0)+COUNTIF('Final Calculation Sheet'!$BM22:$BS22,0)&gt;0,0,1)</f>
      </c>
      <c r="UQ22" t="str">
        <f>IF($EO$22="",FALSE,SUMPRODUCT(('Final Calculation Sheet'!$AA$4:$AA$40=$EO$22)*($UP$4:$UP$40=1))&gt;0)</f>
      </c>
      <c r="UR22" t="str">
        <f>=$UR21+--($UQ22)</f>
      </c>
      <c r="US22" t="str">
        <f>IF(ROW()-3&gt;MAX($UR$4:$UR$40),"",INDEX($EO$4:$EO$40,MATCH(ROW()-3,$UR$4:$UR$40,0)))</f>
      </c>
      <c r="UT22" t="str">
        <f>IF(COUNTIF('Final Calculation Sheet'!$AL22:$BL22,0)+COUNTIF('Final Calculation Sheet'!$BN22:$BS22,0)&gt;0,0,1)</f>
      </c>
      <c r="UU22" t="str">
        <f>IF($ET$22="",FALSE,SUMPRODUCT(('Final Calculation Sheet'!$AB$4:$AB$40=$ET$22)*($UT$4:$UT$40=1))&gt;0)</f>
      </c>
      <c r="UV22" t="str">
        <f>=$UV21+--($UU22)</f>
      </c>
      <c r="UW22" t="str">
        <f>IF(ROW()-3&gt;MAX($UV$4:$UV$40),"",INDEX($ET$4:$ET$40,MATCH(ROW()-3,$UV$4:$UV$40,0)))</f>
      </c>
      <c r="UX22" t="str">
        <f>IF(COUNTIF('Final Calculation Sheet'!$AL22:$BM22,0)+COUNTIF('Final Calculation Sheet'!$BO22:$BS22,0)&gt;0,0,1)</f>
      </c>
      <c r="UY22" t="str">
        <f>IF($EY$22="",FALSE,SUMPRODUCT(('Final Calculation Sheet'!$AC$4:$AC$40=$EY$22)*($UX$4:$UX$40=1))&gt;0)</f>
      </c>
      <c r="UZ22" t="str">
        <f>=$UZ21+--($UY22)</f>
      </c>
      <c r="VA22" t="str">
        <f>IF(ROW()-3&gt;MAX($UZ$4:$UZ$40),"",INDEX($EY$4:$EY$40,MATCH(ROW()-3,$UZ$4:$UZ$40,0)))</f>
      </c>
      <c r="VB22" t="str">
        <f>IF(COUNTIF('Final Calculation Sheet'!$AL22:$BN22,0)+COUNTIF('Final Calculation Sheet'!$BP22:$BS22,0)&gt;0,0,1)</f>
      </c>
      <c r="VC22" t="str">
        <f>IF($FD$22="",FALSE,SUMPRODUCT(('Final Calculation Sheet'!$AD$4:$AD$40=$FD$22)*($VB$4:$VB$40=1))&gt;0)</f>
      </c>
      <c r="VD22" t="str">
        <f>=$VD21+--($VC22)</f>
      </c>
      <c r="VE22" t="str">
        <f>IF(ROW()-3&gt;MAX($VD$4:$VD$40),"",INDEX($FD$4:$FD$40,MATCH(ROW()-3,$VD$4:$VD$40,0)))</f>
      </c>
      <c r="VF22" t="str">
        <f>IF(COUNTIF('Final Calculation Sheet'!$AL22:$BO22,0)+COUNTIF('Final Calculation Sheet'!$BQ22:$BS22,0)&gt;0,0,1)</f>
      </c>
      <c r="VG22" t="str">
        <f>IF($FI$22="",FALSE,SUMPRODUCT(('Final Calculation Sheet'!$AE$4:$AE$40=$FI$22)*($VF$4:$VF$40=1))&gt;0)</f>
      </c>
      <c r="VH22" t="str">
        <f>=$VH21+--($VG22)</f>
      </c>
      <c r="VI22" t="str">
        <f>IF(ROW()-3&gt;MAX($VH$4:$VH$40),"",INDEX($FI$4:$FI$40,MATCH(ROW()-3,$VH$4:$VH$40,0)))</f>
      </c>
      <c r="VJ22" t="str">
        <f>IF(COUNTIF('Final Calculation Sheet'!$AL22:$BP22,0)+COUNTIF('Final Calculation Sheet'!$BR22:$BS22,0)&gt;0,0,1)</f>
      </c>
      <c r="VK22" t="str">
        <f>IF($FN$22="",FALSE,SUMPRODUCT(('Final Calculation Sheet'!$AF$4:$AF$40=$FN$22)*($VJ$4:$VJ$40=1))&gt;0)</f>
      </c>
      <c r="VL22" t="str">
        <f>=$VL21+--($VK22)</f>
      </c>
      <c r="VM22" t="str">
        <f>IF(ROW()-3&gt;MAX($VL$4:$VL$40),"",INDEX($FN$4:$FN$40,MATCH(ROW()-3,$VL$4:$VL$40,0)))</f>
      </c>
      <c r="VN22" t="str">
        <f>IF(COUNTIF('Final Calculation Sheet'!$AL22:$BQ22,0)+COUNTIF('Final Calculation Sheet'!$BS22:$BS22,0)&gt;0,0,1)</f>
      </c>
      <c r="VO22" t="str">
        <f>IF($FS$22="",FALSE,SUMPRODUCT(('Final Calculation Sheet'!$AG$4:$AG$40=$FS$22)*($VN$4:$VN$40=1))&gt;0)</f>
      </c>
      <c r="VP22" t="str">
        <f>=$VP21+--($VO22)</f>
      </c>
      <c r="VQ22" t="str">
        <f>IF(ROW()-3&gt;MAX($VP$4:$VP$40),"",INDEX($FS$4:$FS$40,MATCH(ROW()-3,$VP$4:$VP$40,0)))</f>
      </c>
      <c r="VR22" t="str">
        <f>IF(COUNTIF('Final Calculation Sheet'!$AL22:$BR22,0)&gt;0,0,1)</f>
      </c>
      <c r="VS22" t="str">
        <f>IF($QO$22="",FALSE,SUMPRODUCT(('Final Calculation Sheet'!$AH$4:$AH$40=$QO$22)*($VR$4:$VR$40=1))&gt;0)</f>
      </c>
      <c r="VT22" t="str">
        <f>=$VT21+--($VS22)</f>
      </c>
      <c r="VU22" t="str">
        <f>IF(ROW()-3&gt;MAX($VT$4:$VT$40),"",INDEX($QO$4:$QO$40,MATCH(ROW()-3,$VT$4:$VT$40,0)))</f>
      </c>
    </row>
    <row r="23">
      <c r="A23">
        <f>IF('Final Calculation Sheet'!$F$23="","",'Final Calculation Sheet'!$F$23)</f>
        <v/>
      </c>
      <c r="B23">
        <f>IF(A23="","",COUNTIFS(A$4:A$114,"&lt;"&amp;A23,A$4:A$114,"&lt;&gt;"&amp;"")+COUNTIF(A$4:A23,A23))</f>
        <v/>
      </c>
      <c r="C23">
        <f>IF(ROW()-3&gt;COUNTIF(A$4:A$114,"&lt;&gt;"&amp;""),"",INDEX(A$4:A$114,MATCH(ROW()-3,B$4:B$114,0)))</f>
        <v/>
      </c>
      <c r="D23">
        <f>D22+IF(AND(C23&lt;&gt;"",COUNTIF(C$4:C23,C23)=1),1,0)</f>
        <v/>
      </c>
      <c r="E23">
        <f>IF(ROW()-3&gt;MAX(D$4:D$114),"",INDEX(C$4:C$114,MATCH(ROW()-3,D$4:D$114,0)))</f>
        <v/>
      </c>
      <c r="F23">
        <f>ROW()-3</f>
        <v/>
      </c>
      <c r="G23">
        <f>IF(F23="","",COUNTIFS(F$4:F$40,"&lt;"&amp;F23,F$4:F$40,"&lt;&gt;"&amp;"")+COUNTIF(F$4:F23,F23))</f>
        <v/>
      </c>
      <c r="H23">
        <f>IF(ROW()-3&gt;COUNTIF(F$4:F$40,"&lt;&gt;"&amp;""),"",INDEX(F$4:F$40,MATCH(ROW()-3,G$4:G$40,0)))</f>
        <v/>
      </c>
      <c r="I23">
        <f>I22+IF(AND(H23&lt;&gt;"",COUNTIF(H$4:H23,H23)=1),1,0)</f>
        <v/>
      </c>
      <c r="J23">
        <f>IF(ROW()-3&gt;MAX(I$4:I$40),"",INDEX(H$4:H$40,MATCH(ROW()-3,I$4:I$40,0)))</f>
        <v/>
      </c>
      <c r="K23">
        <f>IF('Final Calculation Sheet'!$F$23="","",'Final Calculation Sheet'!$F$23)</f>
        <v/>
      </c>
      <c r="L23">
        <f>IF(K23="","",COUNTIFS(K$4:K$40,"&lt;"&amp;K23,K$4:K$40,"&lt;&gt;"&amp;"")+COUNTIF(K$4:K23,K23))</f>
        <v/>
      </c>
      <c r="M23">
        <f>IF(ROW()-3&gt;COUNTIF(K$4:K$40,"&lt;&gt;"&amp;""),"",INDEX(K$4:K$40,MATCH(ROW()-3,L$4:L$40,0)))</f>
        <v/>
      </c>
      <c r="N23">
        <f>N22+IF(AND(M23&lt;&gt;"",COUNTIF(M$4:M23,M23)=1),1,0)</f>
        <v/>
      </c>
      <c r="O23">
        <f>IF(ROW()-3&gt;MAX(N$4:N$40),"",INDEX(M$4:M$40,MATCH(ROW()-3,N$4:N$40,0)))</f>
        <v/>
      </c>
      <c r="P23">
        <f>IF('Final Calculation Sheet'!$G$23="","",'Final Calculation Sheet'!$G$23)</f>
        <v/>
      </c>
      <c r="Q23">
        <f>IF(P23="","",COUNTIFS(P$4:P$40,"&lt;"&amp;P23,P$4:P$40,"&lt;&gt;"&amp;"")+COUNTIF(P$4:P23,P23))</f>
        <v/>
      </c>
      <c r="R23">
        <f>IF(ROW()-3&gt;COUNTIF(P$4:P$40,"&lt;&gt;"&amp;""),"",INDEX(P$4:P$40,MATCH(ROW()-3,Q$4:Q$40,0)))</f>
        <v/>
      </c>
      <c r="S23">
        <f>S22+IF(AND(R23&lt;&gt;"",COUNTIF(R$4:R23,R23)=1),1,0)</f>
        <v/>
      </c>
      <c r="T23">
        <f>IF(ROW()-3&gt;MAX(S$4:S$40),"",INDEX(R$4:R$40,MATCH(ROW()-3,S$4:S$40,0)))</f>
        <v/>
      </c>
      <c r="U23">
        <f>IF('Final Calculation Sheet'!$B$23="","",'Final Calculation Sheet'!$B$23)</f>
        <v/>
      </c>
      <c r="V23">
        <f>IF(U23="","",COUNTIFS(U$4:U$40,"&lt;"&amp;U23,U$4:U$40,"&lt;&gt;"&amp;"")+COUNTIF(U$4:U23,U23))</f>
        <v/>
      </c>
      <c r="W23">
        <f>IF(ROW()-3&gt;COUNTIF(U$4:U$40,"&lt;&gt;"&amp;""),"",INDEX(U$4:U$40,MATCH(ROW()-3,V$4:V$40,0)))</f>
        <v/>
      </c>
      <c r="X23">
        <f>X22+IF(AND(W23&lt;&gt;"",COUNTIF(W$4:W23,W23)=1),1,0)</f>
        <v/>
      </c>
      <c r="Y23">
        <f>IF(ROW()-3&gt;MAX(X$4:X$40),"",INDEX(W$4:W$40,MATCH(ROW()-3,X$4:X$40,0)))</f>
        <v/>
      </c>
      <c r="Z23">
        <f>IF('Final Calculation Sheet'!$D$23="","",'Final Calculation Sheet'!$D$23)</f>
        <v/>
      </c>
      <c r="AA23">
        <f>IF(Z23="","",COUNTIFS(Z$4:Z$40,"&lt;"&amp;Z23,Z$4:Z$40,"&lt;&gt;"&amp;"")+COUNTIF(Z$4:Z23,Z23))</f>
        <v/>
      </c>
      <c r="AB23">
        <f>IF(ROW()-3&gt;COUNTIF(Z$4:Z$40,"&lt;&gt;"&amp;""),"",INDEX(Z$4:Z$40,MATCH(ROW()-3,AA$4:AA$40,0)))</f>
        <v/>
      </c>
      <c r="AC23">
        <f>AC22+IF(AND(AB23&lt;&gt;"",COUNTIF(AB$4:AB23,AB23)=1),1,0)</f>
        <v/>
      </c>
      <c r="AD23">
        <f>IF(ROW()-3&gt;MAX(AC$4:AC$40),"",INDEX(AB$4:AB$40,MATCH(ROW()-3,AC$4:AC$40,0)))</f>
        <v/>
      </c>
      <c r="AE23">
        <f>IF('Final Calculation Sheet'!$A$23="","",'Final Calculation Sheet'!$A$23)</f>
        <v/>
      </c>
      <c r="AF23">
        <f>IF(AE23="","",COUNTIFS(AE$4:AE$40,"&lt;"&amp;AE23,AE$4:AE$40,"&lt;&gt;"&amp;"")+COUNTIF(AE$4:AE23,AE23))</f>
        <v/>
      </c>
      <c r="AG23">
        <f>IF(ROW()-3&gt;COUNTIF(AE$4:AE$40,"&lt;&gt;"&amp;""),"",INDEX(AE$4:AE$40,MATCH(ROW()-3,AF$4:AF$40,0)))</f>
        <v/>
      </c>
      <c r="AH23">
        <f>AH22+IF(AND(AG23&lt;&gt;"",COUNTIF(AG$4:AG23,AG23)=1),1,0)</f>
        <v/>
      </c>
      <c r="AI23">
        <f>IF(ROW()-3&gt;MAX(AH$4:AH$40),"",INDEX(AG$4:AG$40,MATCH(ROW()-3,AH$4:AH$40,0)))</f>
        <v/>
      </c>
      <c r="AJ23">
        <f>IF('Final Calculation Sheet'!$E$23="","",'Final Calculation Sheet'!$E$23)</f>
        <v/>
      </c>
      <c r="AK23">
        <f>IF(AJ23="","",COUNTIFS(AJ$4:AJ$40,"&lt;"&amp;AJ23,AJ$4:AJ$40,"&lt;&gt;"&amp;"")+COUNTIF(AJ$4:AJ23,AJ23))</f>
        <v/>
      </c>
      <c r="AL23">
        <f>IF(ROW()-3&gt;COUNTIF(AJ$4:AJ$40,"&lt;&gt;"&amp;""),"",INDEX(AJ$4:AJ$40,MATCH(ROW()-3,AK$4:AK$40,0)))</f>
        <v/>
      </c>
      <c r="AM23">
        <f>AM22+IF(AND(AL23&lt;&gt;"",COUNTIF(AL$4:AL23,AL23)=1),1,0)</f>
        <v/>
      </c>
      <c r="AN23">
        <f>IF(ROW()-3&gt;MAX(AM$4:AM$40),"",INDEX(AL$4:AL$40,MATCH(ROW()-3,AM$4:AM$40,0)))</f>
        <v/>
      </c>
      <c r="AO23" s="55">
        <f>IF('Final Calculation Sheet'!$C$23="","",'Final Calculation Sheet'!$C$23)</f>
        <v/>
      </c>
      <c r="AP23">
        <f>IF(AO23="","",COUNTIFS(AO$4:AO$40,"&lt;"&amp;AO23,AO$4:AO$40,"&lt;&gt;"&amp;"")+COUNTIF(AO$4:AO23,AO23))</f>
        <v/>
      </c>
      <c r="AQ23" s="55">
        <f>IF(ROW()-3&gt;COUNTIF(AO$4:AO$40,"&lt;&gt;"&amp;""),"",INDEX(AO$4:AO$40,MATCH(ROW()-3,AP$4:AP$40,0)))</f>
        <v/>
      </c>
      <c r="AR23">
        <f>AR22+IF(AND(AQ23&lt;&gt;"",COUNTIF(AQ$4:AQ23,AQ23)=1),1,0)</f>
        <v/>
      </c>
      <c r="AS23" s="55">
        <f>IF(ROW()-3&gt;MAX(AR$4:AR$40),"",INDEX(AQ$4:AQ$40,MATCH(ROW()-3,AR$4:AR$40,0)))</f>
        <v/>
      </c>
      <c r="AT23" s="55">
        <f>IF('Final Calculation Sheet'!$H$23="","",'Final Calculation Sheet'!$H$23)</f>
        <v/>
      </c>
      <c r="AU23">
        <f>IF(AT23="","",COUNTIFS(AT$4:AT$40,"&lt;"&amp;AT23,AT$4:AT$40,"&lt;&gt;"&amp;"")+COUNTIF(AT$4:AT23,AT23))</f>
        <v/>
      </c>
      <c r="AV23" s="55">
        <f>IF(ROW()-3&gt;COUNTIF(AT$4:AT$40,"&lt;&gt;"&amp;""),"",INDEX(AT$4:AT$40,MATCH(ROW()-3,AU$4:AU$40,0)))</f>
        <v/>
      </c>
      <c r="AW23">
        <f>AW22+IF(AND(AV23&lt;&gt;"",COUNTIF(AV$4:AV23,AV23)=1),1,0)</f>
        <v/>
      </c>
      <c r="AX23" s="55">
        <f>IF(ROW()-3&gt;MAX(AW$4:AW$40),"",INDEX(AV$4:AV$40,MATCH(ROW()-3,AW$4:AW$40,0)))</f>
        <v/>
      </c>
      <c r="AY23" s="55">
        <f>IF('Final Calculation Sheet'!$I$23="","",'Final Calculation Sheet'!$I$23)</f>
        <v/>
      </c>
      <c r="AZ23">
        <f>IF(AY23="","",COUNTIFS(AY$4:AY$40,"&lt;"&amp;AY23,AY$4:AY$40,"&lt;&gt;"&amp;"")+COUNTIF(AY$4:AY23,AY23))</f>
        <v/>
      </c>
      <c r="BA23" s="55">
        <f>IF(ROW()-3&gt;COUNTIF(AY$4:AY$40,"&lt;&gt;"&amp;""),"",INDEX(AY$4:AY$40,MATCH(ROW()-3,AZ$4:AZ$40,0)))</f>
        <v/>
      </c>
      <c r="BB23">
        <f>BB22+IF(AND(BA23&lt;&gt;"",COUNTIF(BA$4:BA23,BA23)=1),1,0)</f>
        <v/>
      </c>
      <c r="BC23" s="55">
        <f>IF(ROW()-3&gt;MAX(BB$4:BB$40),"",INDEX(BA$4:BA$40,MATCH(ROW()-3,BB$4:BB$40,0)))</f>
        <v/>
      </c>
      <c r="BD23" s="55">
        <f>IF('Final Calculation Sheet'!$J$23="","",'Final Calculation Sheet'!$J$23)</f>
        <v/>
      </c>
      <c r="BE23">
        <f>IF(BD23="","",COUNTIFS(BD$4:BD$40,"&lt;"&amp;BD23,BD$4:BD$40,"&lt;&gt;"&amp;"")+COUNTIF(BD$4:BD23,BD23))</f>
        <v/>
      </c>
      <c r="BF23" s="55">
        <f>IF(ROW()-3&gt;COUNTIF(BD$4:BD$40,"&lt;&gt;"&amp;""),"",INDEX(BD$4:BD$40,MATCH(ROW()-3,BE$4:BE$40,0)))</f>
        <v/>
      </c>
      <c r="BG23">
        <f>BG22+IF(AND(BF23&lt;&gt;"",COUNTIF(BF$4:BF23,BF23)=1),1,0)</f>
        <v/>
      </c>
      <c r="BH23" s="55">
        <f>IF(ROW()-3&gt;MAX(BG$4:BG$40),"",INDEX(BF$4:BF$40,MATCH(ROW()-3,BG$4:BG$40,0)))</f>
        <v/>
      </c>
      <c r="BI23" s="55">
        <f>IF('Final Calculation Sheet'!$K$23="","",'Final Calculation Sheet'!$K$23)</f>
        <v/>
      </c>
      <c r="BJ23">
        <f>IF(BI23="","",COUNTIFS(BI$4:BI$40,"&lt;"&amp;BI23,BI$4:BI$40,"&lt;&gt;"&amp;"")+COUNTIF(BI$4:BI23,BI23))</f>
        <v/>
      </c>
      <c r="BK23" s="55">
        <f>IF(ROW()-3&gt;COUNTIF(BI$4:BI$40,"&lt;&gt;"&amp;""),"",INDEX(BI$4:BI$40,MATCH(ROW()-3,BJ$4:BJ$40,0)))</f>
        <v/>
      </c>
      <c r="BL23">
        <f>BL22+IF(AND(BK23&lt;&gt;"",COUNTIF(BK$4:BK23,BK23)=1),1,0)</f>
        <v/>
      </c>
      <c r="BM23" s="55">
        <f>IF(ROW()-3&gt;MAX(BL$4:BL$40),"",INDEX(BK$4:BK$40,MATCH(ROW()-3,BL$4:BL$40,0)))</f>
        <v/>
      </c>
      <c r="BN23" s="55">
        <f>IF('Final Calculation Sheet'!$L$23="","",'Final Calculation Sheet'!$L$23)</f>
        <v/>
      </c>
      <c r="BO23">
        <f>IF(BN23="","",COUNTIFS(BN$4:BN$40,"&lt;"&amp;BN23,BN$4:BN$40,"&lt;&gt;"&amp;"")+COUNTIF(BN$4:BN23,BN23))</f>
        <v/>
      </c>
      <c r="BP23" s="55">
        <f>IF(ROW()-3&gt;COUNTIF(BN$4:BN$40,"&lt;&gt;"&amp;""),"",INDEX(BN$4:BN$40,MATCH(ROW()-3,BO$4:BO$40,0)))</f>
        <v/>
      </c>
      <c r="BQ23">
        <f>BQ22+IF(AND(BP23&lt;&gt;"",COUNTIF(BP$4:BP23,BP23)=1),1,0)</f>
        <v/>
      </c>
      <c r="BR23" s="55">
        <f>IF(ROW()-3&gt;MAX(BQ$4:BQ$40),"",INDEX(BP$4:BP$40,MATCH(ROW()-3,BQ$4:BQ$40,0)))</f>
        <v/>
      </c>
      <c r="BS23" s="55">
        <f>IF('Final Calculation Sheet'!$M$23="","",'Final Calculation Sheet'!$M$23)</f>
        <v/>
      </c>
      <c r="BT23">
        <f>IF(BS23="","",COUNTIFS(BS$4:BS$40,"&lt;"&amp;BS23,BS$4:BS$40,"&lt;&gt;"&amp;"")+COUNTIF(BS$4:BS23,BS23))</f>
        <v/>
      </c>
      <c r="BU23" s="55">
        <f>IF(ROW()-3&gt;COUNTIF(BS$4:BS$40,"&lt;&gt;"&amp;""),"",INDEX(BS$4:BS$40,MATCH(ROW()-3,BT$4:BT$40,0)))</f>
        <v/>
      </c>
      <c r="BV23">
        <f>BV22+IF(AND(BU23&lt;&gt;"",COUNTIF(BU$4:BU23,BU23)=1),1,0)</f>
        <v/>
      </c>
      <c r="BW23" s="55">
        <f>IF(ROW()-3&gt;MAX(BV$4:BV$40),"",INDEX(BU$4:BU$40,MATCH(ROW()-3,BV$4:BV$40,0)))</f>
        <v/>
      </c>
      <c r="BX23" s="138">
        <f>IF('Final Calculation Sheet'!$N$23="","",'Final Calculation Sheet'!$N$23)</f>
        <v/>
      </c>
      <c r="BY23">
        <f>IF(BX23="","",COUNTIFS(BX$4:BX$40,"&lt;"&amp;BX23,BX$4:BX$40,"&lt;&gt;"&amp;"")+COUNTIF(BX$4:BX23,BX23))</f>
        <v/>
      </c>
      <c r="BZ23" s="138">
        <f>IF(ROW()-3&gt;COUNTIF(BX$4:BX$40,"&lt;&gt;"&amp;""),"",INDEX(BX$4:BX$40,MATCH(ROW()-3,BY$4:BY$40,0)))</f>
        <v/>
      </c>
      <c r="CA23">
        <f>CA22+IF(AND(BZ23&lt;&gt;"",COUNTIF(BZ$4:BZ23,BZ23)=1),1,0)</f>
        <v/>
      </c>
      <c r="CB23" s="138">
        <f>IF(ROW()-3&gt;MAX(CA$4:CA$40),"",INDEX(BZ$4:BZ$40,MATCH(ROW()-3,CA$4:CA$40,0)))</f>
        <v/>
      </c>
      <c r="CC23" s="55">
        <f>IF('Final Calculation Sheet'!$O$23="","",'Final Calculation Sheet'!$O$23)</f>
        <v/>
      </c>
      <c r="CD23">
        <f>IF(CC23="","",COUNTIFS(CC$4:CC$40,"&lt;"&amp;CC23,CC$4:CC$40,"&lt;&gt;"&amp;"")+COUNTIF(CC$4:CC23,CC23))</f>
        <v/>
      </c>
      <c r="CE23" s="55">
        <f>IF(ROW()-3&gt;COUNTIF(CC$4:CC$40,"&lt;&gt;"&amp;""),"",INDEX(CC$4:CC$40,MATCH(ROW()-3,CD$4:CD$40,0)))</f>
        <v/>
      </c>
      <c r="CF23">
        <f>CF22+IF(AND(CE23&lt;&gt;"",COUNTIF(CE$4:CE23,CE23)=1),1,0)</f>
        <v/>
      </c>
      <c r="CG23" s="55">
        <f>IF(ROW()-3&gt;MAX(CF$4:CF$40),"",INDEX(CE$4:CE$40,MATCH(ROW()-3,CF$4:CF$40,0)))</f>
        <v/>
      </c>
      <c r="CH23" s="55">
        <f>IF('Final Calculation Sheet'!$P$23="","",'Final Calculation Sheet'!$P$23)</f>
        <v/>
      </c>
      <c r="CI23">
        <f>IF(CH23="","",COUNTIFS(CH$4:CH$40,"&lt;"&amp;CH23,CH$4:CH$40,"&lt;&gt;"&amp;"")+COUNTIF(CH$4:CH23,CH23))</f>
        <v/>
      </c>
      <c r="CJ23" s="55">
        <f>IF(ROW()-3&gt;COUNTIF(CH$4:CH$40,"&lt;&gt;"&amp;""),"",INDEX(CH$4:CH$40,MATCH(ROW()-3,CI$4:CI$40,0)))</f>
        <v/>
      </c>
      <c r="CK23">
        <f>CK22+IF(AND(CJ23&lt;&gt;"",COUNTIF(CJ$4:CJ23,CJ23)=1),1,0)</f>
        <v/>
      </c>
      <c r="CL23" s="55">
        <f>IF(ROW()-3&gt;MAX(CK$4:CK$40),"",INDEX(CJ$4:CJ$40,MATCH(ROW()-3,CK$4:CK$40,0)))</f>
        <v/>
      </c>
      <c r="CM23" s="139">
        <f>IF('Final Calculation Sheet'!$Q$23="","",'Final Calculation Sheet'!$Q$23)</f>
        <v/>
      </c>
      <c r="CN23">
        <f>IF(CM23="","",COUNTIFS(CM$4:CM$40,"&lt;"&amp;CM23,CM$4:CM$40,"&lt;&gt;"&amp;"")+COUNTIF(CM$4:CM23,CM23))</f>
        <v/>
      </c>
      <c r="CO23" s="139">
        <f>IF(ROW()-3&gt;COUNTIF(CM$4:CM$40,"&lt;&gt;"&amp;""),"",INDEX(CM$4:CM$40,MATCH(ROW()-3,CN$4:CN$40,0)))</f>
        <v/>
      </c>
      <c r="CP23">
        <f>CP22+IF(AND(CO23&lt;&gt;"",COUNTIF(CO$4:CO23,CO23)=1),1,0)</f>
        <v/>
      </c>
      <c r="CQ23">
        <f>IF(ROW()-3&gt;MAX(CP$4:CP$40),"",INDEX(CO$4:CO$40,MATCH(ROW()-3,CP$4:CP$40,0)))</f>
        <v/>
      </c>
      <c r="CR23" s="55">
        <f>IF('Final Calculation Sheet'!$R$23="","",'Final Calculation Sheet'!$R$23)</f>
        <v/>
      </c>
      <c r="CS23">
        <f>IF(CR23="","",COUNTIFS(CR$4:CR$40,"&lt;"&amp;CR23,CR$4:CR$40,"&lt;&gt;"&amp;"")+COUNTIF(CR$4:CR23,CR23))</f>
        <v/>
      </c>
      <c r="CT23" s="55">
        <f>IF(ROW()-3&gt;COUNTIF(CR$4:CR$40,"&lt;&gt;"&amp;""),"",INDEX(CR$4:CR$40,MATCH(ROW()-3,CS$4:CS$40,0)))</f>
        <v/>
      </c>
      <c r="CU23">
        <f>CU22+IF(AND(CT23&lt;&gt;"",COUNTIF(CT$4:CT23,CT23)=1),1,0)</f>
        <v/>
      </c>
      <c r="CV23">
        <f>IF(ROW()-3&gt;MAX(CU$4:CU$40),"",INDEX(CT$4:CT$40,MATCH(ROW()-3,CU$4:CU$40,0)))</f>
        <v/>
      </c>
      <c r="CW23" s="55">
        <f>IF('Final Calculation Sheet'!$S$23="","",'Final Calculation Sheet'!$S$23)</f>
        <v/>
      </c>
      <c r="CX23">
        <f>IF(CW23="","",COUNTIFS(CW$4:CW$40,"&lt;"&amp;CW23,CW$4:CW$40,"&lt;&gt;"&amp;"")+COUNTIF(CW$4:CW23,CW23))</f>
        <v/>
      </c>
      <c r="CY23" s="55">
        <f>IF(ROW()-3&gt;COUNTIF(CW$4:CW$40,"&lt;&gt;"&amp;""),"",INDEX(CW$4:CW$40,MATCH(ROW()-3,CX$4:CX$40,0)))</f>
        <v/>
      </c>
      <c r="CZ23">
        <f>CZ22+IF(AND(CY23&lt;&gt;"",COUNTIF(CY$4:CY23,CY23)=1),1,0)</f>
        <v/>
      </c>
      <c r="DA23" s="55">
        <f>IF(ROW()-3&gt;MAX(CZ$4:CZ$40),"",INDEX(CY$4:CY$40,MATCH(ROW()-3,CZ$4:CZ$40,0)))</f>
        <v/>
      </c>
      <c r="DB23" s="55">
        <f>IF('Final Calculation Sheet'!$T$23="","",'Final Calculation Sheet'!$T$23)</f>
        <v/>
      </c>
      <c r="DC23">
        <f>IF(DB23="","",COUNTIFS(DB$4:DB$40,"&lt;"&amp;DB23,DB$4:DB$40,"&lt;&gt;"&amp;"")+COUNTIF(DB$4:DB23,DB23))</f>
        <v/>
      </c>
      <c r="DD23" s="55">
        <f>IF(ROW()-3&gt;COUNTIF(DB$4:DB$40,"&lt;&gt;"&amp;""),"",INDEX(DB$4:DB$40,MATCH(ROW()-3,DC$4:DC$40,0)))</f>
        <v/>
      </c>
      <c r="DE23">
        <f>DE22+IF(AND(DD23&lt;&gt;"",COUNTIF(DD$4:DD23,DD23)=1),1,0)</f>
        <v/>
      </c>
      <c r="DF23" s="55">
        <f>IF(ROW()-3&gt;MAX(DE$4:DE$40),"",INDEX(DD$4:DD$40,MATCH(ROW()-3,DE$4:DE$40,0)))</f>
        <v/>
      </c>
      <c r="DG23" s="140">
        <f>IF('Final Calculation Sheet'!$U$23="","",'Final Calculation Sheet'!$U$23)</f>
        <v/>
      </c>
      <c r="DH23">
        <f>IF(DG23="","",COUNTIFS(DG$4:DG$40,"&lt;"&amp;DG23,DG$4:DG$40,"&lt;&gt;"&amp;"")+COUNTIF(DG$4:DG23,DG23))</f>
        <v/>
      </c>
      <c r="DI23" s="140">
        <f>IF(ROW()-3&gt;COUNTIF(DG$4:DG$40,"&lt;&gt;"&amp;""),"",INDEX(DG$4:DG$40,MATCH(ROW()-3,DH$4:DH$40,0)))</f>
        <v/>
      </c>
      <c r="DJ23">
        <f>DJ22+IF(AND(DI23&lt;&gt;"",COUNTIF(DI$4:DI23,DI23)=1),1,0)</f>
        <v/>
      </c>
      <c r="DK23" s="140">
        <f>IF(ROW()-3&gt;MAX(DJ$4:DJ$40),"",INDEX(DI$4:DI$40,MATCH(ROW()-3,DJ$4:DJ$40,0)))</f>
        <v/>
      </c>
      <c r="DL23">
        <f>IF('Final Calculation Sheet'!$V$23="","",'Final Calculation Sheet'!$V$23)</f>
        <v/>
      </c>
      <c r="DM23">
        <f>IF(DL23="","",COUNTIFS(DL$4:DL$40,"&lt;"&amp;DL23,DL$4:DL$40,"&lt;&gt;"&amp;"")+COUNTIF(DL$4:DL23,DL23))</f>
        <v/>
      </c>
      <c r="DN23">
        <f>IF(ROW()-3&gt;COUNTIF(DL$4:DL$40,"&lt;&gt;"&amp;""),"",INDEX(DL$4:DL$40,MATCH(ROW()-3,DM$4:DM$40,0)))</f>
        <v/>
      </c>
      <c r="DO23">
        <f>DO22+IF(AND(DN23&lt;&gt;"",COUNTIF(DN$4:DN23,DN23)=1),1,0)</f>
        <v/>
      </c>
      <c r="DP23">
        <f>IF(ROW()-3&gt;MAX(DO$4:DO$40),"",INDEX(DN$4:DN$40,MATCH(ROW()-3,DO$4:DO$40,0)))</f>
        <v/>
      </c>
      <c r="DQ23" s="55">
        <f>IF('Final Calculation Sheet'!$W$23="","",'Final Calculation Sheet'!$W$23)</f>
        <v/>
      </c>
      <c r="DR23">
        <f>IF(DQ23="","",COUNTIFS(DQ$4:DQ$40,"&lt;"&amp;DQ23,DQ$4:DQ$40,"&lt;&gt;"&amp;"")+COUNTIF(DQ$4:DQ23,DQ23))</f>
        <v/>
      </c>
      <c r="DS23" s="55">
        <f>IF(ROW()-3&gt;COUNTIF(DQ$4:DQ$40,"&lt;&gt;"&amp;""),"",INDEX(DQ$4:DQ$40,MATCH(ROW()-3,DR$4:DR$40,0)))</f>
        <v/>
      </c>
      <c r="DT23">
        <f>DT22+IF(AND(DS23&lt;&gt;"",COUNTIF(DS$4:DS23,DS23)=1),1,0)</f>
        <v/>
      </c>
      <c r="DU23" s="55">
        <f>IF(ROW()-3&gt;MAX(DT$4:DT$40),"",INDEX(DS$4:DS$40,MATCH(ROW()-3,DT$4:DT$40,0)))</f>
        <v/>
      </c>
      <c r="DV23" s="55">
        <f>IF('Final Calculation Sheet'!$X$23="","",'Final Calculation Sheet'!$X$23)</f>
        <v/>
      </c>
      <c r="DW23">
        <f>IF(DV23="","",COUNTIFS(DV$4:DV$40,"&lt;"&amp;DV23,DV$4:DV$40,"&lt;&gt;"&amp;"")+COUNTIF(DV$4:DV23,DV23))</f>
        <v/>
      </c>
      <c r="DX23" s="55">
        <f>IF(ROW()-3&gt;COUNTIF(DV$4:DV$40,"&lt;&gt;"&amp;""),"",INDEX(DV$4:DV$40,MATCH(ROW()-3,DW$4:DW$40,0)))</f>
        <v/>
      </c>
      <c r="DY23">
        <f>DY22+IF(AND(DX23&lt;&gt;"",COUNTIF(DX$4:DX23,DX23)=1),1,0)</f>
        <v/>
      </c>
      <c r="DZ23">
        <f>IF(ROW()-3&gt;MAX(DY$4:DY$40),"",INDEX(DX$4:DX$40,MATCH(ROW()-3,DY$4:DY$40,0)))</f>
        <v/>
      </c>
      <c r="EA23">
        <f>IF('Final Calculation Sheet'!$Y$23="","",'Final Calculation Sheet'!$Y$23)</f>
        <v/>
      </c>
      <c r="EB23">
        <f>IF(EA23="","",COUNTIFS(EA$4:EA$40,"&lt;"&amp;EA23,EA$4:EA$40,"&lt;&gt;"&amp;"")+COUNTIF(EA$4:EA23,EA23))</f>
        <v/>
      </c>
      <c r="EC23">
        <f>IF(ROW()-3&gt;COUNTIF(EA$4:EA$40,"&lt;&gt;"&amp;""),"",INDEX(EA$4:EA$40,MATCH(ROW()-3,EB$4:EB$40,0)))</f>
        <v/>
      </c>
      <c r="ED23">
        <f>ED22+IF(AND(EC23&lt;&gt;"",COUNTIF(EC$4:EC23,EC23)=1),1,0)</f>
        <v/>
      </c>
      <c r="EE23">
        <f>IF(ROW()-3&gt;MAX(ED$4:ED$40),"",INDEX(EC$4:EC$40,MATCH(ROW()-3,ED$4:ED$40,0)))</f>
        <v/>
      </c>
      <c r="EF23" s="55">
        <f>IF('Final Calculation Sheet'!$Z$23="","",'Final Calculation Sheet'!$Z$23)</f>
        <v/>
      </c>
      <c r="EG23">
        <f>IF(EF23="","",COUNTIFS(EF$4:EF$40,"&lt;"&amp;EF23,EF$4:EF$40,"&lt;&gt;"&amp;"")+COUNTIF(EF$4:EF23,EF23))</f>
        <v/>
      </c>
      <c r="EH23" s="55">
        <f>IF(ROW()-3&gt;COUNTIF(EF$4:EF$40,"&lt;&gt;"&amp;""),"",INDEX(EF$4:EF$40,MATCH(ROW()-3,EG$4:EG$40,0)))</f>
        <v/>
      </c>
      <c r="EI23">
        <f>EI22+IF(AND(EH23&lt;&gt;"",COUNTIF(EH$4:EH23,EH23)=1),1,0)</f>
        <v/>
      </c>
      <c r="EJ23">
        <f>IF(ROW()-3&gt;MAX(EI$4:EI$40),"",INDEX(EH$4:EH$40,MATCH(ROW()-3,EI$4:EI$40,0)))</f>
        <v/>
      </c>
      <c r="EK23">
        <f>IF('Final Calculation Sheet'!$AA$23="","",'Final Calculation Sheet'!$AA$23)</f>
        <v/>
      </c>
      <c r="EL23">
        <f>IF(EK23="","",COUNTIFS(EK$4:EK$40,"&lt;"&amp;EK23,EK$4:EK$40,"&lt;&gt;"&amp;"")+COUNTIF(EK$4:EK23,EK23))</f>
        <v/>
      </c>
      <c r="EM23">
        <f>IF(ROW()-3&gt;COUNTIF(EK$4:EK$40,"&lt;&gt;"&amp;""),"",INDEX(EK$4:EK$40,MATCH(ROW()-3,EL$4:EL$40,0)))</f>
        <v/>
      </c>
      <c r="EN23">
        <f>EN22+IF(AND(EM23&lt;&gt;"",COUNTIF(EM$4:EM23,EM23)=1),1,0)</f>
        <v/>
      </c>
      <c r="EO23">
        <f>IF(ROW()-3&gt;MAX(EN$4:EN$40),"",INDEX(EM$4:EM$40,MATCH(ROW()-3,EN$4:EN$40,0)))</f>
        <v/>
      </c>
      <c r="EP23">
        <f>IF('Final Calculation Sheet'!$AB$23="","",'Final Calculation Sheet'!$AB$23)</f>
        <v/>
      </c>
      <c r="EQ23">
        <f>IF(EP23="","",COUNTIFS(EP$4:EP$40,"&lt;"&amp;EP23,EP$4:EP$40,"&lt;&gt;"&amp;"")+COUNTIF(EP$4:EP23,EP23))</f>
        <v/>
      </c>
      <c r="ER23">
        <f>IF(ROW()-3&gt;COUNTIF(EP$4:EP$40,"&lt;&gt;"&amp;""),"",INDEX(EP$4:EP$40,MATCH(ROW()-3,EQ$4:EQ$40,0)))</f>
        <v/>
      </c>
      <c r="ES23">
        <f>ES22+IF(AND(ER23&lt;&gt;"",COUNTIF(ER$4:ER23,ER23)=1),1,0)</f>
        <v/>
      </c>
      <c r="ET23">
        <f>IF(ROW()-3&gt;MAX(ES$4:ES$40),"",INDEX(ER$4:ER$40,MATCH(ROW()-3,ES$4:ES$40,0)))</f>
        <v/>
      </c>
      <c r="EU23" s="55">
        <f>IF('Final Calculation Sheet'!$AC$23="","",'Final Calculation Sheet'!$AC$23)</f>
        <v/>
      </c>
      <c r="EV23">
        <f>IF(EU23="","",COUNTIFS(EU$4:EU$40,"&lt;"&amp;EU23,EU$4:EU$40,"&lt;&gt;"&amp;"")+COUNTIF(EU$4:EU23,EU23))</f>
        <v/>
      </c>
      <c r="EW23" s="55">
        <f>IF(ROW()-3&gt;COUNTIF(EU$4:EU$40,"&lt;&gt;"&amp;""),"",INDEX(EU$4:EU$40,MATCH(ROW()-3,EV$4:EV$40,0)))</f>
        <v/>
      </c>
      <c r="EX23">
        <f>EX22+IF(AND(EW23&lt;&gt;"",COUNTIF(EW$4:EW23,EW23)=1),1,0)</f>
        <v/>
      </c>
      <c r="EY23" s="55">
        <f>IF(ROW()-3&gt;MAX(EX$4:EX$40),"",INDEX(EW$4:EW$40,MATCH(ROW()-3,EX$4:EX$40,0)))</f>
        <v/>
      </c>
      <c r="EZ23" s="55">
        <f>IF('Final Calculation Sheet'!$AD$23="","",'Final Calculation Sheet'!$AD$23)</f>
        <v/>
      </c>
      <c r="FA23">
        <f>IF(EZ23="","",COUNTIFS(EZ$4:EZ$40,"&lt;"&amp;EZ23,EZ$4:EZ$40,"&lt;&gt;"&amp;"")+COUNTIF(EZ$4:EZ23,EZ23))</f>
        <v/>
      </c>
      <c r="FB23" s="55">
        <f>IF(ROW()-3&gt;COUNTIF(EZ$4:EZ$40,"&lt;&gt;"&amp;""),"",INDEX(EZ$4:EZ$40,MATCH(ROW()-3,FA$4:FA$40,0)))</f>
        <v/>
      </c>
      <c r="FC23">
        <f>FC22+IF(AND(FB23&lt;&gt;"",COUNTIF(FB$4:FB23,FB23)=1),1,0)</f>
        <v/>
      </c>
      <c r="FD23">
        <f>IF(ROW()-3&gt;MAX(FC$4:FC$40),"",INDEX(FB$4:FB$40,MATCH(ROW()-3,FC$4:FC$40,0)))</f>
        <v/>
      </c>
      <c r="FE23">
        <f>IF('Final Calculation Sheet'!$AF$23="","",'Final Calculation Sheet'!$AF$23)</f>
        <v/>
      </c>
      <c r="FF23">
        <f>IF(FE23="","",COUNTIFS(FE$4:FE$40,"&lt;"&amp;FE23,FE$4:FE$40,"&lt;&gt;"&amp;"")+COUNTIF(FE$4:FE23,FE23))</f>
        <v/>
      </c>
      <c r="FG23">
        <f>IF(ROW()-3&gt;COUNTIF(FE$4:FE$40,"&lt;&gt;"&amp;""),"",INDEX(FE$4:FE$40,MATCH(ROW()-3,FF$4:FF$40,0)))</f>
        <v/>
      </c>
      <c r="FH23">
        <f>FH22+IF(AND(FG23&lt;&gt;"",COUNTIF(FG$4:FG23,FG23)=1),1,0)</f>
        <v/>
      </c>
      <c r="FI23">
        <f>IF(ROW()-3&gt;MAX(FH$4:FH$40),"",INDEX(FG$4:FG$40,MATCH(ROW()-3,FH$4:FH$40,0)))</f>
        <v/>
      </c>
      <c r="FJ23" s="141">
        <f>IF('Final Calculation Sheet'!$AG$23="","",'Final Calculation Sheet'!$AG$23)</f>
        <v/>
      </c>
      <c r="FK23">
        <f>IF(FJ23="","",COUNTIFS(FJ$4:FJ$40,"&lt;"&amp;FJ23,FJ$4:FJ$40,"&lt;&gt;"&amp;"")+COUNTIF(FJ$4:FJ23,FJ23))</f>
        <v/>
      </c>
      <c r="FL23" s="141">
        <f>IF(ROW()-3&gt;COUNTIF(FJ$4:FJ$40,"&lt;&gt;"&amp;""),"",INDEX(FJ$4:FJ$40,MATCH(ROW()-3,FK$4:FK$40,0)))</f>
        <v/>
      </c>
      <c r="FM23">
        <f>FM22+IF(AND(FL23&lt;&gt;"",COUNTIF(FL$4:FL23,FL23)=1),1,0)</f>
        <v/>
      </c>
      <c r="FN23">
        <f>IF(ROW()-3&gt;MAX(FM$4:FM$40),"",INDEX(FL$4:FL$40,MATCH(ROW()-3,FM$4:FM$40,0)))</f>
        <v/>
      </c>
      <c r="FO23">
        <f>IF('Final Calculation Sheet'!$AH$23="","",'Final Calculation Sheet'!$AH$23)</f>
        <v/>
      </c>
      <c r="FP23">
        <f>IF(FO23="","",COUNTIFS(FO$4:FO$40,"&lt;"&amp;FO23,FO$4:FO$40,"&lt;&gt;"&amp;"")+COUNTIF(FO$4:FO23,FO23))</f>
        <v/>
      </c>
      <c r="FQ23">
        <f>IF(ROW()-3&gt;COUNTIF(FO$4:FO$40,"&lt;&gt;"&amp;""),"",INDEX(FO$4:FO$40,MATCH(ROW()-3,FP$4:FP$40,0)))</f>
        <v/>
      </c>
      <c r="FR23">
        <f>FR22+IF(AND(FQ23&lt;&gt;"",COUNTIF(FQ$4:FQ23,FQ23)=1),1,0)</f>
        <v/>
      </c>
      <c r="FS23">
        <f>IF(ROW()-3&gt;MAX(FR$4:FR$40),"",INDEX(FQ$4:FQ$40,MATCH(ROW()-3,FR$4:FR$40,0)))</f>
        <v/>
      </c>
      <c r="FU23">
        <f>IF(FT23="","",COUNTIFS(FT$4:FT$40,"&lt;"&amp;FT23,FT$4:FT$40,"&lt;&gt;"&amp;"")+COUNTIF(FT$4:FT23,FT23))</f>
        <v/>
      </c>
      <c r="FV23">
        <f>IF(ROW()-3&gt;COUNTIF(FT$4:FT$40,"&lt;&gt;"&amp;""),"",INDEX(FT$4:FT$40,MATCH(ROW()-3,FU$4:FU$40,0)))</f>
        <v/>
      </c>
      <c r="FW23">
        <f>FW22+IF(AND(FV23&lt;&gt;"",COUNTIF(FV$4:FV23,FV23)=1),1,0)</f>
        <v/>
      </c>
      <c r="FX23">
        <f>IF(ROW()-3&gt;MAX(FW$4:FW$40),"",INDEX(FV$4:FV$40,MATCH(ROW()-3,FW$4:FW$40,0)))</f>
        <v/>
      </c>
      <c r="FY23">
        <f>IF(COUNTIF('Live Search'!BM$22:BO$22,0)+COUNTIF('Live Search'!BQ$22:CU$22,0)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3">
        <f>IF($Y$23="",FALSE,SUMPRODUCT(('Final Calculation Sheet'!$B$4:$B$40=$Y$23)*($FY$6:$FY$42=1))&gt;0)</f>
        <v/>
      </c>
      <c r="GA23">
        <f>$GA$22+--($FZ$23)</f>
        <v/>
      </c>
      <c r="GB23">
        <f>IF(ROW()-3&gt;MAX($GA$4:$GA$40),"",INDEX($Y$4:$Y$40,MATCH(ROW()-3,$GA$4:$GA$40,0)))</f>
        <v/>
      </c>
      <c r="GC23">
        <f>IF(COUNTIF('Live Search'!BM$22:BM$22,0)+COUNTIF('Live Search'!BO$22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GD23">
        <f>IF($O$23="",FALSE,SUMPRODUCT(('Final Calculation Sheet'!$F$4:$F$40=$O$23)*($GC$6:$GC$42=1))&gt;0)</f>
        <v/>
      </c>
      <c r="GE23">
        <f>$GE$22+--($GD23)</f>
        <v/>
      </c>
      <c r="GF23">
        <f>IF(ROW()-3&gt;MAX($GE$4:$GE$40),"",INDEX($O$4:$O$40,MATCH(ROW()-3,$GE$4:$GE$40,0)))</f>
        <v/>
      </c>
      <c r="GG23">
        <f>IF(COUNTIF('Live Search'!BM$22:BN$22,0)+COUNTIF('Live Search'!BP$22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GH23">
        <f>IF($T$23="",FALSE,SUMPRODUCT(('Final Calculation Sheet'!$G$4:$G$40=$T$23)*($GG$6:$GG$42=1))&gt;0)</f>
        <v/>
      </c>
      <c r="GI23">
        <f>$GI$22+--($GH23)</f>
        <v/>
      </c>
      <c r="GJ23">
        <f>IF(ROW()-3&gt;MAX($GI$4:$GI$40),"",INDEX($T$4:$T$40,MATCH(ROW()-3,$GI$4:$GI$40,0)))</f>
        <v/>
      </c>
      <c r="GK23">
        <f>IF(COUNTIF('Live Search'!BM$22:BP$22,0)+COUNTIF('Live Search'!BR$22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GL23">
        <f>IF($AD$23="",FALSE,SUMPRODUCT(('Final Calculation Sheet'!$D$4:$D$40=$AD$23)*($GK$6:$GK$42=1))&gt;0)</f>
        <v/>
      </c>
      <c r="GM23">
        <f>$GM$22+--($GL23)</f>
        <v/>
      </c>
      <c r="GN23">
        <f>IF(ROW()-3&gt;MAX($GM$4:$GM$40),"",INDEX($AD$4:$AD$40,MATCH(ROW()-3,$GM$4:$GM$40,0)))</f>
        <v/>
      </c>
      <c r="GO23">
        <f>IF(COUNTIF('Live Search'!BM$22:BQ$22,0)+COUNTIF('Live Search'!BS$22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GP23">
        <f>IF($AI$23="",FALSE,SUMPRODUCT(('Final Calculation Sheet'!$A$4:$A$40=$AI$23)*($GO$6:$GO$42=1))&gt;0)</f>
        <v/>
      </c>
      <c r="GQ23">
        <f>$GQ$22+--($GP23)</f>
        <v/>
      </c>
      <c r="GR23">
        <f>IF(ROW()-3&gt;MAX($GQ$4:$GQ$40),"",INDEX($AI$4:$AI$40,MATCH(ROW()-3,$GQ$4:$GQ$40,0)))</f>
        <v/>
      </c>
      <c r="GS23">
        <f>IF(COUNTIF('Live Search'!BM$22:BR$22,0)+COUNTIF('Live Search'!BT$22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GT23">
        <f>IF($AN$23="",FALSE,SUMPRODUCT(('Final Calculation Sheet'!$E$4:$E$40=$AN$23)*($GS$6:$GS$42=1))&gt;0)</f>
        <v/>
      </c>
      <c r="GU23">
        <f>$GU$22+--($GT23)</f>
        <v/>
      </c>
      <c r="GV23">
        <f>IF(ROW()-3&gt;MAX($GU$4:$GU$40),"",INDEX($AN$4:$AN$40,MATCH(ROW()-3,$GU$4:$GU$40,0)))</f>
        <v/>
      </c>
      <c r="GW23">
        <f>IF(COUNTIF('Live Search'!BM$22:BS$22,0)+COUNTIF('Live Search'!BU$22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GX23">
        <f>IF($AS$23="",FALSE,SUMPRODUCT(('Final Calculation Sheet'!$C$4:$C$40=$AS$23)*($GW$6:$GW$42=1))&gt;0)</f>
        <v/>
      </c>
      <c r="GY23">
        <f>$GY$22+--($GX23)</f>
        <v/>
      </c>
      <c r="GZ23">
        <f>IF(ROW()-3&gt;MAX($GY$4:$GY$40),"",INDEX($AS$4:$AS$40,MATCH(ROW()-3,$GY$4:$GY$40,0)))</f>
        <v/>
      </c>
      <c r="HA23">
        <f>IF(COUNTIF('Live Search'!BM$22:BT$22,0)+COUNTIF('Live Search'!BV$22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HB23">
        <f>IF($AX$23="",FALSE,SUMPRODUCT(('Final Calculation Sheet'!$H$4:$H$40=$AX$23)*($HA$6:$HA$42=1))&gt;0)</f>
        <v/>
      </c>
      <c r="HC23">
        <f>$HC$22+--($HB23)</f>
        <v/>
      </c>
      <c r="HD23">
        <f>IF(ROW()-3&gt;MAX($HC$4:$HC$40),"",INDEX($AX$4:$AX$40,MATCH(ROW()-3,$HC$4:$HC$40,0)))</f>
        <v/>
      </c>
      <c r="HE23">
        <f>IF(COUNTIF('Live Search'!BM$22:BU$22,0)+COUNTIF('Live Search'!BW$22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HF23">
        <f>IF($BC$23="",FALSE,SUMPRODUCT(('Final Calculation Sheet'!$I$4:$I$40=$BC$23)*($HE$6:$HE$42=1))&gt;0)</f>
        <v/>
      </c>
      <c r="HG23">
        <f>$HG$22+--($HF23)</f>
        <v/>
      </c>
      <c r="HH23">
        <f>IF(ROW()-3&gt;MAX($HG$4:$HG$40),"",INDEX($BC$4:$BC$40,MATCH(ROW()-3,$HG$4:$HG$40,0)))</f>
        <v/>
      </c>
      <c r="HI23">
        <f>IF(COUNTIF('Live Search'!BM$22:BV$22,0)+COUNTIF('Live Search'!BX$22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HJ23">
        <f>IF($BH$23="",FALSE,SUMPRODUCT(('Final Calculation Sheet'!$J$4:$J$40=$BH$23)*($HI$6:$HI$42=1))&gt;0)</f>
        <v/>
      </c>
      <c r="HK23">
        <f>$HK$22+--($HJ23)</f>
        <v/>
      </c>
      <c r="HL23">
        <f>IF(ROW()-3&gt;MAX($HK$4:$HK$40),"",INDEX($BH$4:$BH$40,MATCH(ROW()-3,$HK$4:$HK$40,0)))</f>
        <v/>
      </c>
      <c r="HM23">
        <f>IF(COUNTIF('Live Search'!BM$22:BW$22,0)+COUNTIF('Live Search'!BY$22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HN23">
        <f>IF($BM$23="",FALSE,SUMPRODUCT(('Final Calculation Sheet'!$K$4:$K$40=$BM$23)*($HM$6:$HM$42=1))&gt;0)</f>
        <v/>
      </c>
      <c r="HO23">
        <f>$HO$22+--($HN23)</f>
        <v/>
      </c>
      <c r="HP23">
        <f>IF(ROW()-3&gt;MAX($HO$4:$HO$40),"",INDEX($BM$4:$BM$40,MATCH(ROW()-3,$HO$4:$HO$40,0)))</f>
        <v/>
      </c>
      <c r="HQ23">
        <f>IF(COUNTIF('Live Search'!BM$22:BX$22,0)+COUNTIF('Live Search'!BZ$22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HR23">
        <f>IF($BR$23="",FALSE,SUMPRODUCT(('Final Calculation Sheet'!$L$4:$L$40=$BR$23)*($HQ$6:$HQ$42=1))&gt;0)</f>
        <v/>
      </c>
      <c r="HS23">
        <f>$HS$22+--($HR23)</f>
        <v/>
      </c>
      <c r="HT23">
        <f>IF(ROW()-3&gt;MAX($HS$4:$HS$40),"",INDEX($BR$4:$BR$40,MATCH(ROW()-3,$HS$4:$HS$40,0)))</f>
        <v/>
      </c>
      <c r="HU23">
        <f>IF(COUNTIF('Live Search'!BM$22:BY$22,0)+COUNTIF('Live Search'!CA$22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HV23">
        <f>IF($BW$23="",FALSE,SUMPRODUCT(('Final Calculation Sheet'!$M$4:$M$40=$BW$23)*($HU$6:$HU$42=1))&gt;0)</f>
        <v/>
      </c>
      <c r="HW23">
        <f>$HW$22+--($HV23)</f>
        <v/>
      </c>
      <c r="HX23">
        <f>IF(ROW()-3&gt;MAX($HW$4:$HW$40),"",INDEX($BW$4:$BW$40,MATCH(ROW()-3,$HW$4:$HW$40,0)))</f>
        <v/>
      </c>
      <c r="HY23">
        <f>IF(COUNTIF('Live Search'!BM$22:BZ$22,0)+COUNTIF('Live Search'!CB$22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HZ23">
        <f>IF($CB$23="",FALSE,SUMPRODUCT(('Final Calculation Sheet'!$N$4:$N$40=$CB$23)*($HY$6:$HY$42=1))&gt;0)</f>
        <v/>
      </c>
      <c r="IA23">
        <f>$IA$22+--($HZ23)</f>
        <v/>
      </c>
      <c r="IB23">
        <f>IF(ROW()-3&gt;MAX($IA$4:$IA$40),"",INDEX($CB$4:$CB$40,MATCH(ROW()-3,$IA$4:$IA$40,0)))</f>
        <v/>
      </c>
      <c r="IC23">
        <f>IF(COUNTIF('Live Search'!BM$22:CA$22,0)+COUNTIF('Live Search'!CC$22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ID23">
        <f>IF($CG$23="",FALSE,SUMPRODUCT(('Final Calculation Sheet'!$O$4:$O$40=$CG$23)*($IC$6:$IC$42=1))&gt;0)</f>
        <v/>
      </c>
      <c r="IE23">
        <f>$IE$22+--($ID23)</f>
        <v/>
      </c>
      <c r="IF23">
        <f>IF(ROW()-3&gt;MAX($IE$4:$IE$40),"",INDEX($CG$4:$CG$40,MATCH(ROW()-3,$IE$4:$IE$40,0)))</f>
        <v/>
      </c>
      <c r="IG23">
        <f>IF(COUNTIF('Live Search'!BM$22:CB$22,0)+COUNTIF('Live Search'!CD$22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IH23">
        <f>IF($CL$23="",FALSE,SUMPRODUCT(('Final Calculation Sheet'!$P$4:$P$40=$CL$23)*($IG$6:$IG$42=1))&gt;0)</f>
        <v/>
      </c>
      <c r="II23">
        <f>$II$22+--($IH23)</f>
        <v/>
      </c>
      <c r="IJ23">
        <f>IF(ROW()-3&gt;MAX($II$4:$II$40),"",INDEX($CL$4:$CL$40,MATCH(ROW()-3,$II$4:$II$40,0)))</f>
        <v/>
      </c>
      <c r="IK23">
        <f>IF(COUNTIF('Live Search'!BM$22:CC$22,0)+COUNTIF('Live Search'!CE$22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IL23">
        <f>IF($CQ$23="",FALSE,SUMPRODUCT(('Final Calculation Sheet'!$Q$4:$Q$40=$CQ$23)*($IK$6:$IK$42=1))&gt;0)</f>
        <v/>
      </c>
      <c r="IM23">
        <f>$IM$22+--($IL23)</f>
        <v/>
      </c>
      <c r="IN23">
        <f>IF(ROW()-3&gt;MAX($IM$4:$IM$40),"",INDEX($CQ$4:$CQ$40,MATCH(ROW()-3,$IM$4:$IM$40,0)))</f>
        <v/>
      </c>
      <c r="IO23">
        <f>IF(COUNTIF('Live Search'!BM$22:CD$22,0)+COUNTIF('Live Search'!CF$22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IP23">
        <f>IF($CV$23="",FALSE,SUMPRODUCT(('Final Calculation Sheet'!$R$4:$R$40=$CV$23)*($IO$6:$IO$42=1))&gt;0)</f>
        <v/>
      </c>
      <c r="IQ23">
        <f>$IQ$22+--($IP23)</f>
        <v/>
      </c>
      <c r="IR23">
        <f>IF(ROW()-3&gt;MAX($IQ$4:$IQ$40),"",INDEX($CV$4:$CV$40,MATCH(ROW()-3,$IQ$4:$IQ$40,0)))</f>
        <v/>
      </c>
      <c r="IS23">
        <f>IF(COUNTIF('Live Search'!BM$22:CE$22,0)+COUNTIF('Live Search'!CG$22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IT23">
        <f>IF($DA$23="",FALSE,SUMPRODUCT(('Final Calculation Sheet'!$S$4:$S$40=$DA$23)*($IS$6:$IS$42=1))&gt;0)</f>
        <v/>
      </c>
      <c r="IU23">
        <f>$IU$22+--($IT23)</f>
        <v/>
      </c>
      <c r="IV23">
        <f>IF(ROW()-3&gt;MAX($IU$4:$IU$40),"",INDEX($DA$4:$DA$40,MATCH(ROW()-3,$IU$4:$IU$40,0)))</f>
        <v/>
      </c>
      <c r="IW23">
        <f>IF(COUNTIF('Live Search'!BM$22:CF$22,0)+COUNTIF('Live Search'!CH$22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IX23">
        <f>IF($DF$23="",FALSE,SUMPRODUCT(('Final Calculation Sheet'!$T$4:$T$40=$DF$23)*($IW$6:$IW$42=1))&gt;0)</f>
        <v/>
      </c>
      <c r="IY23">
        <f>$IY$22+--($IX23)</f>
        <v/>
      </c>
      <c r="IZ23">
        <f>IF(ROW()-3&gt;MAX($IY$4:$IY$40),"",INDEX($DF$4:$DF$40,MATCH(ROW()-3,$IY$4:$IY$40,0)))</f>
        <v/>
      </c>
      <c r="JA23">
        <f>IF(COUNTIF('Live Search'!BM$22:CG$22,0)+COUNTIF('Live Search'!CI$22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JB23">
        <f>IF($DK$23="",FALSE,SUMPRODUCT(('Final Calculation Sheet'!$U$4:$U$40=$DK$23)*($JA$6:$JA$42=1))&gt;0)</f>
        <v/>
      </c>
      <c r="JC23">
        <f>$JC$22+--($JB23)</f>
        <v/>
      </c>
      <c r="JD23">
        <f>IF(ROW()-3&gt;MAX($JC$4:$JC$40),"",INDEX($DK$4:$DK$40,MATCH(ROW()-3,$JC$4:$JC$40,0)))</f>
        <v/>
      </c>
      <c r="JE23">
        <f>IF(COUNTIF('Live Search'!BM$22:CH$22,0)+COUNTIF('Live Search'!CJ$22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JF23">
        <f>IF($DP$23="",FALSE,SUMPRODUCT(('Final Calculation Sheet'!$V$4:$V$40=$DP$23)*($JE$6:$JE$42=1))&gt;0)</f>
        <v/>
      </c>
      <c r="JG23">
        <f>$JG$22+--($JF23)</f>
        <v/>
      </c>
      <c r="JH23">
        <f>IF(ROW()-3&gt;MAX($JG$4:$JG$40),"",INDEX($DP$4:$DP$40,MATCH(ROW()-3,$JG$4:$JG$40,0)))</f>
        <v/>
      </c>
      <c r="JI23">
        <f>IF(COUNTIF('Live Search'!BM$22:CI$22,0)+COUNTIF('Live Search'!CK$22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JJ23">
        <f>IF($DU$23="",FALSE,SUMPRODUCT(('Final Calculation Sheet'!$W$4:$W$40=$DU$23)*($JI$6:$JI$42=1))&gt;0)</f>
        <v/>
      </c>
      <c r="JK23">
        <f>$JK$22+--($JJ23)</f>
        <v/>
      </c>
      <c r="JL23">
        <f>IF(ROW()-3&gt;MAX($JK$4:$JK$40),"",INDEX($DU$4:$DU$40,MATCH(ROW()-3,$JK$4:$JK$40,0)))</f>
        <v/>
      </c>
      <c r="JM23">
        <f>IF(COUNTIF('Live Search'!BM$22:CJ$22,0)+COUNTIF('Live Search'!CL$22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JN23">
        <f>IF($DZ$23="",FALSE,SUMPRODUCT(('Final Calculation Sheet'!$X$4:$X$40=$DZ$23)*($JM$6:$JM$42=1))&gt;0)</f>
        <v/>
      </c>
      <c r="JO23">
        <f>$JO$22+--($JN23)</f>
        <v/>
      </c>
      <c r="JP23">
        <f>IF(ROW()-3&gt;MAX($JO$4:$JO$40),"",INDEX($DZ$4:$DZ$40,MATCH(ROW()-3,$JO$4:$JO$40,0)))</f>
        <v/>
      </c>
      <c r="JQ23">
        <f>IF(COUNTIF('Live Search'!BM$22:CK$22,0)+COUNTIF('Live Search'!CM$22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JR23">
        <f>IF($EE$23="",FALSE,SUMPRODUCT(('Final Calculation Sheet'!$Y$4:$Y$40=$EE$23)*($JQ$6:$JQ$42=1))&gt;0)</f>
        <v/>
      </c>
      <c r="JS23">
        <f>$JS$22+--($JR23)</f>
        <v/>
      </c>
      <c r="JT23">
        <f>IF(ROW()-3&gt;MAX($JS$4:$JS$40),"",INDEX($EE$4:$EE$40,MATCH(ROW()-3,$JS$4:$JS$40,0)))</f>
        <v/>
      </c>
      <c r="JU23">
        <f>IF(COUNTIF('Live Search'!BM$22:CL$22,0)+COUNTIF('Live Search'!CN$22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JV23">
        <f>IF($EJ$23="",FALSE,SUMPRODUCT(('Final Calculation Sheet'!$Z$4:$Z$40=$EJ$23)*($JU$6:$JU$42=1))&gt;0)</f>
        <v/>
      </c>
      <c r="JW23">
        <f>$JW$22+--($JV23)</f>
        <v/>
      </c>
      <c r="JX23">
        <f>IF(ROW()-3&gt;MAX($JW$4:$JW$40),"",INDEX($EJ$4:$EJ$40,MATCH(ROW()-3,$JW$4:$JW$40,0)))</f>
        <v/>
      </c>
      <c r="JY23">
        <f>IF(COUNTIF('Live Search'!BM$22:CM$22,0)+COUNTIF('Live Search'!CO$22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JZ23">
        <f>IF($EO$23="",FALSE,SUMPRODUCT(('Final Calculation Sheet'!$AA$4:$AA$40=$EO$23)*($JY$6:$JY$42=1))&gt;0)</f>
        <v/>
      </c>
      <c r="KA23">
        <f>$KA$22+--($JZ23)</f>
        <v/>
      </c>
      <c r="KB23">
        <f>IF(ROW()-3&gt;MAX($KA$4:$KA$40),"",INDEX($EO$4:$EO$40,MATCH(ROW()-3,$KA$4:$KA$40,0)))</f>
        <v/>
      </c>
      <c r="KC23">
        <f>IF(COUNTIF('Live Search'!BM$22:CN$22,0)+COUNTIF('Live Search'!CP$22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KD23">
        <f>IF($ET$23="",FALSE,SUMPRODUCT(('Final Calculation Sheet'!$AB$4:$AB$40=$ET$23)*($KC$6:$KC$42=1))&gt;0)</f>
        <v/>
      </c>
      <c r="KE23">
        <f>$KE$22+--($KD23)</f>
        <v/>
      </c>
      <c r="KF23">
        <f>IF(ROW()-3&gt;MAX($KE$4:$KE$40),"",INDEX($ET$4:$ET$40,MATCH(ROW()-3,$KE$4:$KE$40,0)))</f>
        <v/>
      </c>
      <c r="KG23">
        <f>IF(COUNTIF('Live Search'!BM$22:CO$22,0)+COUNTIF('Live Search'!CQ$22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KH23">
        <f>IF($EY$23="",FALSE,SUMPRODUCT(('Final Calculation Sheet'!$AC$4:$AC$40=$EY$23)*($KG$6:$KG$42=1))&gt;0)</f>
        <v/>
      </c>
      <c r="KI23">
        <f>$KI$22+--($KH23)</f>
        <v/>
      </c>
      <c r="KJ23">
        <f>IF(ROW()-3&gt;MAX($KI$4:$KI$40),"",INDEX($EY$4:$EY$40,MATCH(ROW()-3,$KI$4:$KI$40,0)))</f>
        <v/>
      </c>
      <c r="KK23">
        <f>IF(COUNTIF('Live Search'!BM$22:CP$22,0)+COUNTIF('Live Search'!CR$22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KL23">
        <f>IF($FD$23="",FALSE,SUMPRODUCT(('Final Calculation Sheet'!$AD$4:$AD$40=$FD$23)*($KK$6:$KK$42=1))&gt;0)</f>
        <v/>
      </c>
      <c r="KM23">
        <f>$KM$22+--($KL23)</f>
        <v/>
      </c>
      <c r="KN23">
        <f>IF(ROW()-3&gt;MAX($KM$4:$KM$40),"",INDEX($FD$4:$FD$40,MATCH(ROW()-3,$KM$4:$KM$40,0)))</f>
        <v/>
      </c>
      <c r="KO23">
        <f>IF(COUNTIF('Live Search'!BM$22:CT$22,0)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KP23">
        <f>IF($FX$23="",FALSE,SUMPRODUCT((IF('Final Calculation Sheet'!$AD$4:$AD$40&lt;=5,"SETTLED","OUTSTANDING")=$FX$23)*($KO$6:$KO$42=1))&gt;0)</f>
        <v/>
      </c>
      <c r="KQ23">
        <f>$KQ$22+--($KP23)</f>
        <v/>
      </c>
      <c r="KR23">
        <f>IF(ROW()-3&gt;MAX($KQ$4:$KQ$40),"",INDEX($FX$4:$FX$40,MATCH(ROW()-3,$KQ$4:$KQ$40,0)))</f>
        <v/>
      </c>
      <c r="KS23">
        <f>IF(COUNTIF('Live Search'!BM$22:CQ$22,0)+COUNTIF('Live Search'!CS$22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KT23">
        <f>IF($FI$23="",FALSE,SUMPRODUCT(('Final Calculation Sheet'!$AF$4:$AF$40=$FI$23)*($KS$6:$KS$42=1))&gt;0)</f>
        <v/>
      </c>
      <c r="KU23">
        <f>$KU$22+--($KT23)</f>
        <v/>
      </c>
      <c r="KV23">
        <f>IF(ROW()-3&gt;MAX($KU$4:$KU$40),"",INDEX($FI$4:$FI$40,MATCH(ROW()-3,$KU$4:$KU$40,0)))</f>
        <v/>
      </c>
      <c r="KW23">
        <f>IF(COUNTIF('Live Search'!BM$22:CR$22,0)+COUNTIF('Live Search'!CT$22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KX23">
        <f>IF($FN$23="",FALSE,SUMPRODUCT(('Final Calculation Sheet'!$AG$4:$AG$40=$FN$23)*($KW$6:$KW$42=1))&gt;0)</f>
        <v/>
      </c>
      <c r="KY23">
        <f>$KY$22+--($KX23)</f>
        <v/>
      </c>
      <c r="KZ23">
        <f>IF(ROW()-3&gt;MAX($KY$4:$KY$40),"",INDEX($FN$4:$FN$40,MATCH(ROW()-3,$KY$4:$KY$40,0)))</f>
        <v/>
      </c>
      <c r="LA23">
        <f>IF(COUNTIF('Live Search'!BM$22:CS$22,0)+COUNTIF('Live Search'!CU$22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LB23">
        <f>IF($FS$23="",FALSE,SUMPRODUCT(('Final Calculation Sheet'!$AH$4:$AH$40=$FS$23)*($LA$6:$LA$42=1))&gt;0)</f>
        <v/>
      </c>
      <c r="LC23">
        <f>$LC$22+--($LB23)</f>
        <v/>
      </c>
      <c r="LD23">
        <f>IF(ROW()-3&gt;MAX($LC$4:$LC$40),"",INDEX($FS$4:$FS$40,MATCH(ROW()-3,$LC$4:$LC$40,0)))</f>
        <v/>
      </c>
      <c r="LE23">
        <f>IF(COUNTIF('Buyer Groups'!DH76:EN76,0)&gt;0,0,1)</f>
        <v/>
      </c>
      <c r="LF23">
        <f>IF($O$23="",FALSE,SUMPRODUCT(('Final Calculation Sheet'!$F$4:$F$40=$O$23)*($LE$6:$LE$42=1))&gt;0)</f>
        <v/>
      </c>
      <c r="LG23">
        <f>$LG$22+--($LF23)</f>
        <v/>
      </c>
      <c r="LH23">
        <f>IF(ROW()-3&gt;MAX($LG$4:$LG$40),"",INDEX($O$4:$O$40,MATCH(ROW()-3,$LG$4:$LG$40,0)))</f>
        <v/>
      </c>
      <c r="LI23">
        <f>IF(COUNTIF('Buyer Groups'!DG76:DG76,0)+COUNTIF('Buyer Groups'!DI76:EN76,0)&gt;0,0,1)</f>
        <v/>
      </c>
      <c r="LJ23">
        <f>IF($T$23="",FALSE,SUMPRODUCT(('Final Calculation Sheet'!$G$4:$G$40=$T$23)*($LI$6:$LI$42=1))&gt;0)</f>
        <v/>
      </c>
      <c r="LK23">
        <f>$LK$22+--($LJ23)</f>
        <v/>
      </c>
      <c r="LL23">
        <f>IF(ROW()-3&gt;MAX($LK$4:$LK$40),"",INDEX($T$4:$T$40,MATCH(ROW()-3,$LK$4:$LK$40,0)))</f>
        <v/>
      </c>
      <c r="LM23">
        <f>IF(COUNTIF('Buyer Groups'!DG76:DH76,0)+COUNTIF('Buyer Groups'!DJ76:EN76,0)&gt;0,0,1)</f>
        <v/>
      </c>
      <c r="LN23">
        <f>IF($Y$23="",FALSE,SUMPRODUCT(('Final Calculation Sheet'!$B$4:$B$40=$Y$23)*($LM$6:$LM$42=1))&gt;0)</f>
        <v/>
      </c>
      <c r="LO23">
        <f>$LO$22+--($LN23)</f>
        <v/>
      </c>
      <c r="LP23">
        <f>IF(ROW()-3&gt;MAX($LO$4:$LO$40),"",INDEX($Y$4:$Y$40,MATCH(ROW()-3,$LO$4:$LO$40,0)))</f>
        <v/>
      </c>
      <c r="LQ23">
        <f>IF(COUNTIF('Buyer Groups'!DG76:DI76,0)+COUNTIF('Buyer Groups'!DK76:EN76,0)&gt;0,0,1)</f>
        <v/>
      </c>
      <c r="LR23">
        <f>IF($AD$23="",FALSE,SUMPRODUCT(('Final Calculation Sheet'!$D$4:$D$40=$AD$23)*($LQ$6:$LQ$42=1))&gt;0)</f>
        <v/>
      </c>
      <c r="LS23">
        <f>$LS$22+--($LR23)</f>
        <v/>
      </c>
      <c r="LT23">
        <f>IF(ROW()-3&gt;MAX($LS$4:$LS$40),"",INDEX($AD$4:$AD$40,MATCH(ROW()-3,$LS$4:$LS$40,0)))</f>
        <v/>
      </c>
      <c r="LU23">
        <f>IF(COUNTIF('Buyer Groups'!DG76:DJ76,0)+COUNTIF('Buyer Groups'!DL76:EN76,0)&gt;0,0,1)</f>
        <v/>
      </c>
      <c r="LV23">
        <f>IF($AI$23="",FALSE,SUMPRODUCT(('Final Calculation Sheet'!$A$4:$A$40=$AI$23)*($LU$6:$LU$42=1))&gt;0)</f>
        <v/>
      </c>
      <c r="LW23">
        <f>$LW$22+--($LV23)</f>
        <v/>
      </c>
      <c r="LX23">
        <f>IF(ROW()-3&gt;MAX($LW$4:$LW$40),"",INDEX($AI$4:$AI$40,MATCH(ROW()-3,$LW$4:$LW$40,0)))</f>
        <v/>
      </c>
      <c r="LY23">
        <f>IF(COUNTIF('Buyer Groups'!DG76:DK76,0)+COUNTIF('Buyer Groups'!DM76:EN76,0)&gt;0,0,1)</f>
        <v/>
      </c>
      <c r="LZ23">
        <f>IF($AN$23="",FALSE,SUMPRODUCT(('Final Calculation Sheet'!$E$4:$E$40=$AN$23)*($LY$6:$LY$42=1))&gt;0)</f>
        <v/>
      </c>
      <c r="MA23">
        <f>$MA$22+--($LZ23)</f>
        <v/>
      </c>
      <c r="MB23">
        <f>IF(ROW()-3&gt;MAX($MA$4:$MA$40),"",INDEX($AN$4:$AN$40,MATCH(ROW()-3,$MA$4:$MA$40,0)))</f>
        <v/>
      </c>
      <c r="MC23">
        <f>IF(COUNTIF('Buyer Groups'!DG76:DL76,0)+COUNTIF('Buyer Groups'!DN76:EN76,0)&gt;0,0,1)</f>
        <v/>
      </c>
      <c r="MD23">
        <f>IF($AS$23="",FALSE,SUMPRODUCT(('Final Calculation Sheet'!$C$4:$C$40=$AS$23)*($MC$6:$MC$42=1))&gt;0)</f>
        <v/>
      </c>
      <c r="ME23">
        <f>$ME$22+--($MD23)</f>
        <v/>
      </c>
      <c r="MF23">
        <f>IF(ROW()-3&gt;MAX($ME$4:$ME$40),"",INDEX($AS$4:$AS$40,MATCH(ROW()-3,$ME$4:$ME$40,0)))</f>
        <v/>
      </c>
      <c r="MG23">
        <f>IF(COUNTIF('Buyer Groups'!DG76:DM76,0)+COUNTIF('Buyer Groups'!DO76:EN76,0)&gt;0,0,1)</f>
        <v/>
      </c>
      <c r="MH23">
        <f>IF($AX$23="",FALSE,SUMPRODUCT(('Final Calculation Sheet'!$H$4:$H$40=$AX$23)*($MG$6:$MG$42=1))&gt;0)</f>
        <v/>
      </c>
      <c r="MI23">
        <f>$MI$22+--($MH23)</f>
        <v/>
      </c>
      <c r="MJ23">
        <f>IF(ROW()-3&gt;MAX($MI$4:$MI$40),"",INDEX($AX$4:$AX$40,MATCH(ROW()-3,$MI$4:$MI$40,0)))</f>
        <v/>
      </c>
      <c r="MK23">
        <f>IF(COUNTIF('Buyer Groups'!DG76:DN76,0)+COUNTIF('Buyer Groups'!DP76:EN76,0)&gt;0,0,1)</f>
        <v/>
      </c>
      <c r="ML23">
        <f>IF($BC$23="",FALSE,SUMPRODUCT(('Final Calculation Sheet'!$I$4:$I$40=$BC$23)*($MK$6:$MK$42=1))&gt;0)</f>
        <v/>
      </c>
      <c r="MM23">
        <f>$MM$22+--($ML23)</f>
        <v/>
      </c>
      <c r="MN23">
        <f>IF(ROW()-3&gt;MAX($MM$4:$MM$40),"",INDEX($BC$4:$BC$40,MATCH(ROW()-3,$MM$4:$MM$40,0)))</f>
        <v/>
      </c>
      <c r="MO23">
        <f>IF(COUNTIF('Buyer Groups'!DG76:DO76,0)+COUNTIF('Buyer Groups'!DQ76:EN76,0)&gt;0,0,1)</f>
        <v/>
      </c>
      <c r="MP23">
        <f>IF($BH$23="",FALSE,SUMPRODUCT(('Final Calculation Sheet'!$J$4:$J$40=$BH$23)*($MO$6:$MO$42=1))&gt;0)</f>
        <v/>
      </c>
      <c r="MQ23">
        <f>$MQ$22+--($MP23)</f>
        <v/>
      </c>
      <c r="MR23">
        <f>IF(ROW()-3&gt;MAX($MQ$4:$MQ$40),"",INDEX($BH$4:$BH$40,MATCH(ROW()-3,$MQ$4:$MQ$40,0)))</f>
        <v/>
      </c>
      <c r="MS23">
        <f>IF(COUNTIF('Buyer Groups'!DG76:DP76,0)+COUNTIF('Buyer Groups'!DR76:EN76,0)&gt;0,0,1)</f>
        <v/>
      </c>
      <c r="MT23">
        <f>IF($BM$23="",FALSE,SUMPRODUCT(('Final Calculation Sheet'!$K$4:$K$40=$BM$23)*($MS$6:$MS$42=1))&gt;0)</f>
        <v/>
      </c>
      <c r="MU23">
        <f>$MU$22+--($MT23)</f>
        <v/>
      </c>
      <c r="MV23">
        <f>IF(ROW()-3&gt;MAX($MU$4:$MU$40),"",INDEX($BM$4:$BM$40,MATCH(ROW()-3,$MU$4:$MU$40,0)))</f>
        <v/>
      </c>
      <c r="MW23">
        <f>IF(COUNTIF('Buyer Groups'!DG76:DQ76,0)+COUNTIF('Buyer Groups'!DS76:EN76,0)&gt;0,0,1)</f>
        <v/>
      </c>
      <c r="MX23">
        <f>IF($BR$23="",FALSE,SUMPRODUCT(('Final Calculation Sheet'!$L$4:$L$40=$BR$23)*($MW$6:$MW$42=1))&gt;0)</f>
        <v/>
      </c>
      <c r="MY23">
        <f>$MY$22+--($MX23)</f>
        <v/>
      </c>
      <c r="MZ23">
        <f>IF(ROW()-3&gt;MAX($MY$4:$MY$40),"",INDEX($BR$4:$BR$40,MATCH(ROW()-3,$MY$4:$MY$40,0)))</f>
        <v/>
      </c>
      <c r="NA23">
        <f>IF(COUNTIF('Buyer Groups'!DG76:DR76,0)+COUNTIF('Buyer Groups'!DT76:EN76,0)&gt;0,0,1)</f>
        <v/>
      </c>
      <c r="NB23">
        <f>IF($BW$23="",FALSE,SUMPRODUCT(('Final Calculation Sheet'!$M$4:$M$40=$BW$23)*($NA$6:$NA$42=1))&gt;0)</f>
        <v/>
      </c>
      <c r="NC23">
        <f>$NC$22+--($NB23)</f>
        <v/>
      </c>
      <c r="ND23">
        <f>IF(ROW()-3&gt;MAX($NC$4:$NC$40),"",INDEX($BW$4:$BW$40,MATCH(ROW()-3,$NC$4:$NC$40,0)))</f>
        <v/>
      </c>
      <c r="NE23">
        <f>IF(COUNTIF('Buyer Groups'!DG76:DS76,0)+COUNTIF('Buyer Groups'!DU76:EN76,0)&gt;0,0,1)</f>
        <v/>
      </c>
      <c r="NF23">
        <f>IF($CB$23="",FALSE,SUMPRODUCT(('Final Calculation Sheet'!$N$4:$N$40=$CB$23)*($NE$6:$NE$42=1))&gt;0)</f>
        <v/>
      </c>
      <c r="NG23">
        <f>$NG$22+--($NF23)</f>
        <v/>
      </c>
      <c r="NH23">
        <f>IF(ROW()-3&gt;MAX($NG$4:$NG$40),"",INDEX($CB$4:$CB$40,MATCH(ROW()-3,$NG$4:$NG$40,0)))</f>
        <v/>
      </c>
      <c r="NI23">
        <f>IF(COUNTIF('Buyer Groups'!DG76:DT76,0)+COUNTIF('Buyer Groups'!DV76:EN76,0)&gt;0,0,1)</f>
        <v/>
      </c>
      <c r="NJ23">
        <f>IF($CG$23="",FALSE,SUMPRODUCT(('Final Calculation Sheet'!$O$4:$O$40=$CG$23)*($NI$6:$NI$42=1))&gt;0)</f>
        <v/>
      </c>
      <c r="NK23">
        <f>$NK$22+--($NJ23)</f>
        <v/>
      </c>
      <c r="NL23">
        <f>IF(ROW()-3&gt;MAX($NK$4:$NK$40),"",INDEX($CG$4:$CG$40,MATCH(ROW()-3,$NK$4:$NK$40,0)))</f>
        <v/>
      </c>
      <c r="NM23">
        <f>IF(COUNTIF('Buyer Groups'!DG76:DU76,0)+COUNTIF('Buyer Groups'!DW76:EN76,0)&gt;0,0,1)</f>
        <v/>
      </c>
      <c r="NN23">
        <f>IF($CL$23="",FALSE,SUMPRODUCT(('Final Calculation Sheet'!$P$4:$P$40=$CL$23)*($NM$6:$NM$42=1))&gt;0)</f>
        <v/>
      </c>
      <c r="NO23">
        <f>$NO$22+--($NN23)</f>
        <v/>
      </c>
      <c r="NP23">
        <f>IF(ROW()-3&gt;MAX($NO$4:$NO$40),"",INDEX($CL$4:$CL$40,MATCH(ROW()-3,$NO$4:$NO$40,0)))</f>
        <v/>
      </c>
      <c r="NQ23">
        <f>IF(COUNTIF('Buyer Groups'!DG76:DV76,0)+COUNTIF('Buyer Groups'!DX76:EN76,0)&gt;0,0,1)</f>
        <v/>
      </c>
      <c r="NR23">
        <f>IF($CQ$23="",FALSE,SUMPRODUCT(('Final Calculation Sheet'!$Q$4:$Q$40=$CQ$23)*($NQ$6:$NQ$42=1))&gt;0)</f>
        <v/>
      </c>
      <c r="NS23">
        <f>$NS$22+--($NR23)</f>
        <v/>
      </c>
      <c r="NT23">
        <f>IF(ROW()-3&gt;MAX($NS$4:$NS$40),"",INDEX($CQ$4:$CQ$40,MATCH(ROW()-3,$NS$4:$NS$40,0)))</f>
        <v/>
      </c>
      <c r="NU23">
        <f>IF(COUNTIF('Buyer Groups'!DG76:DW76,0)+COUNTIF('Buyer Groups'!DY76:EN76,0)&gt;0,0,1)</f>
        <v/>
      </c>
      <c r="NV23">
        <f>IF($CV$23="",FALSE,SUMPRODUCT(('Final Calculation Sheet'!$R$4:$R$40=$CV$23)*($NU$6:$NU$42=1))&gt;0)</f>
        <v/>
      </c>
      <c r="NW23">
        <f>$NW$22+--($NV23)</f>
        <v/>
      </c>
      <c r="NX23">
        <f>IF(ROW()-3&gt;MAX($NW$4:$NW$40),"",INDEX($CV$4:$CV$40,MATCH(ROW()-3,$NW$4:$NW$40,0)))</f>
        <v/>
      </c>
      <c r="NY23">
        <f>IF(COUNTIF('Buyer Groups'!DG76:DX76,0)+COUNTIF('Buyer Groups'!DZ76:EN76,0)&gt;0,0,1)</f>
        <v/>
      </c>
      <c r="NZ23">
        <f>IF($DA$23="",FALSE,SUMPRODUCT(('Final Calculation Sheet'!$S$4:$S$40=$DA$23)*($NY$6:$NY$42=1))&gt;0)</f>
        <v/>
      </c>
      <c r="OA23">
        <f>$OA$22+--($NZ23)</f>
        <v/>
      </c>
      <c r="OB23">
        <f>IF(ROW()-3&gt;MAX($OA$4:$OA$40),"",INDEX($DA$4:$DA$40,MATCH(ROW()-3,$OA$4:$OA$40,0)))</f>
        <v/>
      </c>
      <c r="OC23">
        <f>IF(COUNTIF('Buyer Groups'!DG76:DY76,0)+COUNTIF('Buyer Groups'!EA76:EN76,0)&gt;0,0,1)</f>
        <v/>
      </c>
      <c r="OD23">
        <f>IF($DF$23="",FALSE,SUMPRODUCT(('Final Calculation Sheet'!$T$4:$T$40=$DF$23)*($OC$6:$OC$42=1))&gt;0)</f>
        <v/>
      </c>
      <c r="OE23">
        <f>$OE$22+--($OD23)</f>
        <v/>
      </c>
      <c r="OF23">
        <f>IF(ROW()-3&gt;MAX($OE$4:$OE$40),"",INDEX($DF$4:$DF$40,MATCH(ROW()-3,$OE$4:$OE$40,0)))</f>
        <v/>
      </c>
      <c r="OG23">
        <f>IF(COUNTIF('Buyer Groups'!DG76:DZ76,0)+COUNTIF('Buyer Groups'!EB76:EN76,0)&gt;0,0,1)</f>
        <v/>
      </c>
      <c r="OH23">
        <f>IF($DK$23="",FALSE,SUMPRODUCT(('Final Calculation Sheet'!$U$4:$U$40=$DK$23)*($OG$6:$OG$42=1))&gt;0)</f>
        <v/>
      </c>
      <c r="OI23">
        <f>$OI$22+--($OH23)</f>
        <v/>
      </c>
      <c r="OJ23">
        <f>IF(ROW()-3&gt;MAX($OI$4:$OI$40),"",INDEX($DK$4:$DK$40,MATCH(ROW()-3,$OI$4:$OI$40,0)))</f>
        <v/>
      </c>
      <c r="OK23">
        <f>IF(COUNTIF('Buyer Groups'!DG76:EA76,0)+COUNTIF('Buyer Groups'!EC76:EN76,0)&gt;0,0,1)</f>
        <v/>
      </c>
      <c r="OL23">
        <f>IF($DP$23="",FALSE,SUMPRODUCT(('Final Calculation Sheet'!$V$4:$V$40=$DP$23)*($OK$6:$OK$42=1))&gt;0)</f>
        <v/>
      </c>
      <c r="OM23">
        <f>$OM$22+--($OL23)</f>
        <v/>
      </c>
      <c r="ON23">
        <f>IF(ROW()-3&gt;MAX($OM$4:$OM$40),"",INDEX($DP$4:$DP$40,MATCH(ROW()-3,$OM$4:$OM$40,0)))</f>
        <v/>
      </c>
      <c r="OO23">
        <f>IF(COUNTIF('Buyer Groups'!DG76:EB76,0)+COUNTIF('Buyer Groups'!ED76:EN76,0)&gt;0,0,1)</f>
        <v/>
      </c>
      <c r="OP23">
        <f>IF($DU$23="",FALSE,SUMPRODUCT(('Final Calculation Sheet'!$W$4:$W$40=$DU$23)*($OO$6:$OO$42=1))&gt;0)</f>
        <v/>
      </c>
      <c r="OQ23">
        <f>$OQ$22+--($OP23)</f>
        <v/>
      </c>
      <c r="OR23">
        <f>IF(ROW()-3&gt;MAX($OQ$4:$OQ$40),"",INDEX($DU$4:$DU$40,MATCH(ROW()-3,$OQ$4:$OQ$40,0)))</f>
        <v/>
      </c>
      <c r="OS23">
        <f>IF(COUNTIF('Buyer Groups'!DG76:EC76,0)+COUNTIF('Buyer Groups'!EE76:EN76,0)&gt;0,0,1)</f>
        <v/>
      </c>
      <c r="OT23">
        <f>IF($DZ$23="",FALSE,SUMPRODUCT(('Final Calculation Sheet'!$X$4:$X$40=$DZ$23)*($OS$6:$OS$42=1))&gt;0)</f>
        <v/>
      </c>
      <c r="OU23">
        <f>$OU$22+--($OT23)</f>
        <v/>
      </c>
      <c r="OV23">
        <f>IF(ROW()-3&gt;MAX($OU$4:$OU$40),"",INDEX($DZ$4:$DZ$40,MATCH(ROW()-3,$OU$4:$OU$40,0)))</f>
        <v/>
      </c>
      <c r="OW23">
        <f>IF(COUNTIF('Buyer Groups'!DG76:ED76,0)+COUNTIF('Buyer Groups'!EF76:EN76,0)&gt;0,0,1)</f>
        <v/>
      </c>
      <c r="OX23">
        <f>IF($EE$23="",FALSE,SUMPRODUCT(('Final Calculation Sheet'!$Y$4:$Y$40=$EE$23)*($OW$6:$OW$42=1))&gt;0)</f>
        <v/>
      </c>
      <c r="OY23">
        <f>$OY$22+--($OX23)</f>
        <v/>
      </c>
      <c r="OZ23">
        <f>IF(ROW()-3&gt;MAX($OY$4:$OY$40),"",INDEX($EE$4:$EE$40,MATCH(ROW()-3,$OY$4:$OY$40,0)))</f>
        <v/>
      </c>
      <c r="PA23">
        <f>IF(COUNTIF('Buyer Groups'!DG76:EE76,0)+COUNTIF('Buyer Groups'!EG76:EN76,0)&gt;0,0,1)</f>
        <v/>
      </c>
      <c r="PB23">
        <f>IF($EJ$23="",FALSE,SUMPRODUCT(('Final Calculation Sheet'!$Z$4:$Z$40=$EJ$23)*($PA$6:$PA$42=1))&gt;0)</f>
        <v/>
      </c>
      <c r="PC23">
        <f>$PC$22+--($PB23)</f>
        <v/>
      </c>
      <c r="PD23">
        <f>IF(ROW()-3&gt;MAX($PC$4:$PC$40),"",INDEX($EJ$4:$EJ$40,MATCH(ROW()-3,$PC$4:$PC$40,0)))</f>
        <v/>
      </c>
      <c r="PE23">
        <f>IF(COUNTIF('Buyer Groups'!DG76:EF76,0)+COUNTIF('Buyer Groups'!EH76:EN76,0)&gt;0,0,1)</f>
        <v/>
      </c>
      <c r="PF23">
        <f>IF($EO$23="",FALSE,SUMPRODUCT(('Final Calculation Sheet'!$AA$4:$AA$40=$EO$23)*($PE$6:$PE$42=1))&gt;0)</f>
        <v/>
      </c>
      <c r="PG23">
        <f>$PG$22+--($PF23)</f>
        <v/>
      </c>
      <c r="PH23">
        <f>IF(ROW()-3&gt;MAX($PG$4:$PG$40),"",INDEX($EO$4:$EO$40,MATCH(ROW()-3,$PG$4:$PG$40,0)))</f>
        <v/>
      </c>
      <c r="PI23">
        <f>IF(COUNTIF('Buyer Groups'!DG76:EG76,0)+COUNTIF('Buyer Groups'!EI76:EN76,0)&gt;0,0,1)</f>
        <v/>
      </c>
      <c r="PJ23">
        <f>IF($ET$23="",FALSE,SUMPRODUCT(('Final Calculation Sheet'!$AB$4:$AB$40=$ET$23)*($PI$6:$PI$42=1))&gt;0)</f>
        <v/>
      </c>
      <c r="PK23">
        <f>$PK$22+--($PJ23)</f>
        <v/>
      </c>
      <c r="PL23">
        <f>IF(ROW()-3&gt;MAX($PK$4:$PK$40),"",INDEX($ET$4:$ET$40,MATCH(ROW()-3,$PK$4:$PK$40,0)))</f>
        <v/>
      </c>
      <c r="PM23">
        <f>IF(COUNTIF('Buyer Groups'!DG76:EH76,0)+COUNTIF('Buyer Groups'!EJ76:EN76,0)&gt;0,0,1)</f>
        <v/>
      </c>
      <c r="PN23">
        <f>IF($EY$23="",FALSE,SUMPRODUCT(('Final Calculation Sheet'!$AC$4:$AC$40=$EY$23)*($PM$6:$PM$42=1))&gt;0)</f>
        <v/>
      </c>
      <c r="PO23">
        <f>$PO$22+--($PN23)</f>
        <v/>
      </c>
      <c r="PP23">
        <f>IF(ROW()-3&gt;MAX($PO$4:$PO$40),"",INDEX($EY$4:$EY$40,MATCH(ROW()-3,$PO$4:$PO$40,0)))</f>
        <v/>
      </c>
      <c r="PQ23">
        <f>IF(COUNTIF('Buyer Groups'!DG76:EI76,0)+COUNTIF('Buyer Groups'!EK76:EN76,0)&gt;0,0,1)</f>
        <v/>
      </c>
      <c r="PR23">
        <f>IF($FD$23="",FALSE,SUMPRODUCT(('Final Calculation Sheet'!$AD$4:$AD$40=$FD$23)*($PQ$6:$PQ$42=1))&gt;0)</f>
        <v/>
      </c>
      <c r="PS23">
        <f>$PS$22+--($PR23)</f>
        <v/>
      </c>
      <c r="PT23">
        <f>IF(ROW()-3&gt;MAX($PS$4:$PS$40),"",INDEX($FD$4:$FD$40,MATCH(ROW()-3,$PS$4:$PS$40,0)))</f>
        <v/>
      </c>
      <c r="PU23">
        <f>IF(COUNTIF('Buyer Groups'!DG76:EJ76,0)+COUNTIF('Buyer Groups'!EL76:EN76,0)&gt;0,0,1)</f>
        <v/>
      </c>
      <c r="PV23">
        <f>IF($FX$23="",FALSE,SUMPRODUCT((IF('Final Calculation Sheet'!$AD$4:$AD$40&lt;=5,"SETTLED","OUTSTANDING")=$FX$23)*($PU$6:$PU$42=1))&gt;0)</f>
        <v/>
      </c>
      <c r="PW23">
        <f>$PW$22+--($PV23)</f>
        <v/>
      </c>
      <c r="PX23">
        <f>IF(ROW()-3&gt;MAX($PW$4:$PW$40),"",INDEX($FX$4:$FX$40,MATCH(ROW()-3,$PW$4:$PW$40,0)))</f>
        <v/>
      </c>
      <c r="PY23">
        <f>IF(COUNTIF('Buyer Groups'!DG76:EK76,0)+COUNTIF('Buyer Groups'!EM76:EN76,0)&gt;0,0,1)</f>
        <v/>
      </c>
      <c r="PZ23">
        <f>IF($FI$23="",FALSE,SUMPRODUCT(('Final Calculation Sheet'!$AF$4:$AF$40=$FI$23)*($PY$6:$PY$42=1))&gt;0)</f>
        <v/>
      </c>
      <c r="QA23">
        <f>$QA$22+--($PZ23)</f>
        <v/>
      </c>
      <c r="QB23">
        <f>IF(ROW()-3&gt;MAX($QA$4:$QA$40),"",INDEX($FI$4:$FI$40,MATCH(ROW()-3,$QA$4:$QA$40,0)))</f>
        <v/>
      </c>
      <c r="QC23">
        <f>IF(COUNTIF('Buyer Groups'!DG76:EL76,0)+COUNTIF('Buyer Groups'!EN76:EN76,0)&gt;0,0,1)</f>
        <v/>
      </c>
      <c r="QD23">
        <f>IF($FN$23="",FALSE,SUMPRODUCT(('Final Calculation Sheet'!$AG$4:$AG$40=$FN$23)*($QC$6:$QC$42=1))&gt;0)</f>
        <v/>
      </c>
      <c r="QE23">
        <f>$QE$22+--($QD23)</f>
        <v/>
      </c>
      <c r="QF23">
        <f>IF(ROW()-3&gt;MAX($QE$4:$QE$40),"",INDEX($FN$4:$FN$40,MATCH(ROW()-3,$QE$4:$QE$40,0)))</f>
        <v/>
      </c>
      <c r="QG23">
        <f>IF(COUNTIF('Buyer Groups'!DG76:EM76,0)&gt;0,0,1)</f>
        <v/>
      </c>
      <c r="QH23">
        <f>IF($FS$23="",FALSE,SUMPRODUCT(('Final Calculation Sheet'!$AH$4:$AH$40=$FS$23)*($QG$6:$QG$42=1))&gt;0)</f>
        <v/>
      </c>
      <c r="QI23">
        <f>$QI$22+--($QH23)</f>
        <v/>
      </c>
      <c r="QJ23">
        <f>IF(ROW()-3&gt;MAX($QI$4:$QI$40),"",INDEX($FS$4:$FS$40,MATCH(ROW()-3,$QI$4:$QI$40,0)))</f>
        <v/>
      </c>
      <c r="QK23" t="str">
        <f>IF('Final Calculation Sheet'!$AH$23="","",'Final Calculation Sheet'!$AH$23)</f>
      </c>
      <c r="QL23" t="str">
        <f>IF(QK23="","",COUNTIFS(QK$4:QK$40,"&lt;"&amp;QK23,QK$4:QK$40,"&lt;&gt;"&amp;"")+COUNTIF(QK$4:QK23,QK23))</f>
      </c>
      <c r="QM23" t="str">
        <f>IF(ROW()-3&gt;COUNTIF(QK$4:QK$40,"&lt;&gt;"&amp;""),"",INDEX(QK$4:QK$40,MATCH(ROW()-3,QL$4:QL$40,0)))</f>
      </c>
      <c r="QN23" t="str">
        <f>=QN22+F(AND(QM23&lt;&gt;"",COUNTIF(QM$4:QM23,QM23)=1),1,0)</f>
      </c>
      <c r="QO23" t="str">
        <f>IF(ROW()-3&gt;MAX(QN$4:QN$40),"",INDEX(QM$4:QM$40,MATCH(ROW()-3,QN$4:QN$40,0)))</f>
      </c>
      <c r="QP23" t="str">
        <f>IF(COUNTIF('Final Calculation Sheet'!$AM23:$BS23,0)&gt;0,0,1)</f>
      </c>
      <c r="QQ23" t="str">
        <f>IF($AI$23="",FALSE,SUMPRODUCT(('Final Calculation Sheet'!$A$4:$A$40=$AI$23)*($QP$4:$QP$40=1))&gt;0)</f>
      </c>
      <c r="QR23" t="str">
        <f>=$QR22+--($QQ23)</f>
      </c>
      <c r="QS23" t="str">
        <f>IF(ROW()-3&gt;MAX($QR$4:$QR$40),"",INDEX($AI$4:$AI$40,MATCH(ROW()-3,$QR$4:$QR$40,0)))</f>
      </c>
      <c r="QT23" t="str">
        <f>IF(COUNTIF('Final Calculation Sheet'!$AL23:$AL23,0)+COUNTIF('Final Calculation Sheet'!$AN23:$BS23,0)&gt;0,0,1)</f>
      </c>
      <c r="QU23" t="str">
        <f>IF($Y$23="",FALSE,SUMPRODUCT(('Final Calculation Sheet'!$B$4:$B$40=$Y$23)*($QT$4:$QT$40=1))&gt;0)</f>
      </c>
      <c r="QV23" t="str">
        <f>=$QV22+--($QU23)</f>
      </c>
      <c r="QW23" t="str">
        <f>IF(ROW()-3&gt;MAX($QV$4:$QV$40),"",INDEX($Y$4:$Y$40,MATCH(ROW()-3,$QV$4:$QV$40,0)))</f>
      </c>
      <c r="QX23" t="str">
        <f>IF(COUNTIF('Final Calculation Sheet'!$AL23:$AM23,0)+COUNTIF('Final Calculation Sheet'!$AO23:$BS23,0)&gt;0,0,1)</f>
      </c>
      <c r="QY23" t="str">
        <f>IF($AS$23="",FALSE,SUMPRODUCT(('Final Calculation Sheet'!$C$4:$C$40=$AS$23)*($QX$4:$QX$40=1))&gt;0)</f>
      </c>
      <c r="QZ23" t="str">
        <f>=$QZ22+--($QY23)</f>
      </c>
      <c r="RA23" t="str">
        <f>IF(ROW()-3&gt;MAX($QZ$4:$QZ$40),"",INDEX($AS$4:$AS$40,MATCH(ROW()-3,$QZ$4:$QZ$40,0)))</f>
      </c>
      <c r="RB23" t="str">
        <f>IF(COUNTIF('Final Calculation Sheet'!$AL23:$AN23,0)+COUNTIF('Final Calculation Sheet'!$AP23:$BS23,0)&gt;0,0,1)</f>
      </c>
      <c r="RC23" t="str">
        <f>IF($AD$23="",FALSE,SUMPRODUCT(('Final Calculation Sheet'!$D$4:$D$40=$AD$23)*($RB$4:$RB$40=1))&gt;0)</f>
      </c>
      <c r="RD23" t="str">
        <f>=$RD22+--($RC23)</f>
      </c>
      <c r="RE23" t="str">
        <f>IF(ROW()-3&gt;MAX($RD$4:$RD$40),"",INDEX($AD$4:$AD$40,MATCH(ROW()-3,$RD$4:$RD$40,0)))</f>
      </c>
      <c r="RF23" t="str">
        <f>IF(COUNTIF('Final Calculation Sheet'!$AL23:$AO23,0)+COUNTIF('Final Calculation Sheet'!$AQ23:$BS23,0)&gt;0,0,1)</f>
      </c>
      <c r="RG23" t="str">
        <f>IF($AN$23="",FALSE,SUMPRODUCT(('Final Calculation Sheet'!$E$4:$E$40=$AN$23)*($RF$4:$RF$40=1))&gt;0)</f>
      </c>
      <c r="RH23" t="str">
        <f>=$RH22+--($RG23)</f>
      </c>
      <c r="RI23" t="str">
        <f>IF(ROW()-3&gt;MAX($RH$4:$RH$40),"",INDEX($AN$4:$AN$40,MATCH(ROW()-3,$RH$4:$RH$40,0)))</f>
      </c>
      <c r="RJ23" t="str">
        <f>IF(COUNTIF('Final Calculation Sheet'!$AL23:$AP23,0)+COUNTIF('Final Calculation Sheet'!$AR23:$BS23,0)&gt;0,0,1)</f>
      </c>
      <c r="RK23" t="str">
        <f>IF($O$23="",FALSE,SUMPRODUCT(('Final Calculation Sheet'!$F$4:$F$40=$O$23)*($RJ$4:$RJ$40=1))&gt;0)</f>
      </c>
      <c r="RL23" t="str">
        <f>=$RL22+--($RK23)</f>
      </c>
      <c r="RM23" t="str">
        <f>IF(ROW()-3&gt;MAX($RL$4:$RL$40),"",INDEX($O$4:$O$40,MATCH(ROW()-3,$RL$4:$RL$40,0)))</f>
      </c>
      <c r="RN23" t="str">
        <f>IF(COUNTIF('Final Calculation Sheet'!$AL23:$AQ23,0)+COUNTIF('Final Calculation Sheet'!$AS23:$BS23,0)&gt;0,0,1)</f>
      </c>
      <c r="RO23" t="str">
        <f>IF($T$23="",FALSE,SUMPRODUCT(('Final Calculation Sheet'!$G$4:$G$40=$T$23)*($RN$4:$RN$40=1))&gt;0)</f>
      </c>
      <c r="RP23" t="str">
        <f>=$RP22+--($RO23)</f>
      </c>
      <c r="RQ23" t="str">
        <f>IF(ROW()-3&gt;MAX($RP$4:$RP$40),"",INDEX($T$4:$T$40,MATCH(ROW()-3,$RP$4:$RP$40,0)))</f>
      </c>
      <c r="RR23" t="str">
        <f>IF(COUNTIF('Final Calculation Sheet'!$AL23:$AR23,0)+COUNTIF('Final Calculation Sheet'!$AT23:$BS23,0)&gt;0,0,1)</f>
      </c>
      <c r="RS23" t="str">
        <f>IF($AX$23="",FALSE,SUMPRODUCT(('Final Calculation Sheet'!$H$4:$H$40=$AX$23)*($RR$4:$RR$40=1))&gt;0)</f>
      </c>
      <c r="RT23" t="str">
        <f>=$RT22+--($RS23)</f>
      </c>
      <c r="RU23" t="str">
        <f>IF(ROW()-3&gt;MAX($RT$4:$RT$40),"",INDEX($AX$4:$AX$40,MATCH(ROW()-3,$RT$4:$RT$40,0)))</f>
      </c>
      <c r="RV23" t="str">
        <f>IF(COUNTIF('Final Calculation Sheet'!$AL23:$AS23,0)+COUNTIF('Final Calculation Sheet'!$AU23:$BS23,0)&gt;0,0,1)</f>
      </c>
      <c r="RW23" t="str">
        <f>IF($BC$23="",FALSE,SUMPRODUCT(('Final Calculation Sheet'!$I$4:$I$40=$BC$23)*($RV$4:$RV$40=1))&gt;0)</f>
      </c>
      <c r="RX23" t="str">
        <f>=$RX22+--($RW23)</f>
      </c>
      <c r="RY23" t="str">
        <f>IF(ROW()-3&gt;MAX($RX$4:$RX$40),"",INDEX($BC$4:$BC$40,MATCH(ROW()-3,$RX$4:$RX$40,0)))</f>
      </c>
      <c r="RZ23" t="str">
        <f>IF(COUNTIF('Final Calculation Sheet'!$AL23:$AT23,0)+COUNTIF('Final Calculation Sheet'!$AV23:$BS23,0)&gt;0,0,1)</f>
      </c>
      <c r="SA23" t="str">
        <f>IF($BH$23="",FALSE,SUMPRODUCT(('Final Calculation Sheet'!$J$4:$J$40=$BH$23)*($RZ$4:$RZ$40=1))&gt;0)</f>
      </c>
      <c r="SB23" t="str">
        <f>=$SB22+--($SA23)</f>
      </c>
      <c r="SC23" t="str">
        <f>IF(ROW()-3&gt;MAX($SB$4:$SB$40),"",INDEX($BH$4:$BH$40,MATCH(ROW()-3,$SB$4:$SB$40,0)))</f>
      </c>
      <c r="SD23" t="str">
        <f>IF(COUNTIF('Final Calculation Sheet'!$AL23:$AU23,0)+COUNTIF('Final Calculation Sheet'!$AW23:$BS23,0)&gt;0,0,1)</f>
      </c>
      <c r="SE23" t="str">
        <f>IF($BM$23="",FALSE,SUMPRODUCT(('Final Calculation Sheet'!$K$4:$K$40=$BM$23)*($SD$4:$SD$40=1))&gt;0)</f>
      </c>
      <c r="SF23" t="str">
        <f>=$SF22+--($SE23)</f>
      </c>
      <c r="SG23" t="str">
        <f>IF(ROW()-3&gt;MAX($SF$4:$SF$40),"",INDEX($BM$4:$BM$40,MATCH(ROW()-3,$SF$4:$SF$40,0)))</f>
      </c>
      <c r="SH23" t="str">
        <f>IF(COUNTIF('Final Calculation Sheet'!$AL23:$AV23,0)+COUNTIF('Final Calculation Sheet'!$AX23:$BS23,0)&gt;0,0,1)</f>
      </c>
      <c r="SI23" t="str">
        <f>IF($BR$23="",FALSE,SUMPRODUCT(('Final Calculation Sheet'!$L$4:$L$40=$BR$23)*($SH$4:$SH$40=1))&gt;0)</f>
      </c>
      <c r="SJ23" t="str">
        <f>=$SJ22+--($SI23)</f>
      </c>
      <c r="SK23" t="str">
        <f>IF(ROW()-3&gt;MAX($SJ$4:$SJ$40),"",INDEX($BR$4:$BR$40,MATCH(ROW()-3,$SJ$4:$SJ$40,0)))</f>
      </c>
      <c r="SL23" t="str">
        <f>IF(COUNTIF('Final Calculation Sheet'!$AL23:$AW23,0)+COUNTIF('Final Calculation Sheet'!$AY23:$BS23,0)&gt;0,0,1)</f>
      </c>
      <c r="SM23" t="str">
        <f>IF($BW$23="",FALSE,SUMPRODUCT(('Final Calculation Sheet'!$M$4:$M$40=$BW$23)*($SL$4:$SL$40=1))&gt;0)</f>
      </c>
      <c r="SN23" t="str">
        <f>=$SN22+--($SM23)</f>
      </c>
      <c r="SO23" t="str">
        <f>IF(ROW()-3&gt;MAX($SN$4:$SN$40),"",INDEX($BW$4:$BW$40,MATCH(ROW()-3,$SN$4:$SN$40,0)))</f>
      </c>
      <c r="SP23" t="str">
        <f>IF(COUNTIF('Final Calculation Sheet'!$AL23:$AX23,0)+COUNTIF('Final Calculation Sheet'!$AZ23:$BS23,0)&gt;0,0,1)</f>
      </c>
      <c r="SQ23" t="str">
        <f>IF($CB$23="",FALSE,SUMPRODUCT(('Final Calculation Sheet'!$N$4:$N$40=$CB$23)*($SP$4:$SP$40=1))&gt;0)</f>
      </c>
      <c r="SR23" t="str">
        <f>=$SR22+--($SQ23)</f>
      </c>
      <c r="SS23" t="str">
        <f>IF(ROW()-3&gt;MAX($SR$4:$SR$40),"",INDEX($CB$4:$CB$40,MATCH(ROW()-3,$SR$4:$SR$40,0)))</f>
      </c>
      <c r="ST23" t="str">
        <f>IF(COUNTIF('Final Calculation Sheet'!$AL23:$AY23,0)+COUNTIF('Final Calculation Sheet'!$BA23:$BS23,0)&gt;0,0,1)</f>
      </c>
      <c r="SU23" t="str">
        <f>IF($CG$23="",FALSE,SUMPRODUCT(('Final Calculation Sheet'!$O$4:$O$40=$CG$23)*($ST$4:$ST$40=1))&gt;0)</f>
      </c>
      <c r="SV23" t="str">
        <f>=$SV22+--($SU23)</f>
      </c>
      <c r="SW23" t="str">
        <f>IF(ROW()-3&gt;MAX($SV$4:$SV$40),"",INDEX($CG$4:$CG$40,MATCH(ROW()-3,$SV$4:$SV$40,0)))</f>
      </c>
      <c r="SX23" t="str">
        <f>IF(COUNTIF('Final Calculation Sheet'!$AL23:$AZ23,0)+COUNTIF('Final Calculation Sheet'!$BB23:$BS23,0)&gt;0,0,1)</f>
      </c>
      <c r="SY23" t="str">
        <f>IF($CL$23="",FALSE,SUMPRODUCT(('Final Calculation Sheet'!$P$4:$P$40=$CL$23)*($SX$4:$SX$40=1))&gt;0)</f>
      </c>
      <c r="SZ23" t="str">
        <f>=$SZ22+--($SY23)</f>
      </c>
      <c r="TA23" t="str">
        <f>IF(ROW()-3&gt;MAX($SZ$4:$SZ$40),"",INDEX($CL$4:$CL$40,MATCH(ROW()-3,$SZ$4:$SZ$40,0)))</f>
      </c>
      <c r="TB23" t="str">
        <f>IF(COUNTIF('Final Calculation Sheet'!$AL23:$BA23,0)+COUNTIF('Final Calculation Sheet'!$BC23:$BS23,0)&gt;0,0,1)</f>
      </c>
      <c r="TC23" t="str">
        <f>IF($CQ$23="",FALSE,SUMPRODUCT(('Final Calculation Sheet'!$Q$4:$Q$40=$CQ$23)*($TB$4:$TB$40=1))&gt;0)</f>
      </c>
      <c r="TD23" t="str">
        <f>=$TD22+--($TC23)</f>
      </c>
      <c r="TE23" t="str">
        <f>IF(ROW()-3&gt;MAX($TD$4:$TD$40),"",INDEX($CQ$4:$CQ$40,MATCH(ROW()-3,$TD$4:$TD$40,0)))</f>
      </c>
      <c r="TF23" t="str">
        <f>IF(COUNTIF('Final Calculation Sheet'!$AL23:$BB23,0)+COUNTIF('Final Calculation Sheet'!$BD23:$BS23,0)&gt;0,0,1)</f>
      </c>
      <c r="TG23" t="str">
        <f>IF($CV$23="",FALSE,SUMPRODUCT(('Final Calculation Sheet'!$R$4:$R$40=$CV$23)*($TF$4:$TF$40=1))&gt;0)</f>
      </c>
      <c r="TH23" t="str">
        <f>=$TH22+--($TG23)</f>
      </c>
      <c r="TI23" t="str">
        <f>IF(ROW()-3&gt;MAX($TH$4:$TH$40),"",INDEX($CV$4:$CV$40,MATCH(ROW()-3,$TH$4:$TH$40,0)))</f>
      </c>
      <c r="TJ23" t="str">
        <f>IF(COUNTIF('Final Calculation Sheet'!$AL23:$BC23,0)+COUNTIF('Final Calculation Sheet'!$BE23:$BS23,0)&gt;0,0,1)</f>
      </c>
      <c r="TK23" t="str">
        <f>IF($DA$23="",FALSE,SUMPRODUCT(('Final Calculation Sheet'!$S$4:$S$40=$DA$23)*($TJ$4:$TJ$40=1))&gt;0)</f>
      </c>
      <c r="TL23" t="str">
        <f>=$TL22+--($TK23)</f>
      </c>
      <c r="TM23" t="str">
        <f>IF(ROW()-3&gt;MAX($TL$4:$TL$40),"",INDEX($DA$4:$DA$40,MATCH(ROW()-3,$TL$4:$TL$40,0)))</f>
      </c>
      <c r="TN23" t="str">
        <f>IF(COUNTIF('Final Calculation Sheet'!$AL23:$BD23,0)+COUNTIF('Final Calculation Sheet'!$BF23:$BS23,0)&gt;0,0,1)</f>
      </c>
      <c r="TO23" t="str">
        <f>IF($DF$23="",FALSE,SUMPRODUCT(('Final Calculation Sheet'!$T$4:$T$40=$DF$23)*($TN$4:$TN$40=1))&gt;0)</f>
      </c>
      <c r="TP23" t="str">
        <f>=$TP22+--($TO23)</f>
      </c>
      <c r="TQ23" t="str">
        <f>IF(ROW()-3&gt;MAX($TP$4:$TP$40),"",INDEX($DF$4:$DF$40,MATCH(ROW()-3,$TP$4:$TP$40,0)))</f>
      </c>
      <c r="TR23" t="str">
        <f>IF(COUNTIF('Final Calculation Sheet'!$AL23:$BE23,0)+COUNTIF('Final Calculation Sheet'!$BG23:$BS23,0)&gt;0,0,1)</f>
      </c>
      <c r="TS23" t="str">
        <f>IF($DK$23="",FALSE,SUMPRODUCT(('Final Calculation Sheet'!$U$4:$U$40=$DK$23)*($TR$4:$TR$40=1))&gt;0)</f>
      </c>
      <c r="TT23" t="str">
        <f>=$TT22+--($TS23)</f>
      </c>
      <c r="TU23" t="str">
        <f>IF(ROW()-3&gt;MAX($TT$4:$TT$40),"",INDEX($DK$4:$DK$40,MATCH(ROW()-3,$TT$4:$TT$40,0)))</f>
      </c>
      <c r="TV23" t="str">
        <f>IF(COUNTIF('Final Calculation Sheet'!$AL23:$BF23,0)+COUNTIF('Final Calculation Sheet'!$BH23:$BS23,0)&gt;0,0,1)</f>
      </c>
      <c r="TW23" t="str">
        <f>IF($DP$23="",FALSE,SUMPRODUCT(('Final Calculation Sheet'!$V$4:$V$40=$DP$23)*($TV$4:$TV$40=1))&gt;0)</f>
      </c>
      <c r="TX23" t="str">
        <f>=$TX22+--($TW23)</f>
      </c>
      <c r="TY23" t="str">
        <f>IF(ROW()-3&gt;MAX($TX$4:$TX$40),"",INDEX($DP$4:$DP$40,MATCH(ROW()-3,$TX$4:$TX$40,0)))</f>
      </c>
      <c r="TZ23" t="str">
        <f>IF(COUNTIF('Final Calculation Sheet'!$AL23:$BG23,0)+COUNTIF('Final Calculation Sheet'!$BI23:$BS23,0)&gt;0,0,1)</f>
      </c>
      <c r="UA23" t="str">
        <f>IF($DU$23="",FALSE,SUMPRODUCT(('Final Calculation Sheet'!$W$4:$W$40=$DU$23)*($TZ$4:$TZ$40=1))&gt;0)</f>
      </c>
      <c r="UB23" t="str">
        <f>=$UB22+--($UA23)</f>
      </c>
      <c r="UC23" t="str">
        <f>IF(ROW()-3&gt;MAX($UB$4:$UB$40),"",INDEX($DU$4:$DU$40,MATCH(ROW()-3,$UB$4:$UB$40,0)))</f>
      </c>
      <c r="UD23" t="str">
        <f>IF(COUNTIF('Final Calculation Sheet'!$AL23:$BH23,0)+COUNTIF('Final Calculation Sheet'!$BJ23:$BS23,0)&gt;0,0,1)</f>
      </c>
      <c r="UE23" t="str">
        <f>IF($DZ$23="",FALSE,SUMPRODUCT(('Final Calculation Sheet'!$X$4:$X$40=$DZ$23)*($UD$4:$UD$40=1))&gt;0)</f>
      </c>
      <c r="UF23" t="str">
        <f>=$UF22+--($UE23)</f>
      </c>
      <c r="UG23" t="str">
        <f>IF(ROW()-3&gt;MAX($UF$4:$UF$40),"",INDEX($DZ$4:$DZ$40,MATCH(ROW()-3,$UF$4:$UF$40,0)))</f>
      </c>
      <c r="UH23" t="str">
        <f>IF(COUNTIF('Final Calculation Sheet'!$AL23:$BI23,0)+COUNTIF('Final Calculation Sheet'!$BK23:$BS23,0)&gt;0,0,1)</f>
      </c>
      <c r="UI23" t="str">
        <f>IF($EE$23="",FALSE,SUMPRODUCT(('Final Calculation Sheet'!$Y$4:$Y$40=$EE$23)*($UH$4:$UH$40=1))&gt;0)</f>
      </c>
      <c r="UJ23" t="str">
        <f>=$UJ22+--($UI23)</f>
      </c>
      <c r="UK23" t="str">
        <f>IF(ROW()-3&gt;MAX($UJ$4:$UJ$40),"",INDEX($EE$4:$EE$40,MATCH(ROW()-3,$UJ$4:$UJ$40,0)))</f>
      </c>
      <c r="UL23" t="str">
        <f>IF(COUNTIF('Final Calculation Sheet'!$AL23:$BJ23,0)+COUNTIF('Final Calculation Sheet'!$BL23:$BS23,0)&gt;0,0,1)</f>
      </c>
      <c r="UM23" t="str">
        <f>IF($EJ$23="",FALSE,SUMPRODUCT(('Final Calculation Sheet'!$Z$4:$Z$40=$EJ$23)*($UL$4:$UL$40=1))&gt;0)</f>
      </c>
      <c r="UN23" t="str">
        <f>=$UN22+--($UM23)</f>
      </c>
      <c r="UO23" t="str">
        <f>IF(ROW()-3&gt;MAX($UN$4:$UN$40),"",INDEX($EJ$4:$EJ$40,MATCH(ROW()-3,$UN$4:$UN$40,0)))</f>
      </c>
      <c r="UP23" t="str">
        <f>IF(COUNTIF('Final Calculation Sheet'!$AL23:$BK23,0)+COUNTIF('Final Calculation Sheet'!$BM23:$BS23,0)&gt;0,0,1)</f>
      </c>
      <c r="UQ23" t="str">
        <f>IF($EO$23="",FALSE,SUMPRODUCT(('Final Calculation Sheet'!$AA$4:$AA$40=$EO$23)*($UP$4:$UP$40=1))&gt;0)</f>
      </c>
      <c r="UR23" t="str">
        <f>=$UR22+--($UQ23)</f>
      </c>
      <c r="US23" t="str">
        <f>IF(ROW()-3&gt;MAX($UR$4:$UR$40),"",INDEX($EO$4:$EO$40,MATCH(ROW()-3,$UR$4:$UR$40,0)))</f>
      </c>
      <c r="UT23" t="str">
        <f>IF(COUNTIF('Final Calculation Sheet'!$AL23:$BL23,0)+COUNTIF('Final Calculation Sheet'!$BN23:$BS23,0)&gt;0,0,1)</f>
      </c>
      <c r="UU23" t="str">
        <f>IF($ET$23="",FALSE,SUMPRODUCT(('Final Calculation Sheet'!$AB$4:$AB$40=$ET$23)*($UT$4:$UT$40=1))&gt;0)</f>
      </c>
      <c r="UV23" t="str">
        <f>=$UV22+--($UU23)</f>
      </c>
      <c r="UW23" t="str">
        <f>IF(ROW()-3&gt;MAX($UV$4:$UV$40),"",INDEX($ET$4:$ET$40,MATCH(ROW()-3,$UV$4:$UV$40,0)))</f>
      </c>
      <c r="UX23" t="str">
        <f>IF(COUNTIF('Final Calculation Sheet'!$AL23:$BM23,0)+COUNTIF('Final Calculation Sheet'!$BO23:$BS23,0)&gt;0,0,1)</f>
      </c>
      <c r="UY23" t="str">
        <f>IF($EY$23="",FALSE,SUMPRODUCT(('Final Calculation Sheet'!$AC$4:$AC$40=$EY$23)*($UX$4:$UX$40=1))&gt;0)</f>
      </c>
      <c r="UZ23" t="str">
        <f>=$UZ22+--($UY23)</f>
      </c>
      <c r="VA23" t="str">
        <f>IF(ROW()-3&gt;MAX($UZ$4:$UZ$40),"",INDEX($EY$4:$EY$40,MATCH(ROW()-3,$UZ$4:$UZ$40,0)))</f>
      </c>
      <c r="VB23" t="str">
        <f>IF(COUNTIF('Final Calculation Sheet'!$AL23:$BN23,0)+COUNTIF('Final Calculation Sheet'!$BP23:$BS23,0)&gt;0,0,1)</f>
      </c>
      <c r="VC23" t="str">
        <f>IF($FD$23="",FALSE,SUMPRODUCT(('Final Calculation Sheet'!$AD$4:$AD$40=$FD$23)*($VB$4:$VB$40=1))&gt;0)</f>
      </c>
      <c r="VD23" t="str">
        <f>=$VD22+--($VC23)</f>
      </c>
      <c r="VE23" t="str">
        <f>IF(ROW()-3&gt;MAX($VD$4:$VD$40),"",INDEX($FD$4:$FD$40,MATCH(ROW()-3,$VD$4:$VD$40,0)))</f>
      </c>
      <c r="VF23" t="str">
        <f>IF(COUNTIF('Final Calculation Sheet'!$AL23:$BO23,0)+COUNTIF('Final Calculation Sheet'!$BQ23:$BS23,0)&gt;0,0,1)</f>
      </c>
      <c r="VG23" t="str">
        <f>IF($FI$23="",FALSE,SUMPRODUCT(('Final Calculation Sheet'!$AE$4:$AE$40=$FI$23)*($VF$4:$VF$40=1))&gt;0)</f>
      </c>
      <c r="VH23" t="str">
        <f>=$VH22+--($VG23)</f>
      </c>
      <c r="VI23" t="str">
        <f>IF(ROW()-3&gt;MAX($VH$4:$VH$40),"",INDEX($FI$4:$FI$40,MATCH(ROW()-3,$VH$4:$VH$40,0)))</f>
      </c>
      <c r="VJ23" t="str">
        <f>IF(COUNTIF('Final Calculation Sheet'!$AL23:$BP23,0)+COUNTIF('Final Calculation Sheet'!$BR23:$BS23,0)&gt;0,0,1)</f>
      </c>
      <c r="VK23" t="str">
        <f>IF($FN$23="",FALSE,SUMPRODUCT(('Final Calculation Sheet'!$AF$4:$AF$40=$FN$23)*($VJ$4:$VJ$40=1))&gt;0)</f>
      </c>
      <c r="VL23" t="str">
        <f>=$VL22+--($VK23)</f>
      </c>
      <c r="VM23" t="str">
        <f>IF(ROW()-3&gt;MAX($VL$4:$VL$40),"",INDEX($FN$4:$FN$40,MATCH(ROW()-3,$VL$4:$VL$40,0)))</f>
      </c>
      <c r="VN23" t="str">
        <f>IF(COUNTIF('Final Calculation Sheet'!$AL23:$BQ23,0)+COUNTIF('Final Calculation Sheet'!$BS23:$BS23,0)&gt;0,0,1)</f>
      </c>
      <c r="VO23" t="str">
        <f>IF($FS$23="",FALSE,SUMPRODUCT(('Final Calculation Sheet'!$AG$4:$AG$40=$FS$23)*($VN$4:$VN$40=1))&gt;0)</f>
      </c>
      <c r="VP23" t="str">
        <f>=$VP22+--($VO23)</f>
      </c>
      <c r="VQ23" t="str">
        <f>IF(ROW()-3&gt;MAX($VP$4:$VP$40),"",INDEX($FS$4:$FS$40,MATCH(ROW()-3,$VP$4:$VP$40,0)))</f>
      </c>
      <c r="VR23" t="str">
        <f>IF(COUNTIF('Final Calculation Sheet'!$AL23:$BR23,0)&gt;0,0,1)</f>
      </c>
      <c r="VS23" t="str">
        <f>IF($QO$23="",FALSE,SUMPRODUCT(('Final Calculation Sheet'!$AH$4:$AH$40=$QO$23)*($VR$4:$VR$40=1))&gt;0)</f>
      </c>
      <c r="VT23" t="str">
        <f>=$VT22+--($VS23)</f>
      </c>
      <c r="VU23" t="str">
        <f>IF(ROW()-3&gt;MAX($VT$4:$VT$40),"",INDEX($QO$4:$QO$40,MATCH(ROW()-3,$VT$4:$VT$40,0)))</f>
      </c>
    </row>
    <row r="24">
      <c r="A24">
        <f>IF('Final Calculation Sheet'!$F$24="","",'Final Calculation Sheet'!$F$24)</f>
        <v/>
      </c>
      <c r="B24">
        <f>IF(A24="","",COUNTIFS(A$4:A$114,"&lt;"&amp;A24,A$4:A$114,"&lt;&gt;"&amp;"")+COUNTIF(A$4:A24,A24))</f>
        <v/>
      </c>
      <c r="C24">
        <f>IF(ROW()-3&gt;COUNTIF(A$4:A$114,"&lt;&gt;"&amp;""),"",INDEX(A$4:A$114,MATCH(ROW()-3,B$4:B$114,0)))</f>
        <v/>
      </c>
      <c r="D24">
        <f>D23+IF(AND(C24&lt;&gt;"",COUNTIF(C$4:C24,C24)=1),1,0)</f>
        <v/>
      </c>
      <c r="E24">
        <f>IF(ROW()-3&gt;MAX(D$4:D$114),"",INDEX(C$4:C$114,MATCH(ROW()-3,D$4:D$114,0)))</f>
        <v/>
      </c>
      <c r="F24">
        <f>ROW()-3</f>
        <v/>
      </c>
      <c r="G24">
        <f>IF(F24="","",COUNTIFS(F$4:F$40,"&lt;"&amp;F24,F$4:F$40,"&lt;&gt;"&amp;"")+COUNTIF(F$4:F24,F24))</f>
        <v/>
      </c>
      <c r="H24">
        <f>IF(ROW()-3&gt;COUNTIF(F$4:F$40,"&lt;&gt;"&amp;""),"",INDEX(F$4:F$40,MATCH(ROW()-3,G$4:G$40,0)))</f>
        <v/>
      </c>
      <c r="I24">
        <f>I23+IF(AND(H24&lt;&gt;"",COUNTIF(H$4:H24,H24)=1),1,0)</f>
        <v/>
      </c>
      <c r="J24">
        <f>IF(ROW()-3&gt;MAX(I$4:I$40),"",INDEX(H$4:H$40,MATCH(ROW()-3,I$4:I$40,0)))</f>
        <v/>
      </c>
      <c r="K24">
        <f>IF('Final Calculation Sheet'!$F$24="","",'Final Calculation Sheet'!$F$24)</f>
        <v/>
      </c>
      <c r="L24">
        <f>IF(K24="","",COUNTIFS(K$4:K$40,"&lt;"&amp;K24,K$4:K$40,"&lt;&gt;"&amp;"")+COUNTIF(K$4:K24,K24))</f>
        <v/>
      </c>
      <c r="M24">
        <f>IF(ROW()-3&gt;COUNTIF(K$4:K$40,"&lt;&gt;"&amp;""),"",INDEX(K$4:K$40,MATCH(ROW()-3,L$4:L$40,0)))</f>
        <v/>
      </c>
      <c r="N24">
        <f>N23+IF(AND(M24&lt;&gt;"",COUNTIF(M$4:M24,M24)=1),1,0)</f>
        <v/>
      </c>
      <c r="O24">
        <f>IF(ROW()-3&gt;MAX(N$4:N$40),"",INDEX(M$4:M$40,MATCH(ROW()-3,N$4:N$40,0)))</f>
        <v/>
      </c>
      <c r="P24">
        <f>IF('Final Calculation Sheet'!$G$24="","",'Final Calculation Sheet'!$G$24)</f>
        <v/>
      </c>
      <c r="Q24">
        <f>IF(P24="","",COUNTIFS(P$4:P$40,"&lt;"&amp;P24,P$4:P$40,"&lt;&gt;"&amp;"")+COUNTIF(P$4:P24,P24))</f>
        <v/>
      </c>
      <c r="R24">
        <f>IF(ROW()-3&gt;COUNTIF(P$4:P$40,"&lt;&gt;"&amp;""),"",INDEX(P$4:P$40,MATCH(ROW()-3,Q$4:Q$40,0)))</f>
        <v/>
      </c>
      <c r="S24">
        <f>S23+IF(AND(R24&lt;&gt;"",COUNTIF(R$4:R24,R24)=1),1,0)</f>
        <v/>
      </c>
      <c r="T24">
        <f>IF(ROW()-3&gt;MAX(S$4:S$40),"",INDEX(R$4:R$40,MATCH(ROW()-3,S$4:S$40,0)))</f>
        <v/>
      </c>
      <c r="U24">
        <f>IF('Final Calculation Sheet'!$B$24="","",'Final Calculation Sheet'!$B$24)</f>
        <v/>
      </c>
      <c r="V24">
        <f>IF(U24="","",COUNTIFS(U$4:U$40,"&lt;"&amp;U24,U$4:U$40,"&lt;&gt;"&amp;"")+COUNTIF(U$4:U24,U24))</f>
        <v/>
      </c>
      <c r="W24">
        <f>IF(ROW()-3&gt;COUNTIF(U$4:U$40,"&lt;&gt;"&amp;""),"",INDEX(U$4:U$40,MATCH(ROW()-3,V$4:V$40,0)))</f>
        <v/>
      </c>
      <c r="X24">
        <f>X23+IF(AND(W24&lt;&gt;"",COUNTIF(W$4:W24,W24)=1),1,0)</f>
        <v/>
      </c>
      <c r="Y24">
        <f>IF(ROW()-3&gt;MAX(X$4:X$40),"",INDEX(W$4:W$40,MATCH(ROW()-3,X$4:X$40,0)))</f>
        <v/>
      </c>
      <c r="Z24">
        <f>IF('Final Calculation Sheet'!$D$24="","",'Final Calculation Sheet'!$D$24)</f>
        <v/>
      </c>
      <c r="AA24">
        <f>IF(Z24="","",COUNTIFS(Z$4:Z$40,"&lt;"&amp;Z24,Z$4:Z$40,"&lt;&gt;"&amp;"")+COUNTIF(Z$4:Z24,Z24))</f>
        <v/>
      </c>
      <c r="AB24">
        <f>IF(ROW()-3&gt;COUNTIF(Z$4:Z$40,"&lt;&gt;"&amp;""),"",INDEX(Z$4:Z$40,MATCH(ROW()-3,AA$4:AA$40,0)))</f>
        <v/>
      </c>
      <c r="AC24">
        <f>AC23+IF(AND(AB24&lt;&gt;"",COUNTIF(AB$4:AB24,AB24)=1),1,0)</f>
        <v/>
      </c>
      <c r="AD24">
        <f>IF(ROW()-3&gt;MAX(AC$4:AC$40),"",INDEX(AB$4:AB$40,MATCH(ROW()-3,AC$4:AC$40,0)))</f>
        <v/>
      </c>
      <c r="AE24">
        <f>IF('Final Calculation Sheet'!$A$24="","",'Final Calculation Sheet'!$A$24)</f>
        <v/>
      </c>
      <c r="AF24">
        <f>IF(AE24="","",COUNTIFS(AE$4:AE$40,"&lt;"&amp;AE24,AE$4:AE$40,"&lt;&gt;"&amp;"")+COUNTIF(AE$4:AE24,AE24))</f>
        <v/>
      </c>
      <c r="AG24">
        <f>IF(ROW()-3&gt;COUNTIF(AE$4:AE$40,"&lt;&gt;"&amp;""),"",INDEX(AE$4:AE$40,MATCH(ROW()-3,AF$4:AF$40,0)))</f>
        <v/>
      </c>
      <c r="AH24">
        <f>AH23+IF(AND(AG24&lt;&gt;"",COUNTIF(AG$4:AG24,AG24)=1),1,0)</f>
        <v/>
      </c>
      <c r="AI24">
        <f>IF(ROW()-3&gt;MAX(AH$4:AH$40),"",INDEX(AG$4:AG$40,MATCH(ROW()-3,AH$4:AH$40,0)))</f>
        <v/>
      </c>
      <c r="AJ24">
        <f>IF('Final Calculation Sheet'!$E$24="","",'Final Calculation Sheet'!$E$24)</f>
        <v/>
      </c>
      <c r="AK24">
        <f>IF(AJ24="","",COUNTIFS(AJ$4:AJ$40,"&lt;"&amp;AJ24,AJ$4:AJ$40,"&lt;&gt;"&amp;"")+COUNTIF(AJ$4:AJ24,AJ24))</f>
        <v/>
      </c>
      <c r="AL24">
        <f>IF(ROW()-3&gt;COUNTIF(AJ$4:AJ$40,"&lt;&gt;"&amp;""),"",INDEX(AJ$4:AJ$40,MATCH(ROW()-3,AK$4:AK$40,0)))</f>
        <v/>
      </c>
      <c r="AM24">
        <f>AM23+IF(AND(AL24&lt;&gt;"",COUNTIF(AL$4:AL24,AL24)=1),1,0)</f>
        <v/>
      </c>
      <c r="AN24">
        <f>IF(ROW()-3&gt;MAX(AM$4:AM$40),"",INDEX(AL$4:AL$40,MATCH(ROW()-3,AM$4:AM$40,0)))</f>
        <v/>
      </c>
      <c r="AO24" s="55">
        <f>IF('Final Calculation Sheet'!$C$24="","",'Final Calculation Sheet'!$C$24)</f>
        <v/>
      </c>
      <c r="AP24">
        <f>IF(AO24="","",COUNTIFS(AO$4:AO$40,"&lt;"&amp;AO24,AO$4:AO$40,"&lt;&gt;"&amp;"")+COUNTIF(AO$4:AO24,AO24))</f>
        <v/>
      </c>
      <c r="AQ24" s="55">
        <f>IF(ROW()-3&gt;COUNTIF(AO$4:AO$40,"&lt;&gt;"&amp;""),"",INDEX(AO$4:AO$40,MATCH(ROW()-3,AP$4:AP$40,0)))</f>
        <v/>
      </c>
      <c r="AR24">
        <f>AR23+IF(AND(AQ24&lt;&gt;"",COUNTIF(AQ$4:AQ24,AQ24)=1),1,0)</f>
        <v/>
      </c>
      <c r="AS24" s="55">
        <f>IF(ROW()-3&gt;MAX(AR$4:AR$40),"",INDEX(AQ$4:AQ$40,MATCH(ROW()-3,AR$4:AR$40,0)))</f>
        <v/>
      </c>
      <c r="AT24" s="55">
        <f>IF('Final Calculation Sheet'!$H$24="","",'Final Calculation Sheet'!$H$24)</f>
        <v/>
      </c>
      <c r="AU24">
        <f>IF(AT24="","",COUNTIFS(AT$4:AT$40,"&lt;"&amp;AT24,AT$4:AT$40,"&lt;&gt;"&amp;"")+COUNTIF(AT$4:AT24,AT24))</f>
        <v/>
      </c>
      <c r="AV24" s="55">
        <f>IF(ROW()-3&gt;COUNTIF(AT$4:AT$40,"&lt;&gt;"&amp;""),"",INDEX(AT$4:AT$40,MATCH(ROW()-3,AU$4:AU$40,0)))</f>
        <v/>
      </c>
      <c r="AW24">
        <f>AW23+IF(AND(AV24&lt;&gt;"",COUNTIF(AV$4:AV24,AV24)=1),1,0)</f>
        <v/>
      </c>
      <c r="AX24" s="55">
        <f>IF(ROW()-3&gt;MAX(AW$4:AW$40),"",INDEX(AV$4:AV$40,MATCH(ROW()-3,AW$4:AW$40,0)))</f>
        <v/>
      </c>
      <c r="AY24" s="55">
        <f>IF('Final Calculation Sheet'!$I$24="","",'Final Calculation Sheet'!$I$24)</f>
        <v/>
      </c>
      <c r="AZ24">
        <f>IF(AY24="","",COUNTIFS(AY$4:AY$40,"&lt;"&amp;AY24,AY$4:AY$40,"&lt;&gt;"&amp;"")+COUNTIF(AY$4:AY24,AY24))</f>
        <v/>
      </c>
      <c r="BA24" s="55">
        <f>IF(ROW()-3&gt;COUNTIF(AY$4:AY$40,"&lt;&gt;"&amp;""),"",INDEX(AY$4:AY$40,MATCH(ROW()-3,AZ$4:AZ$40,0)))</f>
        <v/>
      </c>
      <c r="BB24">
        <f>BB23+IF(AND(BA24&lt;&gt;"",COUNTIF(BA$4:BA24,BA24)=1),1,0)</f>
        <v/>
      </c>
      <c r="BC24" s="55">
        <f>IF(ROW()-3&gt;MAX(BB$4:BB$40),"",INDEX(BA$4:BA$40,MATCH(ROW()-3,BB$4:BB$40,0)))</f>
        <v/>
      </c>
      <c r="BD24" s="55">
        <f>IF('Final Calculation Sheet'!$J$24="","",'Final Calculation Sheet'!$J$24)</f>
        <v/>
      </c>
      <c r="BE24">
        <f>IF(BD24="","",COUNTIFS(BD$4:BD$40,"&lt;"&amp;BD24,BD$4:BD$40,"&lt;&gt;"&amp;"")+COUNTIF(BD$4:BD24,BD24))</f>
        <v/>
      </c>
      <c r="BF24" s="55">
        <f>IF(ROW()-3&gt;COUNTIF(BD$4:BD$40,"&lt;&gt;"&amp;""),"",INDEX(BD$4:BD$40,MATCH(ROW()-3,BE$4:BE$40,0)))</f>
        <v/>
      </c>
      <c r="BG24">
        <f>BG23+IF(AND(BF24&lt;&gt;"",COUNTIF(BF$4:BF24,BF24)=1),1,0)</f>
        <v/>
      </c>
      <c r="BH24" s="55">
        <f>IF(ROW()-3&gt;MAX(BG$4:BG$40),"",INDEX(BF$4:BF$40,MATCH(ROW()-3,BG$4:BG$40,0)))</f>
        <v/>
      </c>
      <c r="BI24" s="55">
        <f>IF('Final Calculation Sheet'!$K$24="","",'Final Calculation Sheet'!$K$24)</f>
        <v/>
      </c>
      <c r="BJ24">
        <f>IF(BI24="","",COUNTIFS(BI$4:BI$40,"&lt;"&amp;BI24,BI$4:BI$40,"&lt;&gt;"&amp;"")+COUNTIF(BI$4:BI24,BI24))</f>
        <v/>
      </c>
      <c r="BK24" s="55">
        <f>IF(ROW()-3&gt;COUNTIF(BI$4:BI$40,"&lt;&gt;"&amp;""),"",INDEX(BI$4:BI$40,MATCH(ROW()-3,BJ$4:BJ$40,0)))</f>
        <v/>
      </c>
      <c r="BL24">
        <f>BL23+IF(AND(BK24&lt;&gt;"",COUNTIF(BK$4:BK24,BK24)=1),1,0)</f>
        <v/>
      </c>
      <c r="BM24" s="55">
        <f>IF(ROW()-3&gt;MAX(BL$4:BL$40),"",INDEX(BK$4:BK$40,MATCH(ROW()-3,BL$4:BL$40,0)))</f>
        <v/>
      </c>
      <c r="BN24" s="55">
        <f>IF('Final Calculation Sheet'!$L$24="","",'Final Calculation Sheet'!$L$24)</f>
        <v/>
      </c>
      <c r="BO24">
        <f>IF(BN24="","",COUNTIFS(BN$4:BN$40,"&lt;"&amp;BN24,BN$4:BN$40,"&lt;&gt;"&amp;"")+COUNTIF(BN$4:BN24,BN24))</f>
        <v/>
      </c>
      <c r="BP24" s="55">
        <f>IF(ROW()-3&gt;COUNTIF(BN$4:BN$40,"&lt;&gt;"&amp;""),"",INDEX(BN$4:BN$40,MATCH(ROW()-3,BO$4:BO$40,0)))</f>
        <v/>
      </c>
      <c r="BQ24">
        <f>BQ23+IF(AND(BP24&lt;&gt;"",COUNTIF(BP$4:BP24,BP24)=1),1,0)</f>
        <v/>
      </c>
      <c r="BR24" s="55">
        <f>IF(ROW()-3&gt;MAX(BQ$4:BQ$40),"",INDEX(BP$4:BP$40,MATCH(ROW()-3,BQ$4:BQ$40,0)))</f>
        <v/>
      </c>
      <c r="BS24" s="55">
        <f>IF('Final Calculation Sheet'!$M$24="","",'Final Calculation Sheet'!$M$24)</f>
        <v/>
      </c>
      <c r="BT24">
        <f>IF(BS24="","",COUNTIFS(BS$4:BS$40,"&lt;"&amp;BS24,BS$4:BS$40,"&lt;&gt;"&amp;"")+COUNTIF(BS$4:BS24,BS24))</f>
        <v/>
      </c>
      <c r="BU24" s="55">
        <f>IF(ROW()-3&gt;COUNTIF(BS$4:BS$40,"&lt;&gt;"&amp;""),"",INDEX(BS$4:BS$40,MATCH(ROW()-3,BT$4:BT$40,0)))</f>
        <v/>
      </c>
      <c r="BV24">
        <f>BV23+IF(AND(BU24&lt;&gt;"",COUNTIF(BU$4:BU24,BU24)=1),1,0)</f>
        <v/>
      </c>
      <c r="BW24" s="55">
        <f>IF(ROW()-3&gt;MAX(BV$4:BV$40),"",INDEX(BU$4:BU$40,MATCH(ROW()-3,BV$4:BV$40,0)))</f>
        <v/>
      </c>
      <c r="BX24" s="138">
        <f>IF('Final Calculation Sheet'!$N$24="","",'Final Calculation Sheet'!$N$24)</f>
        <v/>
      </c>
      <c r="BY24">
        <f>IF(BX24="","",COUNTIFS(BX$4:BX$40,"&lt;"&amp;BX24,BX$4:BX$40,"&lt;&gt;"&amp;"")+COUNTIF(BX$4:BX24,BX24))</f>
        <v/>
      </c>
      <c r="BZ24" s="138">
        <f>IF(ROW()-3&gt;COUNTIF(BX$4:BX$40,"&lt;&gt;"&amp;""),"",INDEX(BX$4:BX$40,MATCH(ROW()-3,BY$4:BY$40,0)))</f>
        <v/>
      </c>
      <c r="CA24">
        <f>CA23+IF(AND(BZ24&lt;&gt;"",COUNTIF(BZ$4:BZ24,BZ24)=1),1,0)</f>
        <v/>
      </c>
      <c r="CB24" s="138">
        <f>IF(ROW()-3&gt;MAX(CA$4:CA$40),"",INDEX(BZ$4:BZ$40,MATCH(ROW()-3,CA$4:CA$40,0)))</f>
        <v/>
      </c>
      <c r="CC24" s="55">
        <f>IF('Final Calculation Sheet'!$O$24="","",'Final Calculation Sheet'!$O$24)</f>
        <v/>
      </c>
      <c r="CD24">
        <f>IF(CC24="","",COUNTIFS(CC$4:CC$40,"&lt;"&amp;CC24,CC$4:CC$40,"&lt;&gt;"&amp;"")+COUNTIF(CC$4:CC24,CC24))</f>
        <v/>
      </c>
      <c r="CE24" s="55">
        <f>IF(ROW()-3&gt;COUNTIF(CC$4:CC$40,"&lt;&gt;"&amp;""),"",INDEX(CC$4:CC$40,MATCH(ROW()-3,CD$4:CD$40,0)))</f>
        <v/>
      </c>
      <c r="CF24">
        <f>CF23+IF(AND(CE24&lt;&gt;"",COUNTIF(CE$4:CE24,CE24)=1),1,0)</f>
        <v/>
      </c>
      <c r="CG24" s="55">
        <f>IF(ROW()-3&gt;MAX(CF$4:CF$40),"",INDEX(CE$4:CE$40,MATCH(ROW()-3,CF$4:CF$40,0)))</f>
        <v/>
      </c>
      <c r="CH24" s="55">
        <f>IF('Final Calculation Sheet'!$P$24="","",'Final Calculation Sheet'!$P$24)</f>
        <v/>
      </c>
      <c r="CI24">
        <f>IF(CH24="","",COUNTIFS(CH$4:CH$40,"&lt;"&amp;CH24,CH$4:CH$40,"&lt;&gt;"&amp;"")+COUNTIF(CH$4:CH24,CH24))</f>
        <v/>
      </c>
      <c r="CJ24" s="55">
        <f>IF(ROW()-3&gt;COUNTIF(CH$4:CH$40,"&lt;&gt;"&amp;""),"",INDEX(CH$4:CH$40,MATCH(ROW()-3,CI$4:CI$40,0)))</f>
        <v/>
      </c>
      <c r="CK24">
        <f>CK23+IF(AND(CJ24&lt;&gt;"",COUNTIF(CJ$4:CJ24,CJ24)=1),1,0)</f>
        <v/>
      </c>
      <c r="CL24" s="55">
        <f>IF(ROW()-3&gt;MAX(CK$4:CK$40),"",INDEX(CJ$4:CJ$40,MATCH(ROW()-3,CK$4:CK$40,0)))</f>
        <v/>
      </c>
      <c r="CM24" s="139">
        <f>IF('Final Calculation Sheet'!$Q$24="","",'Final Calculation Sheet'!$Q$24)</f>
        <v/>
      </c>
      <c r="CN24">
        <f>IF(CM24="","",COUNTIFS(CM$4:CM$40,"&lt;"&amp;CM24,CM$4:CM$40,"&lt;&gt;"&amp;"")+COUNTIF(CM$4:CM24,CM24))</f>
        <v/>
      </c>
      <c r="CO24" s="139">
        <f>IF(ROW()-3&gt;COUNTIF(CM$4:CM$40,"&lt;&gt;"&amp;""),"",INDEX(CM$4:CM$40,MATCH(ROW()-3,CN$4:CN$40,0)))</f>
        <v/>
      </c>
      <c r="CP24">
        <f>CP23+IF(AND(CO24&lt;&gt;"",COUNTIF(CO$4:CO24,CO24)=1),1,0)</f>
        <v/>
      </c>
      <c r="CQ24">
        <f>IF(ROW()-3&gt;MAX(CP$4:CP$40),"",INDEX(CO$4:CO$40,MATCH(ROW()-3,CP$4:CP$40,0)))</f>
        <v/>
      </c>
      <c r="CR24" s="55">
        <f>IF('Final Calculation Sheet'!$R$24="","",'Final Calculation Sheet'!$R$24)</f>
        <v/>
      </c>
      <c r="CS24">
        <f>IF(CR24="","",COUNTIFS(CR$4:CR$40,"&lt;"&amp;CR24,CR$4:CR$40,"&lt;&gt;"&amp;"")+COUNTIF(CR$4:CR24,CR24))</f>
        <v/>
      </c>
      <c r="CT24" s="55">
        <f>IF(ROW()-3&gt;COUNTIF(CR$4:CR$40,"&lt;&gt;"&amp;""),"",INDEX(CR$4:CR$40,MATCH(ROW()-3,CS$4:CS$40,0)))</f>
        <v/>
      </c>
      <c r="CU24">
        <f>CU23+IF(AND(CT24&lt;&gt;"",COUNTIF(CT$4:CT24,CT24)=1),1,0)</f>
        <v/>
      </c>
      <c r="CV24">
        <f>IF(ROW()-3&gt;MAX(CU$4:CU$40),"",INDEX(CT$4:CT$40,MATCH(ROW()-3,CU$4:CU$40,0)))</f>
        <v/>
      </c>
      <c r="CW24" s="55">
        <f>IF('Final Calculation Sheet'!$S$24="","",'Final Calculation Sheet'!$S$24)</f>
        <v/>
      </c>
      <c r="CX24">
        <f>IF(CW24="","",COUNTIFS(CW$4:CW$40,"&lt;"&amp;CW24,CW$4:CW$40,"&lt;&gt;"&amp;"")+COUNTIF(CW$4:CW24,CW24))</f>
        <v/>
      </c>
      <c r="CY24" s="55">
        <f>IF(ROW()-3&gt;COUNTIF(CW$4:CW$40,"&lt;&gt;"&amp;""),"",INDEX(CW$4:CW$40,MATCH(ROW()-3,CX$4:CX$40,0)))</f>
        <v/>
      </c>
      <c r="CZ24">
        <f>CZ23+IF(AND(CY24&lt;&gt;"",COUNTIF(CY$4:CY24,CY24)=1),1,0)</f>
        <v/>
      </c>
      <c r="DA24" s="55">
        <f>IF(ROW()-3&gt;MAX(CZ$4:CZ$40),"",INDEX(CY$4:CY$40,MATCH(ROW()-3,CZ$4:CZ$40,0)))</f>
        <v/>
      </c>
      <c r="DB24" s="55">
        <f>IF('Final Calculation Sheet'!$T$24="","",'Final Calculation Sheet'!$T$24)</f>
        <v/>
      </c>
      <c r="DC24">
        <f>IF(DB24="","",COUNTIFS(DB$4:DB$40,"&lt;"&amp;DB24,DB$4:DB$40,"&lt;&gt;"&amp;"")+COUNTIF(DB$4:DB24,DB24))</f>
        <v/>
      </c>
      <c r="DD24" s="55">
        <f>IF(ROW()-3&gt;COUNTIF(DB$4:DB$40,"&lt;&gt;"&amp;""),"",INDEX(DB$4:DB$40,MATCH(ROW()-3,DC$4:DC$40,0)))</f>
        <v/>
      </c>
      <c r="DE24">
        <f>DE23+IF(AND(DD24&lt;&gt;"",COUNTIF(DD$4:DD24,DD24)=1),1,0)</f>
        <v/>
      </c>
      <c r="DF24" s="55">
        <f>IF(ROW()-3&gt;MAX(DE$4:DE$40),"",INDEX(DD$4:DD$40,MATCH(ROW()-3,DE$4:DE$40,0)))</f>
        <v/>
      </c>
      <c r="DG24" s="140">
        <f>IF('Final Calculation Sheet'!$U$24="","",'Final Calculation Sheet'!$U$24)</f>
        <v/>
      </c>
      <c r="DH24">
        <f>IF(DG24="","",COUNTIFS(DG$4:DG$40,"&lt;"&amp;DG24,DG$4:DG$40,"&lt;&gt;"&amp;"")+COUNTIF(DG$4:DG24,DG24))</f>
        <v/>
      </c>
      <c r="DI24" s="140">
        <f>IF(ROW()-3&gt;COUNTIF(DG$4:DG$40,"&lt;&gt;"&amp;""),"",INDEX(DG$4:DG$40,MATCH(ROW()-3,DH$4:DH$40,0)))</f>
        <v/>
      </c>
      <c r="DJ24">
        <f>DJ23+IF(AND(DI24&lt;&gt;"",COUNTIF(DI$4:DI24,DI24)=1),1,0)</f>
        <v/>
      </c>
      <c r="DK24" s="140">
        <f>IF(ROW()-3&gt;MAX(DJ$4:DJ$40),"",INDEX(DI$4:DI$40,MATCH(ROW()-3,DJ$4:DJ$40,0)))</f>
        <v/>
      </c>
      <c r="DL24">
        <f>IF('Final Calculation Sheet'!$V$24="","",'Final Calculation Sheet'!$V$24)</f>
        <v/>
      </c>
      <c r="DM24">
        <f>IF(DL24="","",COUNTIFS(DL$4:DL$40,"&lt;"&amp;DL24,DL$4:DL$40,"&lt;&gt;"&amp;"")+COUNTIF(DL$4:DL24,DL24))</f>
        <v/>
      </c>
      <c r="DN24">
        <f>IF(ROW()-3&gt;COUNTIF(DL$4:DL$40,"&lt;&gt;"&amp;""),"",INDEX(DL$4:DL$40,MATCH(ROW()-3,DM$4:DM$40,0)))</f>
        <v/>
      </c>
      <c r="DO24">
        <f>DO23+IF(AND(DN24&lt;&gt;"",COUNTIF(DN$4:DN24,DN24)=1),1,0)</f>
        <v/>
      </c>
      <c r="DP24">
        <f>IF(ROW()-3&gt;MAX(DO$4:DO$40),"",INDEX(DN$4:DN$40,MATCH(ROW()-3,DO$4:DO$40,0)))</f>
        <v/>
      </c>
      <c r="DQ24" s="55">
        <f>IF('Final Calculation Sheet'!$W$24="","",'Final Calculation Sheet'!$W$24)</f>
        <v/>
      </c>
      <c r="DR24">
        <f>IF(DQ24="","",COUNTIFS(DQ$4:DQ$40,"&lt;"&amp;DQ24,DQ$4:DQ$40,"&lt;&gt;"&amp;"")+COUNTIF(DQ$4:DQ24,DQ24))</f>
        <v/>
      </c>
      <c r="DS24" s="55">
        <f>IF(ROW()-3&gt;COUNTIF(DQ$4:DQ$40,"&lt;&gt;"&amp;""),"",INDEX(DQ$4:DQ$40,MATCH(ROW()-3,DR$4:DR$40,0)))</f>
        <v/>
      </c>
      <c r="DT24">
        <f>DT23+IF(AND(DS24&lt;&gt;"",COUNTIF(DS$4:DS24,DS24)=1),1,0)</f>
        <v/>
      </c>
      <c r="DU24" s="55">
        <f>IF(ROW()-3&gt;MAX(DT$4:DT$40),"",INDEX(DS$4:DS$40,MATCH(ROW()-3,DT$4:DT$40,0)))</f>
        <v/>
      </c>
      <c r="DV24" s="55">
        <f>IF('Final Calculation Sheet'!$X$24="","",'Final Calculation Sheet'!$X$24)</f>
        <v/>
      </c>
      <c r="DW24">
        <f>IF(DV24="","",COUNTIFS(DV$4:DV$40,"&lt;"&amp;DV24,DV$4:DV$40,"&lt;&gt;"&amp;"")+COUNTIF(DV$4:DV24,DV24))</f>
        <v/>
      </c>
      <c r="DX24" s="55">
        <f>IF(ROW()-3&gt;COUNTIF(DV$4:DV$40,"&lt;&gt;"&amp;""),"",INDEX(DV$4:DV$40,MATCH(ROW()-3,DW$4:DW$40,0)))</f>
        <v/>
      </c>
      <c r="DY24">
        <f>DY23+IF(AND(DX24&lt;&gt;"",COUNTIF(DX$4:DX24,DX24)=1),1,0)</f>
        <v/>
      </c>
      <c r="DZ24">
        <f>IF(ROW()-3&gt;MAX(DY$4:DY$40),"",INDEX(DX$4:DX$40,MATCH(ROW()-3,DY$4:DY$40,0)))</f>
        <v/>
      </c>
      <c r="EA24">
        <f>IF('Final Calculation Sheet'!$Y$24="","",'Final Calculation Sheet'!$Y$24)</f>
        <v/>
      </c>
      <c r="EB24">
        <f>IF(EA24="","",COUNTIFS(EA$4:EA$40,"&lt;"&amp;EA24,EA$4:EA$40,"&lt;&gt;"&amp;"")+COUNTIF(EA$4:EA24,EA24))</f>
        <v/>
      </c>
      <c r="EC24">
        <f>IF(ROW()-3&gt;COUNTIF(EA$4:EA$40,"&lt;&gt;"&amp;""),"",INDEX(EA$4:EA$40,MATCH(ROW()-3,EB$4:EB$40,0)))</f>
        <v/>
      </c>
      <c r="ED24">
        <f>ED23+IF(AND(EC24&lt;&gt;"",COUNTIF(EC$4:EC24,EC24)=1),1,0)</f>
        <v/>
      </c>
      <c r="EE24">
        <f>IF(ROW()-3&gt;MAX(ED$4:ED$40),"",INDEX(EC$4:EC$40,MATCH(ROW()-3,ED$4:ED$40,0)))</f>
        <v/>
      </c>
      <c r="EF24" s="55">
        <f>IF('Final Calculation Sheet'!$Z$24="","",'Final Calculation Sheet'!$Z$24)</f>
        <v/>
      </c>
      <c r="EG24">
        <f>IF(EF24="","",COUNTIFS(EF$4:EF$40,"&lt;"&amp;EF24,EF$4:EF$40,"&lt;&gt;"&amp;"")+COUNTIF(EF$4:EF24,EF24))</f>
        <v/>
      </c>
      <c r="EH24" s="55">
        <f>IF(ROW()-3&gt;COUNTIF(EF$4:EF$40,"&lt;&gt;"&amp;""),"",INDEX(EF$4:EF$40,MATCH(ROW()-3,EG$4:EG$40,0)))</f>
        <v/>
      </c>
      <c r="EI24">
        <f>EI23+IF(AND(EH24&lt;&gt;"",COUNTIF(EH$4:EH24,EH24)=1),1,0)</f>
        <v/>
      </c>
      <c r="EJ24">
        <f>IF(ROW()-3&gt;MAX(EI$4:EI$40),"",INDEX(EH$4:EH$40,MATCH(ROW()-3,EI$4:EI$40,0)))</f>
        <v/>
      </c>
      <c r="EK24">
        <f>IF('Final Calculation Sheet'!$AA$24="","",'Final Calculation Sheet'!$AA$24)</f>
        <v/>
      </c>
      <c r="EL24">
        <f>IF(EK24="","",COUNTIFS(EK$4:EK$40,"&lt;"&amp;EK24,EK$4:EK$40,"&lt;&gt;"&amp;"")+COUNTIF(EK$4:EK24,EK24))</f>
        <v/>
      </c>
      <c r="EM24">
        <f>IF(ROW()-3&gt;COUNTIF(EK$4:EK$40,"&lt;&gt;"&amp;""),"",INDEX(EK$4:EK$40,MATCH(ROW()-3,EL$4:EL$40,0)))</f>
        <v/>
      </c>
      <c r="EN24">
        <f>EN23+IF(AND(EM24&lt;&gt;"",COUNTIF(EM$4:EM24,EM24)=1),1,0)</f>
        <v/>
      </c>
      <c r="EO24">
        <f>IF(ROW()-3&gt;MAX(EN$4:EN$40),"",INDEX(EM$4:EM$40,MATCH(ROW()-3,EN$4:EN$40,0)))</f>
        <v/>
      </c>
      <c r="EP24">
        <f>IF('Final Calculation Sheet'!$AB$24="","",'Final Calculation Sheet'!$AB$24)</f>
        <v/>
      </c>
      <c r="EQ24">
        <f>IF(EP24="","",COUNTIFS(EP$4:EP$40,"&lt;"&amp;EP24,EP$4:EP$40,"&lt;&gt;"&amp;"")+COUNTIF(EP$4:EP24,EP24))</f>
        <v/>
      </c>
      <c r="ER24">
        <f>IF(ROW()-3&gt;COUNTIF(EP$4:EP$40,"&lt;&gt;"&amp;""),"",INDEX(EP$4:EP$40,MATCH(ROW()-3,EQ$4:EQ$40,0)))</f>
        <v/>
      </c>
      <c r="ES24">
        <f>ES23+IF(AND(ER24&lt;&gt;"",COUNTIF(ER$4:ER24,ER24)=1),1,0)</f>
        <v/>
      </c>
      <c r="ET24">
        <f>IF(ROW()-3&gt;MAX(ES$4:ES$40),"",INDEX(ER$4:ER$40,MATCH(ROW()-3,ES$4:ES$40,0)))</f>
        <v/>
      </c>
      <c r="EU24" s="55">
        <f>IF('Final Calculation Sheet'!$AC$24="","",'Final Calculation Sheet'!$AC$24)</f>
        <v/>
      </c>
      <c r="EV24">
        <f>IF(EU24="","",COUNTIFS(EU$4:EU$40,"&lt;"&amp;EU24,EU$4:EU$40,"&lt;&gt;"&amp;"")+COUNTIF(EU$4:EU24,EU24))</f>
        <v/>
      </c>
      <c r="EW24" s="55">
        <f>IF(ROW()-3&gt;COUNTIF(EU$4:EU$40,"&lt;&gt;"&amp;""),"",INDEX(EU$4:EU$40,MATCH(ROW()-3,EV$4:EV$40,0)))</f>
        <v/>
      </c>
      <c r="EX24">
        <f>EX23+IF(AND(EW24&lt;&gt;"",COUNTIF(EW$4:EW24,EW24)=1),1,0)</f>
        <v/>
      </c>
      <c r="EY24" s="55">
        <f>IF(ROW()-3&gt;MAX(EX$4:EX$40),"",INDEX(EW$4:EW$40,MATCH(ROW()-3,EX$4:EX$40,0)))</f>
        <v/>
      </c>
      <c r="EZ24" s="55">
        <f>IF('Final Calculation Sheet'!$AD$24="","",'Final Calculation Sheet'!$AD$24)</f>
        <v/>
      </c>
      <c r="FA24">
        <f>IF(EZ24="","",COUNTIFS(EZ$4:EZ$40,"&lt;"&amp;EZ24,EZ$4:EZ$40,"&lt;&gt;"&amp;"")+COUNTIF(EZ$4:EZ24,EZ24))</f>
        <v/>
      </c>
      <c r="FB24" s="55">
        <f>IF(ROW()-3&gt;COUNTIF(EZ$4:EZ$40,"&lt;&gt;"&amp;""),"",INDEX(EZ$4:EZ$40,MATCH(ROW()-3,FA$4:FA$40,0)))</f>
        <v/>
      </c>
      <c r="FC24">
        <f>FC23+IF(AND(FB24&lt;&gt;"",COUNTIF(FB$4:FB24,FB24)=1),1,0)</f>
        <v/>
      </c>
      <c r="FD24">
        <f>IF(ROW()-3&gt;MAX(FC$4:FC$40),"",INDEX(FB$4:FB$40,MATCH(ROW()-3,FC$4:FC$40,0)))</f>
        <v/>
      </c>
      <c r="FE24">
        <f>IF('Final Calculation Sheet'!$AF$24="","",'Final Calculation Sheet'!$AF$24)</f>
        <v/>
      </c>
      <c r="FF24">
        <f>IF(FE24="","",COUNTIFS(FE$4:FE$40,"&lt;"&amp;FE24,FE$4:FE$40,"&lt;&gt;"&amp;"")+COUNTIF(FE$4:FE24,FE24))</f>
        <v/>
      </c>
      <c r="FG24">
        <f>IF(ROW()-3&gt;COUNTIF(FE$4:FE$40,"&lt;&gt;"&amp;""),"",INDEX(FE$4:FE$40,MATCH(ROW()-3,FF$4:FF$40,0)))</f>
        <v/>
      </c>
      <c r="FH24">
        <f>FH23+IF(AND(FG24&lt;&gt;"",COUNTIF(FG$4:FG24,FG24)=1),1,0)</f>
        <v/>
      </c>
      <c r="FI24">
        <f>IF(ROW()-3&gt;MAX(FH$4:FH$40),"",INDEX(FG$4:FG$40,MATCH(ROW()-3,FH$4:FH$40,0)))</f>
        <v/>
      </c>
      <c r="FJ24" s="141">
        <f>IF('Final Calculation Sheet'!$AG$24="","",'Final Calculation Sheet'!$AG$24)</f>
        <v/>
      </c>
      <c r="FK24">
        <f>IF(FJ24="","",COUNTIFS(FJ$4:FJ$40,"&lt;"&amp;FJ24,FJ$4:FJ$40,"&lt;&gt;"&amp;"")+COUNTIF(FJ$4:FJ24,FJ24))</f>
        <v/>
      </c>
      <c r="FL24" s="141">
        <f>IF(ROW()-3&gt;COUNTIF(FJ$4:FJ$40,"&lt;&gt;"&amp;""),"",INDEX(FJ$4:FJ$40,MATCH(ROW()-3,FK$4:FK$40,0)))</f>
        <v/>
      </c>
      <c r="FM24">
        <f>FM23+IF(AND(FL24&lt;&gt;"",COUNTIF(FL$4:FL24,FL24)=1),1,0)</f>
        <v/>
      </c>
      <c r="FN24">
        <f>IF(ROW()-3&gt;MAX(FM$4:FM$40),"",INDEX(FL$4:FL$40,MATCH(ROW()-3,FM$4:FM$40,0)))</f>
        <v/>
      </c>
      <c r="FO24">
        <f>IF('Final Calculation Sheet'!$AH$24="","",'Final Calculation Sheet'!$AH$24)</f>
        <v/>
      </c>
      <c r="FP24">
        <f>IF(FO24="","",COUNTIFS(FO$4:FO$40,"&lt;"&amp;FO24,FO$4:FO$40,"&lt;&gt;"&amp;"")+COUNTIF(FO$4:FO24,FO24))</f>
        <v/>
      </c>
      <c r="FQ24">
        <f>IF(ROW()-3&gt;COUNTIF(FO$4:FO$40,"&lt;&gt;"&amp;""),"",INDEX(FO$4:FO$40,MATCH(ROW()-3,FP$4:FP$40,0)))</f>
        <v/>
      </c>
      <c r="FR24">
        <f>FR23+IF(AND(FQ24&lt;&gt;"",COUNTIF(FQ$4:FQ24,FQ24)=1),1,0)</f>
        <v/>
      </c>
      <c r="FS24">
        <f>IF(ROW()-3&gt;MAX(FR$4:FR$40),"",INDEX(FQ$4:FQ$40,MATCH(ROW()-3,FR$4:FR$40,0)))</f>
        <v/>
      </c>
      <c r="FU24">
        <f>IF(FT24="","",COUNTIFS(FT$4:FT$40,"&lt;"&amp;FT24,FT$4:FT$40,"&lt;&gt;"&amp;"")+COUNTIF(FT$4:FT24,FT24))</f>
        <v/>
      </c>
      <c r="FV24">
        <f>IF(ROW()-3&gt;COUNTIF(FT$4:FT$40,"&lt;&gt;"&amp;""),"",INDEX(FT$4:FT$40,MATCH(ROW()-3,FU$4:FU$40,0)))</f>
        <v/>
      </c>
      <c r="FW24">
        <f>FW23+IF(AND(FV24&lt;&gt;"",COUNTIF(FV$4:FV24,FV24)=1),1,0)</f>
        <v/>
      </c>
      <c r="FX24">
        <f>IF(ROW()-3&gt;MAX(FW$4:FW$40),"",INDEX(FV$4:FV$40,MATCH(ROW()-3,FW$4:FW$40,0)))</f>
        <v/>
      </c>
      <c r="FY24">
        <f>IF(COUNTIF('Live Search'!BM$23:BO$23,0)+COUNTIF('Live Search'!BQ$23:CU$23,0)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4">
        <f>IF($Y$24="",FALSE,SUMPRODUCT(('Final Calculation Sheet'!$B$4:$B$40=$Y$24)*($FY$6:$FY$42=1))&gt;0)</f>
        <v/>
      </c>
      <c r="GA24">
        <f>$GA$23+--($FZ$24)</f>
        <v/>
      </c>
      <c r="GB24">
        <f>IF(ROW()-3&gt;MAX($GA$4:$GA$40),"",INDEX($Y$4:$Y$40,MATCH(ROW()-3,$GA$4:$GA$40,0)))</f>
        <v/>
      </c>
      <c r="GC24">
        <f>IF(COUNTIF('Live Search'!BM$23:BM$23,0)+COUNTIF('Live Search'!BO$23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GD24">
        <f>IF($O$24="",FALSE,SUMPRODUCT(('Final Calculation Sheet'!$F$4:$F$40=$O$24)*($GC$6:$GC$42=1))&gt;0)</f>
        <v/>
      </c>
      <c r="GE24">
        <f>$GE$23+--($GD24)</f>
        <v/>
      </c>
      <c r="GF24">
        <f>IF(ROW()-3&gt;MAX($GE$4:$GE$40),"",INDEX($O$4:$O$40,MATCH(ROW()-3,$GE$4:$GE$40,0)))</f>
        <v/>
      </c>
      <c r="GG24">
        <f>IF(COUNTIF('Live Search'!BM$23:BN$23,0)+COUNTIF('Live Search'!BP$23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GH24">
        <f>IF($T$24="",FALSE,SUMPRODUCT(('Final Calculation Sheet'!$G$4:$G$40=$T$24)*($GG$6:$GG$42=1))&gt;0)</f>
        <v/>
      </c>
      <c r="GI24">
        <f>$GI$23+--($GH24)</f>
        <v/>
      </c>
      <c r="GJ24">
        <f>IF(ROW()-3&gt;MAX($GI$4:$GI$40),"",INDEX($T$4:$T$40,MATCH(ROW()-3,$GI$4:$GI$40,0)))</f>
        <v/>
      </c>
      <c r="GK24">
        <f>IF(COUNTIF('Live Search'!BM$23:BP$23,0)+COUNTIF('Live Search'!BR$23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GL24">
        <f>IF($AD$24="",FALSE,SUMPRODUCT(('Final Calculation Sheet'!$D$4:$D$40=$AD$24)*($GK$6:$GK$42=1))&gt;0)</f>
        <v/>
      </c>
      <c r="GM24">
        <f>$GM$23+--($GL24)</f>
        <v/>
      </c>
      <c r="GN24">
        <f>IF(ROW()-3&gt;MAX($GM$4:$GM$40),"",INDEX($AD$4:$AD$40,MATCH(ROW()-3,$GM$4:$GM$40,0)))</f>
        <v/>
      </c>
      <c r="GO24">
        <f>IF(COUNTIF('Live Search'!BM$23:BQ$23,0)+COUNTIF('Live Search'!BS$23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GP24">
        <f>IF($AI$24="",FALSE,SUMPRODUCT(('Final Calculation Sheet'!$A$4:$A$40=$AI$24)*($GO$6:$GO$42=1))&gt;0)</f>
        <v/>
      </c>
      <c r="GQ24">
        <f>$GQ$23+--($GP24)</f>
        <v/>
      </c>
      <c r="GR24">
        <f>IF(ROW()-3&gt;MAX($GQ$4:$GQ$40),"",INDEX($AI$4:$AI$40,MATCH(ROW()-3,$GQ$4:$GQ$40,0)))</f>
        <v/>
      </c>
      <c r="GS24">
        <f>IF(COUNTIF('Live Search'!BM$23:BR$23,0)+COUNTIF('Live Search'!BT$23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GT24">
        <f>IF($AN$24="",FALSE,SUMPRODUCT(('Final Calculation Sheet'!$E$4:$E$40=$AN$24)*($GS$6:$GS$42=1))&gt;0)</f>
        <v/>
      </c>
      <c r="GU24">
        <f>$GU$23+--($GT24)</f>
        <v/>
      </c>
      <c r="GV24">
        <f>IF(ROW()-3&gt;MAX($GU$4:$GU$40),"",INDEX($AN$4:$AN$40,MATCH(ROW()-3,$GU$4:$GU$40,0)))</f>
        <v/>
      </c>
      <c r="GW24">
        <f>IF(COUNTIF('Live Search'!BM$23:BS$23,0)+COUNTIF('Live Search'!BU$23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GX24">
        <f>IF($AS$24="",FALSE,SUMPRODUCT(('Final Calculation Sheet'!$C$4:$C$40=$AS$24)*($GW$6:$GW$42=1))&gt;0)</f>
        <v/>
      </c>
      <c r="GY24">
        <f>$GY$23+--($GX24)</f>
        <v/>
      </c>
      <c r="GZ24">
        <f>IF(ROW()-3&gt;MAX($GY$4:$GY$40),"",INDEX($AS$4:$AS$40,MATCH(ROW()-3,$GY$4:$GY$40,0)))</f>
        <v/>
      </c>
      <c r="HA24">
        <f>IF(COUNTIF('Live Search'!BM$23:BT$23,0)+COUNTIF('Live Search'!BV$23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HB24">
        <f>IF($AX$24="",FALSE,SUMPRODUCT(('Final Calculation Sheet'!$H$4:$H$40=$AX$24)*($HA$6:$HA$42=1))&gt;0)</f>
        <v/>
      </c>
      <c r="HC24">
        <f>$HC$23+--($HB24)</f>
        <v/>
      </c>
      <c r="HD24">
        <f>IF(ROW()-3&gt;MAX($HC$4:$HC$40),"",INDEX($AX$4:$AX$40,MATCH(ROW()-3,$HC$4:$HC$40,0)))</f>
        <v/>
      </c>
      <c r="HE24">
        <f>IF(COUNTIF('Live Search'!BM$23:BU$23,0)+COUNTIF('Live Search'!BW$23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HF24">
        <f>IF($BC$24="",FALSE,SUMPRODUCT(('Final Calculation Sheet'!$I$4:$I$40=$BC$24)*($HE$6:$HE$42=1))&gt;0)</f>
        <v/>
      </c>
      <c r="HG24">
        <f>$HG$23+--($HF24)</f>
        <v/>
      </c>
      <c r="HH24">
        <f>IF(ROW()-3&gt;MAX($HG$4:$HG$40),"",INDEX($BC$4:$BC$40,MATCH(ROW()-3,$HG$4:$HG$40,0)))</f>
        <v/>
      </c>
      <c r="HI24">
        <f>IF(COUNTIF('Live Search'!BM$23:BV$23,0)+COUNTIF('Live Search'!BX$23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HJ24">
        <f>IF($BH$24="",FALSE,SUMPRODUCT(('Final Calculation Sheet'!$J$4:$J$40=$BH$24)*($HI$6:$HI$42=1))&gt;0)</f>
        <v/>
      </c>
      <c r="HK24">
        <f>$HK$23+--($HJ24)</f>
        <v/>
      </c>
      <c r="HL24">
        <f>IF(ROW()-3&gt;MAX($HK$4:$HK$40),"",INDEX($BH$4:$BH$40,MATCH(ROW()-3,$HK$4:$HK$40,0)))</f>
        <v/>
      </c>
      <c r="HM24">
        <f>IF(COUNTIF('Live Search'!BM$23:BW$23,0)+COUNTIF('Live Search'!BY$23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HN24">
        <f>IF($BM$24="",FALSE,SUMPRODUCT(('Final Calculation Sheet'!$K$4:$K$40=$BM$24)*($HM$6:$HM$42=1))&gt;0)</f>
        <v/>
      </c>
      <c r="HO24">
        <f>$HO$23+--($HN24)</f>
        <v/>
      </c>
      <c r="HP24">
        <f>IF(ROW()-3&gt;MAX($HO$4:$HO$40),"",INDEX($BM$4:$BM$40,MATCH(ROW()-3,$HO$4:$HO$40,0)))</f>
        <v/>
      </c>
      <c r="HQ24">
        <f>IF(COUNTIF('Live Search'!BM$23:BX$23,0)+COUNTIF('Live Search'!BZ$23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HR24">
        <f>IF($BR$24="",FALSE,SUMPRODUCT(('Final Calculation Sheet'!$L$4:$L$40=$BR$24)*($HQ$6:$HQ$42=1))&gt;0)</f>
        <v/>
      </c>
      <c r="HS24">
        <f>$HS$23+--($HR24)</f>
        <v/>
      </c>
      <c r="HT24">
        <f>IF(ROW()-3&gt;MAX($HS$4:$HS$40),"",INDEX($BR$4:$BR$40,MATCH(ROW()-3,$HS$4:$HS$40,0)))</f>
        <v/>
      </c>
      <c r="HU24">
        <f>IF(COUNTIF('Live Search'!BM$23:BY$23,0)+COUNTIF('Live Search'!CA$23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HV24">
        <f>IF($BW$24="",FALSE,SUMPRODUCT(('Final Calculation Sheet'!$M$4:$M$40=$BW$24)*($HU$6:$HU$42=1))&gt;0)</f>
        <v/>
      </c>
      <c r="HW24">
        <f>$HW$23+--($HV24)</f>
        <v/>
      </c>
      <c r="HX24">
        <f>IF(ROW()-3&gt;MAX($HW$4:$HW$40),"",INDEX($BW$4:$BW$40,MATCH(ROW()-3,$HW$4:$HW$40,0)))</f>
        <v/>
      </c>
      <c r="HY24">
        <f>IF(COUNTIF('Live Search'!BM$23:BZ$23,0)+COUNTIF('Live Search'!CB$23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HZ24">
        <f>IF($CB$24="",FALSE,SUMPRODUCT(('Final Calculation Sheet'!$N$4:$N$40=$CB$24)*($HY$6:$HY$42=1))&gt;0)</f>
        <v/>
      </c>
      <c r="IA24">
        <f>$IA$23+--($HZ24)</f>
        <v/>
      </c>
      <c r="IB24">
        <f>IF(ROW()-3&gt;MAX($IA$4:$IA$40),"",INDEX($CB$4:$CB$40,MATCH(ROW()-3,$IA$4:$IA$40,0)))</f>
        <v/>
      </c>
      <c r="IC24">
        <f>IF(COUNTIF('Live Search'!BM$23:CA$23,0)+COUNTIF('Live Search'!CC$23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ID24">
        <f>IF($CG$24="",FALSE,SUMPRODUCT(('Final Calculation Sheet'!$O$4:$O$40=$CG$24)*($IC$6:$IC$42=1))&gt;0)</f>
        <v/>
      </c>
      <c r="IE24">
        <f>$IE$23+--($ID24)</f>
        <v/>
      </c>
      <c r="IF24">
        <f>IF(ROW()-3&gt;MAX($IE$4:$IE$40),"",INDEX($CG$4:$CG$40,MATCH(ROW()-3,$IE$4:$IE$40,0)))</f>
        <v/>
      </c>
      <c r="IG24">
        <f>IF(COUNTIF('Live Search'!BM$23:CB$23,0)+COUNTIF('Live Search'!CD$23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IH24">
        <f>IF($CL$24="",FALSE,SUMPRODUCT(('Final Calculation Sheet'!$P$4:$P$40=$CL$24)*($IG$6:$IG$42=1))&gt;0)</f>
        <v/>
      </c>
      <c r="II24">
        <f>$II$23+--($IH24)</f>
        <v/>
      </c>
      <c r="IJ24">
        <f>IF(ROW()-3&gt;MAX($II$4:$II$40),"",INDEX($CL$4:$CL$40,MATCH(ROW()-3,$II$4:$II$40,0)))</f>
        <v/>
      </c>
      <c r="IK24">
        <f>IF(COUNTIF('Live Search'!BM$23:CC$23,0)+COUNTIF('Live Search'!CE$23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IL24">
        <f>IF($CQ$24="",FALSE,SUMPRODUCT(('Final Calculation Sheet'!$Q$4:$Q$40=$CQ$24)*($IK$6:$IK$42=1))&gt;0)</f>
        <v/>
      </c>
      <c r="IM24">
        <f>$IM$23+--($IL24)</f>
        <v/>
      </c>
      <c r="IN24">
        <f>IF(ROW()-3&gt;MAX($IM$4:$IM$40),"",INDEX($CQ$4:$CQ$40,MATCH(ROW()-3,$IM$4:$IM$40,0)))</f>
        <v/>
      </c>
      <c r="IO24">
        <f>IF(COUNTIF('Live Search'!BM$23:CD$23,0)+COUNTIF('Live Search'!CF$23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IP24">
        <f>IF($CV$24="",FALSE,SUMPRODUCT(('Final Calculation Sheet'!$R$4:$R$40=$CV$24)*($IO$6:$IO$42=1))&gt;0)</f>
        <v/>
      </c>
      <c r="IQ24">
        <f>$IQ$23+--($IP24)</f>
        <v/>
      </c>
      <c r="IR24">
        <f>IF(ROW()-3&gt;MAX($IQ$4:$IQ$40),"",INDEX($CV$4:$CV$40,MATCH(ROW()-3,$IQ$4:$IQ$40,0)))</f>
        <v/>
      </c>
      <c r="IS24">
        <f>IF(COUNTIF('Live Search'!BM$23:CE$23,0)+COUNTIF('Live Search'!CG$23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IT24">
        <f>IF($DA$24="",FALSE,SUMPRODUCT(('Final Calculation Sheet'!$S$4:$S$40=$DA$24)*($IS$6:$IS$42=1))&gt;0)</f>
        <v/>
      </c>
      <c r="IU24">
        <f>$IU$23+--($IT24)</f>
        <v/>
      </c>
      <c r="IV24">
        <f>IF(ROW()-3&gt;MAX($IU$4:$IU$40),"",INDEX($DA$4:$DA$40,MATCH(ROW()-3,$IU$4:$IU$40,0)))</f>
        <v/>
      </c>
      <c r="IW24">
        <f>IF(COUNTIF('Live Search'!BM$23:CF$23,0)+COUNTIF('Live Search'!CH$23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IX24">
        <f>IF($DF$24="",FALSE,SUMPRODUCT(('Final Calculation Sheet'!$T$4:$T$40=$DF$24)*($IW$6:$IW$42=1))&gt;0)</f>
        <v/>
      </c>
      <c r="IY24">
        <f>$IY$23+--($IX24)</f>
        <v/>
      </c>
      <c r="IZ24">
        <f>IF(ROW()-3&gt;MAX($IY$4:$IY$40),"",INDEX($DF$4:$DF$40,MATCH(ROW()-3,$IY$4:$IY$40,0)))</f>
        <v/>
      </c>
      <c r="JA24">
        <f>IF(COUNTIF('Live Search'!BM$23:CG$23,0)+COUNTIF('Live Search'!CI$23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JB24">
        <f>IF($DK$24="",FALSE,SUMPRODUCT(('Final Calculation Sheet'!$U$4:$U$40=$DK$24)*($JA$6:$JA$42=1))&gt;0)</f>
        <v/>
      </c>
      <c r="JC24">
        <f>$JC$23+--($JB24)</f>
        <v/>
      </c>
      <c r="JD24">
        <f>IF(ROW()-3&gt;MAX($JC$4:$JC$40),"",INDEX($DK$4:$DK$40,MATCH(ROW()-3,$JC$4:$JC$40,0)))</f>
        <v/>
      </c>
      <c r="JE24">
        <f>IF(COUNTIF('Live Search'!BM$23:CH$23,0)+COUNTIF('Live Search'!CJ$23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JF24">
        <f>IF($DP$24="",FALSE,SUMPRODUCT(('Final Calculation Sheet'!$V$4:$V$40=$DP$24)*($JE$6:$JE$42=1))&gt;0)</f>
        <v/>
      </c>
      <c r="JG24">
        <f>$JG$23+--($JF24)</f>
        <v/>
      </c>
      <c r="JH24">
        <f>IF(ROW()-3&gt;MAX($JG$4:$JG$40),"",INDEX($DP$4:$DP$40,MATCH(ROW()-3,$JG$4:$JG$40,0)))</f>
        <v/>
      </c>
      <c r="JI24">
        <f>IF(COUNTIF('Live Search'!BM$23:CI$23,0)+COUNTIF('Live Search'!CK$23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JJ24">
        <f>IF($DU$24="",FALSE,SUMPRODUCT(('Final Calculation Sheet'!$W$4:$W$40=$DU$24)*($JI$6:$JI$42=1))&gt;0)</f>
        <v/>
      </c>
      <c r="JK24">
        <f>$JK$23+--($JJ24)</f>
        <v/>
      </c>
      <c r="JL24">
        <f>IF(ROW()-3&gt;MAX($JK$4:$JK$40),"",INDEX($DU$4:$DU$40,MATCH(ROW()-3,$JK$4:$JK$40,0)))</f>
        <v/>
      </c>
      <c r="JM24">
        <f>IF(COUNTIF('Live Search'!BM$23:CJ$23,0)+COUNTIF('Live Search'!CL$23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JN24">
        <f>IF($DZ$24="",FALSE,SUMPRODUCT(('Final Calculation Sheet'!$X$4:$X$40=$DZ$24)*($JM$6:$JM$42=1))&gt;0)</f>
        <v/>
      </c>
      <c r="JO24">
        <f>$JO$23+--($JN24)</f>
        <v/>
      </c>
      <c r="JP24">
        <f>IF(ROW()-3&gt;MAX($JO$4:$JO$40),"",INDEX($DZ$4:$DZ$40,MATCH(ROW()-3,$JO$4:$JO$40,0)))</f>
        <v/>
      </c>
      <c r="JQ24">
        <f>IF(COUNTIF('Live Search'!BM$23:CK$23,0)+COUNTIF('Live Search'!CM$23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JR24">
        <f>IF($EE$24="",FALSE,SUMPRODUCT(('Final Calculation Sheet'!$Y$4:$Y$40=$EE$24)*($JQ$6:$JQ$42=1))&gt;0)</f>
        <v/>
      </c>
      <c r="JS24">
        <f>$JS$23+--($JR24)</f>
        <v/>
      </c>
      <c r="JT24">
        <f>IF(ROW()-3&gt;MAX($JS$4:$JS$40),"",INDEX($EE$4:$EE$40,MATCH(ROW()-3,$JS$4:$JS$40,0)))</f>
        <v/>
      </c>
      <c r="JU24">
        <f>IF(COUNTIF('Live Search'!BM$23:CL$23,0)+COUNTIF('Live Search'!CN$23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JV24">
        <f>IF($EJ$24="",FALSE,SUMPRODUCT(('Final Calculation Sheet'!$Z$4:$Z$40=$EJ$24)*($JU$6:$JU$42=1))&gt;0)</f>
        <v/>
      </c>
      <c r="JW24">
        <f>$JW$23+--($JV24)</f>
        <v/>
      </c>
      <c r="JX24">
        <f>IF(ROW()-3&gt;MAX($JW$4:$JW$40),"",INDEX($EJ$4:$EJ$40,MATCH(ROW()-3,$JW$4:$JW$40,0)))</f>
        <v/>
      </c>
      <c r="JY24">
        <f>IF(COUNTIF('Live Search'!BM$23:CM$23,0)+COUNTIF('Live Search'!CO$23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JZ24">
        <f>IF($EO$24="",FALSE,SUMPRODUCT(('Final Calculation Sheet'!$AA$4:$AA$40=$EO$24)*($JY$6:$JY$42=1))&gt;0)</f>
        <v/>
      </c>
      <c r="KA24">
        <f>$KA$23+--($JZ24)</f>
        <v/>
      </c>
      <c r="KB24">
        <f>IF(ROW()-3&gt;MAX($KA$4:$KA$40),"",INDEX($EO$4:$EO$40,MATCH(ROW()-3,$KA$4:$KA$40,0)))</f>
        <v/>
      </c>
      <c r="KC24">
        <f>IF(COUNTIF('Live Search'!BM$23:CN$23,0)+COUNTIF('Live Search'!CP$23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KD24">
        <f>IF($ET$24="",FALSE,SUMPRODUCT(('Final Calculation Sheet'!$AB$4:$AB$40=$ET$24)*($KC$6:$KC$42=1))&gt;0)</f>
        <v/>
      </c>
      <c r="KE24">
        <f>$KE$23+--($KD24)</f>
        <v/>
      </c>
      <c r="KF24">
        <f>IF(ROW()-3&gt;MAX($KE$4:$KE$40),"",INDEX($ET$4:$ET$40,MATCH(ROW()-3,$KE$4:$KE$40,0)))</f>
        <v/>
      </c>
      <c r="KG24">
        <f>IF(COUNTIF('Live Search'!BM$23:CO$23,0)+COUNTIF('Live Search'!CQ$23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KH24">
        <f>IF($EY$24="",FALSE,SUMPRODUCT(('Final Calculation Sheet'!$AC$4:$AC$40=$EY$24)*($KG$6:$KG$42=1))&gt;0)</f>
        <v/>
      </c>
      <c r="KI24">
        <f>$KI$23+--($KH24)</f>
        <v/>
      </c>
      <c r="KJ24">
        <f>IF(ROW()-3&gt;MAX($KI$4:$KI$40),"",INDEX($EY$4:$EY$40,MATCH(ROW()-3,$KI$4:$KI$40,0)))</f>
        <v/>
      </c>
      <c r="KK24">
        <f>IF(COUNTIF('Live Search'!BM$23:CP$23,0)+COUNTIF('Live Search'!CR$23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KL24">
        <f>IF($FD$24="",FALSE,SUMPRODUCT(('Final Calculation Sheet'!$AD$4:$AD$40=$FD$24)*($KK$6:$KK$42=1))&gt;0)</f>
        <v/>
      </c>
      <c r="KM24">
        <f>$KM$23+--($KL24)</f>
        <v/>
      </c>
      <c r="KN24">
        <f>IF(ROW()-3&gt;MAX($KM$4:$KM$40),"",INDEX($FD$4:$FD$40,MATCH(ROW()-3,$KM$4:$KM$40,0)))</f>
        <v/>
      </c>
      <c r="KO24">
        <f>IF(COUNTIF('Live Search'!BM$23:CT$23,0)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KP24">
        <f>IF($FX$24="",FALSE,SUMPRODUCT((IF('Final Calculation Sheet'!$AD$4:$AD$40&lt;=5,"SETTLED","OUTSTANDING")=$FX$24)*($KO$6:$KO$42=1))&gt;0)</f>
        <v/>
      </c>
      <c r="KQ24">
        <f>$KQ$23+--($KP24)</f>
        <v/>
      </c>
      <c r="KR24">
        <f>IF(ROW()-3&gt;MAX($KQ$4:$KQ$40),"",INDEX($FX$4:$FX$40,MATCH(ROW()-3,$KQ$4:$KQ$40,0)))</f>
        <v/>
      </c>
      <c r="KS24">
        <f>IF(COUNTIF('Live Search'!BM$23:CQ$23,0)+COUNTIF('Live Search'!CS$23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KT24">
        <f>IF($FI$24="",FALSE,SUMPRODUCT(('Final Calculation Sheet'!$AF$4:$AF$40=$FI$24)*($KS$6:$KS$42=1))&gt;0)</f>
        <v/>
      </c>
      <c r="KU24">
        <f>$KU$23+--($KT24)</f>
        <v/>
      </c>
      <c r="KV24">
        <f>IF(ROW()-3&gt;MAX($KU$4:$KU$40),"",INDEX($FI$4:$FI$40,MATCH(ROW()-3,$KU$4:$KU$40,0)))</f>
        <v/>
      </c>
      <c r="KW24">
        <f>IF(COUNTIF('Live Search'!BM$23:CR$23,0)+COUNTIF('Live Search'!CT$23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KX24">
        <f>IF($FN$24="",FALSE,SUMPRODUCT(('Final Calculation Sheet'!$AG$4:$AG$40=$FN$24)*($KW$6:$KW$42=1))&gt;0)</f>
        <v/>
      </c>
      <c r="KY24">
        <f>$KY$23+--($KX24)</f>
        <v/>
      </c>
      <c r="KZ24">
        <f>IF(ROW()-3&gt;MAX($KY$4:$KY$40),"",INDEX($FN$4:$FN$40,MATCH(ROW()-3,$KY$4:$KY$40,0)))</f>
        <v/>
      </c>
      <c r="LA24">
        <f>IF(COUNTIF('Live Search'!BM$23:CS$23,0)+COUNTIF('Live Search'!CU$23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LB24">
        <f>IF($FS$24="",FALSE,SUMPRODUCT(('Final Calculation Sheet'!$AH$4:$AH$40=$FS$24)*($LA$6:$LA$42=1))&gt;0)</f>
        <v/>
      </c>
      <c r="LC24">
        <f>$LC$23+--($LB24)</f>
        <v/>
      </c>
      <c r="LD24">
        <f>IF(ROW()-3&gt;MAX($LC$4:$LC$40),"",INDEX($FS$4:$FS$40,MATCH(ROW()-3,$LC$4:$LC$40,0)))</f>
        <v/>
      </c>
      <c r="LE24">
        <f>IF(COUNTIF('Buyer Groups'!DH77:EN77,0)&gt;0,0,1)</f>
        <v/>
      </c>
      <c r="LF24">
        <f>IF($O$24="",FALSE,SUMPRODUCT(('Final Calculation Sheet'!$F$4:$F$40=$O$24)*($LE$6:$LE$42=1))&gt;0)</f>
        <v/>
      </c>
      <c r="LG24">
        <f>$LG$23+--($LF24)</f>
        <v/>
      </c>
      <c r="LH24">
        <f>IF(ROW()-3&gt;MAX($LG$4:$LG$40),"",INDEX($O$4:$O$40,MATCH(ROW()-3,$LG$4:$LG$40,0)))</f>
        <v/>
      </c>
      <c r="LI24">
        <f>IF(COUNTIF('Buyer Groups'!DG77:DG77,0)+COUNTIF('Buyer Groups'!DI77:EN77,0)&gt;0,0,1)</f>
        <v/>
      </c>
      <c r="LJ24">
        <f>IF($T$24="",FALSE,SUMPRODUCT(('Final Calculation Sheet'!$G$4:$G$40=$T$24)*($LI$6:$LI$42=1))&gt;0)</f>
        <v/>
      </c>
      <c r="LK24">
        <f>$LK$23+--($LJ24)</f>
        <v/>
      </c>
      <c r="LL24">
        <f>IF(ROW()-3&gt;MAX($LK$4:$LK$40),"",INDEX($T$4:$T$40,MATCH(ROW()-3,$LK$4:$LK$40,0)))</f>
        <v/>
      </c>
      <c r="LM24">
        <f>IF(COUNTIF('Buyer Groups'!DG77:DH77,0)+COUNTIF('Buyer Groups'!DJ77:EN77,0)&gt;0,0,1)</f>
        <v/>
      </c>
      <c r="LN24">
        <f>IF($Y$24="",FALSE,SUMPRODUCT(('Final Calculation Sheet'!$B$4:$B$40=$Y$24)*($LM$6:$LM$42=1))&gt;0)</f>
        <v/>
      </c>
      <c r="LO24">
        <f>$LO$23+--($LN24)</f>
        <v/>
      </c>
      <c r="LP24">
        <f>IF(ROW()-3&gt;MAX($LO$4:$LO$40),"",INDEX($Y$4:$Y$40,MATCH(ROW()-3,$LO$4:$LO$40,0)))</f>
        <v/>
      </c>
      <c r="LQ24">
        <f>IF(COUNTIF('Buyer Groups'!DG77:DI77,0)+COUNTIF('Buyer Groups'!DK77:EN77,0)&gt;0,0,1)</f>
        <v/>
      </c>
      <c r="LR24">
        <f>IF($AD$24="",FALSE,SUMPRODUCT(('Final Calculation Sheet'!$D$4:$D$40=$AD$24)*($LQ$6:$LQ$42=1))&gt;0)</f>
        <v/>
      </c>
      <c r="LS24">
        <f>$LS$23+--($LR24)</f>
        <v/>
      </c>
      <c r="LT24">
        <f>IF(ROW()-3&gt;MAX($LS$4:$LS$40),"",INDEX($AD$4:$AD$40,MATCH(ROW()-3,$LS$4:$LS$40,0)))</f>
        <v/>
      </c>
      <c r="LU24">
        <f>IF(COUNTIF('Buyer Groups'!DG77:DJ77,0)+COUNTIF('Buyer Groups'!DL77:EN77,0)&gt;0,0,1)</f>
        <v/>
      </c>
      <c r="LV24">
        <f>IF($AI$24="",FALSE,SUMPRODUCT(('Final Calculation Sheet'!$A$4:$A$40=$AI$24)*($LU$6:$LU$42=1))&gt;0)</f>
        <v/>
      </c>
      <c r="LW24">
        <f>$LW$23+--($LV24)</f>
        <v/>
      </c>
      <c r="LX24">
        <f>IF(ROW()-3&gt;MAX($LW$4:$LW$40),"",INDEX($AI$4:$AI$40,MATCH(ROW()-3,$LW$4:$LW$40,0)))</f>
        <v/>
      </c>
      <c r="LY24">
        <f>IF(COUNTIF('Buyer Groups'!DG77:DK77,0)+COUNTIF('Buyer Groups'!DM77:EN77,0)&gt;0,0,1)</f>
        <v/>
      </c>
      <c r="LZ24">
        <f>IF($AN$24="",FALSE,SUMPRODUCT(('Final Calculation Sheet'!$E$4:$E$40=$AN$24)*($LY$6:$LY$42=1))&gt;0)</f>
        <v/>
      </c>
      <c r="MA24">
        <f>$MA$23+--($LZ24)</f>
        <v/>
      </c>
      <c r="MB24">
        <f>IF(ROW()-3&gt;MAX($MA$4:$MA$40),"",INDEX($AN$4:$AN$40,MATCH(ROW()-3,$MA$4:$MA$40,0)))</f>
        <v/>
      </c>
      <c r="MC24">
        <f>IF(COUNTIF('Buyer Groups'!DG77:DL77,0)+COUNTIF('Buyer Groups'!DN77:EN77,0)&gt;0,0,1)</f>
        <v/>
      </c>
      <c r="MD24">
        <f>IF($AS$24="",FALSE,SUMPRODUCT(('Final Calculation Sheet'!$C$4:$C$40=$AS$24)*($MC$6:$MC$42=1))&gt;0)</f>
        <v/>
      </c>
      <c r="ME24">
        <f>$ME$23+--($MD24)</f>
        <v/>
      </c>
      <c r="MF24">
        <f>IF(ROW()-3&gt;MAX($ME$4:$ME$40),"",INDEX($AS$4:$AS$40,MATCH(ROW()-3,$ME$4:$ME$40,0)))</f>
        <v/>
      </c>
      <c r="MG24">
        <f>IF(COUNTIF('Buyer Groups'!DG77:DM77,0)+COUNTIF('Buyer Groups'!DO77:EN77,0)&gt;0,0,1)</f>
        <v/>
      </c>
      <c r="MH24">
        <f>IF($AX$24="",FALSE,SUMPRODUCT(('Final Calculation Sheet'!$H$4:$H$40=$AX$24)*($MG$6:$MG$42=1))&gt;0)</f>
        <v/>
      </c>
      <c r="MI24">
        <f>$MI$23+--($MH24)</f>
        <v/>
      </c>
      <c r="MJ24">
        <f>IF(ROW()-3&gt;MAX($MI$4:$MI$40),"",INDEX($AX$4:$AX$40,MATCH(ROW()-3,$MI$4:$MI$40,0)))</f>
        <v/>
      </c>
      <c r="MK24">
        <f>IF(COUNTIF('Buyer Groups'!DG77:DN77,0)+COUNTIF('Buyer Groups'!DP77:EN77,0)&gt;0,0,1)</f>
        <v/>
      </c>
      <c r="ML24">
        <f>IF($BC$24="",FALSE,SUMPRODUCT(('Final Calculation Sheet'!$I$4:$I$40=$BC$24)*($MK$6:$MK$42=1))&gt;0)</f>
        <v/>
      </c>
      <c r="MM24">
        <f>$MM$23+--($ML24)</f>
        <v/>
      </c>
      <c r="MN24">
        <f>IF(ROW()-3&gt;MAX($MM$4:$MM$40),"",INDEX($BC$4:$BC$40,MATCH(ROW()-3,$MM$4:$MM$40,0)))</f>
        <v/>
      </c>
      <c r="MO24">
        <f>IF(COUNTIF('Buyer Groups'!DG77:DO77,0)+COUNTIF('Buyer Groups'!DQ77:EN77,0)&gt;0,0,1)</f>
        <v/>
      </c>
      <c r="MP24">
        <f>IF($BH$24="",FALSE,SUMPRODUCT(('Final Calculation Sheet'!$J$4:$J$40=$BH$24)*($MO$6:$MO$42=1))&gt;0)</f>
        <v/>
      </c>
      <c r="MQ24">
        <f>$MQ$23+--($MP24)</f>
        <v/>
      </c>
      <c r="MR24">
        <f>IF(ROW()-3&gt;MAX($MQ$4:$MQ$40),"",INDEX($BH$4:$BH$40,MATCH(ROW()-3,$MQ$4:$MQ$40,0)))</f>
        <v/>
      </c>
      <c r="MS24">
        <f>IF(COUNTIF('Buyer Groups'!DG77:DP77,0)+COUNTIF('Buyer Groups'!DR77:EN77,0)&gt;0,0,1)</f>
        <v/>
      </c>
      <c r="MT24">
        <f>IF($BM$24="",FALSE,SUMPRODUCT(('Final Calculation Sheet'!$K$4:$K$40=$BM$24)*($MS$6:$MS$42=1))&gt;0)</f>
        <v/>
      </c>
      <c r="MU24">
        <f>$MU$23+--($MT24)</f>
        <v/>
      </c>
      <c r="MV24">
        <f>IF(ROW()-3&gt;MAX($MU$4:$MU$40),"",INDEX($BM$4:$BM$40,MATCH(ROW()-3,$MU$4:$MU$40,0)))</f>
        <v/>
      </c>
      <c r="MW24">
        <f>IF(COUNTIF('Buyer Groups'!DG77:DQ77,0)+COUNTIF('Buyer Groups'!DS77:EN77,0)&gt;0,0,1)</f>
        <v/>
      </c>
      <c r="MX24">
        <f>IF($BR$24="",FALSE,SUMPRODUCT(('Final Calculation Sheet'!$L$4:$L$40=$BR$24)*($MW$6:$MW$42=1))&gt;0)</f>
        <v/>
      </c>
      <c r="MY24">
        <f>$MY$23+--($MX24)</f>
        <v/>
      </c>
      <c r="MZ24">
        <f>IF(ROW()-3&gt;MAX($MY$4:$MY$40),"",INDEX($BR$4:$BR$40,MATCH(ROW()-3,$MY$4:$MY$40,0)))</f>
        <v/>
      </c>
      <c r="NA24">
        <f>IF(COUNTIF('Buyer Groups'!DG77:DR77,0)+COUNTIF('Buyer Groups'!DT77:EN77,0)&gt;0,0,1)</f>
        <v/>
      </c>
      <c r="NB24">
        <f>IF($BW$24="",FALSE,SUMPRODUCT(('Final Calculation Sheet'!$M$4:$M$40=$BW$24)*($NA$6:$NA$42=1))&gt;0)</f>
        <v/>
      </c>
      <c r="NC24">
        <f>$NC$23+--($NB24)</f>
        <v/>
      </c>
      <c r="ND24">
        <f>IF(ROW()-3&gt;MAX($NC$4:$NC$40),"",INDEX($BW$4:$BW$40,MATCH(ROW()-3,$NC$4:$NC$40,0)))</f>
        <v/>
      </c>
      <c r="NE24">
        <f>IF(COUNTIF('Buyer Groups'!DG77:DS77,0)+COUNTIF('Buyer Groups'!DU77:EN77,0)&gt;0,0,1)</f>
        <v/>
      </c>
      <c r="NF24">
        <f>IF($CB$24="",FALSE,SUMPRODUCT(('Final Calculation Sheet'!$N$4:$N$40=$CB$24)*($NE$6:$NE$42=1))&gt;0)</f>
        <v/>
      </c>
      <c r="NG24">
        <f>$NG$23+--($NF24)</f>
        <v/>
      </c>
      <c r="NH24">
        <f>IF(ROW()-3&gt;MAX($NG$4:$NG$40),"",INDEX($CB$4:$CB$40,MATCH(ROW()-3,$NG$4:$NG$40,0)))</f>
        <v/>
      </c>
      <c r="NI24">
        <f>IF(COUNTIF('Buyer Groups'!DG77:DT77,0)+COUNTIF('Buyer Groups'!DV77:EN77,0)&gt;0,0,1)</f>
        <v/>
      </c>
      <c r="NJ24">
        <f>IF($CG$24="",FALSE,SUMPRODUCT(('Final Calculation Sheet'!$O$4:$O$40=$CG$24)*($NI$6:$NI$42=1))&gt;0)</f>
        <v/>
      </c>
      <c r="NK24">
        <f>$NK$23+--($NJ24)</f>
        <v/>
      </c>
      <c r="NL24">
        <f>IF(ROW()-3&gt;MAX($NK$4:$NK$40),"",INDEX($CG$4:$CG$40,MATCH(ROW()-3,$NK$4:$NK$40,0)))</f>
        <v/>
      </c>
      <c r="NM24">
        <f>IF(COUNTIF('Buyer Groups'!DG77:DU77,0)+COUNTIF('Buyer Groups'!DW77:EN77,0)&gt;0,0,1)</f>
        <v/>
      </c>
      <c r="NN24">
        <f>IF($CL$24="",FALSE,SUMPRODUCT(('Final Calculation Sheet'!$P$4:$P$40=$CL$24)*($NM$6:$NM$42=1))&gt;0)</f>
        <v/>
      </c>
      <c r="NO24">
        <f>$NO$23+--($NN24)</f>
        <v/>
      </c>
      <c r="NP24">
        <f>IF(ROW()-3&gt;MAX($NO$4:$NO$40),"",INDEX($CL$4:$CL$40,MATCH(ROW()-3,$NO$4:$NO$40,0)))</f>
        <v/>
      </c>
      <c r="NQ24">
        <f>IF(COUNTIF('Buyer Groups'!DG77:DV77,0)+COUNTIF('Buyer Groups'!DX77:EN77,0)&gt;0,0,1)</f>
        <v/>
      </c>
      <c r="NR24">
        <f>IF($CQ$24="",FALSE,SUMPRODUCT(('Final Calculation Sheet'!$Q$4:$Q$40=$CQ$24)*($NQ$6:$NQ$42=1))&gt;0)</f>
        <v/>
      </c>
      <c r="NS24">
        <f>$NS$23+--($NR24)</f>
        <v/>
      </c>
      <c r="NT24">
        <f>IF(ROW()-3&gt;MAX($NS$4:$NS$40),"",INDEX($CQ$4:$CQ$40,MATCH(ROW()-3,$NS$4:$NS$40,0)))</f>
        <v/>
      </c>
      <c r="NU24">
        <f>IF(COUNTIF('Buyer Groups'!DG77:DW77,0)+COUNTIF('Buyer Groups'!DY77:EN77,0)&gt;0,0,1)</f>
        <v/>
      </c>
      <c r="NV24">
        <f>IF($CV$24="",FALSE,SUMPRODUCT(('Final Calculation Sheet'!$R$4:$R$40=$CV$24)*($NU$6:$NU$42=1))&gt;0)</f>
        <v/>
      </c>
      <c r="NW24">
        <f>$NW$23+--($NV24)</f>
        <v/>
      </c>
      <c r="NX24">
        <f>IF(ROW()-3&gt;MAX($NW$4:$NW$40),"",INDEX($CV$4:$CV$40,MATCH(ROW()-3,$NW$4:$NW$40,0)))</f>
        <v/>
      </c>
      <c r="NY24">
        <f>IF(COUNTIF('Buyer Groups'!DG77:DX77,0)+COUNTIF('Buyer Groups'!DZ77:EN77,0)&gt;0,0,1)</f>
        <v/>
      </c>
      <c r="NZ24">
        <f>IF($DA$24="",FALSE,SUMPRODUCT(('Final Calculation Sheet'!$S$4:$S$40=$DA$24)*($NY$6:$NY$42=1))&gt;0)</f>
        <v/>
      </c>
      <c r="OA24">
        <f>$OA$23+--($NZ24)</f>
        <v/>
      </c>
      <c r="OB24">
        <f>IF(ROW()-3&gt;MAX($OA$4:$OA$40),"",INDEX($DA$4:$DA$40,MATCH(ROW()-3,$OA$4:$OA$40,0)))</f>
        <v/>
      </c>
      <c r="OC24">
        <f>IF(COUNTIF('Buyer Groups'!DG77:DY77,0)+COUNTIF('Buyer Groups'!EA77:EN77,0)&gt;0,0,1)</f>
        <v/>
      </c>
      <c r="OD24">
        <f>IF($DF$24="",FALSE,SUMPRODUCT(('Final Calculation Sheet'!$T$4:$T$40=$DF$24)*($OC$6:$OC$42=1))&gt;0)</f>
        <v/>
      </c>
      <c r="OE24">
        <f>$OE$23+--($OD24)</f>
        <v/>
      </c>
      <c r="OF24">
        <f>IF(ROW()-3&gt;MAX($OE$4:$OE$40),"",INDEX($DF$4:$DF$40,MATCH(ROW()-3,$OE$4:$OE$40,0)))</f>
        <v/>
      </c>
      <c r="OG24">
        <f>IF(COUNTIF('Buyer Groups'!DG77:DZ77,0)+COUNTIF('Buyer Groups'!EB77:EN77,0)&gt;0,0,1)</f>
        <v/>
      </c>
      <c r="OH24">
        <f>IF($DK$24="",FALSE,SUMPRODUCT(('Final Calculation Sheet'!$U$4:$U$40=$DK$24)*($OG$6:$OG$42=1))&gt;0)</f>
        <v/>
      </c>
      <c r="OI24">
        <f>$OI$23+--($OH24)</f>
        <v/>
      </c>
      <c r="OJ24">
        <f>IF(ROW()-3&gt;MAX($OI$4:$OI$40),"",INDEX($DK$4:$DK$40,MATCH(ROW()-3,$OI$4:$OI$40,0)))</f>
        <v/>
      </c>
      <c r="OK24">
        <f>IF(COUNTIF('Buyer Groups'!DG77:EA77,0)+COUNTIF('Buyer Groups'!EC77:EN77,0)&gt;0,0,1)</f>
        <v/>
      </c>
      <c r="OL24">
        <f>IF($DP$24="",FALSE,SUMPRODUCT(('Final Calculation Sheet'!$V$4:$V$40=$DP$24)*($OK$6:$OK$42=1))&gt;0)</f>
        <v/>
      </c>
      <c r="OM24">
        <f>$OM$23+--($OL24)</f>
        <v/>
      </c>
      <c r="ON24">
        <f>IF(ROW()-3&gt;MAX($OM$4:$OM$40),"",INDEX($DP$4:$DP$40,MATCH(ROW()-3,$OM$4:$OM$40,0)))</f>
        <v/>
      </c>
      <c r="OO24">
        <f>IF(COUNTIF('Buyer Groups'!DG77:EB77,0)+COUNTIF('Buyer Groups'!ED77:EN77,0)&gt;0,0,1)</f>
        <v/>
      </c>
      <c r="OP24">
        <f>IF($DU$24="",FALSE,SUMPRODUCT(('Final Calculation Sheet'!$W$4:$W$40=$DU$24)*($OO$6:$OO$42=1))&gt;0)</f>
        <v/>
      </c>
      <c r="OQ24">
        <f>$OQ$23+--($OP24)</f>
        <v/>
      </c>
      <c r="OR24">
        <f>IF(ROW()-3&gt;MAX($OQ$4:$OQ$40),"",INDEX($DU$4:$DU$40,MATCH(ROW()-3,$OQ$4:$OQ$40,0)))</f>
        <v/>
      </c>
      <c r="OS24">
        <f>IF(COUNTIF('Buyer Groups'!DG77:EC77,0)+COUNTIF('Buyer Groups'!EE77:EN77,0)&gt;0,0,1)</f>
        <v/>
      </c>
      <c r="OT24">
        <f>IF($DZ$24="",FALSE,SUMPRODUCT(('Final Calculation Sheet'!$X$4:$X$40=$DZ$24)*($OS$6:$OS$42=1))&gt;0)</f>
        <v/>
      </c>
      <c r="OU24">
        <f>$OU$23+--($OT24)</f>
        <v/>
      </c>
      <c r="OV24">
        <f>IF(ROW()-3&gt;MAX($OU$4:$OU$40),"",INDEX($DZ$4:$DZ$40,MATCH(ROW()-3,$OU$4:$OU$40,0)))</f>
        <v/>
      </c>
      <c r="OW24">
        <f>IF(COUNTIF('Buyer Groups'!DG77:ED77,0)+COUNTIF('Buyer Groups'!EF77:EN77,0)&gt;0,0,1)</f>
        <v/>
      </c>
      <c r="OX24">
        <f>IF($EE$24="",FALSE,SUMPRODUCT(('Final Calculation Sheet'!$Y$4:$Y$40=$EE$24)*($OW$6:$OW$42=1))&gt;0)</f>
        <v/>
      </c>
      <c r="OY24">
        <f>$OY$23+--($OX24)</f>
        <v/>
      </c>
      <c r="OZ24">
        <f>IF(ROW()-3&gt;MAX($OY$4:$OY$40),"",INDEX($EE$4:$EE$40,MATCH(ROW()-3,$OY$4:$OY$40,0)))</f>
        <v/>
      </c>
      <c r="PA24">
        <f>IF(COUNTIF('Buyer Groups'!DG77:EE77,0)+COUNTIF('Buyer Groups'!EG77:EN77,0)&gt;0,0,1)</f>
        <v/>
      </c>
      <c r="PB24">
        <f>IF($EJ$24="",FALSE,SUMPRODUCT(('Final Calculation Sheet'!$Z$4:$Z$40=$EJ$24)*($PA$6:$PA$42=1))&gt;0)</f>
        <v/>
      </c>
      <c r="PC24">
        <f>$PC$23+--($PB24)</f>
        <v/>
      </c>
      <c r="PD24">
        <f>IF(ROW()-3&gt;MAX($PC$4:$PC$40),"",INDEX($EJ$4:$EJ$40,MATCH(ROW()-3,$PC$4:$PC$40,0)))</f>
        <v/>
      </c>
      <c r="PE24">
        <f>IF(COUNTIF('Buyer Groups'!DG77:EF77,0)+COUNTIF('Buyer Groups'!EH77:EN77,0)&gt;0,0,1)</f>
        <v/>
      </c>
      <c r="PF24">
        <f>IF($EO$24="",FALSE,SUMPRODUCT(('Final Calculation Sheet'!$AA$4:$AA$40=$EO$24)*($PE$6:$PE$42=1))&gt;0)</f>
        <v/>
      </c>
      <c r="PG24">
        <f>$PG$23+--($PF24)</f>
        <v/>
      </c>
      <c r="PH24">
        <f>IF(ROW()-3&gt;MAX($PG$4:$PG$40),"",INDEX($EO$4:$EO$40,MATCH(ROW()-3,$PG$4:$PG$40,0)))</f>
        <v/>
      </c>
      <c r="PI24">
        <f>IF(COUNTIF('Buyer Groups'!DG77:EG77,0)+COUNTIF('Buyer Groups'!EI77:EN77,0)&gt;0,0,1)</f>
        <v/>
      </c>
      <c r="PJ24">
        <f>IF($ET$24="",FALSE,SUMPRODUCT(('Final Calculation Sheet'!$AB$4:$AB$40=$ET$24)*($PI$6:$PI$42=1))&gt;0)</f>
        <v/>
      </c>
      <c r="PK24">
        <f>$PK$23+--($PJ24)</f>
        <v/>
      </c>
      <c r="PL24">
        <f>IF(ROW()-3&gt;MAX($PK$4:$PK$40),"",INDEX($ET$4:$ET$40,MATCH(ROW()-3,$PK$4:$PK$40,0)))</f>
        <v/>
      </c>
      <c r="PM24">
        <f>IF(COUNTIF('Buyer Groups'!DG77:EH77,0)+COUNTIF('Buyer Groups'!EJ77:EN77,0)&gt;0,0,1)</f>
        <v/>
      </c>
      <c r="PN24">
        <f>IF($EY$24="",FALSE,SUMPRODUCT(('Final Calculation Sheet'!$AC$4:$AC$40=$EY$24)*($PM$6:$PM$42=1))&gt;0)</f>
        <v/>
      </c>
      <c r="PO24">
        <f>$PO$23+--($PN24)</f>
        <v/>
      </c>
      <c r="PP24">
        <f>IF(ROW()-3&gt;MAX($PO$4:$PO$40),"",INDEX($EY$4:$EY$40,MATCH(ROW()-3,$PO$4:$PO$40,0)))</f>
        <v/>
      </c>
      <c r="PQ24">
        <f>IF(COUNTIF('Buyer Groups'!DG77:EI77,0)+COUNTIF('Buyer Groups'!EK77:EN77,0)&gt;0,0,1)</f>
        <v/>
      </c>
      <c r="PR24">
        <f>IF($FD$24="",FALSE,SUMPRODUCT(('Final Calculation Sheet'!$AD$4:$AD$40=$FD$24)*($PQ$6:$PQ$42=1))&gt;0)</f>
        <v/>
      </c>
      <c r="PS24">
        <f>$PS$23+--($PR24)</f>
        <v/>
      </c>
      <c r="PT24">
        <f>IF(ROW()-3&gt;MAX($PS$4:$PS$40),"",INDEX($FD$4:$FD$40,MATCH(ROW()-3,$PS$4:$PS$40,0)))</f>
        <v/>
      </c>
      <c r="PU24">
        <f>IF(COUNTIF('Buyer Groups'!DG77:EJ77,0)+COUNTIF('Buyer Groups'!EL77:EN77,0)&gt;0,0,1)</f>
        <v/>
      </c>
      <c r="PV24">
        <f>IF($FX$24="",FALSE,SUMPRODUCT((IF('Final Calculation Sheet'!$AD$4:$AD$40&lt;=5,"SETTLED","OUTSTANDING")=$FX$24)*($PU$6:$PU$42=1))&gt;0)</f>
        <v/>
      </c>
      <c r="PW24">
        <f>$PW$23+--($PV24)</f>
        <v/>
      </c>
      <c r="PX24">
        <f>IF(ROW()-3&gt;MAX($PW$4:$PW$40),"",INDEX($FX$4:$FX$40,MATCH(ROW()-3,$PW$4:$PW$40,0)))</f>
        <v/>
      </c>
      <c r="PY24">
        <f>IF(COUNTIF('Buyer Groups'!DG77:EK77,0)+COUNTIF('Buyer Groups'!EM77:EN77,0)&gt;0,0,1)</f>
        <v/>
      </c>
      <c r="PZ24">
        <f>IF($FI$24="",FALSE,SUMPRODUCT(('Final Calculation Sheet'!$AF$4:$AF$40=$FI$24)*($PY$6:$PY$42=1))&gt;0)</f>
        <v/>
      </c>
      <c r="QA24">
        <f>$QA$23+--($PZ24)</f>
        <v/>
      </c>
      <c r="QB24">
        <f>IF(ROW()-3&gt;MAX($QA$4:$QA$40),"",INDEX($FI$4:$FI$40,MATCH(ROW()-3,$QA$4:$QA$40,0)))</f>
        <v/>
      </c>
      <c r="QC24">
        <f>IF(COUNTIF('Buyer Groups'!DG77:EL77,0)+COUNTIF('Buyer Groups'!EN77:EN77,0)&gt;0,0,1)</f>
        <v/>
      </c>
      <c r="QD24">
        <f>IF($FN$24="",FALSE,SUMPRODUCT(('Final Calculation Sheet'!$AG$4:$AG$40=$FN$24)*($QC$6:$QC$42=1))&gt;0)</f>
        <v/>
      </c>
      <c r="QE24">
        <f>$QE$23+--($QD24)</f>
        <v/>
      </c>
      <c r="QF24">
        <f>IF(ROW()-3&gt;MAX($QE$4:$QE$40),"",INDEX($FN$4:$FN$40,MATCH(ROW()-3,$QE$4:$QE$40,0)))</f>
        <v/>
      </c>
      <c r="QG24">
        <f>IF(COUNTIF('Buyer Groups'!DG77:EM77,0)&gt;0,0,1)</f>
        <v/>
      </c>
      <c r="QH24">
        <f>IF($FS$24="",FALSE,SUMPRODUCT(('Final Calculation Sheet'!$AH$4:$AH$40=$FS$24)*($QG$6:$QG$42=1))&gt;0)</f>
        <v/>
      </c>
      <c r="QI24">
        <f>$QI$23+--($QH24)</f>
        <v/>
      </c>
      <c r="QJ24">
        <f>IF(ROW()-3&gt;MAX($QI$4:$QI$40),"",INDEX($FS$4:$FS$40,MATCH(ROW()-3,$QI$4:$QI$40,0)))</f>
        <v/>
      </c>
      <c r="QK24" t="str">
        <f>IF('Final Calculation Sheet'!$AH$24="","",'Final Calculation Sheet'!$AH$24)</f>
      </c>
      <c r="QL24" t="str">
        <f>IF(QK24="","",COUNTIFS(QK$4:QK$40,"&lt;"&amp;QK24,QK$4:QK$40,"&lt;&gt;"&amp;"")+COUNTIF(QK$4:QK24,QK24))</f>
      </c>
      <c r="QM24" t="str">
        <f>IF(ROW()-3&gt;COUNTIF(QK$4:QK$40,"&lt;&gt;"&amp;""),"",INDEX(QK$4:QK$40,MATCH(ROW()-3,QL$4:QL$40,0)))</f>
      </c>
      <c r="QN24" t="str">
        <f>=QN23+F(AND(QM24&lt;&gt;"",COUNTIF(QM$4:QM24,QM24)=1),1,0)</f>
      </c>
      <c r="QO24" t="str">
        <f>IF(ROW()-3&gt;MAX(QN$4:QN$40),"",INDEX(QM$4:QM$40,MATCH(ROW()-3,QN$4:QN$40,0)))</f>
      </c>
      <c r="QP24" t="str">
        <f>IF(COUNTIF('Final Calculation Sheet'!$AM24:$BS24,0)&gt;0,0,1)</f>
      </c>
      <c r="QQ24" t="str">
        <f>IF($AI$24="",FALSE,SUMPRODUCT(('Final Calculation Sheet'!$A$4:$A$40=$AI$24)*($QP$4:$QP$40=1))&gt;0)</f>
      </c>
      <c r="QR24" t="str">
        <f>=$QR23+--($QQ24)</f>
      </c>
      <c r="QS24" t="str">
        <f>IF(ROW()-3&gt;MAX($QR$4:$QR$40),"",INDEX($AI$4:$AI$40,MATCH(ROW()-3,$QR$4:$QR$40,0)))</f>
      </c>
      <c r="QT24" t="str">
        <f>IF(COUNTIF('Final Calculation Sheet'!$AL24:$AL24,0)+COUNTIF('Final Calculation Sheet'!$AN24:$BS24,0)&gt;0,0,1)</f>
      </c>
      <c r="QU24" t="str">
        <f>IF($Y$24="",FALSE,SUMPRODUCT(('Final Calculation Sheet'!$B$4:$B$40=$Y$24)*($QT$4:$QT$40=1))&gt;0)</f>
      </c>
      <c r="QV24" t="str">
        <f>=$QV23+--($QU24)</f>
      </c>
      <c r="QW24" t="str">
        <f>IF(ROW()-3&gt;MAX($QV$4:$QV$40),"",INDEX($Y$4:$Y$40,MATCH(ROW()-3,$QV$4:$QV$40,0)))</f>
      </c>
      <c r="QX24" t="str">
        <f>IF(COUNTIF('Final Calculation Sheet'!$AL24:$AM24,0)+COUNTIF('Final Calculation Sheet'!$AO24:$BS24,0)&gt;0,0,1)</f>
      </c>
      <c r="QY24" t="str">
        <f>IF($AS$24="",FALSE,SUMPRODUCT(('Final Calculation Sheet'!$C$4:$C$40=$AS$24)*($QX$4:$QX$40=1))&gt;0)</f>
      </c>
      <c r="QZ24" t="str">
        <f>=$QZ23+--($QY24)</f>
      </c>
      <c r="RA24" t="str">
        <f>IF(ROW()-3&gt;MAX($QZ$4:$QZ$40),"",INDEX($AS$4:$AS$40,MATCH(ROW()-3,$QZ$4:$QZ$40,0)))</f>
      </c>
      <c r="RB24" t="str">
        <f>IF(COUNTIF('Final Calculation Sheet'!$AL24:$AN24,0)+COUNTIF('Final Calculation Sheet'!$AP24:$BS24,0)&gt;0,0,1)</f>
      </c>
      <c r="RC24" t="str">
        <f>IF($AD$24="",FALSE,SUMPRODUCT(('Final Calculation Sheet'!$D$4:$D$40=$AD$24)*($RB$4:$RB$40=1))&gt;0)</f>
      </c>
      <c r="RD24" t="str">
        <f>=$RD23+--($RC24)</f>
      </c>
      <c r="RE24" t="str">
        <f>IF(ROW()-3&gt;MAX($RD$4:$RD$40),"",INDEX($AD$4:$AD$40,MATCH(ROW()-3,$RD$4:$RD$40,0)))</f>
      </c>
      <c r="RF24" t="str">
        <f>IF(COUNTIF('Final Calculation Sheet'!$AL24:$AO24,0)+COUNTIF('Final Calculation Sheet'!$AQ24:$BS24,0)&gt;0,0,1)</f>
      </c>
      <c r="RG24" t="str">
        <f>IF($AN$24="",FALSE,SUMPRODUCT(('Final Calculation Sheet'!$E$4:$E$40=$AN$24)*($RF$4:$RF$40=1))&gt;0)</f>
      </c>
      <c r="RH24" t="str">
        <f>=$RH23+--($RG24)</f>
      </c>
      <c r="RI24" t="str">
        <f>IF(ROW()-3&gt;MAX($RH$4:$RH$40),"",INDEX($AN$4:$AN$40,MATCH(ROW()-3,$RH$4:$RH$40,0)))</f>
      </c>
      <c r="RJ24" t="str">
        <f>IF(COUNTIF('Final Calculation Sheet'!$AL24:$AP24,0)+COUNTIF('Final Calculation Sheet'!$AR24:$BS24,0)&gt;0,0,1)</f>
      </c>
      <c r="RK24" t="str">
        <f>IF($O$24="",FALSE,SUMPRODUCT(('Final Calculation Sheet'!$F$4:$F$40=$O$24)*($RJ$4:$RJ$40=1))&gt;0)</f>
      </c>
      <c r="RL24" t="str">
        <f>=$RL23+--($RK24)</f>
      </c>
      <c r="RM24" t="str">
        <f>IF(ROW()-3&gt;MAX($RL$4:$RL$40),"",INDEX($O$4:$O$40,MATCH(ROW()-3,$RL$4:$RL$40,0)))</f>
      </c>
      <c r="RN24" t="str">
        <f>IF(COUNTIF('Final Calculation Sheet'!$AL24:$AQ24,0)+COUNTIF('Final Calculation Sheet'!$AS24:$BS24,0)&gt;0,0,1)</f>
      </c>
      <c r="RO24" t="str">
        <f>IF($T$24="",FALSE,SUMPRODUCT(('Final Calculation Sheet'!$G$4:$G$40=$T$24)*($RN$4:$RN$40=1))&gt;0)</f>
      </c>
      <c r="RP24" t="str">
        <f>=$RP23+--($RO24)</f>
      </c>
      <c r="RQ24" t="str">
        <f>IF(ROW()-3&gt;MAX($RP$4:$RP$40),"",INDEX($T$4:$T$40,MATCH(ROW()-3,$RP$4:$RP$40,0)))</f>
      </c>
      <c r="RR24" t="str">
        <f>IF(COUNTIF('Final Calculation Sheet'!$AL24:$AR24,0)+COUNTIF('Final Calculation Sheet'!$AT24:$BS24,0)&gt;0,0,1)</f>
      </c>
      <c r="RS24" t="str">
        <f>IF($AX$24="",FALSE,SUMPRODUCT(('Final Calculation Sheet'!$H$4:$H$40=$AX$24)*($RR$4:$RR$40=1))&gt;0)</f>
      </c>
      <c r="RT24" t="str">
        <f>=$RT23+--($RS24)</f>
      </c>
      <c r="RU24" t="str">
        <f>IF(ROW()-3&gt;MAX($RT$4:$RT$40),"",INDEX($AX$4:$AX$40,MATCH(ROW()-3,$RT$4:$RT$40,0)))</f>
      </c>
      <c r="RV24" t="str">
        <f>IF(COUNTIF('Final Calculation Sheet'!$AL24:$AS24,0)+COUNTIF('Final Calculation Sheet'!$AU24:$BS24,0)&gt;0,0,1)</f>
      </c>
      <c r="RW24" t="str">
        <f>IF($BC$24="",FALSE,SUMPRODUCT(('Final Calculation Sheet'!$I$4:$I$40=$BC$24)*($RV$4:$RV$40=1))&gt;0)</f>
      </c>
      <c r="RX24" t="str">
        <f>=$RX23+--($RW24)</f>
      </c>
      <c r="RY24" t="str">
        <f>IF(ROW()-3&gt;MAX($RX$4:$RX$40),"",INDEX($BC$4:$BC$40,MATCH(ROW()-3,$RX$4:$RX$40,0)))</f>
      </c>
      <c r="RZ24" t="str">
        <f>IF(COUNTIF('Final Calculation Sheet'!$AL24:$AT24,0)+COUNTIF('Final Calculation Sheet'!$AV24:$BS24,0)&gt;0,0,1)</f>
      </c>
      <c r="SA24" t="str">
        <f>IF($BH$24="",FALSE,SUMPRODUCT(('Final Calculation Sheet'!$J$4:$J$40=$BH$24)*($RZ$4:$RZ$40=1))&gt;0)</f>
      </c>
      <c r="SB24" t="str">
        <f>=$SB23+--($SA24)</f>
      </c>
      <c r="SC24" t="str">
        <f>IF(ROW()-3&gt;MAX($SB$4:$SB$40),"",INDEX($BH$4:$BH$40,MATCH(ROW()-3,$SB$4:$SB$40,0)))</f>
      </c>
      <c r="SD24" t="str">
        <f>IF(COUNTIF('Final Calculation Sheet'!$AL24:$AU24,0)+COUNTIF('Final Calculation Sheet'!$AW24:$BS24,0)&gt;0,0,1)</f>
      </c>
      <c r="SE24" t="str">
        <f>IF($BM$24="",FALSE,SUMPRODUCT(('Final Calculation Sheet'!$K$4:$K$40=$BM$24)*($SD$4:$SD$40=1))&gt;0)</f>
      </c>
      <c r="SF24" t="str">
        <f>=$SF23+--($SE24)</f>
      </c>
      <c r="SG24" t="str">
        <f>IF(ROW()-3&gt;MAX($SF$4:$SF$40),"",INDEX($BM$4:$BM$40,MATCH(ROW()-3,$SF$4:$SF$40,0)))</f>
      </c>
      <c r="SH24" t="str">
        <f>IF(COUNTIF('Final Calculation Sheet'!$AL24:$AV24,0)+COUNTIF('Final Calculation Sheet'!$AX24:$BS24,0)&gt;0,0,1)</f>
      </c>
      <c r="SI24" t="str">
        <f>IF($BR$24="",FALSE,SUMPRODUCT(('Final Calculation Sheet'!$L$4:$L$40=$BR$24)*($SH$4:$SH$40=1))&gt;0)</f>
      </c>
      <c r="SJ24" t="str">
        <f>=$SJ23+--($SI24)</f>
      </c>
      <c r="SK24" t="str">
        <f>IF(ROW()-3&gt;MAX($SJ$4:$SJ$40),"",INDEX($BR$4:$BR$40,MATCH(ROW()-3,$SJ$4:$SJ$40,0)))</f>
      </c>
      <c r="SL24" t="str">
        <f>IF(COUNTIF('Final Calculation Sheet'!$AL24:$AW24,0)+COUNTIF('Final Calculation Sheet'!$AY24:$BS24,0)&gt;0,0,1)</f>
      </c>
      <c r="SM24" t="str">
        <f>IF($BW$24="",FALSE,SUMPRODUCT(('Final Calculation Sheet'!$M$4:$M$40=$BW$24)*($SL$4:$SL$40=1))&gt;0)</f>
      </c>
      <c r="SN24" t="str">
        <f>=$SN23+--($SM24)</f>
      </c>
      <c r="SO24" t="str">
        <f>IF(ROW()-3&gt;MAX($SN$4:$SN$40),"",INDEX($BW$4:$BW$40,MATCH(ROW()-3,$SN$4:$SN$40,0)))</f>
      </c>
      <c r="SP24" t="str">
        <f>IF(COUNTIF('Final Calculation Sheet'!$AL24:$AX24,0)+COUNTIF('Final Calculation Sheet'!$AZ24:$BS24,0)&gt;0,0,1)</f>
      </c>
      <c r="SQ24" t="str">
        <f>IF($CB$24="",FALSE,SUMPRODUCT(('Final Calculation Sheet'!$N$4:$N$40=$CB$24)*($SP$4:$SP$40=1))&gt;0)</f>
      </c>
      <c r="SR24" t="str">
        <f>=$SR23+--($SQ24)</f>
      </c>
      <c r="SS24" t="str">
        <f>IF(ROW()-3&gt;MAX($SR$4:$SR$40),"",INDEX($CB$4:$CB$40,MATCH(ROW()-3,$SR$4:$SR$40,0)))</f>
      </c>
      <c r="ST24" t="str">
        <f>IF(COUNTIF('Final Calculation Sheet'!$AL24:$AY24,0)+COUNTIF('Final Calculation Sheet'!$BA24:$BS24,0)&gt;0,0,1)</f>
      </c>
      <c r="SU24" t="str">
        <f>IF($CG$24="",FALSE,SUMPRODUCT(('Final Calculation Sheet'!$O$4:$O$40=$CG$24)*($ST$4:$ST$40=1))&gt;0)</f>
      </c>
      <c r="SV24" t="str">
        <f>=$SV23+--($SU24)</f>
      </c>
      <c r="SW24" t="str">
        <f>IF(ROW()-3&gt;MAX($SV$4:$SV$40),"",INDEX($CG$4:$CG$40,MATCH(ROW()-3,$SV$4:$SV$40,0)))</f>
      </c>
      <c r="SX24" t="str">
        <f>IF(COUNTIF('Final Calculation Sheet'!$AL24:$AZ24,0)+COUNTIF('Final Calculation Sheet'!$BB24:$BS24,0)&gt;0,0,1)</f>
      </c>
      <c r="SY24" t="str">
        <f>IF($CL$24="",FALSE,SUMPRODUCT(('Final Calculation Sheet'!$P$4:$P$40=$CL$24)*($SX$4:$SX$40=1))&gt;0)</f>
      </c>
      <c r="SZ24" t="str">
        <f>=$SZ23+--($SY24)</f>
      </c>
      <c r="TA24" t="str">
        <f>IF(ROW()-3&gt;MAX($SZ$4:$SZ$40),"",INDEX($CL$4:$CL$40,MATCH(ROW()-3,$SZ$4:$SZ$40,0)))</f>
      </c>
      <c r="TB24" t="str">
        <f>IF(COUNTIF('Final Calculation Sheet'!$AL24:$BA24,0)+COUNTIF('Final Calculation Sheet'!$BC24:$BS24,0)&gt;0,0,1)</f>
      </c>
      <c r="TC24" t="str">
        <f>IF($CQ$24="",FALSE,SUMPRODUCT(('Final Calculation Sheet'!$Q$4:$Q$40=$CQ$24)*($TB$4:$TB$40=1))&gt;0)</f>
      </c>
      <c r="TD24" t="str">
        <f>=$TD23+--($TC24)</f>
      </c>
      <c r="TE24" t="str">
        <f>IF(ROW()-3&gt;MAX($TD$4:$TD$40),"",INDEX($CQ$4:$CQ$40,MATCH(ROW()-3,$TD$4:$TD$40,0)))</f>
      </c>
      <c r="TF24" t="str">
        <f>IF(COUNTIF('Final Calculation Sheet'!$AL24:$BB24,0)+COUNTIF('Final Calculation Sheet'!$BD24:$BS24,0)&gt;0,0,1)</f>
      </c>
      <c r="TG24" t="str">
        <f>IF($CV$24="",FALSE,SUMPRODUCT(('Final Calculation Sheet'!$R$4:$R$40=$CV$24)*($TF$4:$TF$40=1))&gt;0)</f>
      </c>
      <c r="TH24" t="str">
        <f>=$TH23+--($TG24)</f>
      </c>
      <c r="TI24" t="str">
        <f>IF(ROW()-3&gt;MAX($TH$4:$TH$40),"",INDEX($CV$4:$CV$40,MATCH(ROW()-3,$TH$4:$TH$40,0)))</f>
      </c>
      <c r="TJ24" t="str">
        <f>IF(COUNTIF('Final Calculation Sheet'!$AL24:$BC24,0)+COUNTIF('Final Calculation Sheet'!$BE24:$BS24,0)&gt;0,0,1)</f>
      </c>
      <c r="TK24" t="str">
        <f>IF($DA$24="",FALSE,SUMPRODUCT(('Final Calculation Sheet'!$S$4:$S$40=$DA$24)*($TJ$4:$TJ$40=1))&gt;0)</f>
      </c>
      <c r="TL24" t="str">
        <f>=$TL23+--($TK24)</f>
      </c>
      <c r="TM24" t="str">
        <f>IF(ROW()-3&gt;MAX($TL$4:$TL$40),"",INDEX($DA$4:$DA$40,MATCH(ROW()-3,$TL$4:$TL$40,0)))</f>
      </c>
      <c r="TN24" t="str">
        <f>IF(COUNTIF('Final Calculation Sheet'!$AL24:$BD24,0)+COUNTIF('Final Calculation Sheet'!$BF24:$BS24,0)&gt;0,0,1)</f>
      </c>
      <c r="TO24" t="str">
        <f>IF($DF$24="",FALSE,SUMPRODUCT(('Final Calculation Sheet'!$T$4:$T$40=$DF$24)*($TN$4:$TN$40=1))&gt;0)</f>
      </c>
      <c r="TP24" t="str">
        <f>=$TP23+--($TO24)</f>
      </c>
      <c r="TQ24" t="str">
        <f>IF(ROW()-3&gt;MAX($TP$4:$TP$40),"",INDEX($DF$4:$DF$40,MATCH(ROW()-3,$TP$4:$TP$40,0)))</f>
      </c>
      <c r="TR24" t="str">
        <f>IF(COUNTIF('Final Calculation Sheet'!$AL24:$BE24,0)+COUNTIF('Final Calculation Sheet'!$BG24:$BS24,0)&gt;0,0,1)</f>
      </c>
      <c r="TS24" t="str">
        <f>IF($DK$24="",FALSE,SUMPRODUCT(('Final Calculation Sheet'!$U$4:$U$40=$DK$24)*($TR$4:$TR$40=1))&gt;0)</f>
      </c>
      <c r="TT24" t="str">
        <f>=$TT23+--($TS24)</f>
      </c>
      <c r="TU24" t="str">
        <f>IF(ROW()-3&gt;MAX($TT$4:$TT$40),"",INDEX($DK$4:$DK$40,MATCH(ROW()-3,$TT$4:$TT$40,0)))</f>
      </c>
      <c r="TV24" t="str">
        <f>IF(COUNTIF('Final Calculation Sheet'!$AL24:$BF24,0)+COUNTIF('Final Calculation Sheet'!$BH24:$BS24,0)&gt;0,0,1)</f>
      </c>
      <c r="TW24" t="str">
        <f>IF($DP$24="",FALSE,SUMPRODUCT(('Final Calculation Sheet'!$V$4:$V$40=$DP$24)*($TV$4:$TV$40=1))&gt;0)</f>
      </c>
      <c r="TX24" t="str">
        <f>=$TX23+--($TW24)</f>
      </c>
      <c r="TY24" t="str">
        <f>IF(ROW()-3&gt;MAX($TX$4:$TX$40),"",INDEX($DP$4:$DP$40,MATCH(ROW()-3,$TX$4:$TX$40,0)))</f>
      </c>
      <c r="TZ24" t="str">
        <f>IF(COUNTIF('Final Calculation Sheet'!$AL24:$BG24,0)+COUNTIF('Final Calculation Sheet'!$BI24:$BS24,0)&gt;0,0,1)</f>
      </c>
      <c r="UA24" t="str">
        <f>IF($DU$24="",FALSE,SUMPRODUCT(('Final Calculation Sheet'!$W$4:$W$40=$DU$24)*($TZ$4:$TZ$40=1))&gt;0)</f>
      </c>
      <c r="UB24" t="str">
        <f>=$UB23+--($UA24)</f>
      </c>
      <c r="UC24" t="str">
        <f>IF(ROW()-3&gt;MAX($UB$4:$UB$40),"",INDEX($DU$4:$DU$40,MATCH(ROW()-3,$UB$4:$UB$40,0)))</f>
      </c>
      <c r="UD24" t="str">
        <f>IF(COUNTIF('Final Calculation Sheet'!$AL24:$BH24,0)+COUNTIF('Final Calculation Sheet'!$BJ24:$BS24,0)&gt;0,0,1)</f>
      </c>
      <c r="UE24" t="str">
        <f>IF($DZ$24="",FALSE,SUMPRODUCT(('Final Calculation Sheet'!$X$4:$X$40=$DZ$24)*($UD$4:$UD$40=1))&gt;0)</f>
      </c>
      <c r="UF24" t="str">
        <f>=$UF23+--($UE24)</f>
      </c>
      <c r="UG24" t="str">
        <f>IF(ROW()-3&gt;MAX($UF$4:$UF$40),"",INDEX($DZ$4:$DZ$40,MATCH(ROW()-3,$UF$4:$UF$40,0)))</f>
      </c>
      <c r="UH24" t="str">
        <f>IF(COUNTIF('Final Calculation Sheet'!$AL24:$BI24,0)+COUNTIF('Final Calculation Sheet'!$BK24:$BS24,0)&gt;0,0,1)</f>
      </c>
      <c r="UI24" t="str">
        <f>IF($EE$24="",FALSE,SUMPRODUCT(('Final Calculation Sheet'!$Y$4:$Y$40=$EE$24)*($UH$4:$UH$40=1))&gt;0)</f>
      </c>
      <c r="UJ24" t="str">
        <f>=$UJ23+--($UI24)</f>
      </c>
      <c r="UK24" t="str">
        <f>IF(ROW()-3&gt;MAX($UJ$4:$UJ$40),"",INDEX($EE$4:$EE$40,MATCH(ROW()-3,$UJ$4:$UJ$40,0)))</f>
      </c>
      <c r="UL24" t="str">
        <f>IF(COUNTIF('Final Calculation Sheet'!$AL24:$BJ24,0)+COUNTIF('Final Calculation Sheet'!$BL24:$BS24,0)&gt;0,0,1)</f>
      </c>
      <c r="UM24" t="str">
        <f>IF($EJ$24="",FALSE,SUMPRODUCT(('Final Calculation Sheet'!$Z$4:$Z$40=$EJ$24)*($UL$4:$UL$40=1))&gt;0)</f>
      </c>
      <c r="UN24" t="str">
        <f>=$UN23+--($UM24)</f>
      </c>
      <c r="UO24" t="str">
        <f>IF(ROW()-3&gt;MAX($UN$4:$UN$40),"",INDEX($EJ$4:$EJ$40,MATCH(ROW()-3,$UN$4:$UN$40,0)))</f>
      </c>
      <c r="UP24" t="str">
        <f>IF(COUNTIF('Final Calculation Sheet'!$AL24:$BK24,0)+COUNTIF('Final Calculation Sheet'!$BM24:$BS24,0)&gt;0,0,1)</f>
      </c>
      <c r="UQ24" t="str">
        <f>IF($EO$24="",FALSE,SUMPRODUCT(('Final Calculation Sheet'!$AA$4:$AA$40=$EO$24)*($UP$4:$UP$40=1))&gt;0)</f>
      </c>
      <c r="UR24" t="str">
        <f>=$UR23+--($UQ24)</f>
      </c>
      <c r="US24" t="str">
        <f>IF(ROW()-3&gt;MAX($UR$4:$UR$40),"",INDEX($EO$4:$EO$40,MATCH(ROW()-3,$UR$4:$UR$40,0)))</f>
      </c>
      <c r="UT24" t="str">
        <f>IF(COUNTIF('Final Calculation Sheet'!$AL24:$BL24,0)+COUNTIF('Final Calculation Sheet'!$BN24:$BS24,0)&gt;0,0,1)</f>
      </c>
      <c r="UU24" t="str">
        <f>IF($ET$24="",FALSE,SUMPRODUCT(('Final Calculation Sheet'!$AB$4:$AB$40=$ET$24)*($UT$4:$UT$40=1))&gt;0)</f>
      </c>
      <c r="UV24" t="str">
        <f>=$UV23+--($UU24)</f>
      </c>
      <c r="UW24" t="str">
        <f>IF(ROW()-3&gt;MAX($UV$4:$UV$40),"",INDEX($ET$4:$ET$40,MATCH(ROW()-3,$UV$4:$UV$40,0)))</f>
      </c>
      <c r="UX24" t="str">
        <f>IF(COUNTIF('Final Calculation Sheet'!$AL24:$BM24,0)+COUNTIF('Final Calculation Sheet'!$BO24:$BS24,0)&gt;0,0,1)</f>
      </c>
      <c r="UY24" t="str">
        <f>IF($EY$24="",FALSE,SUMPRODUCT(('Final Calculation Sheet'!$AC$4:$AC$40=$EY$24)*($UX$4:$UX$40=1))&gt;0)</f>
      </c>
      <c r="UZ24" t="str">
        <f>=$UZ23+--($UY24)</f>
      </c>
      <c r="VA24" t="str">
        <f>IF(ROW()-3&gt;MAX($UZ$4:$UZ$40),"",INDEX($EY$4:$EY$40,MATCH(ROW()-3,$UZ$4:$UZ$40,0)))</f>
      </c>
      <c r="VB24" t="str">
        <f>IF(COUNTIF('Final Calculation Sheet'!$AL24:$BN24,0)+COUNTIF('Final Calculation Sheet'!$BP24:$BS24,0)&gt;0,0,1)</f>
      </c>
      <c r="VC24" t="str">
        <f>IF($FD$24="",FALSE,SUMPRODUCT(('Final Calculation Sheet'!$AD$4:$AD$40=$FD$24)*($VB$4:$VB$40=1))&gt;0)</f>
      </c>
      <c r="VD24" t="str">
        <f>=$VD23+--($VC24)</f>
      </c>
      <c r="VE24" t="str">
        <f>IF(ROW()-3&gt;MAX($VD$4:$VD$40),"",INDEX($FD$4:$FD$40,MATCH(ROW()-3,$VD$4:$VD$40,0)))</f>
      </c>
      <c r="VF24" t="str">
        <f>IF(COUNTIF('Final Calculation Sheet'!$AL24:$BO24,0)+COUNTIF('Final Calculation Sheet'!$BQ24:$BS24,0)&gt;0,0,1)</f>
      </c>
      <c r="VG24" t="str">
        <f>IF($FI$24="",FALSE,SUMPRODUCT(('Final Calculation Sheet'!$AE$4:$AE$40=$FI$24)*($VF$4:$VF$40=1))&gt;0)</f>
      </c>
      <c r="VH24" t="str">
        <f>=$VH23+--($VG24)</f>
      </c>
      <c r="VI24" t="str">
        <f>IF(ROW()-3&gt;MAX($VH$4:$VH$40),"",INDEX($FI$4:$FI$40,MATCH(ROW()-3,$VH$4:$VH$40,0)))</f>
      </c>
      <c r="VJ24" t="str">
        <f>IF(COUNTIF('Final Calculation Sheet'!$AL24:$BP24,0)+COUNTIF('Final Calculation Sheet'!$BR24:$BS24,0)&gt;0,0,1)</f>
      </c>
      <c r="VK24" t="str">
        <f>IF($FN$24="",FALSE,SUMPRODUCT(('Final Calculation Sheet'!$AF$4:$AF$40=$FN$24)*($VJ$4:$VJ$40=1))&gt;0)</f>
      </c>
      <c r="VL24" t="str">
        <f>=$VL23+--($VK24)</f>
      </c>
      <c r="VM24" t="str">
        <f>IF(ROW()-3&gt;MAX($VL$4:$VL$40),"",INDEX($FN$4:$FN$40,MATCH(ROW()-3,$VL$4:$VL$40,0)))</f>
      </c>
      <c r="VN24" t="str">
        <f>IF(COUNTIF('Final Calculation Sheet'!$AL24:$BQ24,0)+COUNTIF('Final Calculation Sheet'!$BS24:$BS24,0)&gt;0,0,1)</f>
      </c>
      <c r="VO24" t="str">
        <f>IF($FS$24="",FALSE,SUMPRODUCT(('Final Calculation Sheet'!$AG$4:$AG$40=$FS$24)*($VN$4:$VN$40=1))&gt;0)</f>
      </c>
      <c r="VP24" t="str">
        <f>=$VP23+--($VO24)</f>
      </c>
      <c r="VQ24" t="str">
        <f>IF(ROW()-3&gt;MAX($VP$4:$VP$40),"",INDEX($FS$4:$FS$40,MATCH(ROW()-3,$VP$4:$VP$40,0)))</f>
      </c>
      <c r="VR24" t="str">
        <f>IF(COUNTIF('Final Calculation Sheet'!$AL24:$BR24,0)&gt;0,0,1)</f>
      </c>
      <c r="VS24" t="str">
        <f>IF($QO$24="",FALSE,SUMPRODUCT(('Final Calculation Sheet'!$AH$4:$AH$40=$QO$24)*($VR$4:$VR$40=1))&gt;0)</f>
      </c>
      <c r="VT24" t="str">
        <f>=$VT23+--($VS24)</f>
      </c>
      <c r="VU24" t="str">
        <f>IF(ROW()-3&gt;MAX($VT$4:$VT$40),"",INDEX($QO$4:$QO$40,MATCH(ROW()-3,$VT$4:$VT$40,0)))</f>
      </c>
    </row>
    <row r="25">
      <c r="A25">
        <f>IF('Final Calculation Sheet'!$F$25="","",'Final Calculation Sheet'!$F$25)</f>
        <v/>
      </c>
      <c r="B25">
        <f>IF(A25="","",COUNTIFS(A$4:A$114,"&lt;"&amp;A25,A$4:A$114,"&lt;&gt;"&amp;"")+COUNTIF(A$4:A25,A25))</f>
        <v/>
      </c>
      <c r="C25">
        <f>IF(ROW()-3&gt;COUNTIF(A$4:A$114,"&lt;&gt;"&amp;""),"",INDEX(A$4:A$114,MATCH(ROW()-3,B$4:B$114,0)))</f>
        <v/>
      </c>
      <c r="D25">
        <f>D24+IF(AND(C25&lt;&gt;"",COUNTIF(C$4:C25,C25)=1),1,0)</f>
        <v/>
      </c>
      <c r="E25">
        <f>IF(ROW()-3&gt;MAX(D$4:D$114),"",INDEX(C$4:C$114,MATCH(ROW()-3,D$4:D$114,0)))</f>
        <v/>
      </c>
      <c r="F25">
        <f>ROW()-3</f>
        <v/>
      </c>
      <c r="G25">
        <f>IF(F25="","",COUNTIFS(F$4:F$40,"&lt;"&amp;F25,F$4:F$40,"&lt;&gt;"&amp;"")+COUNTIF(F$4:F25,F25))</f>
        <v/>
      </c>
      <c r="H25">
        <f>IF(ROW()-3&gt;COUNTIF(F$4:F$40,"&lt;&gt;"&amp;""),"",INDEX(F$4:F$40,MATCH(ROW()-3,G$4:G$40,0)))</f>
        <v/>
      </c>
      <c r="I25">
        <f>I24+IF(AND(H25&lt;&gt;"",COUNTIF(H$4:H25,H25)=1),1,0)</f>
        <v/>
      </c>
      <c r="J25">
        <f>IF(ROW()-3&gt;MAX(I$4:I$40),"",INDEX(H$4:H$40,MATCH(ROW()-3,I$4:I$40,0)))</f>
        <v/>
      </c>
      <c r="K25">
        <f>IF('Final Calculation Sheet'!$F$25="","",'Final Calculation Sheet'!$F$25)</f>
        <v/>
      </c>
      <c r="L25">
        <f>IF(K25="","",COUNTIFS(K$4:K$40,"&lt;"&amp;K25,K$4:K$40,"&lt;&gt;"&amp;"")+COUNTIF(K$4:K25,K25))</f>
        <v/>
      </c>
      <c r="M25">
        <f>IF(ROW()-3&gt;COUNTIF(K$4:K$40,"&lt;&gt;"&amp;""),"",INDEX(K$4:K$40,MATCH(ROW()-3,L$4:L$40,0)))</f>
        <v/>
      </c>
      <c r="N25">
        <f>N24+IF(AND(M25&lt;&gt;"",COUNTIF(M$4:M25,M25)=1),1,0)</f>
        <v/>
      </c>
      <c r="O25">
        <f>IF(ROW()-3&gt;MAX(N$4:N$40),"",INDEX(M$4:M$40,MATCH(ROW()-3,N$4:N$40,0)))</f>
        <v/>
      </c>
      <c r="P25">
        <f>IF('Final Calculation Sheet'!$G$25="","",'Final Calculation Sheet'!$G$25)</f>
        <v/>
      </c>
      <c r="Q25">
        <f>IF(P25="","",COUNTIFS(P$4:P$40,"&lt;"&amp;P25,P$4:P$40,"&lt;&gt;"&amp;"")+COUNTIF(P$4:P25,P25))</f>
        <v/>
      </c>
      <c r="R25">
        <f>IF(ROW()-3&gt;COUNTIF(P$4:P$40,"&lt;&gt;"&amp;""),"",INDEX(P$4:P$40,MATCH(ROW()-3,Q$4:Q$40,0)))</f>
        <v/>
      </c>
      <c r="S25">
        <f>S24+IF(AND(R25&lt;&gt;"",COUNTIF(R$4:R25,R25)=1),1,0)</f>
        <v/>
      </c>
      <c r="T25">
        <f>IF(ROW()-3&gt;MAX(S$4:S$40),"",INDEX(R$4:R$40,MATCH(ROW()-3,S$4:S$40,0)))</f>
        <v/>
      </c>
      <c r="U25">
        <f>IF('Final Calculation Sheet'!$B$25="","",'Final Calculation Sheet'!$B$25)</f>
        <v/>
      </c>
      <c r="V25">
        <f>IF(U25="","",COUNTIFS(U$4:U$40,"&lt;"&amp;U25,U$4:U$40,"&lt;&gt;"&amp;"")+COUNTIF(U$4:U25,U25))</f>
        <v/>
      </c>
      <c r="W25">
        <f>IF(ROW()-3&gt;COUNTIF(U$4:U$40,"&lt;&gt;"&amp;""),"",INDEX(U$4:U$40,MATCH(ROW()-3,V$4:V$40,0)))</f>
        <v/>
      </c>
      <c r="X25">
        <f>X24+IF(AND(W25&lt;&gt;"",COUNTIF(W$4:W25,W25)=1),1,0)</f>
        <v/>
      </c>
      <c r="Y25">
        <f>IF(ROW()-3&gt;MAX(X$4:X$40),"",INDEX(W$4:W$40,MATCH(ROW()-3,X$4:X$40,0)))</f>
        <v/>
      </c>
      <c r="Z25">
        <f>IF('Final Calculation Sheet'!$D$25="","",'Final Calculation Sheet'!$D$25)</f>
        <v/>
      </c>
      <c r="AA25">
        <f>IF(Z25="","",COUNTIFS(Z$4:Z$40,"&lt;"&amp;Z25,Z$4:Z$40,"&lt;&gt;"&amp;"")+COUNTIF(Z$4:Z25,Z25))</f>
        <v/>
      </c>
      <c r="AB25">
        <f>IF(ROW()-3&gt;COUNTIF(Z$4:Z$40,"&lt;&gt;"&amp;""),"",INDEX(Z$4:Z$40,MATCH(ROW()-3,AA$4:AA$40,0)))</f>
        <v/>
      </c>
      <c r="AC25">
        <f>AC24+IF(AND(AB25&lt;&gt;"",COUNTIF(AB$4:AB25,AB25)=1),1,0)</f>
        <v/>
      </c>
      <c r="AD25">
        <f>IF(ROW()-3&gt;MAX(AC$4:AC$40),"",INDEX(AB$4:AB$40,MATCH(ROW()-3,AC$4:AC$40,0)))</f>
        <v/>
      </c>
      <c r="AE25">
        <f>IF('Final Calculation Sheet'!$A$25="","",'Final Calculation Sheet'!$A$25)</f>
        <v/>
      </c>
      <c r="AF25">
        <f>IF(AE25="","",COUNTIFS(AE$4:AE$40,"&lt;"&amp;AE25,AE$4:AE$40,"&lt;&gt;"&amp;"")+COUNTIF(AE$4:AE25,AE25))</f>
        <v/>
      </c>
      <c r="AG25">
        <f>IF(ROW()-3&gt;COUNTIF(AE$4:AE$40,"&lt;&gt;"&amp;""),"",INDEX(AE$4:AE$40,MATCH(ROW()-3,AF$4:AF$40,0)))</f>
        <v/>
      </c>
      <c r="AH25">
        <f>AH24+IF(AND(AG25&lt;&gt;"",COUNTIF(AG$4:AG25,AG25)=1),1,0)</f>
        <v/>
      </c>
      <c r="AI25">
        <f>IF(ROW()-3&gt;MAX(AH$4:AH$40),"",INDEX(AG$4:AG$40,MATCH(ROW()-3,AH$4:AH$40,0)))</f>
        <v/>
      </c>
      <c r="AJ25">
        <f>IF('Final Calculation Sheet'!$E$25="","",'Final Calculation Sheet'!$E$25)</f>
        <v/>
      </c>
      <c r="AK25">
        <f>IF(AJ25="","",COUNTIFS(AJ$4:AJ$40,"&lt;"&amp;AJ25,AJ$4:AJ$40,"&lt;&gt;"&amp;"")+COUNTIF(AJ$4:AJ25,AJ25))</f>
        <v/>
      </c>
      <c r="AL25">
        <f>IF(ROW()-3&gt;COUNTIF(AJ$4:AJ$40,"&lt;&gt;"&amp;""),"",INDEX(AJ$4:AJ$40,MATCH(ROW()-3,AK$4:AK$40,0)))</f>
        <v/>
      </c>
      <c r="AM25">
        <f>AM24+IF(AND(AL25&lt;&gt;"",COUNTIF(AL$4:AL25,AL25)=1),1,0)</f>
        <v/>
      </c>
      <c r="AN25">
        <f>IF(ROW()-3&gt;MAX(AM$4:AM$40),"",INDEX(AL$4:AL$40,MATCH(ROW()-3,AM$4:AM$40,0)))</f>
        <v/>
      </c>
      <c r="AO25" s="55">
        <f>IF('Final Calculation Sheet'!$C$25="","",'Final Calculation Sheet'!$C$25)</f>
        <v/>
      </c>
      <c r="AP25">
        <f>IF(AO25="","",COUNTIFS(AO$4:AO$40,"&lt;"&amp;AO25,AO$4:AO$40,"&lt;&gt;"&amp;"")+COUNTIF(AO$4:AO25,AO25))</f>
        <v/>
      </c>
      <c r="AQ25" s="55">
        <f>IF(ROW()-3&gt;COUNTIF(AO$4:AO$40,"&lt;&gt;"&amp;""),"",INDEX(AO$4:AO$40,MATCH(ROW()-3,AP$4:AP$40,0)))</f>
        <v/>
      </c>
      <c r="AR25">
        <f>AR24+IF(AND(AQ25&lt;&gt;"",COUNTIF(AQ$4:AQ25,AQ25)=1),1,0)</f>
        <v/>
      </c>
      <c r="AS25" s="55">
        <f>IF(ROW()-3&gt;MAX(AR$4:AR$40),"",INDEX(AQ$4:AQ$40,MATCH(ROW()-3,AR$4:AR$40,0)))</f>
        <v/>
      </c>
      <c r="AT25" s="55">
        <f>IF('Final Calculation Sheet'!$H$25="","",'Final Calculation Sheet'!$H$25)</f>
        <v/>
      </c>
      <c r="AU25">
        <f>IF(AT25="","",COUNTIFS(AT$4:AT$40,"&lt;"&amp;AT25,AT$4:AT$40,"&lt;&gt;"&amp;"")+COUNTIF(AT$4:AT25,AT25))</f>
        <v/>
      </c>
      <c r="AV25" s="55">
        <f>IF(ROW()-3&gt;COUNTIF(AT$4:AT$40,"&lt;&gt;"&amp;""),"",INDEX(AT$4:AT$40,MATCH(ROW()-3,AU$4:AU$40,0)))</f>
        <v/>
      </c>
      <c r="AW25">
        <f>AW24+IF(AND(AV25&lt;&gt;"",COUNTIF(AV$4:AV25,AV25)=1),1,0)</f>
        <v/>
      </c>
      <c r="AX25" s="55">
        <f>IF(ROW()-3&gt;MAX(AW$4:AW$40),"",INDEX(AV$4:AV$40,MATCH(ROW()-3,AW$4:AW$40,0)))</f>
        <v/>
      </c>
      <c r="AY25" s="55">
        <f>IF('Final Calculation Sheet'!$I$25="","",'Final Calculation Sheet'!$I$25)</f>
        <v/>
      </c>
      <c r="AZ25">
        <f>IF(AY25="","",COUNTIFS(AY$4:AY$40,"&lt;"&amp;AY25,AY$4:AY$40,"&lt;&gt;"&amp;"")+COUNTIF(AY$4:AY25,AY25))</f>
        <v/>
      </c>
      <c r="BA25" s="55">
        <f>IF(ROW()-3&gt;COUNTIF(AY$4:AY$40,"&lt;&gt;"&amp;""),"",INDEX(AY$4:AY$40,MATCH(ROW()-3,AZ$4:AZ$40,0)))</f>
        <v/>
      </c>
      <c r="BB25">
        <f>BB24+IF(AND(BA25&lt;&gt;"",COUNTIF(BA$4:BA25,BA25)=1),1,0)</f>
        <v/>
      </c>
      <c r="BC25" s="55">
        <f>IF(ROW()-3&gt;MAX(BB$4:BB$40),"",INDEX(BA$4:BA$40,MATCH(ROW()-3,BB$4:BB$40,0)))</f>
        <v/>
      </c>
      <c r="BD25" s="55">
        <f>IF('Final Calculation Sheet'!$J$25="","",'Final Calculation Sheet'!$J$25)</f>
        <v/>
      </c>
      <c r="BE25">
        <f>IF(BD25="","",COUNTIFS(BD$4:BD$40,"&lt;"&amp;BD25,BD$4:BD$40,"&lt;&gt;"&amp;"")+COUNTIF(BD$4:BD25,BD25))</f>
        <v/>
      </c>
      <c r="BF25" s="55">
        <f>IF(ROW()-3&gt;COUNTIF(BD$4:BD$40,"&lt;&gt;"&amp;""),"",INDEX(BD$4:BD$40,MATCH(ROW()-3,BE$4:BE$40,0)))</f>
        <v/>
      </c>
      <c r="BG25">
        <f>BG24+IF(AND(BF25&lt;&gt;"",COUNTIF(BF$4:BF25,BF25)=1),1,0)</f>
        <v/>
      </c>
      <c r="BH25" s="55">
        <f>IF(ROW()-3&gt;MAX(BG$4:BG$40),"",INDEX(BF$4:BF$40,MATCH(ROW()-3,BG$4:BG$40,0)))</f>
        <v/>
      </c>
      <c r="BI25" s="55">
        <f>IF('Final Calculation Sheet'!$K$25="","",'Final Calculation Sheet'!$K$25)</f>
        <v/>
      </c>
      <c r="BJ25">
        <f>IF(BI25="","",COUNTIFS(BI$4:BI$40,"&lt;"&amp;BI25,BI$4:BI$40,"&lt;&gt;"&amp;"")+COUNTIF(BI$4:BI25,BI25))</f>
        <v/>
      </c>
      <c r="BK25" s="55">
        <f>IF(ROW()-3&gt;COUNTIF(BI$4:BI$40,"&lt;&gt;"&amp;""),"",INDEX(BI$4:BI$40,MATCH(ROW()-3,BJ$4:BJ$40,0)))</f>
        <v/>
      </c>
      <c r="BL25">
        <f>BL24+IF(AND(BK25&lt;&gt;"",COUNTIF(BK$4:BK25,BK25)=1),1,0)</f>
        <v/>
      </c>
      <c r="BM25" s="55">
        <f>IF(ROW()-3&gt;MAX(BL$4:BL$40),"",INDEX(BK$4:BK$40,MATCH(ROW()-3,BL$4:BL$40,0)))</f>
        <v/>
      </c>
      <c r="BN25" s="55">
        <f>IF('Final Calculation Sheet'!$L$25="","",'Final Calculation Sheet'!$L$25)</f>
        <v/>
      </c>
      <c r="BO25">
        <f>IF(BN25="","",COUNTIFS(BN$4:BN$40,"&lt;"&amp;BN25,BN$4:BN$40,"&lt;&gt;"&amp;"")+COUNTIF(BN$4:BN25,BN25))</f>
        <v/>
      </c>
      <c r="BP25" s="55">
        <f>IF(ROW()-3&gt;COUNTIF(BN$4:BN$40,"&lt;&gt;"&amp;""),"",INDEX(BN$4:BN$40,MATCH(ROW()-3,BO$4:BO$40,0)))</f>
        <v/>
      </c>
      <c r="BQ25">
        <f>BQ24+IF(AND(BP25&lt;&gt;"",COUNTIF(BP$4:BP25,BP25)=1),1,0)</f>
        <v/>
      </c>
      <c r="BR25" s="55">
        <f>IF(ROW()-3&gt;MAX(BQ$4:BQ$40),"",INDEX(BP$4:BP$40,MATCH(ROW()-3,BQ$4:BQ$40,0)))</f>
        <v/>
      </c>
      <c r="BS25" s="55">
        <f>IF('Final Calculation Sheet'!$M$25="","",'Final Calculation Sheet'!$M$25)</f>
        <v/>
      </c>
      <c r="BT25">
        <f>IF(BS25="","",COUNTIFS(BS$4:BS$40,"&lt;"&amp;BS25,BS$4:BS$40,"&lt;&gt;"&amp;"")+COUNTIF(BS$4:BS25,BS25))</f>
        <v/>
      </c>
      <c r="BU25" s="55">
        <f>IF(ROW()-3&gt;COUNTIF(BS$4:BS$40,"&lt;&gt;"&amp;""),"",INDEX(BS$4:BS$40,MATCH(ROW()-3,BT$4:BT$40,0)))</f>
        <v/>
      </c>
      <c r="BV25">
        <f>BV24+IF(AND(BU25&lt;&gt;"",COUNTIF(BU$4:BU25,BU25)=1),1,0)</f>
        <v/>
      </c>
      <c r="BW25" s="55">
        <f>IF(ROW()-3&gt;MAX(BV$4:BV$40),"",INDEX(BU$4:BU$40,MATCH(ROW()-3,BV$4:BV$40,0)))</f>
        <v/>
      </c>
      <c r="BX25" s="138">
        <f>IF('Final Calculation Sheet'!$N$25="","",'Final Calculation Sheet'!$N$25)</f>
        <v/>
      </c>
      <c r="BY25">
        <f>IF(BX25="","",COUNTIFS(BX$4:BX$40,"&lt;"&amp;BX25,BX$4:BX$40,"&lt;&gt;"&amp;"")+COUNTIF(BX$4:BX25,BX25))</f>
        <v/>
      </c>
      <c r="BZ25" s="138">
        <f>IF(ROW()-3&gt;COUNTIF(BX$4:BX$40,"&lt;&gt;"&amp;""),"",INDEX(BX$4:BX$40,MATCH(ROW()-3,BY$4:BY$40,0)))</f>
        <v/>
      </c>
      <c r="CA25">
        <f>CA24+IF(AND(BZ25&lt;&gt;"",COUNTIF(BZ$4:BZ25,BZ25)=1),1,0)</f>
        <v/>
      </c>
      <c r="CB25" s="138">
        <f>IF(ROW()-3&gt;MAX(CA$4:CA$40),"",INDEX(BZ$4:BZ$40,MATCH(ROW()-3,CA$4:CA$40,0)))</f>
        <v/>
      </c>
      <c r="CC25" s="55">
        <f>IF('Final Calculation Sheet'!$O$25="","",'Final Calculation Sheet'!$O$25)</f>
        <v/>
      </c>
      <c r="CD25">
        <f>IF(CC25="","",COUNTIFS(CC$4:CC$40,"&lt;"&amp;CC25,CC$4:CC$40,"&lt;&gt;"&amp;"")+COUNTIF(CC$4:CC25,CC25))</f>
        <v/>
      </c>
      <c r="CE25" s="55">
        <f>IF(ROW()-3&gt;COUNTIF(CC$4:CC$40,"&lt;&gt;"&amp;""),"",INDEX(CC$4:CC$40,MATCH(ROW()-3,CD$4:CD$40,0)))</f>
        <v/>
      </c>
      <c r="CF25">
        <f>CF24+IF(AND(CE25&lt;&gt;"",COUNTIF(CE$4:CE25,CE25)=1),1,0)</f>
        <v/>
      </c>
      <c r="CG25" s="55">
        <f>IF(ROW()-3&gt;MAX(CF$4:CF$40),"",INDEX(CE$4:CE$40,MATCH(ROW()-3,CF$4:CF$40,0)))</f>
        <v/>
      </c>
      <c r="CH25" s="55">
        <f>IF('Final Calculation Sheet'!$P$25="","",'Final Calculation Sheet'!$P$25)</f>
        <v/>
      </c>
      <c r="CI25">
        <f>IF(CH25="","",COUNTIFS(CH$4:CH$40,"&lt;"&amp;CH25,CH$4:CH$40,"&lt;&gt;"&amp;"")+COUNTIF(CH$4:CH25,CH25))</f>
        <v/>
      </c>
      <c r="CJ25" s="55">
        <f>IF(ROW()-3&gt;COUNTIF(CH$4:CH$40,"&lt;&gt;"&amp;""),"",INDEX(CH$4:CH$40,MATCH(ROW()-3,CI$4:CI$40,0)))</f>
        <v/>
      </c>
      <c r="CK25">
        <f>CK24+IF(AND(CJ25&lt;&gt;"",COUNTIF(CJ$4:CJ25,CJ25)=1),1,0)</f>
        <v/>
      </c>
      <c r="CL25" s="55">
        <f>IF(ROW()-3&gt;MAX(CK$4:CK$40),"",INDEX(CJ$4:CJ$40,MATCH(ROW()-3,CK$4:CK$40,0)))</f>
        <v/>
      </c>
      <c r="CM25" s="139">
        <f>IF('Final Calculation Sheet'!$Q$25="","",'Final Calculation Sheet'!$Q$25)</f>
        <v/>
      </c>
      <c r="CN25">
        <f>IF(CM25="","",COUNTIFS(CM$4:CM$40,"&lt;"&amp;CM25,CM$4:CM$40,"&lt;&gt;"&amp;"")+COUNTIF(CM$4:CM25,CM25))</f>
        <v/>
      </c>
      <c r="CO25" s="139">
        <f>IF(ROW()-3&gt;COUNTIF(CM$4:CM$40,"&lt;&gt;"&amp;""),"",INDEX(CM$4:CM$40,MATCH(ROW()-3,CN$4:CN$40,0)))</f>
        <v/>
      </c>
      <c r="CP25">
        <f>CP24+IF(AND(CO25&lt;&gt;"",COUNTIF(CO$4:CO25,CO25)=1),1,0)</f>
        <v/>
      </c>
      <c r="CQ25">
        <f>IF(ROW()-3&gt;MAX(CP$4:CP$40),"",INDEX(CO$4:CO$40,MATCH(ROW()-3,CP$4:CP$40,0)))</f>
        <v/>
      </c>
      <c r="CR25" s="55">
        <f>IF('Final Calculation Sheet'!$R$25="","",'Final Calculation Sheet'!$R$25)</f>
        <v/>
      </c>
      <c r="CS25">
        <f>IF(CR25="","",COUNTIFS(CR$4:CR$40,"&lt;"&amp;CR25,CR$4:CR$40,"&lt;&gt;"&amp;"")+COUNTIF(CR$4:CR25,CR25))</f>
        <v/>
      </c>
      <c r="CT25" s="55">
        <f>IF(ROW()-3&gt;COUNTIF(CR$4:CR$40,"&lt;&gt;"&amp;""),"",INDEX(CR$4:CR$40,MATCH(ROW()-3,CS$4:CS$40,0)))</f>
        <v/>
      </c>
      <c r="CU25">
        <f>CU24+IF(AND(CT25&lt;&gt;"",COUNTIF(CT$4:CT25,CT25)=1),1,0)</f>
        <v/>
      </c>
      <c r="CV25">
        <f>IF(ROW()-3&gt;MAX(CU$4:CU$40),"",INDEX(CT$4:CT$40,MATCH(ROW()-3,CU$4:CU$40,0)))</f>
        <v/>
      </c>
      <c r="CW25" s="55">
        <f>IF('Final Calculation Sheet'!$S$25="","",'Final Calculation Sheet'!$S$25)</f>
        <v/>
      </c>
      <c r="CX25">
        <f>IF(CW25="","",COUNTIFS(CW$4:CW$40,"&lt;"&amp;CW25,CW$4:CW$40,"&lt;&gt;"&amp;"")+COUNTIF(CW$4:CW25,CW25))</f>
        <v/>
      </c>
      <c r="CY25" s="55">
        <f>IF(ROW()-3&gt;COUNTIF(CW$4:CW$40,"&lt;&gt;"&amp;""),"",INDEX(CW$4:CW$40,MATCH(ROW()-3,CX$4:CX$40,0)))</f>
        <v/>
      </c>
      <c r="CZ25">
        <f>CZ24+IF(AND(CY25&lt;&gt;"",COUNTIF(CY$4:CY25,CY25)=1),1,0)</f>
        <v/>
      </c>
      <c r="DA25" s="55">
        <f>IF(ROW()-3&gt;MAX(CZ$4:CZ$40),"",INDEX(CY$4:CY$40,MATCH(ROW()-3,CZ$4:CZ$40,0)))</f>
        <v/>
      </c>
      <c r="DB25" s="55">
        <f>IF('Final Calculation Sheet'!$T$25="","",'Final Calculation Sheet'!$T$25)</f>
        <v/>
      </c>
      <c r="DC25">
        <f>IF(DB25="","",COUNTIFS(DB$4:DB$40,"&lt;"&amp;DB25,DB$4:DB$40,"&lt;&gt;"&amp;"")+COUNTIF(DB$4:DB25,DB25))</f>
        <v/>
      </c>
      <c r="DD25" s="55">
        <f>IF(ROW()-3&gt;COUNTIF(DB$4:DB$40,"&lt;&gt;"&amp;""),"",INDEX(DB$4:DB$40,MATCH(ROW()-3,DC$4:DC$40,0)))</f>
        <v/>
      </c>
      <c r="DE25">
        <f>DE24+IF(AND(DD25&lt;&gt;"",COUNTIF(DD$4:DD25,DD25)=1),1,0)</f>
        <v/>
      </c>
      <c r="DF25" s="55">
        <f>IF(ROW()-3&gt;MAX(DE$4:DE$40),"",INDEX(DD$4:DD$40,MATCH(ROW()-3,DE$4:DE$40,0)))</f>
        <v/>
      </c>
      <c r="DG25" s="140">
        <f>IF('Final Calculation Sheet'!$U$25="","",'Final Calculation Sheet'!$U$25)</f>
        <v/>
      </c>
      <c r="DH25">
        <f>IF(DG25="","",COUNTIFS(DG$4:DG$40,"&lt;"&amp;DG25,DG$4:DG$40,"&lt;&gt;"&amp;"")+COUNTIF(DG$4:DG25,DG25))</f>
        <v/>
      </c>
      <c r="DI25" s="140">
        <f>IF(ROW()-3&gt;COUNTIF(DG$4:DG$40,"&lt;&gt;"&amp;""),"",INDEX(DG$4:DG$40,MATCH(ROW()-3,DH$4:DH$40,0)))</f>
        <v/>
      </c>
      <c r="DJ25">
        <f>DJ24+IF(AND(DI25&lt;&gt;"",COUNTIF(DI$4:DI25,DI25)=1),1,0)</f>
        <v/>
      </c>
      <c r="DK25" s="140">
        <f>IF(ROW()-3&gt;MAX(DJ$4:DJ$40),"",INDEX(DI$4:DI$40,MATCH(ROW()-3,DJ$4:DJ$40,0)))</f>
        <v/>
      </c>
      <c r="DL25">
        <f>IF('Final Calculation Sheet'!$V$25="","",'Final Calculation Sheet'!$V$25)</f>
        <v/>
      </c>
      <c r="DM25">
        <f>IF(DL25="","",COUNTIFS(DL$4:DL$40,"&lt;"&amp;DL25,DL$4:DL$40,"&lt;&gt;"&amp;"")+COUNTIF(DL$4:DL25,DL25))</f>
        <v/>
      </c>
      <c r="DN25">
        <f>IF(ROW()-3&gt;COUNTIF(DL$4:DL$40,"&lt;&gt;"&amp;""),"",INDEX(DL$4:DL$40,MATCH(ROW()-3,DM$4:DM$40,0)))</f>
        <v/>
      </c>
      <c r="DO25">
        <f>DO24+IF(AND(DN25&lt;&gt;"",COUNTIF(DN$4:DN25,DN25)=1),1,0)</f>
        <v/>
      </c>
      <c r="DP25">
        <f>IF(ROW()-3&gt;MAX(DO$4:DO$40),"",INDEX(DN$4:DN$40,MATCH(ROW()-3,DO$4:DO$40,0)))</f>
        <v/>
      </c>
      <c r="DQ25" s="55">
        <f>IF('Final Calculation Sheet'!$W$25="","",'Final Calculation Sheet'!$W$25)</f>
        <v/>
      </c>
      <c r="DR25">
        <f>IF(DQ25="","",COUNTIFS(DQ$4:DQ$40,"&lt;"&amp;DQ25,DQ$4:DQ$40,"&lt;&gt;"&amp;"")+COUNTIF(DQ$4:DQ25,DQ25))</f>
        <v/>
      </c>
      <c r="DS25" s="55">
        <f>IF(ROW()-3&gt;COUNTIF(DQ$4:DQ$40,"&lt;&gt;"&amp;""),"",INDEX(DQ$4:DQ$40,MATCH(ROW()-3,DR$4:DR$40,0)))</f>
        <v/>
      </c>
      <c r="DT25">
        <f>DT24+IF(AND(DS25&lt;&gt;"",COUNTIF(DS$4:DS25,DS25)=1),1,0)</f>
        <v/>
      </c>
      <c r="DU25" s="55">
        <f>IF(ROW()-3&gt;MAX(DT$4:DT$40),"",INDEX(DS$4:DS$40,MATCH(ROW()-3,DT$4:DT$40,0)))</f>
        <v/>
      </c>
      <c r="DV25" s="55">
        <f>IF('Final Calculation Sheet'!$X$25="","",'Final Calculation Sheet'!$X$25)</f>
        <v/>
      </c>
      <c r="DW25">
        <f>IF(DV25="","",COUNTIFS(DV$4:DV$40,"&lt;"&amp;DV25,DV$4:DV$40,"&lt;&gt;"&amp;"")+COUNTIF(DV$4:DV25,DV25))</f>
        <v/>
      </c>
      <c r="DX25" s="55">
        <f>IF(ROW()-3&gt;COUNTIF(DV$4:DV$40,"&lt;&gt;"&amp;""),"",INDEX(DV$4:DV$40,MATCH(ROW()-3,DW$4:DW$40,0)))</f>
        <v/>
      </c>
      <c r="DY25">
        <f>DY24+IF(AND(DX25&lt;&gt;"",COUNTIF(DX$4:DX25,DX25)=1),1,0)</f>
        <v/>
      </c>
      <c r="DZ25">
        <f>IF(ROW()-3&gt;MAX(DY$4:DY$40),"",INDEX(DX$4:DX$40,MATCH(ROW()-3,DY$4:DY$40,0)))</f>
        <v/>
      </c>
      <c r="EA25">
        <f>IF('Final Calculation Sheet'!$Y$25="","",'Final Calculation Sheet'!$Y$25)</f>
        <v/>
      </c>
      <c r="EB25">
        <f>IF(EA25="","",COUNTIFS(EA$4:EA$40,"&lt;"&amp;EA25,EA$4:EA$40,"&lt;&gt;"&amp;"")+COUNTIF(EA$4:EA25,EA25))</f>
        <v/>
      </c>
      <c r="EC25">
        <f>IF(ROW()-3&gt;COUNTIF(EA$4:EA$40,"&lt;&gt;"&amp;""),"",INDEX(EA$4:EA$40,MATCH(ROW()-3,EB$4:EB$40,0)))</f>
        <v/>
      </c>
      <c r="ED25">
        <f>ED24+IF(AND(EC25&lt;&gt;"",COUNTIF(EC$4:EC25,EC25)=1),1,0)</f>
        <v/>
      </c>
      <c r="EE25">
        <f>IF(ROW()-3&gt;MAX(ED$4:ED$40),"",INDEX(EC$4:EC$40,MATCH(ROW()-3,ED$4:ED$40,0)))</f>
        <v/>
      </c>
      <c r="EF25" s="55">
        <f>IF('Final Calculation Sheet'!$Z$25="","",'Final Calculation Sheet'!$Z$25)</f>
        <v/>
      </c>
      <c r="EG25">
        <f>IF(EF25="","",COUNTIFS(EF$4:EF$40,"&lt;"&amp;EF25,EF$4:EF$40,"&lt;&gt;"&amp;"")+COUNTIF(EF$4:EF25,EF25))</f>
        <v/>
      </c>
      <c r="EH25" s="55">
        <f>IF(ROW()-3&gt;COUNTIF(EF$4:EF$40,"&lt;&gt;"&amp;""),"",INDEX(EF$4:EF$40,MATCH(ROW()-3,EG$4:EG$40,0)))</f>
        <v/>
      </c>
      <c r="EI25">
        <f>EI24+IF(AND(EH25&lt;&gt;"",COUNTIF(EH$4:EH25,EH25)=1),1,0)</f>
        <v/>
      </c>
      <c r="EJ25">
        <f>IF(ROW()-3&gt;MAX(EI$4:EI$40),"",INDEX(EH$4:EH$40,MATCH(ROW()-3,EI$4:EI$40,0)))</f>
        <v/>
      </c>
      <c r="EK25">
        <f>IF('Final Calculation Sheet'!$AA$25="","",'Final Calculation Sheet'!$AA$25)</f>
        <v/>
      </c>
      <c r="EL25">
        <f>IF(EK25="","",COUNTIFS(EK$4:EK$40,"&lt;"&amp;EK25,EK$4:EK$40,"&lt;&gt;"&amp;"")+COUNTIF(EK$4:EK25,EK25))</f>
        <v/>
      </c>
      <c r="EM25">
        <f>IF(ROW()-3&gt;COUNTIF(EK$4:EK$40,"&lt;&gt;"&amp;""),"",INDEX(EK$4:EK$40,MATCH(ROW()-3,EL$4:EL$40,0)))</f>
        <v/>
      </c>
      <c r="EN25">
        <f>EN24+IF(AND(EM25&lt;&gt;"",COUNTIF(EM$4:EM25,EM25)=1),1,0)</f>
        <v/>
      </c>
      <c r="EO25">
        <f>IF(ROW()-3&gt;MAX(EN$4:EN$40),"",INDEX(EM$4:EM$40,MATCH(ROW()-3,EN$4:EN$40,0)))</f>
        <v/>
      </c>
      <c r="EP25">
        <f>IF('Final Calculation Sheet'!$AB$25="","",'Final Calculation Sheet'!$AB$25)</f>
        <v/>
      </c>
      <c r="EQ25">
        <f>IF(EP25="","",COUNTIFS(EP$4:EP$40,"&lt;"&amp;EP25,EP$4:EP$40,"&lt;&gt;"&amp;"")+COUNTIF(EP$4:EP25,EP25))</f>
        <v/>
      </c>
      <c r="ER25">
        <f>IF(ROW()-3&gt;COUNTIF(EP$4:EP$40,"&lt;&gt;"&amp;""),"",INDEX(EP$4:EP$40,MATCH(ROW()-3,EQ$4:EQ$40,0)))</f>
        <v/>
      </c>
      <c r="ES25">
        <f>ES24+IF(AND(ER25&lt;&gt;"",COUNTIF(ER$4:ER25,ER25)=1),1,0)</f>
        <v/>
      </c>
      <c r="ET25">
        <f>IF(ROW()-3&gt;MAX(ES$4:ES$40),"",INDEX(ER$4:ER$40,MATCH(ROW()-3,ES$4:ES$40,0)))</f>
        <v/>
      </c>
      <c r="EU25" s="55">
        <f>IF('Final Calculation Sheet'!$AC$25="","",'Final Calculation Sheet'!$AC$25)</f>
        <v/>
      </c>
      <c r="EV25">
        <f>IF(EU25="","",COUNTIFS(EU$4:EU$40,"&lt;"&amp;EU25,EU$4:EU$40,"&lt;&gt;"&amp;"")+COUNTIF(EU$4:EU25,EU25))</f>
        <v/>
      </c>
      <c r="EW25" s="55">
        <f>IF(ROW()-3&gt;COUNTIF(EU$4:EU$40,"&lt;&gt;"&amp;""),"",INDEX(EU$4:EU$40,MATCH(ROW()-3,EV$4:EV$40,0)))</f>
        <v/>
      </c>
      <c r="EX25">
        <f>EX24+IF(AND(EW25&lt;&gt;"",COUNTIF(EW$4:EW25,EW25)=1),1,0)</f>
        <v/>
      </c>
      <c r="EY25" s="55">
        <f>IF(ROW()-3&gt;MAX(EX$4:EX$40),"",INDEX(EW$4:EW$40,MATCH(ROW()-3,EX$4:EX$40,0)))</f>
        <v/>
      </c>
      <c r="EZ25" s="55">
        <f>IF('Final Calculation Sheet'!$AD$25="","",'Final Calculation Sheet'!$AD$25)</f>
        <v/>
      </c>
      <c r="FA25">
        <f>IF(EZ25="","",COUNTIFS(EZ$4:EZ$40,"&lt;"&amp;EZ25,EZ$4:EZ$40,"&lt;&gt;"&amp;"")+COUNTIF(EZ$4:EZ25,EZ25))</f>
        <v/>
      </c>
      <c r="FB25" s="55">
        <f>IF(ROW()-3&gt;COUNTIF(EZ$4:EZ$40,"&lt;&gt;"&amp;""),"",INDEX(EZ$4:EZ$40,MATCH(ROW()-3,FA$4:FA$40,0)))</f>
        <v/>
      </c>
      <c r="FC25">
        <f>FC24+IF(AND(FB25&lt;&gt;"",COUNTIF(FB$4:FB25,FB25)=1),1,0)</f>
        <v/>
      </c>
      <c r="FD25">
        <f>IF(ROW()-3&gt;MAX(FC$4:FC$40),"",INDEX(FB$4:FB$40,MATCH(ROW()-3,FC$4:FC$40,0)))</f>
        <v/>
      </c>
      <c r="FE25">
        <f>IF('Final Calculation Sheet'!$AF$25="","",'Final Calculation Sheet'!$AF$25)</f>
        <v/>
      </c>
      <c r="FF25">
        <f>IF(FE25="","",COUNTIFS(FE$4:FE$40,"&lt;"&amp;FE25,FE$4:FE$40,"&lt;&gt;"&amp;"")+COUNTIF(FE$4:FE25,FE25))</f>
        <v/>
      </c>
      <c r="FG25">
        <f>IF(ROW()-3&gt;COUNTIF(FE$4:FE$40,"&lt;&gt;"&amp;""),"",INDEX(FE$4:FE$40,MATCH(ROW()-3,FF$4:FF$40,0)))</f>
        <v/>
      </c>
      <c r="FH25">
        <f>FH24+IF(AND(FG25&lt;&gt;"",COUNTIF(FG$4:FG25,FG25)=1),1,0)</f>
        <v/>
      </c>
      <c r="FI25">
        <f>IF(ROW()-3&gt;MAX(FH$4:FH$40),"",INDEX(FG$4:FG$40,MATCH(ROW()-3,FH$4:FH$40,0)))</f>
        <v/>
      </c>
      <c r="FJ25" s="141">
        <f>IF('Final Calculation Sheet'!$AG$25="","",'Final Calculation Sheet'!$AG$25)</f>
        <v/>
      </c>
      <c r="FK25">
        <f>IF(FJ25="","",COUNTIFS(FJ$4:FJ$40,"&lt;"&amp;FJ25,FJ$4:FJ$40,"&lt;&gt;"&amp;"")+COUNTIF(FJ$4:FJ25,FJ25))</f>
        <v/>
      </c>
      <c r="FL25" s="141">
        <f>IF(ROW()-3&gt;COUNTIF(FJ$4:FJ$40,"&lt;&gt;"&amp;""),"",INDEX(FJ$4:FJ$40,MATCH(ROW()-3,FK$4:FK$40,0)))</f>
        <v/>
      </c>
      <c r="FM25">
        <f>FM24+IF(AND(FL25&lt;&gt;"",COUNTIF(FL$4:FL25,FL25)=1),1,0)</f>
        <v/>
      </c>
      <c r="FN25">
        <f>IF(ROW()-3&gt;MAX(FM$4:FM$40),"",INDEX(FL$4:FL$40,MATCH(ROW()-3,FM$4:FM$40,0)))</f>
        <v/>
      </c>
      <c r="FO25">
        <f>IF('Final Calculation Sheet'!$AH$25="","",'Final Calculation Sheet'!$AH$25)</f>
        <v/>
      </c>
      <c r="FP25">
        <f>IF(FO25="","",COUNTIFS(FO$4:FO$40,"&lt;"&amp;FO25,FO$4:FO$40,"&lt;&gt;"&amp;"")+COUNTIF(FO$4:FO25,FO25))</f>
        <v/>
      </c>
      <c r="FQ25">
        <f>IF(ROW()-3&gt;COUNTIF(FO$4:FO$40,"&lt;&gt;"&amp;""),"",INDEX(FO$4:FO$40,MATCH(ROW()-3,FP$4:FP$40,0)))</f>
        <v/>
      </c>
      <c r="FR25">
        <f>FR24+IF(AND(FQ25&lt;&gt;"",COUNTIF(FQ$4:FQ25,FQ25)=1),1,0)</f>
        <v/>
      </c>
      <c r="FS25">
        <f>IF(ROW()-3&gt;MAX(FR$4:FR$40),"",INDEX(FQ$4:FQ$40,MATCH(ROW()-3,FR$4:FR$40,0)))</f>
        <v/>
      </c>
      <c r="FU25">
        <f>IF(FT25="","",COUNTIFS(FT$4:FT$40,"&lt;"&amp;FT25,FT$4:FT$40,"&lt;&gt;"&amp;"")+COUNTIF(FT$4:FT25,FT25))</f>
        <v/>
      </c>
      <c r="FV25">
        <f>IF(ROW()-3&gt;COUNTIF(FT$4:FT$40,"&lt;&gt;"&amp;""),"",INDEX(FT$4:FT$40,MATCH(ROW()-3,FU$4:FU$40,0)))</f>
        <v/>
      </c>
      <c r="FW25">
        <f>FW24+IF(AND(FV25&lt;&gt;"",COUNTIF(FV$4:FV25,FV25)=1),1,0)</f>
        <v/>
      </c>
      <c r="FX25">
        <f>IF(ROW()-3&gt;MAX(FW$4:FW$40),"",INDEX(FV$4:FV$40,MATCH(ROW()-3,FW$4:FW$40,0)))</f>
        <v/>
      </c>
      <c r="FY25">
        <f>IF(COUNTIF('Live Search'!BM$24:BO$24,0)+COUNTIF('Live Search'!BQ$24:CU$24,0)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5">
        <f>IF($Y$25="",FALSE,SUMPRODUCT(('Final Calculation Sheet'!$B$4:$B$40=$Y$25)*($FY$6:$FY$42=1))&gt;0)</f>
        <v/>
      </c>
      <c r="GA25">
        <f>$GA$24+--($FZ$25)</f>
        <v/>
      </c>
      <c r="GB25">
        <f>IF(ROW()-3&gt;MAX($GA$4:$GA$40),"",INDEX($Y$4:$Y$40,MATCH(ROW()-3,$GA$4:$GA$40,0)))</f>
        <v/>
      </c>
      <c r="GC25">
        <f>IF(COUNTIF('Live Search'!BM$24:BM$24,0)+COUNTIF('Live Search'!BO$24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GD25">
        <f>IF($O$25="",FALSE,SUMPRODUCT(('Final Calculation Sheet'!$F$4:$F$40=$O$25)*($GC$6:$GC$42=1))&gt;0)</f>
        <v/>
      </c>
      <c r="GE25">
        <f>$GE$24+--($GD25)</f>
        <v/>
      </c>
      <c r="GF25">
        <f>IF(ROW()-3&gt;MAX($GE$4:$GE$40),"",INDEX($O$4:$O$40,MATCH(ROW()-3,$GE$4:$GE$40,0)))</f>
        <v/>
      </c>
      <c r="GG25">
        <f>IF(COUNTIF('Live Search'!BM$24:BN$24,0)+COUNTIF('Live Search'!BP$24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GH25">
        <f>IF($T$25="",FALSE,SUMPRODUCT(('Final Calculation Sheet'!$G$4:$G$40=$T$25)*($GG$6:$GG$42=1))&gt;0)</f>
        <v/>
      </c>
      <c r="GI25">
        <f>$GI$24+--($GH25)</f>
        <v/>
      </c>
      <c r="GJ25">
        <f>IF(ROW()-3&gt;MAX($GI$4:$GI$40),"",INDEX($T$4:$T$40,MATCH(ROW()-3,$GI$4:$GI$40,0)))</f>
        <v/>
      </c>
      <c r="GK25">
        <f>IF(COUNTIF('Live Search'!BM$24:BP$24,0)+COUNTIF('Live Search'!BR$24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GL25">
        <f>IF($AD$25="",FALSE,SUMPRODUCT(('Final Calculation Sheet'!$D$4:$D$40=$AD$25)*($GK$6:$GK$42=1))&gt;0)</f>
        <v/>
      </c>
      <c r="GM25">
        <f>$GM$24+--($GL25)</f>
        <v/>
      </c>
      <c r="GN25">
        <f>IF(ROW()-3&gt;MAX($GM$4:$GM$40),"",INDEX($AD$4:$AD$40,MATCH(ROW()-3,$GM$4:$GM$40,0)))</f>
        <v/>
      </c>
      <c r="GO25">
        <f>IF(COUNTIF('Live Search'!BM$24:BQ$24,0)+COUNTIF('Live Search'!BS$24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GP25">
        <f>IF($AI$25="",FALSE,SUMPRODUCT(('Final Calculation Sheet'!$A$4:$A$40=$AI$25)*($GO$6:$GO$42=1))&gt;0)</f>
        <v/>
      </c>
      <c r="GQ25">
        <f>$GQ$24+--($GP25)</f>
        <v/>
      </c>
      <c r="GR25">
        <f>IF(ROW()-3&gt;MAX($GQ$4:$GQ$40),"",INDEX($AI$4:$AI$40,MATCH(ROW()-3,$GQ$4:$GQ$40,0)))</f>
        <v/>
      </c>
      <c r="GS25">
        <f>IF(COUNTIF('Live Search'!BM$24:BR$24,0)+COUNTIF('Live Search'!BT$24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GT25">
        <f>IF($AN$25="",FALSE,SUMPRODUCT(('Final Calculation Sheet'!$E$4:$E$40=$AN$25)*($GS$6:$GS$42=1))&gt;0)</f>
        <v/>
      </c>
      <c r="GU25">
        <f>$GU$24+--($GT25)</f>
        <v/>
      </c>
      <c r="GV25">
        <f>IF(ROW()-3&gt;MAX($GU$4:$GU$40),"",INDEX($AN$4:$AN$40,MATCH(ROW()-3,$GU$4:$GU$40,0)))</f>
        <v/>
      </c>
      <c r="GW25">
        <f>IF(COUNTIF('Live Search'!BM$24:BS$24,0)+COUNTIF('Live Search'!BU$24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GX25">
        <f>IF($AS$25="",FALSE,SUMPRODUCT(('Final Calculation Sheet'!$C$4:$C$40=$AS$25)*($GW$6:$GW$42=1))&gt;0)</f>
        <v/>
      </c>
      <c r="GY25">
        <f>$GY$24+--($GX25)</f>
        <v/>
      </c>
      <c r="GZ25">
        <f>IF(ROW()-3&gt;MAX($GY$4:$GY$40),"",INDEX($AS$4:$AS$40,MATCH(ROW()-3,$GY$4:$GY$40,0)))</f>
        <v/>
      </c>
      <c r="HA25">
        <f>IF(COUNTIF('Live Search'!BM$24:BT$24,0)+COUNTIF('Live Search'!BV$24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HB25">
        <f>IF($AX$25="",FALSE,SUMPRODUCT(('Final Calculation Sheet'!$H$4:$H$40=$AX$25)*($HA$6:$HA$42=1))&gt;0)</f>
        <v/>
      </c>
      <c r="HC25">
        <f>$HC$24+--($HB25)</f>
        <v/>
      </c>
      <c r="HD25">
        <f>IF(ROW()-3&gt;MAX($HC$4:$HC$40),"",INDEX($AX$4:$AX$40,MATCH(ROW()-3,$HC$4:$HC$40,0)))</f>
        <v/>
      </c>
      <c r="HE25">
        <f>IF(COUNTIF('Live Search'!BM$24:BU$24,0)+COUNTIF('Live Search'!BW$24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HF25">
        <f>IF($BC$25="",FALSE,SUMPRODUCT(('Final Calculation Sheet'!$I$4:$I$40=$BC$25)*($HE$6:$HE$42=1))&gt;0)</f>
        <v/>
      </c>
      <c r="HG25">
        <f>$HG$24+--($HF25)</f>
        <v/>
      </c>
      <c r="HH25">
        <f>IF(ROW()-3&gt;MAX($HG$4:$HG$40),"",INDEX($BC$4:$BC$40,MATCH(ROW()-3,$HG$4:$HG$40,0)))</f>
        <v/>
      </c>
      <c r="HI25">
        <f>IF(COUNTIF('Live Search'!BM$24:BV$24,0)+COUNTIF('Live Search'!BX$24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HJ25">
        <f>IF($BH$25="",FALSE,SUMPRODUCT(('Final Calculation Sheet'!$J$4:$J$40=$BH$25)*($HI$6:$HI$42=1))&gt;0)</f>
        <v/>
      </c>
      <c r="HK25">
        <f>$HK$24+--($HJ25)</f>
        <v/>
      </c>
      <c r="HL25">
        <f>IF(ROW()-3&gt;MAX($HK$4:$HK$40),"",INDEX($BH$4:$BH$40,MATCH(ROW()-3,$HK$4:$HK$40,0)))</f>
        <v/>
      </c>
      <c r="HM25">
        <f>IF(COUNTIF('Live Search'!BM$24:BW$24,0)+COUNTIF('Live Search'!BY$24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HN25">
        <f>IF($BM$25="",FALSE,SUMPRODUCT(('Final Calculation Sheet'!$K$4:$K$40=$BM$25)*($HM$6:$HM$42=1))&gt;0)</f>
        <v/>
      </c>
      <c r="HO25">
        <f>$HO$24+--($HN25)</f>
        <v/>
      </c>
      <c r="HP25">
        <f>IF(ROW()-3&gt;MAX($HO$4:$HO$40),"",INDEX($BM$4:$BM$40,MATCH(ROW()-3,$HO$4:$HO$40,0)))</f>
        <v/>
      </c>
      <c r="HQ25">
        <f>IF(COUNTIF('Live Search'!BM$24:BX$24,0)+COUNTIF('Live Search'!BZ$24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HR25">
        <f>IF($BR$25="",FALSE,SUMPRODUCT(('Final Calculation Sheet'!$L$4:$L$40=$BR$25)*($HQ$6:$HQ$42=1))&gt;0)</f>
        <v/>
      </c>
      <c r="HS25">
        <f>$HS$24+--($HR25)</f>
        <v/>
      </c>
      <c r="HT25">
        <f>IF(ROW()-3&gt;MAX($HS$4:$HS$40),"",INDEX($BR$4:$BR$40,MATCH(ROW()-3,$HS$4:$HS$40,0)))</f>
        <v/>
      </c>
      <c r="HU25">
        <f>IF(COUNTIF('Live Search'!BM$24:BY$24,0)+COUNTIF('Live Search'!CA$24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HV25">
        <f>IF($BW$25="",FALSE,SUMPRODUCT(('Final Calculation Sheet'!$M$4:$M$40=$BW$25)*($HU$6:$HU$42=1))&gt;0)</f>
        <v/>
      </c>
      <c r="HW25">
        <f>$HW$24+--($HV25)</f>
        <v/>
      </c>
      <c r="HX25">
        <f>IF(ROW()-3&gt;MAX($HW$4:$HW$40),"",INDEX($BW$4:$BW$40,MATCH(ROW()-3,$HW$4:$HW$40,0)))</f>
        <v/>
      </c>
      <c r="HY25">
        <f>IF(COUNTIF('Live Search'!BM$24:BZ$24,0)+COUNTIF('Live Search'!CB$24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HZ25">
        <f>IF($CB$25="",FALSE,SUMPRODUCT(('Final Calculation Sheet'!$N$4:$N$40=$CB$25)*($HY$6:$HY$42=1))&gt;0)</f>
        <v/>
      </c>
      <c r="IA25">
        <f>$IA$24+--($HZ25)</f>
        <v/>
      </c>
      <c r="IB25">
        <f>IF(ROW()-3&gt;MAX($IA$4:$IA$40),"",INDEX($CB$4:$CB$40,MATCH(ROW()-3,$IA$4:$IA$40,0)))</f>
        <v/>
      </c>
      <c r="IC25">
        <f>IF(COUNTIF('Live Search'!BM$24:CA$24,0)+COUNTIF('Live Search'!CC$24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ID25">
        <f>IF($CG$25="",FALSE,SUMPRODUCT(('Final Calculation Sheet'!$O$4:$O$40=$CG$25)*($IC$6:$IC$42=1))&gt;0)</f>
        <v/>
      </c>
      <c r="IE25">
        <f>$IE$24+--($ID25)</f>
        <v/>
      </c>
      <c r="IF25">
        <f>IF(ROW()-3&gt;MAX($IE$4:$IE$40),"",INDEX($CG$4:$CG$40,MATCH(ROW()-3,$IE$4:$IE$40,0)))</f>
        <v/>
      </c>
      <c r="IG25">
        <f>IF(COUNTIF('Live Search'!BM$24:CB$24,0)+COUNTIF('Live Search'!CD$24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IH25">
        <f>IF($CL$25="",FALSE,SUMPRODUCT(('Final Calculation Sheet'!$P$4:$P$40=$CL$25)*($IG$6:$IG$42=1))&gt;0)</f>
        <v/>
      </c>
      <c r="II25">
        <f>$II$24+--($IH25)</f>
        <v/>
      </c>
      <c r="IJ25">
        <f>IF(ROW()-3&gt;MAX($II$4:$II$40),"",INDEX($CL$4:$CL$40,MATCH(ROW()-3,$II$4:$II$40,0)))</f>
        <v/>
      </c>
      <c r="IK25">
        <f>IF(COUNTIF('Live Search'!BM$24:CC$24,0)+COUNTIF('Live Search'!CE$24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IL25">
        <f>IF($CQ$25="",FALSE,SUMPRODUCT(('Final Calculation Sheet'!$Q$4:$Q$40=$CQ$25)*($IK$6:$IK$42=1))&gt;0)</f>
        <v/>
      </c>
      <c r="IM25">
        <f>$IM$24+--($IL25)</f>
        <v/>
      </c>
      <c r="IN25">
        <f>IF(ROW()-3&gt;MAX($IM$4:$IM$40),"",INDEX($CQ$4:$CQ$40,MATCH(ROW()-3,$IM$4:$IM$40,0)))</f>
        <v/>
      </c>
      <c r="IO25">
        <f>IF(COUNTIF('Live Search'!BM$24:CD$24,0)+COUNTIF('Live Search'!CF$24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IP25">
        <f>IF($CV$25="",FALSE,SUMPRODUCT(('Final Calculation Sheet'!$R$4:$R$40=$CV$25)*($IO$6:$IO$42=1))&gt;0)</f>
        <v/>
      </c>
      <c r="IQ25">
        <f>$IQ$24+--($IP25)</f>
        <v/>
      </c>
      <c r="IR25">
        <f>IF(ROW()-3&gt;MAX($IQ$4:$IQ$40),"",INDEX($CV$4:$CV$40,MATCH(ROW()-3,$IQ$4:$IQ$40,0)))</f>
        <v/>
      </c>
      <c r="IS25">
        <f>IF(COUNTIF('Live Search'!BM$24:CE$24,0)+COUNTIF('Live Search'!CG$24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IT25">
        <f>IF($DA$25="",FALSE,SUMPRODUCT(('Final Calculation Sheet'!$S$4:$S$40=$DA$25)*($IS$6:$IS$42=1))&gt;0)</f>
        <v/>
      </c>
      <c r="IU25">
        <f>$IU$24+--($IT25)</f>
        <v/>
      </c>
      <c r="IV25">
        <f>IF(ROW()-3&gt;MAX($IU$4:$IU$40),"",INDEX($DA$4:$DA$40,MATCH(ROW()-3,$IU$4:$IU$40,0)))</f>
        <v/>
      </c>
      <c r="IW25">
        <f>IF(COUNTIF('Live Search'!BM$24:CF$24,0)+COUNTIF('Live Search'!CH$24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IX25">
        <f>IF($DF$25="",FALSE,SUMPRODUCT(('Final Calculation Sheet'!$T$4:$T$40=$DF$25)*($IW$6:$IW$42=1))&gt;0)</f>
        <v/>
      </c>
      <c r="IY25">
        <f>$IY$24+--($IX25)</f>
        <v/>
      </c>
      <c r="IZ25">
        <f>IF(ROW()-3&gt;MAX($IY$4:$IY$40),"",INDEX($DF$4:$DF$40,MATCH(ROW()-3,$IY$4:$IY$40,0)))</f>
        <v/>
      </c>
      <c r="JA25">
        <f>IF(COUNTIF('Live Search'!BM$24:CG$24,0)+COUNTIF('Live Search'!CI$24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JB25">
        <f>IF($DK$25="",FALSE,SUMPRODUCT(('Final Calculation Sheet'!$U$4:$U$40=$DK$25)*($JA$6:$JA$42=1))&gt;0)</f>
        <v/>
      </c>
      <c r="JC25">
        <f>$JC$24+--($JB25)</f>
        <v/>
      </c>
      <c r="JD25">
        <f>IF(ROW()-3&gt;MAX($JC$4:$JC$40),"",INDEX($DK$4:$DK$40,MATCH(ROW()-3,$JC$4:$JC$40,0)))</f>
        <v/>
      </c>
      <c r="JE25">
        <f>IF(COUNTIF('Live Search'!BM$24:CH$24,0)+COUNTIF('Live Search'!CJ$24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JF25">
        <f>IF($DP$25="",FALSE,SUMPRODUCT(('Final Calculation Sheet'!$V$4:$V$40=$DP$25)*($JE$6:$JE$42=1))&gt;0)</f>
        <v/>
      </c>
      <c r="JG25">
        <f>$JG$24+--($JF25)</f>
        <v/>
      </c>
      <c r="JH25">
        <f>IF(ROW()-3&gt;MAX($JG$4:$JG$40),"",INDEX($DP$4:$DP$40,MATCH(ROW()-3,$JG$4:$JG$40,0)))</f>
        <v/>
      </c>
      <c r="JI25">
        <f>IF(COUNTIF('Live Search'!BM$24:CI$24,0)+COUNTIF('Live Search'!CK$24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JJ25">
        <f>IF($DU$25="",FALSE,SUMPRODUCT(('Final Calculation Sheet'!$W$4:$W$40=$DU$25)*($JI$6:$JI$42=1))&gt;0)</f>
        <v/>
      </c>
      <c r="JK25">
        <f>$JK$24+--($JJ25)</f>
        <v/>
      </c>
      <c r="JL25">
        <f>IF(ROW()-3&gt;MAX($JK$4:$JK$40),"",INDEX($DU$4:$DU$40,MATCH(ROW()-3,$JK$4:$JK$40,0)))</f>
        <v/>
      </c>
      <c r="JM25">
        <f>IF(COUNTIF('Live Search'!BM$24:CJ$24,0)+COUNTIF('Live Search'!CL$24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JN25">
        <f>IF($DZ$25="",FALSE,SUMPRODUCT(('Final Calculation Sheet'!$X$4:$X$40=$DZ$25)*($JM$6:$JM$42=1))&gt;0)</f>
        <v/>
      </c>
      <c r="JO25">
        <f>$JO$24+--($JN25)</f>
        <v/>
      </c>
      <c r="JP25">
        <f>IF(ROW()-3&gt;MAX($JO$4:$JO$40),"",INDEX($DZ$4:$DZ$40,MATCH(ROW()-3,$JO$4:$JO$40,0)))</f>
        <v/>
      </c>
      <c r="JQ25">
        <f>IF(COUNTIF('Live Search'!BM$24:CK$24,0)+COUNTIF('Live Search'!CM$24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JR25">
        <f>IF($EE$25="",FALSE,SUMPRODUCT(('Final Calculation Sheet'!$Y$4:$Y$40=$EE$25)*($JQ$6:$JQ$42=1))&gt;0)</f>
        <v/>
      </c>
      <c r="JS25">
        <f>$JS$24+--($JR25)</f>
        <v/>
      </c>
      <c r="JT25">
        <f>IF(ROW()-3&gt;MAX($JS$4:$JS$40),"",INDEX($EE$4:$EE$40,MATCH(ROW()-3,$JS$4:$JS$40,0)))</f>
        <v/>
      </c>
      <c r="JU25">
        <f>IF(COUNTIF('Live Search'!BM$24:CL$24,0)+COUNTIF('Live Search'!CN$24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JV25">
        <f>IF($EJ$25="",FALSE,SUMPRODUCT(('Final Calculation Sheet'!$Z$4:$Z$40=$EJ$25)*($JU$6:$JU$42=1))&gt;0)</f>
        <v/>
      </c>
      <c r="JW25">
        <f>$JW$24+--($JV25)</f>
        <v/>
      </c>
      <c r="JX25">
        <f>IF(ROW()-3&gt;MAX($JW$4:$JW$40),"",INDEX($EJ$4:$EJ$40,MATCH(ROW()-3,$JW$4:$JW$40,0)))</f>
        <v/>
      </c>
      <c r="JY25">
        <f>IF(COUNTIF('Live Search'!BM$24:CM$24,0)+COUNTIF('Live Search'!CO$24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JZ25">
        <f>IF($EO$25="",FALSE,SUMPRODUCT(('Final Calculation Sheet'!$AA$4:$AA$40=$EO$25)*($JY$6:$JY$42=1))&gt;0)</f>
        <v/>
      </c>
      <c r="KA25">
        <f>$KA$24+--($JZ25)</f>
        <v/>
      </c>
      <c r="KB25">
        <f>IF(ROW()-3&gt;MAX($KA$4:$KA$40),"",INDEX($EO$4:$EO$40,MATCH(ROW()-3,$KA$4:$KA$40,0)))</f>
        <v/>
      </c>
      <c r="KC25">
        <f>IF(COUNTIF('Live Search'!BM$24:CN$24,0)+COUNTIF('Live Search'!CP$24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KD25">
        <f>IF($ET$25="",FALSE,SUMPRODUCT(('Final Calculation Sheet'!$AB$4:$AB$40=$ET$25)*($KC$6:$KC$42=1))&gt;0)</f>
        <v/>
      </c>
      <c r="KE25">
        <f>$KE$24+--($KD25)</f>
        <v/>
      </c>
      <c r="KF25">
        <f>IF(ROW()-3&gt;MAX($KE$4:$KE$40),"",INDEX($ET$4:$ET$40,MATCH(ROW()-3,$KE$4:$KE$40,0)))</f>
        <v/>
      </c>
      <c r="KG25">
        <f>IF(COUNTIF('Live Search'!BM$24:CO$24,0)+COUNTIF('Live Search'!CQ$24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KH25">
        <f>IF($EY$25="",FALSE,SUMPRODUCT(('Final Calculation Sheet'!$AC$4:$AC$40=$EY$25)*($KG$6:$KG$42=1))&gt;0)</f>
        <v/>
      </c>
      <c r="KI25">
        <f>$KI$24+--($KH25)</f>
        <v/>
      </c>
      <c r="KJ25">
        <f>IF(ROW()-3&gt;MAX($KI$4:$KI$40),"",INDEX($EY$4:$EY$40,MATCH(ROW()-3,$KI$4:$KI$40,0)))</f>
        <v/>
      </c>
      <c r="KK25">
        <f>IF(COUNTIF('Live Search'!BM$24:CP$24,0)+COUNTIF('Live Search'!CR$24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KL25">
        <f>IF($FD$25="",FALSE,SUMPRODUCT(('Final Calculation Sheet'!$AD$4:$AD$40=$FD$25)*($KK$6:$KK$42=1))&gt;0)</f>
        <v/>
      </c>
      <c r="KM25">
        <f>$KM$24+--($KL25)</f>
        <v/>
      </c>
      <c r="KN25">
        <f>IF(ROW()-3&gt;MAX($KM$4:$KM$40),"",INDEX($FD$4:$FD$40,MATCH(ROW()-3,$KM$4:$KM$40,0)))</f>
        <v/>
      </c>
      <c r="KO25">
        <f>IF(COUNTIF('Live Search'!BM$24:CT$24,0)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KP25">
        <f>IF($FX$25="",FALSE,SUMPRODUCT((IF('Final Calculation Sheet'!$AD$4:$AD$40&lt;=5,"SETTLED","OUTSTANDING")=$FX$25)*($KO$6:$KO$42=1))&gt;0)</f>
        <v/>
      </c>
      <c r="KQ25">
        <f>$KQ$24+--($KP25)</f>
        <v/>
      </c>
      <c r="KR25">
        <f>IF(ROW()-3&gt;MAX($KQ$4:$KQ$40),"",INDEX($FX$4:$FX$40,MATCH(ROW()-3,$KQ$4:$KQ$40,0)))</f>
        <v/>
      </c>
      <c r="KS25">
        <f>IF(COUNTIF('Live Search'!BM$24:CQ$24,0)+COUNTIF('Live Search'!CS$24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KT25">
        <f>IF($FI$25="",FALSE,SUMPRODUCT(('Final Calculation Sheet'!$AF$4:$AF$40=$FI$25)*($KS$6:$KS$42=1))&gt;0)</f>
        <v/>
      </c>
      <c r="KU25">
        <f>$KU$24+--($KT25)</f>
        <v/>
      </c>
      <c r="KV25">
        <f>IF(ROW()-3&gt;MAX($KU$4:$KU$40),"",INDEX($FI$4:$FI$40,MATCH(ROW()-3,$KU$4:$KU$40,0)))</f>
        <v/>
      </c>
      <c r="KW25">
        <f>IF(COUNTIF('Live Search'!BM$24:CR$24,0)+COUNTIF('Live Search'!CT$24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KX25">
        <f>IF($FN$25="",FALSE,SUMPRODUCT(('Final Calculation Sheet'!$AG$4:$AG$40=$FN$25)*($KW$6:$KW$42=1))&gt;0)</f>
        <v/>
      </c>
      <c r="KY25">
        <f>$KY$24+--($KX25)</f>
        <v/>
      </c>
      <c r="KZ25">
        <f>IF(ROW()-3&gt;MAX($KY$4:$KY$40),"",INDEX($FN$4:$FN$40,MATCH(ROW()-3,$KY$4:$KY$40,0)))</f>
        <v/>
      </c>
      <c r="LA25">
        <f>IF(COUNTIF('Live Search'!BM$24:CS$24,0)+COUNTIF('Live Search'!CU$24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LB25">
        <f>IF($FS$25="",FALSE,SUMPRODUCT(('Final Calculation Sheet'!$AH$4:$AH$40=$FS$25)*($LA$6:$LA$42=1))&gt;0)</f>
        <v/>
      </c>
      <c r="LC25">
        <f>$LC$24+--($LB25)</f>
        <v/>
      </c>
      <c r="LD25">
        <f>IF(ROW()-3&gt;MAX($LC$4:$LC$40),"",INDEX($FS$4:$FS$40,MATCH(ROW()-3,$LC$4:$LC$40,0)))</f>
        <v/>
      </c>
      <c r="LE25">
        <f>IF(COUNTIF('Buyer Groups'!DH78:EN78,0)&gt;0,0,1)</f>
        <v/>
      </c>
      <c r="LF25">
        <f>IF($O$25="",FALSE,SUMPRODUCT(('Final Calculation Sheet'!$F$4:$F$40=$O$25)*($LE$6:$LE$42=1))&gt;0)</f>
        <v/>
      </c>
      <c r="LG25">
        <f>$LG$24+--($LF25)</f>
        <v/>
      </c>
      <c r="LH25">
        <f>IF(ROW()-3&gt;MAX($LG$4:$LG$40),"",INDEX($O$4:$O$40,MATCH(ROW()-3,$LG$4:$LG$40,0)))</f>
        <v/>
      </c>
      <c r="LI25">
        <f>IF(COUNTIF('Buyer Groups'!DG78:DG78,0)+COUNTIF('Buyer Groups'!DI78:EN78,0)&gt;0,0,1)</f>
        <v/>
      </c>
      <c r="LJ25">
        <f>IF($T$25="",FALSE,SUMPRODUCT(('Final Calculation Sheet'!$G$4:$G$40=$T$25)*($LI$6:$LI$42=1))&gt;0)</f>
        <v/>
      </c>
      <c r="LK25">
        <f>$LK$24+--($LJ25)</f>
        <v/>
      </c>
      <c r="LL25">
        <f>IF(ROW()-3&gt;MAX($LK$4:$LK$40),"",INDEX($T$4:$T$40,MATCH(ROW()-3,$LK$4:$LK$40,0)))</f>
        <v/>
      </c>
      <c r="LM25">
        <f>IF(COUNTIF('Buyer Groups'!DG78:DH78,0)+COUNTIF('Buyer Groups'!DJ78:EN78,0)&gt;0,0,1)</f>
        <v/>
      </c>
      <c r="LN25">
        <f>IF($Y$25="",FALSE,SUMPRODUCT(('Final Calculation Sheet'!$B$4:$B$40=$Y$25)*($LM$6:$LM$42=1))&gt;0)</f>
        <v/>
      </c>
      <c r="LO25">
        <f>$LO$24+--($LN25)</f>
        <v/>
      </c>
      <c r="LP25">
        <f>IF(ROW()-3&gt;MAX($LO$4:$LO$40),"",INDEX($Y$4:$Y$40,MATCH(ROW()-3,$LO$4:$LO$40,0)))</f>
        <v/>
      </c>
      <c r="LQ25">
        <f>IF(COUNTIF('Buyer Groups'!DG78:DI78,0)+COUNTIF('Buyer Groups'!DK78:EN78,0)&gt;0,0,1)</f>
        <v/>
      </c>
      <c r="LR25">
        <f>IF($AD$25="",FALSE,SUMPRODUCT(('Final Calculation Sheet'!$D$4:$D$40=$AD$25)*($LQ$6:$LQ$42=1))&gt;0)</f>
        <v/>
      </c>
      <c r="LS25">
        <f>$LS$24+--($LR25)</f>
        <v/>
      </c>
      <c r="LT25">
        <f>IF(ROW()-3&gt;MAX($LS$4:$LS$40),"",INDEX($AD$4:$AD$40,MATCH(ROW()-3,$LS$4:$LS$40,0)))</f>
        <v/>
      </c>
      <c r="LU25">
        <f>IF(COUNTIF('Buyer Groups'!DG78:DJ78,0)+COUNTIF('Buyer Groups'!DL78:EN78,0)&gt;0,0,1)</f>
        <v/>
      </c>
      <c r="LV25">
        <f>IF($AI$25="",FALSE,SUMPRODUCT(('Final Calculation Sheet'!$A$4:$A$40=$AI$25)*($LU$6:$LU$42=1))&gt;0)</f>
        <v/>
      </c>
      <c r="LW25">
        <f>$LW$24+--($LV25)</f>
        <v/>
      </c>
      <c r="LX25">
        <f>IF(ROW()-3&gt;MAX($LW$4:$LW$40),"",INDEX($AI$4:$AI$40,MATCH(ROW()-3,$LW$4:$LW$40,0)))</f>
        <v/>
      </c>
      <c r="LY25">
        <f>IF(COUNTIF('Buyer Groups'!DG78:DK78,0)+COUNTIF('Buyer Groups'!DM78:EN78,0)&gt;0,0,1)</f>
        <v/>
      </c>
      <c r="LZ25">
        <f>IF($AN$25="",FALSE,SUMPRODUCT(('Final Calculation Sheet'!$E$4:$E$40=$AN$25)*($LY$6:$LY$42=1))&gt;0)</f>
        <v/>
      </c>
      <c r="MA25">
        <f>$MA$24+--($LZ25)</f>
        <v/>
      </c>
      <c r="MB25">
        <f>IF(ROW()-3&gt;MAX($MA$4:$MA$40),"",INDEX($AN$4:$AN$40,MATCH(ROW()-3,$MA$4:$MA$40,0)))</f>
        <v/>
      </c>
      <c r="MC25">
        <f>IF(COUNTIF('Buyer Groups'!DG78:DL78,0)+COUNTIF('Buyer Groups'!DN78:EN78,0)&gt;0,0,1)</f>
        <v/>
      </c>
      <c r="MD25">
        <f>IF($AS$25="",FALSE,SUMPRODUCT(('Final Calculation Sheet'!$C$4:$C$40=$AS$25)*($MC$6:$MC$42=1))&gt;0)</f>
        <v/>
      </c>
      <c r="ME25">
        <f>$ME$24+--($MD25)</f>
        <v/>
      </c>
      <c r="MF25">
        <f>IF(ROW()-3&gt;MAX($ME$4:$ME$40),"",INDEX($AS$4:$AS$40,MATCH(ROW()-3,$ME$4:$ME$40,0)))</f>
        <v/>
      </c>
      <c r="MG25">
        <f>IF(COUNTIF('Buyer Groups'!DG78:DM78,0)+COUNTIF('Buyer Groups'!DO78:EN78,0)&gt;0,0,1)</f>
        <v/>
      </c>
      <c r="MH25">
        <f>IF($AX$25="",FALSE,SUMPRODUCT(('Final Calculation Sheet'!$H$4:$H$40=$AX$25)*($MG$6:$MG$42=1))&gt;0)</f>
        <v/>
      </c>
      <c r="MI25">
        <f>$MI$24+--($MH25)</f>
        <v/>
      </c>
      <c r="MJ25">
        <f>IF(ROW()-3&gt;MAX($MI$4:$MI$40),"",INDEX($AX$4:$AX$40,MATCH(ROW()-3,$MI$4:$MI$40,0)))</f>
        <v/>
      </c>
      <c r="MK25">
        <f>IF(COUNTIF('Buyer Groups'!DG78:DN78,0)+COUNTIF('Buyer Groups'!DP78:EN78,0)&gt;0,0,1)</f>
        <v/>
      </c>
      <c r="ML25">
        <f>IF($BC$25="",FALSE,SUMPRODUCT(('Final Calculation Sheet'!$I$4:$I$40=$BC$25)*($MK$6:$MK$42=1))&gt;0)</f>
        <v/>
      </c>
      <c r="MM25">
        <f>$MM$24+--($ML25)</f>
        <v/>
      </c>
      <c r="MN25">
        <f>IF(ROW()-3&gt;MAX($MM$4:$MM$40),"",INDEX($BC$4:$BC$40,MATCH(ROW()-3,$MM$4:$MM$40,0)))</f>
        <v/>
      </c>
      <c r="MO25">
        <f>IF(COUNTIF('Buyer Groups'!DG78:DO78,0)+COUNTIF('Buyer Groups'!DQ78:EN78,0)&gt;0,0,1)</f>
        <v/>
      </c>
      <c r="MP25">
        <f>IF($BH$25="",FALSE,SUMPRODUCT(('Final Calculation Sheet'!$J$4:$J$40=$BH$25)*($MO$6:$MO$42=1))&gt;0)</f>
        <v/>
      </c>
      <c r="MQ25">
        <f>$MQ$24+--($MP25)</f>
        <v/>
      </c>
      <c r="MR25">
        <f>IF(ROW()-3&gt;MAX($MQ$4:$MQ$40),"",INDEX($BH$4:$BH$40,MATCH(ROW()-3,$MQ$4:$MQ$40,0)))</f>
        <v/>
      </c>
      <c r="MS25">
        <f>IF(COUNTIF('Buyer Groups'!DG78:DP78,0)+COUNTIF('Buyer Groups'!DR78:EN78,0)&gt;0,0,1)</f>
        <v/>
      </c>
      <c r="MT25">
        <f>IF($BM$25="",FALSE,SUMPRODUCT(('Final Calculation Sheet'!$K$4:$K$40=$BM$25)*($MS$6:$MS$42=1))&gt;0)</f>
        <v/>
      </c>
      <c r="MU25">
        <f>$MU$24+--($MT25)</f>
        <v/>
      </c>
      <c r="MV25">
        <f>IF(ROW()-3&gt;MAX($MU$4:$MU$40),"",INDEX($BM$4:$BM$40,MATCH(ROW()-3,$MU$4:$MU$40,0)))</f>
        <v/>
      </c>
      <c r="MW25">
        <f>IF(COUNTIF('Buyer Groups'!DG78:DQ78,0)+COUNTIF('Buyer Groups'!DS78:EN78,0)&gt;0,0,1)</f>
        <v/>
      </c>
      <c r="MX25">
        <f>IF($BR$25="",FALSE,SUMPRODUCT(('Final Calculation Sheet'!$L$4:$L$40=$BR$25)*($MW$6:$MW$42=1))&gt;0)</f>
        <v/>
      </c>
      <c r="MY25">
        <f>$MY$24+--($MX25)</f>
        <v/>
      </c>
      <c r="MZ25">
        <f>IF(ROW()-3&gt;MAX($MY$4:$MY$40),"",INDEX($BR$4:$BR$40,MATCH(ROW()-3,$MY$4:$MY$40,0)))</f>
        <v/>
      </c>
      <c r="NA25">
        <f>IF(COUNTIF('Buyer Groups'!DG78:DR78,0)+COUNTIF('Buyer Groups'!DT78:EN78,0)&gt;0,0,1)</f>
        <v/>
      </c>
      <c r="NB25">
        <f>IF($BW$25="",FALSE,SUMPRODUCT(('Final Calculation Sheet'!$M$4:$M$40=$BW$25)*($NA$6:$NA$42=1))&gt;0)</f>
        <v/>
      </c>
      <c r="NC25">
        <f>$NC$24+--($NB25)</f>
        <v/>
      </c>
      <c r="ND25">
        <f>IF(ROW()-3&gt;MAX($NC$4:$NC$40),"",INDEX($BW$4:$BW$40,MATCH(ROW()-3,$NC$4:$NC$40,0)))</f>
        <v/>
      </c>
      <c r="NE25">
        <f>IF(COUNTIF('Buyer Groups'!DG78:DS78,0)+COUNTIF('Buyer Groups'!DU78:EN78,0)&gt;0,0,1)</f>
        <v/>
      </c>
      <c r="NF25">
        <f>IF($CB$25="",FALSE,SUMPRODUCT(('Final Calculation Sheet'!$N$4:$N$40=$CB$25)*($NE$6:$NE$42=1))&gt;0)</f>
        <v/>
      </c>
      <c r="NG25">
        <f>$NG$24+--($NF25)</f>
        <v/>
      </c>
      <c r="NH25">
        <f>IF(ROW()-3&gt;MAX($NG$4:$NG$40),"",INDEX($CB$4:$CB$40,MATCH(ROW()-3,$NG$4:$NG$40,0)))</f>
        <v/>
      </c>
      <c r="NI25">
        <f>IF(COUNTIF('Buyer Groups'!DG78:DT78,0)+COUNTIF('Buyer Groups'!DV78:EN78,0)&gt;0,0,1)</f>
        <v/>
      </c>
      <c r="NJ25">
        <f>IF($CG$25="",FALSE,SUMPRODUCT(('Final Calculation Sheet'!$O$4:$O$40=$CG$25)*($NI$6:$NI$42=1))&gt;0)</f>
        <v/>
      </c>
      <c r="NK25">
        <f>$NK$24+--($NJ25)</f>
        <v/>
      </c>
      <c r="NL25">
        <f>IF(ROW()-3&gt;MAX($NK$4:$NK$40),"",INDEX($CG$4:$CG$40,MATCH(ROW()-3,$NK$4:$NK$40,0)))</f>
        <v/>
      </c>
      <c r="NM25">
        <f>IF(COUNTIF('Buyer Groups'!DG78:DU78,0)+COUNTIF('Buyer Groups'!DW78:EN78,0)&gt;0,0,1)</f>
        <v/>
      </c>
      <c r="NN25">
        <f>IF($CL$25="",FALSE,SUMPRODUCT(('Final Calculation Sheet'!$P$4:$P$40=$CL$25)*($NM$6:$NM$42=1))&gt;0)</f>
        <v/>
      </c>
      <c r="NO25">
        <f>$NO$24+--($NN25)</f>
        <v/>
      </c>
      <c r="NP25">
        <f>IF(ROW()-3&gt;MAX($NO$4:$NO$40),"",INDEX($CL$4:$CL$40,MATCH(ROW()-3,$NO$4:$NO$40,0)))</f>
        <v/>
      </c>
      <c r="NQ25">
        <f>IF(COUNTIF('Buyer Groups'!DG78:DV78,0)+COUNTIF('Buyer Groups'!DX78:EN78,0)&gt;0,0,1)</f>
        <v/>
      </c>
      <c r="NR25">
        <f>IF($CQ$25="",FALSE,SUMPRODUCT(('Final Calculation Sheet'!$Q$4:$Q$40=$CQ$25)*($NQ$6:$NQ$42=1))&gt;0)</f>
        <v/>
      </c>
      <c r="NS25">
        <f>$NS$24+--($NR25)</f>
        <v/>
      </c>
      <c r="NT25">
        <f>IF(ROW()-3&gt;MAX($NS$4:$NS$40),"",INDEX($CQ$4:$CQ$40,MATCH(ROW()-3,$NS$4:$NS$40,0)))</f>
        <v/>
      </c>
      <c r="NU25">
        <f>IF(COUNTIF('Buyer Groups'!DG78:DW78,0)+COUNTIF('Buyer Groups'!DY78:EN78,0)&gt;0,0,1)</f>
        <v/>
      </c>
      <c r="NV25">
        <f>IF($CV$25="",FALSE,SUMPRODUCT(('Final Calculation Sheet'!$R$4:$R$40=$CV$25)*($NU$6:$NU$42=1))&gt;0)</f>
        <v/>
      </c>
      <c r="NW25">
        <f>$NW$24+--($NV25)</f>
        <v/>
      </c>
      <c r="NX25">
        <f>IF(ROW()-3&gt;MAX($NW$4:$NW$40),"",INDEX($CV$4:$CV$40,MATCH(ROW()-3,$NW$4:$NW$40,0)))</f>
        <v/>
      </c>
      <c r="NY25">
        <f>IF(COUNTIF('Buyer Groups'!DG78:DX78,0)+COUNTIF('Buyer Groups'!DZ78:EN78,0)&gt;0,0,1)</f>
        <v/>
      </c>
      <c r="NZ25">
        <f>IF($DA$25="",FALSE,SUMPRODUCT(('Final Calculation Sheet'!$S$4:$S$40=$DA$25)*($NY$6:$NY$42=1))&gt;0)</f>
        <v/>
      </c>
      <c r="OA25">
        <f>$OA$24+--($NZ25)</f>
        <v/>
      </c>
      <c r="OB25">
        <f>IF(ROW()-3&gt;MAX($OA$4:$OA$40),"",INDEX($DA$4:$DA$40,MATCH(ROW()-3,$OA$4:$OA$40,0)))</f>
        <v/>
      </c>
      <c r="OC25">
        <f>IF(COUNTIF('Buyer Groups'!DG78:DY78,0)+COUNTIF('Buyer Groups'!EA78:EN78,0)&gt;0,0,1)</f>
        <v/>
      </c>
      <c r="OD25">
        <f>IF($DF$25="",FALSE,SUMPRODUCT(('Final Calculation Sheet'!$T$4:$T$40=$DF$25)*($OC$6:$OC$42=1))&gt;0)</f>
        <v/>
      </c>
      <c r="OE25">
        <f>$OE$24+--($OD25)</f>
        <v/>
      </c>
      <c r="OF25">
        <f>IF(ROW()-3&gt;MAX($OE$4:$OE$40),"",INDEX($DF$4:$DF$40,MATCH(ROW()-3,$OE$4:$OE$40,0)))</f>
        <v/>
      </c>
      <c r="OG25">
        <f>IF(COUNTIF('Buyer Groups'!DG78:DZ78,0)+COUNTIF('Buyer Groups'!EB78:EN78,0)&gt;0,0,1)</f>
        <v/>
      </c>
      <c r="OH25">
        <f>IF($DK$25="",FALSE,SUMPRODUCT(('Final Calculation Sheet'!$U$4:$U$40=$DK$25)*($OG$6:$OG$42=1))&gt;0)</f>
        <v/>
      </c>
      <c r="OI25">
        <f>$OI$24+--($OH25)</f>
        <v/>
      </c>
      <c r="OJ25">
        <f>IF(ROW()-3&gt;MAX($OI$4:$OI$40),"",INDEX($DK$4:$DK$40,MATCH(ROW()-3,$OI$4:$OI$40,0)))</f>
        <v/>
      </c>
      <c r="OK25">
        <f>IF(COUNTIF('Buyer Groups'!DG78:EA78,0)+COUNTIF('Buyer Groups'!EC78:EN78,0)&gt;0,0,1)</f>
        <v/>
      </c>
      <c r="OL25">
        <f>IF($DP$25="",FALSE,SUMPRODUCT(('Final Calculation Sheet'!$V$4:$V$40=$DP$25)*($OK$6:$OK$42=1))&gt;0)</f>
        <v/>
      </c>
      <c r="OM25">
        <f>$OM$24+--($OL25)</f>
        <v/>
      </c>
      <c r="ON25">
        <f>IF(ROW()-3&gt;MAX($OM$4:$OM$40),"",INDEX($DP$4:$DP$40,MATCH(ROW()-3,$OM$4:$OM$40,0)))</f>
        <v/>
      </c>
      <c r="OO25">
        <f>IF(COUNTIF('Buyer Groups'!DG78:EB78,0)+COUNTIF('Buyer Groups'!ED78:EN78,0)&gt;0,0,1)</f>
        <v/>
      </c>
      <c r="OP25">
        <f>IF($DU$25="",FALSE,SUMPRODUCT(('Final Calculation Sheet'!$W$4:$W$40=$DU$25)*($OO$6:$OO$42=1))&gt;0)</f>
        <v/>
      </c>
      <c r="OQ25">
        <f>$OQ$24+--($OP25)</f>
        <v/>
      </c>
      <c r="OR25">
        <f>IF(ROW()-3&gt;MAX($OQ$4:$OQ$40),"",INDEX($DU$4:$DU$40,MATCH(ROW()-3,$OQ$4:$OQ$40,0)))</f>
        <v/>
      </c>
      <c r="OS25">
        <f>IF(COUNTIF('Buyer Groups'!DG78:EC78,0)+COUNTIF('Buyer Groups'!EE78:EN78,0)&gt;0,0,1)</f>
        <v/>
      </c>
      <c r="OT25">
        <f>IF($DZ$25="",FALSE,SUMPRODUCT(('Final Calculation Sheet'!$X$4:$X$40=$DZ$25)*($OS$6:$OS$42=1))&gt;0)</f>
        <v/>
      </c>
      <c r="OU25">
        <f>$OU$24+--($OT25)</f>
        <v/>
      </c>
      <c r="OV25">
        <f>IF(ROW()-3&gt;MAX($OU$4:$OU$40),"",INDEX($DZ$4:$DZ$40,MATCH(ROW()-3,$OU$4:$OU$40,0)))</f>
        <v/>
      </c>
      <c r="OW25">
        <f>IF(COUNTIF('Buyer Groups'!DG78:ED78,0)+COUNTIF('Buyer Groups'!EF78:EN78,0)&gt;0,0,1)</f>
        <v/>
      </c>
      <c r="OX25">
        <f>IF($EE$25="",FALSE,SUMPRODUCT(('Final Calculation Sheet'!$Y$4:$Y$40=$EE$25)*($OW$6:$OW$42=1))&gt;0)</f>
        <v/>
      </c>
      <c r="OY25">
        <f>$OY$24+--($OX25)</f>
        <v/>
      </c>
      <c r="OZ25">
        <f>IF(ROW()-3&gt;MAX($OY$4:$OY$40),"",INDEX($EE$4:$EE$40,MATCH(ROW()-3,$OY$4:$OY$40,0)))</f>
        <v/>
      </c>
      <c r="PA25">
        <f>IF(COUNTIF('Buyer Groups'!DG78:EE78,0)+COUNTIF('Buyer Groups'!EG78:EN78,0)&gt;0,0,1)</f>
        <v/>
      </c>
      <c r="PB25">
        <f>IF($EJ$25="",FALSE,SUMPRODUCT(('Final Calculation Sheet'!$Z$4:$Z$40=$EJ$25)*($PA$6:$PA$42=1))&gt;0)</f>
        <v/>
      </c>
      <c r="PC25">
        <f>$PC$24+--($PB25)</f>
        <v/>
      </c>
      <c r="PD25">
        <f>IF(ROW()-3&gt;MAX($PC$4:$PC$40),"",INDEX($EJ$4:$EJ$40,MATCH(ROW()-3,$PC$4:$PC$40,0)))</f>
        <v/>
      </c>
      <c r="PE25">
        <f>IF(COUNTIF('Buyer Groups'!DG78:EF78,0)+COUNTIF('Buyer Groups'!EH78:EN78,0)&gt;0,0,1)</f>
        <v/>
      </c>
      <c r="PF25">
        <f>IF($EO$25="",FALSE,SUMPRODUCT(('Final Calculation Sheet'!$AA$4:$AA$40=$EO$25)*($PE$6:$PE$42=1))&gt;0)</f>
        <v/>
      </c>
      <c r="PG25">
        <f>$PG$24+--($PF25)</f>
        <v/>
      </c>
      <c r="PH25">
        <f>IF(ROW()-3&gt;MAX($PG$4:$PG$40),"",INDEX($EO$4:$EO$40,MATCH(ROW()-3,$PG$4:$PG$40,0)))</f>
        <v/>
      </c>
      <c r="PI25">
        <f>IF(COUNTIF('Buyer Groups'!DG78:EG78,0)+COUNTIF('Buyer Groups'!EI78:EN78,0)&gt;0,0,1)</f>
        <v/>
      </c>
      <c r="PJ25">
        <f>IF($ET$25="",FALSE,SUMPRODUCT(('Final Calculation Sheet'!$AB$4:$AB$40=$ET$25)*($PI$6:$PI$42=1))&gt;0)</f>
        <v/>
      </c>
      <c r="PK25">
        <f>$PK$24+--($PJ25)</f>
        <v/>
      </c>
      <c r="PL25">
        <f>IF(ROW()-3&gt;MAX($PK$4:$PK$40),"",INDEX($ET$4:$ET$40,MATCH(ROW()-3,$PK$4:$PK$40,0)))</f>
        <v/>
      </c>
      <c r="PM25">
        <f>IF(COUNTIF('Buyer Groups'!DG78:EH78,0)+COUNTIF('Buyer Groups'!EJ78:EN78,0)&gt;0,0,1)</f>
        <v/>
      </c>
      <c r="PN25">
        <f>IF($EY$25="",FALSE,SUMPRODUCT(('Final Calculation Sheet'!$AC$4:$AC$40=$EY$25)*($PM$6:$PM$42=1))&gt;0)</f>
        <v/>
      </c>
      <c r="PO25">
        <f>$PO$24+--($PN25)</f>
        <v/>
      </c>
      <c r="PP25">
        <f>IF(ROW()-3&gt;MAX($PO$4:$PO$40),"",INDEX($EY$4:$EY$40,MATCH(ROW()-3,$PO$4:$PO$40,0)))</f>
        <v/>
      </c>
      <c r="PQ25">
        <f>IF(COUNTIF('Buyer Groups'!DG78:EI78,0)+COUNTIF('Buyer Groups'!EK78:EN78,0)&gt;0,0,1)</f>
        <v/>
      </c>
      <c r="PR25">
        <f>IF($FD$25="",FALSE,SUMPRODUCT(('Final Calculation Sheet'!$AD$4:$AD$40=$FD$25)*($PQ$6:$PQ$42=1))&gt;0)</f>
        <v/>
      </c>
      <c r="PS25">
        <f>$PS$24+--($PR25)</f>
        <v/>
      </c>
      <c r="PT25">
        <f>IF(ROW()-3&gt;MAX($PS$4:$PS$40),"",INDEX($FD$4:$FD$40,MATCH(ROW()-3,$PS$4:$PS$40,0)))</f>
        <v/>
      </c>
      <c r="PU25">
        <f>IF(COUNTIF('Buyer Groups'!DG78:EJ78,0)+COUNTIF('Buyer Groups'!EL78:EN78,0)&gt;0,0,1)</f>
        <v/>
      </c>
      <c r="PV25">
        <f>IF($FX$25="",FALSE,SUMPRODUCT((IF('Final Calculation Sheet'!$AD$4:$AD$40&lt;=5,"SETTLED","OUTSTANDING")=$FX$25)*($PU$6:$PU$42=1))&gt;0)</f>
        <v/>
      </c>
      <c r="PW25">
        <f>$PW$24+--($PV25)</f>
        <v/>
      </c>
      <c r="PX25">
        <f>IF(ROW()-3&gt;MAX($PW$4:$PW$40),"",INDEX($FX$4:$FX$40,MATCH(ROW()-3,$PW$4:$PW$40,0)))</f>
        <v/>
      </c>
      <c r="PY25">
        <f>IF(COUNTIF('Buyer Groups'!DG78:EK78,0)+COUNTIF('Buyer Groups'!EM78:EN78,0)&gt;0,0,1)</f>
        <v/>
      </c>
      <c r="PZ25">
        <f>IF($FI$25="",FALSE,SUMPRODUCT(('Final Calculation Sheet'!$AF$4:$AF$40=$FI$25)*($PY$6:$PY$42=1))&gt;0)</f>
        <v/>
      </c>
      <c r="QA25">
        <f>$QA$24+--($PZ25)</f>
        <v/>
      </c>
      <c r="QB25">
        <f>IF(ROW()-3&gt;MAX($QA$4:$QA$40),"",INDEX($FI$4:$FI$40,MATCH(ROW()-3,$QA$4:$QA$40,0)))</f>
        <v/>
      </c>
      <c r="QC25">
        <f>IF(COUNTIF('Buyer Groups'!DG78:EL78,0)+COUNTIF('Buyer Groups'!EN78:EN78,0)&gt;0,0,1)</f>
        <v/>
      </c>
      <c r="QD25">
        <f>IF($FN$25="",FALSE,SUMPRODUCT(('Final Calculation Sheet'!$AG$4:$AG$40=$FN$25)*($QC$6:$QC$42=1))&gt;0)</f>
        <v/>
      </c>
      <c r="QE25">
        <f>$QE$24+--($QD25)</f>
        <v/>
      </c>
      <c r="QF25">
        <f>IF(ROW()-3&gt;MAX($QE$4:$QE$40),"",INDEX($FN$4:$FN$40,MATCH(ROW()-3,$QE$4:$QE$40,0)))</f>
        <v/>
      </c>
      <c r="QG25">
        <f>IF(COUNTIF('Buyer Groups'!DG78:EM78,0)&gt;0,0,1)</f>
        <v/>
      </c>
      <c r="QH25">
        <f>IF($FS$25="",FALSE,SUMPRODUCT(('Final Calculation Sheet'!$AH$4:$AH$40=$FS$25)*($QG$6:$QG$42=1))&gt;0)</f>
        <v/>
      </c>
      <c r="QI25">
        <f>$QI$24+--($QH25)</f>
        <v/>
      </c>
      <c r="QJ25">
        <f>IF(ROW()-3&gt;MAX($QI$4:$QI$40),"",INDEX($FS$4:$FS$40,MATCH(ROW()-3,$QI$4:$QI$40,0)))</f>
        <v/>
      </c>
      <c r="QK25" t="str">
        <f>IF('Final Calculation Sheet'!$AH$25="","",'Final Calculation Sheet'!$AH$25)</f>
      </c>
      <c r="QL25" t="str">
        <f>IF(QK25="","",COUNTIFS(QK$4:QK$40,"&lt;"&amp;QK25,QK$4:QK$40,"&lt;&gt;"&amp;"")+COUNTIF(QK$4:QK25,QK25))</f>
      </c>
      <c r="QM25" t="str">
        <f>IF(ROW()-3&gt;COUNTIF(QK$4:QK$40,"&lt;&gt;"&amp;""),"",INDEX(QK$4:QK$40,MATCH(ROW()-3,QL$4:QL$40,0)))</f>
      </c>
      <c r="QN25" t="str">
        <f>=QN24+F(AND(QM25&lt;&gt;"",COUNTIF(QM$4:QM25,QM25)=1),1,0)</f>
      </c>
      <c r="QO25" t="str">
        <f>IF(ROW()-3&gt;MAX(QN$4:QN$40),"",INDEX(QM$4:QM$40,MATCH(ROW()-3,QN$4:QN$40,0)))</f>
      </c>
      <c r="QP25" t="str">
        <f>IF(COUNTIF('Final Calculation Sheet'!$AM25:$BS25,0)&gt;0,0,1)</f>
      </c>
      <c r="QQ25" t="str">
        <f>IF($AI$25="",FALSE,SUMPRODUCT(('Final Calculation Sheet'!$A$4:$A$40=$AI$25)*($QP$4:$QP$40=1))&gt;0)</f>
      </c>
      <c r="QR25" t="str">
        <f>=$QR24+--($QQ25)</f>
      </c>
      <c r="QS25" t="str">
        <f>IF(ROW()-3&gt;MAX($QR$4:$QR$40),"",INDEX($AI$4:$AI$40,MATCH(ROW()-3,$QR$4:$QR$40,0)))</f>
      </c>
      <c r="QT25" t="str">
        <f>IF(COUNTIF('Final Calculation Sheet'!$AL25:$AL25,0)+COUNTIF('Final Calculation Sheet'!$AN25:$BS25,0)&gt;0,0,1)</f>
      </c>
      <c r="QU25" t="str">
        <f>IF($Y$25="",FALSE,SUMPRODUCT(('Final Calculation Sheet'!$B$4:$B$40=$Y$25)*($QT$4:$QT$40=1))&gt;0)</f>
      </c>
      <c r="QV25" t="str">
        <f>=$QV24+--($QU25)</f>
      </c>
      <c r="QW25" t="str">
        <f>IF(ROW()-3&gt;MAX($QV$4:$QV$40),"",INDEX($Y$4:$Y$40,MATCH(ROW()-3,$QV$4:$QV$40,0)))</f>
      </c>
      <c r="QX25" t="str">
        <f>IF(COUNTIF('Final Calculation Sheet'!$AL25:$AM25,0)+COUNTIF('Final Calculation Sheet'!$AO25:$BS25,0)&gt;0,0,1)</f>
      </c>
      <c r="QY25" t="str">
        <f>IF($AS$25="",FALSE,SUMPRODUCT(('Final Calculation Sheet'!$C$4:$C$40=$AS$25)*($QX$4:$QX$40=1))&gt;0)</f>
      </c>
      <c r="QZ25" t="str">
        <f>=$QZ24+--($QY25)</f>
      </c>
      <c r="RA25" t="str">
        <f>IF(ROW()-3&gt;MAX($QZ$4:$QZ$40),"",INDEX($AS$4:$AS$40,MATCH(ROW()-3,$QZ$4:$QZ$40,0)))</f>
      </c>
      <c r="RB25" t="str">
        <f>IF(COUNTIF('Final Calculation Sheet'!$AL25:$AN25,0)+COUNTIF('Final Calculation Sheet'!$AP25:$BS25,0)&gt;0,0,1)</f>
      </c>
      <c r="RC25" t="str">
        <f>IF($AD$25="",FALSE,SUMPRODUCT(('Final Calculation Sheet'!$D$4:$D$40=$AD$25)*($RB$4:$RB$40=1))&gt;0)</f>
      </c>
      <c r="RD25" t="str">
        <f>=$RD24+--($RC25)</f>
      </c>
      <c r="RE25" t="str">
        <f>IF(ROW()-3&gt;MAX($RD$4:$RD$40),"",INDEX($AD$4:$AD$40,MATCH(ROW()-3,$RD$4:$RD$40,0)))</f>
      </c>
      <c r="RF25" t="str">
        <f>IF(COUNTIF('Final Calculation Sheet'!$AL25:$AO25,0)+COUNTIF('Final Calculation Sheet'!$AQ25:$BS25,0)&gt;0,0,1)</f>
      </c>
      <c r="RG25" t="str">
        <f>IF($AN$25="",FALSE,SUMPRODUCT(('Final Calculation Sheet'!$E$4:$E$40=$AN$25)*($RF$4:$RF$40=1))&gt;0)</f>
      </c>
      <c r="RH25" t="str">
        <f>=$RH24+--($RG25)</f>
      </c>
      <c r="RI25" t="str">
        <f>IF(ROW()-3&gt;MAX($RH$4:$RH$40),"",INDEX($AN$4:$AN$40,MATCH(ROW()-3,$RH$4:$RH$40,0)))</f>
      </c>
      <c r="RJ25" t="str">
        <f>IF(COUNTIF('Final Calculation Sheet'!$AL25:$AP25,0)+COUNTIF('Final Calculation Sheet'!$AR25:$BS25,0)&gt;0,0,1)</f>
      </c>
      <c r="RK25" t="str">
        <f>IF($O$25="",FALSE,SUMPRODUCT(('Final Calculation Sheet'!$F$4:$F$40=$O$25)*($RJ$4:$RJ$40=1))&gt;0)</f>
      </c>
      <c r="RL25" t="str">
        <f>=$RL24+--($RK25)</f>
      </c>
      <c r="RM25" t="str">
        <f>IF(ROW()-3&gt;MAX($RL$4:$RL$40),"",INDEX($O$4:$O$40,MATCH(ROW()-3,$RL$4:$RL$40,0)))</f>
      </c>
      <c r="RN25" t="str">
        <f>IF(COUNTIF('Final Calculation Sheet'!$AL25:$AQ25,0)+COUNTIF('Final Calculation Sheet'!$AS25:$BS25,0)&gt;0,0,1)</f>
      </c>
      <c r="RO25" t="str">
        <f>IF($T$25="",FALSE,SUMPRODUCT(('Final Calculation Sheet'!$G$4:$G$40=$T$25)*($RN$4:$RN$40=1))&gt;0)</f>
      </c>
      <c r="RP25" t="str">
        <f>=$RP24+--($RO25)</f>
      </c>
      <c r="RQ25" t="str">
        <f>IF(ROW()-3&gt;MAX($RP$4:$RP$40),"",INDEX($T$4:$T$40,MATCH(ROW()-3,$RP$4:$RP$40,0)))</f>
      </c>
      <c r="RR25" t="str">
        <f>IF(COUNTIF('Final Calculation Sheet'!$AL25:$AR25,0)+COUNTIF('Final Calculation Sheet'!$AT25:$BS25,0)&gt;0,0,1)</f>
      </c>
      <c r="RS25" t="str">
        <f>IF($AX$25="",FALSE,SUMPRODUCT(('Final Calculation Sheet'!$H$4:$H$40=$AX$25)*($RR$4:$RR$40=1))&gt;0)</f>
      </c>
      <c r="RT25" t="str">
        <f>=$RT24+--($RS25)</f>
      </c>
      <c r="RU25" t="str">
        <f>IF(ROW()-3&gt;MAX($RT$4:$RT$40),"",INDEX($AX$4:$AX$40,MATCH(ROW()-3,$RT$4:$RT$40,0)))</f>
      </c>
      <c r="RV25" t="str">
        <f>IF(COUNTIF('Final Calculation Sheet'!$AL25:$AS25,0)+COUNTIF('Final Calculation Sheet'!$AU25:$BS25,0)&gt;0,0,1)</f>
      </c>
      <c r="RW25" t="str">
        <f>IF($BC$25="",FALSE,SUMPRODUCT(('Final Calculation Sheet'!$I$4:$I$40=$BC$25)*($RV$4:$RV$40=1))&gt;0)</f>
      </c>
      <c r="RX25" t="str">
        <f>=$RX24+--($RW25)</f>
      </c>
      <c r="RY25" t="str">
        <f>IF(ROW()-3&gt;MAX($RX$4:$RX$40),"",INDEX($BC$4:$BC$40,MATCH(ROW()-3,$RX$4:$RX$40,0)))</f>
      </c>
      <c r="RZ25" t="str">
        <f>IF(COUNTIF('Final Calculation Sheet'!$AL25:$AT25,0)+COUNTIF('Final Calculation Sheet'!$AV25:$BS25,0)&gt;0,0,1)</f>
      </c>
      <c r="SA25" t="str">
        <f>IF($BH$25="",FALSE,SUMPRODUCT(('Final Calculation Sheet'!$J$4:$J$40=$BH$25)*($RZ$4:$RZ$40=1))&gt;0)</f>
      </c>
      <c r="SB25" t="str">
        <f>=$SB24+--($SA25)</f>
      </c>
      <c r="SC25" t="str">
        <f>IF(ROW()-3&gt;MAX($SB$4:$SB$40),"",INDEX($BH$4:$BH$40,MATCH(ROW()-3,$SB$4:$SB$40,0)))</f>
      </c>
      <c r="SD25" t="str">
        <f>IF(COUNTIF('Final Calculation Sheet'!$AL25:$AU25,0)+COUNTIF('Final Calculation Sheet'!$AW25:$BS25,0)&gt;0,0,1)</f>
      </c>
      <c r="SE25" t="str">
        <f>IF($BM$25="",FALSE,SUMPRODUCT(('Final Calculation Sheet'!$K$4:$K$40=$BM$25)*($SD$4:$SD$40=1))&gt;0)</f>
      </c>
      <c r="SF25" t="str">
        <f>=$SF24+--($SE25)</f>
      </c>
      <c r="SG25" t="str">
        <f>IF(ROW()-3&gt;MAX($SF$4:$SF$40),"",INDEX($BM$4:$BM$40,MATCH(ROW()-3,$SF$4:$SF$40,0)))</f>
      </c>
      <c r="SH25" t="str">
        <f>IF(COUNTIF('Final Calculation Sheet'!$AL25:$AV25,0)+COUNTIF('Final Calculation Sheet'!$AX25:$BS25,0)&gt;0,0,1)</f>
      </c>
      <c r="SI25" t="str">
        <f>IF($BR$25="",FALSE,SUMPRODUCT(('Final Calculation Sheet'!$L$4:$L$40=$BR$25)*($SH$4:$SH$40=1))&gt;0)</f>
      </c>
      <c r="SJ25" t="str">
        <f>=$SJ24+--($SI25)</f>
      </c>
      <c r="SK25" t="str">
        <f>IF(ROW()-3&gt;MAX($SJ$4:$SJ$40),"",INDEX($BR$4:$BR$40,MATCH(ROW()-3,$SJ$4:$SJ$40,0)))</f>
      </c>
      <c r="SL25" t="str">
        <f>IF(COUNTIF('Final Calculation Sheet'!$AL25:$AW25,0)+COUNTIF('Final Calculation Sheet'!$AY25:$BS25,0)&gt;0,0,1)</f>
      </c>
      <c r="SM25" t="str">
        <f>IF($BW$25="",FALSE,SUMPRODUCT(('Final Calculation Sheet'!$M$4:$M$40=$BW$25)*($SL$4:$SL$40=1))&gt;0)</f>
      </c>
      <c r="SN25" t="str">
        <f>=$SN24+--($SM25)</f>
      </c>
      <c r="SO25" t="str">
        <f>IF(ROW()-3&gt;MAX($SN$4:$SN$40),"",INDEX($BW$4:$BW$40,MATCH(ROW()-3,$SN$4:$SN$40,0)))</f>
      </c>
      <c r="SP25" t="str">
        <f>IF(COUNTIF('Final Calculation Sheet'!$AL25:$AX25,0)+COUNTIF('Final Calculation Sheet'!$AZ25:$BS25,0)&gt;0,0,1)</f>
      </c>
      <c r="SQ25" t="str">
        <f>IF($CB$25="",FALSE,SUMPRODUCT(('Final Calculation Sheet'!$N$4:$N$40=$CB$25)*($SP$4:$SP$40=1))&gt;0)</f>
      </c>
      <c r="SR25" t="str">
        <f>=$SR24+--($SQ25)</f>
      </c>
      <c r="SS25" t="str">
        <f>IF(ROW()-3&gt;MAX($SR$4:$SR$40),"",INDEX($CB$4:$CB$40,MATCH(ROW()-3,$SR$4:$SR$40,0)))</f>
      </c>
      <c r="ST25" t="str">
        <f>IF(COUNTIF('Final Calculation Sheet'!$AL25:$AY25,0)+COUNTIF('Final Calculation Sheet'!$BA25:$BS25,0)&gt;0,0,1)</f>
      </c>
      <c r="SU25" t="str">
        <f>IF($CG$25="",FALSE,SUMPRODUCT(('Final Calculation Sheet'!$O$4:$O$40=$CG$25)*($ST$4:$ST$40=1))&gt;0)</f>
      </c>
      <c r="SV25" t="str">
        <f>=$SV24+--($SU25)</f>
      </c>
      <c r="SW25" t="str">
        <f>IF(ROW()-3&gt;MAX($SV$4:$SV$40),"",INDEX($CG$4:$CG$40,MATCH(ROW()-3,$SV$4:$SV$40,0)))</f>
      </c>
      <c r="SX25" t="str">
        <f>IF(COUNTIF('Final Calculation Sheet'!$AL25:$AZ25,0)+COUNTIF('Final Calculation Sheet'!$BB25:$BS25,0)&gt;0,0,1)</f>
      </c>
      <c r="SY25" t="str">
        <f>IF($CL$25="",FALSE,SUMPRODUCT(('Final Calculation Sheet'!$P$4:$P$40=$CL$25)*($SX$4:$SX$40=1))&gt;0)</f>
      </c>
      <c r="SZ25" t="str">
        <f>=$SZ24+--($SY25)</f>
      </c>
      <c r="TA25" t="str">
        <f>IF(ROW()-3&gt;MAX($SZ$4:$SZ$40),"",INDEX($CL$4:$CL$40,MATCH(ROW()-3,$SZ$4:$SZ$40,0)))</f>
      </c>
      <c r="TB25" t="str">
        <f>IF(COUNTIF('Final Calculation Sheet'!$AL25:$BA25,0)+COUNTIF('Final Calculation Sheet'!$BC25:$BS25,0)&gt;0,0,1)</f>
      </c>
      <c r="TC25" t="str">
        <f>IF($CQ$25="",FALSE,SUMPRODUCT(('Final Calculation Sheet'!$Q$4:$Q$40=$CQ$25)*($TB$4:$TB$40=1))&gt;0)</f>
      </c>
      <c r="TD25" t="str">
        <f>=$TD24+--($TC25)</f>
      </c>
      <c r="TE25" t="str">
        <f>IF(ROW()-3&gt;MAX($TD$4:$TD$40),"",INDEX($CQ$4:$CQ$40,MATCH(ROW()-3,$TD$4:$TD$40,0)))</f>
      </c>
      <c r="TF25" t="str">
        <f>IF(COUNTIF('Final Calculation Sheet'!$AL25:$BB25,0)+COUNTIF('Final Calculation Sheet'!$BD25:$BS25,0)&gt;0,0,1)</f>
      </c>
      <c r="TG25" t="str">
        <f>IF($CV$25="",FALSE,SUMPRODUCT(('Final Calculation Sheet'!$R$4:$R$40=$CV$25)*($TF$4:$TF$40=1))&gt;0)</f>
      </c>
      <c r="TH25" t="str">
        <f>=$TH24+--($TG25)</f>
      </c>
      <c r="TI25" t="str">
        <f>IF(ROW()-3&gt;MAX($TH$4:$TH$40),"",INDEX($CV$4:$CV$40,MATCH(ROW()-3,$TH$4:$TH$40,0)))</f>
      </c>
      <c r="TJ25" t="str">
        <f>IF(COUNTIF('Final Calculation Sheet'!$AL25:$BC25,0)+COUNTIF('Final Calculation Sheet'!$BE25:$BS25,0)&gt;0,0,1)</f>
      </c>
      <c r="TK25" t="str">
        <f>IF($DA$25="",FALSE,SUMPRODUCT(('Final Calculation Sheet'!$S$4:$S$40=$DA$25)*($TJ$4:$TJ$40=1))&gt;0)</f>
      </c>
      <c r="TL25" t="str">
        <f>=$TL24+--($TK25)</f>
      </c>
      <c r="TM25" t="str">
        <f>IF(ROW()-3&gt;MAX($TL$4:$TL$40),"",INDEX($DA$4:$DA$40,MATCH(ROW()-3,$TL$4:$TL$40,0)))</f>
      </c>
      <c r="TN25" t="str">
        <f>IF(COUNTIF('Final Calculation Sheet'!$AL25:$BD25,0)+COUNTIF('Final Calculation Sheet'!$BF25:$BS25,0)&gt;0,0,1)</f>
      </c>
      <c r="TO25" t="str">
        <f>IF($DF$25="",FALSE,SUMPRODUCT(('Final Calculation Sheet'!$T$4:$T$40=$DF$25)*($TN$4:$TN$40=1))&gt;0)</f>
      </c>
      <c r="TP25" t="str">
        <f>=$TP24+--($TO25)</f>
      </c>
      <c r="TQ25" t="str">
        <f>IF(ROW()-3&gt;MAX($TP$4:$TP$40),"",INDEX($DF$4:$DF$40,MATCH(ROW()-3,$TP$4:$TP$40,0)))</f>
      </c>
      <c r="TR25" t="str">
        <f>IF(COUNTIF('Final Calculation Sheet'!$AL25:$BE25,0)+COUNTIF('Final Calculation Sheet'!$BG25:$BS25,0)&gt;0,0,1)</f>
      </c>
      <c r="TS25" t="str">
        <f>IF($DK$25="",FALSE,SUMPRODUCT(('Final Calculation Sheet'!$U$4:$U$40=$DK$25)*($TR$4:$TR$40=1))&gt;0)</f>
      </c>
      <c r="TT25" t="str">
        <f>=$TT24+--($TS25)</f>
      </c>
      <c r="TU25" t="str">
        <f>IF(ROW()-3&gt;MAX($TT$4:$TT$40),"",INDEX($DK$4:$DK$40,MATCH(ROW()-3,$TT$4:$TT$40,0)))</f>
      </c>
      <c r="TV25" t="str">
        <f>IF(COUNTIF('Final Calculation Sheet'!$AL25:$BF25,0)+COUNTIF('Final Calculation Sheet'!$BH25:$BS25,0)&gt;0,0,1)</f>
      </c>
      <c r="TW25" t="str">
        <f>IF($DP$25="",FALSE,SUMPRODUCT(('Final Calculation Sheet'!$V$4:$V$40=$DP$25)*($TV$4:$TV$40=1))&gt;0)</f>
      </c>
      <c r="TX25" t="str">
        <f>=$TX24+--($TW25)</f>
      </c>
      <c r="TY25" t="str">
        <f>IF(ROW()-3&gt;MAX($TX$4:$TX$40),"",INDEX($DP$4:$DP$40,MATCH(ROW()-3,$TX$4:$TX$40,0)))</f>
      </c>
      <c r="TZ25" t="str">
        <f>IF(COUNTIF('Final Calculation Sheet'!$AL25:$BG25,0)+COUNTIF('Final Calculation Sheet'!$BI25:$BS25,0)&gt;0,0,1)</f>
      </c>
      <c r="UA25" t="str">
        <f>IF($DU$25="",FALSE,SUMPRODUCT(('Final Calculation Sheet'!$W$4:$W$40=$DU$25)*($TZ$4:$TZ$40=1))&gt;0)</f>
      </c>
      <c r="UB25" t="str">
        <f>=$UB24+--($UA25)</f>
      </c>
      <c r="UC25" t="str">
        <f>IF(ROW()-3&gt;MAX($UB$4:$UB$40),"",INDEX($DU$4:$DU$40,MATCH(ROW()-3,$UB$4:$UB$40,0)))</f>
      </c>
      <c r="UD25" t="str">
        <f>IF(COUNTIF('Final Calculation Sheet'!$AL25:$BH25,0)+COUNTIF('Final Calculation Sheet'!$BJ25:$BS25,0)&gt;0,0,1)</f>
      </c>
      <c r="UE25" t="str">
        <f>IF($DZ$25="",FALSE,SUMPRODUCT(('Final Calculation Sheet'!$X$4:$X$40=$DZ$25)*($UD$4:$UD$40=1))&gt;0)</f>
      </c>
      <c r="UF25" t="str">
        <f>=$UF24+--($UE25)</f>
      </c>
      <c r="UG25" t="str">
        <f>IF(ROW()-3&gt;MAX($UF$4:$UF$40),"",INDEX($DZ$4:$DZ$40,MATCH(ROW()-3,$UF$4:$UF$40,0)))</f>
      </c>
      <c r="UH25" t="str">
        <f>IF(COUNTIF('Final Calculation Sheet'!$AL25:$BI25,0)+COUNTIF('Final Calculation Sheet'!$BK25:$BS25,0)&gt;0,0,1)</f>
      </c>
      <c r="UI25" t="str">
        <f>IF($EE$25="",FALSE,SUMPRODUCT(('Final Calculation Sheet'!$Y$4:$Y$40=$EE$25)*($UH$4:$UH$40=1))&gt;0)</f>
      </c>
      <c r="UJ25" t="str">
        <f>=$UJ24+--($UI25)</f>
      </c>
      <c r="UK25" t="str">
        <f>IF(ROW()-3&gt;MAX($UJ$4:$UJ$40),"",INDEX($EE$4:$EE$40,MATCH(ROW()-3,$UJ$4:$UJ$40,0)))</f>
      </c>
      <c r="UL25" t="str">
        <f>IF(COUNTIF('Final Calculation Sheet'!$AL25:$BJ25,0)+COUNTIF('Final Calculation Sheet'!$BL25:$BS25,0)&gt;0,0,1)</f>
      </c>
      <c r="UM25" t="str">
        <f>IF($EJ$25="",FALSE,SUMPRODUCT(('Final Calculation Sheet'!$Z$4:$Z$40=$EJ$25)*($UL$4:$UL$40=1))&gt;0)</f>
      </c>
      <c r="UN25" t="str">
        <f>=$UN24+--($UM25)</f>
      </c>
      <c r="UO25" t="str">
        <f>IF(ROW()-3&gt;MAX($UN$4:$UN$40),"",INDEX($EJ$4:$EJ$40,MATCH(ROW()-3,$UN$4:$UN$40,0)))</f>
      </c>
      <c r="UP25" t="str">
        <f>IF(COUNTIF('Final Calculation Sheet'!$AL25:$BK25,0)+COUNTIF('Final Calculation Sheet'!$BM25:$BS25,0)&gt;0,0,1)</f>
      </c>
      <c r="UQ25" t="str">
        <f>IF($EO$25="",FALSE,SUMPRODUCT(('Final Calculation Sheet'!$AA$4:$AA$40=$EO$25)*($UP$4:$UP$40=1))&gt;0)</f>
      </c>
      <c r="UR25" t="str">
        <f>=$UR24+--($UQ25)</f>
      </c>
      <c r="US25" t="str">
        <f>IF(ROW()-3&gt;MAX($UR$4:$UR$40),"",INDEX($EO$4:$EO$40,MATCH(ROW()-3,$UR$4:$UR$40,0)))</f>
      </c>
      <c r="UT25" t="str">
        <f>IF(COUNTIF('Final Calculation Sheet'!$AL25:$BL25,0)+COUNTIF('Final Calculation Sheet'!$BN25:$BS25,0)&gt;0,0,1)</f>
      </c>
      <c r="UU25" t="str">
        <f>IF($ET$25="",FALSE,SUMPRODUCT(('Final Calculation Sheet'!$AB$4:$AB$40=$ET$25)*($UT$4:$UT$40=1))&gt;0)</f>
      </c>
      <c r="UV25" t="str">
        <f>=$UV24+--($UU25)</f>
      </c>
      <c r="UW25" t="str">
        <f>IF(ROW()-3&gt;MAX($UV$4:$UV$40),"",INDEX($ET$4:$ET$40,MATCH(ROW()-3,$UV$4:$UV$40,0)))</f>
      </c>
      <c r="UX25" t="str">
        <f>IF(COUNTIF('Final Calculation Sheet'!$AL25:$BM25,0)+COUNTIF('Final Calculation Sheet'!$BO25:$BS25,0)&gt;0,0,1)</f>
      </c>
      <c r="UY25" t="str">
        <f>IF($EY$25="",FALSE,SUMPRODUCT(('Final Calculation Sheet'!$AC$4:$AC$40=$EY$25)*($UX$4:$UX$40=1))&gt;0)</f>
      </c>
      <c r="UZ25" t="str">
        <f>=$UZ24+--($UY25)</f>
      </c>
      <c r="VA25" t="str">
        <f>IF(ROW()-3&gt;MAX($UZ$4:$UZ$40),"",INDEX($EY$4:$EY$40,MATCH(ROW()-3,$UZ$4:$UZ$40,0)))</f>
      </c>
      <c r="VB25" t="str">
        <f>IF(COUNTIF('Final Calculation Sheet'!$AL25:$BN25,0)+COUNTIF('Final Calculation Sheet'!$BP25:$BS25,0)&gt;0,0,1)</f>
      </c>
      <c r="VC25" t="str">
        <f>IF($FD$25="",FALSE,SUMPRODUCT(('Final Calculation Sheet'!$AD$4:$AD$40=$FD$25)*($VB$4:$VB$40=1))&gt;0)</f>
      </c>
      <c r="VD25" t="str">
        <f>=$VD24+--($VC25)</f>
      </c>
      <c r="VE25" t="str">
        <f>IF(ROW()-3&gt;MAX($VD$4:$VD$40),"",INDEX($FD$4:$FD$40,MATCH(ROW()-3,$VD$4:$VD$40,0)))</f>
      </c>
      <c r="VF25" t="str">
        <f>IF(COUNTIF('Final Calculation Sheet'!$AL25:$BO25,0)+COUNTIF('Final Calculation Sheet'!$BQ25:$BS25,0)&gt;0,0,1)</f>
      </c>
      <c r="VG25" t="str">
        <f>IF($FI$25="",FALSE,SUMPRODUCT(('Final Calculation Sheet'!$AE$4:$AE$40=$FI$25)*($VF$4:$VF$40=1))&gt;0)</f>
      </c>
      <c r="VH25" t="str">
        <f>=$VH24+--($VG25)</f>
      </c>
      <c r="VI25" t="str">
        <f>IF(ROW()-3&gt;MAX($VH$4:$VH$40),"",INDEX($FI$4:$FI$40,MATCH(ROW()-3,$VH$4:$VH$40,0)))</f>
      </c>
      <c r="VJ25" t="str">
        <f>IF(COUNTIF('Final Calculation Sheet'!$AL25:$BP25,0)+COUNTIF('Final Calculation Sheet'!$BR25:$BS25,0)&gt;0,0,1)</f>
      </c>
      <c r="VK25" t="str">
        <f>IF($FN$25="",FALSE,SUMPRODUCT(('Final Calculation Sheet'!$AF$4:$AF$40=$FN$25)*($VJ$4:$VJ$40=1))&gt;0)</f>
      </c>
      <c r="VL25" t="str">
        <f>=$VL24+--($VK25)</f>
      </c>
      <c r="VM25" t="str">
        <f>IF(ROW()-3&gt;MAX($VL$4:$VL$40),"",INDEX($FN$4:$FN$40,MATCH(ROW()-3,$VL$4:$VL$40,0)))</f>
      </c>
      <c r="VN25" t="str">
        <f>IF(COUNTIF('Final Calculation Sheet'!$AL25:$BQ25,0)+COUNTIF('Final Calculation Sheet'!$BS25:$BS25,0)&gt;0,0,1)</f>
      </c>
      <c r="VO25" t="str">
        <f>IF($FS$25="",FALSE,SUMPRODUCT(('Final Calculation Sheet'!$AG$4:$AG$40=$FS$25)*($VN$4:$VN$40=1))&gt;0)</f>
      </c>
      <c r="VP25" t="str">
        <f>=$VP24+--($VO25)</f>
      </c>
      <c r="VQ25" t="str">
        <f>IF(ROW()-3&gt;MAX($VP$4:$VP$40),"",INDEX($FS$4:$FS$40,MATCH(ROW()-3,$VP$4:$VP$40,0)))</f>
      </c>
      <c r="VR25" t="str">
        <f>IF(COUNTIF('Final Calculation Sheet'!$AL25:$BR25,0)&gt;0,0,1)</f>
      </c>
      <c r="VS25" t="str">
        <f>IF($QO$25="",FALSE,SUMPRODUCT(('Final Calculation Sheet'!$AH$4:$AH$40=$QO$25)*($VR$4:$VR$40=1))&gt;0)</f>
      </c>
      <c r="VT25" t="str">
        <f>=$VT24+--($VS25)</f>
      </c>
      <c r="VU25" t="str">
        <f>IF(ROW()-3&gt;MAX($VT$4:$VT$40),"",INDEX($QO$4:$QO$40,MATCH(ROW()-3,$VT$4:$VT$40,0)))</f>
      </c>
    </row>
    <row r="26">
      <c r="A26">
        <f>IF('Final Calculation Sheet'!$F$26="","",'Final Calculation Sheet'!$F$26)</f>
        <v/>
      </c>
      <c r="B26">
        <f>IF(A26="","",COUNTIFS(A$4:A$114,"&lt;"&amp;A26,A$4:A$114,"&lt;&gt;"&amp;"")+COUNTIF(A$4:A26,A26))</f>
        <v/>
      </c>
      <c r="C26">
        <f>IF(ROW()-3&gt;COUNTIF(A$4:A$114,"&lt;&gt;"&amp;""),"",INDEX(A$4:A$114,MATCH(ROW()-3,B$4:B$114,0)))</f>
        <v/>
      </c>
      <c r="D26">
        <f>D25+IF(AND(C26&lt;&gt;"",COUNTIF(C$4:C26,C26)=1),1,0)</f>
        <v/>
      </c>
      <c r="E26">
        <f>IF(ROW()-3&gt;MAX(D$4:D$114),"",INDEX(C$4:C$114,MATCH(ROW()-3,D$4:D$114,0)))</f>
        <v/>
      </c>
      <c r="F26">
        <f>ROW()-3</f>
        <v/>
      </c>
      <c r="G26">
        <f>IF(F26="","",COUNTIFS(F$4:F$40,"&lt;"&amp;F26,F$4:F$40,"&lt;&gt;"&amp;"")+COUNTIF(F$4:F26,F26))</f>
        <v/>
      </c>
      <c r="H26">
        <f>IF(ROW()-3&gt;COUNTIF(F$4:F$40,"&lt;&gt;"&amp;""),"",INDEX(F$4:F$40,MATCH(ROW()-3,G$4:G$40,0)))</f>
        <v/>
      </c>
      <c r="I26">
        <f>I25+IF(AND(H26&lt;&gt;"",COUNTIF(H$4:H26,H26)=1),1,0)</f>
        <v/>
      </c>
      <c r="J26">
        <f>IF(ROW()-3&gt;MAX(I$4:I$40),"",INDEX(H$4:H$40,MATCH(ROW()-3,I$4:I$40,0)))</f>
        <v/>
      </c>
      <c r="K26">
        <f>IF('Final Calculation Sheet'!$F$26="","",'Final Calculation Sheet'!$F$26)</f>
        <v/>
      </c>
      <c r="L26">
        <f>IF(K26="","",COUNTIFS(K$4:K$40,"&lt;"&amp;K26,K$4:K$40,"&lt;&gt;"&amp;"")+COUNTIF(K$4:K26,K26))</f>
        <v/>
      </c>
      <c r="M26">
        <f>IF(ROW()-3&gt;COUNTIF(K$4:K$40,"&lt;&gt;"&amp;""),"",INDEX(K$4:K$40,MATCH(ROW()-3,L$4:L$40,0)))</f>
        <v/>
      </c>
      <c r="N26">
        <f>N25+IF(AND(M26&lt;&gt;"",COUNTIF(M$4:M26,M26)=1),1,0)</f>
        <v/>
      </c>
      <c r="O26">
        <f>IF(ROW()-3&gt;MAX(N$4:N$40),"",INDEX(M$4:M$40,MATCH(ROW()-3,N$4:N$40,0)))</f>
        <v/>
      </c>
      <c r="P26">
        <f>IF('Final Calculation Sheet'!$G$26="","",'Final Calculation Sheet'!$G$26)</f>
        <v/>
      </c>
      <c r="Q26">
        <f>IF(P26="","",COUNTIFS(P$4:P$40,"&lt;"&amp;P26,P$4:P$40,"&lt;&gt;"&amp;"")+COUNTIF(P$4:P26,P26))</f>
        <v/>
      </c>
      <c r="R26">
        <f>IF(ROW()-3&gt;COUNTIF(P$4:P$40,"&lt;&gt;"&amp;""),"",INDEX(P$4:P$40,MATCH(ROW()-3,Q$4:Q$40,0)))</f>
        <v/>
      </c>
      <c r="S26">
        <f>S25+IF(AND(R26&lt;&gt;"",COUNTIF(R$4:R26,R26)=1),1,0)</f>
        <v/>
      </c>
      <c r="T26">
        <f>IF(ROW()-3&gt;MAX(S$4:S$40),"",INDEX(R$4:R$40,MATCH(ROW()-3,S$4:S$40,0)))</f>
        <v/>
      </c>
      <c r="U26">
        <f>IF('Final Calculation Sheet'!$B$26="","",'Final Calculation Sheet'!$B$26)</f>
        <v/>
      </c>
      <c r="V26">
        <f>IF(U26="","",COUNTIFS(U$4:U$40,"&lt;"&amp;U26,U$4:U$40,"&lt;&gt;"&amp;"")+COUNTIF(U$4:U26,U26))</f>
        <v/>
      </c>
      <c r="W26">
        <f>IF(ROW()-3&gt;COUNTIF(U$4:U$40,"&lt;&gt;"&amp;""),"",INDEX(U$4:U$40,MATCH(ROW()-3,V$4:V$40,0)))</f>
        <v/>
      </c>
      <c r="X26">
        <f>X25+IF(AND(W26&lt;&gt;"",COUNTIF(W$4:W26,W26)=1),1,0)</f>
        <v/>
      </c>
      <c r="Y26">
        <f>IF(ROW()-3&gt;MAX(X$4:X$40),"",INDEX(W$4:W$40,MATCH(ROW()-3,X$4:X$40,0)))</f>
        <v/>
      </c>
      <c r="Z26">
        <f>IF('Final Calculation Sheet'!$D$26="","",'Final Calculation Sheet'!$D$26)</f>
        <v/>
      </c>
      <c r="AA26">
        <f>IF(Z26="","",COUNTIFS(Z$4:Z$40,"&lt;"&amp;Z26,Z$4:Z$40,"&lt;&gt;"&amp;"")+COUNTIF(Z$4:Z26,Z26))</f>
        <v/>
      </c>
      <c r="AB26">
        <f>IF(ROW()-3&gt;COUNTIF(Z$4:Z$40,"&lt;&gt;"&amp;""),"",INDEX(Z$4:Z$40,MATCH(ROW()-3,AA$4:AA$40,0)))</f>
        <v/>
      </c>
      <c r="AC26">
        <f>AC25+IF(AND(AB26&lt;&gt;"",COUNTIF(AB$4:AB26,AB26)=1),1,0)</f>
        <v/>
      </c>
      <c r="AD26">
        <f>IF(ROW()-3&gt;MAX(AC$4:AC$40),"",INDEX(AB$4:AB$40,MATCH(ROW()-3,AC$4:AC$40,0)))</f>
        <v/>
      </c>
      <c r="AE26">
        <f>IF('Final Calculation Sheet'!$A$26="","",'Final Calculation Sheet'!$A$26)</f>
        <v/>
      </c>
      <c r="AF26">
        <f>IF(AE26="","",COUNTIFS(AE$4:AE$40,"&lt;"&amp;AE26,AE$4:AE$40,"&lt;&gt;"&amp;"")+COUNTIF(AE$4:AE26,AE26))</f>
        <v/>
      </c>
      <c r="AG26">
        <f>IF(ROW()-3&gt;COUNTIF(AE$4:AE$40,"&lt;&gt;"&amp;""),"",INDEX(AE$4:AE$40,MATCH(ROW()-3,AF$4:AF$40,0)))</f>
        <v/>
      </c>
      <c r="AH26">
        <f>AH25+IF(AND(AG26&lt;&gt;"",COUNTIF(AG$4:AG26,AG26)=1),1,0)</f>
        <v/>
      </c>
      <c r="AI26">
        <f>IF(ROW()-3&gt;MAX(AH$4:AH$40),"",INDEX(AG$4:AG$40,MATCH(ROW()-3,AH$4:AH$40,0)))</f>
        <v/>
      </c>
      <c r="AJ26">
        <f>IF('Final Calculation Sheet'!$E$26="","",'Final Calculation Sheet'!$E$26)</f>
        <v/>
      </c>
      <c r="AK26">
        <f>IF(AJ26="","",COUNTIFS(AJ$4:AJ$40,"&lt;"&amp;AJ26,AJ$4:AJ$40,"&lt;&gt;"&amp;"")+COUNTIF(AJ$4:AJ26,AJ26))</f>
        <v/>
      </c>
      <c r="AL26">
        <f>IF(ROW()-3&gt;COUNTIF(AJ$4:AJ$40,"&lt;&gt;"&amp;""),"",INDEX(AJ$4:AJ$40,MATCH(ROW()-3,AK$4:AK$40,0)))</f>
        <v/>
      </c>
      <c r="AM26">
        <f>AM25+IF(AND(AL26&lt;&gt;"",COUNTIF(AL$4:AL26,AL26)=1),1,0)</f>
        <v/>
      </c>
      <c r="AN26">
        <f>IF(ROW()-3&gt;MAX(AM$4:AM$40),"",INDEX(AL$4:AL$40,MATCH(ROW()-3,AM$4:AM$40,0)))</f>
        <v/>
      </c>
      <c r="AO26" s="55">
        <f>IF('Final Calculation Sheet'!$C$26="","",'Final Calculation Sheet'!$C$26)</f>
        <v/>
      </c>
      <c r="AP26">
        <f>IF(AO26="","",COUNTIFS(AO$4:AO$40,"&lt;"&amp;AO26,AO$4:AO$40,"&lt;&gt;"&amp;"")+COUNTIF(AO$4:AO26,AO26))</f>
        <v/>
      </c>
      <c r="AQ26" s="55">
        <f>IF(ROW()-3&gt;COUNTIF(AO$4:AO$40,"&lt;&gt;"&amp;""),"",INDEX(AO$4:AO$40,MATCH(ROW()-3,AP$4:AP$40,0)))</f>
        <v/>
      </c>
      <c r="AR26">
        <f>AR25+IF(AND(AQ26&lt;&gt;"",COUNTIF(AQ$4:AQ26,AQ26)=1),1,0)</f>
        <v/>
      </c>
      <c r="AS26" s="55">
        <f>IF(ROW()-3&gt;MAX(AR$4:AR$40),"",INDEX(AQ$4:AQ$40,MATCH(ROW()-3,AR$4:AR$40,0)))</f>
        <v/>
      </c>
      <c r="AT26" s="55">
        <f>IF('Final Calculation Sheet'!$H$26="","",'Final Calculation Sheet'!$H$26)</f>
        <v/>
      </c>
      <c r="AU26">
        <f>IF(AT26="","",COUNTIFS(AT$4:AT$40,"&lt;"&amp;AT26,AT$4:AT$40,"&lt;&gt;"&amp;"")+COUNTIF(AT$4:AT26,AT26))</f>
        <v/>
      </c>
      <c r="AV26" s="55">
        <f>IF(ROW()-3&gt;COUNTIF(AT$4:AT$40,"&lt;&gt;"&amp;""),"",INDEX(AT$4:AT$40,MATCH(ROW()-3,AU$4:AU$40,0)))</f>
        <v/>
      </c>
      <c r="AW26">
        <f>AW25+IF(AND(AV26&lt;&gt;"",COUNTIF(AV$4:AV26,AV26)=1),1,0)</f>
        <v/>
      </c>
      <c r="AX26" s="55">
        <f>IF(ROW()-3&gt;MAX(AW$4:AW$40),"",INDEX(AV$4:AV$40,MATCH(ROW()-3,AW$4:AW$40,0)))</f>
        <v/>
      </c>
      <c r="AY26" s="55">
        <f>IF('Final Calculation Sheet'!$I$26="","",'Final Calculation Sheet'!$I$26)</f>
        <v/>
      </c>
      <c r="AZ26">
        <f>IF(AY26="","",COUNTIFS(AY$4:AY$40,"&lt;"&amp;AY26,AY$4:AY$40,"&lt;&gt;"&amp;"")+COUNTIF(AY$4:AY26,AY26))</f>
        <v/>
      </c>
      <c r="BA26" s="55">
        <f>IF(ROW()-3&gt;COUNTIF(AY$4:AY$40,"&lt;&gt;"&amp;""),"",INDEX(AY$4:AY$40,MATCH(ROW()-3,AZ$4:AZ$40,0)))</f>
        <v/>
      </c>
      <c r="BB26">
        <f>BB25+IF(AND(BA26&lt;&gt;"",COUNTIF(BA$4:BA26,BA26)=1),1,0)</f>
        <v/>
      </c>
      <c r="BC26" s="55">
        <f>IF(ROW()-3&gt;MAX(BB$4:BB$40),"",INDEX(BA$4:BA$40,MATCH(ROW()-3,BB$4:BB$40,0)))</f>
        <v/>
      </c>
      <c r="BD26" s="55">
        <f>IF('Final Calculation Sheet'!$J$26="","",'Final Calculation Sheet'!$J$26)</f>
        <v/>
      </c>
      <c r="BE26">
        <f>IF(BD26="","",COUNTIFS(BD$4:BD$40,"&lt;"&amp;BD26,BD$4:BD$40,"&lt;&gt;"&amp;"")+COUNTIF(BD$4:BD26,BD26))</f>
        <v/>
      </c>
      <c r="BF26" s="55">
        <f>IF(ROW()-3&gt;COUNTIF(BD$4:BD$40,"&lt;&gt;"&amp;""),"",INDEX(BD$4:BD$40,MATCH(ROW()-3,BE$4:BE$40,0)))</f>
        <v/>
      </c>
      <c r="BG26">
        <f>BG25+IF(AND(BF26&lt;&gt;"",COUNTIF(BF$4:BF26,BF26)=1),1,0)</f>
        <v/>
      </c>
      <c r="BH26" s="55">
        <f>IF(ROW()-3&gt;MAX(BG$4:BG$40),"",INDEX(BF$4:BF$40,MATCH(ROW()-3,BG$4:BG$40,0)))</f>
        <v/>
      </c>
      <c r="BI26" s="55">
        <f>IF('Final Calculation Sheet'!$K$26="","",'Final Calculation Sheet'!$K$26)</f>
        <v/>
      </c>
      <c r="BJ26">
        <f>IF(BI26="","",COUNTIFS(BI$4:BI$40,"&lt;"&amp;BI26,BI$4:BI$40,"&lt;&gt;"&amp;"")+COUNTIF(BI$4:BI26,BI26))</f>
        <v/>
      </c>
      <c r="BK26" s="55">
        <f>IF(ROW()-3&gt;COUNTIF(BI$4:BI$40,"&lt;&gt;"&amp;""),"",INDEX(BI$4:BI$40,MATCH(ROW()-3,BJ$4:BJ$40,0)))</f>
        <v/>
      </c>
      <c r="BL26">
        <f>BL25+IF(AND(BK26&lt;&gt;"",COUNTIF(BK$4:BK26,BK26)=1),1,0)</f>
        <v/>
      </c>
      <c r="BM26" s="55">
        <f>IF(ROW()-3&gt;MAX(BL$4:BL$40),"",INDEX(BK$4:BK$40,MATCH(ROW()-3,BL$4:BL$40,0)))</f>
        <v/>
      </c>
      <c r="BN26" s="55">
        <f>IF('Final Calculation Sheet'!$L$26="","",'Final Calculation Sheet'!$L$26)</f>
        <v/>
      </c>
      <c r="BO26">
        <f>IF(BN26="","",COUNTIFS(BN$4:BN$40,"&lt;"&amp;BN26,BN$4:BN$40,"&lt;&gt;"&amp;"")+COUNTIF(BN$4:BN26,BN26))</f>
        <v/>
      </c>
      <c r="BP26" s="55">
        <f>IF(ROW()-3&gt;COUNTIF(BN$4:BN$40,"&lt;&gt;"&amp;""),"",INDEX(BN$4:BN$40,MATCH(ROW()-3,BO$4:BO$40,0)))</f>
        <v/>
      </c>
      <c r="BQ26">
        <f>BQ25+IF(AND(BP26&lt;&gt;"",COUNTIF(BP$4:BP26,BP26)=1),1,0)</f>
        <v/>
      </c>
      <c r="BR26" s="55">
        <f>IF(ROW()-3&gt;MAX(BQ$4:BQ$40),"",INDEX(BP$4:BP$40,MATCH(ROW()-3,BQ$4:BQ$40,0)))</f>
        <v/>
      </c>
      <c r="BS26" s="55">
        <f>IF('Final Calculation Sheet'!$M$26="","",'Final Calculation Sheet'!$M$26)</f>
        <v/>
      </c>
      <c r="BT26">
        <f>IF(BS26="","",COUNTIFS(BS$4:BS$40,"&lt;"&amp;BS26,BS$4:BS$40,"&lt;&gt;"&amp;"")+COUNTIF(BS$4:BS26,BS26))</f>
        <v/>
      </c>
      <c r="BU26" s="55">
        <f>IF(ROW()-3&gt;COUNTIF(BS$4:BS$40,"&lt;&gt;"&amp;""),"",INDEX(BS$4:BS$40,MATCH(ROW()-3,BT$4:BT$40,0)))</f>
        <v/>
      </c>
      <c r="BV26">
        <f>BV25+IF(AND(BU26&lt;&gt;"",COUNTIF(BU$4:BU26,BU26)=1),1,0)</f>
        <v/>
      </c>
      <c r="BW26" s="55">
        <f>IF(ROW()-3&gt;MAX(BV$4:BV$40),"",INDEX(BU$4:BU$40,MATCH(ROW()-3,BV$4:BV$40,0)))</f>
        <v/>
      </c>
      <c r="BX26" s="138">
        <f>IF('Final Calculation Sheet'!$N$26="","",'Final Calculation Sheet'!$N$26)</f>
        <v/>
      </c>
      <c r="BY26">
        <f>IF(BX26="","",COUNTIFS(BX$4:BX$40,"&lt;"&amp;BX26,BX$4:BX$40,"&lt;&gt;"&amp;"")+COUNTIF(BX$4:BX26,BX26))</f>
        <v/>
      </c>
      <c r="BZ26" s="138">
        <f>IF(ROW()-3&gt;COUNTIF(BX$4:BX$40,"&lt;&gt;"&amp;""),"",INDEX(BX$4:BX$40,MATCH(ROW()-3,BY$4:BY$40,0)))</f>
        <v/>
      </c>
      <c r="CA26">
        <f>CA25+IF(AND(BZ26&lt;&gt;"",COUNTIF(BZ$4:BZ26,BZ26)=1),1,0)</f>
        <v/>
      </c>
      <c r="CB26" s="138">
        <f>IF(ROW()-3&gt;MAX(CA$4:CA$40),"",INDEX(BZ$4:BZ$40,MATCH(ROW()-3,CA$4:CA$40,0)))</f>
        <v/>
      </c>
      <c r="CC26" s="55">
        <f>IF('Final Calculation Sheet'!$O$26="","",'Final Calculation Sheet'!$O$26)</f>
        <v/>
      </c>
      <c r="CD26">
        <f>IF(CC26="","",COUNTIFS(CC$4:CC$40,"&lt;"&amp;CC26,CC$4:CC$40,"&lt;&gt;"&amp;"")+COUNTIF(CC$4:CC26,CC26))</f>
        <v/>
      </c>
      <c r="CE26" s="55">
        <f>IF(ROW()-3&gt;COUNTIF(CC$4:CC$40,"&lt;&gt;"&amp;""),"",INDEX(CC$4:CC$40,MATCH(ROW()-3,CD$4:CD$40,0)))</f>
        <v/>
      </c>
      <c r="CF26">
        <f>CF25+IF(AND(CE26&lt;&gt;"",COUNTIF(CE$4:CE26,CE26)=1),1,0)</f>
        <v/>
      </c>
      <c r="CG26" s="55">
        <f>IF(ROW()-3&gt;MAX(CF$4:CF$40),"",INDEX(CE$4:CE$40,MATCH(ROW()-3,CF$4:CF$40,0)))</f>
        <v/>
      </c>
      <c r="CH26" s="55">
        <f>IF('Final Calculation Sheet'!$P$26="","",'Final Calculation Sheet'!$P$26)</f>
        <v/>
      </c>
      <c r="CI26">
        <f>IF(CH26="","",COUNTIFS(CH$4:CH$40,"&lt;"&amp;CH26,CH$4:CH$40,"&lt;&gt;"&amp;"")+COUNTIF(CH$4:CH26,CH26))</f>
        <v/>
      </c>
      <c r="CJ26" s="55">
        <f>IF(ROW()-3&gt;COUNTIF(CH$4:CH$40,"&lt;&gt;"&amp;""),"",INDEX(CH$4:CH$40,MATCH(ROW()-3,CI$4:CI$40,0)))</f>
        <v/>
      </c>
      <c r="CK26">
        <f>CK25+IF(AND(CJ26&lt;&gt;"",COUNTIF(CJ$4:CJ26,CJ26)=1),1,0)</f>
        <v/>
      </c>
      <c r="CL26" s="55">
        <f>IF(ROW()-3&gt;MAX(CK$4:CK$40),"",INDEX(CJ$4:CJ$40,MATCH(ROW()-3,CK$4:CK$40,0)))</f>
        <v/>
      </c>
      <c r="CM26" s="139">
        <f>IF('Final Calculation Sheet'!$Q$26="","",'Final Calculation Sheet'!$Q$26)</f>
        <v/>
      </c>
      <c r="CN26">
        <f>IF(CM26="","",COUNTIFS(CM$4:CM$40,"&lt;"&amp;CM26,CM$4:CM$40,"&lt;&gt;"&amp;"")+COUNTIF(CM$4:CM26,CM26))</f>
        <v/>
      </c>
      <c r="CO26" s="139">
        <f>IF(ROW()-3&gt;COUNTIF(CM$4:CM$40,"&lt;&gt;"&amp;""),"",INDEX(CM$4:CM$40,MATCH(ROW()-3,CN$4:CN$40,0)))</f>
        <v/>
      </c>
      <c r="CP26">
        <f>CP25+IF(AND(CO26&lt;&gt;"",COUNTIF(CO$4:CO26,CO26)=1),1,0)</f>
        <v/>
      </c>
      <c r="CQ26">
        <f>IF(ROW()-3&gt;MAX(CP$4:CP$40),"",INDEX(CO$4:CO$40,MATCH(ROW()-3,CP$4:CP$40,0)))</f>
        <v/>
      </c>
      <c r="CR26" s="55">
        <f>IF('Final Calculation Sheet'!$R$26="","",'Final Calculation Sheet'!$R$26)</f>
        <v/>
      </c>
      <c r="CS26">
        <f>IF(CR26="","",COUNTIFS(CR$4:CR$40,"&lt;"&amp;CR26,CR$4:CR$40,"&lt;&gt;"&amp;"")+COUNTIF(CR$4:CR26,CR26))</f>
        <v/>
      </c>
      <c r="CT26" s="55">
        <f>IF(ROW()-3&gt;COUNTIF(CR$4:CR$40,"&lt;&gt;"&amp;""),"",INDEX(CR$4:CR$40,MATCH(ROW()-3,CS$4:CS$40,0)))</f>
        <v/>
      </c>
      <c r="CU26">
        <f>CU25+IF(AND(CT26&lt;&gt;"",COUNTIF(CT$4:CT26,CT26)=1),1,0)</f>
        <v/>
      </c>
      <c r="CV26">
        <f>IF(ROW()-3&gt;MAX(CU$4:CU$40),"",INDEX(CT$4:CT$40,MATCH(ROW()-3,CU$4:CU$40,0)))</f>
        <v/>
      </c>
      <c r="CW26" s="55">
        <f>IF('Final Calculation Sheet'!$S$26="","",'Final Calculation Sheet'!$S$26)</f>
        <v/>
      </c>
      <c r="CX26">
        <f>IF(CW26="","",COUNTIFS(CW$4:CW$40,"&lt;"&amp;CW26,CW$4:CW$40,"&lt;&gt;"&amp;"")+COUNTIF(CW$4:CW26,CW26))</f>
        <v/>
      </c>
      <c r="CY26" s="55">
        <f>IF(ROW()-3&gt;COUNTIF(CW$4:CW$40,"&lt;&gt;"&amp;""),"",INDEX(CW$4:CW$40,MATCH(ROW()-3,CX$4:CX$40,0)))</f>
        <v/>
      </c>
      <c r="CZ26">
        <f>CZ25+IF(AND(CY26&lt;&gt;"",COUNTIF(CY$4:CY26,CY26)=1),1,0)</f>
        <v/>
      </c>
      <c r="DA26" s="55">
        <f>IF(ROW()-3&gt;MAX(CZ$4:CZ$40),"",INDEX(CY$4:CY$40,MATCH(ROW()-3,CZ$4:CZ$40,0)))</f>
        <v/>
      </c>
      <c r="DB26" s="55">
        <f>IF('Final Calculation Sheet'!$T$26="","",'Final Calculation Sheet'!$T$26)</f>
        <v/>
      </c>
      <c r="DC26">
        <f>IF(DB26="","",COUNTIFS(DB$4:DB$40,"&lt;"&amp;DB26,DB$4:DB$40,"&lt;&gt;"&amp;"")+COUNTIF(DB$4:DB26,DB26))</f>
        <v/>
      </c>
      <c r="DD26" s="55">
        <f>IF(ROW()-3&gt;COUNTIF(DB$4:DB$40,"&lt;&gt;"&amp;""),"",INDEX(DB$4:DB$40,MATCH(ROW()-3,DC$4:DC$40,0)))</f>
        <v/>
      </c>
      <c r="DE26">
        <f>DE25+IF(AND(DD26&lt;&gt;"",COUNTIF(DD$4:DD26,DD26)=1),1,0)</f>
        <v/>
      </c>
      <c r="DF26" s="55">
        <f>IF(ROW()-3&gt;MAX(DE$4:DE$40),"",INDEX(DD$4:DD$40,MATCH(ROW()-3,DE$4:DE$40,0)))</f>
        <v/>
      </c>
      <c r="DG26" s="140">
        <f>IF('Final Calculation Sheet'!$U$26="","",'Final Calculation Sheet'!$U$26)</f>
        <v/>
      </c>
      <c r="DH26">
        <f>IF(DG26="","",COUNTIFS(DG$4:DG$40,"&lt;"&amp;DG26,DG$4:DG$40,"&lt;&gt;"&amp;"")+COUNTIF(DG$4:DG26,DG26))</f>
        <v/>
      </c>
      <c r="DI26" s="140">
        <f>IF(ROW()-3&gt;COUNTIF(DG$4:DG$40,"&lt;&gt;"&amp;""),"",INDEX(DG$4:DG$40,MATCH(ROW()-3,DH$4:DH$40,0)))</f>
        <v/>
      </c>
      <c r="DJ26">
        <f>DJ25+IF(AND(DI26&lt;&gt;"",COUNTIF(DI$4:DI26,DI26)=1),1,0)</f>
        <v/>
      </c>
      <c r="DK26" s="140">
        <f>IF(ROW()-3&gt;MAX(DJ$4:DJ$40),"",INDEX(DI$4:DI$40,MATCH(ROW()-3,DJ$4:DJ$40,0)))</f>
        <v/>
      </c>
      <c r="DL26">
        <f>IF('Final Calculation Sheet'!$V$26="","",'Final Calculation Sheet'!$V$26)</f>
        <v/>
      </c>
      <c r="DM26">
        <f>IF(DL26="","",COUNTIFS(DL$4:DL$40,"&lt;"&amp;DL26,DL$4:DL$40,"&lt;&gt;"&amp;"")+COUNTIF(DL$4:DL26,DL26))</f>
        <v/>
      </c>
      <c r="DN26">
        <f>IF(ROW()-3&gt;COUNTIF(DL$4:DL$40,"&lt;&gt;"&amp;""),"",INDEX(DL$4:DL$40,MATCH(ROW()-3,DM$4:DM$40,0)))</f>
        <v/>
      </c>
      <c r="DO26">
        <f>DO25+IF(AND(DN26&lt;&gt;"",COUNTIF(DN$4:DN26,DN26)=1),1,0)</f>
        <v/>
      </c>
      <c r="DP26">
        <f>IF(ROW()-3&gt;MAX(DO$4:DO$40),"",INDEX(DN$4:DN$40,MATCH(ROW()-3,DO$4:DO$40,0)))</f>
        <v/>
      </c>
      <c r="DQ26" s="55">
        <f>IF('Final Calculation Sheet'!$W$26="","",'Final Calculation Sheet'!$W$26)</f>
        <v/>
      </c>
      <c r="DR26">
        <f>IF(DQ26="","",COUNTIFS(DQ$4:DQ$40,"&lt;"&amp;DQ26,DQ$4:DQ$40,"&lt;&gt;"&amp;"")+COUNTIF(DQ$4:DQ26,DQ26))</f>
        <v/>
      </c>
      <c r="DS26" s="55">
        <f>IF(ROW()-3&gt;COUNTIF(DQ$4:DQ$40,"&lt;&gt;"&amp;""),"",INDEX(DQ$4:DQ$40,MATCH(ROW()-3,DR$4:DR$40,0)))</f>
        <v/>
      </c>
      <c r="DT26">
        <f>DT25+IF(AND(DS26&lt;&gt;"",COUNTIF(DS$4:DS26,DS26)=1),1,0)</f>
        <v/>
      </c>
      <c r="DU26" s="55">
        <f>IF(ROW()-3&gt;MAX(DT$4:DT$40),"",INDEX(DS$4:DS$40,MATCH(ROW()-3,DT$4:DT$40,0)))</f>
        <v/>
      </c>
      <c r="DV26" s="55">
        <f>IF('Final Calculation Sheet'!$X$26="","",'Final Calculation Sheet'!$X$26)</f>
        <v/>
      </c>
      <c r="DW26">
        <f>IF(DV26="","",COUNTIFS(DV$4:DV$40,"&lt;"&amp;DV26,DV$4:DV$40,"&lt;&gt;"&amp;"")+COUNTIF(DV$4:DV26,DV26))</f>
        <v/>
      </c>
      <c r="DX26" s="55">
        <f>IF(ROW()-3&gt;COUNTIF(DV$4:DV$40,"&lt;&gt;"&amp;""),"",INDEX(DV$4:DV$40,MATCH(ROW()-3,DW$4:DW$40,0)))</f>
        <v/>
      </c>
      <c r="DY26">
        <f>DY25+IF(AND(DX26&lt;&gt;"",COUNTIF(DX$4:DX26,DX26)=1),1,0)</f>
        <v/>
      </c>
      <c r="DZ26">
        <f>IF(ROW()-3&gt;MAX(DY$4:DY$40),"",INDEX(DX$4:DX$40,MATCH(ROW()-3,DY$4:DY$40,0)))</f>
        <v/>
      </c>
      <c r="EA26">
        <f>IF('Final Calculation Sheet'!$Y$26="","",'Final Calculation Sheet'!$Y$26)</f>
        <v/>
      </c>
      <c r="EB26">
        <f>IF(EA26="","",COUNTIFS(EA$4:EA$40,"&lt;"&amp;EA26,EA$4:EA$40,"&lt;&gt;"&amp;"")+COUNTIF(EA$4:EA26,EA26))</f>
        <v/>
      </c>
      <c r="EC26">
        <f>IF(ROW()-3&gt;COUNTIF(EA$4:EA$40,"&lt;&gt;"&amp;""),"",INDEX(EA$4:EA$40,MATCH(ROW()-3,EB$4:EB$40,0)))</f>
        <v/>
      </c>
      <c r="ED26">
        <f>ED25+IF(AND(EC26&lt;&gt;"",COUNTIF(EC$4:EC26,EC26)=1),1,0)</f>
        <v/>
      </c>
      <c r="EE26">
        <f>IF(ROW()-3&gt;MAX(ED$4:ED$40),"",INDEX(EC$4:EC$40,MATCH(ROW()-3,ED$4:ED$40,0)))</f>
        <v/>
      </c>
      <c r="EF26" s="55">
        <f>IF('Final Calculation Sheet'!$Z$26="","",'Final Calculation Sheet'!$Z$26)</f>
        <v/>
      </c>
      <c r="EG26">
        <f>IF(EF26="","",COUNTIFS(EF$4:EF$40,"&lt;"&amp;EF26,EF$4:EF$40,"&lt;&gt;"&amp;"")+COUNTIF(EF$4:EF26,EF26))</f>
        <v/>
      </c>
      <c r="EH26" s="55">
        <f>IF(ROW()-3&gt;COUNTIF(EF$4:EF$40,"&lt;&gt;"&amp;""),"",INDEX(EF$4:EF$40,MATCH(ROW()-3,EG$4:EG$40,0)))</f>
        <v/>
      </c>
      <c r="EI26">
        <f>EI25+IF(AND(EH26&lt;&gt;"",COUNTIF(EH$4:EH26,EH26)=1),1,0)</f>
        <v/>
      </c>
      <c r="EJ26">
        <f>IF(ROW()-3&gt;MAX(EI$4:EI$40),"",INDEX(EH$4:EH$40,MATCH(ROW()-3,EI$4:EI$40,0)))</f>
        <v/>
      </c>
      <c r="EK26">
        <f>IF('Final Calculation Sheet'!$AA$26="","",'Final Calculation Sheet'!$AA$26)</f>
        <v/>
      </c>
      <c r="EL26">
        <f>IF(EK26="","",COUNTIFS(EK$4:EK$40,"&lt;"&amp;EK26,EK$4:EK$40,"&lt;&gt;"&amp;"")+COUNTIF(EK$4:EK26,EK26))</f>
        <v/>
      </c>
      <c r="EM26">
        <f>IF(ROW()-3&gt;COUNTIF(EK$4:EK$40,"&lt;&gt;"&amp;""),"",INDEX(EK$4:EK$40,MATCH(ROW()-3,EL$4:EL$40,0)))</f>
        <v/>
      </c>
      <c r="EN26">
        <f>EN25+IF(AND(EM26&lt;&gt;"",COUNTIF(EM$4:EM26,EM26)=1),1,0)</f>
        <v/>
      </c>
      <c r="EO26">
        <f>IF(ROW()-3&gt;MAX(EN$4:EN$40),"",INDEX(EM$4:EM$40,MATCH(ROW()-3,EN$4:EN$40,0)))</f>
        <v/>
      </c>
      <c r="EP26">
        <f>IF('Final Calculation Sheet'!$AB$26="","",'Final Calculation Sheet'!$AB$26)</f>
        <v/>
      </c>
      <c r="EQ26">
        <f>IF(EP26="","",COUNTIFS(EP$4:EP$40,"&lt;"&amp;EP26,EP$4:EP$40,"&lt;&gt;"&amp;"")+COUNTIF(EP$4:EP26,EP26))</f>
        <v/>
      </c>
      <c r="ER26">
        <f>IF(ROW()-3&gt;COUNTIF(EP$4:EP$40,"&lt;&gt;"&amp;""),"",INDEX(EP$4:EP$40,MATCH(ROW()-3,EQ$4:EQ$40,0)))</f>
        <v/>
      </c>
      <c r="ES26">
        <f>ES25+IF(AND(ER26&lt;&gt;"",COUNTIF(ER$4:ER26,ER26)=1),1,0)</f>
        <v/>
      </c>
      <c r="ET26">
        <f>IF(ROW()-3&gt;MAX(ES$4:ES$40),"",INDEX(ER$4:ER$40,MATCH(ROW()-3,ES$4:ES$40,0)))</f>
        <v/>
      </c>
      <c r="EU26" s="55">
        <f>IF('Final Calculation Sheet'!$AC$26="","",'Final Calculation Sheet'!$AC$26)</f>
        <v/>
      </c>
      <c r="EV26">
        <f>IF(EU26="","",COUNTIFS(EU$4:EU$40,"&lt;"&amp;EU26,EU$4:EU$40,"&lt;&gt;"&amp;"")+COUNTIF(EU$4:EU26,EU26))</f>
        <v/>
      </c>
      <c r="EW26" s="55">
        <f>IF(ROW()-3&gt;COUNTIF(EU$4:EU$40,"&lt;&gt;"&amp;""),"",INDEX(EU$4:EU$40,MATCH(ROW()-3,EV$4:EV$40,0)))</f>
        <v/>
      </c>
      <c r="EX26">
        <f>EX25+IF(AND(EW26&lt;&gt;"",COUNTIF(EW$4:EW26,EW26)=1),1,0)</f>
        <v/>
      </c>
      <c r="EY26" s="55">
        <f>IF(ROW()-3&gt;MAX(EX$4:EX$40),"",INDEX(EW$4:EW$40,MATCH(ROW()-3,EX$4:EX$40,0)))</f>
        <v/>
      </c>
      <c r="EZ26" s="55">
        <f>IF('Final Calculation Sheet'!$AD$26="","",'Final Calculation Sheet'!$AD$26)</f>
        <v/>
      </c>
      <c r="FA26">
        <f>IF(EZ26="","",COUNTIFS(EZ$4:EZ$40,"&lt;"&amp;EZ26,EZ$4:EZ$40,"&lt;&gt;"&amp;"")+COUNTIF(EZ$4:EZ26,EZ26))</f>
        <v/>
      </c>
      <c r="FB26" s="55">
        <f>IF(ROW()-3&gt;COUNTIF(EZ$4:EZ$40,"&lt;&gt;"&amp;""),"",INDEX(EZ$4:EZ$40,MATCH(ROW()-3,FA$4:FA$40,0)))</f>
        <v/>
      </c>
      <c r="FC26">
        <f>FC25+IF(AND(FB26&lt;&gt;"",COUNTIF(FB$4:FB26,FB26)=1),1,0)</f>
        <v/>
      </c>
      <c r="FD26">
        <f>IF(ROW()-3&gt;MAX(FC$4:FC$40),"",INDEX(FB$4:FB$40,MATCH(ROW()-3,FC$4:FC$40,0)))</f>
        <v/>
      </c>
      <c r="FE26">
        <f>IF('Final Calculation Sheet'!$AF$26="","",'Final Calculation Sheet'!$AF$26)</f>
        <v/>
      </c>
      <c r="FF26">
        <f>IF(FE26="","",COUNTIFS(FE$4:FE$40,"&lt;"&amp;FE26,FE$4:FE$40,"&lt;&gt;"&amp;"")+COUNTIF(FE$4:FE26,FE26))</f>
        <v/>
      </c>
      <c r="FG26">
        <f>IF(ROW()-3&gt;COUNTIF(FE$4:FE$40,"&lt;&gt;"&amp;""),"",INDEX(FE$4:FE$40,MATCH(ROW()-3,FF$4:FF$40,0)))</f>
        <v/>
      </c>
      <c r="FH26">
        <f>FH25+IF(AND(FG26&lt;&gt;"",COUNTIF(FG$4:FG26,FG26)=1),1,0)</f>
        <v/>
      </c>
      <c r="FI26">
        <f>IF(ROW()-3&gt;MAX(FH$4:FH$40),"",INDEX(FG$4:FG$40,MATCH(ROW()-3,FH$4:FH$40,0)))</f>
        <v/>
      </c>
      <c r="FJ26" s="141">
        <f>IF('Final Calculation Sheet'!$AG$26="","",'Final Calculation Sheet'!$AG$26)</f>
        <v/>
      </c>
      <c r="FK26">
        <f>IF(FJ26="","",COUNTIFS(FJ$4:FJ$40,"&lt;"&amp;FJ26,FJ$4:FJ$40,"&lt;&gt;"&amp;"")+COUNTIF(FJ$4:FJ26,FJ26))</f>
        <v/>
      </c>
      <c r="FL26" s="141">
        <f>IF(ROW()-3&gt;COUNTIF(FJ$4:FJ$40,"&lt;&gt;"&amp;""),"",INDEX(FJ$4:FJ$40,MATCH(ROW()-3,FK$4:FK$40,0)))</f>
        <v/>
      </c>
      <c r="FM26">
        <f>FM25+IF(AND(FL26&lt;&gt;"",COUNTIF(FL$4:FL26,FL26)=1),1,0)</f>
        <v/>
      </c>
      <c r="FN26">
        <f>IF(ROW()-3&gt;MAX(FM$4:FM$40),"",INDEX(FL$4:FL$40,MATCH(ROW()-3,FM$4:FM$40,0)))</f>
        <v/>
      </c>
      <c r="FO26">
        <f>IF('Final Calculation Sheet'!$AH$26="","",'Final Calculation Sheet'!$AH$26)</f>
        <v/>
      </c>
      <c r="FP26">
        <f>IF(FO26="","",COUNTIFS(FO$4:FO$40,"&lt;"&amp;FO26,FO$4:FO$40,"&lt;&gt;"&amp;"")+COUNTIF(FO$4:FO26,FO26))</f>
        <v/>
      </c>
      <c r="FQ26">
        <f>IF(ROW()-3&gt;COUNTIF(FO$4:FO$40,"&lt;&gt;"&amp;""),"",INDEX(FO$4:FO$40,MATCH(ROW()-3,FP$4:FP$40,0)))</f>
        <v/>
      </c>
      <c r="FR26">
        <f>FR25+IF(AND(FQ26&lt;&gt;"",COUNTIF(FQ$4:FQ26,FQ26)=1),1,0)</f>
        <v/>
      </c>
      <c r="FS26">
        <f>IF(ROW()-3&gt;MAX(FR$4:FR$40),"",INDEX(FQ$4:FQ$40,MATCH(ROW()-3,FR$4:FR$40,0)))</f>
        <v/>
      </c>
      <c r="FU26">
        <f>IF(FT26="","",COUNTIFS(FT$4:FT$40,"&lt;"&amp;FT26,FT$4:FT$40,"&lt;&gt;"&amp;"")+COUNTIF(FT$4:FT26,FT26))</f>
        <v/>
      </c>
      <c r="FV26">
        <f>IF(ROW()-3&gt;COUNTIF(FT$4:FT$40,"&lt;&gt;"&amp;""),"",INDEX(FT$4:FT$40,MATCH(ROW()-3,FU$4:FU$40,0)))</f>
        <v/>
      </c>
      <c r="FW26">
        <f>FW25+IF(AND(FV26&lt;&gt;"",COUNTIF(FV$4:FV26,FV26)=1),1,0)</f>
        <v/>
      </c>
      <c r="FX26">
        <f>IF(ROW()-3&gt;MAX(FW$4:FW$40),"",INDEX(FV$4:FV$40,MATCH(ROW()-3,FW$4:FW$40,0)))</f>
        <v/>
      </c>
      <c r="FY26">
        <f>IF(COUNTIF('Live Search'!BM$25:BO$25,0)+COUNTIF('Live Search'!BQ$25:CU$25,0)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6">
        <f>IF($Y$26="",FALSE,SUMPRODUCT(('Final Calculation Sheet'!$B$4:$B$40=$Y$26)*($FY$6:$FY$42=1))&gt;0)</f>
        <v/>
      </c>
      <c r="GA26">
        <f>$GA$25+--($FZ$26)</f>
        <v/>
      </c>
      <c r="GB26">
        <f>IF(ROW()-3&gt;MAX($GA$4:$GA$40),"",INDEX($Y$4:$Y$40,MATCH(ROW()-3,$GA$4:$GA$40,0)))</f>
        <v/>
      </c>
      <c r="GC26">
        <f>IF(COUNTIF('Live Search'!BM$25:BM$25,0)+COUNTIF('Live Search'!BO$25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GD26">
        <f>IF($O$26="",FALSE,SUMPRODUCT(('Final Calculation Sheet'!$F$4:$F$40=$O$26)*($GC$6:$GC$42=1))&gt;0)</f>
        <v/>
      </c>
      <c r="GE26">
        <f>$GE$25+--($GD26)</f>
        <v/>
      </c>
      <c r="GF26">
        <f>IF(ROW()-3&gt;MAX($GE$4:$GE$40),"",INDEX($O$4:$O$40,MATCH(ROW()-3,$GE$4:$GE$40,0)))</f>
        <v/>
      </c>
      <c r="GG26">
        <f>IF(COUNTIF('Live Search'!BM$25:BN$25,0)+COUNTIF('Live Search'!BP$25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GH26">
        <f>IF($T$26="",FALSE,SUMPRODUCT(('Final Calculation Sheet'!$G$4:$G$40=$T$26)*($GG$6:$GG$42=1))&gt;0)</f>
        <v/>
      </c>
      <c r="GI26">
        <f>$GI$25+--($GH26)</f>
        <v/>
      </c>
      <c r="GJ26">
        <f>IF(ROW()-3&gt;MAX($GI$4:$GI$40),"",INDEX($T$4:$T$40,MATCH(ROW()-3,$GI$4:$GI$40,0)))</f>
        <v/>
      </c>
      <c r="GK26">
        <f>IF(COUNTIF('Live Search'!BM$25:BP$25,0)+COUNTIF('Live Search'!BR$25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GL26">
        <f>IF($AD$26="",FALSE,SUMPRODUCT(('Final Calculation Sheet'!$D$4:$D$40=$AD$26)*($GK$6:$GK$42=1))&gt;0)</f>
        <v/>
      </c>
      <c r="GM26">
        <f>$GM$25+--($GL26)</f>
        <v/>
      </c>
      <c r="GN26">
        <f>IF(ROW()-3&gt;MAX($GM$4:$GM$40),"",INDEX($AD$4:$AD$40,MATCH(ROW()-3,$GM$4:$GM$40,0)))</f>
        <v/>
      </c>
      <c r="GO26">
        <f>IF(COUNTIF('Live Search'!BM$25:BQ$25,0)+COUNTIF('Live Search'!BS$25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GP26">
        <f>IF($AI$26="",FALSE,SUMPRODUCT(('Final Calculation Sheet'!$A$4:$A$40=$AI$26)*($GO$6:$GO$42=1))&gt;0)</f>
        <v/>
      </c>
      <c r="GQ26">
        <f>$GQ$25+--($GP26)</f>
        <v/>
      </c>
      <c r="GR26">
        <f>IF(ROW()-3&gt;MAX($GQ$4:$GQ$40),"",INDEX($AI$4:$AI$40,MATCH(ROW()-3,$GQ$4:$GQ$40,0)))</f>
        <v/>
      </c>
      <c r="GS26">
        <f>IF(COUNTIF('Live Search'!BM$25:BR$25,0)+COUNTIF('Live Search'!BT$25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GT26">
        <f>IF($AN$26="",FALSE,SUMPRODUCT(('Final Calculation Sheet'!$E$4:$E$40=$AN$26)*($GS$6:$GS$42=1))&gt;0)</f>
        <v/>
      </c>
      <c r="GU26">
        <f>$GU$25+--($GT26)</f>
        <v/>
      </c>
      <c r="GV26">
        <f>IF(ROW()-3&gt;MAX($GU$4:$GU$40),"",INDEX($AN$4:$AN$40,MATCH(ROW()-3,$GU$4:$GU$40,0)))</f>
        <v/>
      </c>
      <c r="GW26">
        <f>IF(COUNTIF('Live Search'!BM$25:BS$25,0)+COUNTIF('Live Search'!BU$25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GX26">
        <f>IF($AS$26="",FALSE,SUMPRODUCT(('Final Calculation Sheet'!$C$4:$C$40=$AS$26)*($GW$6:$GW$42=1))&gt;0)</f>
        <v/>
      </c>
      <c r="GY26">
        <f>$GY$25+--($GX26)</f>
        <v/>
      </c>
      <c r="GZ26">
        <f>IF(ROW()-3&gt;MAX($GY$4:$GY$40),"",INDEX($AS$4:$AS$40,MATCH(ROW()-3,$GY$4:$GY$40,0)))</f>
        <v/>
      </c>
      <c r="HA26">
        <f>IF(COUNTIF('Live Search'!BM$25:BT$25,0)+COUNTIF('Live Search'!BV$25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HB26">
        <f>IF($AX$26="",FALSE,SUMPRODUCT(('Final Calculation Sheet'!$H$4:$H$40=$AX$26)*($HA$6:$HA$42=1))&gt;0)</f>
        <v/>
      </c>
      <c r="HC26">
        <f>$HC$25+--($HB26)</f>
        <v/>
      </c>
      <c r="HD26">
        <f>IF(ROW()-3&gt;MAX($HC$4:$HC$40),"",INDEX($AX$4:$AX$40,MATCH(ROW()-3,$HC$4:$HC$40,0)))</f>
        <v/>
      </c>
      <c r="HE26">
        <f>IF(COUNTIF('Live Search'!BM$25:BU$25,0)+COUNTIF('Live Search'!BW$25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HF26">
        <f>IF($BC$26="",FALSE,SUMPRODUCT(('Final Calculation Sheet'!$I$4:$I$40=$BC$26)*($HE$6:$HE$42=1))&gt;0)</f>
        <v/>
      </c>
      <c r="HG26">
        <f>$HG$25+--($HF26)</f>
        <v/>
      </c>
      <c r="HH26">
        <f>IF(ROW()-3&gt;MAX($HG$4:$HG$40),"",INDEX($BC$4:$BC$40,MATCH(ROW()-3,$HG$4:$HG$40,0)))</f>
        <v/>
      </c>
      <c r="HI26">
        <f>IF(COUNTIF('Live Search'!BM$25:BV$25,0)+COUNTIF('Live Search'!BX$25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HJ26">
        <f>IF($BH$26="",FALSE,SUMPRODUCT(('Final Calculation Sheet'!$J$4:$J$40=$BH$26)*($HI$6:$HI$42=1))&gt;0)</f>
        <v/>
      </c>
      <c r="HK26">
        <f>$HK$25+--($HJ26)</f>
        <v/>
      </c>
      <c r="HL26">
        <f>IF(ROW()-3&gt;MAX($HK$4:$HK$40),"",INDEX($BH$4:$BH$40,MATCH(ROW()-3,$HK$4:$HK$40,0)))</f>
        <v/>
      </c>
      <c r="HM26">
        <f>IF(COUNTIF('Live Search'!BM$25:BW$25,0)+COUNTIF('Live Search'!BY$25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HN26">
        <f>IF($BM$26="",FALSE,SUMPRODUCT(('Final Calculation Sheet'!$K$4:$K$40=$BM$26)*($HM$6:$HM$42=1))&gt;0)</f>
        <v/>
      </c>
      <c r="HO26">
        <f>$HO$25+--($HN26)</f>
        <v/>
      </c>
      <c r="HP26">
        <f>IF(ROW()-3&gt;MAX($HO$4:$HO$40),"",INDEX($BM$4:$BM$40,MATCH(ROW()-3,$HO$4:$HO$40,0)))</f>
        <v/>
      </c>
      <c r="HQ26">
        <f>IF(COUNTIF('Live Search'!BM$25:BX$25,0)+COUNTIF('Live Search'!BZ$25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HR26">
        <f>IF($BR$26="",FALSE,SUMPRODUCT(('Final Calculation Sheet'!$L$4:$L$40=$BR$26)*($HQ$6:$HQ$42=1))&gt;0)</f>
        <v/>
      </c>
      <c r="HS26">
        <f>$HS$25+--($HR26)</f>
        <v/>
      </c>
      <c r="HT26">
        <f>IF(ROW()-3&gt;MAX($HS$4:$HS$40),"",INDEX($BR$4:$BR$40,MATCH(ROW()-3,$HS$4:$HS$40,0)))</f>
        <v/>
      </c>
      <c r="HU26">
        <f>IF(COUNTIF('Live Search'!BM$25:BY$25,0)+COUNTIF('Live Search'!CA$25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HV26">
        <f>IF($BW$26="",FALSE,SUMPRODUCT(('Final Calculation Sheet'!$M$4:$M$40=$BW$26)*($HU$6:$HU$42=1))&gt;0)</f>
        <v/>
      </c>
      <c r="HW26">
        <f>$HW$25+--($HV26)</f>
        <v/>
      </c>
      <c r="HX26">
        <f>IF(ROW()-3&gt;MAX($HW$4:$HW$40),"",INDEX($BW$4:$BW$40,MATCH(ROW()-3,$HW$4:$HW$40,0)))</f>
        <v/>
      </c>
      <c r="HY26">
        <f>IF(COUNTIF('Live Search'!BM$25:BZ$25,0)+COUNTIF('Live Search'!CB$25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HZ26">
        <f>IF($CB$26="",FALSE,SUMPRODUCT(('Final Calculation Sheet'!$N$4:$N$40=$CB$26)*($HY$6:$HY$42=1))&gt;0)</f>
        <v/>
      </c>
      <c r="IA26">
        <f>$IA$25+--($HZ26)</f>
        <v/>
      </c>
      <c r="IB26">
        <f>IF(ROW()-3&gt;MAX($IA$4:$IA$40),"",INDEX($CB$4:$CB$40,MATCH(ROW()-3,$IA$4:$IA$40,0)))</f>
        <v/>
      </c>
      <c r="IC26">
        <f>IF(COUNTIF('Live Search'!BM$25:CA$25,0)+COUNTIF('Live Search'!CC$25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ID26">
        <f>IF($CG$26="",FALSE,SUMPRODUCT(('Final Calculation Sheet'!$O$4:$O$40=$CG$26)*($IC$6:$IC$42=1))&gt;0)</f>
        <v/>
      </c>
      <c r="IE26">
        <f>$IE$25+--($ID26)</f>
        <v/>
      </c>
      <c r="IF26">
        <f>IF(ROW()-3&gt;MAX($IE$4:$IE$40),"",INDEX($CG$4:$CG$40,MATCH(ROW()-3,$IE$4:$IE$40,0)))</f>
        <v/>
      </c>
      <c r="IG26">
        <f>IF(COUNTIF('Live Search'!BM$25:CB$25,0)+COUNTIF('Live Search'!CD$25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IH26">
        <f>IF($CL$26="",FALSE,SUMPRODUCT(('Final Calculation Sheet'!$P$4:$P$40=$CL$26)*($IG$6:$IG$42=1))&gt;0)</f>
        <v/>
      </c>
      <c r="II26">
        <f>$II$25+--($IH26)</f>
        <v/>
      </c>
      <c r="IJ26">
        <f>IF(ROW()-3&gt;MAX($II$4:$II$40),"",INDEX($CL$4:$CL$40,MATCH(ROW()-3,$II$4:$II$40,0)))</f>
        <v/>
      </c>
      <c r="IK26">
        <f>IF(COUNTIF('Live Search'!BM$25:CC$25,0)+COUNTIF('Live Search'!CE$25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IL26">
        <f>IF($CQ$26="",FALSE,SUMPRODUCT(('Final Calculation Sheet'!$Q$4:$Q$40=$CQ$26)*($IK$6:$IK$42=1))&gt;0)</f>
        <v/>
      </c>
      <c r="IM26">
        <f>$IM$25+--($IL26)</f>
        <v/>
      </c>
      <c r="IN26">
        <f>IF(ROW()-3&gt;MAX($IM$4:$IM$40),"",INDEX($CQ$4:$CQ$40,MATCH(ROW()-3,$IM$4:$IM$40,0)))</f>
        <v/>
      </c>
      <c r="IO26">
        <f>IF(COUNTIF('Live Search'!BM$25:CD$25,0)+COUNTIF('Live Search'!CF$25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IP26">
        <f>IF($CV$26="",FALSE,SUMPRODUCT(('Final Calculation Sheet'!$R$4:$R$40=$CV$26)*($IO$6:$IO$42=1))&gt;0)</f>
        <v/>
      </c>
      <c r="IQ26">
        <f>$IQ$25+--($IP26)</f>
        <v/>
      </c>
      <c r="IR26">
        <f>IF(ROW()-3&gt;MAX($IQ$4:$IQ$40),"",INDEX($CV$4:$CV$40,MATCH(ROW()-3,$IQ$4:$IQ$40,0)))</f>
        <v/>
      </c>
      <c r="IS26">
        <f>IF(COUNTIF('Live Search'!BM$25:CE$25,0)+COUNTIF('Live Search'!CG$25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IT26">
        <f>IF($DA$26="",FALSE,SUMPRODUCT(('Final Calculation Sheet'!$S$4:$S$40=$DA$26)*($IS$6:$IS$42=1))&gt;0)</f>
        <v/>
      </c>
      <c r="IU26">
        <f>$IU$25+--($IT26)</f>
        <v/>
      </c>
      <c r="IV26">
        <f>IF(ROW()-3&gt;MAX($IU$4:$IU$40),"",INDEX($DA$4:$DA$40,MATCH(ROW()-3,$IU$4:$IU$40,0)))</f>
        <v/>
      </c>
      <c r="IW26">
        <f>IF(COUNTIF('Live Search'!BM$25:CF$25,0)+COUNTIF('Live Search'!CH$25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IX26">
        <f>IF($DF$26="",FALSE,SUMPRODUCT(('Final Calculation Sheet'!$T$4:$T$40=$DF$26)*($IW$6:$IW$42=1))&gt;0)</f>
        <v/>
      </c>
      <c r="IY26">
        <f>$IY$25+--($IX26)</f>
        <v/>
      </c>
      <c r="IZ26">
        <f>IF(ROW()-3&gt;MAX($IY$4:$IY$40),"",INDEX($DF$4:$DF$40,MATCH(ROW()-3,$IY$4:$IY$40,0)))</f>
        <v/>
      </c>
      <c r="JA26">
        <f>IF(COUNTIF('Live Search'!BM$25:CG$25,0)+COUNTIF('Live Search'!CI$25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JB26">
        <f>IF($DK$26="",FALSE,SUMPRODUCT(('Final Calculation Sheet'!$U$4:$U$40=$DK$26)*($JA$6:$JA$42=1))&gt;0)</f>
        <v/>
      </c>
      <c r="JC26">
        <f>$JC$25+--($JB26)</f>
        <v/>
      </c>
      <c r="JD26">
        <f>IF(ROW()-3&gt;MAX($JC$4:$JC$40),"",INDEX($DK$4:$DK$40,MATCH(ROW()-3,$JC$4:$JC$40,0)))</f>
        <v/>
      </c>
      <c r="JE26">
        <f>IF(COUNTIF('Live Search'!BM$25:CH$25,0)+COUNTIF('Live Search'!CJ$25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JF26">
        <f>IF($DP$26="",FALSE,SUMPRODUCT(('Final Calculation Sheet'!$V$4:$V$40=$DP$26)*($JE$6:$JE$42=1))&gt;0)</f>
        <v/>
      </c>
      <c r="JG26">
        <f>$JG$25+--($JF26)</f>
        <v/>
      </c>
      <c r="JH26">
        <f>IF(ROW()-3&gt;MAX($JG$4:$JG$40),"",INDEX($DP$4:$DP$40,MATCH(ROW()-3,$JG$4:$JG$40,0)))</f>
        <v/>
      </c>
      <c r="JI26">
        <f>IF(COUNTIF('Live Search'!BM$25:CI$25,0)+COUNTIF('Live Search'!CK$25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JJ26">
        <f>IF($DU$26="",FALSE,SUMPRODUCT(('Final Calculation Sheet'!$W$4:$W$40=$DU$26)*($JI$6:$JI$42=1))&gt;0)</f>
        <v/>
      </c>
      <c r="JK26">
        <f>$JK$25+--($JJ26)</f>
        <v/>
      </c>
      <c r="JL26">
        <f>IF(ROW()-3&gt;MAX($JK$4:$JK$40),"",INDEX($DU$4:$DU$40,MATCH(ROW()-3,$JK$4:$JK$40,0)))</f>
        <v/>
      </c>
      <c r="JM26">
        <f>IF(COUNTIF('Live Search'!BM$25:CJ$25,0)+COUNTIF('Live Search'!CL$25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JN26">
        <f>IF($DZ$26="",FALSE,SUMPRODUCT(('Final Calculation Sheet'!$X$4:$X$40=$DZ$26)*($JM$6:$JM$42=1))&gt;0)</f>
        <v/>
      </c>
      <c r="JO26">
        <f>$JO$25+--($JN26)</f>
        <v/>
      </c>
      <c r="JP26">
        <f>IF(ROW()-3&gt;MAX($JO$4:$JO$40),"",INDEX($DZ$4:$DZ$40,MATCH(ROW()-3,$JO$4:$JO$40,0)))</f>
        <v/>
      </c>
      <c r="JQ26">
        <f>IF(COUNTIF('Live Search'!BM$25:CK$25,0)+COUNTIF('Live Search'!CM$25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JR26">
        <f>IF($EE$26="",FALSE,SUMPRODUCT(('Final Calculation Sheet'!$Y$4:$Y$40=$EE$26)*($JQ$6:$JQ$42=1))&gt;0)</f>
        <v/>
      </c>
      <c r="JS26">
        <f>$JS$25+--($JR26)</f>
        <v/>
      </c>
      <c r="JT26">
        <f>IF(ROW()-3&gt;MAX($JS$4:$JS$40),"",INDEX($EE$4:$EE$40,MATCH(ROW()-3,$JS$4:$JS$40,0)))</f>
        <v/>
      </c>
      <c r="JU26">
        <f>IF(COUNTIF('Live Search'!BM$25:CL$25,0)+COUNTIF('Live Search'!CN$25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JV26">
        <f>IF($EJ$26="",FALSE,SUMPRODUCT(('Final Calculation Sheet'!$Z$4:$Z$40=$EJ$26)*($JU$6:$JU$42=1))&gt;0)</f>
        <v/>
      </c>
      <c r="JW26">
        <f>$JW$25+--($JV26)</f>
        <v/>
      </c>
      <c r="JX26">
        <f>IF(ROW()-3&gt;MAX($JW$4:$JW$40),"",INDEX($EJ$4:$EJ$40,MATCH(ROW()-3,$JW$4:$JW$40,0)))</f>
        <v/>
      </c>
      <c r="JY26">
        <f>IF(COUNTIF('Live Search'!BM$25:CM$25,0)+COUNTIF('Live Search'!CO$25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JZ26">
        <f>IF($EO$26="",FALSE,SUMPRODUCT(('Final Calculation Sheet'!$AA$4:$AA$40=$EO$26)*($JY$6:$JY$42=1))&gt;0)</f>
        <v/>
      </c>
      <c r="KA26">
        <f>$KA$25+--($JZ26)</f>
        <v/>
      </c>
      <c r="KB26">
        <f>IF(ROW()-3&gt;MAX($KA$4:$KA$40),"",INDEX($EO$4:$EO$40,MATCH(ROW()-3,$KA$4:$KA$40,0)))</f>
        <v/>
      </c>
      <c r="KC26">
        <f>IF(COUNTIF('Live Search'!BM$25:CN$25,0)+COUNTIF('Live Search'!CP$25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KD26">
        <f>IF($ET$26="",FALSE,SUMPRODUCT(('Final Calculation Sheet'!$AB$4:$AB$40=$ET$26)*($KC$6:$KC$42=1))&gt;0)</f>
        <v/>
      </c>
      <c r="KE26">
        <f>$KE$25+--($KD26)</f>
        <v/>
      </c>
      <c r="KF26">
        <f>IF(ROW()-3&gt;MAX($KE$4:$KE$40),"",INDEX($ET$4:$ET$40,MATCH(ROW()-3,$KE$4:$KE$40,0)))</f>
        <v/>
      </c>
      <c r="KG26">
        <f>IF(COUNTIF('Live Search'!BM$25:CO$25,0)+COUNTIF('Live Search'!CQ$25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KH26">
        <f>IF($EY$26="",FALSE,SUMPRODUCT(('Final Calculation Sheet'!$AC$4:$AC$40=$EY$26)*($KG$6:$KG$42=1))&gt;0)</f>
        <v/>
      </c>
      <c r="KI26">
        <f>$KI$25+--($KH26)</f>
        <v/>
      </c>
      <c r="KJ26">
        <f>IF(ROW()-3&gt;MAX($KI$4:$KI$40),"",INDEX($EY$4:$EY$40,MATCH(ROW()-3,$KI$4:$KI$40,0)))</f>
        <v/>
      </c>
      <c r="KK26">
        <f>IF(COUNTIF('Live Search'!BM$25:CP$25,0)+COUNTIF('Live Search'!CR$25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KL26">
        <f>IF($FD$26="",FALSE,SUMPRODUCT(('Final Calculation Sheet'!$AD$4:$AD$40=$FD$26)*($KK$6:$KK$42=1))&gt;0)</f>
        <v/>
      </c>
      <c r="KM26">
        <f>$KM$25+--($KL26)</f>
        <v/>
      </c>
      <c r="KN26">
        <f>IF(ROW()-3&gt;MAX($KM$4:$KM$40),"",INDEX($FD$4:$FD$40,MATCH(ROW()-3,$KM$4:$KM$40,0)))</f>
        <v/>
      </c>
      <c r="KO26">
        <f>IF(COUNTIF('Live Search'!BM$25:CT$25,0)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KP26">
        <f>IF($FX$26="",FALSE,SUMPRODUCT((IF('Final Calculation Sheet'!$AD$4:$AD$40&lt;=5,"SETTLED","OUTSTANDING")=$FX$26)*($KO$6:$KO$42=1))&gt;0)</f>
        <v/>
      </c>
      <c r="KQ26">
        <f>$KQ$25+--($KP26)</f>
        <v/>
      </c>
      <c r="KR26">
        <f>IF(ROW()-3&gt;MAX($KQ$4:$KQ$40),"",INDEX($FX$4:$FX$40,MATCH(ROW()-3,$KQ$4:$KQ$40,0)))</f>
        <v/>
      </c>
      <c r="KS26">
        <f>IF(COUNTIF('Live Search'!BM$25:CQ$25,0)+COUNTIF('Live Search'!CS$25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KT26">
        <f>IF($FI$26="",FALSE,SUMPRODUCT(('Final Calculation Sheet'!$AF$4:$AF$40=$FI$26)*($KS$6:$KS$42=1))&gt;0)</f>
        <v/>
      </c>
      <c r="KU26">
        <f>$KU$25+--($KT26)</f>
        <v/>
      </c>
      <c r="KV26">
        <f>IF(ROW()-3&gt;MAX($KU$4:$KU$40),"",INDEX($FI$4:$FI$40,MATCH(ROW()-3,$KU$4:$KU$40,0)))</f>
        <v/>
      </c>
      <c r="KW26">
        <f>IF(COUNTIF('Live Search'!BM$25:CR$25,0)+COUNTIF('Live Search'!CT$25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KX26">
        <f>IF($FN$26="",FALSE,SUMPRODUCT(('Final Calculation Sheet'!$AG$4:$AG$40=$FN$26)*($KW$6:$KW$42=1))&gt;0)</f>
        <v/>
      </c>
      <c r="KY26">
        <f>$KY$25+--($KX26)</f>
        <v/>
      </c>
      <c r="KZ26">
        <f>IF(ROW()-3&gt;MAX($KY$4:$KY$40),"",INDEX($FN$4:$FN$40,MATCH(ROW()-3,$KY$4:$KY$40,0)))</f>
        <v/>
      </c>
      <c r="LA26">
        <f>IF(COUNTIF('Live Search'!BM$25:CS$25,0)+COUNTIF('Live Search'!CU$25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LB26">
        <f>IF($FS$26="",FALSE,SUMPRODUCT(('Final Calculation Sheet'!$AH$4:$AH$40=$FS$26)*($LA$6:$LA$42=1))&gt;0)</f>
        <v/>
      </c>
      <c r="LC26">
        <f>$LC$25+--($LB26)</f>
        <v/>
      </c>
      <c r="LD26">
        <f>IF(ROW()-3&gt;MAX($LC$4:$LC$40),"",INDEX($FS$4:$FS$40,MATCH(ROW()-3,$LC$4:$LC$40,0)))</f>
        <v/>
      </c>
      <c r="LE26">
        <f>IF(COUNTIF('Buyer Groups'!DH79:EN79,0)&gt;0,0,1)</f>
        <v/>
      </c>
      <c r="LF26">
        <f>IF($O$26="",FALSE,SUMPRODUCT(('Final Calculation Sheet'!$F$4:$F$40=$O$26)*($LE$6:$LE$42=1))&gt;0)</f>
        <v/>
      </c>
      <c r="LG26">
        <f>$LG$25+--($LF26)</f>
        <v/>
      </c>
      <c r="LH26">
        <f>IF(ROW()-3&gt;MAX($LG$4:$LG$40),"",INDEX($O$4:$O$40,MATCH(ROW()-3,$LG$4:$LG$40,0)))</f>
        <v/>
      </c>
      <c r="LI26">
        <f>IF(COUNTIF('Buyer Groups'!DG79:DG79,0)+COUNTIF('Buyer Groups'!DI79:EN79,0)&gt;0,0,1)</f>
        <v/>
      </c>
      <c r="LJ26">
        <f>IF($T$26="",FALSE,SUMPRODUCT(('Final Calculation Sheet'!$G$4:$G$40=$T$26)*($LI$6:$LI$42=1))&gt;0)</f>
        <v/>
      </c>
      <c r="LK26">
        <f>$LK$25+--($LJ26)</f>
        <v/>
      </c>
      <c r="LL26">
        <f>IF(ROW()-3&gt;MAX($LK$4:$LK$40),"",INDEX($T$4:$T$40,MATCH(ROW()-3,$LK$4:$LK$40,0)))</f>
        <v/>
      </c>
      <c r="LM26">
        <f>IF(COUNTIF('Buyer Groups'!DG79:DH79,0)+COUNTIF('Buyer Groups'!DJ79:EN79,0)&gt;0,0,1)</f>
        <v/>
      </c>
      <c r="LN26">
        <f>IF($Y$26="",FALSE,SUMPRODUCT(('Final Calculation Sheet'!$B$4:$B$40=$Y$26)*($LM$6:$LM$42=1))&gt;0)</f>
        <v/>
      </c>
      <c r="LO26">
        <f>$LO$25+--($LN26)</f>
        <v/>
      </c>
      <c r="LP26">
        <f>IF(ROW()-3&gt;MAX($LO$4:$LO$40),"",INDEX($Y$4:$Y$40,MATCH(ROW()-3,$LO$4:$LO$40,0)))</f>
        <v/>
      </c>
      <c r="LQ26">
        <f>IF(COUNTIF('Buyer Groups'!DG79:DI79,0)+COUNTIF('Buyer Groups'!DK79:EN79,0)&gt;0,0,1)</f>
        <v/>
      </c>
      <c r="LR26">
        <f>IF($AD$26="",FALSE,SUMPRODUCT(('Final Calculation Sheet'!$D$4:$D$40=$AD$26)*($LQ$6:$LQ$42=1))&gt;0)</f>
        <v/>
      </c>
      <c r="LS26">
        <f>$LS$25+--($LR26)</f>
        <v/>
      </c>
      <c r="LT26">
        <f>IF(ROW()-3&gt;MAX($LS$4:$LS$40),"",INDEX($AD$4:$AD$40,MATCH(ROW()-3,$LS$4:$LS$40,0)))</f>
        <v/>
      </c>
      <c r="LU26">
        <f>IF(COUNTIF('Buyer Groups'!DG79:DJ79,0)+COUNTIF('Buyer Groups'!DL79:EN79,0)&gt;0,0,1)</f>
        <v/>
      </c>
      <c r="LV26">
        <f>IF($AI$26="",FALSE,SUMPRODUCT(('Final Calculation Sheet'!$A$4:$A$40=$AI$26)*($LU$6:$LU$42=1))&gt;0)</f>
        <v/>
      </c>
      <c r="LW26">
        <f>$LW$25+--($LV26)</f>
        <v/>
      </c>
      <c r="LX26">
        <f>IF(ROW()-3&gt;MAX($LW$4:$LW$40),"",INDEX($AI$4:$AI$40,MATCH(ROW()-3,$LW$4:$LW$40,0)))</f>
        <v/>
      </c>
      <c r="LY26">
        <f>IF(COUNTIF('Buyer Groups'!DG79:DK79,0)+COUNTIF('Buyer Groups'!DM79:EN79,0)&gt;0,0,1)</f>
        <v/>
      </c>
      <c r="LZ26">
        <f>IF($AN$26="",FALSE,SUMPRODUCT(('Final Calculation Sheet'!$E$4:$E$40=$AN$26)*($LY$6:$LY$42=1))&gt;0)</f>
        <v/>
      </c>
      <c r="MA26">
        <f>$MA$25+--($LZ26)</f>
        <v/>
      </c>
      <c r="MB26">
        <f>IF(ROW()-3&gt;MAX($MA$4:$MA$40),"",INDEX($AN$4:$AN$40,MATCH(ROW()-3,$MA$4:$MA$40,0)))</f>
        <v/>
      </c>
      <c r="MC26">
        <f>IF(COUNTIF('Buyer Groups'!DG79:DL79,0)+COUNTIF('Buyer Groups'!DN79:EN79,0)&gt;0,0,1)</f>
        <v/>
      </c>
      <c r="MD26">
        <f>IF($AS$26="",FALSE,SUMPRODUCT(('Final Calculation Sheet'!$C$4:$C$40=$AS$26)*($MC$6:$MC$42=1))&gt;0)</f>
        <v/>
      </c>
      <c r="ME26">
        <f>$ME$25+--($MD26)</f>
        <v/>
      </c>
      <c r="MF26">
        <f>IF(ROW()-3&gt;MAX($ME$4:$ME$40),"",INDEX($AS$4:$AS$40,MATCH(ROW()-3,$ME$4:$ME$40,0)))</f>
        <v/>
      </c>
      <c r="MG26">
        <f>IF(COUNTIF('Buyer Groups'!DG79:DM79,0)+COUNTIF('Buyer Groups'!DO79:EN79,0)&gt;0,0,1)</f>
        <v/>
      </c>
      <c r="MH26">
        <f>IF($AX$26="",FALSE,SUMPRODUCT(('Final Calculation Sheet'!$H$4:$H$40=$AX$26)*($MG$6:$MG$42=1))&gt;0)</f>
        <v/>
      </c>
      <c r="MI26">
        <f>$MI$25+--($MH26)</f>
        <v/>
      </c>
      <c r="MJ26">
        <f>IF(ROW()-3&gt;MAX($MI$4:$MI$40),"",INDEX($AX$4:$AX$40,MATCH(ROW()-3,$MI$4:$MI$40,0)))</f>
        <v/>
      </c>
      <c r="MK26">
        <f>IF(COUNTIF('Buyer Groups'!DG79:DN79,0)+COUNTIF('Buyer Groups'!DP79:EN79,0)&gt;0,0,1)</f>
        <v/>
      </c>
      <c r="ML26">
        <f>IF($BC$26="",FALSE,SUMPRODUCT(('Final Calculation Sheet'!$I$4:$I$40=$BC$26)*($MK$6:$MK$42=1))&gt;0)</f>
        <v/>
      </c>
      <c r="MM26">
        <f>$MM$25+--($ML26)</f>
        <v/>
      </c>
      <c r="MN26">
        <f>IF(ROW()-3&gt;MAX($MM$4:$MM$40),"",INDEX($BC$4:$BC$40,MATCH(ROW()-3,$MM$4:$MM$40,0)))</f>
        <v/>
      </c>
      <c r="MO26">
        <f>IF(COUNTIF('Buyer Groups'!DG79:DO79,0)+COUNTIF('Buyer Groups'!DQ79:EN79,0)&gt;0,0,1)</f>
        <v/>
      </c>
      <c r="MP26">
        <f>IF($BH$26="",FALSE,SUMPRODUCT(('Final Calculation Sheet'!$J$4:$J$40=$BH$26)*($MO$6:$MO$42=1))&gt;0)</f>
        <v/>
      </c>
      <c r="MQ26">
        <f>$MQ$25+--($MP26)</f>
        <v/>
      </c>
      <c r="MR26">
        <f>IF(ROW()-3&gt;MAX($MQ$4:$MQ$40),"",INDEX($BH$4:$BH$40,MATCH(ROW()-3,$MQ$4:$MQ$40,0)))</f>
        <v/>
      </c>
      <c r="MS26">
        <f>IF(COUNTIF('Buyer Groups'!DG79:DP79,0)+COUNTIF('Buyer Groups'!DR79:EN79,0)&gt;0,0,1)</f>
        <v/>
      </c>
      <c r="MT26">
        <f>IF($BM$26="",FALSE,SUMPRODUCT(('Final Calculation Sheet'!$K$4:$K$40=$BM$26)*($MS$6:$MS$42=1))&gt;0)</f>
        <v/>
      </c>
      <c r="MU26">
        <f>$MU$25+--($MT26)</f>
        <v/>
      </c>
      <c r="MV26">
        <f>IF(ROW()-3&gt;MAX($MU$4:$MU$40),"",INDEX($BM$4:$BM$40,MATCH(ROW()-3,$MU$4:$MU$40,0)))</f>
        <v/>
      </c>
      <c r="MW26">
        <f>IF(COUNTIF('Buyer Groups'!DG79:DQ79,0)+COUNTIF('Buyer Groups'!DS79:EN79,0)&gt;0,0,1)</f>
        <v/>
      </c>
      <c r="MX26">
        <f>IF($BR$26="",FALSE,SUMPRODUCT(('Final Calculation Sheet'!$L$4:$L$40=$BR$26)*($MW$6:$MW$42=1))&gt;0)</f>
        <v/>
      </c>
      <c r="MY26">
        <f>$MY$25+--($MX26)</f>
        <v/>
      </c>
      <c r="MZ26">
        <f>IF(ROW()-3&gt;MAX($MY$4:$MY$40),"",INDEX($BR$4:$BR$40,MATCH(ROW()-3,$MY$4:$MY$40,0)))</f>
        <v/>
      </c>
      <c r="NA26">
        <f>IF(COUNTIF('Buyer Groups'!DG79:DR79,0)+COUNTIF('Buyer Groups'!DT79:EN79,0)&gt;0,0,1)</f>
        <v/>
      </c>
      <c r="NB26">
        <f>IF($BW$26="",FALSE,SUMPRODUCT(('Final Calculation Sheet'!$M$4:$M$40=$BW$26)*($NA$6:$NA$42=1))&gt;0)</f>
        <v/>
      </c>
      <c r="NC26">
        <f>$NC$25+--($NB26)</f>
        <v/>
      </c>
      <c r="ND26">
        <f>IF(ROW()-3&gt;MAX($NC$4:$NC$40),"",INDEX($BW$4:$BW$40,MATCH(ROW()-3,$NC$4:$NC$40,0)))</f>
        <v/>
      </c>
      <c r="NE26">
        <f>IF(COUNTIF('Buyer Groups'!DG79:DS79,0)+COUNTIF('Buyer Groups'!DU79:EN79,0)&gt;0,0,1)</f>
        <v/>
      </c>
      <c r="NF26">
        <f>IF($CB$26="",FALSE,SUMPRODUCT(('Final Calculation Sheet'!$N$4:$N$40=$CB$26)*($NE$6:$NE$42=1))&gt;0)</f>
        <v/>
      </c>
      <c r="NG26">
        <f>$NG$25+--($NF26)</f>
        <v/>
      </c>
      <c r="NH26">
        <f>IF(ROW()-3&gt;MAX($NG$4:$NG$40),"",INDEX($CB$4:$CB$40,MATCH(ROW()-3,$NG$4:$NG$40,0)))</f>
        <v/>
      </c>
      <c r="NI26">
        <f>IF(COUNTIF('Buyer Groups'!DG79:DT79,0)+COUNTIF('Buyer Groups'!DV79:EN79,0)&gt;0,0,1)</f>
        <v/>
      </c>
      <c r="NJ26">
        <f>IF($CG$26="",FALSE,SUMPRODUCT(('Final Calculation Sheet'!$O$4:$O$40=$CG$26)*($NI$6:$NI$42=1))&gt;0)</f>
        <v/>
      </c>
      <c r="NK26">
        <f>$NK$25+--($NJ26)</f>
        <v/>
      </c>
      <c r="NL26">
        <f>IF(ROW()-3&gt;MAX($NK$4:$NK$40),"",INDEX($CG$4:$CG$40,MATCH(ROW()-3,$NK$4:$NK$40,0)))</f>
        <v/>
      </c>
      <c r="NM26">
        <f>IF(COUNTIF('Buyer Groups'!DG79:DU79,0)+COUNTIF('Buyer Groups'!DW79:EN79,0)&gt;0,0,1)</f>
        <v/>
      </c>
      <c r="NN26">
        <f>IF($CL$26="",FALSE,SUMPRODUCT(('Final Calculation Sheet'!$P$4:$P$40=$CL$26)*($NM$6:$NM$42=1))&gt;0)</f>
        <v/>
      </c>
      <c r="NO26">
        <f>$NO$25+--($NN26)</f>
        <v/>
      </c>
      <c r="NP26">
        <f>IF(ROW()-3&gt;MAX($NO$4:$NO$40),"",INDEX($CL$4:$CL$40,MATCH(ROW()-3,$NO$4:$NO$40,0)))</f>
        <v/>
      </c>
      <c r="NQ26">
        <f>IF(COUNTIF('Buyer Groups'!DG79:DV79,0)+COUNTIF('Buyer Groups'!DX79:EN79,0)&gt;0,0,1)</f>
        <v/>
      </c>
      <c r="NR26">
        <f>IF($CQ$26="",FALSE,SUMPRODUCT(('Final Calculation Sheet'!$Q$4:$Q$40=$CQ$26)*($NQ$6:$NQ$42=1))&gt;0)</f>
        <v/>
      </c>
      <c r="NS26">
        <f>$NS$25+--($NR26)</f>
        <v/>
      </c>
      <c r="NT26">
        <f>IF(ROW()-3&gt;MAX($NS$4:$NS$40),"",INDEX($CQ$4:$CQ$40,MATCH(ROW()-3,$NS$4:$NS$40,0)))</f>
        <v/>
      </c>
      <c r="NU26">
        <f>IF(COUNTIF('Buyer Groups'!DG79:DW79,0)+COUNTIF('Buyer Groups'!DY79:EN79,0)&gt;0,0,1)</f>
        <v/>
      </c>
      <c r="NV26">
        <f>IF($CV$26="",FALSE,SUMPRODUCT(('Final Calculation Sheet'!$R$4:$R$40=$CV$26)*($NU$6:$NU$42=1))&gt;0)</f>
        <v/>
      </c>
      <c r="NW26">
        <f>$NW$25+--($NV26)</f>
        <v/>
      </c>
      <c r="NX26">
        <f>IF(ROW()-3&gt;MAX($NW$4:$NW$40),"",INDEX($CV$4:$CV$40,MATCH(ROW()-3,$NW$4:$NW$40,0)))</f>
        <v/>
      </c>
      <c r="NY26">
        <f>IF(COUNTIF('Buyer Groups'!DG79:DX79,0)+COUNTIF('Buyer Groups'!DZ79:EN79,0)&gt;0,0,1)</f>
        <v/>
      </c>
      <c r="NZ26">
        <f>IF($DA$26="",FALSE,SUMPRODUCT(('Final Calculation Sheet'!$S$4:$S$40=$DA$26)*($NY$6:$NY$42=1))&gt;0)</f>
        <v/>
      </c>
      <c r="OA26">
        <f>$OA$25+--($NZ26)</f>
        <v/>
      </c>
      <c r="OB26">
        <f>IF(ROW()-3&gt;MAX($OA$4:$OA$40),"",INDEX($DA$4:$DA$40,MATCH(ROW()-3,$OA$4:$OA$40,0)))</f>
        <v/>
      </c>
      <c r="OC26">
        <f>IF(COUNTIF('Buyer Groups'!DG79:DY79,0)+COUNTIF('Buyer Groups'!EA79:EN79,0)&gt;0,0,1)</f>
        <v/>
      </c>
      <c r="OD26">
        <f>IF($DF$26="",FALSE,SUMPRODUCT(('Final Calculation Sheet'!$T$4:$T$40=$DF$26)*($OC$6:$OC$42=1))&gt;0)</f>
        <v/>
      </c>
      <c r="OE26">
        <f>$OE$25+--($OD26)</f>
        <v/>
      </c>
      <c r="OF26">
        <f>IF(ROW()-3&gt;MAX($OE$4:$OE$40),"",INDEX($DF$4:$DF$40,MATCH(ROW()-3,$OE$4:$OE$40,0)))</f>
        <v/>
      </c>
      <c r="OG26">
        <f>IF(COUNTIF('Buyer Groups'!DG79:DZ79,0)+COUNTIF('Buyer Groups'!EB79:EN79,0)&gt;0,0,1)</f>
        <v/>
      </c>
      <c r="OH26">
        <f>IF($DK$26="",FALSE,SUMPRODUCT(('Final Calculation Sheet'!$U$4:$U$40=$DK$26)*($OG$6:$OG$42=1))&gt;0)</f>
        <v/>
      </c>
      <c r="OI26">
        <f>$OI$25+--($OH26)</f>
        <v/>
      </c>
      <c r="OJ26">
        <f>IF(ROW()-3&gt;MAX($OI$4:$OI$40),"",INDEX($DK$4:$DK$40,MATCH(ROW()-3,$OI$4:$OI$40,0)))</f>
        <v/>
      </c>
      <c r="OK26">
        <f>IF(COUNTIF('Buyer Groups'!DG79:EA79,0)+COUNTIF('Buyer Groups'!EC79:EN79,0)&gt;0,0,1)</f>
        <v/>
      </c>
      <c r="OL26">
        <f>IF($DP$26="",FALSE,SUMPRODUCT(('Final Calculation Sheet'!$V$4:$V$40=$DP$26)*($OK$6:$OK$42=1))&gt;0)</f>
        <v/>
      </c>
      <c r="OM26">
        <f>$OM$25+--($OL26)</f>
        <v/>
      </c>
      <c r="ON26">
        <f>IF(ROW()-3&gt;MAX($OM$4:$OM$40),"",INDEX($DP$4:$DP$40,MATCH(ROW()-3,$OM$4:$OM$40,0)))</f>
        <v/>
      </c>
      <c r="OO26">
        <f>IF(COUNTIF('Buyer Groups'!DG79:EB79,0)+COUNTIF('Buyer Groups'!ED79:EN79,0)&gt;0,0,1)</f>
        <v/>
      </c>
      <c r="OP26">
        <f>IF($DU$26="",FALSE,SUMPRODUCT(('Final Calculation Sheet'!$W$4:$W$40=$DU$26)*($OO$6:$OO$42=1))&gt;0)</f>
        <v/>
      </c>
      <c r="OQ26">
        <f>$OQ$25+--($OP26)</f>
        <v/>
      </c>
      <c r="OR26">
        <f>IF(ROW()-3&gt;MAX($OQ$4:$OQ$40),"",INDEX($DU$4:$DU$40,MATCH(ROW()-3,$OQ$4:$OQ$40,0)))</f>
        <v/>
      </c>
      <c r="OS26">
        <f>IF(COUNTIF('Buyer Groups'!DG79:EC79,0)+COUNTIF('Buyer Groups'!EE79:EN79,0)&gt;0,0,1)</f>
        <v/>
      </c>
      <c r="OT26">
        <f>IF($DZ$26="",FALSE,SUMPRODUCT(('Final Calculation Sheet'!$X$4:$X$40=$DZ$26)*($OS$6:$OS$42=1))&gt;0)</f>
        <v/>
      </c>
      <c r="OU26">
        <f>$OU$25+--($OT26)</f>
        <v/>
      </c>
      <c r="OV26">
        <f>IF(ROW()-3&gt;MAX($OU$4:$OU$40),"",INDEX($DZ$4:$DZ$40,MATCH(ROW()-3,$OU$4:$OU$40,0)))</f>
        <v/>
      </c>
      <c r="OW26">
        <f>IF(COUNTIF('Buyer Groups'!DG79:ED79,0)+COUNTIF('Buyer Groups'!EF79:EN79,0)&gt;0,0,1)</f>
        <v/>
      </c>
      <c r="OX26">
        <f>IF($EE$26="",FALSE,SUMPRODUCT(('Final Calculation Sheet'!$Y$4:$Y$40=$EE$26)*($OW$6:$OW$42=1))&gt;0)</f>
        <v/>
      </c>
      <c r="OY26">
        <f>$OY$25+--($OX26)</f>
        <v/>
      </c>
      <c r="OZ26">
        <f>IF(ROW()-3&gt;MAX($OY$4:$OY$40),"",INDEX($EE$4:$EE$40,MATCH(ROW()-3,$OY$4:$OY$40,0)))</f>
        <v/>
      </c>
      <c r="PA26">
        <f>IF(COUNTIF('Buyer Groups'!DG79:EE79,0)+COUNTIF('Buyer Groups'!EG79:EN79,0)&gt;0,0,1)</f>
        <v/>
      </c>
      <c r="PB26">
        <f>IF($EJ$26="",FALSE,SUMPRODUCT(('Final Calculation Sheet'!$Z$4:$Z$40=$EJ$26)*($PA$6:$PA$42=1))&gt;0)</f>
        <v/>
      </c>
      <c r="PC26">
        <f>$PC$25+--($PB26)</f>
        <v/>
      </c>
      <c r="PD26">
        <f>IF(ROW()-3&gt;MAX($PC$4:$PC$40),"",INDEX($EJ$4:$EJ$40,MATCH(ROW()-3,$PC$4:$PC$40,0)))</f>
        <v/>
      </c>
      <c r="PE26">
        <f>IF(COUNTIF('Buyer Groups'!DG79:EF79,0)+COUNTIF('Buyer Groups'!EH79:EN79,0)&gt;0,0,1)</f>
        <v/>
      </c>
      <c r="PF26">
        <f>IF($EO$26="",FALSE,SUMPRODUCT(('Final Calculation Sheet'!$AA$4:$AA$40=$EO$26)*($PE$6:$PE$42=1))&gt;0)</f>
        <v/>
      </c>
      <c r="PG26">
        <f>$PG$25+--($PF26)</f>
        <v/>
      </c>
      <c r="PH26">
        <f>IF(ROW()-3&gt;MAX($PG$4:$PG$40),"",INDEX($EO$4:$EO$40,MATCH(ROW()-3,$PG$4:$PG$40,0)))</f>
        <v/>
      </c>
      <c r="PI26">
        <f>IF(COUNTIF('Buyer Groups'!DG79:EG79,0)+COUNTIF('Buyer Groups'!EI79:EN79,0)&gt;0,0,1)</f>
        <v/>
      </c>
      <c r="PJ26">
        <f>IF($ET$26="",FALSE,SUMPRODUCT(('Final Calculation Sheet'!$AB$4:$AB$40=$ET$26)*($PI$6:$PI$42=1))&gt;0)</f>
        <v/>
      </c>
      <c r="PK26">
        <f>$PK$25+--($PJ26)</f>
        <v/>
      </c>
      <c r="PL26">
        <f>IF(ROW()-3&gt;MAX($PK$4:$PK$40),"",INDEX($ET$4:$ET$40,MATCH(ROW()-3,$PK$4:$PK$40,0)))</f>
        <v/>
      </c>
      <c r="PM26">
        <f>IF(COUNTIF('Buyer Groups'!DG79:EH79,0)+COUNTIF('Buyer Groups'!EJ79:EN79,0)&gt;0,0,1)</f>
        <v/>
      </c>
      <c r="PN26">
        <f>IF($EY$26="",FALSE,SUMPRODUCT(('Final Calculation Sheet'!$AC$4:$AC$40=$EY$26)*($PM$6:$PM$42=1))&gt;0)</f>
        <v/>
      </c>
      <c r="PO26">
        <f>$PO$25+--($PN26)</f>
        <v/>
      </c>
      <c r="PP26">
        <f>IF(ROW()-3&gt;MAX($PO$4:$PO$40),"",INDEX($EY$4:$EY$40,MATCH(ROW()-3,$PO$4:$PO$40,0)))</f>
        <v/>
      </c>
      <c r="PQ26">
        <f>IF(COUNTIF('Buyer Groups'!DG79:EI79,0)+COUNTIF('Buyer Groups'!EK79:EN79,0)&gt;0,0,1)</f>
        <v/>
      </c>
      <c r="PR26">
        <f>IF($FD$26="",FALSE,SUMPRODUCT(('Final Calculation Sheet'!$AD$4:$AD$40=$FD$26)*($PQ$6:$PQ$42=1))&gt;0)</f>
        <v/>
      </c>
      <c r="PS26">
        <f>$PS$25+--($PR26)</f>
        <v/>
      </c>
      <c r="PT26">
        <f>IF(ROW()-3&gt;MAX($PS$4:$PS$40),"",INDEX($FD$4:$FD$40,MATCH(ROW()-3,$PS$4:$PS$40,0)))</f>
        <v/>
      </c>
      <c r="PU26">
        <f>IF(COUNTIF('Buyer Groups'!DG79:EJ79,0)+COUNTIF('Buyer Groups'!EL79:EN79,0)&gt;0,0,1)</f>
        <v/>
      </c>
      <c r="PV26">
        <f>IF($FX$26="",FALSE,SUMPRODUCT((IF('Final Calculation Sheet'!$AD$4:$AD$40&lt;=5,"SETTLED","OUTSTANDING")=$FX$26)*($PU$6:$PU$42=1))&gt;0)</f>
        <v/>
      </c>
      <c r="PW26">
        <f>$PW$25+--($PV26)</f>
        <v/>
      </c>
      <c r="PX26">
        <f>IF(ROW()-3&gt;MAX($PW$4:$PW$40),"",INDEX($FX$4:$FX$40,MATCH(ROW()-3,$PW$4:$PW$40,0)))</f>
        <v/>
      </c>
      <c r="PY26">
        <f>IF(COUNTIF('Buyer Groups'!DG79:EK79,0)+COUNTIF('Buyer Groups'!EM79:EN79,0)&gt;0,0,1)</f>
        <v/>
      </c>
      <c r="PZ26">
        <f>IF($FI$26="",FALSE,SUMPRODUCT(('Final Calculation Sheet'!$AF$4:$AF$40=$FI$26)*($PY$6:$PY$42=1))&gt;0)</f>
        <v/>
      </c>
      <c r="QA26">
        <f>$QA$25+--($PZ26)</f>
        <v/>
      </c>
      <c r="QB26">
        <f>IF(ROW()-3&gt;MAX($QA$4:$QA$40),"",INDEX($FI$4:$FI$40,MATCH(ROW()-3,$QA$4:$QA$40,0)))</f>
        <v/>
      </c>
      <c r="QC26">
        <f>IF(COUNTIF('Buyer Groups'!DG79:EL79,0)+COUNTIF('Buyer Groups'!EN79:EN79,0)&gt;0,0,1)</f>
        <v/>
      </c>
      <c r="QD26">
        <f>IF($FN$26="",FALSE,SUMPRODUCT(('Final Calculation Sheet'!$AG$4:$AG$40=$FN$26)*($QC$6:$QC$42=1))&gt;0)</f>
        <v/>
      </c>
      <c r="QE26">
        <f>$QE$25+--($QD26)</f>
        <v/>
      </c>
      <c r="QF26">
        <f>IF(ROW()-3&gt;MAX($QE$4:$QE$40),"",INDEX($FN$4:$FN$40,MATCH(ROW()-3,$QE$4:$QE$40,0)))</f>
        <v/>
      </c>
      <c r="QG26">
        <f>IF(COUNTIF('Buyer Groups'!DG79:EM79,0)&gt;0,0,1)</f>
        <v/>
      </c>
      <c r="QH26">
        <f>IF($FS$26="",FALSE,SUMPRODUCT(('Final Calculation Sheet'!$AH$4:$AH$40=$FS$26)*($QG$6:$QG$42=1))&gt;0)</f>
        <v/>
      </c>
      <c r="QI26">
        <f>$QI$25+--($QH26)</f>
        <v/>
      </c>
      <c r="QJ26">
        <f>IF(ROW()-3&gt;MAX($QI$4:$QI$40),"",INDEX($FS$4:$FS$40,MATCH(ROW()-3,$QI$4:$QI$40,0)))</f>
        <v/>
      </c>
      <c r="QK26" t="str">
        <f>IF('Final Calculation Sheet'!$AH$26="","",'Final Calculation Sheet'!$AH$26)</f>
      </c>
      <c r="QL26" t="str">
        <f>IF(QK26="","",COUNTIFS(QK$4:QK$40,"&lt;"&amp;QK26,QK$4:QK$40,"&lt;&gt;"&amp;"")+COUNTIF(QK$4:QK26,QK26))</f>
      </c>
      <c r="QM26" t="str">
        <f>IF(ROW()-3&gt;COUNTIF(QK$4:QK$40,"&lt;&gt;"&amp;""),"",INDEX(QK$4:QK$40,MATCH(ROW()-3,QL$4:QL$40,0)))</f>
      </c>
      <c r="QN26" t="str">
        <f>=QN25+F(AND(QM26&lt;&gt;"",COUNTIF(QM$4:QM26,QM26)=1),1,0)</f>
      </c>
      <c r="QO26" t="str">
        <f>IF(ROW()-3&gt;MAX(QN$4:QN$40),"",INDEX(QM$4:QM$40,MATCH(ROW()-3,QN$4:QN$40,0)))</f>
      </c>
      <c r="QP26" t="str">
        <f>IF(COUNTIF('Final Calculation Sheet'!$AM26:$BS26,0)&gt;0,0,1)</f>
      </c>
      <c r="QQ26" t="str">
        <f>IF($AI$26="",FALSE,SUMPRODUCT(('Final Calculation Sheet'!$A$4:$A$40=$AI$26)*($QP$4:$QP$40=1))&gt;0)</f>
      </c>
      <c r="QR26" t="str">
        <f>=$QR25+--($QQ26)</f>
      </c>
      <c r="QS26" t="str">
        <f>IF(ROW()-3&gt;MAX($QR$4:$QR$40),"",INDEX($AI$4:$AI$40,MATCH(ROW()-3,$QR$4:$QR$40,0)))</f>
      </c>
      <c r="QT26" t="str">
        <f>IF(COUNTIF('Final Calculation Sheet'!$AL26:$AL26,0)+COUNTIF('Final Calculation Sheet'!$AN26:$BS26,0)&gt;0,0,1)</f>
      </c>
      <c r="QU26" t="str">
        <f>IF($Y$26="",FALSE,SUMPRODUCT(('Final Calculation Sheet'!$B$4:$B$40=$Y$26)*($QT$4:$QT$40=1))&gt;0)</f>
      </c>
      <c r="QV26" t="str">
        <f>=$QV25+--($QU26)</f>
      </c>
      <c r="QW26" t="str">
        <f>IF(ROW()-3&gt;MAX($QV$4:$QV$40),"",INDEX($Y$4:$Y$40,MATCH(ROW()-3,$QV$4:$QV$40,0)))</f>
      </c>
      <c r="QX26" t="str">
        <f>IF(COUNTIF('Final Calculation Sheet'!$AL26:$AM26,0)+COUNTIF('Final Calculation Sheet'!$AO26:$BS26,0)&gt;0,0,1)</f>
      </c>
      <c r="QY26" t="str">
        <f>IF($AS$26="",FALSE,SUMPRODUCT(('Final Calculation Sheet'!$C$4:$C$40=$AS$26)*($QX$4:$QX$40=1))&gt;0)</f>
      </c>
      <c r="QZ26" t="str">
        <f>=$QZ25+--($QY26)</f>
      </c>
      <c r="RA26" t="str">
        <f>IF(ROW()-3&gt;MAX($QZ$4:$QZ$40),"",INDEX($AS$4:$AS$40,MATCH(ROW()-3,$QZ$4:$QZ$40,0)))</f>
      </c>
      <c r="RB26" t="str">
        <f>IF(COUNTIF('Final Calculation Sheet'!$AL26:$AN26,0)+COUNTIF('Final Calculation Sheet'!$AP26:$BS26,0)&gt;0,0,1)</f>
      </c>
      <c r="RC26" t="str">
        <f>IF($AD$26="",FALSE,SUMPRODUCT(('Final Calculation Sheet'!$D$4:$D$40=$AD$26)*($RB$4:$RB$40=1))&gt;0)</f>
      </c>
      <c r="RD26" t="str">
        <f>=$RD25+--($RC26)</f>
      </c>
      <c r="RE26" t="str">
        <f>IF(ROW()-3&gt;MAX($RD$4:$RD$40),"",INDEX($AD$4:$AD$40,MATCH(ROW()-3,$RD$4:$RD$40,0)))</f>
      </c>
      <c r="RF26" t="str">
        <f>IF(COUNTIF('Final Calculation Sheet'!$AL26:$AO26,0)+COUNTIF('Final Calculation Sheet'!$AQ26:$BS26,0)&gt;0,0,1)</f>
      </c>
      <c r="RG26" t="str">
        <f>IF($AN$26="",FALSE,SUMPRODUCT(('Final Calculation Sheet'!$E$4:$E$40=$AN$26)*($RF$4:$RF$40=1))&gt;0)</f>
      </c>
      <c r="RH26" t="str">
        <f>=$RH25+--($RG26)</f>
      </c>
      <c r="RI26" t="str">
        <f>IF(ROW()-3&gt;MAX($RH$4:$RH$40),"",INDEX($AN$4:$AN$40,MATCH(ROW()-3,$RH$4:$RH$40,0)))</f>
      </c>
      <c r="RJ26" t="str">
        <f>IF(COUNTIF('Final Calculation Sheet'!$AL26:$AP26,0)+COUNTIF('Final Calculation Sheet'!$AR26:$BS26,0)&gt;0,0,1)</f>
      </c>
      <c r="RK26" t="str">
        <f>IF($O$26="",FALSE,SUMPRODUCT(('Final Calculation Sheet'!$F$4:$F$40=$O$26)*($RJ$4:$RJ$40=1))&gt;0)</f>
      </c>
      <c r="RL26" t="str">
        <f>=$RL25+--($RK26)</f>
      </c>
      <c r="RM26" t="str">
        <f>IF(ROW()-3&gt;MAX($RL$4:$RL$40),"",INDEX($O$4:$O$40,MATCH(ROW()-3,$RL$4:$RL$40,0)))</f>
      </c>
      <c r="RN26" t="str">
        <f>IF(COUNTIF('Final Calculation Sheet'!$AL26:$AQ26,0)+COUNTIF('Final Calculation Sheet'!$AS26:$BS26,0)&gt;0,0,1)</f>
      </c>
      <c r="RO26" t="str">
        <f>IF($T$26="",FALSE,SUMPRODUCT(('Final Calculation Sheet'!$G$4:$G$40=$T$26)*($RN$4:$RN$40=1))&gt;0)</f>
      </c>
      <c r="RP26" t="str">
        <f>=$RP25+--($RO26)</f>
      </c>
      <c r="RQ26" t="str">
        <f>IF(ROW()-3&gt;MAX($RP$4:$RP$40),"",INDEX($T$4:$T$40,MATCH(ROW()-3,$RP$4:$RP$40,0)))</f>
      </c>
      <c r="RR26" t="str">
        <f>IF(COUNTIF('Final Calculation Sheet'!$AL26:$AR26,0)+COUNTIF('Final Calculation Sheet'!$AT26:$BS26,0)&gt;0,0,1)</f>
      </c>
      <c r="RS26" t="str">
        <f>IF($AX$26="",FALSE,SUMPRODUCT(('Final Calculation Sheet'!$H$4:$H$40=$AX$26)*($RR$4:$RR$40=1))&gt;0)</f>
      </c>
      <c r="RT26" t="str">
        <f>=$RT25+--($RS26)</f>
      </c>
      <c r="RU26" t="str">
        <f>IF(ROW()-3&gt;MAX($RT$4:$RT$40),"",INDEX($AX$4:$AX$40,MATCH(ROW()-3,$RT$4:$RT$40,0)))</f>
      </c>
      <c r="RV26" t="str">
        <f>IF(COUNTIF('Final Calculation Sheet'!$AL26:$AS26,0)+COUNTIF('Final Calculation Sheet'!$AU26:$BS26,0)&gt;0,0,1)</f>
      </c>
      <c r="RW26" t="str">
        <f>IF($BC$26="",FALSE,SUMPRODUCT(('Final Calculation Sheet'!$I$4:$I$40=$BC$26)*($RV$4:$RV$40=1))&gt;0)</f>
      </c>
      <c r="RX26" t="str">
        <f>=$RX25+--($RW26)</f>
      </c>
      <c r="RY26" t="str">
        <f>IF(ROW()-3&gt;MAX($RX$4:$RX$40),"",INDEX($BC$4:$BC$40,MATCH(ROW()-3,$RX$4:$RX$40,0)))</f>
      </c>
      <c r="RZ26" t="str">
        <f>IF(COUNTIF('Final Calculation Sheet'!$AL26:$AT26,0)+COUNTIF('Final Calculation Sheet'!$AV26:$BS26,0)&gt;0,0,1)</f>
      </c>
      <c r="SA26" t="str">
        <f>IF($BH$26="",FALSE,SUMPRODUCT(('Final Calculation Sheet'!$J$4:$J$40=$BH$26)*($RZ$4:$RZ$40=1))&gt;0)</f>
      </c>
      <c r="SB26" t="str">
        <f>=$SB25+--($SA26)</f>
      </c>
      <c r="SC26" t="str">
        <f>IF(ROW()-3&gt;MAX($SB$4:$SB$40),"",INDEX($BH$4:$BH$40,MATCH(ROW()-3,$SB$4:$SB$40,0)))</f>
      </c>
      <c r="SD26" t="str">
        <f>IF(COUNTIF('Final Calculation Sheet'!$AL26:$AU26,0)+COUNTIF('Final Calculation Sheet'!$AW26:$BS26,0)&gt;0,0,1)</f>
      </c>
      <c r="SE26" t="str">
        <f>IF($BM$26="",FALSE,SUMPRODUCT(('Final Calculation Sheet'!$K$4:$K$40=$BM$26)*($SD$4:$SD$40=1))&gt;0)</f>
      </c>
      <c r="SF26" t="str">
        <f>=$SF25+--($SE26)</f>
      </c>
      <c r="SG26" t="str">
        <f>IF(ROW()-3&gt;MAX($SF$4:$SF$40),"",INDEX($BM$4:$BM$40,MATCH(ROW()-3,$SF$4:$SF$40,0)))</f>
      </c>
      <c r="SH26" t="str">
        <f>IF(COUNTIF('Final Calculation Sheet'!$AL26:$AV26,0)+COUNTIF('Final Calculation Sheet'!$AX26:$BS26,0)&gt;0,0,1)</f>
      </c>
      <c r="SI26" t="str">
        <f>IF($BR$26="",FALSE,SUMPRODUCT(('Final Calculation Sheet'!$L$4:$L$40=$BR$26)*($SH$4:$SH$40=1))&gt;0)</f>
      </c>
      <c r="SJ26" t="str">
        <f>=$SJ25+--($SI26)</f>
      </c>
      <c r="SK26" t="str">
        <f>IF(ROW()-3&gt;MAX($SJ$4:$SJ$40),"",INDEX($BR$4:$BR$40,MATCH(ROW()-3,$SJ$4:$SJ$40,0)))</f>
      </c>
      <c r="SL26" t="str">
        <f>IF(COUNTIF('Final Calculation Sheet'!$AL26:$AW26,0)+COUNTIF('Final Calculation Sheet'!$AY26:$BS26,0)&gt;0,0,1)</f>
      </c>
      <c r="SM26" t="str">
        <f>IF($BW$26="",FALSE,SUMPRODUCT(('Final Calculation Sheet'!$M$4:$M$40=$BW$26)*($SL$4:$SL$40=1))&gt;0)</f>
      </c>
      <c r="SN26" t="str">
        <f>=$SN25+--($SM26)</f>
      </c>
      <c r="SO26" t="str">
        <f>IF(ROW()-3&gt;MAX($SN$4:$SN$40),"",INDEX($BW$4:$BW$40,MATCH(ROW()-3,$SN$4:$SN$40,0)))</f>
      </c>
      <c r="SP26" t="str">
        <f>IF(COUNTIF('Final Calculation Sheet'!$AL26:$AX26,0)+COUNTIF('Final Calculation Sheet'!$AZ26:$BS26,0)&gt;0,0,1)</f>
      </c>
      <c r="SQ26" t="str">
        <f>IF($CB$26="",FALSE,SUMPRODUCT(('Final Calculation Sheet'!$N$4:$N$40=$CB$26)*($SP$4:$SP$40=1))&gt;0)</f>
      </c>
      <c r="SR26" t="str">
        <f>=$SR25+--($SQ26)</f>
      </c>
      <c r="SS26" t="str">
        <f>IF(ROW()-3&gt;MAX($SR$4:$SR$40),"",INDEX($CB$4:$CB$40,MATCH(ROW()-3,$SR$4:$SR$40,0)))</f>
      </c>
      <c r="ST26" t="str">
        <f>IF(COUNTIF('Final Calculation Sheet'!$AL26:$AY26,0)+COUNTIF('Final Calculation Sheet'!$BA26:$BS26,0)&gt;0,0,1)</f>
      </c>
      <c r="SU26" t="str">
        <f>IF($CG$26="",FALSE,SUMPRODUCT(('Final Calculation Sheet'!$O$4:$O$40=$CG$26)*($ST$4:$ST$40=1))&gt;0)</f>
      </c>
      <c r="SV26" t="str">
        <f>=$SV25+--($SU26)</f>
      </c>
      <c r="SW26" t="str">
        <f>IF(ROW()-3&gt;MAX($SV$4:$SV$40),"",INDEX($CG$4:$CG$40,MATCH(ROW()-3,$SV$4:$SV$40,0)))</f>
      </c>
      <c r="SX26" t="str">
        <f>IF(COUNTIF('Final Calculation Sheet'!$AL26:$AZ26,0)+COUNTIF('Final Calculation Sheet'!$BB26:$BS26,0)&gt;0,0,1)</f>
      </c>
      <c r="SY26" t="str">
        <f>IF($CL$26="",FALSE,SUMPRODUCT(('Final Calculation Sheet'!$P$4:$P$40=$CL$26)*($SX$4:$SX$40=1))&gt;0)</f>
      </c>
      <c r="SZ26" t="str">
        <f>=$SZ25+--($SY26)</f>
      </c>
      <c r="TA26" t="str">
        <f>IF(ROW()-3&gt;MAX($SZ$4:$SZ$40),"",INDEX($CL$4:$CL$40,MATCH(ROW()-3,$SZ$4:$SZ$40,0)))</f>
      </c>
      <c r="TB26" t="str">
        <f>IF(COUNTIF('Final Calculation Sheet'!$AL26:$BA26,0)+COUNTIF('Final Calculation Sheet'!$BC26:$BS26,0)&gt;0,0,1)</f>
      </c>
      <c r="TC26" t="str">
        <f>IF($CQ$26="",FALSE,SUMPRODUCT(('Final Calculation Sheet'!$Q$4:$Q$40=$CQ$26)*($TB$4:$TB$40=1))&gt;0)</f>
      </c>
      <c r="TD26" t="str">
        <f>=$TD25+--($TC26)</f>
      </c>
      <c r="TE26" t="str">
        <f>IF(ROW()-3&gt;MAX($TD$4:$TD$40),"",INDEX($CQ$4:$CQ$40,MATCH(ROW()-3,$TD$4:$TD$40,0)))</f>
      </c>
      <c r="TF26" t="str">
        <f>IF(COUNTIF('Final Calculation Sheet'!$AL26:$BB26,0)+COUNTIF('Final Calculation Sheet'!$BD26:$BS26,0)&gt;0,0,1)</f>
      </c>
      <c r="TG26" t="str">
        <f>IF($CV$26="",FALSE,SUMPRODUCT(('Final Calculation Sheet'!$R$4:$R$40=$CV$26)*($TF$4:$TF$40=1))&gt;0)</f>
      </c>
      <c r="TH26" t="str">
        <f>=$TH25+--($TG26)</f>
      </c>
      <c r="TI26" t="str">
        <f>IF(ROW()-3&gt;MAX($TH$4:$TH$40),"",INDEX($CV$4:$CV$40,MATCH(ROW()-3,$TH$4:$TH$40,0)))</f>
      </c>
      <c r="TJ26" t="str">
        <f>IF(COUNTIF('Final Calculation Sheet'!$AL26:$BC26,0)+COUNTIF('Final Calculation Sheet'!$BE26:$BS26,0)&gt;0,0,1)</f>
      </c>
      <c r="TK26" t="str">
        <f>IF($DA$26="",FALSE,SUMPRODUCT(('Final Calculation Sheet'!$S$4:$S$40=$DA$26)*($TJ$4:$TJ$40=1))&gt;0)</f>
      </c>
      <c r="TL26" t="str">
        <f>=$TL25+--($TK26)</f>
      </c>
      <c r="TM26" t="str">
        <f>IF(ROW()-3&gt;MAX($TL$4:$TL$40),"",INDEX($DA$4:$DA$40,MATCH(ROW()-3,$TL$4:$TL$40,0)))</f>
      </c>
      <c r="TN26" t="str">
        <f>IF(COUNTIF('Final Calculation Sheet'!$AL26:$BD26,0)+COUNTIF('Final Calculation Sheet'!$BF26:$BS26,0)&gt;0,0,1)</f>
      </c>
      <c r="TO26" t="str">
        <f>IF($DF$26="",FALSE,SUMPRODUCT(('Final Calculation Sheet'!$T$4:$T$40=$DF$26)*($TN$4:$TN$40=1))&gt;0)</f>
      </c>
      <c r="TP26" t="str">
        <f>=$TP25+--($TO26)</f>
      </c>
      <c r="TQ26" t="str">
        <f>IF(ROW()-3&gt;MAX($TP$4:$TP$40),"",INDEX($DF$4:$DF$40,MATCH(ROW()-3,$TP$4:$TP$40,0)))</f>
      </c>
      <c r="TR26" t="str">
        <f>IF(COUNTIF('Final Calculation Sheet'!$AL26:$BE26,0)+COUNTIF('Final Calculation Sheet'!$BG26:$BS26,0)&gt;0,0,1)</f>
      </c>
      <c r="TS26" t="str">
        <f>IF($DK$26="",FALSE,SUMPRODUCT(('Final Calculation Sheet'!$U$4:$U$40=$DK$26)*($TR$4:$TR$40=1))&gt;0)</f>
      </c>
      <c r="TT26" t="str">
        <f>=$TT25+--($TS26)</f>
      </c>
      <c r="TU26" t="str">
        <f>IF(ROW()-3&gt;MAX($TT$4:$TT$40),"",INDEX($DK$4:$DK$40,MATCH(ROW()-3,$TT$4:$TT$40,0)))</f>
      </c>
      <c r="TV26" t="str">
        <f>IF(COUNTIF('Final Calculation Sheet'!$AL26:$BF26,0)+COUNTIF('Final Calculation Sheet'!$BH26:$BS26,0)&gt;0,0,1)</f>
      </c>
      <c r="TW26" t="str">
        <f>IF($DP$26="",FALSE,SUMPRODUCT(('Final Calculation Sheet'!$V$4:$V$40=$DP$26)*($TV$4:$TV$40=1))&gt;0)</f>
      </c>
      <c r="TX26" t="str">
        <f>=$TX25+--($TW26)</f>
      </c>
      <c r="TY26" t="str">
        <f>IF(ROW()-3&gt;MAX($TX$4:$TX$40),"",INDEX($DP$4:$DP$40,MATCH(ROW()-3,$TX$4:$TX$40,0)))</f>
      </c>
      <c r="TZ26" t="str">
        <f>IF(COUNTIF('Final Calculation Sheet'!$AL26:$BG26,0)+COUNTIF('Final Calculation Sheet'!$BI26:$BS26,0)&gt;0,0,1)</f>
      </c>
      <c r="UA26" t="str">
        <f>IF($DU$26="",FALSE,SUMPRODUCT(('Final Calculation Sheet'!$W$4:$W$40=$DU$26)*($TZ$4:$TZ$40=1))&gt;0)</f>
      </c>
      <c r="UB26" t="str">
        <f>=$UB25+--($UA26)</f>
      </c>
      <c r="UC26" t="str">
        <f>IF(ROW()-3&gt;MAX($UB$4:$UB$40),"",INDEX($DU$4:$DU$40,MATCH(ROW()-3,$UB$4:$UB$40,0)))</f>
      </c>
      <c r="UD26" t="str">
        <f>IF(COUNTIF('Final Calculation Sheet'!$AL26:$BH26,0)+COUNTIF('Final Calculation Sheet'!$BJ26:$BS26,0)&gt;0,0,1)</f>
      </c>
      <c r="UE26" t="str">
        <f>IF($DZ$26="",FALSE,SUMPRODUCT(('Final Calculation Sheet'!$X$4:$X$40=$DZ$26)*($UD$4:$UD$40=1))&gt;0)</f>
      </c>
      <c r="UF26" t="str">
        <f>=$UF25+--($UE26)</f>
      </c>
      <c r="UG26" t="str">
        <f>IF(ROW()-3&gt;MAX($UF$4:$UF$40),"",INDEX($DZ$4:$DZ$40,MATCH(ROW()-3,$UF$4:$UF$40,0)))</f>
      </c>
      <c r="UH26" t="str">
        <f>IF(COUNTIF('Final Calculation Sheet'!$AL26:$BI26,0)+COUNTIF('Final Calculation Sheet'!$BK26:$BS26,0)&gt;0,0,1)</f>
      </c>
      <c r="UI26" t="str">
        <f>IF($EE$26="",FALSE,SUMPRODUCT(('Final Calculation Sheet'!$Y$4:$Y$40=$EE$26)*($UH$4:$UH$40=1))&gt;0)</f>
      </c>
      <c r="UJ26" t="str">
        <f>=$UJ25+--($UI26)</f>
      </c>
      <c r="UK26" t="str">
        <f>IF(ROW()-3&gt;MAX($UJ$4:$UJ$40),"",INDEX($EE$4:$EE$40,MATCH(ROW()-3,$UJ$4:$UJ$40,0)))</f>
      </c>
      <c r="UL26" t="str">
        <f>IF(COUNTIF('Final Calculation Sheet'!$AL26:$BJ26,0)+COUNTIF('Final Calculation Sheet'!$BL26:$BS26,0)&gt;0,0,1)</f>
      </c>
      <c r="UM26" t="str">
        <f>IF($EJ$26="",FALSE,SUMPRODUCT(('Final Calculation Sheet'!$Z$4:$Z$40=$EJ$26)*($UL$4:$UL$40=1))&gt;0)</f>
      </c>
      <c r="UN26" t="str">
        <f>=$UN25+--($UM26)</f>
      </c>
      <c r="UO26" t="str">
        <f>IF(ROW()-3&gt;MAX($UN$4:$UN$40),"",INDEX($EJ$4:$EJ$40,MATCH(ROW()-3,$UN$4:$UN$40,0)))</f>
      </c>
      <c r="UP26" t="str">
        <f>IF(COUNTIF('Final Calculation Sheet'!$AL26:$BK26,0)+COUNTIF('Final Calculation Sheet'!$BM26:$BS26,0)&gt;0,0,1)</f>
      </c>
      <c r="UQ26" t="str">
        <f>IF($EO$26="",FALSE,SUMPRODUCT(('Final Calculation Sheet'!$AA$4:$AA$40=$EO$26)*($UP$4:$UP$40=1))&gt;0)</f>
      </c>
      <c r="UR26" t="str">
        <f>=$UR25+--($UQ26)</f>
      </c>
      <c r="US26" t="str">
        <f>IF(ROW()-3&gt;MAX($UR$4:$UR$40),"",INDEX($EO$4:$EO$40,MATCH(ROW()-3,$UR$4:$UR$40,0)))</f>
      </c>
      <c r="UT26" t="str">
        <f>IF(COUNTIF('Final Calculation Sheet'!$AL26:$BL26,0)+COUNTIF('Final Calculation Sheet'!$BN26:$BS26,0)&gt;0,0,1)</f>
      </c>
      <c r="UU26" t="str">
        <f>IF($ET$26="",FALSE,SUMPRODUCT(('Final Calculation Sheet'!$AB$4:$AB$40=$ET$26)*($UT$4:$UT$40=1))&gt;0)</f>
      </c>
      <c r="UV26" t="str">
        <f>=$UV25+--($UU26)</f>
      </c>
      <c r="UW26" t="str">
        <f>IF(ROW()-3&gt;MAX($UV$4:$UV$40),"",INDEX($ET$4:$ET$40,MATCH(ROW()-3,$UV$4:$UV$40,0)))</f>
      </c>
      <c r="UX26" t="str">
        <f>IF(COUNTIF('Final Calculation Sheet'!$AL26:$BM26,0)+COUNTIF('Final Calculation Sheet'!$BO26:$BS26,0)&gt;0,0,1)</f>
      </c>
      <c r="UY26" t="str">
        <f>IF($EY$26="",FALSE,SUMPRODUCT(('Final Calculation Sheet'!$AC$4:$AC$40=$EY$26)*($UX$4:$UX$40=1))&gt;0)</f>
      </c>
      <c r="UZ26" t="str">
        <f>=$UZ25+--($UY26)</f>
      </c>
      <c r="VA26" t="str">
        <f>IF(ROW()-3&gt;MAX($UZ$4:$UZ$40),"",INDEX($EY$4:$EY$40,MATCH(ROW()-3,$UZ$4:$UZ$40,0)))</f>
      </c>
      <c r="VB26" t="str">
        <f>IF(COUNTIF('Final Calculation Sheet'!$AL26:$BN26,0)+COUNTIF('Final Calculation Sheet'!$BP26:$BS26,0)&gt;0,0,1)</f>
      </c>
      <c r="VC26" t="str">
        <f>IF($FD$26="",FALSE,SUMPRODUCT(('Final Calculation Sheet'!$AD$4:$AD$40=$FD$26)*($VB$4:$VB$40=1))&gt;0)</f>
      </c>
      <c r="VD26" t="str">
        <f>=$VD25+--($VC26)</f>
      </c>
      <c r="VE26" t="str">
        <f>IF(ROW()-3&gt;MAX($VD$4:$VD$40),"",INDEX($FD$4:$FD$40,MATCH(ROW()-3,$VD$4:$VD$40,0)))</f>
      </c>
      <c r="VF26" t="str">
        <f>IF(COUNTIF('Final Calculation Sheet'!$AL26:$BO26,0)+COUNTIF('Final Calculation Sheet'!$BQ26:$BS26,0)&gt;0,0,1)</f>
      </c>
      <c r="VG26" t="str">
        <f>IF($FI$26="",FALSE,SUMPRODUCT(('Final Calculation Sheet'!$AE$4:$AE$40=$FI$26)*($VF$4:$VF$40=1))&gt;0)</f>
      </c>
      <c r="VH26" t="str">
        <f>=$VH25+--($VG26)</f>
      </c>
      <c r="VI26" t="str">
        <f>IF(ROW()-3&gt;MAX($VH$4:$VH$40),"",INDEX($FI$4:$FI$40,MATCH(ROW()-3,$VH$4:$VH$40,0)))</f>
      </c>
      <c r="VJ26" t="str">
        <f>IF(COUNTIF('Final Calculation Sheet'!$AL26:$BP26,0)+COUNTIF('Final Calculation Sheet'!$BR26:$BS26,0)&gt;0,0,1)</f>
      </c>
      <c r="VK26" t="str">
        <f>IF($FN$26="",FALSE,SUMPRODUCT(('Final Calculation Sheet'!$AF$4:$AF$40=$FN$26)*($VJ$4:$VJ$40=1))&gt;0)</f>
      </c>
      <c r="VL26" t="str">
        <f>=$VL25+--($VK26)</f>
      </c>
      <c r="VM26" t="str">
        <f>IF(ROW()-3&gt;MAX($VL$4:$VL$40),"",INDEX($FN$4:$FN$40,MATCH(ROW()-3,$VL$4:$VL$40,0)))</f>
      </c>
      <c r="VN26" t="str">
        <f>IF(COUNTIF('Final Calculation Sheet'!$AL26:$BQ26,0)+COUNTIF('Final Calculation Sheet'!$BS26:$BS26,0)&gt;0,0,1)</f>
      </c>
      <c r="VO26" t="str">
        <f>IF($FS$26="",FALSE,SUMPRODUCT(('Final Calculation Sheet'!$AG$4:$AG$40=$FS$26)*($VN$4:$VN$40=1))&gt;0)</f>
      </c>
      <c r="VP26" t="str">
        <f>=$VP25+--($VO26)</f>
      </c>
      <c r="VQ26" t="str">
        <f>IF(ROW()-3&gt;MAX($VP$4:$VP$40),"",INDEX($FS$4:$FS$40,MATCH(ROW()-3,$VP$4:$VP$40,0)))</f>
      </c>
      <c r="VR26" t="str">
        <f>IF(COUNTIF('Final Calculation Sheet'!$AL26:$BR26,0)&gt;0,0,1)</f>
      </c>
      <c r="VS26" t="str">
        <f>IF($QO$26="",FALSE,SUMPRODUCT(('Final Calculation Sheet'!$AH$4:$AH$40=$QO$26)*($VR$4:$VR$40=1))&gt;0)</f>
      </c>
      <c r="VT26" t="str">
        <f>=$VT25+--($VS26)</f>
      </c>
      <c r="VU26" t="str">
        <f>IF(ROW()-3&gt;MAX($VT$4:$VT$40),"",INDEX($QO$4:$QO$40,MATCH(ROW()-3,$VT$4:$VT$40,0)))</f>
      </c>
    </row>
    <row r="27">
      <c r="A27">
        <f>IF('Final Calculation Sheet'!$F$27="","",'Final Calculation Sheet'!$F$27)</f>
        <v/>
      </c>
      <c r="B27">
        <f>IF(A27="","",COUNTIFS(A$4:A$114,"&lt;"&amp;A27,A$4:A$114,"&lt;&gt;"&amp;"")+COUNTIF(A$4:A27,A27))</f>
        <v/>
      </c>
      <c r="C27">
        <f>IF(ROW()-3&gt;COUNTIF(A$4:A$114,"&lt;&gt;"&amp;""),"",INDEX(A$4:A$114,MATCH(ROW()-3,B$4:B$114,0)))</f>
        <v/>
      </c>
      <c r="D27">
        <f>D26+IF(AND(C27&lt;&gt;"",COUNTIF(C$4:C27,C27)=1),1,0)</f>
        <v/>
      </c>
      <c r="E27">
        <f>IF(ROW()-3&gt;MAX(D$4:D$114),"",INDEX(C$4:C$114,MATCH(ROW()-3,D$4:D$114,0)))</f>
        <v/>
      </c>
      <c r="F27">
        <f>ROW()-3</f>
        <v/>
      </c>
      <c r="G27">
        <f>IF(F27="","",COUNTIFS(F$4:F$40,"&lt;"&amp;F27,F$4:F$40,"&lt;&gt;"&amp;"")+COUNTIF(F$4:F27,F27))</f>
        <v/>
      </c>
      <c r="H27">
        <f>IF(ROW()-3&gt;COUNTIF(F$4:F$40,"&lt;&gt;"&amp;""),"",INDEX(F$4:F$40,MATCH(ROW()-3,G$4:G$40,0)))</f>
        <v/>
      </c>
      <c r="I27">
        <f>I26+IF(AND(H27&lt;&gt;"",COUNTIF(H$4:H27,H27)=1),1,0)</f>
        <v/>
      </c>
      <c r="J27">
        <f>IF(ROW()-3&gt;MAX(I$4:I$40),"",INDEX(H$4:H$40,MATCH(ROW()-3,I$4:I$40,0)))</f>
        <v/>
      </c>
      <c r="K27">
        <f>IF('Final Calculation Sheet'!$F$27="","",'Final Calculation Sheet'!$F$27)</f>
        <v/>
      </c>
      <c r="L27">
        <f>IF(K27="","",COUNTIFS(K$4:K$40,"&lt;"&amp;K27,K$4:K$40,"&lt;&gt;"&amp;"")+COUNTIF(K$4:K27,K27))</f>
        <v/>
      </c>
      <c r="M27">
        <f>IF(ROW()-3&gt;COUNTIF(K$4:K$40,"&lt;&gt;"&amp;""),"",INDEX(K$4:K$40,MATCH(ROW()-3,L$4:L$40,0)))</f>
        <v/>
      </c>
      <c r="N27">
        <f>N26+IF(AND(M27&lt;&gt;"",COUNTIF(M$4:M27,M27)=1),1,0)</f>
        <v/>
      </c>
      <c r="O27">
        <f>IF(ROW()-3&gt;MAX(N$4:N$40),"",INDEX(M$4:M$40,MATCH(ROW()-3,N$4:N$40,0)))</f>
        <v/>
      </c>
      <c r="P27">
        <f>IF('Final Calculation Sheet'!$G$27="","",'Final Calculation Sheet'!$G$27)</f>
        <v/>
      </c>
      <c r="Q27">
        <f>IF(P27="","",COUNTIFS(P$4:P$40,"&lt;"&amp;P27,P$4:P$40,"&lt;&gt;"&amp;"")+COUNTIF(P$4:P27,P27))</f>
        <v/>
      </c>
      <c r="R27">
        <f>IF(ROW()-3&gt;COUNTIF(P$4:P$40,"&lt;&gt;"&amp;""),"",INDEX(P$4:P$40,MATCH(ROW()-3,Q$4:Q$40,0)))</f>
        <v/>
      </c>
      <c r="S27">
        <f>S26+IF(AND(R27&lt;&gt;"",COUNTIF(R$4:R27,R27)=1),1,0)</f>
        <v/>
      </c>
      <c r="T27">
        <f>IF(ROW()-3&gt;MAX(S$4:S$40),"",INDEX(R$4:R$40,MATCH(ROW()-3,S$4:S$40,0)))</f>
        <v/>
      </c>
      <c r="U27">
        <f>IF('Final Calculation Sheet'!$B$27="","",'Final Calculation Sheet'!$B$27)</f>
        <v/>
      </c>
      <c r="V27">
        <f>IF(U27="","",COUNTIFS(U$4:U$40,"&lt;"&amp;U27,U$4:U$40,"&lt;&gt;"&amp;"")+COUNTIF(U$4:U27,U27))</f>
        <v/>
      </c>
      <c r="W27">
        <f>IF(ROW()-3&gt;COUNTIF(U$4:U$40,"&lt;&gt;"&amp;""),"",INDEX(U$4:U$40,MATCH(ROW()-3,V$4:V$40,0)))</f>
        <v/>
      </c>
      <c r="X27">
        <f>X26+IF(AND(W27&lt;&gt;"",COUNTIF(W$4:W27,W27)=1),1,0)</f>
        <v/>
      </c>
      <c r="Y27">
        <f>IF(ROW()-3&gt;MAX(X$4:X$40),"",INDEX(W$4:W$40,MATCH(ROW()-3,X$4:X$40,0)))</f>
        <v/>
      </c>
      <c r="Z27">
        <f>IF('Final Calculation Sheet'!$D$27="","",'Final Calculation Sheet'!$D$27)</f>
        <v/>
      </c>
      <c r="AA27">
        <f>IF(Z27="","",COUNTIFS(Z$4:Z$40,"&lt;"&amp;Z27,Z$4:Z$40,"&lt;&gt;"&amp;"")+COUNTIF(Z$4:Z27,Z27))</f>
        <v/>
      </c>
      <c r="AB27">
        <f>IF(ROW()-3&gt;COUNTIF(Z$4:Z$40,"&lt;&gt;"&amp;""),"",INDEX(Z$4:Z$40,MATCH(ROW()-3,AA$4:AA$40,0)))</f>
        <v/>
      </c>
      <c r="AC27">
        <f>AC26+IF(AND(AB27&lt;&gt;"",COUNTIF(AB$4:AB27,AB27)=1),1,0)</f>
        <v/>
      </c>
      <c r="AD27">
        <f>IF(ROW()-3&gt;MAX(AC$4:AC$40),"",INDEX(AB$4:AB$40,MATCH(ROW()-3,AC$4:AC$40,0)))</f>
        <v/>
      </c>
      <c r="AE27">
        <f>IF('Final Calculation Sheet'!$A$27="","",'Final Calculation Sheet'!$A$27)</f>
        <v/>
      </c>
      <c r="AF27">
        <f>IF(AE27="","",COUNTIFS(AE$4:AE$40,"&lt;"&amp;AE27,AE$4:AE$40,"&lt;&gt;"&amp;"")+COUNTIF(AE$4:AE27,AE27))</f>
        <v/>
      </c>
      <c r="AG27">
        <f>IF(ROW()-3&gt;COUNTIF(AE$4:AE$40,"&lt;&gt;"&amp;""),"",INDEX(AE$4:AE$40,MATCH(ROW()-3,AF$4:AF$40,0)))</f>
        <v/>
      </c>
      <c r="AH27">
        <f>AH26+IF(AND(AG27&lt;&gt;"",COUNTIF(AG$4:AG27,AG27)=1),1,0)</f>
        <v/>
      </c>
      <c r="AI27">
        <f>IF(ROW()-3&gt;MAX(AH$4:AH$40),"",INDEX(AG$4:AG$40,MATCH(ROW()-3,AH$4:AH$40,0)))</f>
        <v/>
      </c>
      <c r="AJ27">
        <f>IF('Final Calculation Sheet'!$E$27="","",'Final Calculation Sheet'!$E$27)</f>
        <v/>
      </c>
      <c r="AK27">
        <f>IF(AJ27="","",COUNTIFS(AJ$4:AJ$40,"&lt;"&amp;AJ27,AJ$4:AJ$40,"&lt;&gt;"&amp;"")+COUNTIF(AJ$4:AJ27,AJ27))</f>
        <v/>
      </c>
      <c r="AL27">
        <f>IF(ROW()-3&gt;COUNTIF(AJ$4:AJ$40,"&lt;&gt;"&amp;""),"",INDEX(AJ$4:AJ$40,MATCH(ROW()-3,AK$4:AK$40,0)))</f>
        <v/>
      </c>
      <c r="AM27">
        <f>AM26+IF(AND(AL27&lt;&gt;"",COUNTIF(AL$4:AL27,AL27)=1),1,0)</f>
        <v/>
      </c>
      <c r="AN27">
        <f>IF(ROW()-3&gt;MAX(AM$4:AM$40),"",INDEX(AL$4:AL$40,MATCH(ROW()-3,AM$4:AM$40,0)))</f>
        <v/>
      </c>
      <c r="AO27" s="55">
        <f>IF('Final Calculation Sheet'!$C$27="","",'Final Calculation Sheet'!$C$27)</f>
        <v/>
      </c>
      <c r="AP27">
        <f>IF(AO27="","",COUNTIFS(AO$4:AO$40,"&lt;"&amp;AO27,AO$4:AO$40,"&lt;&gt;"&amp;"")+COUNTIF(AO$4:AO27,AO27))</f>
        <v/>
      </c>
      <c r="AQ27" s="55">
        <f>IF(ROW()-3&gt;COUNTIF(AO$4:AO$40,"&lt;&gt;"&amp;""),"",INDEX(AO$4:AO$40,MATCH(ROW()-3,AP$4:AP$40,0)))</f>
        <v/>
      </c>
      <c r="AR27">
        <f>AR26+IF(AND(AQ27&lt;&gt;"",COUNTIF(AQ$4:AQ27,AQ27)=1),1,0)</f>
        <v/>
      </c>
      <c r="AS27" s="55">
        <f>IF(ROW()-3&gt;MAX(AR$4:AR$40),"",INDEX(AQ$4:AQ$40,MATCH(ROW()-3,AR$4:AR$40,0)))</f>
        <v/>
      </c>
      <c r="AT27" s="55">
        <f>IF('Final Calculation Sheet'!$H$27="","",'Final Calculation Sheet'!$H$27)</f>
        <v/>
      </c>
      <c r="AU27">
        <f>IF(AT27="","",COUNTIFS(AT$4:AT$40,"&lt;"&amp;AT27,AT$4:AT$40,"&lt;&gt;"&amp;"")+COUNTIF(AT$4:AT27,AT27))</f>
        <v/>
      </c>
      <c r="AV27" s="55">
        <f>IF(ROW()-3&gt;COUNTIF(AT$4:AT$40,"&lt;&gt;"&amp;""),"",INDEX(AT$4:AT$40,MATCH(ROW()-3,AU$4:AU$40,0)))</f>
        <v/>
      </c>
      <c r="AW27">
        <f>AW26+IF(AND(AV27&lt;&gt;"",COUNTIF(AV$4:AV27,AV27)=1),1,0)</f>
        <v/>
      </c>
      <c r="AX27" s="55">
        <f>IF(ROW()-3&gt;MAX(AW$4:AW$40),"",INDEX(AV$4:AV$40,MATCH(ROW()-3,AW$4:AW$40,0)))</f>
        <v/>
      </c>
      <c r="AY27" s="55">
        <f>IF('Final Calculation Sheet'!$I$27="","",'Final Calculation Sheet'!$I$27)</f>
        <v/>
      </c>
      <c r="AZ27">
        <f>IF(AY27="","",COUNTIFS(AY$4:AY$40,"&lt;"&amp;AY27,AY$4:AY$40,"&lt;&gt;"&amp;"")+COUNTIF(AY$4:AY27,AY27))</f>
        <v/>
      </c>
      <c r="BA27" s="55">
        <f>IF(ROW()-3&gt;COUNTIF(AY$4:AY$40,"&lt;&gt;"&amp;""),"",INDEX(AY$4:AY$40,MATCH(ROW()-3,AZ$4:AZ$40,0)))</f>
        <v/>
      </c>
      <c r="BB27">
        <f>BB26+IF(AND(BA27&lt;&gt;"",COUNTIF(BA$4:BA27,BA27)=1),1,0)</f>
        <v/>
      </c>
      <c r="BC27" s="55">
        <f>IF(ROW()-3&gt;MAX(BB$4:BB$40),"",INDEX(BA$4:BA$40,MATCH(ROW()-3,BB$4:BB$40,0)))</f>
        <v/>
      </c>
      <c r="BD27" s="55">
        <f>IF('Final Calculation Sheet'!$J$27="","",'Final Calculation Sheet'!$J$27)</f>
        <v/>
      </c>
      <c r="BE27">
        <f>IF(BD27="","",COUNTIFS(BD$4:BD$40,"&lt;"&amp;BD27,BD$4:BD$40,"&lt;&gt;"&amp;"")+COUNTIF(BD$4:BD27,BD27))</f>
        <v/>
      </c>
      <c r="BF27" s="55">
        <f>IF(ROW()-3&gt;COUNTIF(BD$4:BD$40,"&lt;&gt;"&amp;""),"",INDEX(BD$4:BD$40,MATCH(ROW()-3,BE$4:BE$40,0)))</f>
        <v/>
      </c>
      <c r="BG27">
        <f>BG26+IF(AND(BF27&lt;&gt;"",COUNTIF(BF$4:BF27,BF27)=1),1,0)</f>
        <v/>
      </c>
      <c r="BH27" s="55">
        <f>IF(ROW()-3&gt;MAX(BG$4:BG$40),"",INDEX(BF$4:BF$40,MATCH(ROW()-3,BG$4:BG$40,0)))</f>
        <v/>
      </c>
      <c r="BI27" s="55">
        <f>IF('Final Calculation Sheet'!$K$27="","",'Final Calculation Sheet'!$K$27)</f>
        <v/>
      </c>
      <c r="BJ27">
        <f>IF(BI27="","",COUNTIFS(BI$4:BI$40,"&lt;"&amp;BI27,BI$4:BI$40,"&lt;&gt;"&amp;"")+COUNTIF(BI$4:BI27,BI27))</f>
        <v/>
      </c>
      <c r="BK27" s="55">
        <f>IF(ROW()-3&gt;COUNTIF(BI$4:BI$40,"&lt;&gt;"&amp;""),"",INDEX(BI$4:BI$40,MATCH(ROW()-3,BJ$4:BJ$40,0)))</f>
        <v/>
      </c>
      <c r="BL27">
        <f>BL26+IF(AND(BK27&lt;&gt;"",COUNTIF(BK$4:BK27,BK27)=1),1,0)</f>
        <v/>
      </c>
      <c r="BM27" s="55">
        <f>IF(ROW()-3&gt;MAX(BL$4:BL$40),"",INDEX(BK$4:BK$40,MATCH(ROW()-3,BL$4:BL$40,0)))</f>
        <v/>
      </c>
      <c r="BN27" s="55">
        <f>IF('Final Calculation Sheet'!$L$27="","",'Final Calculation Sheet'!$L$27)</f>
        <v/>
      </c>
      <c r="BO27">
        <f>IF(BN27="","",COUNTIFS(BN$4:BN$40,"&lt;"&amp;BN27,BN$4:BN$40,"&lt;&gt;"&amp;"")+COUNTIF(BN$4:BN27,BN27))</f>
        <v/>
      </c>
      <c r="BP27" s="55">
        <f>IF(ROW()-3&gt;COUNTIF(BN$4:BN$40,"&lt;&gt;"&amp;""),"",INDEX(BN$4:BN$40,MATCH(ROW()-3,BO$4:BO$40,0)))</f>
        <v/>
      </c>
      <c r="BQ27">
        <f>BQ26+IF(AND(BP27&lt;&gt;"",COUNTIF(BP$4:BP27,BP27)=1),1,0)</f>
        <v/>
      </c>
      <c r="BR27" s="55">
        <f>IF(ROW()-3&gt;MAX(BQ$4:BQ$40),"",INDEX(BP$4:BP$40,MATCH(ROW()-3,BQ$4:BQ$40,0)))</f>
        <v/>
      </c>
      <c r="BS27" s="55">
        <f>IF('Final Calculation Sheet'!$M$27="","",'Final Calculation Sheet'!$M$27)</f>
        <v/>
      </c>
      <c r="BT27">
        <f>IF(BS27="","",COUNTIFS(BS$4:BS$40,"&lt;"&amp;BS27,BS$4:BS$40,"&lt;&gt;"&amp;"")+COUNTIF(BS$4:BS27,BS27))</f>
        <v/>
      </c>
      <c r="BU27" s="55">
        <f>IF(ROW()-3&gt;COUNTIF(BS$4:BS$40,"&lt;&gt;"&amp;""),"",INDEX(BS$4:BS$40,MATCH(ROW()-3,BT$4:BT$40,0)))</f>
        <v/>
      </c>
      <c r="BV27">
        <f>BV26+IF(AND(BU27&lt;&gt;"",COUNTIF(BU$4:BU27,BU27)=1),1,0)</f>
        <v/>
      </c>
      <c r="BW27" s="55">
        <f>IF(ROW()-3&gt;MAX(BV$4:BV$40),"",INDEX(BU$4:BU$40,MATCH(ROW()-3,BV$4:BV$40,0)))</f>
        <v/>
      </c>
      <c r="BX27" s="138">
        <f>IF('Final Calculation Sheet'!$N$27="","",'Final Calculation Sheet'!$N$27)</f>
        <v/>
      </c>
      <c r="BY27">
        <f>IF(BX27="","",COUNTIFS(BX$4:BX$40,"&lt;"&amp;BX27,BX$4:BX$40,"&lt;&gt;"&amp;"")+COUNTIF(BX$4:BX27,BX27))</f>
        <v/>
      </c>
      <c r="BZ27" s="138">
        <f>IF(ROW()-3&gt;COUNTIF(BX$4:BX$40,"&lt;&gt;"&amp;""),"",INDEX(BX$4:BX$40,MATCH(ROW()-3,BY$4:BY$40,0)))</f>
        <v/>
      </c>
      <c r="CA27">
        <f>CA26+IF(AND(BZ27&lt;&gt;"",COUNTIF(BZ$4:BZ27,BZ27)=1),1,0)</f>
        <v/>
      </c>
      <c r="CB27" s="138">
        <f>IF(ROW()-3&gt;MAX(CA$4:CA$40),"",INDEX(BZ$4:BZ$40,MATCH(ROW()-3,CA$4:CA$40,0)))</f>
        <v/>
      </c>
      <c r="CC27" s="55">
        <f>IF('Final Calculation Sheet'!$O$27="","",'Final Calculation Sheet'!$O$27)</f>
        <v/>
      </c>
      <c r="CD27">
        <f>IF(CC27="","",COUNTIFS(CC$4:CC$40,"&lt;"&amp;CC27,CC$4:CC$40,"&lt;&gt;"&amp;"")+COUNTIF(CC$4:CC27,CC27))</f>
        <v/>
      </c>
      <c r="CE27" s="55">
        <f>IF(ROW()-3&gt;COUNTIF(CC$4:CC$40,"&lt;&gt;"&amp;""),"",INDEX(CC$4:CC$40,MATCH(ROW()-3,CD$4:CD$40,0)))</f>
        <v/>
      </c>
      <c r="CF27">
        <f>CF26+IF(AND(CE27&lt;&gt;"",COUNTIF(CE$4:CE27,CE27)=1),1,0)</f>
        <v/>
      </c>
      <c r="CG27" s="55">
        <f>IF(ROW()-3&gt;MAX(CF$4:CF$40),"",INDEX(CE$4:CE$40,MATCH(ROW()-3,CF$4:CF$40,0)))</f>
        <v/>
      </c>
      <c r="CH27" s="55">
        <f>IF('Final Calculation Sheet'!$P$27="","",'Final Calculation Sheet'!$P$27)</f>
        <v/>
      </c>
      <c r="CI27">
        <f>IF(CH27="","",COUNTIFS(CH$4:CH$40,"&lt;"&amp;CH27,CH$4:CH$40,"&lt;&gt;"&amp;"")+COUNTIF(CH$4:CH27,CH27))</f>
        <v/>
      </c>
      <c r="CJ27" s="55">
        <f>IF(ROW()-3&gt;COUNTIF(CH$4:CH$40,"&lt;&gt;"&amp;""),"",INDEX(CH$4:CH$40,MATCH(ROW()-3,CI$4:CI$40,0)))</f>
        <v/>
      </c>
      <c r="CK27">
        <f>CK26+IF(AND(CJ27&lt;&gt;"",COUNTIF(CJ$4:CJ27,CJ27)=1),1,0)</f>
        <v/>
      </c>
      <c r="CL27" s="55">
        <f>IF(ROW()-3&gt;MAX(CK$4:CK$40),"",INDEX(CJ$4:CJ$40,MATCH(ROW()-3,CK$4:CK$40,0)))</f>
        <v/>
      </c>
      <c r="CM27" s="139">
        <f>IF('Final Calculation Sheet'!$Q$27="","",'Final Calculation Sheet'!$Q$27)</f>
        <v/>
      </c>
      <c r="CN27">
        <f>IF(CM27="","",COUNTIFS(CM$4:CM$40,"&lt;"&amp;CM27,CM$4:CM$40,"&lt;&gt;"&amp;"")+COUNTIF(CM$4:CM27,CM27))</f>
        <v/>
      </c>
      <c r="CO27" s="139">
        <f>IF(ROW()-3&gt;COUNTIF(CM$4:CM$40,"&lt;&gt;"&amp;""),"",INDEX(CM$4:CM$40,MATCH(ROW()-3,CN$4:CN$40,0)))</f>
        <v/>
      </c>
      <c r="CP27">
        <f>CP26+IF(AND(CO27&lt;&gt;"",COUNTIF(CO$4:CO27,CO27)=1),1,0)</f>
        <v/>
      </c>
      <c r="CQ27">
        <f>IF(ROW()-3&gt;MAX(CP$4:CP$40),"",INDEX(CO$4:CO$40,MATCH(ROW()-3,CP$4:CP$40,0)))</f>
        <v/>
      </c>
      <c r="CR27" s="55">
        <f>IF('Final Calculation Sheet'!$R$27="","",'Final Calculation Sheet'!$R$27)</f>
        <v/>
      </c>
      <c r="CS27">
        <f>IF(CR27="","",COUNTIFS(CR$4:CR$40,"&lt;"&amp;CR27,CR$4:CR$40,"&lt;&gt;"&amp;"")+COUNTIF(CR$4:CR27,CR27))</f>
        <v/>
      </c>
      <c r="CT27" s="55">
        <f>IF(ROW()-3&gt;COUNTIF(CR$4:CR$40,"&lt;&gt;"&amp;""),"",INDEX(CR$4:CR$40,MATCH(ROW()-3,CS$4:CS$40,0)))</f>
        <v/>
      </c>
      <c r="CU27">
        <f>CU26+IF(AND(CT27&lt;&gt;"",COUNTIF(CT$4:CT27,CT27)=1),1,0)</f>
        <v/>
      </c>
      <c r="CV27">
        <f>IF(ROW()-3&gt;MAX(CU$4:CU$40),"",INDEX(CT$4:CT$40,MATCH(ROW()-3,CU$4:CU$40,0)))</f>
        <v/>
      </c>
      <c r="CW27" s="55">
        <f>IF('Final Calculation Sheet'!$S$27="","",'Final Calculation Sheet'!$S$27)</f>
        <v/>
      </c>
      <c r="CX27">
        <f>IF(CW27="","",COUNTIFS(CW$4:CW$40,"&lt;"&amp;CW27,CW$4:CW$40,"&lt;&gt;"&amp;"")+COUNTIF(CW$4:CW27,CW27))</f>
        <v/>
      </c>
      <c r="CY27" s="55">
        <f>IF(ROW()-3&gt;COUNTIF(CW$4:CW$40,"&lt;&gt;"&amp;""),"",INDEX(CW$4:CW$40,MATCH(ROW()-3,CX$4:CX$40,0)))</f>
        <v/>
      </c>
      <c r="CZ27">
        <f>CZ26+IF(AND(CY27&lt;&gt;"",COUNTIF(CY$4:CY27,CY27)=1),1,0)</f>
        <v/>
      </c>
      <c r="DA27" s="55">
        <f>IF(ROW()-3&gt;MAX(CZ$4:CZ$40),"",INDEX(CY$4:CY$40,MATCH(ROW()-3,CZ$4:CZ$40,0)))</f>
        <v/>
      </c>
      <c r="DB27" s="55">
        <f>IF('Final Calculation Sheet'!$T$27="","",'Final Calculation Sheet'!$T$27)</f>
        <v/>
      </c>
      <c r="DC27">
        <f>IF(DB27="","",COUNTIFS(DB$4:DB$40,"&lt;"&amp;DB27,DB$4:DB$40,"&lt;&gt;"&amp;"")+COUNTIF(DB$4:DB27,DB27))</f>
        <v/>
      </c>
      <c r="DD27" s="55">
        <f>IF(ROW()-3&gt;COUNTIF(DB$4:DB$40,"&lt;&gt;"&amp;""),"",INDEX(DB$4:DB$40,MATCH(ROW()-3,DC$4:DC$40,0)))</f>
        <v/>
      </c>
      <c r="DE27">
        <f>DE26+IF(AND(DD27&lt;&gt;"",COUNTIF(DD$4:DD27,DD27)=1),1,0)</f>
        <v/>
      </c>
      <c r="DF27" s="55">
        <f>IF(ROW()-3&gt;MAX(DE$4:DE$40),"",INDEX(DD$4:DD$40,MATCH(ROW()-3,DE$4:DE$40,0)))</f>
        <v/>
      </c>
      <c r="DG27" s="140">
        <f>IF('Final Calculation Sheet'!$U$27="","",'Final Calculation Sheet'!$U$27)</f>
        <v/>
      </c>
      <c r="DH27">
        <f>IF(DG27="","",COUNTIFS(DG$4:DG$40,"&lt;"&amp;DG27,DG$4:DG$40,"&lt;&gt;"&amp;"")+COUNTIF(DG$4:DG27,DG27))</f>
        <v/>
      </c>
      <c r="DI27" s="140">
        <f>IF(ROW()-3&gt;COUNTIF(DG$4:DG$40,"&lt;&gt;"&amp;""),"",INDEX(DG$4:DG$40,MATCH(ROW()-3,DH$4:DH$40,0)))</f>
        <v/>
      </c>
      <c r="DJ27">
        <f>DJ26+IF(AND(DI27&lt;&gt;"",COUNTIF(DI$4:DI27,DI27)=1),1,0)</f>
        <v/>
      </c>
      <c r="DK27" s="140">
        <f>IF(ROW()-3&gt;MAX(DJ$4:DJ$40),"",INDEX(DI$4:DI$40,MATCH(ROW()-3,DJ$4:DJ$40,0)))</f>
        <v/>
      </c>
      <c r="DL27">
        <f>IF('Final Calculation Sheet'!$V$27="","",'Final Calculation Sheet'!$V$27)</f>
        <v/>
      </c>
      <c r="DM27">
        <f>IF(DL27="","",COUNTIFS(DL$4:DL$40,"&lt;"&amp;DL27,DL$4:DL$40,"&lt;&gt;"&amp;"")+COUNTIF(DL$4:DL27,DL27))</f>
        <v/>
      </c>
      <c r="DN27">
        <f>IF(ROW()-3&gt;COUNTIF(DL$4:DL$40,"&lt;&gt;"&amp;""),"",INDEX(DL$4:DL$40,MATCH(ROW()-3,DM$4:DM$40,0)))</f>
        <v/>
      </c>
      <c r="DO27">
        <f>DO26+IF(AND(DN27&lt;&gt;"",COUNTIF(DN$4:DN27,DN27)=1),1,0)</f>
        <v/>
      </c>
      <c r="DP27">
        <f>IF(ROW()-3&gt;MAX(DO$4:DO$40),"",INDEX(DN$4:DN$40,MATCH(ROW()-3,DO$4:DO$40,0)))</f>
        <v/>
      </c>
      <c r="DQ27" s="55">
        <f>IF('Final Calculation Sheet'!$W$27="","",'Final Calculation Sheet'!$W$27)</f>
        <v/>
      </c>
      <c r="DR27">
        <f>IF(DQ27="","",COUNTIFS(DQ$4:DQ$40,"&lt;"&amp;DQ27,DQ$4:DQ$40,"&lt;&gt;"&amp;"")+COUNTIF(DQ$4:DQ27,DQ27))</f>
        <v/>
      </c>
      <c r="DS27" s="55">
        <f>IF(ROW()-3&gt;COUNTIF(DQ$4:DQ$40,"&lt;&gt;"&amp;""),"",INDEX(DQ$4:DQ$40,MATCH(ROW()-3,DR$4:DR$40,0)))</f>
        <v/>
      </c>
      <c r="DT27">
        <f>DT26+IF(AND(DS27&lt;&gt;"",COUNTIF(DS$4:DS27,DS27)=1),1,0)</f>
        <v/>
      </c>
      <c r="DU27" s="55">
        <f>IF(ROW()-3&gt;MAX(DT$4:DT$40),"",INDEX(DS$4:DS$40,MATCH(ROW()-3,DT$4:DT$40,0)))</f>
        <v/>
      </c>
      <c r="DV27">
        <f>IF('Final Calculation Sheet'!$X$27="","",'Final Calculation Sheet'!$X$27)</f>
        <v/>
      </c>
      <c r="DW27">
        <f>IF(DV27="","",COUNTIFS(DV$4:DV$40,"&lt;"&amp;DV27,DV$4:DV$40,"&lt;&gt;"&amp;"")+COUNTIF(DV$4:DV27,DV27))</f>
        <v/>
      </c>
      <c r="DX27" s="55">
        <f>IF(ROW()-3&gt;COUNTIF(DV$4:DV$40,"&lt;&gt;"&amp;""),"",INDEX(DV$4:DV$40,MATCH(ROW()-3,DW$4:DW$40,0)))</f>
        <v/>
      </c>
      <c r="DY27">
        <f>DY26+IF(AND(DX27&lt;&gt;"",COUNTIF(DX$4:DX27,DX27)=1),1,0)</f>
        <v/>
      </c>
      <c r="DZ27">
        <f>IF(ROW()-3&gt;MAX(DY$4:DY$40),"",INDEX(DX$4:DX$40,MATCH(ROW()-3,DY$4:DY$40,0)))</f>
        <v/>
      </c>
      <c r="EA27" s="55">
        <f>IF('Final Calculation Sheet'!$Y$27="","",'Final Calculation Sheet'!$Y$27)</f>
        <v/>
      </c>
      <c r="EB27">
        <f>IF(EA27="","",COUNTIFS(EA$4:EA$40,"&lt;"&amp;EA27,EA$4:EA$40,"&lt;&gt;"&amp;"")+COUNTIF(EA$4:EA27,EA27))</f>
        <v/>
      </c>
      <c r="EC27">
        <f>IF(ROW()-3&gt;COUNTIF(EA$4:EA$40,"&lt;&gt;"&amp;""),"",INDEX(EA$4:EA$40,MATCH(ROW()-3,EB$4:EB$40,0)))</f>
        <v/>
      </c>
      <c r="ED27">
        <f>ED26+IF(AND(EC27&lt;&gt;"",COUNTIF(EC$4:EC27,EC27)=1),1,0)</f>
        <v/>
      </c>
      <c r="EE27">
        <f>IF(ROW()-3&gt;MAX(ED$4:ED$40),"",INDEX(EC$4:EC$40,MATCH(ROW()-3,ED$4:ED$40,0)))</f>
        <v/>
      </c>
      <c r="EF27" s="55">
        <f>IF('Final Calculation Sheet'!$Z$27="","",'Final Calculation Sheet'!$Z$27)</f>
        <v/>
      </c>
      <c r="EG27">
        <f>IF(EF27="","",COUNTIFS(EF$4:EF$40,"&lt;"&amp;EF27,EF$4:EF$40,"&lt;&gt;"&amp;"")+COUNTIF(EF$4:EF27,EF27))</f>
        <v/>
      </c>
      <c r="EH27" s="55">
        <f>IF(ROW()-3&gt;COUNTIF(EF$4:EF$40,"&lt;&gt;"&amp;""),"",INDEX(EF$4:EF$40,MATCH(ROW()-3,EG$4:EG$40,0)))</f>
        <v/>
      </c>
      <c r="EI27">
        <f>EI26+IF(AND(EH27&lt;&gt;"",COUNTIF(EH$4:EH27,EH27)=1),1,0)</f>
        <v/>
      </c>
      <c r="EJ27">
        <f>IF(ROW()-3&gt;MAX(EI$4:EI$40),"",INDEX(EH$4:EH$40,MATCH(ROW()-3,EI$4:EI$40,0)))</f>
        <v/>
      </c>
      <c r="EK27">
        <f>IF('Final Calculation Sheet'!$AA$27="","",'Final Calculation Sheet'!$AA$27)</f>
        <v/>
      </c>
      <c r="EL27">
        <f>IF(EK27="","",COUNTIFS(EK$4:EK$40,"&lt;"&amp;EK27,EK$4:EK$40,"&lt;&gt;"&amp;"")+COUNTIF(EK$4:EK27,EK27))</f>
        <v/>
      </c>
      <c r="EM27">
        <f>IF(ROW()-3&gt;COUNTIF(EK$4:EK$40,"&lt;&gt;"&amp;""),"",INDEX(EK$4:EK$40,MATCH(ROW()-3,EL$4:EL$40,0)))</f>
        <v/>
      </c>
      <c r="EN27">
        <f>EN26+IF(AND(EM27&lt;&gt;"",COUNTIF(EM$4:EM27,EM27)=1),1,0)</f>
        <v/>
      </c>
      <c r="EO27">
        <f>IF(ROW()-3&gt;MAX(EN$4:EN$40),"",INDEX(EM$4:EM$40,MATCH(ROW()-3,EN$4:EN$40,0)))</f>
        <v/>
      </c>
      <c r="EP27">
        <f>IF('Final Calculation Sheet'!$AB$27="","",'Final Calculation Sheet'!$AB$27)</f>
        <v/>
      </c>
      <c r="EQ27">
        <f>IF(EP27="","",COUNTIFS(EP$4:EP$40,"&lt;"&amp;EP27,EP$4:EP$40,"&lt;&gt;"&amp;"")+COUNTIF(EP$4:EP27,EP27))</f>
        <v/>
      </c>
      <c r="ER27">
        <f>IF(ROW()-3&gt;COUNTIF(EP$4:EP$40,"&lt;&gt;"&amp;""),"",INDEX(EP$4:EP$40,MATCH(ROW()-3,EQ$4:EQ$40,0)))</f>
        <v/>
      </c>
      <c r="ES27">
        <f>ES26+IF(AND(ER27&lt;&gt;"",COUNTIF(ER$4:ER27,ER27)=1),1,0)</f>
        <v/>
      </c>
      <c r="ET27">
        <f>IF(ROW()-3&gt;MAX(ES$4:ES$40),"",INDEX(ER$4:ER$40,MATCH(ROW()-3,ES$4:ES$40,0)))</f>
        <v/>
      </c>
      <c r="EU27" s="55">
        <f>IF('Final Calculation Sheet'!$AC$27="","",'Final Calculation Sheet'!$AC$27)</f>
        <v/>
      </c>
      <c r="EV27">
        <f>IF(EU27="","",COUNTIFS(EU$4:EU$40,"&lt;"&amp;EU27,EU$4:EU$40,"&lt;&gt;"&amp;"")+COUNTIF(EU$4:EU27,EU27))</f>
        <v/>
      </c>
      <c r="EW27" s="55">
        <f>IF(ROW()-3&gt;COUNTIF(EU$4:EU$40,"&lt;&gt;"&amp;""),"",INDEX(EU$4:EU$40,MATCH(ROW()-3,EV$4:EV$40,0)))</f>
        <v/>
      </c>
      <c r="EX27">
        <f>EX26+IF(AND(EW27&lt;&gt;"",COUNTIF(EW$4:EW27,EW27)=1),1,0)</f>
        <v/>
      </c>
      <c r="EY27" s="55">
        <f>IF(ROW()-3&gt;MAX(EX$4:EX$40),"",INDEX(EW$4:EW$40,MATCH(ROW()-3,EX$4:EX$40,0)))</f>
        <v/>
      </c>
      <c r="EZ27" s="55">
        <f>IF('Final Calculation Sheet'!$AD$27="","",'Final Calculation Sheet'!$AD$27)</f>
        <v/>
      </c>
      <c r="FA27">
        <f>IF(EZ27="","",COUNTIFS(EZ$4:EZ$40,"&lt;"&amp;EZ27,EZ$4:EZ$40,"&lt;&gt;"&amp;"")+COUNTIF(EZ$4:EZ27,EZ27))</f>
        <v/>
      </c>
      <c r="FB27" s="55">
        <f>IF(ROW()-3&gt;COUNTIF(EZ$4:EZ$40,"&lt;&gt;"&amp;""),"",INDEX(EZ$4:EZ$40,MATCH(ROW()-3,FA$4:FA$40,0)))</f>
        <v/>
      </c>
      <c r="FC27">
        <f>FC26+IF(AND(FB27&lt;&gt;"",COUNTIF(FB$4:FB27,FB27)=1),1,0)</f>
        <v/>
      </c>
      <c r="FD27">
        <f>IF(ROW()-3&gt;MAX(FC$4:FC$40),"",INDEX(FB$4:FB$40,MATCH(ROW()-3,FC$4:FC$40,0)))</f>
        <v/>
      </c>
      <c r="FE27">
        <f>IF('Final Calculation Sheet'!$AF$27="","",'Final Calculation Sheet'!$AF$27)</f>
        <v/>
      </c>
      <c r="FF27">
        <f>IF(FE27="","",COUNTIFS(FE$4:FE$40,"&lt;"&amp;FE27,FE$4:FE$40,"&lt;&gt;"&amp;"")+COUNTIF(FE$4:FE27,FE27))</f>
        <v/>
      </c>
      <c r="FG27">
        <f>IF(ROW()-3&gt;COUNTIF(FE$4:FE$40,"&lt;&gt;"&amp;""),"",INDEX(FE$4:FE$40,MATCH(ROW()-3,FF$4:FF$40,0)))</f>
        <v/>
      </c>
      <c r="FH27">
        <f>FH26+IF(AND(FG27&lt;&gt;"",COUNTIF(FG$4:FG27,FG27)=1),1,0)</f>
        <v/>
      </c>
      <c r="FI27">
        <f>IF(ROW()-3&gt;MAX(FH$4:FH$40),"",INDEX(FG$4:FG$40,MATCH(ROW()-3,FH$4:FH$40,0)))</f>
        <v/>
      </c>
      <c r="FJ27">
        <f>IF('Final Calculation Sheet'!$AG$27="","",'Final Calculation Sheet'!$AG$27)</f>
        <v/>
      </c>
      <c r="FK27">
        <f>IF(FJ27="","",COUNTIFS(FJ$4:FJ$40,"&lt;"&amp;FJ27,FJ$4:FJ$40,"&lt;&gt;"&amp;"")+COUNTIF(FJ$4:FJ27,FJ27))</f>
        <v/>
      </c>
      <c r="FL27" s="141">
        <f>IF(ROW()-3&gt;COUNTIF(FJ$4:FJ$40,"&lt;&gt;"&amp;""),"",INDEX(FJ$4:FJ$40,MATCH(ROW()-3,FK$4:FK$40,0)))</f>
        <v/>
      </c>
      <c r="FM27">
        <f>FM26+IF(AND(FL27&lt;&gt;"",COUNTIF(FL$4:FL27,FL27)=1),1,0)</f>
        <v/>
      </c>
      <c r="FN27">
        <f>IF(ROW()-3&gt;MAX(FM$4:FM$40),"",INDEX(FL$4:FL$40,MATCH(ROW()-3,FM$4:FM$40,0)))</f>
        <v/>
      </c>
      <c r="FO27">
        <f>IF('Final Calculation Sheet'!$AH$27="","",'Final Calculation Sheet'!$AH$27)</f>
        <v/>
      </c>
      <c r="FP27">
        <f>IF(FO27="","",COUNTIFS(FO$4:FO$40,"&lt;"&amp;FO27,FO$4:FO$40,"&lt;&gt;"&amp;"")+COUNTIF(FO$4:FO27,FO27))</f>
        <v/>
      </c>
      <c r="FQ27">
        <f>IF(ROW()-3&gt;COUNTIF(FO$4:FO$40,"&lt;&gt;"&amp;""),"",INDEX(FO$4:FO$40,MATCH(ROW()-3,FP$4:FP$40,0)))</f>
        <v/>
      </c>
      <c r="FR27">
        <f>FR26+IF(AND(FQ27&lt;&gt;"",COUNTIF(FQ$4:FQ27,FQ27)=1),1,0)</f>
        <v/>
      </c>
      <c r="FS27">
        <f>IF(ROW()-3&gt;MAX(FR$4:FR$40),"",INDEX(FQ$4:FQ$40,MATCH(ROW()-3,FR$4:FR$40,0)))</f>
        <v/>
      </c>
      <c r="FU27">
        <f>IF(FT27="","",COUNTIFS(FT$4:FT$40,"&lt;"&amp;FT27,FT$4:FT$40,"&lt;&gt;"&amp;"")+COUNTIF(FT$4:FT27,FT27))</f>
        <v/>
      </c>
      <c r="FV27">
        <f>IF(ROW()-3&gt;COUNTIF(FT$4:FT$40,"&lt;&gt;"&amp;""),"",INDEX(FT$4:FT$40,MATCH(ROW()-3,FU$4:FU$40,0)))</f>
        <v/>
      </c>
      <c r="FW27">
        <f>FW26+IF(AND(FV27&lt;&gt;"",COUNTIF(FV$4:FV27,FV27)=1),1,0)</f>
        <v/>
      </c>
      <c r="FX27">
        <f>IF(ROW()-3&gt;MAX(FW$4:FW$40),"",INDEX(FV$4:FV$40,MATCH(ROW()-3,FW$4:FW$40,0)))</f>
        <v/>
      </c>
      <c r="FY27">
        <f>IF(COUNTIF('Live Search'!BM$26:BO$26,0)+COUNTIF('Live Search'!BQ$26:CU$26,0)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7">
        <f>IF($Y$27="",FALSE,SUMPRODUCT(('Final Calculation Sheet'!$B$4:$B$40=$Y$27)*($FY$6:$FY$42=1))&gt;0)</f>
        <v/>
      </c>
      <c r="GA27">
        <f>$GA$26+--($FZ$27)</f>
        <v/>
      </c>
      <c r="GB27">
        <f>IF(ROW()-3&gt;MAX($GA$4:$GA$40),"",INDEX($Y$4:$Y$40,MATCH(ROW()-3,$GA$4:$GA$40,0)))</f>
        <v/>
      </c>
      <c r="GC27">
        <f>IF(COUNTIF('Live Search'!BM$26:BM$26,0)+COUNTIF('Live Search'!BO$26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GD27">
        <f>IF($O$27="",FALSE,SUMPRODUCT(('Final Calculation Sheet'!$F$4:$F$40=$O$27)*($GC$6:$GC$42=1))&gt;0)</f>
        <v/>
      </c>
      <c r="GE27">
        <f>$GE$26+--($GD27)</f>
        <v/>
      </c>
      <c r="GF27">
        <f>IF(ROW()-3&gt;MAX($GE$4:$GE$40),"",INDEX($O$4:$O$40,MATCH(ROW()-3,$GE$4:$GE$40,0)))</f>
        <v/>
      </c>
      <c r="GG27">
        <f>IF(COUNTIF('Live Search'!BM$26:BN$26,0)+COUNTIF('Live Search'!BP$26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GH27">
        <f>IF($T$27="",FALSE,SUMPRODUCT(('Final Calculation Sheet'!$G$4:$G$40=$T$27)*($GG$6:$GG$42=1))&gt;0)</f>
        <v/>
      </c>
      <c r="GI27">
        <f>$GI$26+--($GH27)</f>
        <v/>
      </c>
      <c r="GJ27">
        <f>IF(ROW()-3&gt;MAX($GI$4:$GI$40),"",INDEX($T$4:$T$40,MATCH(ROW()-3,$GI$4:$GI$40,0)))</f>
        <v/>
      </c>
      <c r="GK27">
        <f>IF(COUNTIF('Live Search'!BM$26:BP$26,0)+COUNTIF('Live Search'!BR$26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GL27">
        <f>IF($AD$27="",FALSE,SUMPRODUCT(('Final Calculation Sheet'!$D$4:$D$40=$AD$27)*($GK$6:$GK$42=1))&gt;0)</f>
        <v/>
      </c>
      <c r="GM27">
        <f>$GM$26+--($GL27)</f>
        <v/>
      </c>
      <c r="GN27">
        <f>IF(ROW()-3&gt;MAX($GM$4:$GM$40),"",INDEX($AD$4:$AD$40,MATCH(ROW()-3,$GM$4:$GM$40,0)))</f>
        <v/>
      </c>
      <c r="GO27">
        <f>IF(COUNTIF('Live Search'!BM$26:BQ$26,0)+COUNTIF('Live Search'!BS$26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GP27">
        <f>IF($AI$27="",FALSE,SUMPRODUCT(('Final Calculation Sheet'!$A$4:$A$40=$AI$27)*($GO$6:$GO$42=1))&gt;0)</f>
        <v/>
      </c>
      <c r="GQ27">
        <f>$GQ$26+--($GP27)</f>
        <v/>
      </c>
      <c r="GR27">
        <f>IF(ROW()-3&gt;MAX($GQ$4:$GQ$40),"",INDEX($AI$4:$AI$40,MATCH(ROW()-3,$GQ$4:$GQ$40,0)))</f>
        <v/>
      </c>
      <c r="GS27">
        <f>IF(COUNTIF('Live Search'!BM$26:BR$26,0)+COUNTIF('Live Search'!BT$26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GT27">
        <f>IF($AN$27="",FALSE,SUMPRODUCT(('Final Calculation Sheet'!$E$4:$E$40=$AN$27)*($GS$6:$GS$42=1))&gt;0)</f>
        <v/>
      </c>
      <c r="GU27">
        <f>$GU$26+--($GT27)</f>
        <v/>
      </c>
      <c r="GV27">
        <f>IF(ROW()-3&gt;MAX($GU$4:$GU$40),"",INDEX($AN$4:$AN$40,MATCH(ROW()-3,$GU$4:$GU$40,0)))</f>
        <v/>
      </c>
      <c r="GW27">
        <f>IF(COUNTIF('Live Search'!BM$26:BS$26,0)+COUNTIF('Live Search'!BU$26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GX27">
        <f>IF($AS$27="",FALSE,SUMPRODUCT(('Final Calculation Sheet'!$C$4:$C$40=$AS$27)*($GW$6:$GW$42=1))&gt;0)</f>
        <v/>
      </c>
      <c r="GY27">
        <f>$GY$26+--($GX27)</f>
        <v/>
      </c>
      <c r="GZ27">
        <f>IF(ROW()-3&gt;MAX($GY$4:$GY$40),"",INDEX($AS$4:$AS$40,MATCH(ROW()-3,$GY$4:$GY$40,0)))</f>
        <v/>
      </c>
      <c r="HA27">
        <f>IF(COUNTIF('Live Search'!BM$26:BT$26,0)+COUNTIF('Live Search'!BV$26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HB27">
        <f>IF($AX$27="",FALSE,SUMPRODUCT(('Final Calculation Sheet'!$H$4:$H$40=$AX$27)*($HA$6:$HA$42=1))&gt;0)</f>
        <v/>
      </c>
      <c r="HC27">
        <f>$HC$26+--($HB27)</f>
        <v/>
      </c>
      <c r="HD27">
        <f>IF(ROW()-3&gt;MAX($HC$4:$HC$40),"",INDEX($AX$4:$AX$40,MATCH(ROW()-3,$HC$4:$HC$40,0)))</f>
        <v/>
      </c>
      <c r="HE27">
        <f>IF(COUNTIF('Live Search'!BM$26:BU$26,0)+COUNTIF('Live Search'!BW$26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HF27">
        <f>IF($BC$27="",FALSE,SUMPRODUCT(('Final Calculation Sheet'!$I$4:$I$40=$BC$27)*($HE$6:$HE$42=1))&gt;0)</f>
        <v/>
      </c>
      <c r="HG27">
        <f>$HG$26+--($HF27)</f>
        <v/>
      </c>
      <c r="HH27">
        <f>IF(ROW()-3&gt;MAX($HG$4:$HG$40),"",INDEX($BC$4:$BC$40,MATCH(ROW()-3,$HG$4:$HG$40,0)))</f>
        <v/>
      </c>
      <c r="HI27">
        <f>IF(COUNTIF('Live Search'!BM$26:BV$26,0)+COUNTIF('Live Search'!BX$26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HJ27">
        <f>IF($BH$27="",FALSE,SUMPRODUCT(('Final Calculation Sheet'!$J$4:$J$40=$BH$27)*($HI$6:$HI$42=1))&gt;0)</f>
        <v/>
      </c>
      <c r="HK27">
        <f>$HK$26+--($HJ27)</f>
        <v/>
      </c>
      <c r="HL27">
        <f>IF(ROW()-3&gt;MAX($HK$4:$HK$40),"",INDEX($BH$4:$BH$40,MATCH(ROW()-3,$HK$4:$HK$40,0)))</f>
        <v/>
      </c>
      <c r="HM27">
        <f>IF(COUNTIF('Live Search'!BM$26:BW$26,0)+COUNTIF('Live Search'!BY$26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HN27">
        <f>IF($BM$27="",FALSE,SUMPRODUCT(('Final Calculation Sheet'!$K$4:$K$40=$BM$27)*($HM$6:$HM$42=1))&gt;0)</f>
        <v/>
      </c>
      <c r="HO27">
        <f>$HO$26+--($HN27)</f>
        <v/>
      </c>
      <c r="HP27">
        <f>IF(ROW()-3&gt;MAX($HO$4:$HO$40),"",INDEX($BM$4:$BM$40,MATCH(ROW()-3,$HO$4:$HO$40,0)))</f>
        <v/>
      </c>
      <c r="HQ27">
        <f>IF(COUNTIF('Live Search'!BM$26:BX$26,0)+COUNTIF('Live Search'!BZ$26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HR27">
        <f>IF($BR$27="",FALSE,SUMPRODUCT(('Final Calculation Sheet'!$L$4:$L$40=$BR$27)*($HQ$6:$HQ$42=1))&gt;0)</f>
        <v/>
      </c>
      <c r="HS27">
        <f>$HS$26+--($HR27)</f>
        <v/>
      </c>
      <c r="HT27">
        <f>IF(ROW()-3&gt;MAX($HS$4:$HS$40),"",INDEX($BR$4:$BR$40,MATCH(ROW()-3,$HS$4:$HS$40,0)))</f>
        <v/>
      </c>
      <c r="HU27">
        <f>IF(COUNTIF('Live Search'!BM$26:BY$26,0)+COUNTIF('Live Search'!CA$26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HV27">
        <f>IF($BW$27="",FALSE,SUMPRODUCT(('Final Calculation Sheet'!$M$4:$M$40=$BW$27)*($HU$6:$HU$42=1))&gt;0)</f>
        <v/>
      </c>
      <c r="HW27">
        <f>$HW$26+--($HV27)</f>
        <v/>
      </c>
      <c r="HX27">
        <f>IF(ROW()-3&gt;MAX($HW$4:$HW$40),"",INDEX($BW$4:$BW$40,MATCH(ROW()-3,$HW$4:$HW$40,0)))</f>
        <v/>
      </c>
      <c r="HY27">
        <f>IF(COUNTIF('Live Search'!BM$26:BZ$26,0)+COUNTIF('Live Search'!CB$26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HZ27">
        <f>IF($CB$27="",FALSE,SUMPRODUCT(('Final Calculation Sheet'!$N$4:$N$40=$CB$27)*($HY$6:$HY$42=1))&gt;0)</f>
        <v/>
      </c>
      <c r="IA27">
        <f>$IA$26+--($HZ27)</f>
        <v/>
      </c>
      <c r="IB27">
        <f>IF(ROW()-3&gt;MAX($IA$4:$IA$40),"",INDEX($CB$4:$CB$40,MATCH(ROW()-3,$IA$4:$IA$40,0)))</f>
        <v/>
      </c>
      <c r="IC27">
        <f>IF(COUNTIF('Live Search'!BM$26:CA$26,0)+COUNTIF('Live Search'!CC$26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ID27">
        <f>IF($CG$27="",FALSE,SUMPRODUCT(('Final Calculation Sheet'!$O$4:$O$40=$CG$27)*($IC$6:$IC$42=1))&gt;0)</f>
        <v/>
      </c>
      <c r="IE27">
        <f>$IE$26+--($ID27)</f>
        <v/>
      </c>
      <c r="IF27">
        <f>IF(ROW()-3&gt;MAX($IE$4:$IE$40),"",INDEX($CG$4:$CG$40,MATCH(ROW()-3,$IE$4:$IE$40,0)))</f>
        <v/>
      </c>
      <c r="IG27">
        <f>IF(COUNTIF('Live Search'!BM$26:CB$26,0)+COUNTIF('Live Search'!CD$26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IH27">
        <f>IF($CL$27="",FALSE,SUMPRODUCT(('Final Calculation Sheet'!$P$4:$P$40=$CL$27)*($IG$6:$IG$42=1))&gt;0)</f>
        <v/>
      </c>
      <c r="II27">
        <f>$II$26+--($IH27)</f>
        <v/>
      </c>
      <c r="IJ27">
        <f>IF(ROW()-3&gt;MAX($II$4:$II$40),"",INDEX($CL$4:$CL$40,MATCH(ROW()-3,$II$4:$II$40,0)))</f>
        <v/>
      </c>
      <c r="IK27">
        <f>IF(COUNTIF('Live Search'!BM$26:CC$26,0)+COUNTIF('Live Search'!CE$26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IL27">
        <f>IF($CQ$27="",FALSE,SUMPRODUCT(('Final Calculation Sheet'!$Q$4:$Q$40=$CQ$27)*($IK$6:$IK$42=1))&gt;0)</f>
        <v/>
      </c>
      <c r="IM27">
        <f>$IM$26+--($IL27)</f>
        <v/>
      </c>
      <c r="IN27">
        <f>IF(ROW()-3&gt;MAX($IM$4:$IM$40),"",INDEX($CQ$4:$CQ$40,MATCH(ROW()-3,$IM$4:$IM$40,0)))</f>
        <v/>
      </c>
      <c r="IO27">
        <f>IF(COUNTIF('Live Search'!BM$26:CD$26,0)+COUNTIF('Live Search'!CF$26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IP27">
        <f>IF($CV$27="",FALSE,SUMPRODUCT(('Final Calculation Sheet'!$R$4:$R$40=$CV$27)*($IO$6:$IO$42=1))&gt;0)</f>
        <v/>
      </c>
      <c r="IQ27">
        <f>$IQ$26+--($IP27)</f>
        <v/>
      </c>
      <c r="IR27">
        <f>IF(ROW()-3&gt;MAX($IQ$4:$IQ$40),"",INDEX($CV$4:$CV$40,MATCH(ROW()-3,$IQ$4:$IQ$40,0)))</f>
        <v/>
      </c>
      <c r="IS27">
        <f>IF(COUNTIF('Live Search'!BM$26:CE$26,0)+COUNTIF('Live Search'!CG$26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IT27">
        <f>IF($DA$27="",FALSE,SUMPRODUCT(('Final Calculation Sheet'!$S$4:$S$40=$DA$27)*($IS$6:$IS$42=1))&gt;0)</f>
        <v/>
      </c>
      <c r="IU27">
        <f>$IU$26+--($IT27)</f>
        <v/>
      </c>
      <c r="IV27">
        <f>IF(ROW()-3&gt;MAX($IU$4:$IU$40),"",INDEX($DA$4:$DA$40,MATCH(ROW()-3,$IU$4:$IU$40,0)))</f>
        <v/>
      </c>
      <c r="IW27">
        <f>IF(COUNTIF('Live Search'!BM$26:CF$26,0)+COUNTIF('Live Search'!CH$26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IX27">
        <f>IF($DF$27="",FALSE,SUMPRODUCT(('Final Calculation Sheet'!$T$4:$T$40=$DF$27)*($IW$6:$IW$42=1))&gt;0)</f>
        <v/>
      </c>
      <c r="IY27">
        <f>$IY$26+--($IX27)</f>
        <v/>
      </c>
      <c r="IZ27">
        <f>IF(ROW()-3&gt;MAX($IY$4:$IY$40),"",INDEX($DF$4:$DF$40,MATCH(ROW()-3,$IY$4:$IY$40,0)))</f>
        <v/>
      </c>
      <c r="JA27">
        <f>IF(COUNTIF('Live Search'!BM$26:CG$26,0)+COUNTIF('Live Search'!CI$26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JB27">
        <f>IF($DK$27="",FALSE,SUMPRODUCT(('Final Calculation Sheet'!$U$4:$U$40=$DK$27)*($JA$6:$JA$42=1))&gt;0)</f>
        <v/>
      </c>
      <c r="JC27">
        <f>$JC$26+--($JB27)</f>
        <v/>
      </c>
      <c r="JD27">
        <f>IF(ROW()-3&gt;MAX($JC$4:$JC$40),"",INDEX($DK$4:$DK$40,MATCH(ROW()-3,$JC$4:$JC$40,0)))</f>
        <v/>
      </c>
      <c r="JE27">
        <f>IF(COUNTIF('Live Search'!BM$26:CH$26,0)+COUNTIF('Live Search'!CJ$26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JF27">
        <f>IF($DP$27="",FALSE,SUMPRODUCT(('Final Calculation Sheet'!$V$4:$V$40=$DP$27)*($JE$6:$JE$42=1))&gt;0)</f>
        <v/>
      </c>
      <c r="JG27">
        <f>$JG$26+--($JF27)</f>
        <v/>
      </c>
      <c r="JH27">
        <f>IF(ROW()-3&gt;MAX($JG$4:$JG$40),"",INDEX($DP$4:$DP$40,MATCH(ROW()-3,$JG$4:$JG$40,0)))</f>
        <v/>
      </c>
      <c r="JI27">
        <f>IF(COUNTIF('Live Search'!BM$26:CI$26,0)+COUNTIF('Live Search'!CK$26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JJ27">
        <f>IF($DU$27="",FALSE,SUMPRODUCT(('Final Calculation Sheet'!$W$4:$W$40=$DU$27)*($JI$6:$JI$42=1))&gt;0)</f>
        <v/>
      </c>
      <c r="JK27">
        <f>$JK$26+--($JJ27)</f>
        <v/>
      </c>
      <c r="JL27">
        <f>IF(ROW()-3&gt;MAX($JK$4:$JK$40),"",INDEX($DU$4:$DU$40,MATCH(ROW()-3,$JK$4:$JK$40,0)))</f>
        <v/>
      </c>
      <c r="JM27">
        <f>IF(COUNTIF('Live Search'!BM$26:CJ$26,0)+COUNTIF('Live Search'!CL$26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JN27">
        <f>IF($DZ$27="",FALSE,SUMPRODUCT(('Final Calculation Sheet'!$X$4:$X$40=$DZ$27)*($JM$6:$JM$42=1))&gt;0)</f>
        <v/>
      </c>
      <c r="JO27">
        <f>$JO$26+--($JN27)</f>
        <v/>
      </c>
      <c r="JP27">
        <f>IF(ROW()-3&gt;MAX($JO$4:$JO$40),"",INDEX($DZ$4:$DZ$40,MATCH(ROW()-3,$JO$4:$JO$40,0)))</f>
        <v/>
      </c>
      <c r="JQ27">
        <f>IF(COUNTIF('Live Search'!BM$26:CK$26,0)+COUNTIF('Live Search'!CM$26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JR27">
        <f>IF($EE$27="",FALSE,SUMPRODUCT(('Final Calculation Sheet'!$Y$4:$Y$40=$EE$27)*($JQ$6:$JQ$42=1))&gt;0)</f>
        <v/>
      </c>
      <c r="JS27">
        <f>$JS$26+--($JR27)</f>
        <v/>
      </c>
      <c r="JT27">
        <f>IF(ROW()-3&gt;MAX($JS$4:$JS$40),"",INDEX($EE$4:$EE$40,MATCH(ROW()-3,$JS$4:$JS$40,0)))</f>
        <v/>
      </c>
      <c r="JU27">
        <f>IF(COUNTIF('Live Search'!BM$26:CL$26,0)+COUNTIF('Live Search'!CN$26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JV27">
        <f>IF($EJ$27="",FALSE,SUMPRODUCT(('Final Calculation Sheet'!$Z$4:$Z$40=$EJ$27)*($JU$6:$JU$42=1))&gt;0)</f>
        <v/>
      </c>
      <c r="JW27">
        <f>$JW$26+--($JV27)</f>
        <v/>
      </c>
      <c r="JX27">
        <f>IF(ROW()-3&gt;MAX($JW$4:$JW$40),"",INDEX($EJ$4:$EJ$40,MATCH(ROW()-3,$JW$4:$JW$40,0)))</f>
        <v/>
      </c>
      <c r="JY27">
        <f>IF(COUNTIF('Live Search'!BM$26:CM$26,0)+COUNTIF('Live Search'!CO$26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JZ27">
        <f>IF($EO$27="",FALSE,SUMPRODUCT(('Final Calculation Sheet'!$AA$4:$AA$40=$EO$27)*($JY$6:$JY$42=1))&gt;0)</f>
        <v/>
      </c>
      <c r="KA27">
        <f>$KA$26+--($JZ27)</f>
        <v/>
      </c>
      <c r="KB27">
        <f>IF(ROW()-3&gt;MAX($KA$4:$KA$40),"",INDEX($EO$4:$EO$40,MATCH(ROW()-3,$KA$4:$KA$40,0)))</f>
        <v/>
      </c>
      <c r="KC27">
        <f>IF(COUNTIF('Live Search'!BM$26:CN$26,0)+COUNTIF('Live Search'!CP$26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KD27">
        <f>IF($ET$27="",FALSE,SUMPRODUCT(('Final Calculation Sheet'!$AB$4:$AB$40=$ET$27)*($KC$6:$KC$42=1))&gt;0)</f>
        <v/>
      </c>
      <c r="KE27">
        <f>$KE$26+--($KD27)</f>
        <v/>
      </c>
      <c r="KF27">
        <f>IF(ROW()-3&gt;MAX($KE$4:$KE$40),"",INDEX($ET$4:$ET$40,MATCH(ROW()-3,$KE$4:$KE$40,0)))</f>
        <v/>
      </c>
      <c r="KG27">
        <f>IF(COUNTIF('Live Search'!BM$26:CO$26,0)+COUNTIF('Live Search'!CQ$26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KH27">
        <f>IF($EY$27="",FALSE,SUMPRODUCT(('Final Calculation Sheet'!$AC$4:$AC$40=$EY$27)*($KG$6:$KG$42=1))&gt;0)</f>
        <v/>
      </c>
      <c r="KI27">
        <f>$KI$26+--($KH27)</f>
        <v/>
      </c>
      <c r="KJ27">
        <f>IF(ROW()-3&gt;MAX($KI$4:$KI$40),"",INDEX($EY$4:$EY$40,MATCH(ROW()-3,$KI$4:$KI$40,0)))</f>
        <v/>
      </c>
      <c r="KK27">
        <f>IF(COUNTIF('Live Search'!BM$26:CP$26,0)+COUNTIF('Live Search'!CR$26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KL27">
        <f>IF($FD$27="",FALSE,SUMPRODUCT(('Final Calculation Sheet'!$AD$4:$AD$40=$FD$27)*($KK$6:$KK$42=1))&gt;0)</f>
        <v/>
      </c>
      <c r="KM27">
        <f>$KM$26+--($KL27)</f>
        <v/>
      </c>
      <c r="KN27">
        <f>IF(ROW()-3&gt;MAX($KM$4:$KM$40),"",INDEX($FD$4:$FD$40,MATCH(ROW()-3,$KM$4:$KM$40,0)))</f>
        <v/>
      </c>
      <c r="KO27">
        <f>IF(COUNTIF('Live Search'!BM$26:CT$26,0)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KP27">
        <f>IF($FX$27="",FALSE,SUMPRODUCT((IF('Final Calculation Sheet'!$AD$4:$AD$40&lt;=5,"SETTLED","OUTSTANDING")=$FX$27)*($KO$6:$KO$42=1))&gt;0)</f>
        <v/>
      </c>
      <c r="KQ27">
        <f>$KQ$26+--($KP27)</f>
        <v/>
      </c>
      <c r="KR27">
        <f>IF(ROW()-3&gt;MAX($KQ$4:$KQ$40),"",INDEX($FX$4:$FX$40,MATCH(ROW()-3,$KQ$4:$KQ$40,0)))</f>
        <v/>
      </c>
      <c r="KS27">
        <f>IF(COUNTIF('Live Search'!BM$26:CQ$26,0)+COUNTIF('Live Search'!CS$26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KT27">
        <f>IF($FI$27="",FALSE,SUMPRODUCT(('Final Calculation Sheet'!$AF$4:$AF$40=$FI$27)*($KS$6:$KS$42=1))&gt;0)</f>
        <v/>
      </c>
      <c r="KU27">
        <f>$KU$26+--($KT27)</f>
        <v/>
      </c>
      <c r="KV27">
        <f>IF(ROW()-3&gt;MAX($KU$4:$KU$40),"",INDEX($FI$4:$FI$40,MATCH(ROW()-3,$KU$4:$KU$40,0)))</f>
        <v/>
      </c>
      <c r="KW27">
        <f>IF(COUNTIF('Live Search'!BM$26:CR$26,0)+COUNTIF('Live Search'!CT$26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KX27">
        <f>IF($FN$27="",FALSE,SUMPRODUCT(('Final Calculation Sheet'!$AG$4:$AG$40=$FN$27)*($KW$6:$KW$42=1))&gt;0)</f>
        <v/>
      </c>
      <c r="KY27">
        <f>$KY$26+--($KX27)</f>
        <v/>
      </c>
      <c r="KZ27">
        <f>IF(ROW()-3&gt;MAX($KY$4:$KY$40),"",INDEX($FN$4:$FN$40,MATCH(ROW()-3,$KY$4:$KY$40,0)))</f>
        <v/>
      </c>
      <c r="LA27">
        <f>IF(COUNTIF('Live Search'!BM$26:CS$26,0)+COUNTIF('Live Search'!CU$26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LB27">
        <f>IF($FS$27="",FALSE,SUMPRODUCT(('Final Calculation Sheet'!$AH$4:$AH$40=$FS$27)*($LA$6:$LA$42=1))&gt;0)</f>
        <v/>
      </c>
      <c r="LC27">
        <f>$LC$26+--($LB27)</f>
        <v/>
      </c>
      <c r="LD27">
        <f>IF(ROW()-3&gt;MAX($LC$4:$LC$40),"",INDEX($FS$4:$FS$40,MATCH(ROW()-3,$LC$4:$LC$40,0)))</f>
        <v/>
      </c>
      <c r="LE27">
        <f>IF(COUNTIF('Buyer Groups'!DH80:EN80,0)&gt;0,0,1)</f>
        <v/>
      </c>
      <c r="LF27">
        <f>IF($O$27="",FALSE,SUMPRODUCT(('Final Calculation Sheet'!$F$4:$F$40=$O$27)*($LE$6:$LE$42=1))&gt;0)</f>
        <v/>
      </c>
      <c r="LG27">
        <f>$LG$26+--($LF27)</f>
        <v/>
      </c>
      <c r="LH27">
        <f>IF(ROW()-3&gt;MAX($LG$4:$LG$40),"",INDEX($O$4:$O$40,MATCH(ROW()-3,$LG$4:$LG$40,0)))</f>
        <v/>
      </c>
      <c r="LI27">
        <f>IF(COUNTIF('Buyer Groups'!DG80:DG80,0)+COUNTIF('Buyer Groups'!DI80:EN80,0)&gt;0,0,1)</f>
        <v/>
      </c>
      <c r="LJ27">
        <f>IF($T$27="",FALSE,SUMPRODUCT(('Final Calculation Sheet'!$G$4:$G$40=$T$27)*($LI$6:$LI$42=1))&gt;0)</f>
        <v/>
      </c>
      <c r="LK27">
        <f>$LK$26+--($LJ27)</f>
        <v/>
      </c>
      <c r="LL27">
        <f>IF(ROW()-3&gt;MAX($LK$4:$LK$40),"",INDEX($T$4:$T$40,MATCH(ROW()-3,$LK$4:$LK$40,0)))</f>
        <v/>
      </c>
      <c r="LM27">
        <f>IF(COUNTIF('Buyer Groups'!DG80:DH80,0)+COUNTIF('Buyer Groups'!DJ80:EN80,0)&gt;0,0,1)</f>
        <v/>
      </c>
      <c r="LN27">
        <f>IF($Y$27="",FALSE,SUMPRODUCT(('Final Calculation Sheet'!$B$4:$B$40=$Y$27)*($LM$6:$LM$42=1))&gt;0)</f>
        <v/>
      </c>
      <c r="LO27">
        <f>$LO$26+--($LN27)</f>
        <v/>
      </c>
      <c r="LP27">
        <f>IF(ROW()-3&gt;MAX($LO$4:$LO$40),"",INDEX($Y$4:$Y$40,MATCH(ROW()-3,$LO$4:$LO$40,0)))</f>
        <v/>
      </c>
      <c r="LQ27">
        <f>IF(COUNTIF('Buyer Groups'!DG80:DI80,0)+COUNTIF('Buyer Groups'!DK80:EN80,0)&gt;0,0,1)</f>
        <v/>
      </c>
      <c r="LR27">
        <f>IF($AD$27="",FALSE,SUMPRODUCT(('Final Calculation Sheet'!$D$4:$D$40=$AD$27)*($LQ$6:$LQ$42=1))&gt;0)</f>
        <v/>
      </c>
      <c r="LS27">
        <f>$LS$26+--($LR27)</f>
        <v/>
      </c>
      <c r="LT27">
        <f>IF(ROW()-3&gt;MAX($LS$4:$LS$40),"",INDEX($AD$4:$AD$40,MATCH(ROW()-3,$LS$4:$LS$40,0)))</f>
        <v/>
      </c>
      <c r="LU27">
        <f>IF(COUNTIF('Buyer Groups'!DG80:DJ80,0)+COUNTIF('Buyer Groups'!DL80:EN80,0)&gt;0,0,1)</f>
        <v/>
      </c>
      <c r="LV27">
        <f>IF($AI$27="",FALSE,SUMPRODUCT(('Final Calculation Sheet'!$A$4:$A$40=$AI$27)*($LU$6:$LU$42=1))&gt;0)</f>
        <v/>
      </c>
      <c r="LW27">
        <f>$LW$26+--($LV27)</f>
        <v/>
      </c>
      <c r="LX27">
        <f>IF(ROW()-3&gt;MAX($LW$4:$LW$40),"",INDEX($AI$4:$AI$40,MATCH(ROW()-3,$LW$4:$LW$40,0)))</f>
        <v/>
      </c>
      <c r="LY27">
        <f>IF(COUNTIF('Buyer Groups'!DG80:DK80,0)+COUNTIF('Buyer Groups'!DM80:EN80,0)&gt;0,0,1)</f>
        <v/>
      </c>
      <c r="LZ27">
        <f>IF($AN$27="",FALSE,SUMPRODUCT(('Final Calculation Sheet'!$E$4:$E$40=$AN$27)*($LY$6:$LY$42=1))&gt;0)</f>
        <v/>
      </c>
      <c r="MA27">
        <f>$MA$26+--($LZ27)</f>
        <v/>
      </c>
      <c r="MB27">
        <f>IF(ROW()-3&gt;MAX($MA$4:$MA$40),"",INDEX($AN$4:$AN$40,MATCH(ROW()-3,$MA$4:$MA$40,0)))</f>
        <v/>
      </c>
      <c r="MC27">
        <f>IF(COUNTIF('Buyer Groups'!DG80:DL80,0)+COUNTIF('Buyer Groups'!DN80:EN80,0)&gt;0,0,1)</f>
        <v/>
      </c>
      <c r="MD27">
        <f>IF($AS$27="",FALSE,SUMPRODUCT(('Final Calculation Sheet'!$C$4:$C$40=$AS$27)*($MC$6:$MC$42=1))&gt;0)</f>
        <v/>
      </c>
      <c r="ME27">
        <f>$ME$26+--($MD27)</f>
        <v/>
      </c>
      <c r="MF27">
        <f>IF(ROW()-3&gt;MAX($ME$4:$ME$40),"",INDEX($AS$4:$AS$40,MATCH(ROW()-3,$ME$4:$ME$40,0)))</f>
        <v/>
      </c>
      <c r="MG27">
        <f>IF(COUNTIF('Buyer Groups'!DG80:DM80,0)+COUNTIF('Buyer Groups'!DO80:EN80,0)&gt;0,0,1)</f>
        <v/>
      </c>
      <c r="MH27">
        <f>IF($AX$27="",FALSE,SUMPRODUCT(('Final Calculation Sheet'!$H$4:$H$40=$AX$27)*($MG$6:$MG$42=1))&gt;0)</f>
        <v/>
      </c>
      <c r="MI27">
        <f>$MI$26+--($MH27)</f>
        <v/>
      </c>
      <c r="MJ27">
        <f>IF(ROW()-3&gt;MAX($MI$4:$MI$40),"",INDEX($AX$4:$AX$40,MATCH(ROW()-3,$MI$4:$MI$40,0)))</f>
        <v/>
      </c>
      <c r="MK27">
        <f>IF(COUNTIF('Buyer Groups'!DG80:DN80,0)+COUNTIF('Buyer Groups'!DP80:EN80,0)&gt;0,0,1)</f>
        <v/>
      </c>
      <c r="ML27">
        <f>IF($BC$27="",FALSE,SUMPRODUCT(('Final Calculation Sheet'!$I$4:$I$40=$BC$27)*($MK$6:$MK$42=1))&gt;0)</f>
        <v/>
      </c>
      <c r="MM27">
        <f>$MM$26+--($ML27)</f>
        <v/>
      </c>
      <c r="MN27">
        <f>IF(ROW()-3&gt;MAX($MM$4:$MM$40),"",INDEX($BC$4:$BC$40,MATCH(ROW()-3,$MM$4:$MM$40,0)))</f>
        <v/>
      </c>
      <c r="MO27">
        <f>IF(COUNTIF('Buyer Groups'!DG80:DO80,0)+COUNTIF('Buyer Groups'!DQ80:EN80,0)&gt;0,0,1)</f>
        <v/>
      </c>
      <c r="MP27">
        <f>IF($BH$27="",FALSE,SUMPRODUCT(('Final Calculation Sheet'!$J$4:$J$40=$BH$27)*($MO$6:$MO$42=1))&gt;0)</f>
        <v/>
      </c>
      <c r="MQ27">
        <f>$MQ$26+--($MP27)</f>
        <v/>
      </c>
      <c r="MR27">
        <f>IF(ROW()-3&gt;MAX($MQ$4:$MQ$40),"",INDEX($BH$4:$BH$40,MATCH(ROW()-3,$MQ$4:$MQ$40,0)))</f>
        <v/>
      </c>
      <c r="MS27">
        <f>IF(COUNTIF('Buyer Groups'!DG80:DP80,0)+COUNTIF('Buyer Groups'!DR80:EN80,0)&gt;0,0,1)</f>
        <v/>
      </c>
      <c r="MT27">
        <f>IF($BM$27="",FALSE,SUMPRODUCT(('Final Calculation Sheet'!$K$4:$K$40=$BM$27)*($MS$6:$MS$42=1))&gt;0)</f>
        <v/>
      </c>
      <c r="MU27">
        <f>$MU$26+--($MT27)</f>
        <v/>
      </c>
      <c r="MV27">
        <f>IF(ROW()-3&gt;MAX($MU$4:$MU$40),"",INDEX($BM$4:$BM$40,MATCH(ROW()-3,$MU$4:$MU$40,0)))</f>
        <v/>
      </c>
      <c r="MW27">
        <f>IF(COUNTIF('Buyer Groups'!DG80:DQ80,0)+COUNTIF('Buyer Groups'!DS80:EN80,0)&gt;0,0,1)</f>
        <v/>
      </c>
      <c r="MX27">
        <f>IF($BR$27="",FALSE,SUMPRODUCT(('Final Calculation Sheet'!$L$4:$L$40=$BR$27)*($MW$6:$MW$42=1))&gt;0)</f>
        <v/>
      </c>
      <c r="MY27">
        <f>$MY$26+--($MX27)</f>
        <v/>
      </c>
      <c r="MZ27">
        <f>IF(ROW()-3&gt;MAX($MY$4:$MY$40),"",INDEX($BR$4:$BR$40,MATCH(ROW()-3,$MY$4:$MY$40,0)))</f>
        <v/>
      </c>
      <c r="NA27">
        <f>IF(COUNTIF('Buyer Groups'!DG80:DR80,0)+COUNTIF('Buyer Groups'!DT80:EN80,0)&gt;0,0,1)</f>
        <v/>
      </c>
      <c r="NB27">
        <f>IF($BW$27="",FALSE,SUMPRODUCT(('Final Calculation Sheet'!$M$4:$M$40=$BW$27)*($NA$6:$NA$42=1))&gt;0)</f>
        <v/>
      </c>
      <c r="NC27">
        <f>$NC$26+--($NB27)</f>
        <v/>
      </c>
      <c r="ND27">
        <f>IF(ROW()-3&gt;MAX($NC$4:$NC$40),"",INDEX($BW$4:$BW$40,MATCH(ROW()-3,$NC$4:$NC$40,0)))</f>
        <v/>
      </c>
      <c r="NE27">
        <f>IF(COUNTIF('Buyer Groups'!DG80:DS80,0)+COUNTIF('Buyer Groups'!DU80:EN80,0)&gt;0,0,1)</f>
        <v/>
      </c>
      <c r="NF27">
        <f>IF($CB$27="",FALSE,SUMPRODUCT(('Final Calculation Sheet'!$N$4:$N$40=$CB$27)*($NE$6:$NE$42=1))&gt;0)</f>
        <v/>
      </c>
      <c r="NG27">
        <f>$NG$26+--($NF27)</f>
        <v/>
      </c>
      <c r="NH27">
        <f>IF(ROW()-3&gt;MAX($NG$4:$NG$40),"",INDEX($CB$4:$CB$40,MATCH(ROW()-3,$NG$4:$NG$40,0)))</f>
        <v/>
      </c>
      <c r="NI27">
        <f>IF(COUNTIF('Buyer Groups'!DG80:DT80,0)+COUNTIF('Buyer Groups'!DV80:EN80,0)&gt;0,0,1)</f>
        <v/>
      </c>
      <c r="NJ27">
        <f>IF($CG$27="",FALSE,SUMPRODUCT(('Final Calculation Sheet'!$O$4:$O$40=$CG$27)*($NI$6:$NI$42=1))&gt;0)</f>
        <v/>
      </c>
      <c r="NK27">
        <f>$NK$26+--($NJ27)</f>
        <v/>
      </c>
      <c r="NL27">
        <f>IF(ROW()-3&gt;MAX($NK$4:$NK$40),"",INDEX($CG$4:$CG$40,MATCH(ROW()-3,$NK$4:$NK$40,0)))</f>
        <v/>
      </c>
      <c r="NM27">
        <f>IF(COUNTIF('Buyer Groups'!DG80:DU80,0)+COUNTIF('Buyer Groups'!DW80:EN80,0)&gt;0,0,1)</f>
        <v/>
      </c>
      <c r="NN27">
        <f>IF($CL$27="",FALSE,SUMPRODUCT(('Final Calculation Sheet'!$P$4:$P$40=$CL$27)*($NM$6:$NM$42=1))&gt;0)</f>
        <v/>
      </c>
      <c r="NO27">
        <f>$NO$26+--($NN27)</f>
        <v/>
      </c>
      <c r="NP27">
        <f>IF(ROW()-3&gt;MAX($NO$4:$NO$40),"",INDEX($CL$4:$CL$40,MATCH(ROW()-3,$NO$4:$NO$40,0)))</f>
        <v/>
      </c>
      <c r="NQ27">
        <f>IF(COUNTIF('Buyer Groups'!DG80:DV80,0)+COUNTIF('Buyer Groups'!DX80:EN80,0)&gt;0,0,1)</f>
        <v/>
      </c>
      <c r="NR27">
        <f>IF($CQ$27="",FALSE,SUMPRODUCT(('Final Calculation Sheet'!$Q$4:$Q$40=$CQ$27)*($NQ$6:$NQ$42=1))&gt;0)</f>
        <v/>
      </c>
      <c r="NS27">
        <f>$NS$26+--($NR27)</f>
        <v/>
      </c>
      <c r="NT27">
        <f>IF(ROW()-3&gt;MAX($NS$4:$NS$40),"",INDEX($CQ$4:$CQ$40,MATCH(ROW()-3,$NS$4:$NS$40,0)))</f>
        <v/>
      </c>
      <c r="NU27">
        <f>IF(COUNTIF('Buyer Groups'!DG80:DW80,0)+COUNTIF('Buyer Groups'!DY80:EN80,0)&gt;0,0,1)</f>
        <v/>
      </c>
      <c r="NV27">
        <f>IF($CV$27="",FALSE,SUMPRODUCT(('Final Calculation Sheet'!$R$4:$R$40=$CV$27)*($NU$6:$NU$42=1))&gt;0)</f>
        <v/>
      </c>
      <c r="NW27">
        <f>$NW$26+--($NV27)</f>
        <v/>
      </c>
      <c r="NX27">
        <f>IF(ROW()-3&gt;MAX($NW$4:$NW$40),"",INDEX($CV$4:$CV$40,MATCH(ROW()-3,$NW$4:$NW$40,0)))</f>
        <v/>
      </c>
      <c r="NY27">
        <f>IF(COUNTIF('Buyer Groups'!DG80:DX80,0)+COUNTIF('Buyer Groups'!DZ80:EN80,0)&gt;0,0,1)</f>
        <v/>
      </c>
      <c r="NZ27">
        <f>IF($DA$27="",FALSE,SUMPRODUCT(('Final Calculation Sheet'!$S$4:$S$40=$DA$27)*($NY$6:$NY$42=1))&gt;0)</f>
        <v/>
      </c>
      <c r="OA27">
        <f>$OA$26+--($NZ27)</f>
        <v/>
      </c>
      <c r="OB27">
        <f>IF(ROW()-3&gt;MAX($OA$4:$OA$40),"",INDEX($DA$4:$DA$40,MATCH(ROW()-3,$OA$4:$OA$40,0)))</f>
        <v/>
      </c>
      <c r="OC27">
        <f>IF(COUNTIF('Buyer Groups'!DG80:DY80,0)+COUNTIF('Buyer Groups'!EA80:EN80,0)&gt;0,0,1)</f>
        <v/>
      </c>
      <c r="OD27">
        <f>IF($DF$27="",FALSE,SUMPRODUCT(('Final Calculation Sheet'!$T$4:$T$40=$DF$27)*($OC$6:$OC$42=1))&gt;0)</f>
        <v/>
      </c>
      <c r="OE27">
        <f>$OE$26+--($OD27)</f>
        <v/>
      </c>
      <c r="OF27">
        <f>IF(ROW()-3&gt;MAX($OE$4:$OE$40),"",INDEX($DF$4:$DF$40,MATCH(ROW()-3,$OE$4:$OE$40,0)))</f>
        <v/>
      </c>
      <c r="OG27">
        <f>IF(COUNTIF('Buyer Groups'!DG80:DZ80,0)+COUNTIF('Buyer Groups'!EB80:EN80,0)&gt;0,0,1)</f>
        <v/>
      </c>
      <c r="OH27">
        <f>IF($DK$27="",FALSE,SUMPRODUCT(('Final Calculation Sheet'!$U$4:$U$40=$DK$27)*($OG$6:$OG$42=1))&gt;0)</f>
        <v/>
      </c>
      <c r="OI27">
        <f>$OI$26+--($OH27)</f>
        <v/>
      </c>
      <c r="OJ27">
        <f>IF(ROW()-3&gt;MAX($OI$4:$OI$40),"",INDEX($DK$4:$DK$40,MATCH(ROW()-3,$OI$4:$OI$40,0)))</f>
        <v/>
      </c>
      <c r="OK27">
        <f>IF(COUNTIF('Buyer Groups'!DG80:EA80,0)+COUNTIF('Buyer Groups'!EC80:EN80,0)&gt;0,0,1)</f>
        <v/>
      </c>
      <c r="OL27">
        <f>IF($DP$27="",FALSE,SUMPRODUCT(('Final Calculation Sheet'!$V$4:$V$40=$DP$27)*($OK$6:$OK$42=1))&gt;0)</f>
        <v/>
      </c>
      <c r="OM27">
        <f>$OM$26+--($OL27)</f>
        <v/>
      </c>
      <c r="ON27">
        <f>IF(ROW()-3&gt;MAX($OM$4:$OM$40),"",INDEX($DP$4:$DP$40,MATCH(ROW()-3,$OM$4:$OM$40,0)))</f>
        <v/>
      </c>
      <c r="OO27">
        <f>IF(COUNTIF('Buyer Groups'!DG80:EB80,0)+COUNTIF('Buyer Groups'!ED80:EN80,0)&gt;0,0,1)</f>
        <v/>
      </c>
      <c r="OP27">
        <f>IF($DU$27="",FALSE,SUMPRODUCT(('Final Calculation Sheet'!$W$4:$W$40=$DU$27)*($OO$6:$OO$42=1))&gt;0)</f>
        <v/>
      </c>
      <c r="OQ27">
        <f>$OQ$26+--($OP27)</f>
        <v/>
      </c>
      <c r="OR27">
        <f>IF(ROW()-3&gt;MAX($OQ$4:$OQ$40),"",INDEX($DU$4:$DU$40,MATCH(ROW()-3,$OQ$4:$OQ$40,0)))</f>
        <v/>
      </c>
      <c r="OS27">
        <f>IF(COUNTIF('Buyer Groups'!DG80:EC80,0)+COUNTIF('Buyer Groups'!EE80:EN80,0)&gt;0,0,1)</f>
        <v/>
      </c>
      <c r="OT27">
        <f>IF($DZ$27="",FALSE,SUMPRODUCT(('Final Calculation Sheet'!$X$4:$X$40=$DZ$27)*($OS$6:$OS$42=1))&gt;0)</f>
        <v/>
      </c>
      <c r="OU27">
        <f>$OU$26+--($OT27)</f>
        <v/>
      </c>
      <c r="OV27">
        <f>IF(ROW()-3&gt;MAX($OU$4:$OU$40),"",INDEX($DZ$4:$DZ$40,MATCH(ROW()-3,$OU$4:$OU$40,0)))</f>
        <v/>
      </c>
      <c r="OW27">
        <f>IF(COUNTIF('Buyer Groups'!DG80:ED80,0)+COUNTIF('Buyer Groups'!EF80:EN80,0)&gt;0,0,1)</f>
        <v/>
      </c>
      <c r="OX27">
        <f>IF($EE$27="",FALSE,SUMPRODUCT(('Final Calculation Sheet'!$Y$4:$Y$40=$EE$27)*($OW$6:$OW$42=1))&gt;0)</f>
        <v/>
      </c>
      <c r="OY27">
        <f>$OY$26+--($OX27)</f>
        <v/>
      </c>
      <c r="OZ27">
        <f>IF(ROW()-3&gt;MAX($OY$4:$OY$40),"",INDEX($EE$4:$EE$40,MATCH(ROW()-3,$OY$4:$OY$40,0)))</f>
        <v/>
      </c>
      <c r="PA27">
        <f>IF(COUNTIF('Buyer Groups'!DG80:EE80,0)+COUNTIF('Buyer Groups'!EG80:EN80,0)&gt;0,0,1)</f>
        <v/>
      </c>
      <c r="PB27">
        <f>IF($EJ$27="",FALSE,SUMPRODUCT(('Final Calculation Sheet'!$Z$4:$Z$40=$EJ$27)*($PA$6:$PA$42=1))&gt;0)</f>
        <v/>
      </c>
      <c r="PC27">
        <f>$PC$26+--($PB27)</f>
        <v/>
      </c>
      <c r="PD27">
        <f>IF(ROW()-3&gt;MAX($PC$4:$PC$40),"",INDEX($EJ$4:$EJ$40,MATCH(ROW()-3,$PC$4:$PC$40,0)))</f>
        <v/>
      </c>
      <c r="PE27">
        <f>IF(COUNTIF('Buyer Groups'!DG80:EF80,0)+COUNTIF('Buyer Groups'!EH80:EN80,0)&gt;0,0,1)</f>
        <v/>
      </c>
      <c r="PF27">
        <f>IF($EO$27="",FALSE,SUMPRODUCT(('Final Calculation Sheet'!$AA$4:$AA$40=$EO$27)*($PE$6:$PE$42=1))&gt;0)</f>
        <v/>
      </c>
      <c r="PG27">
        <f>$PG$26+--($PF27)</f>
        <v/>
      </c>
      <c r="PH27">
        <f>IF(ROW()-3&gt;MAX($PG$4:$PG$40),"",INDEX($EO$4:$EO$40,MATCH(ROW()-3,$PG$4:$PG$40,0)))</f>
        <v/>
      </c>
      <c r="PI27">
        <f>IF(COUNTIF('Buyer Groups'!DG80:EG80,0)+COUNTIF('Buyer Groups'!EI80:EN80,0)&gt;0,0,1)</f>
        <v/>
      </c>
      <c r="PJ27">
        <f>IF($ET$27="",FALSE,SUMPRODUCT(('Final Calculation Sheet'!$AB$4:$AB$40=$ET$27)*($PI$6:$PI$42=1))&gt;0)</f>
        <v/>
      </c>
      <c r="PK27">
        <f>$PK$26+--($PJ27)</f>
        <v/>
      </c>
      <c r="PL27">
        <f>IF(ROW()-3&gt;MAX($PK$4:$PK$40),"",INDEX($ET$4:$ET$40,MATCH(ROW()-3,$PK$4:$PK$40,0)))</f>
        <v/>
      </c>
      <c r="PM27">
        <f>IF(COUNTIF('Buyer Groups'!DG80:EH80,0)+COUNTIF('Buyer Groups'!EJ80:EN80,0)&gt;0,0,1)</f>
        <v/>
      </c>
      <c r="PN27">
        <f>IF($EY$27="",FALSE,SUMPRODUCT(('Final Calculation Sheet'!$AC$4:$AC$40=$EY$27)*($PM$6:$PM$42=1))&gt;0)</f>
        <v/>
      </c>
      <c r="PO27">
        <f>$PO$26+--($PN27)</f>
        <v/>
      </c>
      <c r="PP27">
        <f>IF(ROW()-3&gt;MAX($PO$4:$PO$40),"",INDEX($EY$4:$EY$40,MATCH(ROW()-3,$PO$4:$PO$40,0)))</f>
        <v/>
      </c>
      <c r="PQ27">
        <f>IF(COUNTIF('Buyer Groups'!DG80:EI80,0)+COUNTIF('Buyer Groups'!EK80:EN80,0)&gt;0,0,1)</f>
        <v/>
      </c>
      <c r="PR27">
        <f>IF($FD$27="",FALSE,SUMPRODUCT(('Final Calculation Sheet'!$AD$4:$AD$40=$FD$27)*($PQ$6:$PQ$42=1))&gt;0)</f>
        <v/>
      </c>
      <c r="PS27">
        <f>$PS$26+--($PR27)</f>
        <v/>
      </c>
      <c r="PT27">
        <f>IF(ROW()-3&gt;MAX($PS$4:$PS$40),"",INDEX($FD$4:$FD$40,MATCH(ROW()-3,$PS$4:$PS$40,0)))</f>
        <v/>
      </c>
      <c r="PU27">
        <f>IF(COUNTIF('Buyer Groups'!DG80:EJ80,0)+COUNTIF('Buyer Groups'!EL80:EN80,0)&gt;0,0,1)</f>
        <v/>
      </c>
      <c r="PV27">
        <f>IF($FX$27="",FALSE,SUMPRODUCT((IF('Final Calculation Sheet'!$AD$4:$AD$40&lt;=5,"SETTLED","OUTSTANDING")=$FX$27)*($PU$6:$PU$42=1))&gt;0)</f>
        <v/>
      </c>
      <c r="PW27">
        <f>$PW$26+--($PV27)</f>
        <v/>
      </c>
      <c r="PX27">
        <f>IF(ROW()-3&gt;MAX($PW$4:$PW$40),"",INDEX($FX$4:$FX$40,MATCH(ROW()-3,$PW$4:$PW$40,0)))</f>
        <v/>
      </c>
      <c r="PY27">
        <f>IF(COUNTIF('Buyer Groups'!DG80:EK80,0)+COUNTIF('Buyer Groups'!EM80:EN80,0)&gt;0,0,1)</f>
        <v/>
      </c>
      <c r="PZ27">
        <f>IF($FI$27="",FALSE,SUMPRODUCT(('Final Calculation Sheet'!$AF$4:$AF$40=$FI$27)*($PY$6:$PY$42=1))&gt;0)</f>
        <v/>
      </c>
      <c r="QA27">
        <f>$QA$26+--($PZ27)</f>
        <v/>
      </c>
      <c r="QB27">
        <f>IF(ROW()-3&gt;MAX($QA$4:$QA$40),"",INDEX($FI$4:$FI$40,MATCH(ROW()-3,$QA$4:$QA$40,0)))</f>
        <v/>
      </c>
      <c r="QC27">
        <f>IF(COUNTIF('Buyer Groups'!DG80:EL80,0)+COUNTIF('Buyer Groups'!EN80:EN80,0)&gt;0,0,1)</f>
        <v/>
      </c>
      <c r="QD27">
        <f>IF($FN$27="",FALSE,SUMPRODUCT(('Final Calculation Sheet'!$AG$4:$AG$40=$FN$27)*($QC$6:$QC$42=1))&gt;0)</f>
        <v/>
      </c>
      <c r="QE27">
        <f>$QE$26+--($QD27)</f>
        <v/>
      </c>
      <c r="QF27">
        <f>IF(ROW()-3&gt;MAX($QE$4:$QE$40),"",INDEX($FN$4:$FN$40,MATCH(ROW()-3,$QE$4:$QE$40,0)))</f>
        <v/>
      </c>
      <c r="QG27">
        <f>IF(COUNTIF('Buyer Groups'!DG80:EM80,0)&gt;0,0,1)</f>
        <v/>
      </c>
      <c r="QH27">
        <f>IF($FS$27="",FALSE,SUMPRODUCT(('Final Calculation Sheet'!$AH$4:$AH$40=$FS$27)*($QG$6:$QG$42=1))&gt;0)</f>
        <v/>
      </c>
      <c r="QI27">
        <f>$QI$26+--($QH27)</f>
        <v/>
      </c>
      <c r="QJ27">
        <f>IF(ROW()-3&gt;MAX($QI$4:$QI$40),"",INDEX($FS$4:$FS$40,MATCH(ROW()-3,$QI$4:$QI$40,0)))</f>
        <v/>
      </c>
      <c r="QK27" t="str">
        <f>IF('Final Calculation Sheet'!$AH$27="","",'Final Calculation Sheet'!$AH$27)</f>
      </c>
      <c r="QL27" t="str">
        <f>IF(QK27="","",COUNTIFS(QK$4:QK$40,"&lt;"&amp;QK27,QK$4:QK$40,"&lt;&gt;"&amp;"")+COUNTIF(QK$4:QK27,QK27))</f>
      </c>
      <c r="QM27" t="str">
        <f>IF(ROW()-3&gt;COUNTIF(QK$4:QK$40,"&lt;&gt;"&amp;""),"",INDEX(QK$4:QK$40,MATCH(ROW()-3,QL$4:QL$40,0)))</f>
      </c>
      <c r="QN27" t="str">
        <f>=QN26+F(AND(QM27&lt;&gt;"",COUNTIF(QM$4:QM27,QM27)=1),1,0)</f>
      </c>
      <c r="QO27" t="str">
        <f>IF(ROW()-3&gt;MAX(QN$4:QN$40),"",INDEX(QM$4:QM$40,MATCH(ROW()-3,QN$4:QN$40,0)))</f>
      </c>
      <c r="QP27" t="str">
        <f>IF(COUNTIF('Final Calculation Sheet'!$AM27:$BS27,0)&gt;0,0,1)</f>
      </c>
      <c r="QQ27" t="str">
        <f>IF($AI$27="",FALSE,SUMPRODUCT(('Final Calculation Sheet'!$A$4:$A$40=$AI$27)*($QP$4:$QP$40=1))&gt;0)</f>
      </c>
      <c r="QR27" t="str">
        <f>=$QR26+--($QQ27)</f>
      </c>
      <c r="QS27" t="str">
        <f>IF(ROW()-3&gt;MAX($QR$4:$QR$40),"",INDEX($AI$4:$AI$40,MATCH(ROW()-3,$QR$4:$QR$40,0)))</f>
      </c>
      <c r="QT27" t="str">
        <f>IF(COUNTIF('Final Calculation Sheet'!$AL27:$AL27,0)+COUNTIF('Final Calculation Sheet'!$AN27:$BS27,0)&gt;0,0,1)</f>
      </c>
      <c r="QU27" t="str">
        <f>IF($Y$27="",FALSE,SUMPRODUCT(('Final Calculation Sheet'!$B$4:$B$40=$Y$27)*($QT$4:$QT$40=1))&gt;0)</f>
      </c>
      <c r="QV27" t="str">
        <f>=$QV26+--($QU27)</f>
      </c>
      <c r="QW27" t="str">
        <f>IF(ROW()-3&gt;MAX($QV$4:$QV$40),"",INDEX($Y$4:$Y$40,MATCH(ROW()-3,$QV$4:$QV$40,0)))</f>
      </c>
      <c r="QX27" t="str">
        <f>IF(COUNTIF('Final Calculation Sheet'!$AL27:$AM27,0)+COUNTIF('Final Calculation Sheet'!$AO27:$BS27,0)&gt;0,0,1)</f>
      </c>
      <c r="QY27" t="str">
        <f>IF($AS$27="",FALSE,SUMPRODUCT(('Final Calculation Sheet'!$C$4:$C$40=$AS$27)*($QX$4:$QX$40=1))&gt;0)</f>
      </c>
      <c r="QZ27" t="str">
        <f>=$QZ26+--($QY27)</f>
      </c>
      <c r="RA27" t="str">
        <f>IF(ROW()-3&gt;MAX($QZ$4:$QZ$40),"",INDEX($AS$4:$AS$40,MATCH(ROW()-3,$QZ$4:$QZ$40,0)))</f>
      </c>
      <c r="RB27" t="str">
        <f>IF(COUNTIF('Final Calculation Sheet'!$AL27:$AN27,0)+COUNTIF('Final Calculation Sheet'!$AP27:$BS27,0)&gt;0,0,1)</f>
      </c>
      <c r="RC27" t="str">
        <f>IF($AD$27="",FALSE,SUMPRODUCT(('Final Calculation Sheet'!$D$4:$D$40=$AD$27)*($RB$4:$RB$40=1))&gt;0)</f>
      </c>
      <c r="RD27" t="str">
        <f>=$RD26+--($RC27)</f>
      </c>
      <c r="RE27" t="str">
        <f>IF(ROW()-3&gt;MAX($RD$4:$RD$40),"",INDEX($AD$4:$AD$40,MATCH(ROW()-3,$RD$4:$RD$40,0)))</f>
      </c>
      <c r="RF27" t="str">
        <f>IF(COUNTIF('Final Calculation Sheet'!$AL27:$AO27,0)+COUNTIF('Final Calculation Sheet'!$AQ27:$BS27,0)&gt;0,0,1)</f>
      </c>
      <c r="RG27" t="str">
        <f>IF($AN$27="",FALSE,SUMPRODUCT(('Final Calculation Sheet'!$E$4:$E$40=$AN$27)*($RF$4:$RF$40=1))&gt;0)</f>
      </c>
      <c r="RH27" t="str">
        <f>=$RH26+--($RG27)</f>
      </c>
      <c r="RI27" t="str">
        <f>IF(ROW()-3&gt;MAX($RH$4:$RH$40),"",INDEX($AN$4:$AN$40,MATCH(ROW()-3,$RH$4:$RH$40,0)))</f>
      </c>
      <c r="RJ27" t="str">
        <f>IF(COUNTIF('Final Calculation Sheet'!$AL27:$AP27,0)+COUNTIF('Final Calculation Sheet'!$AR27:$BS27,0)&gt;0,0,1)</f>
      </c>
      <c r="RK27" t="str">
        <f>IF($O$27="",FALSE,SUMPRODUCT(('Final Calculation Sheet'!$F$4:$F$40=$O$27)*($RJ$4:$RJ$40=1))&gt;0)</f>
      </c>
      <c r="RL27" t="str">
        <f>=$RL26+--($RK27)</f>
      </c>
      <c r="RM27" t="str">
        <f>IF(ROW()-3&gt;MAX($RL$4:$RL$40),"",INDEX($O$4:$O$40,MATCH(ROW()-3,$RL$4:$RL$40,0)))</f>
      </c>
      <c r="RN27" t="str">
        <f>IF(COUNTIF('Final Calculation Sheet'!$AL27:$AQ27,0)+COUNTIF('Final Calculation Sheet'!$AS27:$BS27,0)&gt;0,0,1)</f>
      </c>
      <c r="RO27" t="str">
        <f>IF($T$27="",FALSE,SUMPRODUCT(('Final Calculation Sheet'!$G$4:$G$40=$T$27)*($RN$4:$RN$40=1))&gt;0)</f>
      </c>
      <c r="RP27" t="str">
        <f>=$RP26+--($RO27)</f>
      </c>
      <c r="RQ27" t="str">
        <f>IF(ROW()-3&gt;MAX($RP$4:$RP$40),"",INDEX($T$4:$T$40,MATCH(ROW()-3,$RP$4:$RP$40,0)))</f>
      </c>
      <c r="RR27" t="str">
        <f>IF(COUNTIF('Final Calculation Sheet'!$AL27:$AR27,0)+COUNTIF('Final Calculation Sheet'!$AT27:$BS27,0)&gt;0,0,1)</f>
      </c>
      <c r="RS27" t="str">
        <f>IF($AX$27="",FALSE,SUMPRODUCT(('Final Calculation Sheet'!$H$4:$H$40=$AX$27)*($RR$4:$RR$40=1))&gt;0)</f>
      </c>
      <c r="RT27" t="str">
        <f>=$RT26+--($RS27)</f>
      </c>
      <c r="RU27" t="str">
        <f>IF(ROW()-3&gt;MAX($RT$4:$RT$40),"",INDEX($AX$4:$AX$40,MATCH(ROW()-3,$RT$4:$RT$40,0)))</f>
      </c>
      <c r="RV27" t="str">
        <f>IF(COUNTIF('Final Calculation Sheet'!$AL27:$AS27,0)+COUNTIF('Final Calculation Sheet'!$AU27:$BS27,0)&gt;0,0,1)</f>
      </c>
      <c r="RW27" t="str">
        <f>IF($BC$27="",FALSE,SUMPRODUCT(('Final Calculation Sheet'!$I$4:$I$40=$BC$27)*($RV$4:$RV$40=1))&gt;0)</f>
      </c>
      <c r="RX27" t="str">
        <f>=$RX26+--($RW27)</f>
      </c>
      <c r="RY27" t="str">
        <f>IF(ROW()-3&gt;MAX($RX$4:$RX$40),"",INDEX($BC$4:$BC$40,MATCH(ROW()-3,$RX$4:$RX$40,0)))</f>
      </c>
      <c r="RZ27" t="str">
        <f>IF(COUNTIF('Final Calculation Sheet'!$AL27:$AT27,0)+COUNTIF('Final Calculation Sheet'!$AV27:$BS27,0)&gt;0,0,1)</f>
      </c>
      <c r="SA27" t="str">
        <f>IF($BH$27="",FALSE,SUMPRODUCT(('Final Calculation Sheet'!$J$4:$J$40=$BH$27)*($RZ$4:$RZ$40=1))&gt;0)</f>
      </c>
      <c r="SB27" t="str">
        <f>=$SB26+--($SA27)</f>
      </c>
      <c r="SC27" t="str">
        <f>IF(ROW()-3&gt;MAX($SB$4:$SB$40),"",INDEX($BH$4:$BH$40,MATCH(ROW()-3,$SB$4:$SB$40,0)))</f>
      </c>
      <c r="SD27" t="str">
        <f>IF(COUNTIF('Final Calculation Sheet'!$AL27:$AU27,0)+COUNTIF('Final Calculation Sheet'!$AW27:$BS27,0)&gt;0,0,1)</f>
      </c>
      <c r="SE27" t="str">
        <f>IF($BM$27="",FALSE,SUMPRODUCT(('Final Calculation Sheet'!$K$4:$K$40=$BM$27)*($SD$4:$SD$40=1))&gt;0)</f>
      </c>
      <c r="SF27" t="str">
        <f>=$SF26+--($SE27)</f>
      </c>
      <c r="SG27" t="str">
        <f>IF(ROW()-3&gt;MAX($SF$4:$SF$40),"",INDEX($BM$4:$BM$40,MATCH(ROW()-3,$SF$4:$SF$40,0)))</f>
      </c>
      <c r="SH27" t="str">
        <f>IF(COUNTIF('Final Calculation Sheet'!$AL27:$AV27,0)+COUNTIF('Final Calculation Sheet'!$AX27:$BS27,0)&gt;0,0,1)</f>
      </c>
      <c r="SI27" t="str">
        <f>IF($BR$27="",FALSE,SUMPRODUCT(('Final Calculation Sheet'!$L$4:$L$40=$BR$27)*($SH$4:$SH$40=1))&gt;0)</f>
      </c>
      <c r="SJ27" t="str">
        <f>=$SJ26+--($SI27)</f>
      </c>
      <c r="SK27" t="str">
        <f>IF(ROW()-3&gt;MAX($SJ$4:$SJ$40),"",INDEX($BR$4:$BR$40,MATCH(ROW()-3,$SJ$4:$SJ$40,0)))</f>
      </c>
      <c r="SL27" t="str">
        <f>IF(COUNTIF('Final Calculation Sheet'!$AL27:$AW27,0)+COUNTIF('Final Calculation Sheet'!$AY27:$BS27,0)&gt;0,0,1)</f>
      </c>
      <c r="SM27" t="str">
        <f>IF($BW$27="",FALSE,SUMPRODUCT(('Final Calculation Sheet'!$M$4:$M$40=$BW$27)*($SL$4:$SL$40=1))&gt;0)</f>
      </c>
      <c r="SN27" t="str">
        <f>=$SN26+--($SM27)</f>
      </c>
      <c r="SO27" t="str">
        <f>IF(ROW()-3&gt;MAX($SN$4:$SN$40),"",INDEX($BW$4:$BW$40,MATCH(ROW()-3,$SN$4:$SN$40,0)))</f>
      </c>
      <c r="SP27" t="str">
        <f>IF(COUNTIF('Final Calculation Sheet'!$AL27:$AX27,0)+COUNTIF('Final Calculation Sheet'!$AZ27:$BS27,0)&gt;0,0,1)</f>
      </c>
      <c r="SQ27" t="str">
        <f>IF($CB$27="",FALSE,SUMPRODUCT(('Final Calculation Sheet'!$N$4:$N$40=$CB$27)*($SP$4:$SP$40=1))&gt;0)</f>
      </c>
      <c r="SR27" t="str">
        <f>=$SR26+--($SQ27)</f>
      </c>
      <c r="SS27" t="str">
        <f>IF(ROW()-3&gt;MAX($SR$4:$SR$40),"",INDEX($CB$4:$CB$40,MATCH(ROW()-3,$SR$4:$SR$40,0)))</f>
      </c>
      <c r="ST27" t="str">
        <f>IF(COUNTIF('Final Calculation Sheet'!$AL27:$AY27,0)+COUNTIF('Final Calculation Sheet'!$BA27:$BS27,0)&gt;0,0,1)</f>
      </c>
      <c r="SU27" t="str">
        <f>IF($CG$27="",FALSE,SUMPRODUCT(('Final Calculation Sheet'!$O$4:$O$40=$CG$27)*($ST$4:$ST$40=1))&gt;0)</f>
      </c>
      <c r="SV27" t="str">
        <f>=$SV26+--($SU27)</f>
      </c>
      <c r="SW27" t="str">
        <f>IF(ROW()-3&gt;MAX($SV$4:$SV$40),"",INDEX($CG$4:$CG$40,MATCH(ROW()-3,$SV$4:$SV$40,0)))</f>
      </c>
      <c r="SX27" t="str">
        <f>IF(COUNTIF('Final Calculation Sheet'!$AL27:$AZ27,0)+COUNTIF('Final Calculation Sheet'!$BB27:$BS27,0)&gt;0,0,1)</f>
      </c>
      <c r="SY27" t="str">
        <f>IF($CL$27="",FALSE,SUMPRODUCT(('Final Calculation Sheet'!$P$4:$P$40=$CL$27)*($SX$4:$SX$40=1))&gt;0)</f>
      </c>
      <c r="SZ27" t="str">
        <f>=$SZ26+--($SY27)</f>
      </c>
      <c r="TA27" t="str">
        <f>IF(ROW()-3&gt;MAX($SZ$4:$SZ$40),"",INDEX($CL$4:$CL$40,MATCH(ROW()-3,$SZ$4:$SZ$40,0)))</f>
      </c>
      <c r="TB27" t="str">
        <f>IF(COUNTIF('Final Calculation Sheet'!$AL27:$BA27,0)+COUNTIF('Final Calculation Sheet'!$BC27:$BS27,0)&gt;0,0,1)</f>
      </c>
      <c r="TC27" t="str">
        <f>IF($CQ$27="",FALSE,SUMPRODUCT(('Final Calculation Sheet'!$Q$4:$Q$40=$CQ$27)*($TB$4:$TB$40=1))&gt;0)</f>
      </c>
      <c r="TD27" t="str">
        <f>=$TD26+--($TC27)</f>
      </c>
      <c r="TE27" t="str">
        <f>IF(ROW()-3&gt;MAX($TD$4:$TD$40),"",INDEX($CQ$4:$CQ$40,MATCH(ROW()-3,$TD$4:$TD$40,0)))</f>
      </c>
      <c r="TF27" t="str">
        <f>IF(COUNTIF('Final Calculation Sheet'!$AL27:$BB27,0)+COUNTIF('Final Calculation Sheet'!$BD27:$BS27,0)&gt;0,0,1)</f>
      </c>
      <c r="TG27" t="str">
        <f>IF($CV$27="",FALSE,SUMPRODUCT(('Final Calculation Sheet'!$R$4:$R$40=$CV$27)*($TF$4:$TF$40=1))&gt;0)</f>
      </c>
      <c r="TH27" t="str">
        <f>=$TH26+--($TG27)</f>
      </c>
      <c r="TI27" t="str">
        <f>IF(ROW()-3&gt;MAX($TH$4:$TH$40),"",INDEX($CV$4:$CV$40,MATCH(ROW()-3,$TH$4:$TH$40,0)))</f>
      </c>
      <c r="TJ27" t="str">
        <f>IF(COUNTIF('Final Calculation Sheet'!$AL27:$BC27,0)+COUNTIF('Final Calculation Sheet'!$BE27:$BS27,0)&gt;0,0,1)</f>
      </c>
      <c r="TK27" t="str">
        <f>IF($DA$27="",FALSE,SUMPRODUCT(('Final Calculation Sheet'!$S$4:$S$40=$DA$27)*($TJ$4:$TJ$40=1))&gt;0)</f>
      </c>
      <c r="TL27" t="str">
        <f>=$TL26+--($TK27)</f>
      </c>
      <c r="TM27" t="str">
        <f>IF(ROW()-3&gt;MAX($TL$4:$TL$40),"",INDEX($DA$4:$DA$40,MATCH(ROW()-3,$TL$4:$TL$40,0)))</f>
      </c>
      <c r="TN27" t="str">
        <f>IF(COUNTIF('Final Calculation Sheet'!$AL27:$BD27,0)+COUNTIF('Final Calculation Sheet'!$BF27:$BS27,0)&gt;0,0,1)</f>
      </c>
      <c r="TO27" t="str">
        <f>IF($DF$27="",FALSE,SUMPRODUCT(('Final Calculation Sheet'!$T$4:$T$40=$DF$27)*($TN$4:$TN$40=1))&gt;0)</f>
      </c>
      <c r="TP27" t="str">
        <f>=$TP26+--($TO27)</f>
      </c>
      <c r="TQ27" t="str">
        <f>IF(ROW()-3&gt;MAX($TP$4:$TP$40),"",INDEX($DF$4:$DF$40,MATCH(ROW()-3,$TP$4:$TP$40,0)))</f>
      </c>
      <c r="TR27" t="str">
        <f>IF(COUNTIF('Final Calculation Sheet'!$AL27:$BE27,0)+COUNTIF('Final Calculation Sheet'!$BG27:$BS27,0)&gt;0,0,1)</f>
      </c>
      <c r="TS27" t="str">
        <f>IF($DK$27="",FALSE,SUMPRODUCT(('Final Calculation Sheet'!$U$4:$U$40=$DK$27)*($TR$4:$TR$40=1))&gt;0)</f>
      </c>
      <c r="TT27" t="str">
        <f>=$TT26+--($TS27)</f>
      </c>
      <c r="TU27" t="str">
        <f>IF(ROW()-3&gt;MAX($TT$4:$TT$40),"",INDEX($DK$4:$DK$40,MATCH(ROW()-3,$TT$4:$TT$40,0)))</f>
      </c>
      <c r="TV27" t="str">
        <f>IF(COUNTIF('Final Calculation Sheet'!$AL27:$BF27,0)+COUNTIF('Final Calculation Sheet'!$BH27:$BS27,0)&gt;0,0,1)</f>
      </c>
      <c r="TW27" t="str">
        <f>IF($DP$27="",FALSE,SUMPRODUCT(('Final Calculation Sheet'!$V$4:$V$40=$DP$27)*($TV$4:$TV$40=1))&gt;0)</f>
      </c>
      <c r="TX27" t="str">
        <f>=$TX26+--($TW27)</f>
      </c>
      <c r="TY27" t="str">
        <f>IF(ROW()-3&gt;MAX($TX$4:$TX$40),"",INDEX($DP$4:$DP$40,MATCH(ROW()-3,$TX$4:$TX$40,0)))</f>
      </c>
      <c r="TZ27" t="str">
        <f>IF(COUNTIF('Final Calculation Sheet'!$AL27:$BG27,0)+COUNTIF('Final Calculation Sheet'!$BI27:$BS27,0)&gt;0,0,1)</f>
      </c>
      <c r="UA27" t="str">
        <f>IF($DU$27="",FALSE,SUMPRODUCT(('Final Calculation Sheet'!$W$4:$W$40=$DU$27)*($TZ$4:$TZ$40=1))&gt;0)</f>
      </c>
      <c r="UB27" t="str">
        <f>=$UB26+--($UA27)</f>
      </c>
      <c r="UC27" t="str">
        <f>IF(ROW()-3&gt;MAX($UB$4:$UB$40),"",INDEX($DU$4:$DU$40,MATCH(ROW()-3,$UB$4:$UB$40,0)))</f>
      </c>
      <c r="UD27" t="str">
        <f>IF(COUNTIF('Final Calculation Sheet'!$AL27:$BH27,0)+COUNTIF('Final Calculation Sheet'!$BJ27:$BS27,0)&gt;0,0,1)</f>
      </c>
      <c r="UE27" t="str">
        <f>IF($DZ$27="",FALSE,SUMPRODUCT(('Final Calculation Sheet'!$X$4:$X$40=$DZ$27)*($UD$4:$UD$40=1))&gt;0)</f>
      </c>
      <c r="UF27" t="str">
        <f>=$UF26+--($UE27)</f>
      </c>
      <c r="UG27" t="str">
        <f>IF(ROW()-3&gt;MAX($UF$4:$UF$40),"",INDEX($DZ$4:$DZ$40,MATCH(ROW()-3,$UF$4:$UF$40,0)))</f>
      </c>
      <c r="UH27" t="str">
        <f>IF(COUNTIF('Final Calculation Sheet'!$AL27:$BI27,0)+COUNTIF('Final Calculation Sheet'!$BK27:$BS27,0)&gt;0,0,1)</f>
      </c>
      <c r="UI27" t="str">
        <f>IF($EE$27="",FALSE,SUMPRODUCT(('Final Calculation Sheet'!$Y$4:$Y$40=$EE$27)*($UH$4:$UH$40=1))&gt;0)</f>
      </c>
      <c r="UJ27" t="str">
        <f>=$UJ26+--($UI27)</f>
      </c>
      <c r="UK27" t="str">
        <f>IF(ROW()-3&gt;MAX($UJ$4:$UJ$40),"",INDEX($EE$4:$EE$40,MATCH(ROW()-3,$UJ$4:$UJ$40,0)))</f>
      </c>
      <c r="UL27" t="str">
        <f>IF(COUNTIF('Final Calculation Sheet'!$AL27:$BJ27,0)+COUNTIF('Final Calculation Sheet'!$BL27:$BS27,0)&gt;0,0,1)</f>
      </c>
      <c r="UM27" t="str">
        <f>IF($EJ$27="",FALSE,SUMPRODUCT(('Final Calculation Sheet'!$Z$4:$Z$40=$EJ$27)*($UL$4:$UL$40=1))&gt;0)</f>
      </c>
      <c r="UN27" t="str">
        <f>=$UN26+--($UM27)</f>
      </c>
      <c r="UO27" t="str">
        <f>IF(ROW()-3&gt;MAX($UN$4:$UN$40),"",INDEX($EJ$4:$EJ$40,MATCH(ROW()-3,$UN$4:$UN$40,0)))</f>
      </c>
      <c r="UP27" t="str">
        <f>IF(COUNTIF('Final Calculation Sheet'!$AL27:$BK27,0)+COUNTIF('Final Calculation Sheet'!$BM27:$BS27,0)&gt;0,0,1)</f>
      </c>
      <c r="UQ27" t="str">
        <f>IF($EO$27="",FALSE,SUMPRODUCT(('Final Calculation Sheet'!$AA$4:$AA$40=$EO$27)*($UP$4:$UP$40=1))&gt;0)</f>
      </c>
      <c r="UR27" t="str">
        <f>=$UR26+--($UQ27)</f>
      </c>
      <c r="US27" t="str">
        <f>IF(ROW()-3&gt;MAX($UR$4:$UR$40),"",INDEX($EO$4:$EO$40,MATCH(ROW()-3,$UR$4:$UR$40,0)))</f>
      </c>
      <c r="UT27" t="str">
        <f>IF(COUNTIF('Final Calculation Sheet'!$AL27:$BL27,0)+COUNTIF('Final Calculation Sheet'!$BN27:$BS27,0)&gt;0,0,1)</f>
      </c>
      <c r="UU27" t="str">
        <f>IF($ET$27="",FALSE,SUMPRODUCT(('Final Calculation Sheet'!$AB$4:$AB$40=$ET$27)*($UT$4:$UT$40=1))&gt;0)</f>
      </c>
      <c r="UV27" t="str">
        <f>=$UV26+--($UU27)</f>
      </c>
      <c r="UW27" t="str">
        <f>IF(ROW()-3&gt;MAX($UV$4:$UV$40),"",INDEX($ET$4:$ET$40,MATCH(ROW()-3,$UV$4:$UV$40,0)))</f>
      </c>
      <c r="UX27" t="str">
        <f>IF(COUNTIF('Final Calculation Sheet'!$AL27:$BM27,0)+COUNTIF('Final Calculation Sheet'!$BO27:$BS27,0)&gt;0,0,1)</f>
      </c>
      <c r="UY27" t="str">
        <f>IF($EY$27="",FALSE,SUMPRODUCT(('Final Calculation Sheet'!$AC$4:$AC$40=$EY$27)*($UX$4:$UX$40=1))&gt;0)</f>
      </c>
      <c r="UZ27" t="str">
        <f>=$UZ26+--($UY27)</f>
      </c>
      <c r="VA27" t="str">
        <f>IF(ROW()-3&gt;MAX($UZ$4:$UZ$40),"",INDEX($EY$4:$EY$40,MATCH(ROW()-3,$UZ$4:$UZ$40,0)))</f>
      </c>
      <c r="VB27" t="str">
        <f>IF(COUNTIF('Final Calculation Sheet'!$AL27:$BN27,0)+COUNTIF('Final Calculation Sheet'!$BP27:$BS27,0)&gt;0,0,1)</f>
      </c>
      <c r="VC27" t="str">
        <f>IF($FD$27="",FALSE,SUMPRODUCT(('Final Calculation Sheet'!$AD$4:$AD$40=$FD$27)*($VB$4:$VB$40=1))&gt;0)</f>
      </c>
      <c r="VD27" t="str">
        <f>=$VD26+--($VC27)</f>
      </c>
      <c r="VE27" t="str">
        <f>IF(ROW()-3&gt;MAX($VD$4:$VD$40),"",INDEX($FD$4:$FD$40,MATCH(ROW()-3,$VD$4:$VD$40,0)))</f>
      </c>
      <c r="VF27" t="str">
        <f>IF(COUNTIF('Final Calculation Sheet'!$AL27:$BO27,0)+COUNTIF('Final Calculation Sheet'!$BQ27:$BS27,0)&gt;0,0,1)</f>
      </c>
      <c r="VG27" t="str">
        <f>IF($FI$27="",FALSE,SUMPRODUCT(('Final Calculation Sheet'!$AE$4:$AE$40=$FI$27)*($VF$4:$VF$40=1))&gt;0)</f>
      </c>
      <c r="VH27" t="str">
        <f>=$VH26+--($VG27)</f>
      </c>
      <c r="VI27" t="str">
        <f>IF(ROW()-3&gt;MAX($VH$4:$VH$40),"",INDEX($FI$4:$FI$40,MATCH(ROW()-3,$VH$4:$VH$40,0)))</f>
      </c>
      <c r="VJ27" t="str">
        <f>IF(COUNTIF('Final Calculation Sheet'!$AL27:$BP27,0)+COUNTIF('Final Calculation Sheet'!$BR27:$BS27,0)&gt;0,0,1)</f>
      </c>
      <c r="VK27" t="str">
        <f>IF($FN$27="",FALSE,SUMPRODUCT(('Final Calculation Sheet'!$AF$4:$AF$40=$FN$27)*($VJ$4:$VJ$40=1))&gt;0)</f>
      </c>
      <c r="VL27" t="str">
        <f>=$VL26+--($VK27)</f>
      </c>
      <c r="VM27" t="str">
        <f>IF(ROW()-3&gt;MAX($VL$4:$VL$40),"",INDEX($FN$4:$FN$40,MATCH(ROW()-3,$VL$4:$VL$40,0)))</f>
      </c>
      <c r="VN27" t="str">
        <f>IF(COUNTIF('Final Calculation Sheet'!$AL27:$BQ27,0)+COUNTIF('Final Calculation Sheet'!$BS27:$BS27,0)&gt;0,0,1)</f>
      </c>
      <c r="VO27" t="str">
        <f>IF($FS$27="",FALSE,SUMPRODUCT(('Final Calculation Sheet'!$AG$4:$AG$40=$FS$27)*($VN$4:$VN$40=1))&gt;0)</f>
      </c>
      <c r="VP27" t="str">
        <f>=$VP26+--($VO27)</f>
      </c>
      <c r="VQ27" t="str">
        <f>IF(ROW()-3&gt;MAX($VP$4:$VP$40),"",INDEX($FS$4:$FS$40,MATCH(ROW()-3,$VP$4:$VP$40,0)))</f>
      </c>
      <c r="VR27" t="str">
        <f>IF(COUNTIF('Final Calculation Sheet'!$AL27:$BR27,0)&gt;0,0,1)</f>
      </c>
      <c r="VS27" t="str">
        <f>IF($QO$27="",FALSE,SUMPRODUCT(('Final Calculation Sheet'!$AH$4:$AH$40=$QO$27)*($VR$4:$VR$40=1))&gt;0)</f>
      </c>
      <c r="VT27" t="str">
        <f>=$VT26+--($VS27)</f>
      </c>
      <c r="VU27" t="str">
        <f>IF(ROW()-3&gt;MAX($VT$4:$VT$40),"",INDEX($QO$4:$QO$40,MATCH(ROW()-3,$VT$4:$VT$40,0)))</f>
      </c>
    </row>
    <row r="28">
      <c r="A28">
        <f>IF('Final Calculation Sheet'!$F$28="","",'Final Calculation Sheet'!$F$28)</f>
        <v/>
      </c>
      <c r="B28">
        <f>IF(A28="","",COUNTIFS(A$4:A$114,"&lt;"&amp;A28,A$4:A$114,"&lt;&gt;"&amp;"")+COUNTIF(A$4:A28,A28))</f>
        <v/>
      </c>
      <c r="C28">
        <f>IF(ROW()-3&gt;COUNTIF(A$4:A$114,"&lt;&gt;"&amp;""),"",INDEX(A$4:A$114,MATCH(ROW()-3,B$4:B$114,0)))</f>
        <v/>
      </c>
      <c r="D28">
        <f>D27+IF(AND(C28&lt;&gt;"",COUNTIF(C$4:C28,C28)=1),1,0)</f>
        <v/>
      </c>
      <c r="E28">
        <f>IF(ROW()-3&gt;MAX(D$4:D$114),"",INDEX(C$4:C$114,MATCH(ROW()-3,D$4:D$114,0)))</f>
        <v/>
      </c>
      <c r="F28">
        <f>ROW()-3</f>
        <v/>
      </c>
      <c r="G28">
        <f>IF(F28="","",COUNTIFS(F$4:F$40,"&lt;"&amp;F28,F$4:F$40,"&lt;&gt;"&amp;"")+COUNTIF(F$4:F28,F28))</f>
        <v/>
      </c>
      <c r="H28">
        <f>IF(ROW()-3&gt;COUNTIF(F$4:F$40,"&lt;&gt;"&amp;""),"",INDEX(F$4:F$40,MATCH(ROW()-3,G$4:G$40,0)))</f>
        <v/>
      </c>
      <c r="I28">
        <f>I27+IF(AND(H28&lt;&gt;"",COUNTIF(H$4:H28,H28)=1),1,0)</f>
        <v/>
      </c>
      <c r="J28">
        <f>IF(ROW()-3&gt;MAX(I$4:I$40),"",INDEX(H$4:H$40,MATCH(ROW()-3,I$4:I$40,0)))</f>
        <v/>
      </c>
      <c r="K28">
        <f>IF('Final Calculation Sheet'!$F$28="","",'Final Calculation Sheet'!$F$28)</f>
        <v/>
      </c>
      <c r="L28">
        <f>IF(K28="","",COUNTIFS(K$4:K$40,"&lt;"&amp;K28,K$4:K$40,"&lt;&gt;"&amp;"")+COUNTIF(K$4:K28,K28))</f>
        <v/>
      </c>
      <c r="M28">
        <f>IF(ROW()-3&gt;COUNTIF(K$4:K$40,"&lt;&gt;"&amp;""),"",INDEX(K$4:K$40,MATCH(ROW()-3,L$4:L$40,0)))</f>
        <v/>
      </c>
      <c r="N28">
        <f>N27+IF(AND(M28&lt;&gt;"",COUNTIF(M$4:M28,M28)=1),1,0)</f>
        <v/>
      </c>
      <c r="O28">
        <f>IF(ROW()-3&gt;MAX(N$4:N$40),"",INDEX(M$4:M$40,MATCH(ROW()-3,N$4:N$40,0)))</f>
        <v/>
      </c>
      <c r="P28">
        <f>IF('Final Calculation Sheet'!$G$28="","",'Final Calculation Sheet'!$G$28)</f>
        <v/>
      </c>
      <c r="Q28">
        <f>IF(P28="","",COUNTIFS(P$4:P$40,"&lt;"&amp;P28,P$4:P$40,"&lt;&gt;"&amp;"")+COUNTIF(P$4:P28,P28))</f>
        <v/>
      </c>
      <c r="R28">
        <f>IF(ROW()-3&gt;COUNTIF(P$4:P$40,"&lt;&gt;"&amp;""),"",INDEX(P$4:P$40,MATCH(ROW()-3,Q$4:Q$40,0)))</f>
        <v/>
      </c>
      <c r="S28">
        <f>S27+IF(AND(R28&lt;&gt;"",COUNTIF(R$4:R28,R28)=1),1,0)</f>
        <v/>
      </c>
      <c r="T28">
        <f>IF(ROW()-3&gt;MAX(S$4:S$40),"",INDEX(R$4:R$40,MATCH(ROW()-3,S$4:S$40,0)))</f>
        <v/>
      </c>
      <c r="U28">
        <f>IF('Final Calculation Sheet'!$B$28="","",'Final Calculation Sheet'!$B$28)</f>
        <v/>
      </c>
      <c r="V28">
        <f>IF(U28="","",COUNTIFS(U$4:U$40,"&lt;"&amp;U28,U$4:U$40,"&lt;&gt;"&amp;"")+COUNTIF(U$4:U28,U28))</f>
        <v/>
      </c>
      <c r="W28">
        <f>IF(ROW()-3&gt;COUNTIF(U$4:U$40,"&lt;&gt;"&amp;""),"",INDEX(U$4:U$40,MATCH(ROW()-3,V$4:V$40,0)))</f>
        <v/>
      </c>
      <c r="X28">
        <f>X27+IF(AND(W28&lt;&gt;"",COUNTIF(W$4:W28,W28)=1),1,0)</f>
        <v/>
      </c>
      <c r="Y28">
        <f>IF(ROW()-3&gt;MAX(X$4:X$40),"",INDEX(W$4:W$40,MATCH(ROW()-3,X$4:X$40,0)))</f>
        <v/>
      </c>
      <c r="Z28">
        <f>IF('Final Calculation Sheet'!$D$28="","",'Final Calculation Sheet'!$D$28)</f>
        <v/>
      </c>
      <c r="AA28">
        <f>IF(Z28="","",COUNTIFS(Z$4:Z$40,"&lt;"&amp;Z28,Z$4:Z$40,"&lt;&gt;"&amp;"")+COUNTIF(Z$4:Z28,Z28))</f>
        <v/>
      </c>
      <c r="AB28">
        <f>IF(ROW()-3&gt;COUNTIF(Z$4:Z$40,"&lt;&gt;"&amp;""),"",INDEX(Z$4:Z$40,MATCH(ROW()-3,AA$4:AA$40,0)))</f>
        <v/>
      </c>
      <c r="AC28">
        <f>AC27+IF(AND(AB28&lt;&gt;"",COUNTIF(AB$4:AB28,AB28)=1),1,0)</f>
        <v/>
      </c>
      <c r="AD28">
        <f>IF(ROW()-3&gt;MAX(AC$4:AC$40),"",INDEX(AB$4:AB$40,MATCH(ROW()-3,AC$4:AC$40,0)))</f>
        <v/>
      </c>
      <c r="AE28">
        <f>IF('Final Calculation Sheet'!$A$28="","",'Final Calculation Sheet'!$A$28)</f>
        <v/>
      </c>
      <c r="AF28">
        <f>IF(AE28="","",COUNTIFS(AE$4:AE$40,"&lt;"&amp;AE28,AE$4:AE$40,"&lt;&gt;"&amp;"")+COUNTIF(AE$4:AE28,AE28))</f>
        <v/>
      </c>
      <c r="AG28">
        <f>IF(ROW()-3&gt;COUNTIF(AE$4:AE$40,"&lt;&gt;"&amp;""),"",INDEX(AE$4:AE$40,MATCH(ROW()-3,AF$4:AF$40,0)))</f>
        <v/>
      </c>
      <c r="AH28">
        <f>AH27+IF(AND(AG28&lt;&gt;"",COUNTIF(AG$4:AG28,AG28)=1),1,0)</f>
        <v/>
      </c>
      <c r="AI28">
        <f>IF(ROW()-3&gt;MAX(AH$4:AH$40),"",INDEX(AG$4:AG$40,MATCH(ROW()-3,AH$4:AH$40,0)))</f>
        <v/>
      </c>
      <c r="AJ28">
        <f>IF('Final Calculation Sheet'!$E$28="","",'Final Calculation Sheet'!$E$28)</f>
        <v/>
      </c>
      <c r="AK28">
        <f>IF(AJ28="","",COUNTIFS(AJ$4:AJ$40,"&lt;"&amp;AJ28,AJ$4:AJ$40,"&lt;&gt;"&amp;"")+COUNTIF(AJ$4:AJ28,AJ28))</f>
        <v/>
      </c>
      <c r="AL28">
        <f>IF(ROW()-3&gt;COUNTIF(AJ$4:AJ$40,"&lt;&gt;"&amp;""),"",INDEX(AJ$4:AJ$40,MATCH(ROW()-3,AK$4:AK$40,0)))</f>
        <v/>
      </c>
      <c r="AM28">
        <f>AM27+IF(AND(AL28&lt;&gt;"",COUNTIF(AL$4:AL28,AL28)=1),1,0)</f>
        <v/>
      </c>
      <c r="AN28">
        <f>IF(ROW()-3&gt;MAX(AM$4:AM$40),"",INDEX(AL$4:AL$40,MATCH(ROW()-3,AM$4:AM$40,0)))</f>
        <v/>
      </c>
      <c r="AO28" s="55">
        <f>IF('Final Calculation Sheet'!$C$28="","",'Final Calculation Sheet'!$C$28)</f>
        <v/>
      </c>
      <c r="AP28">
        <f>IF(AO28="","",COUNTIFS(AO$4:AO$40,"&lt;"&amp;AO28,AO$4:AO$40,"&lt;&gt;"&amp;"")+COUNTIF(AO$4:AO28,AO28))</f>
        <v/>
      </c>
      <c r="AQ28" s="55">
        <f>IF(ROW()-3&gt;COUNTIF(AO$4:AO$40,"&lt;&gt;"&amp;""),"",INDEX(AO$4:AO$40,MATCH(ROW()-3,AP$4:AP$40,0)))</f>
        <v/>
      </c>
      <c r="AR28">
        <f>AR27+IF(AND(AQ28&lt;&gt;"",COUNTIF(AQ$4:AQ28,AQ28)=1),1,0)</f>
        <v/>
      </c>
      <c r="AS28" s="55">
        <f>IF(ROW()-3&gt;MAX(AR$4:AR$40),"",INDEX(AQ$4:AQ$40,MATCH(ROW()-3,AR$4:AR$40,0)))</f>
        <v/>
      </c>
      <c r="AT28" s="55">
        <f>IF('Final Calculation Sheet'!$H$28="","",'Final Calculation Sheet'!$H$28)</f>
        <v/>
      </c>
      <c r="AU28">
        <f>IF(AT28="","",COUNTIFS(AT$4:AT$40,"&lt;"&amp;AT28,AT$4:AT$40,"&lt;&gt;"&amp;"")+COUNTIF(AT$4:AT28,AT28))</f>
        <v/>
      </c>
      <c r="AV28" s="55">
        <f>IF(ROW()-3&gt;COUNTIF(AT$4:AT$40,"&lt;&gt;"&amp;""),"",INDEX(AT$4:AT$40,MATCH(ROW()-3,AU$4:AU$40,0)))</f>
        <v/>
      </c>
      <c r="AW28">
        <f>AW27+IF(AND(AV28&lt;&gt;"",COUNTIF(AV$4:AV28,AV28)=1),1,0)</f>
        <v/>
      </c>
      <c r="AX28" s="55">
        <f>IF(ROW()-3&gt;MAX(AW$4:AW$40),"",INDEX(AV$4:AV$40,MATCH(ROW()-3,AW$4:AW$40,0)))</f>
        <v/>
      </c>
      <c r="AY28" s="55">
        <f>IF('Final Calculation Sheet'!$I$28="","",'Final Calculation Sheet'!$I$28)</f>
        <v/>
      </c>
      <c r="AZ28">
        <f>IF(AY28="","",COUNTIFS(AY$4:AY$40,"&lt;"&amp;AY28,AY$4:AY$40,"&lt;&gt;"&amp;"")+COUNTIF(AY$4:AY28,AY28))</f>
        <v/>
      </c>
      <c r="BA28" s="55">
        <f>IF(ROW()-3&gt;COUNTIF(AY$4:AY$40,"&lt;&gt;"&amp;""),"",INDEX(AY$4:AY$40,MATCH(ROW()-3,AZ$4:AZ$40,0)))</f>
        <v/>
      </c>
      <c r="BB28">
        <f>BB27+IF(AND(BA28&lt;&gt;"",COUNTIF(BA$4:BA28,BA28)=1),1,0)</f>
        <v/>
      </c>
      <c r="BC28" s="55">
        <f>IF(ROW()-3&gt;MAX(BB$4:BB$40),"",INDEX(BA$4:BA$40,MATCH(ROW()-3,BB$4:BB$40,0)))</f>
        <v/>
      </c>
      <c r="BD28" s="55">
        <f>IF('Final Calculation Sheet'!$J$28="","",'Final Calculation Sheet'!$J$28)</f>
        <v/>
      </c>
      <c r="BE28">
        <f>IF(BD28="","",COUNTIFS(BD$4:BD$40,"&lt;"&amp;BD28,BD$4:BD$40,"&lt;&gt;"&amp;"")+COUNTIF(BD$4:BD28,BD28))</f>
        <v/>
      </c>
      <c r="BF28" s="55">
        <f>IF(ROW()-3&gt;COUNTIF(BD$4:BD$40,"&lt;&gt;"&amp;""),"",INDEX(BD$4:BD$40,MATCH(ROW()-3,BE$4:BE$40,0)))</f>
        <v/>
      </c>
      <c r="BG28">
        <f>BG27+IF(AND(BF28&lt;&gt;"",COUNTIF(BF$4:BF28,BF28)=1),1,0)</f>
        <v/>
      </c>
      <c r="BH28" s="55">
        <f>IF(ROW()-3&gt;MAX(BG$4:BG$40),"",INDEX(BF$4:BF$40,MATCH(ROW()-3,BG$4:BG$40,0)))</f>
        <v/>
      </c>
      <c r="BI28" s="55">
        <f>IF('Final Calculation Sheet'!$K$28="","",'Final Calculation Sheet'!$K$28)</f>
        <v/>
      </c>
      <c r="BJ28">
        <f>IF(BI28="","",COUNTIFS(BI$4:BI$40,"&lt;"&amp;BI28,BI$4:BI$40,"&lt;&gt;"&amp;"")+COUNTIF(BI$4:BI28,BI28))</f>
        <v/>
      </c>
      <c r="BK28" s="55">
        <f>IF(ROW()-3&gt;COUNTIF(BI$4:BI$40,"&lt;&gt;"&amp;""),"",INDEX(BI$4:BI$40,MATCH(ROW()-3,BJ$4:BJ$40,0)))</f>
        <v/>
      </c>
      <c r="BL28">
        <f>BL27+IF(AND(BK28&lt;&gt;"",COUNTIF(BK$4:BK28,BK28)=1),1,0)</f>
        <v/>
      </c>
      <c r="BM28" s="55">
        <f>IF(ROW()-3&gt;MAX(BL$4:BL$40),"",INDEX(BK$4:BK$40,MATCH(ROW()-3,BL$4:BL$40,0)))</f>
        <v/>
      </c>
      <c r="BN28" s="55">
        <f>IF('Final Calculation Sheet'!$L$28="","",'Final Calculation Sheet'!$L$28)</f>
        <v/>
      </c>
      <c r="BO28">
        <f>IF(BN28="","",COUNTIFS(BN$4:BN$40,"&lt;"&amp;BN28,BN$4:BN$40,"&lt;&gt;"&amp;"")+COUNTIF(BN$4:BN28,BN28))</f>
        <v/>
      </c>
      <c r="BP28" s="55">
        <f>IF(ROW()-3&gt;COUNTIF(BN$4:BN$40,"&lt;&gt;"&amp;""),"",INDEX(BN$4:BN$40,MATCH(ROW()-3,BO$4:BO$40,0)))</f>
        <v/>
      </c>
      <c r="BQ28">
        <f>BQ27+IF(AND(BP28&lt;&gt;"",COUNTIF(BP$4:BP28,BP28)=1),1,0)</f>
        <v/>
      </c>
      <c r="BR28" s="55">
        <f>IF(ROW()-3&gt;MAX(BQ$4:BQ$40),"",INDEX(BP$4:BP$40,MATCH(ROW()-3,BQ$4:BQ$40,0)))</f>
        <v/>
      </c>
      <c r="BS28" s="55">
        <f>IF('Final Calculation Sheet'!$M$28="","",'Final Calculation Sheet'!$M$28)</f>
        <v/>
      </c>
      <c r="BT28">
        <f>IF(BS28="","",COUNTIFS(BS$4:BS$40,"&lt;"&amp;BS28,BS$4:BS$40,"&lt;&gt;"&amp;"")+COUNTIF(BS$4:BS28,BS28))</f>
        <v/>
      </c>
      <c r="BU28" s="55">
        <f>IF(ROW()-3&gt;COUNTIF(BS$4:BS$40,"&lt;&gt;"&amp;""),"",INDEX(BS$4:BS$40,MATCH(ROW()-3,BT$4:BT$40,0)))</f>
        <v/>
      </c>
      <c r="BV28">
        <f>BV27+IF(AND(BU28&lt;&gt;"",COUNTIF(BU$4:BU28,BU28)=1),1,0)</f>
        <v/>
      </c>
      <c r="BW28" s="55">
        <f>IF(ROW()-3&gt;MAX(BV$4:BV$40),"",INDEX(BU$4:BU$40,MATCH(ROW()-3,BV$4:BV$40,0)))</f>
        <v/>
      </c>
      <c r="BX28" s="138">
        <f>IF('Final Calculation Sheet'!$N$28="","",'Final Calculation Sheet'!$N$28)</f>
        <v/>
      </c>
      <c r="BY28">
        <f>IF(BX28="","",COUNTIFS(BX$4:BX$40,"&lt;"&amp;BX28,BX$4:BX$40,"&lt;&gt;"&amp;"")+COUNTIF(BX$4:BX28,BX28))</f>
        <v/>
      </c>
      <c r="BZ28" s="138">
        <f>IF(ROW()-3&gt;COUNTIF(BX$4:BX$40,"&lt;&gt;"&amp;""),"",INDEX(BX$4:BX$40,MATCH(ROW()-3,BY$4:BY$40,0)))</f>
        <v/>
      </c>
      <c r="CA28">
        <f>CA27+IF(AND(BZ28&lt;&gt;"",COUNTIF(BZ$4:BZ28,BZ28)=1),1,0)</f>
        <v/>
      </c>
      <c r="CB28" s="138">
        <f>IF(ROW()-3&gt;MAX(CA$4:CA$40),"",INDEX(BZ$4:BZ$40,MATCH(ROW()-3,CA$4:CA$40,0)))</f>
        <v/>
      </c>
      <c r="CC28" s="55">
        <f>IF('Final Calculation Sheet'!$O$28="","",'Final Calculation Sheet'!$O$28)</f>
        <v/>
      </c>
      <c r="CD28">
        <f>IF(CC28="","",COUNTIFS(CC$4:CC$40,"&lt;"&amp;CC28,CC$4:CC$40,"&lt;&gt;"&amp;"")+COUNTIF(CC$4:CC28,CC28))</f>
        <v/>
      </c>
      <c r="CE28" s="55">
        <f>IF(ROW()-3&gt;COUNTIF(CC$4:CC$40,"&lt;&gt;"&amp;""),"",INDEX(CC$4:CC$40,MATCH(ROW()-3,CD$4:CD$40,0)))</f>
        <v/>
      </c>
      <c r="CF28">
        <f>CF27+IF(AND(CE28&lt;&gt;"",COUNTIF(CE$4:CE28,CE28)=1),1,0)</f>
        <v/>
      </c>
      <c r="CG28" s="55">
        <f>IF(ROW()-3&gt;MAX(CF$4:CF$40),"",INDEX(CE$4:CE$40,MATCH(ROW()-3,CF$4:CF$40,0)))</f>
        <v/>
      </c>
      <c r="CH28" s="55">
        <f>IF('Final Calculation Sheet'!$P$28="","",'Final Calculation Sheet'!$P$28)</f>
        <v/>
      </c>
      <c r="CI28">
        <f>IF(CH28="","",COUNTIFS(CH$4:CH$40,"&lt;"&amp;CH28,CH$4:CH$40,"&lt;&gt;"&amp;"")+COUNTIF(CH$4:CH28,CH28))</f>
        <v/>
      </c>
      <c r="CJ28" s="55">
        <f>IF(ROW()-3&gt;COUNTIF(CH$4:CH$40,"&lt;&gt;"&amp;""),"",INDEX(CH$4:CH$40,MATCH(ROW()-3,CI$4:CI$40,0)))</f>
        <v/>
      </c>
      <c r="CK28">
        <f>CK27+IF(AND(CJ28&lt;&gt;"",COUNTIF(CJ$4:CJ28,CJ28)=1),1,0)</f>
        <v/>
      </c>
      <c r="CL28" s="55">
        <f>IF(ROW()-3&gt;MAX(CK$4:CK$40),"",INDEX(CJ$4:CJ$40,MATCH(ROW()-3,CK$4:CK$40,0)))</f>
        <v/>
      </c>
      <c r="CM28" s="139">
        <f>IF('Final Calculation Sheet'!$Q$28="","",'Final Calculation Sheet'!$Q$28)</f>
        <v/>
      </c>
      <c r="CN28">
        <f>IF(CM28="","",COUNTIFS(CM$4:CM$40,"&lt;"&amp;CM28,CM$4:CM$40,"&lt;&gt;"&amp;"")+COUNTIF(CM$4:CM28,CM28))</f>
        <v/>
      </c>
      <c r="CO28" s="139">
        <f>IF(ROW()-3&gt;COUNTIF(CM$4:CM$40,"&lt;&gt;"&amp;""),"",INDEX(CM$4:CM$40,MATCH(ROW()-3,CN$4:CN$40,0)))</f>
        <v/>
      </c>
      <c r="CP28">
        <f>CP27+IF(AND(CO28&lt;&gt;"",COUNTIF(CO$4:CO28,CO28)=1),1,0)</f>
        <v/>
      </c>
      <c r="CQ28">
        <f>IF(ROW()-3&gt;MAX(CP$4:CP$40),"",INDEX(CO$4:CO$40,MATCH(ROW()-3,CP$4:CP$40,0)))</f>
        <v/>
      </c>
      <c r="CR28" s="55">
        <f>IF('Final Calculation Sheet'!$R$28="","",'Final Calculation Sheet'!$R$28)</f>
        <v/>
      </c>
      <c r="CS28">
        <f>IF(CR28="","",COUNTIFS(CR$4:CR$40,"&lt;"&amp;CR28,CR$4:CR$40,"&lt;&gt;"&amp;"")+COUNTIF(CR$4:CR28,CR28))</f>
        <v/>
      </c>
      <c r="CT28" s="55">
        <f>IF(ROW()-3&gt;COUNTIF(CR$4:CR$40,"&lt;&gt;"&amp;""),"",INDEX(CR$4:CR$40,MATCH(ROW()-3,CS$4:CS$40,0)))</f>
        <v/>
      </c>
      <c r="CU28">
        <f>CU27+IF(AND(CT28&lt;&gt;"",COUNTIF(CT$4:CT28,CT28)=1),1,0)</f>
        <v/>
      </c>
      <c r="CV28">
        <f>IF(ROW()-3&gt;MAX(CU$4:CU$40),"",INDEX(CT$4:CT$40,MATCH(ROW()-3,CU$4:CU$40,0)))</f>
        <v/>
      </c>
      <c r="CW28" s="55">
        <f>IF('Final Calculation Sheet'!$S$28="","",'Final Calculation Sheet'!$S$28)</f>
        <v/>
      </c>
      <c r="CX28">
        <f>IF(CW28="","",COUNTIFS(CW$4:CW$40,"&lt;"&amp;CW28,CW$4:CW$40,"&lt;&gt;"&amp;"")+COUNTIF(CW$4:CW28,CW28))</f>
        <v/>
      </c>
      <c r="CY28" s="55">
        <f>IF(ROW()-3&gt;COUNTIF(CW$4:CW$40,"&lt;&gt;"&amp;""),"",INDEX(CW$4:CW$40,MATCH(ROW()-3,CX$4:CX$40,0)))</f>
        <v/>
      </c>
      <c r="CZ28">
        <f>CZ27+IF(AND(CY28&lt;&gt;"",COUNTIF(CY$4:CY28,CY28)=1),1,0)</f>
        <v/>
      </c>
      <c r="DA28" s="55">
        <f>IF(ROW()-3&gt;MAX(CZ$4:CZ$40),"",INDEX(CY$4:CY$40,MATCH(ROW()-3,CZ$4:CZ$40,0)))</f>
        <v/>
      </c>
      <c r="DB28" s="55">
        <f>IF('Final Calculation Sheet'!$T$28="","",'Final Calculation Sheet'!$T$28)</f>
        <v/>
      </c>
      <c r="DC28">
        <f>IF(DB28="","",COUNTIFS(DB$4:DB$40,"&lt;"&amp;DB28,DB$4:DB$40,"&lt;&gt;"&amp;"")+COUNTIF(DB$4:DB28,DB28))</f>
        <v/>
      </c>
      <c r="DD28" s="55">
        <f>IF(ROW()-3&gt;COUNTIF(DB$4:DB$40,"&lt;&gt;"&amp;""),"",INDEX(DB$4:DB$40,MATCH(ROW()-3,DC$4:DC$40,0)))</f>
        <v/>
      </c>
      <c r="DE28">
        <f>DE27+IF(AND(DD28&lt;&gt;"",COUNTIF(DD$4:DD28,DD28)=1),1,0)</f>
        <v/>
      </c>
      <c r="DF28" s="55">
        <f>IF(ROW()-3&gt;MAX(DE$4:DE$40),"",INDEX(DD$4:DD$40,MATCH(ROW()-3,DE$4:DE$40,0)))</f>
        <v/>
      </c>
      <c r="DG28" s="140">
        <f>IF('Final Calculation Sheet'!$U$28="","",'Final Calculation Sheet'!$U$28)</f>
        <v/>
      </c>
      <c r="DH28">
        <f>IF(DG28="","",COUNTIFS(DG$4:DG$40,"&lt;"&amp;DG28,DG$4:DG$40,"&lt;&gt;"&amp;"")+COUNTIF(DG$4:DG28,DG28))</f>
        <v/>
      </c>
      <c r="DI28" s="140">
        <f>IF(ROW()-3&gt;COUNTIF(DG$4:DG$40,"&lt;&gt;"&amp;""),"",INDEX(DG$4:DG$40,MATCH(ROW()-3,DH$4:DH$40,0)))</f>
        <v/>
      </c>
      <c r="DJ28">
        <f>DJ27+IF(AND(DI28&lt;&gt;"",COUNTIF(DI$4:DI28,DI28)=1),1,0)</f>
        <v/>
      </c>
      <c r="DK28" s="140">
        <f>IF(ROW()-3&gt;MAX(DJ$4:DJ$40),"",INDEX(DI$4:DI$40,MATCH(ROW()-3,DJ$4:DJ$40,0)))</f>
        <v/>
      </c>
      <c r="DL28">
        <f>IF('Final Calculation Sheet'!$V$28="","",'Final Calculation Sheet'!$V$28)</f>
        <v/>
      </c>
      <c r="DM28">
        <f>IF(DL28="","",COUNTIFS(DL$4:DL$40,"&lt;"&amp;DL28,DL$4:DL$40,"&lt;&gt;"&amp;"")+COUNTIF(DL$4:DL28,DL28))</f>
        <v/>
      </c>
      <c r="DN28">
        <f>IF(ROW()-3&gt;COUNTIF(DL$4:DL$40,"&lt;&gt;"&amp;""),"",INDEX(DL$4:DL$40,MATCH(ROW()-3,DM$4:DM$40,0)))</f>
        <v/>
      </c>
      <c r="DO28">
        <f>DO27+IF(AND(DN28&lt;&gt;"",COUNTIF(DN$4:DN28,DN28)=1),1,0)</f>
        <v/>
      </c>
      <c r="DP28">
        <f>IF(ROW()-3&gt;MAX(DO$4:DO$40),"",INDEX(DN$4:DN$40,MATCH(ROW()-3,DO$4:DO$40,0)))</f>
        <v/>
      </c>
      <c r="DQ28" s="55">
        <f>IF('Final Calculation Sheet'!$W$28="","",'Final Calculation Sheet'!$W$28)</f>
        <v/>
      </c>
      <c r="DR28">
        <f>IF(DQ28="","",COUNTIFS(DQ$4:DQ$40,"&lt;"&amp;DQ28,DQ$4:DQ$40,"&lt;&gt;"&amp;"")+COUNTIF(DQ$4:DQ28,DQ28))</f>
        <v/>
      </c>
      <c r="DS28" s="55">
        <f>IF(ROW()-3&gt;COUNTIF(DQ$4:DQ$40,"&lt;&gt;"&amp;""),"",INDEX(DQ$4:DQ$40,MATCH(ROW()-3,DR$4:DR$40,0)))</f>
        <v/>
      </c>
      <c r="DT28">
        <f>DT27+IF(AND(DS28&lt;&gt;"",COUNTIF(DS$4:DS28,DS28)=1),1,0)</f>
        <v/>
      </c>
      <c r="DU28" s="55">
        <f>IF(ROW()-3&gt;MAX(DT$4:DT$40),"",INDEX(DS$4:DS$40,MATCH(ROW()-3,DT$4:DT$40,0)))</f>
        <v/>
      </c>
      <c r="DV28" s="55">
        <f>IF('Final Calculation Sheet'!$X$28="","",'Final Calculation Sheet'!$X$28)</f>
        <v/>
      </c>
      <c r="DW28">
        <f>IF(DV28="","",COUNTIFS(DV$4:DV$40,"&lt;"&amp;DV28,DV$4:DV$40,"&lt;&gt;"&amp;"")+COUNTIF(DV$4:DV28,DV28))</f>
        <v/>
      </c>
      <c r="DX28" s="55">
        <f>IF(ROW()-3&gt;COUNTIF(DV$4:DV$40,"&lt;&gt;"&amp;""),"",INDEX(DV$4:DV$40,MATCH(ROW()-3,DW$4:DW$40,0)))</f>
        <v/>
      </c>
      <c r="DY28">
        <f>DY27+IF(AND(DX28&lt;&gt;"",COUNTIF(DX$4:DX28,DX28)=1),1,0)</f>
        <v/>
      </c>
      <c r="DZ28">
        <f>IF(ROW()-3&gt;MAX(DY$4:DY$40),"",INDEX(DX$4:DX$40,MATCH(ROW()-3,DY$4:DY$40,0)))</f>
        <v/>
      </c>
      <c r="EA28">
        <f>IF('Final Calculation Sheet'!$Y$28="","",'Final Calculation Sheet'!$Y$28)</f>
        <v/>
      </c>
      <c r="EB28">
        <f>IF(EA28="","",COUNTIFS(EA$4:EA$40,"&lt;"&amp;EA28,EA$4:EA$40,"&lt;&gt;"&amp;"")+COUNTIF(EA$4:EA28,EA28))</f>
        <v/>
      </c>
      <c r="EC28">
        <f>IF(ROW()-3&gt;COUNTIF(EA$4:EA$40,"&lt;&gt;"&amp;""),"",INDEX(EA$4:EA$40,MATCH(ROW()-3,EB$4:EB$40,0)))</f>
        <v/>
      </c>
      <c r="ED28">
        <f>ED27+IF(AND(EC28&lt;&gt;"",COUNTIF(EC$4:EC28,EC28)=1),1,0)</f>
        <v/>
      </c>
      <c r="EE28">
        <f>IF(ROW()-3&gt;MAX(ED$4:ED$40),"",INDEX(EC$4:EC$40,MATCH(ROW()-3,ED$4:ED$40,0)))</f>
        <v/>
      </c>
      <c r="EF28" s="55">
        <f>IF('Final Calculation Sheet'!$Z$28="","",'Final Calculation Sheet'!$Z$28)</f>
        <v/>
      </c>
      <c r="EG28">
        <f>IF(EF28="","",COUNTIFS(EF$4:EF$40,"&lt;"&amp;EF28,EF$4:EF$40,"&lt;&gt;"&amp;"")+COUNTIF(EF$4:EF28,EF28))</f>
        <v/>
      </c>
      <c r="EH28" s="55">
        <f>IF(ROW()-3&gt;COUNTIF(EF$4:EF$40,"&lt;&gt;"&amp;""),"",INDEX(EF$4:EF$40,MATCH(ROW()-3,EG$4:EG$40,0)))</f>
        <v/>
      </c>
      <c r="EI28">
        <f>EI27+IF(AND(EH28&lt;&gt;"",COUNTIF(EH$4:EH28,EH28)=1),1,0)</f>
        <v/>
      </c>
      <c r="EJ28">
        <f>IF(ROW()-3&gt;MAX(EI$4:EI$40),"",INDEX(EH$4:EH$40,MATCH(ROW()-3,EI$4:EI$40,0)))</f>
        <v/>
      </c>
      <c r="EK28">
        <f>IF('Final Calculation Sheet'!$AA$28="","",'Final Calculation Sheet'!$AA$28)</f>
        <v/>
      </c>
      <c r="EL28">
        <f>IF(EK28="","",COUNTIFS(EK$4:EK$40,"&lt;"&amp;EK28,EK$4:EK$40,"&lt;&gt;"&amp;"")+COUNTIF(EK$4:EK28,EK28))</f>
        <v/>
      </c>
      <c r="EM28">
        <f>IF(ROW()-3&gt;COUNTIF(EK$4:EK$40,"&lt;&gt;"&amp;""),"",INDEX(EK$4:EK$40,MATCH(ROW()-3,EL$4:EL$40,0)))</f>
        <v/>
      </c>
      <c r="EN28">
        <f>EN27+IF(AND(EM28&lt;&gt;"",COUNTIF(EM$4:EM28,EM28)=1),1,0)</f>
        <v/>
      </c>
      <c r="EO28">
        <f>IF(ROW()-3&gt;MAX(EN$4:EN$40),"",INDEX(EM$4:EM$40,MATCH(ROW()-3,EN$4:EN$40,0)))</f>
        <v/>
      </c>
      <c r="EP28">
        <f>IF('Final Calculation Sheet'!$AB$28="","",'Final Calculation Sheet'!$AB$28)</f>
        <v/>
      </c>
      <c r="EQ28">
        <f>IF(EP28="","",COUNTIFS(EP$4:EP$40,"&lt;"&amp;EP28,EP$4:EP$40,"&lt;&gt;"&amp;"")+COUNTIF(EP$4:EP28,EP28))</f>
        <v/>
      </c>
      <c r="ER28">
        <f>IF(ROW()-3&gt;COUNTIF(EP$4:EP$40,"&lt;&gt;"&amp;""),"",INDEX(EP$4:EP$40,MATCH(ROW()-3,EQ$4:EQ$40,0)))</f>
        <v/>
      </c>
      <c r="ES28">
        <f>ES27+IF(AND(ER28&lt;&gt;"",COUNTIF(ER$4:ER28,ER28)=1),1,0)</f>
        <v/>
      </c>
      <c r="ET28">
        <f>IF(ROW()-3&gt;MAX(ES$4:ES$40),"",INDEX(ER$4:ER$40,MATCH(ROW()-3,ES$4:ES$40,0)))</f>
        <v/>
      </c>
      <c r="EU28" s="55">
        <f>IF('Final Calculation Sheet'!$AC$28="","",'Final Calculation Sheet'!$AC$28)</f>
        <v/>
      </c>
      <c r="EV28">
        <f>IF(EU28="","",COUNTIFS(EU$4:EU$40,"&lt;"&amp;EU28,EU$4:EU$40,"&lt;&gt;"&amp;"")+COUNTIF(EU$4:EU28,EU28))</f>
        <v/>
      </c>
      <c r="EW28" s="55">
        <f>IF(ROW()-3&gt;COUNTIF(EU$4:EU$40,"&lt;&gt;"&amp;""),"",INDEX(EU$4:EU$40,MATCH(ROW()-3,EV$4:EV$40,0)))</f>
        <v/>
      </c>
      <c r="EX28">
        <f>EX27+IF(AND(EW28&lt;&gt;"",COUNTIF(EW$4:EW28,EW28)=1),1,0)</f>
        <v/>
      </c>
      <c r="EY28" s="55">
        <f>IF(ROW()-3&gt;MAX(EX$4:EX$40),"",INDEX(EW$4:EW$40,MATCH(ROW()-3,EX$4:EX$40,0)))</f>
        <v/>
      </c>
      <c r="EZ28" s="55">
        <f>IF('Final Calculation Sheet'!$AD$28="","",'Final Calculation Sheet'!$AD$28)</f>
        <v/>
      </c>
      <c r="FA28">
        <f>IF(EZ28="","",COUNTIFS(EZ$4:EZ$40,"&lt;"&amp;EZ28,EZ$4:EZ$40,"&lt;&gt;"&amp;"")+COUNTIF(EZ$4:EZ28,EZ28))</f>
        <v/>
      </c>
      <c r="FB28" s="55">
        <f>IF(ROW()-3&gt;COUNTIF(EZ$4:EZ$40,"&lt;&gt;"&amp;""),"",INDEX(EZ$4:EZ$40,MATCH(ROW()-3,FA$4:FA$40,0)))</f>
        <v/>
      </c>
      <c r="FC28">
        <f>FC27+IF(AND(FB28&lt;&gt;"",COUNTIF(FB$4:FB28,FB28)=1),1,0)</f>
        <v/>
      </c>
      <c r="FD28">
        <f>IF(ROW()-3&gt;MAX(FC$4:FC$40),"",INDEX(FB$4:FB$40,MATCH(ROW()-3,FC$4:FC$40,0)))</f>
        <v/>
      </c>
      <c r="FE28">
        <f>IF('Final Calculation Sheet'!$AF$28="","",'Final Calculation Sheet'!$AF$28)</f>
        <v/>
      </c>
      <c r="FF28">
        <f>IF(FE28="","",COUNTIFS(FE$4:FE$40,"&lt;"&amp;FE28,FE$4:FE$40,"&lt;&gt;"&amp;"")+COUNTIF(FE$4:FE28,FE28))</f>
        <v/>
      </c>
      <c r="FG28">
        <f>IF(ROW()-3&gt;COUNTIF(FE$4:FE$40,"&lt;&gt;"&amp;""),"",INDEX(FE$4:FE$40,MATCH(ROW()-3,FF$4:FF$40,0)))</f>
        <v/>
      </c>
      <c r="FH28">
        <f>FH27+IF(AND(FG28&lt;&gt;"",COUNTIF(FG$4:FG28,FG28)=1),1,0)</f>
        <v/>
      </c>
      <c r="FI28">
        <f>IF(ROW()-3&gt;MAX(FH$4:FH$40),"",INDEX(FG$4:FG$40,MATCH(ROW()-3,FH$4:FH$40,0)))</f>
        <v/>
      </c>
      <c r="FJ28" s="141">
        <f>IF('Final Calculation Sheet'!$AG$28="","",'Final Calculation Sheet'!$AG$28)</f>
        <v/>
      </c>
      <c r="FK28">
        <f>IF(FJ28="","",COUNTIFS(FJ$4:FJ$40,"&lt;"&amp;FJ28,FJ$4:FJ$40,"&lt;&gt;"&amp;"")+COUNTIF(FJ$4:FJ28,FJ28))</f>
        <v/>
      </c>
      <c r="FL28" s="141">
        <f>IF(ROW()-3&gt;COUNTIF(FJ$4:FJ$40,"&lt;&gt;"&amp;""),"",INDEX(FJ$4:FJ$40,MATCH(ROW()-3,FK$4:FK$40,0)))</f>
        <v/>
      </c>
      <c r="FM28">
        <f>FM27+IF(AND(FL28&lt;&gt;"",COUNTIF(FL$4:FL28,FL28)=1),1,0)</f>
        <v/>
      </c>
      <c r="FN28">
        <f>IF(ROW()-3&gt;MAX(FM$4:FM$40),"",INDEX(FL$4:FL$40,MATCH(ROW()-3,FM$4:FM$40,0)))</f>
        <v/>
      </c>
      <c r="FO28">
        <f>IF('Final Calculation Sheet'!$AH$28="","",'Final Calculation Sheet'!$AH$28)</f>
        <v/>
      </c>
      <c r="FP28">
        <f>IF(FO28="","",COUNTIFS(FO$4:FO$40,"&lt;"&amp;FO28,FO$4:FO$40,"&lt;&gt;"&amp;"")+COUNTIF(FO$4:FO28,FO28))</f>
        <v/>
      </c>
      <c r="FQ28">
        <f>IF(ROW()-3&gt;COUNTIF(FO$4:FO$40,"&lt;&gt;"&amp;""),"",INDEX(FO$4:FO$40,MATCH(ROW()-3,FP$4:FP$40,0)))</f>
        <v/>
      </c>
      <c r="FR28">
        <f>FR27+IF(AND(FQ28&lt;&gt;"",COUNTIF(FQ$4:FQ28,FQ28)=1),1,0)</f>
        <v/>
      </c>
      <c r="FS28">
        <f>IF(ROW()-3&gt;MAX(FR$4:FR$40),"",INDEX(FQ$4:FQ$40,MATCH(ROW()-3,FR$4:FR$40,0)))</f>
        <v/>
      </c>
      <c r="FU28">
        <f>IF(FT28="","",COUNTIFS(FT$4:FT$40,"&lt;"&amp;FT28,FT$4:FT$40,"&lt;&gt;"&amp;"")+COUNTIF(FT$4:FT28,FT28))</f>
        <v/>
      </c>
      <c r="FV28">
        <f>IF(ROW()-3&gt;COUNTIF(FT$4:FT$40,"&lt;&gt;"&amp;""),"",INDEX(FT$4:FT$40,MATCH(ROW()-3,FU$4:FU$40,0)))</f>
        <v/>
      </c>
      <c r="FW28">
        <f>FW27+IF(AND(FV28&lt;&gt;"",COUNTIF(FV$4:FV28,FV28)=1),1,0)</f>
        <v/>
      </c>
      <c r="FX28">
        <f>IF(ROW()-3&gt;MAX(FW$4:FW$40),"",INDEX(FV$4:FV$40,MATCH(ROW()-3,FW$4:FW$40,0)))</f>
        <v/>
      </c>
      <c r="FY28">
        <f>IF(COUNTIF('Live Search'!BM$27:BO$27,0)+COUNTIF('Live Search'!BQ$27:CU$27,0)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8">
        <f>IF($Y$28="",FALSE,SUMPRODUCT(('Final Calculation Sheet'!$B$4:$B$40=$Y$28)*($FY$6:$FY$42=1))&gt;0)</f>
        <v/>
      </c>
      <c r="GA28">
        <f>$GA$27+--($FZ$28)</f>
        <v/>
      </c>
      <c r="GB28">
        <f>IF(ROW()-3&gt;MAX($GA$4:$GA$40),"",INDEX($Y$4:$Y$40,MATCH(ROW()-3,$GA$4:$GA$40,0)))</f>
        <v/>
      </c>
      <c r="GC28">
        <f>IF(COUNTIF('Live Search'!BM$27:BM$27,0)+COUNTIF('Live Search'!BO$27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GD28">
        <f>IF($O$28="",FALSE,SUMPRODUCT(('Final Calculation Sheet'!$F$4:$F$40=$O$28)*($GC$6:$GC$42=1))&gt;0)</f>
        <v/>
      </c>
      <c r="GE28">
        <f>$GE$27+--($GD28)</f>
        <v/>
      </c>
      <c r="GF28">
        <f>IF(ROW()-3&gt;MAX($GE$4:$GE$40),"",INDEX($O$4:$O$40,MATCH(ROW()-3,$GE$4:$GE$40,0)))</f>
        <v/>
      </c>
      <c r="GG28">
        <f>IF(COUNTIF('Live Search'!BM$27:BN$27,0)+COUNTIF('Live Search'!BP$27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GH28">
        <f>IF($T$28="",FALSE,SUMPRODUCT(('Final Calculation Sheet'!$G$4:$G$40=$T$28)*($GG$6:$GG$42=1))&gt;0)</f>
        <v/>
      </c>
      <c r="GI28">
        <f>$GI$27+--($GH28)</f>
        <v/>
      </c>
      <c r="GJ28">
        <f>IF(ROW()-3&gt;MAX($GI$4:$GI$40),"",INDEX($T$4:$T$40,MATCH(ROW()-3,$GI$4:$GI$40,0)))</f>
        <v/>
      </c>
      <c r="GK28">
        <f>IF(COUNTIF('Live Search'!BM$27:BP$27,0)+COUNTIF('Live Search'!BR$27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GL28">
        <f>IF($AD$28="",FALSE,SUMPRODUCT(('Final Calculation Sheet'!$D$4:$D$40=$AD$28)*($GK$6:$GK$42=1))&gt;0)</f>
        <v/>
      </c>
      <c r="GM28">
        <f>$GM$27+--($GL28)</f>
        <v/>
      </c>
      <c r="GN28">
        <f>IF(ROW()-3&gt;MAX($GM$4:$GM$40),"",INDEX($AD$4:$AD$40,MATCH(ROW()-3,$GM$4:$GM$40,0)))</f>
        <v/>
      </c>
      <c r="GO28">
        <f>IF(COUNTIF('Live Search'!BM$27:BQ$27,0)+COUNTIF('Live Search'!BS$27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GP28">
        <f>IF($AI$28="",FALSE,SUMPRODUCT(('Final Calculation Sheet'!$A$4:$A$40=$AI$28)*($GO$6:$GO$42=1))&gt;0)</f>
        <v/>
      </c>
      <c r="GQ28">
        <f>$GQ$27+--($GP28)</f>
        <v/>
      </c>
      <c r="GR28">
        <f>IF(ROW()-3&gt;MAX($GQ$4:$GQ$40),"",INDEX($AI$4:$AI$40,MATCH(ROW()-3,$GQ$4:$GQ$40,0)))</f>
        <v/>
      </c>
      <c r="GS28">
        <f>IF(COUNTIF('Live Search'!BM$27:BR$27,0)+COUNTIF('Live Search'!BT$27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GT28">
        <f>IF($AN$28="",FALSE,SUMPRODUCT(('Final Calculation Sheet'!$E$4:$E$40=$AN$28)*($GS$6:$GS$42=1))&gt;0)</f>
        <v/>
      </c>
      <c r="GU28">
        <f>$GU$27+--($GT28)</f>
        <v/>
      </c>
      <c r="GV28">
        <f>IF(ROW()-3&gt;MAX($GU$4:$GU$40),"",INDEX($AN$4:$AN$40,MATCH(ROW()-3,$GU$4:$GU$40,0)))</f>
        <v/>
      </c>
      <c r="GW28">
        <f>IF(COUNTIF('Live Search'!BM$27:BS$27,0)+COUNTIF('Live Search'!BU$27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GX28">
        <f>IF($AS$28="",FALSE,SUMPRODUCT(('Final Calculation Sheet'!$C$4:$C$40=$AS$28)*($GW$6:$GW$42=1))&gt;0)</f>
        <v/>
      </c>
      <c r="GY28">
        <f>$GY$27+--($GX28)</f>
        <v/>
      </c>
      <c r="GZ28">
        <f>IF(ROW()-3&gt;MAX($GY$4:$GY$40),"",INDEX($AS$4:$AS$40,MATCH(ROW()-3,$GY$4:$GY$40,0)))</f>
        <v/>
      </c>
      <c r="HA28">
        <f>IF(COUNTIF('Live Search'!BM$27:BT$27,0)+COUNTIF('Live Search'!BV$27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HB28">
        <f>IF($AX$28="",FALSE,SUMPRODUCT(('Final Calculation Sheet'!$H$4:$H$40=$AX$28)*($HA$6:$HA$42=1))&gt;0)</f>
        <v/>
      </c>
      <c r="HC28">
        <f>$HC$27+--($HB28)</f>
        <v/>
      </c>
      <c r="HD28">
        <f>IF(ROW()-3&gt;MAX($HC$4:$HC$40),"",INDEX($AX$4:$AX$40,MATCH(ROW()-3,$HC$4:$HC$40,0)))</f>
        <v/>
      </c>
      <c r="HE28">
        <f>IF(COUNTIF('Live Search'!BM$27:BU$27,0)+COUNTIF('Live Search'!BW$27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HF28">
        <f>IF($BC$28="",FALSE,SUMPRODUCT(('Final Calculation Sheet'!$I$4:$I$40=$BC$28)*($HE$6:$HE$42=1))&gt;0)</f>
        <v/>
      </c>
      <c r="HG28">
        <f>$HG$27+--($HF28)</f>
        <v/>
      </c>
      <c r="HH28">
        <f>IF(ROW()-3&gt;MAX($HG$4:$HG$40),"",INDEX($BC$4:$BC$40,MATCH(ROW()-3,$HG$4:$HG$40,0)))</f>
        <v/>
      </c>
      <c r="HI28">
        <f>IF(COUNTIF('Live Search'!BM$27:BV$27,0)+COUNTIF('Live Search'!BX$27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HJ28">
        <f>IF($BH$28="",FALSE,SUMPRODUCT(('Final Calculation Sheet'!$J$4:$J$40=$BH$28)*($HI$6:$HI$42=1))&gt;0)</f>
        <v/>
      </c>
      <c r="HK28">
        <f>$HK$27+--($HJ28)</f>
        <v/>
      </c>
      <c r="HL28">
        <f>IF(ROW()-3&gt;MAX($HK$4:$HK$40),"",INDEX($BH$4:$BH$40,MATCH(ROW()-3,$HK$4:$HK$40,0)))</f>
        <v/>
      </c>
      <c r="HM28">
        <f>IF(COUNTIF('Live Search'!BM$27:BW$27,0)+COUNTIF('Live Search'!BY$27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HN28">
        <f>IF($BM$28="",FALSE,SUMPRODUCT(('Final Calculation Sheet'!$K$4:$K$40=$BM$28)*($HM$6:$HM$42=1))&gt;0)</f>
        <v/>
      </c>
      <c r="HO28">
        <f>$HO$27+--($HN28)</f>
        <v/>
      </c>
      <c r="HP28">
        <f>IF(ROW()-3&gt;MAX($HO$4:$HO$40),"",INDEX($BM$4:$BM$40,MATCH(ROW()-3,$HO$4:$HO$40,0)))</f>
        <v/>
      </c>
      <c r="HQ28">
        <f>IF(COUNTIF('Live Search'!BM$27:BX$27,0)+COUNTIF('Live Search'!BZ$27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HR28">
        <f>IF($BR$28="",FALSE,SUMPRODUCT(('Final Calculation Sheet'!$L$4:$L$40=$BR$28)*($HQ$6:$HQ$42=1))&gt;0)</f>
        <v/>
      </c>
      <c r="HS28">
        <f>$HS$27+--($HR28)</f>
        <v/>
      </c>
      <c r="HT28">
        <f>IF(ROW()-3&gt;MAX($HS$4:$HS$40),"",INDEX($BR$4:$BR$40,MATCH(ROW()-3,$HS$4:$HS$40,0)))</f>
        <v/>
      </c>
      <c r="HU28">
        <f>IF(COUNTIF('Live Search'!BM$27:BY$27,0)+COUNTIF('Live Search'!CA$27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HV28">
        <f>IF($BW$28="",FALSE,SUMPRODUCT(('Final Calculation Sheet'!$M$4:$M$40=$BW$28)*($HU$6:$HU$42=1))&gt;0)</f>
        <v/>
      </c>
      <c r="HW28">
        <f>$HW$27+--($HV28)</f>
        <v/>
      </c>
      <c r="HX28">
        <f>IF(ROW()-3&gt;MAX($HW$4:$HW$40),"",INDEX($BW$4:$BW$40,MATCH(ROW()-3,$HW$4:$HW$40,0)))</f>
        <v/>
      </c>
      <c r="HY28">
        <f>IF(COUNTIF('Live Search'!BM$27:BZ$27,0)+COUNTIF('Live Search'!CB$27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HZ28">
        <f>IF($CB$28="",FALSE,SUMPRODUCT(('Final Calculation Sheet'!$N$4:$N$40=$CB$28)*($HY$6:$HY$42=1))&gt;0)</f>
        <v/>
      </c>
      <c r="IA28">
        <f>$IA$27+--($HZ28)</f>
        <v/>
      </c>
      <c r="IB28">
        <f>IF(ROW()-3&gt;MAX($IA$4:$IA$40),"",INDEX($CB$4:$CB$40,MATCH(ROW()-3,$IA$4:$IA$40,0)))</f>
        <v/>
      </c>
      <c r="IC28">
        <f>IF(COUNTIF('Live Search'!BM$27:CA$27,0)+COUNTIF('Live Search'!CC$27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ID28">
        <f>IF($CG$28="",FALSE,SUMPRODUCT(('Final Calculation Sheet'!$O$4:$O$40=$CG$28)*($IC$6:$IC$42=1))&gt;0)</f>
        <v/>
      </c>
      <c r="IE28">
        <f>$IE$27+--($ID28)</f>
        <v/>
      </c>
      <c r="IF28">
        <f>IF(ROW()-3&gt;MAX($IE$4:$IE$40),"",INDEX($CG$4:$CG$40,MATCH(ROW()-3,$IE$4:$IE$40,0)))</f>
        <v/>
      </c>
      <c r="IG28">
        <f>IF(COUNTIF('Live Search'!BM$27:CB$27,0)+COUNTIF('Live Search'!CD$27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IH28">
        <f>IF($CL$28="",FALSE,SUMPRODUCT(('Final Calculation Sheet'!$P$4:$P$40=$CL$28)*($IG$6:$IG$42=1))&gt;0)</f>
        <v/>
      </c>
      <c r="II28">
        <f>$II$27+--($IH28)</f>
        <v/>
      </c>
      <c r="IJ28">
        <f>IF(ROW()-3&gt;MAX($II$4:$II$40),"",INDEX($CL$4:$CL$40,MATCH(ROW()-3,$II$4:$II$40,0)))</f>
        <v/>
      </c>
      <c r="IK28">
        <f>IF(COUNTIF('Live Search'!BM$27:CC$27,0)+COUNTIF('Live Search'!CE$27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IL28">
        <f>IF($CQ$28="",FALSE,SUMPRODUCT(('Final Calculation Sheet'!$Q$4:$Q$40=$CQ$28)*($IK$6:$IK$42=1))&gt;0)</f>
        <v/>
      </c>
      <c r="IM28">
        <f>$IM$27+--($IL28)</f>
        <v/>
      </c>
      <c r="IN28">
        <f>IF(ROW()-3&gt;MAX($IM$4:$IM$40),"",INDEX($CQ$4:$CQ$40,MATCH(ROW()-3,$IM$4:$IM$40,0)))</f>
        <v/>
      </c>
      <c r="IO28">
        <f>IF(COUNTIF('Live Search'!BM$27:CD$27,0)+COUNTIF('Live Search'!CF$27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IP28">
        <f>IF($CV$28="",FALSE,SUMPRODUCT(('Final Calculation Sheet'!$R$4:$R$40=$CV$28)*($IO$6:$IO$42=1))&gt;0)</f>
        <v/>
      </c>
      <c r="IQ28">
        <f>$IQ$27+--($IP28)</f>
        <v/>
      </c>
      <c r="IR28">
        <f>IF(ROW()-3&gt;MAX($IQ$4:$IQ$40),"",INDEX($CV$4:$CV$40,MATCH(ROW()-3,$IQ$4:$IQ$40,0)))</f>
        <v/>
      </c>
      <c r="IS28">
        <f>IF(COUNTIF('Live Search'!BM$27:CE$27,0)+COUNTIF('Live Search'!CG$27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IT28">
        <f>IF($DA$28="",FALSE,SUMPRODUCT(('Final Calculation Sheet'!$S$4:$S$40=$DA$28)*($IS$6:$IS$42=1))&gt;0)</f>
        <v/>
      </c>
      <c r="IU28">
        <f>$IU$27+--($IT28)</f>
        <v/>
      </c>
      <c r="IV28">
        <f>IF(ROW()-3&gt;MAX($IU$4:$IU$40),"",INDEX($DA$4:$DA$40,MATCH(ROW()-3,$IU$4:$IU$40,0)))</f>
        <v/>
      </c>
      <c r="IW28">
        <f>IF(COUNTIF('Live Search'!BM$27:CF$27,0)+COUNTIF('Live Search'!CH$27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IX28">
        <f>IF($DF$28="",FALSE,SUMPRODUCT(('Final Calculation Sheet'!$T$4:$T$40=$DF$28)*($IW$6:$IW$42=1))&gt;0)</f>
        <v/>
      </c>
      <c r="IY28">
        <f>$IY$27+--($IX28)</f>
        <v/>
      </c>
      <c r="IZ28">
        <f>IF(ROW()-3&gt;MAX($IY$4:$IY$40),"",INDEX($DF$4:$DF$40,MATCH(ROW()-3,$IY$4:$IY$40,0)))</f>
        <v/>
      </c>
      <c r="JA28">
        <f>IF(COUNTIF('Live Search'!BM$27:CG$27,0)+COUNTIF('Live Search'!CI$27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JB28">
        <f>IF($DK$28="",FALSE,SUMPRODUCT(('Final Calculation Sheet'!$U$4:$U$40=$DK$28)*($JA$6:$JA$42=1))&gt;0)</f>
        <v/>
      </c>
      <c r="JC28">
        <f>$JC$27+--($JB28)</f>
        <v/>
      </c>
      <c r="JD28">
        <f>IF(ROW()-3&gt;MAX($JC$4:$JC$40),"",INDEX($DK$4:$DK$40,MATCH(ROW()-3,$JC$4:$JC$40,0)))</f>
        <v/>
      </c>
      <c r="JE28">
        <f>IF(COUNTIF('Live Search'!BM$27:CH$27,0)+COUNTIF('Live Search'!CJ$27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JF28">
        <f>IF($DP$28="",FALSE,SUMPRODUCT(('Final Calculation Sheet'!$V$4:$V$40=$DP$28)*($JE$6:$JE$42=1))&gt;0)</f>
        <v/>
      </c>
      <c r="JG28">
        <f>$JG$27+--($JF28)</f>
        <v/>
      </c>
      <c r="JH28">
        <f>IF(ROW()-3&gt;MAX($JG$4:$JG$40),"",INDEX($DP$4:$DP$40,MATCH(ROW()-3,$JG$4:$JG$40,0)))</f>
        <v/>
      </c>
      <c r="JI28">
        <f>IF(COUNTIF('Live Search'!BM$27:CI$27,0)+COUNTIF('Live Search'!CK$27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JJ28">
        <f>IF($DU$28="",FALSE,SUMPRODUCT(('Final Calculation Sheet'!$W$4:$W$40=$DU$28)*($JI$6:$JI$42=1))&gt;0)</f>
        <v/>
      </c>
      <c r="JK28">
        <f>$JK$27+--($JJ28)</f>
        <v/>
      </c>
      <c r="JL28">
        <f>IF(ROW()-3&gt;MAX($JK$4:$JK$40),"",INDEX($DU$4:$DU$40,MATCH(ROW()-3,$JK$4:$JK$40,0)))</f>
        <v/>
      </c>
      <c r="JM28">
        <f>IF(COUNTIF('Live Search'!BM$27:CJ$27,0)+COUNTIF('Live Search'!CL$27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JN28">
        <f>IF($DZ$28="",FALSE,SUMPRODUCT(('Final Calculation Sheet'!$X$4:$X$40=$DZ$28)*($JM$6:$JM$42=1))&gt;0)</f>
        <v/>
      </c>
      <c r="JO28">
        <f>$JO$27+--($JN28)</f>
        <v/>
      </c>
      <c r="JP28">
        <f>IF(ROW()-3&gt;MAX($JO$4:$JO$40),"",INDEX($DZ$4:$DZ$40,MATCH(ROW()-3,$JO$4:$JO$40,0)))</f>
        <v/>
      </c>
      <c r="JQ28">
        <f>IF(COUNTIF('Live Search'!BM$27:CK$27,0)+COUNTIF('Live Search'!CM$27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JR28">
        <f>IF($EE$28="",FALSE,SUMPRODUCT(('Final Calculation Sheet'!$Y$4:$Y$40=$EE$28)*($JQ$6:$JQ$42=1))&gt;0)</f>
        <v/>
      </c>
      <c r="JS28">
        <f>$JS$27+--($JR28)</f>
        <v/>
      </c>
      <c r="JT28">
        <f>IF(ROW()-3&gt;MAX($JS$4:$JS$40),"",INDEX($EE$4:$EE$40,MATCH(ROW()-3,$JS$4:$JS$40,0)))</f>
        <v/>
      </c>
      <c r="JU28">
        <f>IF(COUNTIF('Live Search'!BM$27:CL$27,0)+COUNTIF('Live Search'!CN$27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JV28">
        <f>IF($EJ$28="",FALSE,SUMPRODUCT(('Final Calculation Sheet'!$Z$4:$Z$40=$EJ$28)*($JU$6:$JU$42=1))&gt;0)</f>
        <v/>
      </c>
      <c r="JW28">
        <f>$JW$27+--($JV28)</f>
        <v/>
      </c>
      <c r="JX28">
        <f>IF(ROW()-3&gt;MAX($JW$4:$JW$40),"",INDEX($EJ$4:$EJ$40,MATCH(ROW()-3,$JW$4:$JW$40,0)))</f>
        <v/>
      </c>
      <c r="JY28">
        <f>IF(COUNTIF('Live Search'!BM$27:CM$27,0)+COUNTIF('Live Search'!CO$27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JZ28">
        <f>IF($EO$28="",FALSE,SUMPRODUCT(('Final Calculation Sheet'!$AA$4:$AA$40=$EO$28)*($JY$6:$JY$42=1))&gt;0)</f>
        <v/>
      </c>
      <c r="KA28">
        <f>$KA$27+--($JZ28)</f>
        <v/>
      </c>
      <c r="KB28">
        <f>IF(ROW()-3&gt;MAX($KA$4:$KA$40),"",INDEX($EO$4:$EO$40,MATCH(ROW()-3,$KA$4:$KA$40,0)))</f>
        <v/>
      </c>
      <c r="KC28">
        <f>IF(COUNTIF('Live Search'!BM$27:CN$27,0)+COUNTIF('Live Search'!CP$27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KD28">
        <f>IF($ET$28="",FALSE,SUMPRODUCT(('Final Calculation Sheet'!$AB$4:$AB$40=$ET$28)*($KC$6:$KC$42=1))&gt;0)</f>
        <v/>
      </c>
      <c r="KE28">
        <f>$KE$27+--($KD28)</f>
        <v/>
      </c>
      <c r="KF28">
        <f>IF(ROW()-3&gt;MAX($KE$4:$KE$40),"",INDEX($ET$4:$ET$40,MATCH(ROW()-3,$KE$4:$KE$40,0)))</f>
        <v/>
      </c>
      <c r="KG28">
        <f>IF(COUNTIF('Live Search'!BM$27:CO$27,0)+COUNTIF('Live Search'!CQ$27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KH28">
        <f>IF($EY$28="",FALSE,SUMPRODUCT(('Final Calculation Sheet'!$AC$4:$AC$40=$EY$28)*($KG$6:$KG$42=1))&gt;0)</f>
        <v/>
      </c>
      <c r="KI28">
        <f>$KI$27+--($KH28)</f>
        <v/>
      </c>
      <c r="KJ28">
        <f>IF(ROW()-3&gt;MAX($KI$4:$KI$40),"",INDEX($EY$4:$EY$40,MATCH(ROW()-3,$KI$4:$KI$40,0)))</f>
        <v/>
      </c>
      <c r="KK28">
        <f>IF(COUNTIF('Live Search'!BM$27:CP$27,0)+COUNTIF('Live Search'!CR$27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KL28">
        <f>IF($FD$28="",FALSE,SUMPRODUCT(('Final Calculation Sheet'!$AD$4:$AD$40=$FD$28)*($KK$6:$KK$42=1))&gt;0)</f>
        <v/>
      </c>
      <c r="KM28">
        <f>$KM$27+--($KL28)</f>
        <v/>
      </c>
      <c r="KN28">
        <f>IF(ROW()-3&gt;MAX($KM$4:$KM$40),"",INDEX($FD$4:$FD$40,MATCH(ROW()-3,$KM$4:$KM$40,0)))</f>
        <v/>
      </c>
      <c r="KO28">
        <f>IF(COUNTIF('Live Search'!BM$27:CT$27,0)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KP28">
        <f>IF($FX$28="",FALSE,SUMPRODUCT((IF('Final Calculation Sheet'!$AD$4:$AD$40&lt;=5,"SETTLED","OUTSTANDING")=$FX$28)*($KO$6:$KO$42=1))&gt;0)</f>
        <v/>
      </c>
      <c r="KQ28">
        <f>$KQ$27+--($KP28)</f>
        <v/>
      </c>
      <c r="KR28">
        <f>IF(ROW()-3&gt;MAX($KQ$4:$KQ$40),"",INDEX($FX$4:$FX$40,MATCH(ROW()-3,$KQ$4:$KQ$40,0)))</f>
        <v/>
      </c>
      <c r="KS28">
        <f>IF(COUNTIF('Live Search'!BM$27:CQ$27,0)+COUNTIF('Live Search'!CS$27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KT28">
        <f>IF($FI$28="",FALSE,SUMPRODUCT(('Final Calculation Sheet'!$AF$4:$AF$40=$FI$28)*($KS$6:$KS$42=1))&gt;0)</f>
        <v/>
      </c>
      <c r="KU28">
        <f>$KU$27+--($KT28)</f>
        <v/>
      </c>
      <c r="KV28">
        <f>IF(ROW()-3&gt;MAX($KU$4:$KU$40),"",INDEX($FI$4:$FI$40,MATCH(ROW()-3,$KU$4:$KU$40,0)))</f>
        <v/>
      </c>
      <c r="KW28">
        <f>IF(COUNTIF('Live Search'!BM$27:CR$27,0)+COUNTIF('Live Search'!CT$27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KX28">
        <f>IF($FN$28="",FALSE,SUMPRODUCT(('Final Calculation Sheet'!$AG$4:$AG$40=$FN$28)*($KW$6:$KW$42=1))&gt;0)</f>
        <v/>
      </c>
      <c r="KY28">
        <f>$KY$27+--($KX28)</f>
        <v/>
      </c>
      <c r="KZ28">
        <f>IF(ROW()-3&gt;MAX($KY$4:$KY$40),"",INDEX($FN$4:$FN$40,MATCH(ROW()-3,$KY$4:$KY$40,0)))</f>
        <v/>
      </c>
      <c r="LA28">
        <f>IF(COUNTIF('Live Search'!BM$27:CS$27,0)+COUNTIF('Live Search'!CU$27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LB28">
        <f>IF($FS$28="",FALSE,SUMPRODUCT(('Final Calculation Sheet'!$AH$4:$AH$40=$FS$28)*($LA$6:$LA$42=1))&gt;0)</f>
        <v/>
      </c>
      <c r="LC28">
        <f>$LC$27+--($LB28)</f>
        <v/>
      </c>
      <c r="LD28">
        <f>IF(ROW()-3&gt;MAX($LC$4:$LC$40),"",INDEX($FS$4:$FS$40,MATCH(ROW()-3,$LC$4:$LC$40,0)))</f>
        <v/>
      </c>
      <c r="LE28">
        <f>IF(COUNTIF('Buyer Groups'!DH81:EN81,0)&gt;0,0,1)</f>
        <v/>
      </c>
      <c r="LF28">
        <f>IF($O$28="",FALSE,SUMPRODUCT(('Final Calculation Sheet'!$F$4:$F$40=$O$28)*($LE$6:$LE$42=1))&gt;0)</f>
        <v/>
      </c>
      <c r="LG28">
        <f>$LG$27+--($LF28)</f>
        <v/>
      </c>
      <c r="LH28">
        <f>IF(ROW()-3&gt;MAX($LG$4:$LG$40),"",INDEX($O$4:$O$40,MATCH(ROW()-3,$LG$4:$LG$40,0)))</f>
        <v/>
      </c>
      <c r="LI28">
        <f>IF(COUNTIF('Buyer Groups'!DG81:DG81,0)+COUNTIF('Buyer Groups'!DI81:EN81,0)&gt;0,0,1)</f>
        <v/>
      </c>
      <c r="LJ28">
        <f>IF($T$28="",FALSE,SUMPRODUCT(('Final Calculation Sheet'!$G$4:$G$40=$T$28)*($LI$6:$LI$42=1))&gt;0)</f>
        <v/>
      </c>
      <c r="LK28">
        <f>$LK$27+--($LJ28)</f>
        <v/>
      </c>
      <c r="LL28">
        <f>IF(ROW()-3&gt;MAX($LK$4:$LK$40),"",INDEX($T$4:$T$40,MATCH(ROW()-3,$LK$4:$LK$40,0)))</f>
        <v/>
      </c>
      <c r="LM28">
        <f>IF(COUNTIF('Buyer Groups'!DG81:DH81,0)+COUNTIF('Buyer Groups'!DJ81:EN81,0)&gt;0,0,1)</f>
        <v/>
      </c>
      <c r="LN28">
        <f>IF($Y$28="",FALSE,SUMPRODUCT(('Final Calculation Sheet'!$B$4:$B$40=$Y$28)*($LM$6:$LM$42=1))&gt;0)</f>
        <v/>
      </c>
      <c r="LO28">
        <f>$LO$27+--($LN28)</f>
        <v/>
      </c>
      <c r="LP28">
        <f>IF(ROW()-3&gt;MAX($LO$4:$LO$40),"",INDEX($Y$4:$Y$40,MATCH(ROW()-3,$LO$4:$LO$40,0)))</f>
        <v/>
      </c>
      <c r="LQ28">
        <f>IF(COUNTIF('Buyer Groups'!DG81:DI81,0)+COUNTIF('Buyer Groups'!DK81:EN81,0)&gt;0,0,1)</f>
        <v/>
      </c>
      <c r="LR28">
        <f>IF($AD$28="",FALSE,SUMPRODUCT(('Final Calculation Sheet'!$D$4:$D$40=$AD$28)*($LQ$6:$LQ$42=1))&gt;0)</f>
        <v/>
      </c>
      <c r="LS28">
        <f>$LS$27+--($LR28)</f>
        <v/>
      </c>
      <c r="LT28">
        <f>IF(ROW()-3&gt;MAX($LS$4:$LS$40),"",INDEX($AD$4:$AD$40,MATCH(ROW()-3,$LS$4:$LS$40,0)))</f>
        <v/>
      </c>
      <c r="LU28">
        <f>IF(COUNTIF('Buyer Groups'!DG81:DJ81,0)+COUNTIF('Buyer Groups'!DL81:EN81,0)&gt;0,0,1)</f>
        <v/>
      </c>
      <c r="LV28">
        <f>IF($AI$28="",FALSE,SUMPRODUCT(('Final Calculation Sheet'!$A$4:$A$40=$AI$28)*($LU$6:$LU$42=1))&gt;0)</f>
        <v/>
      </c>
      <c r="LW28">
        <f>$LW$27+--($LV28)</f>
        <v/>
      </c>
      <c r="LX28">
        <f>IF(ROW()-3&gt;MAX($LW$4:$LW$40),"",INDEX($AI$4:$AI$40,MATCH(ROW()-3,$LW$4:$LW$40,0)))</f>
        <v/>
      </c>
      <c r="LY28">
        <f>IF(COUNTIF('Buyer Groups'!DG81:DK81,0)+COUNTIF('Buyer Groups'!DM81:EN81,0)&gt;0,0,1)</f>
        <v/>
      </c>
      <c r="LZ28">
        <f>IF($AN$28="",FALSE,SUMPRODUCT(('Final Calculation Sheet'!$E$4:$E$40=$AN$28)*($LY$6:$LY$42=1))&gt;0)</f>
        <v/>
      </c>
      <c r="MA28">
        <f>$MA$27+--($LZ28)</f>
        <v/>
      </c>
      <c r="MB28">
        <f>IF(ROW()-3&gt;MAX($MA$4:$MA$40),"",INDEX($AN$4:$AN$40,MATCH(ROW()-3,$MA$4:$MA$40,0)))</f>
        <v/>
      </c>
      <c r="MC28">
        <f>IF(COUNTIF('Buyer Groups'!DG81:DL81,0)+COUNTIF('Buyer Groups'!DN81:EN81,0)&gt;0,0,1)</f>
        <v/>
      </c>
      <c r="MD28">
        <f>IF($AS$28="",FALSE,SUMPRODUCT(('Final Calculation Sheet'!$C$4:$C$40=$AS$28)*($MC$6:$MC$42=1))&gt;0)</f>
        <v/>
      </c>
      <c r="ME28">
        <f>$ME$27+--($MD28)</f>
        <v/>
      </c>
      <c r="MF28">
        <f>IF(ROW()-3&gt;MAX($ME$4:$ME$40),"",INDEX($AS$4:$AS$40,MATCH(ROW()-3,$ME$4:$ME$40,0)))</f>
        <v/>
      </c>
      <c r="MG28">
        <f>IF(COUNTIF('Buyer Groups'!DG81:DM81,0)+COUNTIF('Buyer Groups'!DO81:EN81,0)&gt;0,0,1)</f>
        <v/>
      </c>
      <c r="MH28">
        <f>IF($AX$28="",FALSE,SUMPRODUCT(('Final Calculation Sheet'!$H$4:$H$40=$AX$28)*($MG$6:$MG$42=1))&gt;0)</f>
        <v/>
      </c>
      <c r="MI28">
        <f>$MI$27+--($MH28)</f>
        <v/>
      </c>
      <c r="MJ28">
        <f>IF(ROW()-3&gt;MAX($MI$4:$MI$40),"",INDEX($AX$4:$AX$40,MATCH(ROW()-3,$MI$4:$MI$40,0)))</f>
        <v/>
      </c>
      <c r="MK28">
        <f>IF(COUNTIF('Buyer Groups'!DG81:DN81,0)+COUNTIF('Buyer Groups'!DP81:EN81,0)&gt;0,0,1)</f>
        <v/>
      </c>
      <c r="ML28">
        <f>IF($BC$28="",FALSE,SUMPRODUCT(('Final Calculation Sheet'!$I$4:$I$40=$BC$28)*($MK$6:$MK$42=1))&gt;0)</f>
        <v/>
      </c>
      <c r="MM28">
        <f>$MM$27+--($ML28)</f>
        <v/>
      </c>
      <c r="MN28">
        <f>IF(ROW()-3&gt;MAX($MM$4:$MM$40),"",INDEX($BC$4:$BC$40,MATCH(ROW()-3,$MM$4:$MM$40,0)))</f>
        <v/>
      </c>
      <c r="MO28">
        <f>IF(COUNTIF('Buyer Groups'!DG81:DO81,0)+COUNTIF('Buyer Groups'!DQ81:EN81,0)&gt;0,0,1)</f>
        <v/>
      </c>
      <c r="MP28">
        <f>IF($BH$28="",FALSE,SUMPRODUCT(('Final Calculation Sheet'!$J$4:$J$40=$BH$28)*($MO$6:$MO$42=1))&gt;0)</f>
        <v/>
      </c>
      <c r="MQ28">
        <f>$MQ$27+--($MP28)</f>
        <v/>
      </c>
      <c r="MR28">
        <f>IF(ROW()-3&gt;MAX($MQ$4:$MQ$40),"",INDEX($BH$4:$BH$40,MATCH(ROW()-3,$MQ$4:$MQ$40,0)))</f>
        <v/>
      </c>
      <c r="MS28">
        <f>IF(COUNTIF('Buyer Groups'!DG81:DP81,0)+COUNTIF('Buyer Groups'!DR81:EN81,0)&gt;0,0,1)</f>
        <v/>
      </c>
      <c r="MT28">
        <f>IF($BM$28="",FALSE,SUMPRODUCT(('Final Calculation Sheet'!$K$4:$K$40=$BM$28)*($MS$6:$MS$42=1))&gt;0)</f>
        <v/>
      </c>
      <c r="MU28">
        <f>$MU$27+--($MT28)</f>
        <v/>
      </c>
      <c r="MV28">
        <f>IF(ROW()-3&gt;MAX($MU$4:$MU$40),"",INDEX($BM$4:$BM$40,MATCH(ROW()-3,$MU$4:$MU$40,0)))</f>
        <v/>
      </c>
      <c r="MW28">
        <f>IF(COUNTIF('Buyer Groups'!DG81:DQ81,0)+COUNTIF('Buyer Groups'!DS81:EN81,0)&gt;0,0,1)</f>
        <v/>
      </c>
      <c r="MX28">
        <f>IF($BR$28="",FALSE,SUMPRODUCT(('Final Calculation Sheet'!$L$4:$L$40=$BR$28)*($MW$6:$MW$42=1))&gt;0)</f>
        <v/>
      </c>
      <c r="MY28">
        <f>$MY$27+--($MX28)</f>
        <v/>
      </c>
      <c r="MZ28">
        <f>IF(ROW()-3&gt;MAX($MY$4:$MY$40),"",INDEX($BR$4:$BR$40,MATCH(ROW()-3,$MY$4:$MY$40,0)))</f>
        <v/>
      </c>
      <c r="NA28">
        <f>IF(COUNTIF('Buyer Groups'!DG81:DR81,0)+COUNTIF('Buyer Groups'!DT81:EN81,0)&gt;0,0,1)</f>
        <v/>
      </c>
      <c r="NB28">
        <f>IF($BW$28="",FALSE,SUMPRODUCT(('Final Calculation Sheet'!$M$4:$M$40=$BW$28)*($NA$6:$NA$42=1))&gt;0)</f>
        <v/>
      </c>
      <c r="NC28">
        <f>$NC$27+--($NB28)</f>
        <v/>
      </c>
      <c r="ND28">
        <f>IF(ROW()-3&gt;MAX($NC$4:$NC$40),"",INDEX($BW$4:$BW$40,MATCH(ROW()-3,$NC$4:$NC$40,0)))</f>
        <v/>
      </c>
      <c r="NE28">
        <f>IF(COUNTIF('Buyer Groups'!DG81:DS81,0)+COUNTIF('Buyer Groups'!DU81:EN81,0)&gt;0,0,1)</f>
        <v/>
      </c>
      <c r="NF28">
        <f>IF($CB$28="",FALSE,SUMPRODUCT(('Final Calculation Sheet'!$N$4:$N$40=$CB$28)*($NE$6:$NE$42=1))&gt;0)</f>
        <v/>
      </c>
      <c r="NG28">
        <f>$NG$27+--($NF28)</f>
        <v/>
      </c>
      <c r="NH28">
        <f>IF(ROW()-3&gt;MAX($NG$4:$NG$40),"",INDEX($CB$4:$CB$40,MATCH(ROW()-3,$NG$4:$NG$40,0)))</f>
        <v/>
      </c>
      <c r="NI28">
        <f>IF(COUNTIF('Buyer Groups'!DG81:DT81,0)+COUNTIF('Buyer Groups'!DV81:EN81,0)&gt;0,0,1)</f>
        <v/>
      </c>
      <c r="NJ28">
        <f>IF($CG$28="",FALSE,SUMPRODUCT(('Final Calculation Sheet'!$O$4:$O$40=$CG$28)*($NI$6:$NI$42=1))&gt;0)</f>
        <v/>
      </c>
      <c r="NK28">
        <f>$NK$27+--($NJ28)</f>
        <v/>
      </c>
      <c r="NL28">
        <f>IF(ROW()-3&gt;MAX($NK$4:$NK$40),"",INDEX($CG$4:$CG$40,MATCH(ROW()-3,$NK$4:$NK$40,0)))</f>
        <v/>
      </c>
      <c r="NM28">
        <f>IF(COUNTIF('Buyer Groups'!DG81:DU81,0)+COUNTIF('Buyer Groups'!DW81:EN81,0)&gt;0,0,1)</f>
        <v/>
      </c>
      <c r="NN28">
        <f>IF($CL$28="",FALSE,SUMPRODUCT(('Final Calculation Sheet'!$P$4:$P$40=$CL$28)*($NM$6:$NM$42=1))&gt;0)</f>
        <v/>
      </c>
      <c r="NO28">
        <f>$NO$27+--($NN28)</f>
        <v/>
      </c>
      <c r="NP28">
        <f>IF(ROW()-3&gt;MAX($NO$4:$NO$40),"",INDEX($CL$4:$CL$40,MATCH(ROW()-3,$NO$4:$NO$40,0)))</f>
        <v/>
      </c>
      <c r="NQ28">
        <f>IF(COUNTIF('Buyer Groups'!DG81:DV81,0)+COUNTIF('Buyer Groups'!DX81:EN81,0)&gt;0,0,1)</f>
        <v/>
      </c>
      <c r="NR28">
        <f>IF($CQ$28="",FALSE,SUMPRODUCT(('Final Calculation Sheet'!$Q$4:$Q$40=$CQ$28)*($NQ$6:$NQ$42=1))&gt;0)</f>
        <v/>
      </c>
      <c r="NS28">
        <f>$NS$27+--($NR28)</f>
        <v/>
      </c>
      <c r="NT28">
        <f>IF(ROW()-3&gt;MAX($NS$4:$NS$40),"",INDEX($CQ$4:$CQ$40,MATCH(ROW()-3,$NS$4:$NS$40,0)))</f>
        <v/>
      </c>
      <c r="NU28">
        <f>IF(COUNTIF('Buyer Groups'!DG81:DW81,0)+COUNTIF('Buyer Groups'!DY81:EN81,0)&gt;0,0,1)</f>
        <v/>
      </c>
      <c r="NV28">
        <f>IF($CV$28="",FALSE,SUMPRODUCT(('Final Calculation Sheet'!$R$4:$R$40=$CV$28)*($NU$6:$NU$42=1))&gt;0)</f>
        <v/>
      </c>
      <c r="NW28">
        <f>$NW$27+--($NV28)</f>
        <v/>
      </c>
      <c r="NX28">
        <f>IF(ROW()-3&gt;MAX($NW$4:$NW$40),"",INDEX($CV$4:$CV$40,MATCH(ROW()-3,$NW$4:$NW$40,0)))</f>
        <v/>
      </c>
      <c r="NY28">
        <f>IF(COUNTIF('Buyer Groups'!DG81:DX81,0)+COUNTIF('Buyer Groups'!DZ81:EN81,0)&gt;0,0,1)</f>
        <v/>
      </c>
      <c r="NZ28">
        <f>IF($DA$28="",FALSE,SUMPRODUCT(('Final Calculation Sheet'!$S$4:$S$40=$DA$28)*($NY$6:$NY$42=1))&gt;0)</f>
        <v/>
      </c>
      <c r="OA28">
        <f>$OA$27+--($NZ28)</f>
        <v/>
      </c>
      <c r="OB28">
        <f>IF(ROW()-3&gt;MAX($OA$4:$OA$40),"",INDEX($DA$4:$DA$40,MATCH(ROW()-3,$OA$4:$OA$40,0)))</f>
        <v/>
      </c>
      <c r="OC28">
        <f>IF(COUNTIF('Buyer Groups'!DG81:DY81,0)+COUNTIF('Buyer Groups'!EA81:EN81,0)&gt;0,0,1)</f>
        <v/>
      </c>
      <c r="OD28">
        <f>IF($DF$28="",FALSE,SUMPRODUCT(('Final Calculation Sheet'!$T$4:$T$40=$DF$28)*($OC$6:$OC$42=1))&gt;0)</f>
        <v/>
      </c>
      <c r="OE28">
        <f>$OE$27+--($OD28)</f>
        <v/>
      </c>
      <c r="OF28">
        <f>IF(ROW()-3&gt;MAX($OE$4:$OE$40),"",INDEX($DF$4:$DF$40,MATCH(ROW()-3,$OE$4:$OE$40,0)))</f>
        <v/>
      </c>
      <c r="OG28">
        <f>IF(COUNTIF('Buyer Groups'!DG81:DZ81,0)+COUNTIF('Buyer Groups'!EB81:EN81,0)&gt;0,0,1)</f>
        <v/>
      </c>
      <c r="OH28">
        <f>IF($DK$28="",FALSE,SUMPRODUCT(('Final Calculation Sheet'!$U$4:$U$40=$DK$28)*($OG$6:$OG$42=1))&gt;0)</f>
        <v/>
      </c>
      <c r="OI28">
        <f>$OI$27+--($OH28)</f>
        <v/>
      </c>
      <c r="OJ28">
        <f>IF(ROW()-3&gt;MAX($OI$4:$OI$40),"",INDEX($DK$4:$DK$40,MATCH(ROW()-3,$OI$4:$OI$40,0)))</f>
        <v/>
      </c>
      <c r="OK28">
        <f>IF(COUNTIF('Buyer Groups'!DG81:EA81,0)+COUNTIF('Buyer Groups'!EC81:EN81,0)&gt;0,0,1)</f>
        <v/>
      </c>
      <c r="OL28">
        <f>IF($DP$28="",FALSE,SUMPRODUCT(('Final Calculation Sheet'!$V$4:$V$40=$DP$28)*($OK$6:$OK$42=1))&gt;0)</f>
        <v/>
      </c>
      <c r="OM28">
        <f>$OM$27+--($OL28)</f>
        <v/>
      </c>
      <c r="ON28">
        <f>IF(ROW()-3&gt;MAX($OM$4:$OM$40),"",INDEX($DP$4:$DP$40,MATCH(ROW()-3,$OM$4:$OM$40,0)))</f>
        <v/>
      </c>
      <c r="OO28">
        <f>IF(COUNTIF('Buyer Groups'!DG81:EB81,0)+COUNTIF('Buyer Groups'!ED81:EN81,0)&gt;0,0,1)</f>
        <v/>
      </c>
      <c r="OP28">
        <f>IF($DU$28="",FALSE,SUMPRODUCT(('Final Calculation Sheet'!$W$4:$W$40=$DU$28)*($OO$6:$OO$42=1))&gt;0)</f>
        <v/>
      </c>
      <c r="OQ28">
        <f>$OQ$27+--($OP28)</f>
        <v/>
      </c>
      <c r="OR28">
        <f>IF(ROW()-3&gt;MAX($OQ$4:$OQ$40),"",INDEX($DU$4:$DU$40,MATCH(ROW()-3,$OQ$4:$OQ$40,0)))</f>
        <v/>
      </c>
      <c r="OS28">
        <f>IF(COUNTIF('Buyer Groups'!DG81:EC81,0)+COUNTIF('Buyer Groups'!EE81:EN81,0)&gt;0,0,1)</f>
        <v/>
      </c>
      <c r="OT28">
        <f>IF($DZ$28="",FALSE,SUMPRODUCT(('Final Calculation Sheet'!$X$4:$X$40=$DZ$28)*($OS$6:$OS$42=1))&gt;0)</f>
        <v/>
      </c>
      <c r="OU28">
        <f>$OU$27+--($OT28)</f>
        <v/>
      </c>
      <c r="OV28">
        <f>IF(ROW()-3&gt;MAX($OU$4:$OU$40),"",INDEX($DZ$4:$DZ$40,MATCH(ROW()-3,$OU$4:$OU$40,0)))</f>
        <v/>
      </c>
      <c r="OW28">
        <f>IF(COUNTIF('Buyer Groups'!DG81:ED81,0)+COUNTIF('Buyer Groups'!EF81:EN81,0)&gt;0,0,1)</f>
        <v/>
      </c>
      <c r="OX28">
        <f>IF($EE$28="",FALSE,SUMPRODUCT(('Final Calculation Sheet'!$Y$4:$Y$40=$EE$28)*($OW$6:$OW$42=1))&gt;0)</f>
        <v/>
      </c>
      <c r="OY28">
        <f>$OY$27+--($OX28)</f>
        <v/>
      </c>
      <c r="OZ28">
        <f>IF(ROW()-3&gt;MAX($OY$4:$OY$40),"",INDEX($EE$4:$EE$40,MATCH(ROW()-3,$OY$4:$OY$40,0)))</f>
        <v/>
      </c>
      <c r="PA28">
        <f>IF(COUNTIF('Buyer Groups'!DG81:EE81,0)+COUNTIF('Buyer Groups'!EG81:EN81,0)&gt;0,0,1)</f>
        <v/>
      </c>
      <c r="PB28">
        <f>IF($EJ$28="",FALSE,SUMPRODUCT(('Final Calculation Sheet'!$Z$4:$Z$40=$EJ$28)*($PA$6:$PA$42=1))&gt;0)</f>
        <v/>
      </c>
      <c r="PC28">
        <f>$PC$27+--($PB28)</f>
        <v/>
      </c>
      <c r="PD28">
        <f>IF(ROW()-3&gt;MAX($PC$4:$PC$40),"",INDEX($EJ$4:$EJ$40,MATCH(ROW()-3,$PC$4:$PC$40,0)))</f>
        <v/>
      </c>
      <c r="PE28">
        <f>IF(COUNTIF('Buyer Groups'!DG81:EF81,0)+COUNTIF('Buyer Groups'!EH81:EN81,0)&gt;0,0,1)</f>
        <v/>
      </c>
      <c r="PF28">
        <f>IF($EO$28="",FALSE,SUMPRODUCT(('Final Calculation Sheet'!$AA$4:$AA$40=$EO$28)*($PE$6:$PE$42=1))&gt;0)</f>
        <v/>
      </c>
      <c r="PG28">
        <f>$PG$27+--($PF28)</f>
        <v/>
      </c>
      <c r="PH28">
        <f>IF(ROW()-3&gt;MAX($PG$4:$PG$40),"",INDEX($EO$4:$EO$40,MATCH(ROW()-3,$PG$4:$PG$40,0)))</f>
        <v/>
      </c>
      <c r="PI28">
        <f>IF(COUNTIF('Buyer Groups'!DG81:EG81,0)+COUNTIF('Buyer Groups'!EI81:EN81,0)&gt;0,0,1)</f>
        <v/>
      </c>
      <c r="PJ28">
        <f>IF($ET$28="",FALSE,SUMPRODUCT(('Final Calculation Sheet'!$AB$4:$AB$40=$ET$28)*($PI$6:$PI$42=1))&gt;0)</f>
        <v/>
      </c>
      <c r="PK28">
        <f>$PK$27+--($PJ28)</f>
        <v/>
      </c>
      <c r="PL28">
        <f>IF(ROW()-3&gt;MAX($PK$4:$PK$40),"",INDEX($ET$4:$ET$40,MATCH(ROW()-3,$PK$4:$PK$40,0)))</f>
        <v/>
      </c>
      <c r="PM28">
        <f>IF(COUNTIF('Buyer Groups'!DG81:EH81,0)+COUNTIF('Buyer Groups'!EJ81:EN81,0)&gt;0,0,1)</f>
        <v/>
      </c>
      <c r="PN28">
        <f>IF($EY$28="",FALSE,SUMPRODUCT(('Final Calculation Sheet'!$AC$4:$AC$40=$EY$28)*($PM$6:$PM$42=1))&gt;0)</f>
        <v/>
      </c>
      <c r="PO28">
        <f>$PO$27+--($PN28)</f>
        <v/>
      </c>
      <c r="PP28">
        <f>IF(ROW()-3&gt;MAX($PO$4:$PO$40),"",INDEX($EY$4:$EY$40,MATCH(ROW()-3,$PO$4:$PO$40,0)))</f>
        <v/>
      </c>
      <c r="PQ28">
        <f>IF(COUNTIF('Buyer Groups'!DG81:EI81,0)+COUNTIF('Buyer Groups'!EK81:EN81,0)&gt;0,0,1)</f>
        <v/>
      </c>
      <c r="PR28">
        <f>IF($FD$28="",FALSE,SUMPRODUCT(('Final Calculation Sheet'!$AD$4:$AD$40=$FD$28)*($PQ$6:$PQ$42=1))&gt;0)</f>
        <v/>
      </c>
      <c r="PS28">
        <f>$PS$27+--($PR28)</f>
        <v/>
      </c>
      <c r="PT28">
        <f>IF(ROW()-3&gt;MAX($PS$4:$PS$40),"",INDEX($FD$4:$FD$40,MATCH(ROW()-3,$PS$4:$PS$40,0)))</f>
        <v/>
      </c>
      <c r="PU28">
        <f>IF(COUNTIF('Buyer Groups'!DG81:EJ81,0)+COUNTIF('Buyer Groups'!EL81:EN81,0)&gt;0,0,1)</f>
        <v/>
      </c>
      <c r="PV28">
        <f>IF($FX$28="",FALSE,SUMPRODUCT((IF('Final Calculation Sheet'!$AD$4:$AD$40&lt;=5,"SETTLED","OUTSTANDING")=$FX$28)*($PU$6:$PU$42=1))&gt;0)</f>
        <v/>
      </c>
      <c r="PW28">
        <f>$PW$27+--($PV28)</f>
        <v/>
      </c>
      <c r="PX28">
        <f>IF(ROW()-3&gt;MAX($PW$4:$PW$40),"",INDEX($FX$4:$FX$40,MATCH(ROW()-3,$PW$4:$PW$40,0)))</f>
        <v/>
      </c>
      <c r="PY28">
        <f>IF(COUNTIF('Buyer Groups'!DG81:EK81,0)+COUNTIF('Buyer Groups'!EM81:EN81,0)&gt;0,0,1)</f>
        <v/>
      </c>
      <c r="PZ28">
        <f>IF($FI$28="",FALSE,SUMPRODUCT(('Final Calculation Sheet'!$AF$4:$AF$40=$FI$28)*($PY$6:$PY$42=1))&gt;0)</f>
        <v/>
      </c>
      <c r="QA28">
        <f>$QA$27+--($PZ28)</f>
        <v/>
      </c>
      <c r="QB28">
        <f>IF(ROW()-3&gt;MAX($QA$4:$QA$40),"",INDEX($FI$4:$FI$40,MATCH(ROW()-3,$QA$4:$QA$40,0)))</f>
        <v/>
      </c>
      <c r="QC28">
        <f>IF(COUNTIF('Buyer Groups'!DG81:EL81,0)+COUNTIF('Buyer Groups'!EN81:EN81,0)&gt;0,0,1)</f>
        <v/>
      </c>
      <c r="QD28">
        <f>IF($FN$28="",FALSE,SUMPRODUCT(('Final Calculation Sheet'!$AG$4:$AG$40=$FN$28)*($QC$6:$QC$42=1))&gt;0)</f>
        <v/>
      </c>
      <c r="QE28">
        <f>$QE$27+--($QD28)</f>
        <v/>
      </c>
      <c r="QF28">
        <f>IF(ROW()-3&gt;MAX($QE$4:$QE$40),"",INDEX($FN$4:$FN$40,MATCH(ROW()-3,$QE$4:$QE$40,0)))</f>
        <v/>
      </c>
      <c r="QG28">
        <f>IF(COUNTIF('Buyer Groups'!DG81:EM81,0)&gt;0,0,1)</f>
        <v/>
      </c>
      <c r="QH28">
        <f>IF($FS$28="",FALSE,SUMPRODUCT(('Final Calculation Sheet'!$AH$4:$AH$40=$FS$28)*($QG$6:$QG$42=1))&gt;0)</f>
        <v/>
      </c>
      <c r="QI28">
        <f>$QI$27+--($QH28)</f>
        <v/>
      </c>
      <c r="QJ28">
        <f>IF(ROW()-3&gt;MAX($QI$4:$QI$40),"",INDEX($FS$4:$FS$40,MATCH(ROW()-3,$QI$4:$QI$40,0)))</f>
        <v/>
      </c>
      <c r="QK28" t="str">
        <f>IF('Final Calculation Sheet'!$AH$28="","",'Final Calculation Sheet'!$AH$28)</f>
      </c>
      <c r="QL28" t="str">
        <f>IF(QK28="","",COUNTIFS(QK$4:QK$40,"&lt;"&amp;QK28,QK$4:QK$40,"&lt;&gt;"&amp;"")+COUNTIF(QK$4:QK28,QK28))</f>
      </c>
      <c r="QM28" t="str">
        <f>IF(ROW()-3&gt;COUNTIF(QK$4:QK$40,"&lt;&gt;"&amp;""),"",INDEX(QK$4:QK$40,MATCH(ROW()-3,QL$4:QL$40,0)))</f>
      </c>
      <c r="QN28" t="str">
        <f>=QN27+F(AND(QM28&lt;&gt;"",COUNTIF(QM$4:QM28,QM28)=1),1,0)</f>
      </c>
      <c r="QO28" t="str">
        <f>IF(ROW()-3&gt;MAX(QN$4:QN$40),"",INDEX(QM$4:QM$40,MATCH(ROW()-3,QN$4:QN$40,0)))</f>
      </c>
      <c r="QP28" t="str">
        <f>IF(COUNTIF('Final Calculation Sheet'!$AM28:$BS28,0)&gt;0,0,1)</f>
      </c>
      <c r="QQ28" t="str">
        <f>IF($AI$28="",FALSE,SUMPRODUCT(('Final Calculation Sheet'!$A$4:$A$40=$AI$28)*($QP$4:$QP$40=1))&gt;0)</f>
      </c>
      <c r="QR28" t="str">
        <f>=$QR27+--($QQ28)</f>
      </c>
      <c r="QS28" t="str">
        <f>IF(ROW()-3&gt;MAX($QR$4:$QR$40),"",INDEX($AI$4:$AI$40,MATCH(ROW()-3,$QR$4:$QR$40,0)))</f>
      </c>
      <c r="QT28" t="str">
        <f>IF(COUNTIF('Final Calculation Sheet'!$AL28:$AL28,0)+COUNTIF('Final Calculation Sheet'!$AN28:$BS28,0)&gt;0,0,1)</f>
      </c>
      <c r="QU28" t="str">
        <f>IF($Y$28="",FALSE,SUMPRODUCT(('Final Calculation Sheet'!$B$4:$B$40=$Y$28)*($QT$4:$QT$40=1))&gt;0)</f>
      </c>
      <c r="QV28" t="str">
        <f>=$QV27+--($QU28)</f>
      </c>
      <c r="QW28" t="str">
        <f>IF(ROW()-3&gt;MAX($QV$4:$QV$40),"",INDEX($Y$4:$Y$40,MATCH(ROW()-3,$QV$4:$QV$40,0)))</f>
      </c>
      <c r="QX28" t="str">
        <f>IF(COUNTIF('Final Calculation Sheet'!$AL28:$AM28,0)+COUNTIF('Final Calculation Sheet'!$AO28:$BS28,0)&gt;0,0,1)</f>
      </c>
      <c r="QY28" t="str">
        <f>IF($AS$28="",FALSE,SUMPRODUCT(('Final Calculation Sheet'!$C$4:$C$40=$AS$28)*($QX$4:$QX$40=1))&gt;0)</f>
      </c>
      <c r="QZ28" t="str">
        <f>=$QZ27+--($QY28)</f>
      </c>
      <c r="RA28" t="str">
        <f>IF(ROW()-3&gt;MAX($QZ$4:$QZ$40),"",INDEX($AS$4:$AS$40,MATCH(ROW()-3,$QZ$4:$QZ$40,0)))</f>
      </c>
      <c r="RB28" t="str">
        <f>IF(COUNTIF('Final Calculation Sheet'!$AL28:$AN28,0)+COUNTIF('Final Calculation Sheet'!$AP28:$BS28,0)&gt;0,0,1)</f>
      </c>
      <c r="RC28" t="str">
        <f>IF($AD$28="",FALSE,SUMPRODUCT(('Final Calculation Sheet'!$D$4:$D$40=$AD$28)*($RB$4:$RB$40=1))&gt;0)</f>
      </c>
      <c r="RD28" t="str">
        <f>=$RD27+--($RC28)</f>
      </c>
      <c r="RE28" t="str">
        <f>IF(ROW()-3&gt;MAX($RD$4:$RD$40),"",INDEX($AD$4:$AD$40,MATCH(ROW()-3,$RD$4:$RD$40,0)))</f>
      </c>
      <c r="RF28" t="str">
        <f>IF(COUNTIF('Final Calculation Sheet'!$AL28:$AO28,0)+COUNTIF('Final Calculation Sheet'!$AQ28:$BS28,0)&gt;0,0,1)</f>
      </c>
      <c r="RG28" t="str">
        <f>IF($AN$28="",FALSE,SUMPRODUCT(('Final Calculation Sheet'!$E$4:$E$40=$AN$28)*($RF$4:$RF$40=1))&gt;0)</f>
      </c>
      <c r="RH28" t="str">
        <f>=$RH27+--($RG28)</f>
      </c>
      <c r="RI28" t="str">
        <f>IF(ROW()-3&gt;MAX($RH$4:$RH$40),"",INDEX($AN$4:$AN$40,MATCH(ROW()-3,$RH$4:$RH$40,0)))</f>
      </c>
      <c r="RJ28" t="str">
        <f>IF(COUNTIF('Final Calculation Sheet'!$AL28:$AP28,0)+COUNTIF('Final Calculation Sheet'!$AR28:$BS28,0)&gt;0,0,1)</f>
      </c>
      <c r="RK28" t="str">
        <f>IF($O$28="",FALSE,SUMPRODUCT(('Final Calculation Sheet'!$F$4:$F$40=$O$28)*($RJ$4:$RJ$40=1))&gt;0)</f>
      </c>
      <c r="RL28" t="str">
        <f>=$RL27+--($RK28)</f>
      </c>
      <c r="RM28" t="str">
        <f>IF(ROW()-3&gt;MAX($RL$4:$RL$40),"",INDEX($O$4:$O$40,MATCH(ROW()-3,$RL$4:$RL$40,0)))</f>
      </c>
      <c r="RN28" t="str">
        <f>IF(COUNTIF('Final Calculation Sheet'!$AL28:$AQ28,0)+COUNTIF('Final Calculation Sheet'!$AS28:$BS28,0)&gt;0,0,1)</f>
      </c>
      <c r="RO28" t="str">
        <f>IF($T$28="",FALSE,SUMPRODUCT(('Final Calculation Sheet'!$G$4:$G$40=$T$28)*($RN$4:$RN$40=1))&gt;0)</f>
      </c>
      <c r="RP28" t="str">
        <f>=$RP27+--($RO28)</f>
      </c>
      <c r="RQ28" t="str">
        <f>IF(ROW()-3&gt;MAX($RP$4:$RP$40),"",INDEX($T$4:$T$40,MATCH(ROW()-3,$RP$4:$RP$40,0)))</f>
      </c>
      <c r="RR28" t="str">
        <f>IF(COUNTIF('Final Calculation Sheet'!$AL28:$AR28,0)+COUNTIF('Final Calculation Sheet'!$AT28:$BS28,0)&gt;0,0,1)</f>
      </c>
      <c r="RS28" t="str">
        <f>IF($AX$28="",FALSE,SUMPRODUCT(('Final Calculation Sheet'!$H$4:$H$40=$AX$28)*($RR$4:$RR$40=1))&gt;0)</f>
      </c>
      <c r="RT28" t="str">
        <f>=$RT27+--($RS28)</f>
      </c>
      <c r="RU28" t="str">
        <f>IF(ROW()-3&gt;MAX($RT$4:$RT$40),"",INDEX($AX$4:$AX$40,MATCH(ROW()-3,$RT$4:$RT$40,0)))</f>
      </c>
      <c r="RV28" t="str">
        <f>IF(COUNTIF('Final Calculation Sheet'!$AL28:$AS28,0)+COUNTIF('Final Calculation Sheet'!$AU28:$BS28,0)&gt;0,0,1)</f>
      </c>
      <c r="RW28" t="str">
        <f>IF($BC$28="",FALSE,SUMPRODUCT(('Final Calculation Sheet'!$I$4:$I$40=$BC$28)*($RV$4:$RV$40=1))&gt;0)</f>
      </c>
      <c r="RX28" t="str">
        <f>=$RX27+--($RW28)</f>
      </c>
      <c r="RY28" t="str">
        <f>IF(ROW()-3&gt;MAX($RX$4:$RX$40),"",INDEX($BC$4:$BC$40,MATCH(ROW()-3,$RX$4:$RX$40,0)))</f>
      </c>
      <c r="RZ28" t="str">
        <f>IF(COUNTIF('Final Calculation Sheet'!$AL28:$AT28,0)+COUNTIF('Final Calculation Sheet'!$AV28:$BS28,0)&gt;0,0,1)</f>
      </c>
      <c r="SA28" t="str">
        <f>IF($BH$28="",FALSE,SUMPRODUCT(('Final Calculation Sheet'!$J$4:$J$40=$BH$28)*($RZ$4:$RZ$40=1))&gt;0)</f>
      </c>
      <c r="SB28" t="str">
        <f>=$SB27+--($SA28)</f>
      </c>
      <c r="SC28" t="str">
        <f>IF(ROW()-3&gt;MAX($SB$4:$SB$40),"",INDEX($BH$4:$BH$40,MATCH(ROW()-3,$SB$4:$SB$40,0)))</f>
      </c>
      <c r="SD28" t="str">
        <f>IF(COUNTIF('Final Calculation Sheet'!$AL28:$AU28,0)+COUNTIF('Final Calculation Sheet'!$AW28:$BS28,0)&gt;0,0,1)</f>
      </c>
      <c r="SE28" t="str">
        <f>IF($BM$28="",FALSE,SUMPRODUCT(('Final Calculation Sheet'!$K$4:$K$40=$BM$28)*($SD$4:$SD$40=1))&gt;0)</f>
      </c>
      <c r="SF28" t="str">
        <f>=$SF27+--($SE28)</f>
      </c>
      <c r="SG28" t="str">
        <f>IF(ROW()-3&gt;MAX($SF$4:$SF$40),"",INDEX($BM$4:$BM$40,MATCH(ROW()-3,$SF$4:$SF$40,0)))</f>
      </c>
      <c r="SH28" t="str">
        <f>IF(COUNTIF('Final Calculation Sheet'!$AL28:$AV28,0)+COUNTIF('Final Calculation Sheet'!$AX28:$BS28,0)&gt;0,0,1)</f>
      </c>
      <c r="SI28" t="str">
        <f>IF($BR$28="",FALSE,SUMPRODUCT(('Final Calculation Sheet'!$L$4:$L$40=$BR$28)*($SH$4:$SH$40=1))&gt;0)</f>
      </c>
      <c r="SJ28" t="str">
        <f>=$SJ27+--($SI28)</f>
      </c>
      <c r="SK28" t="str">
        <f>IF(ROW()-3&gt;MAX($SJ$4:$SJ$40),"",INDEX($BR$4:$BR$40,MATCH(ROW()-3,$SJ$4:$SJ$40,0)))</f>
      </c>
      <c r="SL28" t="str">
        <f>IF(COUNTIF('Final Calculation Sheet'!$AL28:$AW28,0)+COUNTIF('Final Calculation Sheet'!$AY28:$BS28,0)&gt;0,0,1)</f>
      </c>
      <c r="SM28" t="str">
        <f>IF($BW$28="",FALSE,SUMPRODUCT(('Final Calculation Sheet'!$M$4:$M$40=$BW$28)*($SL$4:$SL$40=1))&gt;0)</f>
      </c>
      <c r="SN28" t="str">
        <f>=$SN27+--($SM28)</f>
      </c>
      <c r="SO28" t="str">
        <f>IF(ROW()-3&gt;MAX($SN$4:$SN$40),"",INDEX($BW$4:$BW$40,MATCH(ROW()-3,$SN$4:$SN$40,0)))</f>
      </c>
      <c r="SP28" t="str">
        <f>IF(COUNTIF('Final Calculation Sheet'!$AL28:$AX28,0)+COUNTIF('Final Calculation Sheet'!$AZ28:$BS28,0)&gt;0,0,1)</f>
      </c>
      <c r="SQ28" t="str">
        <f>IF($CB$28="",FALSE,SUMPRODUCT(('Final Calculation Sheet'!$N$4:$N$40=$CB$28)*($SP$4:$SP$40=1))&gt;0)</f>
      </c>
      <c r="SR28" t="str">
        <f>=$SR27+--($SQ28)</f>
      </c>
      <c r="SS28" t="str">
        <f>IF(ROW()-3&gt;MAX($SR$4:$SR$40),"",INDEX($CB$4:$CB$40,MATCH(ROW()-3,$SR$4:$SR$40,0)))</f>
      </c>
      <c r="ST28" t="str">
        <f>IF(COUNTIF('Final Calculation Sheet'!$AL28:$AY28,0)+COUNTIF('Final Calculation Sheet'!$BA28:$BS28,0)&gt;0,0,1)</f>
      </c>
      <c r="SU28" t="str">
        <f>IF($CG$28="",FALSE,SUMPRODUCT(('Final Calculation Sheet'!$O$4:$O$40=$CG$28)*($ST$4:$ST$40=1))&gt;0)</f>
      </c>
      <c r="SV28" t="str">
        <f>=$SV27+--($SU28)</f>
      </c>
      <c r="SW28" t="str">
        <f>IF(ROW()-3&gt;MAX($SV$4:$SV$40),"",INDEX($CG$4:$CG$40,MATCH(ROW()-3,$SV$4:$SV$40,0)))</f>
      </c>
      <c r="SX28" t="str">
        <f>IF(COUNTIF('Final Calculation Sheet'!$AL28:$AZ28,0)+COUNTIF('Final Calculation Sheet'!$BB28:$BS28,0)&gt;0,0,1)</f>
      </c>
      <c r="SY28" t="str">
        <f>IF($CL$28="",FALSE,SUMPRODUCT(('Final Calculation Sheet'!$P$4:$P$40=$CL$28)*($SX$4:$SX$40=1))&gt;0)</f>
      </c>
      <c r="SZ28" t="str">
        <f>=$SZ27+--($SY28)</f>
      </c>
      <c r="TA28" t="str">
        <f>IF(ROW()-3&gt;MAX($SZ$4:$SZ$40),"",INDEX($CL$4:$CL$40,MATCH(ROW()-3,$SZ$4:$SZ$40,0)))</f>
      </c>
      <c r="TB28" t="str">
        <f>IF(COUNTIF('Final Calculation Sheet'!$AL28:$BA28,0)+COUNTIF('Final Calculation Sheet'!$BC28:$BS28,0)&gt;0,0,1)</f>
      </c>
      <c r="TC28" t="str">
        <f>IF($CQ$28="",FALSE,SUMPRODUCT(('Final Calculation Sheet'!$Q$4:$Q$40=$CQ$28)*($TB$4:$TB$40=1))&gt;0)</f>
      </c>
      <c r="TD28" t="str">
        <f>=$TD27+--($TC28)</f>
      </c>
      <c r="TE28" t="str">
        <f>IF(ROW()-3&gt;MAX($TD$4:$TD$40),"",INDEX($CQ$4:$CQ$40,MATCH(ROW()-3,$TD$4:$TD$40,0)))</f>
      </c>
      <c r="TF28" t="str">
        <f>IF(COUNTIF('Final Calculation Sheet'!$AL28:$BB28,0)+COUNTIF('Final Calculation Sheet'!$BD28:$BS28,0)&gt;0,0,1)</f>
      </c>
      <c r="TG28" t="str">
        <f>IF($CV$28="",FALSE,SUMPRODUCT(('Final Calculation Sheet'!$R$4:$R$40=$CV$28)*($TF$4:$TF$40=1))&gt;0)</f>
      </c>
      <c r="TH28" t="str">
        <f>=$TH27+--($TG28)</f>
      </c>
      <c r="TI28" t="str">
        <f>IF(ROW()-3&gt;MAX($TH$4:$TH$40),"",INDEX($CV$4:$CV$40,MATCH(ROW()-3,$TH$4:$TH$40,0)))</f>
      </c>
      <c r="TJ28" t="str">
        <f>IF(COUNTIF('Final Calculation Sheet'!$AL28:$BC28,0)+COUNTIF('Final Calculation Sheet'!$BE28:$BS28,0)&gt;0,0,1)</f>
      </c>
      <c r="TK28" t="str">
        <f>IF($DA$28="",FALSE,SUMPRODUCT(('Final Calculation Sheet'!$S$4:$S$40=$DA$28)*($TJ$4:$TJ$40=1))&gt;0)</f>
      </c>
      <c r="TL28" t="str">
        <f>=$TL27+--($TK28)</f>
      </c>
      <c r="TM28" t="str">
        <f>IF(ROW()-3&gt;MAX($TL$4:$TL$40),"",INDEX($DA$4:$DA$40,MATCH(ROW()-3,$TL$4:$TL$40,0)))</f>
      </c>
      <c r="TN28" t="str">
        <f>IF(COUNTIF('Final Calculation Sheet'!$AL28:$BD28,0)+COUNTIF('Final Calculation Sheet'!$BF28:$BS28,0)&gt;0,0,1)</f>
      </c>
      <c r="TO28" t="str">
        <f>IF($DF$28="",FALSE,SUMPRODUCT(('Final Calculation Sheet'!$T$4:$T$40=$DF$28)*($TN$4:$TN$40=1))&gt;0)</f>
      </c>
      <c r="TP28" t="str">
        <f>=$TP27+--($TO28)</f>
      </c>
      <c r="TQ28" t="str">
        <f>IF(ROW()-3&gt;MAX($TP$4:$TP$40),"",INDEX($DF$4:$DF$40,MATCH(ROW()-3,$TP$4:$TP$40,0)))</f>
      </c>
      <c r="TR28" t="str">
        <f>IF(COUNTIF('Final Calculation Sheet'!$AL28:$BE28,0)+COUNTIF('Final Calculation Sheet'!$BG28:$BS28,0)&gt;0,0,1)</f>
      </c>
      <c r="TS28" t="str">
        <f>IF($DK$28="",FALSE,SUMPRODUCT(('Final Calculation Sheet'!$U$4:$U$40=$DK$28)*($TR$4:$TR$40=1))&gt;0)</f>
      </c>
      <c r="TT28" t="str">
        <f>=$TT27+--($TS28)</f>
      </c>
      <c r="TU28" t="str">
        <f>IF(ROW()-3&gt;MAX($TT$4:$TT$40),"",INDEX($DK$4:$DK$40,MATCH(ROW()-3,$TT$4:$TT$40,0)))</f>
      </c>
      <c r="TV28" t="str">
        <f>IF(COUNTIF('Final Calculation Sheet'!$AL28:$BF28,0)+COUNTIF('Final Calculation Sheet'!$BH28:$BS28,0)&gt;0,0,1)</f>
      </c>
      <c r="TW28" t="str">
        <f>IF($DP$28="",FALSE,SUMPRODUCT(('Final Calculation Sheet'!$V$4:$V$40=$DP$28)*($TV$4:$TV$40=1))&gt;0)</f>
      </c>
      <c r="TX28" t="str">
        <f>=$TX27+--($TW28)</f>
      </c>
      <c r="TY28" t="str">
        <f>IF(ROW()-3&gt;MAX($TX$4:$TX$40),"",INDEX($DP$4:$DP$40,MATCH(ROW()-3,$TX$4:$TX$40,0)))</f>
      </c>
      <c r="TZ28" t="str">
        <f>IF(COUNTIF('Final Calculation Sheet'!$AL28:$BG28,0)+COUNTIF('Final Calculation Sheet'!$BI28:$BS28,0)&gt;0,0,1)</f>
      </c>
      <c r="UA28" t="str">
        <f>IF($DU$28="",FALSE,SUMPRODUCT(('Final Calculation Sheet'!$W$4:$W$40=$DU$28)*($TZ$4:$TZ$40=1))&gt;0)</f>
      </c>
      <c r="UB28" t="str">
        <f>=$UB27+--($UA28)</f>
      </c>
      <c r="UC28" t="str">
        <f>IF(ROW()-3&gt;MAX($UB$4:$UB$40),"",INDEX($DU$4:$DU$40,MATCH(ROW()-3,$UB$4:$UB$40,0)))</f>
      </c>
      <c r="UD28" t="str">
        <f>IF(COUNTIF('Final Calculation Sheet'!$AL28:$BH28,0)+COUNTIF('Final Calculation Sheet'!$BJ28:$BS28,0)&gt;0,0,1)</f>
      </c>
      <c r="UE28" t="str">
        <f>IF($DZ$28="",FALSE,SUMPRODUCT(('Final Calculation Sheet'!$X$4:$X$40=$DZ$28)*($UD$4:$UD$40=1))&gt;0)</f>
      </c>
      <c r="UF28" t="str">
        <f>=$UF27+--($UE28)</f>
      </c>
      <c r="UG28" t="str">
        <f>IF(ROW()-3&gt;MAX($UF$4:$UF$40),"",INDEX($DZ$4:$DZ$40,MATCH(ROW()-3,$UF$4:$UF$40,0)))</f>
      </c>
      <c r="UH28" t="str">
        <f>IF(COUNTIF('Final Calculation Sheet'!$AL28:$BI28,0)+COUNTIF('Final Calculation Sheet'!$BK28:$BS28,0)&gt;0,0,1)</f>
      </c>
      <c r="UI28" t="str">
        <f>IF($EE$28="",FALSE,SUMPRODUCT(('Final Calculation Sheet'!$Y$4:$Y$40=$EE$28)*($UH$4:$UH$40=1))&gt;0)</f>
      </c>
      <c r="UJ28" t="str">
        <f>=$UJ27+--($UI28)</f>
      </c>
      <c r="UK28" t="str">
        <f>IF(ROW()-3&gt;MAX($UJ$4:$UJ$40),"",INDEX($EE$4:$EE$40,MATCH(ROW()-3,$UJ$4:$UJ$40,0)))</f>
      </c>
      <c r="UL28" t="str">
        <f>IF(COUNTIF('Final Calculation Sheet'!$AL28:$BJ28,0)+COUNTIF('Final Calculation Sheet'!$BL28:$BS28,0)&gt;0,0,1)</f>
      </c>
      <c r="UM28" t="str">
        <f>IF($EJ$28="",FALSE,SUMPRODUCT(('Final Calculation Sheet'!$Z$4:$Z$40=$EJ$28)*($UL$4:$UL$40=1))&gt;0)</f>
      </c>
      <c r="UN28" t="str">
        <f>=$UN27+--($UM28)</f>
      </c>
      <c r="UO28" t="str">
        <f>IF(ROW()-3&gt;MAX($UN$4:$UN$40),"",INDEX($EJ$4:$EJ$40,MATCH(ROW()-3,$UN$4:$UN$40,0)))</f>
      </c>
      <c r="UP28" t="str">
        <f>IF(COUNTIF('Final Calculation Sheet'!$AL28:$BK28,0)+COUNTIF('Final Calculation Sheet'!$BM28:$BS28,0)&gt;0,0,1)</f>
      </c>
      <c r="UQ28" t="str">
        <f>IF($EO$28="",FALSE,SUMPRODUCT(('Final Calculation Sheet'!$AA$4:$AA$40=$EO$28)*($UP$4:$UP$40=1))&gt;0)</f>
      </c>
      <c r="UR28" t="str">
        <f>=$UR27+--($UQ28)</f>
      </c>
      <c r="US28" t="str">
        <f>IF(ROW()-3&gt;MAX($UR$4:$UR$40),"",INDEX($EO$4:$EO$40,MATCH(ROW()-3,$UR$4:$UR$40,0)))</f>
      </c>
      <c r="UT28" t="str">
        <f>IF(COUNTIF('Final Calculation Sheet'!$AL28:$BL28,0)+COUNTIF('Final Calculation Sheet'!$BN28:$BS28,0)&gt;0,0,1)</f>
      </c>
      <c r="UU28" t="str">
        <f>IF($ET$28="",FALSE,SUMPRODUCT(('Final Calculation Sheet'!$AB$4:$AB$40=$ET$28)*($UT$4:$UT$40=1))&gt;0)</f>
      </c>
      <c r="UV28" t="str">
        <f>=$UV27+--($UU28)</f>
      </c>
      <c r="UW28" t="str">
        <f>IF(ROW()-3&gt;MAX($UV$4:$UV$40),"",INDEX($ET$4:$ET$40,MATCH(ROW()-3,$UV$4:$UV$40,0)))</f>
      </c>
      <c r="UX28" t="str">
        <f>IF(COUNTIF('Final Calculation Sheet'!$AL28:$BM28,0)+COUNTIF('Final Calculation Sheet'!$BO28:$BS28,0)&gt;0,0,1)</f>
      </c>
      <c r="UY28" t="str">
        <f>IF($EY$28="",FALSE,SUMPRODUCT(('Final Calculation Sheet'!$AC$4:$AC$40=$EY$28)*($UX$4:$UX$40=1))&gt;0)</f>
      </c>
      <c r="UZ28" t="str">
        <f>=$UZ27+--($UY28)</f>
      </c>
      <c r="VA28" t="str">
        <f>IF(ROW()-3&gt;MAX($UZ$4:$UZ$40),"",INDEX($EY$4:$EY$40,MATCH(ROW()-3,$UZ$4:$UZ$40,0)))</f>
      </c>
      <c r="VB28" t="str">
        <f>IF(COUNTIF('Final Calculation Sheet'!$AL28:$BN28,0)+COUNTIF('Final Calculation Sheet'!$BP28:$BS28,0)&gt;0,0,1)</f>
      </c>
      <c r="VC28" t="str">
        <f>IF($FD$28="",FALSE,SUMPRODUCT(('Final Calculation Sheet'!$AD$4:$AD$40=$FD$28)*($VB$4:$VB$40=1))&gt;0)</f>
      </c>
      <c r="VD28" t="str">
        <f>=$VD27+--($VC28)</f>
      </c>
      <c r="VE28" t="str">
        <f>IF(ROW()-3&gt;MAX($VD$4:$VD$40),"",INDEX($FD$4:$FD$40,MATCH(ROW()-3,$VD$4:$VD$40,0)))</f>
      </c>
      <c r="VF28" t="str">
        <f>IF(COUNTIF('Final Calculation Sheet'!$AL28:$BO28,0)+COUNTIF('Final Calculation Sheet'!$BQ28:$BS28,0)&gt;0,0,1)</f>
      </c>
      <c r="VG28" t="str">
        <f>IF($FI$28="",FALSE,SUMPRODUCT(('Final Calculation Sheet'!$AE$4:$AE$40=$FI$28)*($VF$4:$VF$40=1))&gt;0)</f>
      </c>
      <c r="VH28" t="str">
        <f>=$VH27+--($VG28)</f>
      </c>
      <c r="VI28" t="str">
        <f>IF(ROW()-3&gt;MAX($VH$4:$VH$40),"",INDEX($FI$4:$FI$40,MATCH(ROW()-3,$VH$4:$VH$40,0)))</f>
      </c>
      <c r="VJ28" t="str">
        <f>IF(COUNTIF('Final Calculation Sheet'!$AL28:$BP28,0)+COUNTIF('Final Calculation Sheet'!$BR28:$BS28,0)&gt;0,0,1)</f>
      </c>
      <c r="VK28" t="str">
        <f>IF($FN$28="",FALSE,SUMPRODUCT(('Final Calculation Sheet'!$AF$4:$AF$40=$FN$28)*($VJ$4:$VJ$40=1))&gt;0)</f>
      </c>
      <c r="VL28" t="str">
        <f>=$VL27+--($VK28)</f>
      </c>
      <c r="VM28" t="str">
        <f>IF(ROW()-3&gt;MAX($VL$4:$VL$40),"",INDEX($FN$4:$FN$40,MATCH(ROW()-3,$VL$4:$VL$40,0)))</f>
      </c>
      <c r="VN28" t="str">
        <f>IF(COUNTIF('Final Calculation Sheet'!$AL28:$BQ28,0)+COUNTIF('Final Calculation Sheet'!$BS28:$BS28,0)&gt;0,0,1)</f>
      </c>
      <c r="VO28" t="str">
        <f>IF($FS$28="",FALSE,SUMPRODUCT(('Final Calculation Sheet'!$AG$4:$AG$40=$FS$28)*($VN$4:$VN$40=1))&gt;0)</f>
      </c>
      <c r="VP28" t="str">
        <f>=$VP27+--($VO28)</f>
      </c>
      <c r="VQ28" t="str">
        <f>IF(ROW()-3&gt;MAX($VP$4:$VP$40),"",INDEX($FS$4:$FS$40,MATCH(ROW()-3,$VP$4:$VP$40,0)))</f>
      </c>
      <c r="VR28" t="str">
        <f>IF(COUNTIF('Final Calculation Sheet'!$AL28:$BR28,0)&gt;0,0,1)</f>
      </c>
      <c r="VS28" t="str">
        <f>IF($QO$28="",FALSE,SUMPRODUCT(('Final Calculation Sheet'!$AH$4:$AH$40=$QO$28)*($VR$4:$VR$40=1))&gt;0)</f>
      </c>
      <c r="VT28" t="str">
        <f>=$VT27+--($VS28)</f>
      </c>
      <c r="VU28" t="str">
        <f>IF(ROW()-3&gt;MAX($VT$4:$VT$40),"",INDEX($QO$4:$QO$40,MATCH(ROW()-3,$VT$4:$VT$40,0)))</f>
      </c>
    </row>
    <row r="29">
      <c r="A29">
        <f>IF('Final Calculation Sheet'!$F$29="","",'Final Calculation Sheet'!$F$29)</f>
        <v/>
      </c>
      <c r="B29">
        <f>IF(A29="","",COUNTIFS(A$4:A$114,"&lt;"&amp;A29,A$4:A$114,"&lt;&gt;"&amp;"")+COUNTIF(A$4:A29,A29))</f>
        <v/>
      </c>
      <c r="C29">
        <f>IF(ROW()-3&gt;COUNTIF(A$4:A$114,"&lt;&gt;"&amp;""),"",INDEX(A$4:A$114,MATCH(ROW()-3,B$4:B$114,0)))</f>
        <v/>
      </c>
      <c r="D29">
        <f>D28+IF(AND(C29&lt;&gt;"",COUNTIF(C$4:C29,C29)=1),1,0)</f>
        <v/>
      </c>
      <c r="E29">
        <f>IF(ROW()-3&gt;MAX(D$4:D$114),"",INDEX(C$4:C$114,MATCH(ROW()-3,D$4:D$114,0)))</f>
        <v/>
      </c>
      <c r="F29">
        <f>ROW()-3</f>
        <v/>
      </c>
      <c r="G29">
        <f>IF(F29="","",COUNTIFS(F$4:F$40,"&lt;"&amp;F29,F$4:F$40,"&lt;&gt;"&amp;"")+COUNTIF(F$4:F29,F29))</f>
        <v/>
      </c>
      <c r="H29">
        <f>IF(ROW()-3&gt;COUNTIF(F$4:F$40,"&lt;&gt;"&amp;""),"",INDEX(F$4:F$40,MATCH(ROW()-3,G$4:G$40,0)))</f>
        <v/>
      </c>
      <c r="I29">
        <f>I28+IF(AND(H29&lt;&gt;"",COUNTIF(H$4:H29,H29)=1),1,0)</f>
        <v/>
      </c>
      <c r="J29">
        <f>IF(ROW()-3&gt;MAX(I$4:I$40),"",INDEX(H$4:H$40,MATCH(ROW()-3,I$4:I$40,0)))</f>
        <v/>
      </c>
      <c r="K29">
        <f>IF('Final Calculation Sheet'!$F$29="","",'Final Calculation Sheet'!$F$29)</f>
        <v/>
      </c>
      <c r="L29">
        <f>IF(K29="","",COUNTIFS(K$4:K$40,"&lt;"&amp;K29,K$4:K$40,"&lt;&gt;"&amp;"")+COUNTIF(K$4:K29,K29))</f>
        <v/>
      </c>
      <c r="M29">
        <f>IF(ROW()-3&gt;COUNTIF(K$4:K$40,"&lt;&gt;"&amp;""),"",INDEX(K$4:K$40,MATCH(ROW()-3,L$4:L$40,0)))</f>
        <v/>
      </c>
      <c r="N29">
        <f>N28+IF(AND(M29&lt;&gt;"",COUNTIF(M$4:M29,M29)=1),1,0)</f>
        <v/>
      </c>
      <c r="O29">
        <f>IF(ROW()-3&gt;MAX(N$4:N$40),"",INDEX(M$4:M$40,MATCH(ROW()-3,N$4:N$40,0)))</f>
        <v/>
      </c>
      <c r="P29">
        <f>IF('Final Calculation Sheet'!$G$29="","",'Final Calculation Sheet'!$G$29)</f>
        <v/>
      </c>
      <c r="Q29">
        <f>IF(P29="","",COUNTIFS(P$4:P$40,"&lt;"&amp;P29,P$4:P$40,"&lt;&gt;"&amp;"")+COUNTIF(P$4:P29,P29))</f>
        <v/>
      </c>
      <c r="R29">
        <f>IF(ROW()-3&gt;COUNTIF(P$4:P$40,"&lt;&gt;"&amp;""),"",INDEX(P$4:P$40,MATCH(ROW()-3,Q$4:Q$40,0)))</f>
        <v/>
      </c>
      <c r="S29">
        <f>S28+IF(AND(R29&lt;&gt;"",COUNTIF(R$4:R29,R29)=1),1,0)</f>
        <v/>
      </c>
      <c r="T29">
        <f>IF(ROW()-3&gt;MAX(S$4:S$40),"",INDEX(R$4:R$40,MATCH(ROW()-3,S$4:S$40,0)))</f>
        <v/>
      </c>
      <c r="U29">
        <f>IF('Final Calculation Sheet'!$B$29="","",'Final Calculation Sheet'!$B$29)</f>
        <v/>
      </c>
      <c r="V29">
        <f>IF(U29="","",COUNTIFS(U$4:U$40,"&lt;"&amp;U29,U$4:U$40,"&lt;&gt;"&amp;"")+COUNTIF(U$4:U29,U29))</f>
        <v/>
      </c>
      <c r="W29">
        <f>IF(ROW()-3&gt;COUNTIF(U$4:U$40,"&lt;&gt;"&amp;""),"",INDEX(U$4:U$40,MATCH(ROW()-3,V$4:V$40,0)))</f>
        <v/>
      </c>
      <c r="X29">
        <f>X28+IF(AND(W29&lt;&gt;"",COUNTIF(W$4:W29,W29)=1),1,0)</f>
        <v/>
      </c>
      <c r="Y29">
        <f>IF(ROW()-3&gt;MAX(X$4:X$40),"",INDEX(W$4:W$40,MATCH(ROW()-3,X$4:X$40,0)))</f>
        <v/>
      </c>
      <c r="Z29">
        <f>IF('Final Calculation Sheet'!$D$29="","",'Final Calculation Sheet'!$D$29)</f>
        <v/>
      </c>
      <c r="AA29">
        <f>IF(Z29="","",COUNTIFS(Z$4:Z$40,"&lt;"&amp;Z29,Z$4:Z$40,"&lt;&gt;"&amp;"")+COUNTIF(Z$4:Z29,Z29))</f>
        <v/>
      </c>
      <c r="AB29">
        <f>IF(ROW()-3&gt;COUNTIF(Z$4:Z$40,"&lt;&gt;"&amp;""),"",INDEX(Z$4:Z$40,MATCH(ROW()-3,AA$4:AA$40,0)))</f>
        <v/>
      </c>
      <c r="AC29">
        <f>AC28+IF(AND(AB29&lt;&gt;"",COUNTIF(AB$4:AB29,AB29)=1),1,0)</f>
        <v/>
      </c>
      <c r="AD29">
        <f>IF(ROW()-3&gt;MAX(AC$4:AC$40),"",INDEX(AB$4:AB$40,MATCH(ROW()-3,AC$4:AC$40,0)))</f>
        <v/>
      </c>
      <c r="AE29">
        <f>IF('Final Calculation Sheet'!$A$29="","",'Final Calculation Sheet'!$A$29)</f>
        <v/>
      </c>
      <c r="AF29">
        <f>IF(AE29="","",COUNTIFS(AE$4:AE$40,"&lt;"&amp;AE29,AE$4:AE$40,"&lt;&gt;"&amp;"")+COUNTIF(AE$4:AE29,AE29))</f>
        <v/>
      </c>
      <c r="AG29">
        <f>IF(ROW()-3&gt;COUNTIF(AE$4:AE$40,"&lt;&gt;"&amp;""),"",INDEX(AE$4:AE$40,MATCH(ROW()-3,AF$4:AF$40,0)))</f>
        <v/>
      </c>
      <c r="AH29">
        <f>AH28+IF(AND(AG29&lt;&gt;"",COUNTIF(AG$4:AG29,AG29)=1),1,0)</f>
        <v/>
      </c>
      <c r="AI29">
        <f>IF(ROW()-3&gt;MAX(AH$4:AH$40),"",INDEX(AG$4:AG$40,MATCH(ROW()-3,AH$4:AH$40,0)))</f>
        <v/>
      </c>
      <c r="AJ29">
        <f>IF('Final Calculation Sheet'!$E$29="","",'Final Calculation Sheet'!$E$29)</f>
        <v/>
      </c>
      <c r="AK29">
        <f>IF(AJ29="","",COUNTIFS(AJ$4:AJ$40,"&lt;"&amp;AJ29,AJ$4:AJ$40,"&lt;&gt;"&amp;"")+COUNTIF(AJ$4:AJ29,AJ29))</f>
        <v/>
      </c>
      <c r="AL29">
        <f>IF(ROW()-3&gt;COUNTIF(AJ$4:AJ$40,"&lt;&gt;"&amp;""),"",INDEX(AJ$4:AJ$40,MATCH(ROW()-3,AK$4:AK$40,0)))</f>
        <v/>
      </c>
      <c r="AM29">
        <f>AM28+IF(AND(AL29&lt;&gt;"",COUNTIF(AL$4:AL29,AL29)=1),1,0)</f>
        <v/>
      </c>
      <c r="AN29">
        <f>IF(ROW()-3&gt;MAX(AM$4:AM$40),"",INDEX(AL$4:AL$40,MATCH(ROW()-3,AM$4:AM$40,0)))</f>
        <v/>
      </c>
      <c r="AO29" s="55">
        <f>IF('Final Calculation Sheet'!$C$29="","",'Final Calculation Sheet'!$C$29)</f>
        <v/>
      </c>
      <c r="AP29">
        <f>IF(AO29="","",COUNTIFS(AO$4:AO$40,"&lt;"&amp;AO29,AO$4:AO$40,"&lt;&gt;"&amp;"")+COUNTIF(AO$4:AO29,AO29))</f>
        <v/>
      </c>
      <c r="AQ29" s="55">
        <f>IF(ROW()-3&gt;COUNTIF(AO$4:AO$40,"&lt;&gt;"&amp;""),"",INDEX(AO$4:AO$40,MATCH(ROW()-3,AP$4:AP$40,0)))</f>
        <v/>
      </c>
      <c r="AR29">
        <f>AR28+IF(AND(AQ29&lt;&gt;"",COUNTIF(AQ$4:AQ29,AQ29)=1),1,0)</f>
        <v/>
      </c>
      <c r="AS29" s="55">
        <f>IF(ROW()-3&gt;MAX(AR$4:AR$40),"",INDEX(AQ$4:AQ$40,MATCH(ROW()-3,AR$4:AR$40,0)))</f>
        <v/>
      </c>
      <c r="AT29" s="55">
        <f>IF('Final Calculation Sheet'!$H$29="","",'Final Calculation Sheet'!$H$29)</f>
        <v/>
      </c>
      <c r="AU29">
        <f>IF(AT29="","",COUNTIFS(AT$4:AT$40,"&lt;"&amp;AT29,AT$4:AT$40,"&lt;&gt;"&amp;"")+COUNTIF(AT$4:AT29,AT29))</f>
        <v/>
      </c>
      <c r="AV29" s="55">
        <f>IF(ROW()-3&gt;COUNTIF(AT$4:AT$40,"&lt;&gt;"&amp;""),"",INDEX(AT$4:AT$40,MATCH(ROW()-3,AU$4:AU$40,0)))</f>
        <v/>
      </c>
      <c r="AW29">
        <f>AW28+IF(AND(AV29&lt;&gt;"",COUNTIF(AV$4:AV29,AV29)=1),1,0)</f>
        <v/>
      </c>
      <c r="AX29" s="55">
        <f>IF(ROW()-3&gt;MAX(AW$4:AW$40),"",INDEX(AV$4:AV$40,MATCH(ROW()-3,AW$4:AW$40,0)))</f>
        <v/>
      </c>
      <c r="AY29" s="55">
        <f>IF('Final Calculation Sheet'!$I$29="","",'Final Calculation Sheet'!$I$29)</f>
        <v/>
      </c>
      <c r="AZ29">
        <f>IF(AY29="","",COUNTIFS(AY$4:AY$40,"&lt;"&amp;AY29,AY$4:AY$40,"&lt;&gt;"&amp;"")+COUNTIF(AY$4:AY29,AY29))</f>
        <v/>
      </c>
      <c r="BA29" s="55">
        <f>IF(ROW()-3&gt;COUNTIF(AY$4:AY$40,"&lt;&gt;"&amp;""),"",INDEX(AY$4:AY$40,MATCH(ROW()-3,AZ$4:AZ$40,0)))</f>
        <v/>
      </c>
      <c r="BB29">
        <f>BB28+IF(AND(BA29&lt;&gt;"",COUNTIF(BA$4:BA29,BA29)=1),1,0)</f>
        <v/>
      </c>
      <c r="BC29" s="55">
        <f>IF(ROW()-3&gt;MAX(BB$4:BB$40),"",INDEX(BA$4:BA$40,MATCH(ROW()-3,BB$4:BB$40,0)))</f>
        <v/>
      </c>
      <c r="BD29" s="55">
        <f>IF('Final Calculation Sheet'!$J$29="","",'Final Calculation Sheet'!$J$29)</f>
        <v/>
      </c>
      <c r="BE29">
        <f>IF(BD29="","",COUNTIFS(BD$4:BD$40,"&lt;"&amp;BD29,BD$4:BD$40,"&lt;&gt;"&amp;"")+COUNTIF(BD$4:BD29,BD29))</f>
        <v/>
      </c>
      <c r="BF29" s="55">
        <f>IF(ROW()-3&gt;COUNTIF(BD$4:BD$40,"&lt;&gt;"&amp;""),"",INDEX(BD$4:BD$40,MATCH(ROW()-3,BE$4:BE$40,0)))</f>
        <v/>
      </c>
      <c r="BG29">
        <f>BG28+IF(AND(BF29&lt;&gt;"",COUNTIF(BF$4:BF29,BF29)=1),1,0)</f>
        <v/>
      </c>
      <c r="BH29" s="55">
        <f>IF(ROW()-3&gt;MAX(BG$4:BG$40),"",INDEX(BF$4:BF$40,MATCH(ROW()-3,BG$4:BG$40,0)))</f>
        <v/>
      </c>
      <c r="BI29" s="55">
        <f>IF('Final Calculation Sheet'!$K$29="","",'Final Calculation Sheet'!$K$29)</f>
        <v/>
      </c>
      <c r="BJ29">
        <f>IF(BI29="","",COUNTIFS(BI$4:BI$40,"&lt;"&amp;BI29,BI$4:BI$40,"&lt;&gt;"&amp;"")+COUNTIF(BI$4:BI29,BI29))</f>
        <v/>
      </c>
      <c r="BK29" s="55">
        <f>IF(ROW()-3&gt;COUNTIF(BI$4:BI$40,"&lt;&gt;"&amp;""),"",INDEX(BI$4:BI$40,MATCH(ROW()-3,BJ$4:BJ$40,0)))</f>
        <v/>
      </c>
      <c r="BL29">
        <f>BL28+IF(AND(BK29&lt;&gt;"",COUNTIF(BK$4:BK29,BK29)=1),1,0)</f>
        <v/>
      </c>
      <c r="BM29" s="55">
        <f>IF(ROW()-3&gt;MAX(BL$4:BL$40),"",INDEX(BK$4:BK$40,MATCH(ROW()-3,BL$4:BL$40,0)))</f>
        <v/>
      </c>
      <c r="BN29" s="55">
        <f>IF('Final Calculation Sheet'!$L$29="","",'Final Calculation Sheet'!$L$29)</f>
        <v/>
      </c>
      <c r="BO29">
        <f>IF(BN29="","",COUNTIFS(BN$4:BN$40,"&lt;"&amp;BN29,BN$4:BN$40,"&lt;&gt;"&amp;"")+COUNTIF(BN$4:BN29,BN29))</f>
        <v/>
      </c>
      <c r="BP29" s="55">
        <f>IF(ROW()-3&gt;COUNTIF(BN$4:BN$40,"&lt;&gt;"&amp;""),"",INDEX(BN$4:BN$40,MATCH(ROW()-3,BO$4:BO$40,0)))</f>
        <v/>
      </c>
      <c r="BQ29">
        <f>BQ28+IF(AND(BP29&lt;&gt;"",COUNTIF(BP$4:BP29,BP29)=1),1,0)</f>
        <v/>
      </c>
      <c r="BR29" s="55">
        <f>IF(ROW()-3&gt;MAX(BQ$4:BQ$40),"",INDEX(BP$4:BP$40,MATCH(ROW()-3,BQ$4:BQ$40,0)))</f>
        <v/>
      </c>
      <c r="BS29" s="55">
        <f>IF('Final Calculation Sheet'!$M$29="","",'Final Calculation Sheet'!$M$29)</f>
        <v/>
      </c>
      <c r="BT29">
        <f>IF(BS29="","",COUNTIFS(BS$4:BS$40,"&lt;"&amp;BS29,BS$4:BS$40,"&lt;&gt;"&amp;"")+COUNTIF(BS$4:BS29,BS29))</f>
        <v/>
      </c>
      <c r="BU29" s="55">
        <f>IF(ROW()-3&gt;COUNTIF(BS$4:BS$40,"&lt;&gt;"&amp;""),"",INDEX(BS$4:BS$40,MATCH(ROW()-3,BT$4:BT$40,0)))</f>
        <v/>
      </c>
      <c r="BV29">
        <f>BV28+IF(AND(BU29&lt;&gt;"",COUNTIF(BU$4:BU29,BU29)=1),1,0)</f>
        <v/>
      </c>
      <c r="BW29" s="55">
        <f>IF(ROW()-3&gt;MAX(BV$4:BV$40),"",INDEX(BU$4:BU$40,MATCH(ROW()-3,BV$4:BV$40,0)))</f>
        <v/>
      </c>
      <c r="BX29" s="138">
        <f>IF('Final Calculation Sheet'!$N$29="","",'Final Calculation Sheet'!$N$29)</f>
        <v/>
      </c>
      <c r="BY29">
        <f>IF(BX29="","",COUNTIFS(BX$4:BX$40,"&lt;"&amp;BX29,BX$4:BX$40,"&lt;&gt;"&amp;"")+COUNTIF(BX$4:BX29,BX29))</f>
        <v/>
      </c>
      <c r="BZ29" s="138">
        <f>IF(ROW()-3&gt;COUNTIF(BX$4:BX$40,"&lt;&gt;"&amp;""),"",INDEX(BX$4:BX$40,MATCH(ROW()-3,BY$4:BY$40,0)))</f>
        <v/>
      </c>
      <c r="CA29">
        <f>CA28+IF(AND(BZ29&lt;&gt;"",COUNTIF(BZ$4:BZ29,BZ29)=1),1,0)</f>
        <v/>
      </c>
      <c r="CB29" s="138">
        <f>IF(ROW()-3&gt;MAX(CA$4:CA$40),"",INDEX(BZ$4:BZ$40,MATCH(ROW()-3,CA$4:CA$40,0)))</f>
        <v/>
      </c>
      <c r="CC29" s="55">
        <f>IF('Final Calculation Sheet'!$O$29="","",'Final Calculation Sheet'!$O$29)</f>
        <v/>
      </c>
      <c r="CD29">
        <f>IF(CC29="","",COUNTIFS(CC$4:CC$40,"&lt;"&amp;CC29,CC$4:CC$40,"&lt;&gt;"&amp;"")+COUNTIF(CC$4:CC29,CC29))</f>
        <v/>
      </c>
      <c r="CE29" s="55">
        <f>IF(ROW()-3&gt;COUNTIF(CC$4:CC$40,"&lt;&gt;"&amp;""),"",INDEX(CC$4:CC$40,MATCH(ROW()-3,CD$4:CD$40,0)))</f>
        <v/>
      </c>
      <c r="CF29">
        <f>CF28+IF(AND(CE29&lt;&gt;"",COUNTIF(CE$4:CE29,CE29)=1),1,0)</f>
        <v/>
      </c>
      <c r="CG29" s="55">
        <f>IF(ROW()-3&gt;MAX(CF$4:CF$40),"",INDEX(CE$4:CE$40,MATCH(ROW()-3,CF$4:CF$40,0)))</f>
        <v/>
      </c>
      <c r="CH29" s="55">
        <f>IF('Final Calculation Sheet'!$P$29="","",'Final Calculation Sheet'!$P$29)</f>
        <v/>
      </c>
      <c r="CI29">
        <f>IF(CH29="","",COUNTIFS(CH$4:CH$40,"&lt;"&amp;CH29,CH$4:CH$40,"&lt;&gt;"&amp;"")+COUNTIF(CH$4:CH29,CH29))</f>
        <v/>
      </c>
      <c r="CJ29" s="55">
        <f>IF(ROW()-3&gt;COUNTIF(CH$4:CH$40,"&lt;&gt;"&amp;""),"",INDEX(CH$4:CH$40,MATCH(ROW()-3,CI$4:CI$40,0)))</f>
        <v/>
      </c>
      <c r="CK29">
        <f>CK28+IF(AND(CJ29&lt;&gt;"",COUNTIF(CJ$4:CJ29,CJ29)=1),1,0)</f>
        <v/>
      </c>
      <c r="CL29" s="55">
        <f>IF(ROW()-3&gt;MAX(CK$4:CK$40),"",INDEX(CJ$4:CJ$40,MATCH(ROW()-3,CK$4:CK$40,0)))</f>
        <v/>
      </c>
      <c r="CM29" s="139">
        <f>IF('Final Calculation Sheet'!$Q$29="","",'Final Calculation Sheet'!$Q$29)</f>
        <v/>
      </c>
      <c r="CN29">
        <f>IF(CM29="","",COUNTIFS(CM$4:CM$40,"&lt;"&amp;CM29,CM$4:CM$40,"&lt;&gt;"&amp;"")+COUNTIF(CM$4:CM29,CM29))</f>
        <v/>
      </c>
      <c r="CO29" s="139">
        <f>IF(ROW()-3&gt;COUNTIF(CM$4:CM$40,"&lt;&gt;"&amp;""),"",INDEX(CM$4:CM$40,MATCH(ROW()-3,CN$4:CN$40,0)))</f>
        <v/>
      </c>
      <c r="CP29">
        <f>CP28+IF(AND(CO29&lt;&gt;"",COUNTIF(CO$4:CO29,CO29)=1),1,0)</f>
        <v/>
      </c>
      <c r="CQ29">
        <f>IF(ROW()-3&gt;MAX(CP$4:CP$40),"",INDEX(CO$4:CO$40,MATCH(ROW()-3,CP$4:CP$40,0)))</f>
        <v/>
      </c>
      <c r="CR29" s="55">
        <f>IF('Final Calculation Sheet'!$R$29="","",'Final Calculation Sheet'!$R$29)</f>
        <v/>
      </c>
      <c r="CS29">
        <f>IF(CR29="","",COUNTIFS(CR$4:CR$40,"&lt;"&amp;CR29,CR$4:CR$40,"&lt;&gt;"&amp;"")+COUNTIF(CR$4:CR29,CR29))</f>
        <v/>
      </c>
      <c r="CT29" s="55">
        <f>IF(ROW()-3&gt;COUNTIF(CR$4:CR$40,"&lt;&gt;"&amp;""),"",INDEX(CR$4:CR$40,MATCH(ROW()-3,CS$4:CS$40,0)))</f>
        <v/>
      </c>
      <c r="CU29">
        <f>CU28+IF(AND(CT29&lt;&gt;"",COUNTIF(CT$4:CT29,CT29)=1),1,0)</f>
        <v/>
      </c>
      <c r="CV29">
        <f>IF(ROW()-3&gt;MAX(CU$4:CU$40),"",INDEX(CT$4:CT$40,MATCH(ROW()-3,CU$4:CU$40,0)))</f>
        <v/>
      </c>
      <c r="CW29" s="55">
        <f>IF('Final Calculation Sheet'!$S$29="","",'Final Calculation Sheet'!$S$29)</f>
        <v/>
      </c>
      <c r="CX29">
        <f>IF(CW29="","",COUNTIFS(CW$4:CW$40,"&lt;"&amp;CW29,CW$4:CW$40,"&lt;&gt;"&amp;"")+COUNTIF(CW$4:CW29,CW29))</f>
        <v/>
      </c>
      <c r="CY29" s="55">
        <f>IF(ROW()-3&gt;COUNTIF(CW$4:CW$40,"&lt;&gt;"&amp;""),"",INDEX(CW$4:CW$40,MATCH(ROW()-3,CX$4:CX$40,0)))</f>
        <v/>
      </c>
      <c r="CZ29">
        <f>CZ28+IF(AND(CY29&lt;&gt;"",COUNTIF(CY$4:CY29,CY29)=1),1,0)</f>
        <v/>
      </c>
      <c r="DA29" s="55">
        <f>IF(ROW()-3&gt;MAX(CZ$4:CZ$40),"",INDEX(CY$4:CY$40,MATCH(ROW()-3,CZ$4:CZ$40,0)))</f>
        <v/>
      </c>
      <c r="DB29" s="55">
        <f>IF('Final Calculation Sheet'!$T$29="","",'Final Calculation Sheet'!$T$29)</f>
        <v/>
      </c>
      <c r="DC29">
        <f>IF(DB29="","",COUNTIFS(DB$4:DB$40,"&lt;"&amp;DB29,DB$4:DB$40,"&lt;&gt;"&amp;"")+COUNTIF(DB$4:DB29,DB29))</f>
        <v/>
      </c>
      <c r="DD29" s="55">
        <f>IF(ROW()-3&gt;COUNTIF(DB$4:DB$40,"&lt;&gt;"&amp;""),"",INDEX(DB$4:DB$40,MATCH(ROW()-3,DC$4:DC$40,0)))</f>
        <v/>
      </c>
      <c r="DE29">
        <f>DE28+IF(AND(DD29&lt;&gt;"",COUNTIF(DD$4:DD29,DD29)=1),1,0)</f>
        <v/>
      </c>
      <c r="DF29" s="55">
        <f>IF(ROW()-3&gt;MAX(DE$4:DE$40),"",INDEX(DD$4:DD$40,MATCH(ROW()-3,DE$4:DE$40,0)))</f>
        <v/>
      </c>
      <c r="DG29" s="140">
        <f>IF('Final Calculation Sheet'!$U$29="","",'Final Calculation Sheet'!$U$29)</f>
        <v/>
      </c>
      <c r="DH29">
        <f>IF(DG29="","",COUNTIFS(DG$4:DG$40,"&lt;"&amp;DG29,DG$4:DG$40,"&lt;&gt;"&amp;"")+COUNTIF(DG$4:DG29,DG29))</f>
        <v/>
      </c>
      <c r="DI29" s="140">
        <f>IF(ROW()-3&gt;COUNTIF(DG$4:DG$40,"&lt;&gt;"&amp;""),"",INDEX(DG$4:DG$40,MATCH(ROW()-3,DH$4:DH$40,0)))</f>
        <v/>
      </c>
      <c r="DJ29">
        <f>DJ28+IF(AND(DI29&lt;&gt;"",COUNTIF(DI$4:DI29,DI29)=1),1,0)</f>
        <v/>
      </c>
      <c r="DK29" s="140">
        <f>IF(ROW()-3&gt;MAX(DJ$4:DJ$40),"",INDEX(DI$4:DI$40,MATCH(ROW()-3,DJ$4:DJ$40,0)))</f>
        <v/>
      </c>
      <c r="DL29">
        <f>IF('Final Calculation Sheet'!$V$29="","",'Final Calculation Sheet'!$V$29)</f>
        <v/>
      </c>
      <c r="DM29">
        <f>IF(DL29="","",COUNTIFS(DL$4:DL$40,"&lt;"&amp;DL29,DL$4:DL$40,"&lt;&gt;"&amp;"")+COUNTIF(DL$4:DL29,DL29))</f>
        <v/>
      </c>
      <c r="DN29">
        <f>IF(ROW()-3&gt;COUNTIF(DL$4:DL$40,"&lt;&gt;"&amp;""),"",INDEX(DL$4:DL$40,MATCH(ROW()-3,DM$4:DM$40,0)))</f>
        <v/>
      </c>
      <c r="DO29">
        <f>DO28+IF(AND(DN29&lt;&gt;"",COUNTIF(DN$4:DN29,DN29)=1),1,0)</f>
        <v/>
      </c>
      <c r="DP29">
        <f>IF(ROW()-3&gt;MAX(DO$4:DO$40),"",INDEX(DN$4:DN$40,MATCH(ROW()-3,DO$4:DO$40,0)))</f>
        <v/>
      </c>
      <c r="DQ29" s="55">
        <f>IF('Final Calculation Sheet'!$W$29="","",'Final Calculation Sheet'!$W$29)</f>
        <v/>
      </c>
      <c r="DR29">
        <f>IF(DQ29="","",COUNTIFS(DQ$4:DQ$40,"&lt;"&amp;DQ29,DQ$4:DQ$40,"&lt;&gt;"&amp;"")+COUNTIF(DQ$4:DQ29,DQ29))</f>
        <v/>
      </c>
      <c r="DS29" s="55">
        <f>IF(ROW()-3&gt;COUNTIF(DQ$4:DQ$40,"&lt;&gt;"&amp;""),"",INDEX(DQ$4:DQ$40,MATCH(ROW()-3,DR$4:DR$40,0)))</f>
        <v/>
      </c>
      <c r="DT29">
        <f>DT28+IF(AND(DS29&lt;&gt;"",COUNTIF(DS$4:DS29,DS29)=1),1,0)</f>
        <v/>
      </c>
      <c r="DU29" s="55">
        <f>IF(ROW()-3&gt;MAX(DT$4:DT$40),"",INDEX(DS$4:DS$40,MATCH(ROW()-3,DT$4:DT$40,0)))</f>
        <v/>
      </c>
      <c r="DV29">
        <f>IF('Final Calculation Sheet'!$X$29="","",'Final Calculation Sheet'!$X$29)</f>
        <v/>
      </c>
      <c r="DW29">
        <f>IF(DV29="","",COUNTIFS(DV$4:DV$40,"&lt;"&amp;DV29,DV$4:DV$40,"&lt;&gt;"&amp;"")+COUNTIF(DV$4:DV29,DV29))</f>
        <v/>
      </c>
      <c r="DX29" s="55">
        <f>IF(ROW()-3&gt;COUNTIF(DV$4:DV$40,"&lt;&gt;"&amp;""),"",INDEX(DV$4:DV$40,MATCH(ROW()-3,DW$4:DW$40,0)))</f>
        <v/>
      </c>
      <c r="DY29">
        <f>DY28+IF(AND(DX29&lt;&gt;"",COUNTIF(DX$4:DX29,DX29)=1),1,0)</f>
        <v/>
      </c>
      <c r="DZ29">
        <f>IF(ROW()-3&gt;MAX(DY$4:DY$40),"",INDEX(DX$4:DX$40,MATCH(ROW()-3,DY$4:DY$40,0)))</f>
        <v/>
      </c>
      <c r="EA29" s="55">
        <f>IF('Final Calculation Sheet'!$Y$29="","",'Final Calculation Sheet'!$Y$29)</f>
        <v/>
      </c>
      <c r="EB29">
        <f>IF(EA29="","",COUNTIFS(EA$4:EA$40,"&lt;"&amp;EA29,EA$4:EA$40,"&lt;&gt;"&amp;"")+COUNTIF(EA$4:EA29,EA29))</f>
        <v/>
      </c>
      <c r="EC29">
        <f>IF(ROW()-3&gt;COUNTIF(EA$4:EA$40,"&lt;&gt;"&amp;""),"",INDEX(EA$4:EA$40,MATCH(ROW()-3,EB$4:EB$40,0)))</f>
        <v/>
      </c>
      <c r="ED29">
        <f>ED28+IF(AND(EC29&lt;&gt;"",COUNTIF(EC$4:EC29,EC29)=1),1,0)</f>
        <v/>
      </c>
      <c r="EE29">
        <f>IF(ROW()-3&gt;MAX(ED$4:ED$40),"",INDEX(EC$4:EC$40,MATCH(ROW()-3,ED$4:ED$40,0)))</f>
        <v/>
      </c>
      <c r="EF29" s="55">
        <f>IF('Final Calculation Sheet'!$Z$29="","",'Final Calculation Sheet'!$Z$29)</f>
        <v/>
      </c>
      <c r="EG29">
        <f>IF(EF29="","",COUNTIFS(EF$4:EF$40,"&lt;"&amp;EF29,EF$4:EF$40,"&lt;&gt;"&amp;"")+COUNTIF(EF$4:EF29,EF29))</f>
        <v/>
      </c>
      <c r="EH29" s="55">
        <f>IF(ROW()-3&gt;COUNTIF(EF$4:EF$40,"&lt;&gt;"&amp;""),"",INDEX(EF$4:EF$40,MATCH(ROW()-3,EG$4:EG$40,0)))</f>
        <v/>
      </c>
      <c r="EI29">
        <f>EI28+IF(AND(EH29&lt;&gt;"",COUNTIF(EH$4:EH29,EH29)=1),1,0)</f>
        <v/>
      </c>
      <c r="EJ29">
        <f>IF(ROW()-3&gt;MAX(EI$4:EI$40),"",INDEX(EH$4:EH$40,MATCH(ROW()-3,EI$4:EI$40,0)))</f>
        <v/>
      </c>
      <c r="EK29">
        <f>IF('Final Calculation Sheet'!$AA$29="","",'Final Calculation Sheet'!$AA$29)</f>
        <v/>
      </c>
      <c r="EL29">
        <f>IF(EK29="","",COUNTIFS(EK$4:EK$40,"&lt;"&amp;EK29,EK$4:EK$40,"&lt;&gt;"&amp;"")+COUNTIF(EK$4:EK29,EK29))</f>
        <v/>
      </c>
      <c r="EM29">
        <f>IF(ROW()-3&gt;COUNTIF(EK$4:EK$40,"&lt;&gt;"&amp;""),"",INDEX(EK$4:EK$40,MATCH(ROW()-3,EL$4:EL$40,0)))</f>
        <v/>
      </c>
      <c r="EN29">
        <f>EN28+IF(AND(EM29&lt;&gt;"",COUNTIF(EM$4:EM29,EM29)=1),1,0)</f>
        <v/>
      </c>
      <c r="EO29">
        <f>IF(ROW()-3&gt;MAX(EN$4:EN$40),"",INDEX(EM$4:EM$40,MATCH(ROW()-3,EN$4:EN$40,0)))</f>
        <v/>
      </c>
      <c r="EP29">
        <f>IF('Final Calculation Sheet'!$AB$29="","",'Final Calculation Sheet'!$AB$29)</f>
        <v/>
      </c>
      <c r="EQ29">
        <f>IF(EP29="","",COUNTIFS(EP$4:EP$40,"&lt;"&amp;EP29,EP$4:EP$40,"&lt;&gt;"&amp;"")+COUNTIF(EP$4:EP29,EP29))</f>
        <v/>
      </c>
      <c r="ER29">
        <f>IF(ROW()-3&gt;COUNTIF(EP$4:EP$40,"&lt;&gt;"&amp;""),"",INDEX(EP$4:EP$40,MATCH(ROW()-3,EQ$4:EQ$40,0)))</f>
        <v/>
      </c>
      <c r="ES29">
        <f>ES28+IF(AND(ER29&lt;&gt;"",COUNTIF(ER$4:ER29,ER29)=1),1,0)</f>
        <v/>
      </c>
      <c r="ET29">
        <f>IF(ROW()-3&gt;MAX(ES$4:ES$40),"",INDEX(ER$4:ER$40,MATCH(ROW()-3,ES$4:ES$40,0)))</f>
        <v/>
      </c>
      <c r="EU29" s="55">
        <f>IF('Final Calculation Sheet'!$AC$29="","",'Final Calculation Sheet'!$AC$29)</f>
        <v/>
      </c>
      <c r="EV29">
        <f>IF(EU29="","",COUNTIFS(EU$4:EU$40,"&lt;"&amp;EU29,EU$4:EU$40,"&lt;&gt;"&amp;"")+COUNTIF(EU$4:EU29,EU29))</f>
        <v/>
      </c>
      <c r="EW29" s="55">
        <f>IF(ROW()-3&gt;COUNTIF(EU$4:EU$40,"&lt;&gt;"&amp;""),"",INDEX(EU$4:EU$40,MATCH(ROW()-3,EV$4:EV$40,0)))</f>
        <v/>
      </c>
      <c r="EX29">
        <f>EX28+IF(AND(EW29&lt;&gt;"",COUNTIF(EW$4:EW29,EW29)=1),1,0)</f>
        <v/>
      </c>
      <c r="EY29" s="55">
        <f>IF(ROW()-3&gt;MAX(EX$4:EX$40),"",INDEX(EW$4:EW$40,MATCH(ROW()-3,EX$4:EX$40,0)))</f>
        <v/>
      </c>
      <c r="EZ29" s="55">
        <f>IF('Final Calculation Sheet'!$AD$29="","",'Final Calculation Sheet'!$AD$29)</f>
        <v/>
      </c>
      <c r="FA29">
        <f>IF(EZ29="","",COUNTIFS(EZ$4:EZ$40,"&lt;"&amp;EZ29,EZ$4:EZ$40,"&lt;&gt;"&amp;"")+COUNTIF(EZ$4:EZ29,EZ29))</f>
        <v/>
      </c>
      <c r="FB29" s="55">
        <f>IF(ROW()-3&gt;COUNTIF(EZ$4:EZ$40,"&lt;&gt;"&amp;""),"",INDEX(EZ$4:EZ$40,MATCH(ROW()-3,FA$4:FA$40,0)))</f>
        <v/>
      </c>
      <c r="FC29">
        <f>FC28+IF(AND(FB29&lt;&gt;"",COUNTIF(FB$4:FB29,FB29)=1),1,0)</f>
        <v/>
      </c>
      <c r="FD29">
        <f>IF(ROW()-3&gt;MAX(FC$4:FC$40),"",INDEX(FB$4:FB$40,MATCH(ROW()-3,FC$4:FC$40,0)))</f>
        <v/>
      </c>
      <c r="FE29">
        <f>IF('Final Calculation Sheet'!$AF$29="","",'Final Calculation Sheet'!$AF$29)</f>
        <v/>
      </c>
      <c r="FF29">
        <f>IF(FE29="","",COUNTIFS(FE$4:FE$40,"&lt;"&amp;FE29,FE$4:FE$40,"&lt;&gt;"&amp;"")+COUNTIF(FE$4:FE29,FE29))</f>
        <v/>
      </c>
      <c r="FG29">
        <f>IF(ROW()-3&gt;COUNTIF(FE$4:FE$40,"&lt;&gt;"&amp;""),"",INDEX(FE$4:FE$40,MATCH(ROW()-3,FF$4:FF$40,0)))</f>
        <v/>
      </c>
      <c r="FH29">
        <f>FH28+IF(AND(FG29&lt;&gt;"",COUNTIF(FG$4:FG29,FG29)=1),1,0)</f>
        <v/>
      </c>
      <c r="FI29">
        <f>IF(ROW()-3&gt;MAX(FH$4:FH$40),"",INDEX(FG$4:FG$40,MATCH(ROW()-3,FH$4:FH$40,0)))</f>
        <v/>
      </c>
      <c r="FJ29">
        <f>IF('Final Calculation Sheet'!$AG$29="","",'Final Calculation Sheet'!$AG$29)</f>
        <v/>
      </c>
      <c r="FK29">
        <f>IF(FJ29="","",COUNTIFS(FJ$4:FJ$40,"&lt;"&amp;FJ29,FJ$4:FJ$40,"&lt;&gt;"&amp;"")+COUNTIF(FJ$4:FJ29,FJ29))</f>
        <v/>
      </c>
      <c r="FL29" s="141">
        <f>IF(ROW()-3&gt;COUNTIF(FJ$4:FJ$40,"&lt;&gt;"&amp;""),"",INDEX(FJ$4:FJ$40,MATCH(ROW()-3,FK$4:FK$40,0)))</f>
        <v/>
      </c>
      <c r="FM29">
        <f>FM28+IF(AND(FL29&lt;&gt;"",COUNTIF(FL$4:FL29,FL29)=1),1,0)</f>
        <v/>
      </c>
      <c r="FN29">
        <f>IF(ROW()-3&gt;MAX(FM$4:FM$40),"",INDEX(FL$4:FL$40,MATCH(ROW()-3,FM$4:FM$40,0)))</f>
        <v/>
      </c>
      <c r="FO29">
        <f>IF('Final Calculation Sheet'!$AH$29="","",'Final Calculation Sheet'!$AH$29)</f>
        <v/>
      </c>
      <c r="FP29">
        <f>IF(FO29="","",COUNTIFS(FO$4:FO$40,"&lt;"&amp;FO29,FO$4:FO$40,"&lt;&gt;"&amp;"")+COUNTIF(FO$4:FO29,FO29))</f>
        <v/>
      </c>
      <c r="FQ29">
        <f>IF(ROW()-3&gt;COUNTIF(FO$4:FO$40,"&lt;&gt;"&amp;""),"",INDEX(FO$4:FO$40,MATCH(ROW()-3,FP$4:FP$40,0)))</f>
        <v/>
      </c>
      <c r="FR29">
        <f>FR28+IF(AND(FQ29&lt;&gt;"",COUNTIF(FQ$4:FQ29,FQ29)=1),1,0)</f>
        <v/>
      </c>
      <c r="FS29">
        <f>IF(ROW()-3&gt;MAX(FR$4:FR$40),"",INDEX(FQ$4:FQ$40,MATCH(ROW()-3,FR$4:FR$40,0)))</f>
        <v/>
      </c>
      <c r="FU29">
        <f>IF(FT29="","",COUNTIFS(FT$4:FT$40,"&lt;"&amp;FT29,FT$4:FT$40,"&lt;&gt;"&amp;"")+COUNTIF(FT$4:FT29,FT29))</f>
        <v/>
      </c>
      <c r="FV29">
        <f>IF(ROW()-3&gt;COUNTIF(FT$4:FT$40,"&lt;&gt;"&amp;""),"",INDEX(FT$4:FT$40,MATCH(ROW()-3,FU$4:FU$40,0)))</f>
        <v/>
      </c>
      <c r="FW29">
        <f>FW28+IF(AND(FV29&lt;&gt;"",COUNTIF(FV$4:FV29,FV29)=1),1,0)</f>
        <v/>
      </c>
      <c r="FX29">
        <f>IF(ROW()-3&gt;MAX(FW$4:FW$40),"",INDEX(FV$4:FV$40,MATCH(ROW()-3,FW$4:FW$40,0)))</f>
        <v/>
      </c>
      <c r="FY29">
        <f>IF(COUNTIF('Live Search'!BM$28:BO$28,0)+COUNTIF('Live Search'!BQ$28:CU$28,0)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29">
        <f>IF($Y$29="",FALSE,SUMPRODUCT(('Final Calculation Sheet'!$B$4:$B$40=$Y$29)*($FY$6:$FY$42=1))&gt;0)</f>
        <v/>
      </c>
      <c r="GA29">
        <f>$GA$28+--($FZ$29)</f>
        <v/>
      </c>
      <c r="GB29">
        <f>IF(ROW()-3&gt;MAX($GA$4:$GA$40),"",INDEX($Y$4:$Y$40,MATCH(ROW()-3,$GA$4:$GA$40,0)))</f>
        <v/>
      </c>
      <c r="GC29">
        <f>IF(COUNTIF('Live Search'!BM$28:BM$28,0)+COUNTIF('Live Search'!BO$28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GD29">
        <f>IF($O$29="",FALSE,SUMPRODUCT(('Final Calculation Sheet'!$F$4:$F$40=$O$29)*($GC$6:$GC$42=1))&gt;0)</f>
        <v/>
      </c>
      <c r="GE29">
        <f>$GE$28+--($GD29)</f>
        <v/>
      </c>
      <c r="GF29">
        <f>IF(ROW()-3&gt;MAX($GE$4:$GE$40),"",INDEX($O$4:$O$40,MATCH(ROW()-3,$GE$4:$GE$40,0)))</f>
        <v/>
      </c>
      <c r="GG29">
        <f>IF(COUNTIF('Live Search'!BM$28:BN$28,0)+COUNTIF('Live Search'!BP$28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GH29">
        <f>IF($T$29="",FALSE,SUMPRODUCT(('Final Calculation Sheet'!$G$4:$G$40=$T$29)*($GG$6:$GG$42=1))&gt;0)</f>
        <v/>
      </c>
      <c r="GI29">
        <f>$GI$28+--($GH29)</f>
        <v/>
      </c>
      <c r="GJ29">
        <f>IF(ROW()-3&gt;MAX($GI$4:$GI$40),"",INDEX($T$4:$T$40,MATCH(ROW()-3,$GI$4:$GI$40,0)))</f>
        <v/>
      </c>
      <c r="GK29">
        <f>IF(COUNTIF('Live Search'!BM$28:BP$28,0)+COUNTIF('Live Search'!BR$28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GL29">
        <f>IF($AD$29="",FALSE,SUMPRODUCT(('Final Calculation Sheet'!$D$4:$D$40=$AD$29)*($GK$6:$GK$42=1))&gt;0)</f>
        <v/>
      </c>
      <c r="GM29">
        <f>$GM$28+--($GL29)</f>
        <v/>
      </c>
      <c r="GN29">
        <f>IF(ROW()-3&gt;MAX($GM$4:$GM$40),"",INDEX($AD$4:$AD$40,MATCH(ROW()-3,$GM$4:$GM$40,0)))</f>
        <v/>
      </c>
      <c r="GO29">
        <f>IF(COUNTIF('Live Search'!BM$28:BQ$28,0)+COUNTIF('Live Search'!BS$28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GP29">
        <f>IF($AI$29="",FALSE,SUMPRODUCT(('Final Calculation Sheet'!$A$4:$A$40=$AI$29)*($GO$6:$GO$42=1))&gt;0)</f>
        <v/>
      </c>
      <c r="GQ29">
        <f>$GQ$28+--($GP29)</f>
        <v/>
      </c>
      <c r="GR29">
        <f>IF(ROW()-3&gt;MAX($GQ$4:$GQ$40),"",INDEX($AI$4:$AI$40,MATCH(ROW()-3,$GQ$4:$GQ$40,0)))</f>
        <v/>
      </c>
      <c r="GS29">
        <f>IF(COUNTIF('Live Search'!BM$28:BR$28,0)+COUNTIF('Live Search'!BT$28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GT29">
        <f>IF($AN$29="",FALSE,SUMPRODUCT(('Final Calculation Sheet'!$E$4:$E$40=$AN$29)*($GS$6:$GS$42=1))&gt;0)</f>
        <v/>
      </c>
      <c r="GU29">
        <f>$GU$28+--($GT29)</f>
        <v/>
      </c>
      <c r="GV29">
        <f>IF(ROW()-3&gt;MAX($GU$4:$GU$40),"",INDEX($AN$4:$AN$40,MATCH(ROW()-3,$GU$4:$GU$40,0)))</f>
        <v/>
      </c>
      <c r="GW29">
        <f>IF(COUNTIF('Live Search'!BM$28:BS$28,0)+COUNTIF('Live Search'!BU$28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GX29">
        <f>IF($AS$29="",FALSE,SUMPRODUCT(('Final Calculation Sheet'!$C$4:$C$40=$AS$29)*($GW$6:$GW$42=1))&gt;0)</f>
        <v/>
      </c>
      <c r="GY29">
        <f>$GY$28+--($GX29)</f>
        <v/>
      </c>
      <c r="GZ29">
        <f>IF(ROW()-3&gt;MAX($GY$4:$GY$40),"",INDEX($AS$4:$AS$40,MATCH(ROW()-3,$GY$4:$GY$40,0)))</f>
        <v/>
      </c>
      <c r="HA29">
        <f>IF(COUNTIF('Live Search'!BM$28:BT$28,0)+COUNTIF('Live Search'!BV$28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HB29">
        <f>IF($AX$29="",FALSE,SUMPRODUCT(('Final Calculation Sheet'!$H$4:$H$40=$AX$29)*($HA$6:$HA$42=1))&gt;0)</f>
        <v/>
      </c>
      <c r="HC29">
        <f>$HC$28+--($HB29)</f>
        <v/>
      </c>
      <c r="HD29">
        <f>IF(ROW()-3&gt;MAX($HC$4:$HC$40),"",INDEX($AX$4:$AX$40,MATCH(ROW()-3,$HC$4:$HC$40,0)))</f>
        <v/>
      </c>
      <c r="HE29">
        <f>IF(COUNTIF('Live Search'!BM$28:BU$28,0)+COUNTIF('Live Search'!BW$28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HF29">
        <f>IF($BC$29="",FALSE,SUMPRODUCT(('Final Calculation Sheet'!$I$4:$I$40=$BC$29)*($HE$6:$HE$42=1))&gt;0)</f>
        <v/>
      </c>
      <c r="HG29">
        <f>$HG$28+--($HF29)</f>
        <v/>
      </c>
      <c r="HH29">
        <f>IF(ROW()-3&gt;MAX($HG$4:$HG$40),"",INDEX($BC$4:$BC$40,MATCH(ROW()-3,$HG$4:$HG$40,0)))</f>
        <v/>
      </c>
      <c r="HI29">
        <f>IF(COUNTIF('Live Search'!BM$28:BV$28,0)+COUNTIF('Live Search'!BX$28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HJ29">
        <f>IF($BH$29="",FALSE,SUMPRODUCT(('Final Calculation Sheet'!$J$4:$J$40=$BH$29)*($HI$6:$HI$42=1))&gt;0)</f>
        <v/>
      </c>
      <c r="HK29">
        <f>$HK$28+--($HJ29)</f>
        <v/>
      </c>
      <c r="HL29">
        <f>IF(ROW()-3&gt;MAX($HK$4:$HK$40),"",INDEX($BH$4:$BH$40,MATCH(ROW()-3,$HK$4:$HK$40,0)))</f>
        <v/>
      </c>
      <c r="HM29">
        <f>IF(COUNTIF('Live Search'!BM$28:BW$28,0)+COUNTIF('Live Search'!BY$28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HN29">
        <f>IF($BM$29="",FALSE,SUMPRODUCT(('Final Calculation Sheet'!$K$4:$K$40=$BM$29)*($HM$6:$HM$42=1))&gt;0)</f>
        <v/>
      </c>
      <c r="HO29">
        <f>$HO$28+--($HN29)</f>
        <v/>
      </c>
      <c r="HP29">
        <f>IF(ROW()-3&gt;MAX($HO$4:$HO$40),"",INDEX($BM$4:$BM$40,MATCH(ROW()-3,$HO$4:$HO$40,0)))</f>
        <v/>
      </c>
      <c r="HQ29">
        <f>IF(COUNTIF('Live Search'!BM$28:BX$28,0)+COUNTIF('Live Search'!BZ$28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HR29">
        <f>IF($BR$29="",FALSE,SUMPRODUCT(('Final Calculation Sheet'!$L$4:$L$40=$BR$29)*($HQ$6:$HQ$42=1))&gt;0)</f>
        <v/>
      </c>
      <c r="HS29">
        <f>$HS$28+--($HR29)</f>
        <v/>
      </c>
      <c r="HT29">
        <f>IF(ROW()-3&gt;MAX($HS$4:$HS$40),"",INDEX($BR$4:$BR$40,MATCH(ROW()-3,$HS$4:$HS$40,0)))</f>
        <v/>
      </c>
      <c r="HU29">
        <f>IF(COUNTIF('Live Search'!BM$28:BY$28,0)+COUNTIF('Live Search'!CA$28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HV29">
        <f>IF($BW$29="",FALSE,SUMPRODUCT(('Final Calculation Sheet'!$M$4:$M$40=$BW$29)*($HU$6:$HU$42=1))&gt;0)</f>
        <v/>
      </c>
      <c r="HW29">
        <f>$HW$28+--($HV29)</f>
        <v/>
      </c>
      <c r="HX29">
        <f>IF(ROW()-3&gt;MAX($HW$4:$HW$40),"",INDEX($BW$4:$BW$40,MATCH(ROW()-3,$HW$4:$HW$40,0)))</f>
        <v/>
      </c>
      <c r="HY29">
        <f>IF(COUNTIF('Live Search'!BM$28:BZ$28,0)+COUNTIF('Live Search'!CB$28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HZ29">
        <f>IF($CB$29="",FALSE,SUMPRODUCT(('Final Calculation Sheet'!$N$4:$N$40=$CB$29)*($HY$6:$HY$42=1))&gt;0)</f>
        <v/>
      </c>
      <c r="IA29">
        <f>$IA$28+--($HZ29)</f>
        <v/>
      </c>
      <c r="IB29">
        <f>IF(ROW()-3&gt;MAX($IA$4:$IA$40),"",INDEX($CB$4:$CB$40,MATCH(ROW()-3,$IA$4:$IA$40,0)))</f>
        <v/>
      </c>
      <c r="IC29">
        <f>IF(COUNTIF('Live Search'!BM$28:CA$28,0)+COUNTIF('Live Search'!CC$28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ID29">
        <f>IF($CG$29="",FALSE,SUMPRODUCT(('Final Calculation Sheet'!$O$4:$O$40=$CG$29)*($IC$6:$IC$42=1))&gt;0)</f>
        <v/>
      </c>
      <c r="IE29">
        <f>$IE$28+--($ID29)</f>
        <v/>
      </c>
      <c r="IF29">
        <f>IF(ROW()-3&gt;MAX($IE$4:$IE$40),"",INDEX($CG$4:$CG$40,MATCH(ROW()-3,$IE$4:$IE$40,0)))</f>
        <v/>
      </c>
      <c r="IG29">
        <f>IF(COUNTIF('Live Search'!BM$28:CB$28,0)+COUNTIF('Live Search'!CD$28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IH29">
        <f>IF($CL$29="",FALSE,SUMPRODUCT(('Final Calculation Sheet'!$P$4:$P$40=$CL$29)*($IG$6:$IG$42=1))&gt;0)</f>
        <v/>
      </c>
      <c r="II29">
        <f>$II$28+--($IH29)</f>
        <v/>
      </c>
      <c r="IJ29">
        <f>IF(ROW()-3&gt;MAX($II$4:$II$40),"",INDEX($CL$4:$CL$40,MATCH(ROW()-3,$II$4:$II$40,0)))</f>
        <v/>
      </c>
      <c r="IK29">
        <f>IF(COUNTIF('Live Search'!BM$28:CC$28,0)+COUNTIF('Live Search'!CE$28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IL29">
        <f>IF($CQ$29="",FALSE,SUMPRODUCT(('Final Calculation Sheet'!$Q$4:$Q$40=$CQ$29)*($IK$6:$IK$42=1))&gt;0)</f>
        <v/>
      </c>
      <c r="IM29">
        <f>$IM$28+--($IL29)</f>
        <v/>
      </c>
      <c r="IN29">
        <f>IF(ROW()-3&gt;MAX($IM$4:$IM$40),"",INDEX($CQ$4:$CQ$40,MATCH(ROW()-3,$IM$4:$IM$40,0)))</f>
        <v/>
      </c>
      <c r="IO29">
        <f>IF(COUNTIF('Live Search'!BM$28:CD$28,0)+COUNTIF('Live Search'!CF$28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IP29">
        <f>IF($CV$29="",FALSE,SUMPRODUCT(('Final Calculation Sheet'!$R$4:$R$40=$CV$29)*($IO$6:$IO$42=1))&gt;0)</f>
        <v/>
      </c>
      <c r="IQ29">
        <f>$IQ$28+--($IP29)</f>
        <v/>
      </c>
      <c r="IR29">
        <f>IF(ROW()-3&gt;MAX($IQ$4:$IQ$40),"",INDEX($CV$4:$CV$40,MATCH(ROW()-3,$IQ$4:$IQ$40,0)))</f>
        <v/>
      </c>
      <c r="IS29">
        <f>IF(COUNTIF('Live Search'!BM$28:CE$28,0)+COUNTIF('Live Search'!CG$28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IT29">
        <f>IF($DA$29="",FALSE,SUMPRODUCT(('Final Calculation Sheet'!$S$4:$S$40=$DA$29)*($IS$6:$IS$42=1))&gt;0)</f>
        <v/>
      </c>
      <c r="IU29">
        <f>$IU$28+--($IT29)</f>
        <v/>
      </c>
      <c r="IV29">
        <f>IF(ROW()-3&gt;MAX($IU$4:$IU$40),"",INDEX($DA$4:$DA$40,MATCH(ROW()-3,$IU$4:$IU$40,0)))</f>
        <v/>
      </c>
      <c r="IW29">
        <f>IF(COUNTIF('Live Search'!BM$28:CF$28,0)+COUNTIF('Live Search'!CH$28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IX29">
        <f>IF($DF$29="",FALSE,SUMPRODUCT(('Final Calculation Sheet'!$T$4:$T$40=$DF$29)*($IW$6:$IW$42=1))&gt;0)</f>
        <v/>
      </c>
      <c r="IY29">
        <f>$IY$28+--($IX29)</f>
        <v/>
      </c>
      <c r="IZ29">
        <f>IF(ROW()-3&gt;MAX($IY$4:$IY$40),"",INDEX($DF$4:$DF$40,MATCH(ROW()-3,$IY$4:$IY$40,0)))</f>
        <v/>
      </c>
      <c r="JA29">
        <f>IF(COUNTIF('Live Search'!BM$28:CG$28,0)+COUNTIF('Live Search'!CI$28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JB29">
        <f>IF($DK$29="",FALSE,SUMPRODUCT(('Final Calculation Sheet'!$U$4:$U$40=$DK$29)*($JA$6:$JA$42=1))&gt;0)</f>
        <v/>
      </c>
      <c r="JC29">
        <f>$JC$28+--($JB29)</f>
        <v/>
      </c>
      <c r="JD29">
        <f>IF(ROW()-3&gt;MAX($JC$4:$JC$40),"",INDEX($DK$4:$DK$40,MATCH(ROW()-3,$JC$4:$JC$40,0)))</f>
        <v/>
      </c>
      <c r="JE29">
        <f>IF(COUNTIF('Live Search'!BM$28:CH$28,0)+COUNTIF('Live Search'!CJ$28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JF29">
        <f>IF($DP$29="",FALSE,SUMPRODUCT(('Final Calculation Sheet'!$V$4:$V$40=$DP$29)*($JE$6:$JE$42=1))&gt;0)</f>
        <v/>
      </c>
      <c r="JG29">
        <f>$JG$28+--($JF29)</f>
        <v/>
      </c>
      <c r="JH29">
        <f>IF(ROW()-3&gt;MAX($JG$4:$JG$40),"",INDEX($DP$4:$DP$40,MATCH(ROW()-3,$JG$4:$JG$40,0)))</f>
        <v/>
      </c>
      <c r="JI29">
        <f>IF(COUNTIF('Live Search'!BM$28:CI$28,0)+COUNTIF('Live Search'!CK$28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JJ29">
        <f>IF($DU$29="",FALSE,SUMPRODUCT(('Final Calculation Sheet'!$W$4:$W$40=$DU$29)*($JI$6:$JI$42=1))&gt;0)</f>
        <v/>
      </c>
      <c r="JK29">
        <f>$JK$28+--($JJ29)</f>
        <v/>
      </c>
      <c r="JL29">
        <f>IF(ROW()-3&gt;MAX($JK$4:$JK$40),"",INDEX($DU$4:$DU$40,MATCH(ROW()-3,$JK$4:$JK$40,0)))</f>
        <v/>
      </c>
      <c r="JM29">
        <f>IF(COUNTIF('Live Search'!BM$28:CJ$28,0)+COUNTIF('Live Search'!CL$28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JN29">
        <f>IF($DZ$29="",FALSE,SUMPRODUCT(('Final Calculation Sheet'!$X$4:$X$40=$DZ$29)*($JM$6:$JM$42=1))&gt;0)</f>
        <v/>
      </c>
      <c r="JO29">
        <f>$JO$28+--($JN29)</f>
        <v/>
      </c>
      <c r="JP29">
        <f>IF(ROW()-3&gt;MAX($JO$4:$JO$40),"",INDEX($DZ$4:$DZ$40,MATCH(ROW()-3,$JO$4:$JO$40,0)))</f>
        <v/>
      </c>
      <c r="JQ29">
        <f>IF(COUNTIF('Live Search'!BM$28:CK$28,0)+COUNTIF('Live Search'!CM$28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JR29">
        <f>IF($EE$29="",FALSE,SUMPRODUCT(('Final Calculation Sheet'!$Y$4:$Y$40=$EE$29)*($JQ$6:$JQ$42=1))&gt;0)</f>
        <v/>
      </c>
      <c r="JS29">
        <f>$JS$28+--($JR29)</f>
        <v/>
      </c>
      <c r="JT29">
        <f>IF(ROW()-3&gt;MAX($JS$4:$JS$40),"",INDEX($EE$4:$EE$40,MATCH(ROW()-3,$JS$4:$JS$40,0)))</f>
        <v/>
      </c>
      <c r="JU29">
        <f>IF(COUNTIF('Live Search'!BM$28:CL$28,0)+COUNTIF('Live Search'!CN$28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JV29">
        <f>IF($EJ$29="",FALSE,SUMPRODUCT(('Final Calculation Sheet'!$Z$4:$Z$40=$EJ$29)*($JU$6:$JU$42=1))&gt;0)</f>
        <v/>
      </c>
      <c r="JW29">
        <f>$JW$28+--($JV29)</f>
        <v/>
      </c>
      <c r="JX29">
        <f>IF(ROW()-3&gt;MAX($JW$4:$JW$40),"",INDEX($EJ$4:$EJ$40,MATCH(ROW()-3,$JW$4:$JW$40,0)))</f>
        <v/>
      </c>
      <c r="JY29">
        <f>IF(COUNTIF('Live Search'!BM$28:CM$28,0)+COUNTIF('Live Search'!CO$28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JZ29">
        <f>IF($EO$29="",FALSE,SUMPRODUCT(('Final Calculation Sheet'!$AA$4:$AA$40=$EO$29)*($JY$6:$JY$42=1))&gt;0)</f>
        <v/>
      </c>
      <c r="KA29">
        <f>$KA$28+--($JZ29)</f>
        <v/>
      </c>
      <c r="KB29">
        <f>IF(ROW()-3&gt;MAX($KA$4:$KA$40),"",INDEX($EO$4:$EO$40,MATCH(ROW()-3,$KA$4:$KA$40,0)))</f>
        <v/>
      </c>
      <c r="KC29">
        <f>IF(COUNTIF('Live Search'!BM$28:CN$28,0)+COUNTIF('Live Search'!CP$28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KD29">
        <f>IF($ET$29="",FALSE,SUMPRODUCT(('Final Calculation Sheet'!$AB$4:$AB$40=$ET$29)*($KC$6:$KC$42=1))&gt;0)</f>
        <v/>
      </c>
      <c r="KE29">
        <f>$KE$28+--($KD29)</f>
        <v/>
      </c>
      <c r="KF29">
        <f>IF(ROW()-3&gt;MAX($KE$4:$KE$40),"",INDEX($ET$4:$ET$40,MATCH(ROW()-3,$KE$4:$KE$40,0)))</f>
        <v/>
      </c>
      <c r="KG29">
        <f>IF(COUNTIF('Live Search'!BM$28:CO$28,0)+COUNTIF('Live Search'!CQ$28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KH29">
        <f>IF($EY$29="",FALSE,SUMPRODUCT(('Final Calculation Sheet'!$AC$4:$AC$40=$EY$29)*($KG$6:$KG$42=1))&gt;0)</f>
        <v/>
      </c>
      <c r="KI29">
        <f>$KI$28+--($KH29)</f>
        <v/>
      </c>
      <c r="KJ29">
        <f>IF(ROW()-3&gt;MAX($KI$4:$KI$40),"",INDEX($EY$4:$EY$40,MATCH(ROW()-3,$KI$4:$KI$40,0)))</f>
        <v/>
      </c>
      <c r="KK29">
        <f>IF(COUNTIF('Live Search'!BM$28:CP$28,0)+COUNTIF('Live Search'!CR$28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KL29">
        <f>IF($FD$29="",FALSE,SUMPRODUCT(('Final Calculation Sheet'!$AD$4:$AD$40=$FD$29)*($KK$6:$KK$42=1))&gt;0)</f>
        <v/>
      </c>
      <c r="KM29">
        <f>$KM$28+--($KL29)</f>
        <v/>
      </c>
      <c r="KN29">
        <f>IF(ROW()-3&gt;MAX($KM$4:$KM$40),"",INDEX($FD$4:$FD$40,MATCH(ROW()-3,$KM$4:$KM$40,0)))</f>
        <v/>
      </c>
      <c r="KO29">
        <f>IF(COUNTIF('Live Search'!BM$28:CT$28,0)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KP29">
        <f>IF($FX$29="",FALSE,SUMPRODUCT((IF('Final Calculation Sheet'!$AD$4:$AD$40&lt;=5,"SETTLED","OUTSTANDING")=$FX$29)*($KO$6:$KO$42=1))&gt;0)</f>
        <v/>
      </c>
      <c r="KQ29">
        <f>$KQ$28+--($KP29)</f>
        <v/>
      </c>
      <c r="KR29">
        <f>IF(ROW()-3&gt;MAX($KQ$4:$KQ$40),"",INDEX($FX$4:$FX$40,MATCH(ROW()-3,$KQ$4:$KQ$40,0)))</f>
        <v/>
      </c>
      <c r="KS29">
        <f>IF(COUNTIF('Live Search'!BM$28:CQ$28,0)+COUNTIF('Live Search'!CS$28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KT29">
        <f>IF($FI$29="",FALSE,SUMPRODUCT(('Final Calculation Sheet'!$AF$4:$AF$40=$FI$29)*($KS$6:$KS$42=1))&gt;0)</f>
        <v/>
      </c>
      <c r="KU29">
        <f>$KU$28+--($KT29)</f>
        <v/>
      </c>
      <c r="KV29">
        <f>IF(ROW()-3&gt;MAX($KU$4:$KU$40),"",INDEX($FI$4:$FI$40,MATCH(ROW()-3,$KU$4:$KU$40,0)))</f>
        <v/>
      </c>
      <c r="KW29">
        <f>IF(COUNTIF('Live Search'!BM$28:CR$28,0)+COUNTIF('Live Search'!CT$28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KX29">
        <f>IF($FN$29="",FALSE,SUMPRODUCT(('Final Calculation Sheet'!$AG$4:$AG$40=$FN$29)*($KW$6:$KW$42=1))&gt;0)</f>
        <v/>
      </c>
      <c r="KY29">
        <f>$KY$28+--($KX29)</f>
        <v/>
      </c>
      <c r="KZ29">
        <f>IF(ROW()-3&gt;MAX($KY$4:$KY$40),"",INDEX($FN$4:$FN$40,MATCH(ROW()-3,$KY$4:$KY$40,0)))</f>
        <v/>
      </c>
      <c r="LA29">
        <f>IF(COUNTIF('Live Search'!BM$28:CS$28,0)+COUNTIF('Live Search'!CU$28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LB29">
        <f>IF($FS$29="",FALSE,SUMPRODUCT(('Final Calculation Sheet'!$AH$4:$AH$40=$FS$29)*($LA$6:$LA$42=1))&gt;0)</f>
        <v/>
      </c>
      <c r="LC29">
        <f>$LC$28+--($LB29)</f>
        <v/>
      </c>
      <c r="LD29">
        <f>IF(ROW()-3&gt;MAX($LC$4:$LC$40),"",INDEX($FS$4:$FS$40,MATCH(ROW()-3,$LC$4:$LC$40,0)))</f>
        <v/>
      </c>
      <c r="LE29">
        <f>IF(COUNTIF('Buyer Groups'!DH82:EN82,0)&gt;0,0,1)</f>
        <v/>
      </c>
      <c r="LF29">
        <f>IF($O$29="",FALSE,SUMPRODUCT(('Final Calculation Sheet'!$F$4:$F$40=$O$29)*($LE$6:$LE$42=1))&gt;0)</f>
        <v/>
      </c>
      <c r="LG29">
        <f>$LG$28+--($LF29)</f>
        <v/>
      </c>
      <c r="LH29">
        <f>IF(ROW()-3&gt;MAX($LG$4:$LG$40),"",INDEX($O$4:$O$40,MATCH(ROW()-3,$LG$4:$LG$40,0)))</f>
        <v/>
      </c>
      <c r="LI29">
        <f>IF(COUNTIF('Buyer Groups'!DG82:DG82,0)+COUNTIF('Buyer Groups'!DI82:EN82,0)&gt;0,0,1)</f>
        <v/>
      </c>
      <c r="LJ29">
        <f>IF($T$29="",FALSE,SUMPRODUCT(('Final Calculation Sheet'!$G$4:$G$40=$T$29)*($LI$6:$LI$42=1))&gt;0)</f>
        <v/>
      </c>
      <c r="LK29">
        <f>$LK$28+--($LJ29)</f>
        <v/>
      </c>
      <c r="LL29">
        <f>IF(ROW()-3&gt;MAX($LK$4:$LK$40),"",INDEX($T$4:$T$40,MATCH(ROW()-3,$LK$4:$LK$40,0)))</f>
        <v/>
      </c>
      <c r="LM29">
        <f>IF(COUNTIF('Buyer Groups'!DG82:DH82,0)+COUNTIF('Buyer Groups'!DJ82:EN82,0)&gt;0,0,1)</f>
        <v/>
      </c>
      <c r="LN29">
        <f>IF($Y$29="",FALSE,SUMPRODUCT(('Final Calculation Sheet'!$B$4:$B$40=$Y$29)*($LM$6:$LM$42=1))&gt;0)</f>
        <v/>
      </c>
      <c r="LO29">
        <f>$LO$28+--($LN29)</f>
        <v/>
      </c>
      <c r="LP29">
        <f>IF(ROW()-3&gt;MAX($LO$4:$LO$40),"",INDEX($Y$4:$Y$40,MATCH(ROW()-3,$LO$4:$LO$40,0)))</f>
        <v/>
      </c>
      <c r="LQ29">
        <f>IF(COUNTIF('Buyer Groups'!DG82:DI82,0)+COUNTIF('Buyer Groups'!DK82:EN82,0)&gt;0,0,1)</f>
        <v/>
      </c>
      <c r="LR29">
        <f>IF($AD$29="",FALSE,SUMPRODUCT(('Final Calculation Sheet'!$D$4:$D$40=$AD$29)*($LQ$6:$LQ$42=1))&gt;0)</f>
        <v/>
      </c>
      <c r="LS29">
        <f>$LS$28+--($LR29)</f>
        <v/>
      </c>
      <c r="LT29">
        <f>IF(ROW()-3&gt;MAX($LS$4:$LS$40),"",INDEX($AD$4:$AD$40,MATCH(ROW()-3,$LS$4:$LS$40,0)))</f>
        <v/>
      </c>
      <c r="LU29">
        <f>IF(COUNTIF('Buyer Groups'!DG82:DJ82,0)+COUNTIF('Buyer Groups'!DL82:EN82,0)&gt;0,0,1)</f>
        <v/>
      </c>
      <c r="LV29">
        <f>IF($AI$29="",FALSE,SUMPRODUCT(('Final Calculation Sheet'!$A$4:$A$40=$AI$29)*($LU$6:$LU$42=1))&gt;0)</f>
        <v/>
      </c>
      <c r="LW29">
        <f>$LW$28+--($LV29)</f>
        <v/>
      </c>
      <c r="LX29">
        <f>IF(ROW()-3&gt;MAX($LW$4:$LW$40),"",INDEX($AI$4:$AI$40,MATCH(ROW()-3,$LW$4:$LW$40,0)))</f>
        <v/>
      </c>
      <c r="LY29">
        <f>IF(COUNTIF('Buyer Groups'!DG82:DK82,0)+COUNTIF('Buyer Groups'!DM82:EN82,0)&gt;0,0,1)</f>
        <v/>
      </c>
      <c r="LZ29">
        <f>IF($AN$29="",FALSE,SUMPRODUCT(('Final Calculation Sheet'!$E$4:$E$40=$AN$29)*($LY$6:$LY$42=1))&gt;0)</f>
        <v/>
      </c>
      <c r="MA29">
        <f>$MA$28+--($LZ29)</f>
        <v/>
      </c>
      <c r="MB29">
        <f>IF(ROW()-3&gt;MAX($MA$4:$MA$40),"",INDEX($AN$4:$AN$40,MATCH(ROW()-3,$MA$4:$MA$40,0)))</f>
        <v/>
      </c>
      <c r="MC29">
        <f>IF(COUNTIF('Buyer Groups'!DG82:DL82,0)+COUNTIF('Buyer Groups'!DN82:EN82,0)&gt;0,0,1)</f>
        <v/>
      </c>
      <c r="MD29">
        <f>IF($AS$29="",FALSE,SUMPRODUCT(('Final Calculation Sheet'!$C$4:$C$40=$AS$29)*($MC$6:$MC$42=1))&gt;0)</f>
        <v/>
      </c>
      <c r="ME29">
        <f>$ME$28+--($MD29)</f>
        <v/>
      </c>
      <c r="MF29">
        <f>IF(ROW()-3&gt;MAX($ME$4:$ME$40),"",INDEX($AS$4:$AS$40,MATCH(ROW()-3,$ME$4:$ME$40,0)))</f>
        <v/>
      </c>
      <c r="MG29">
        <f>IF(COUNTIF('Buyer Groups'!DG82:DM82,0)+COUNTIF('Buyer Groups'!DO82:EN82,0)&gt;0,0,1)</f>
        <v/>
      </c>
      <c r="MH29">
        <f>IF($AX$29="",FALSE,SUMPRODUCT(('Final Calculation Sheet'!$H$4:$H$40=$AX$29)*($MG$6:$MG$42=1))&gt;0)</f>
        <v/>
      </c>
      <c r="MI29">
        <f>$MI$28+--($MH29)</f>
        <v/>
      </c>
      <c r="MJ29">
        <f>IF(ROW()-3&gt;MAX($MI$4:$MI$40),"",INDEX($AX$4:$AX$40,MATCH(ROW()-3,$MI$4:$MI$40,0)))</f>
        <v/>
      </c>
      <c r="MK29">
        <f>IF(COUNTIF('Buyer Groups'!DG82:DN82,0)+COUNTIF('Buyer Groups'!DP82:EN82,0)&gt;0,0,1)</f>
        <v/>
      </c>
      <c r="ML29">
        <f>IF($BC$29="",FALSE,SUMPRODUCT(('Final Calculation Sheet'!$I$4:$I$40=$BC$29)*($MK$6:$MK$42=1))&gt;0)</f>
        <v/>
      </c>
      <c r="MM29">
        <f>$MM$28+--($ML29)</f>
        <v/>
      </c>
      <c r="MN29">
        <f>IF(ROW()-3&gt;MAX($MM$4:$MM$40),"",INDEX($BC$4:$BC$40,MATCH(ROW()-3,$MM$4:$MM$40,0)))</f>
        <v/>
      </c>
      <c r="MO29">
        <f>IF(COUNTIF('Buyer Groups'!DG82:DO82,0)+COUNTIF('Buyer Groups'!DQ82:EN82,0)&gt;0,0,1)</f>
        <v/>
      </c>
      <c r="MP29">
        <f>IF($BH$29="",FALSE,SUMPRODUCT(('Final Calculation Sheet'!$J$4:$J$40=$BH$29)*($MO$6:$MO$42=1))&gt;0)</f>
        <v/>
      </c>
      <c r="MQ29">
        <f>$MQ$28+--($MP29)</f>
        <v/>
      </c>
      <c r="MR29">
        <f>IF(ROW()-3&gt;MAX($MQ$4:$MQ$40),"",INDEX($BH$4:$BH$40,MATCH(ROW()-3,$MQ$4:$MQ$40,0)))</f>
        <v/>
      </c>
      <c r="MS29">
        <f>IF(COUNTIF('Buyer Groups'!DG82:DP82,0)+COUNTIF('Buyer Groups'!DR82:EN82,0)&gt;0,0,1)</f>
        <v/>
      </c>
      <c r="MT29">
        <f>IF($BM$29="",FALSE,SUMPRODUCT(('Final Calculation Sheet'!$K$4:$K$40=$BM$29)*($MS$6:$MS$42=1))&gt;0)</f>
        <v/>
      </c>
      <c r="MU29">
        <f>$MU$28+--($MT29)</f>
        <v/>
      </c>
      <c r="MV29">
        <f>IF(ROW()-3&gt;MAX($MU$4:$MU$40),"",INDEX($BM$4:$BM$40,MATCH(ROW()-3,$MU$4:$MU$40,0)))</f>
        <v/>
      </c>
      <c r="MW29">
        <f>IF(COUNTIF('Buyer Groups'!DG82:DQ82,0)+COUNTIF('Buyer Groups'!DS82:EN82,0)&gt;0,0,1)</f>
        <v/>
      </c>
      <c r="MX29">
        <f>IF($BR$29="",FALSE,SUMPRODUCT(('Final Calculation Sheet'!$L$4:$L$40=$BR$29)*($MW$6:$MW$42=1))&gt;0)</f>
        <v/>
      </c>
      <c r="MY29">
        <f>$MY$28+--($MX29)</f>
        <v/>
      </c>
      <c r="MZ29">
        <f>IF(ROW()-3&gt;MAX($MY$4:$MY$40),"",INDEX($BR$4:$BR$40,MATCH(ROW()-3,$MY$4:$MY$40,0)))</f>
        <v/>
      </c>
      <c r="NA29">
        <f>IF(COUNTIF('Buyer Groups'!DG82:DR82,0)+COUNTIF('Buyer Groups'!DT82:EN82,0)&gt;0,0,1)</f>
        <v/>
      </c>
      <c r="NB29">
        <f>IF($BW$29="",FALSE,SUMPRODUCT(('Final Calculation Sheet'!$M$4:$M$40=$BW$29)*($NA$6:$NA$42=1))&gt;0)</f>
        <v/>
      </c>
      <c r="NC29">
        <f>$NC$28+--($NB29)</f>
        <v/>
      </c>
      <c r="ND29">
        <f>IF(ROW()-3&gt;MAX($NC$4:$NC$40),"",INDEX($BW$4:$BW$40,MATCH(ROW()-3,$NC$4:$NC$40,0)))</f>
        <v/>
      </c>
      <c r="NE29">
        <f>IF(COUNTIF('Buyer Groups'!DG82:DS82,0)+COUNTIF('Buyer Groups'!DU82:EN82,0)&gt;0,0,1)</f>
        <v/>
      </c>
      <c r="NF29">
        <f>IF($CB$29="",FALSE,SUMPRODUCT(('Final Calculation Sheet'!$N$4:$N$40=$CB$29)*($NE$6:$NE$42=1))&gt;0)</f>
        <v/>
      </c>
      <c r="NG29">
        <f>$NG$28+--($NF29)</f>
        <v/>
      </c>
      <c r="NH29">
        <f>IF(ROW()-3&gt;MAX($NG$4:$NG$40),"",INDEX($CB$4:$CB$40,MATCH(ROW()-3,$NG$4:$NG$40,0)))</f>
        <v/>
      </c>
      <c r="NI29">
        <f>IF(COUNTIF('Buyer Groups'!DG82:DT82,0)+COUNTIF('Buyer Groups'!DV82:EN82,0)&gt;0,0,1)</f>
        <v/>
      </c>
      <c r="NJ29">
        <f>IF($CG$29="",FALSE,SUMPRODUCT(('Final Calculation Sheet'!$O$4:$O$40=$CG$29)*($NI$6:$NI$42=1))&gt;0)</f>
        <v/>
      </c>
      <c r="NK29">
        <f>$NK$28+--($NJ29)</f>
        <v/>
      </c>
      <c r="NL29">
        <f>IF(ROW()-3&gt;MAX($NK$4:$NK$40),"",INDEX($CG$4:$CG$40,MATCH(ROW()-3,$NK$4:$NK$40,0)))</f>
        <v/>
      </c>
      <c r="NM29">
        <f>IF(COUNTIF('Buyer Groups'!DG82:DU82,0)+COUNTIF('Buyer Groups'!DW82:EN82,0)&gt;0,0,1)</f>
        <v/>
      </c>
      <c r="NN29">
        <f>IF($CL$29="",FALSE,SUMPRODUCT(('Final Calculation Sheet'!$P$4:$P$40=$CL$29)*($NM$6:$NM$42=1))&gt;0)</f>
        <v/>
      </c>
      <c r="NO29">
        <f>$NO$28+--($NN29)</f>
        <v/>
      </c>
      <c r="NP29">
        <f>IF(ROW()-3&gt;MAX($NO$4:$NO$40),"",INDEX($CL$4:$CL$40,MATCH(ROW()-3,$NO$4:$NO$40,0)))</f>
        <v/>
      </c>
      <c r="NQ29">
        <f>IF(COUNTIF('Buyer Groups'!DG82:DV82,0)+COUNTIF('Buyer Groups'!DX82:EN82,0)&gt;0,0,1)</f>
        <v/>
      </c>
      <c r="NR29">
        <f>IF($CQ$29="",FALSE,SUMPRODUCT(('Final Calculation Sheet'!$Q$4:$Q$40=$CQ$29)*($NQ$6:$NQ$42=1))&gt;0)</f>
        <v/>
      </c>
      <c r="NS29">
        <f>$NS$28+--($NR29)</f>
        <v/>
      </c>
      <c r="NT29">
        <f>IF(ROW()-3&gt;MAX($NS$4:$NS$40),"",INDEX($CQ$4:$CQ$40,MATCH(ROW()-3,$NS$4:$NS$40,0)))</f>
        <v/>
      </c>
      <c r="NU29">
        <f>IF(COUNTIF('Buyer Groups'!DG82:DW82,0)+COUNTIF('Buyer Groups'!DY82:EN82,0)&gt;0,0,1)</f>
        <v/>
      </c>
      <c r="NV29">
        <f>IF($CV$29="",FALSE,SUMPRODUCT(('Final Calculation Sheet'!$R$4:$R$40=$CV$29)*($NU$6:$NU$42=1))&gt;0)</f>
        <v/>
      </c>
      <c r="NW29">
        <f>$NW$28+--($NV29)</f>
        <v/>
      </c>
      <c r="NX29">
        <f>IF(ROW()-3&gt;MAX($NW$4:$NW$40),"",INDEX($CV$4:$CV$40,MATCH(ROW()-3,$NW$4:$NW$40,0)))</f>
        <v/>
      </c>
      <c r="NY29">
        <f>IF(COUNTIF('Buyer Groups'!DG82:DX82,0)+COUNTIF('Buyer Groups'!DZ82:EN82,0)&gt;0,0,1)</f>
        <v/>
      </c>
      <c r="NZ29">
        <f>IF($DA$29="",FALSE,SUMPRODUCT(('Final Calculation Sheet'!$S$4:$S$40=$DA$29)*($NY$6:$NY$42=1))&gt;0)</f>
        <v/>
      </c>
      <c r="OA29">
        <f>$OA$28+--($NZ29)</f>
        <v/>
      </c>
      <c r="OB29">
        <f>IF(ROW()-3&gt;MAX($OA$4:$OA$40),"",INDEX($DA$4:$DA$40,MATCH(ROW()-3,$OA$4:$OA$40,0)))</f>
        <v/>
      </c>
      <c r="OC29">
        <f>IF(COUNTIF('Buyer Groups'!DG82:DY82,0)+COUNTIF('Buyer Groups'!EA82:EN82,0)&gt;0,0,1)</f>
        <v/>
      </c>
      <c r="OD29">
        <f>IF($DF$29="",FALSE,SUMPRODUCT(('Final Calculation Sheet'!$T$4:$T$40=$DF$29)*($OC$6:$OC$42=1))&gt;0)</f>
        <v/>
      </c>
      <c r="OE29">
        <f>$OE$28+--($OD29)</f>
        <v/>
      </c>
      <c r="OF29">
        <f>IF(ROW()-3&gt;MAX($OE$4:$OE$40),"",INDEX($DF$4:$DF$40,MATCH(ROW()-3,$OE$4:$OE$40,0)))</f>
        <v/>
      </c>
      <c r="OG29">
        <f>IF(COUNTIF('Buyer Groups'!DG82:DZ82,0)+COUNTIF('Buyer Groups'!EB82:EN82,0)&gt;0,0,1)</f>
        <v/>
      </c>
      <c r="OH29">
        <f>IF($DK$29="",FALSE,SUMPRODUCT(('Final Calculation Sheet'!$U$4:$U$40=$DK$29)*($OG$6:$OG$42=1))&gt;0)</f>
        <v/>
      </c>
      <c r="OI29">
        <f>$OI$28+--($OH29)</f>
        <v/>
      </c>
      <c r="OJ29">
        <f>IF(ROW()-3&gt;MAX($OI$4:$OI$40),"",INDEX($DK$4:$DK$40,MATCH(ROW()-3,$OI$4:$OI$40,0)))</f>
        <v/>
      </c>
      <c r="OK29">
        <f>IF(COUNTIF('Buyer Groups'!DG82:EA82,0)+COUNTIF('Buyer Groups'!EC82:EN82,0)&gt;0,0,1)</f>
        <v/>
      </c>
      <c r="OL29">
        <f>IF($DP$29="",FALSE,SUMPRODUCT(('Final Calculation Sheet'!$V$4:$V$40=$DP$29)*($OK$6:$OK$42=1))&gt;0)</f>
        <v/>
      </c>
      <c r="OM29">
        <f>$OM$28+--($OL29)</f>
        <v/>
      </c>
      <c r="ON29">
        <f>IF(ROW()-3&gt;MAX($OM$4:$OM$40),"",INDEX($DP$4:$DP$40,MATCH(ROW()-3,$OM$4:$OM$40,0)))</f>
        <v/>
      </c>
      <c r="OO29">
        <f>IF(COUNTIF('Buyer Groups'!DG82:EB82,0)+COUNTIF('Buyer Groups'!ED82:EN82,0)&gt;0,0,1)</f>
        <v/>
      </c>
      <c r="OP29">
        <f>IF($DU$29="",FALSE,SUMPRODUCT(('Final Calculation Sheet'!$W$4:$W$40=$DU$29)*($OO$6:$OO$42=1))&gt;0)</f>
        <v/>
      </c>
      <c r="OQ29">
        <f>$OQ$28+--($OP29)</f>
        <v/>
      </c>
      <c r="OR29">
        <f>IF(ROW()-3&gt;MAX($OQ$4:$OQ$40),"",INDEX($DU$4:$DU$40,MATCH(ROW()-3,$OQ$4:$OQ$40,0)))</f>
        <v/>
      </c>
      <c r="OS29">
        <f>IF(COUNTIF('Buyer Groups'!DG82:EC82,0)+COUNTIF('Buyer Groups'!EE82:EN82,0)&gt;0,0,1)</f>
        <v/>
      </c>
      <c r="OT29">
        <f>IF($DZ$29="",FALSE,SUMPRODUCT(('Final Calculation Sheet'!$X$4:$X$40=$DZ$29)*($OS$6:$OS$42=1))&gt;0)</f>
        <v/>
      </c>
      <c r="OU29">
        <f>$OU$28+--($OT29)</f>
        <v/>
      </c>
      <c r="OV29">
        <f>IF(ROW()-3&gt;MAX($OU$4:$OU$40),"",INDEX($DZ$4:$DZ$40,MATCH(ROW()-3,$OU$4:$OU$40,0)))</f>
        <v/>
      </c>
      <c r="OW29">
        <f>IF(COUNTIF('Buyer Groups'!DG82:ED82,0)+COUNTIF('Buyer Groups'!EF82:EN82,0)&gt;0,0,1)</f>
        <v/>
      </c>
      <c r="OX29">
        <f>IF($EE$29="",FALSE,SUMPRODUCT(('Final Calculation Sheet'!$Y$4:$Y$40=$EE$29)*($OW$6:$OW$42=1))&gt;0)</f>
        <v/>
      </c>
      <c r="OY29">
        <f>$OY$28+--($OX29)</f>
        <v/>
      </c>
      <c r="OZ29">
        <f>IF(ROW()-3&gt;MAX($OY$4:$OY$40),"",INDEX($EE$4:$EE$40,MATCH(ROW()-3,$OY$4:$OY$40,0)))</f>
        <v/>
      </c>
      <c r="PA29">
        <f>IF(COUNTIF('Buyer Groups'!DG82:EE82,0)+COUNTIF('Buyer Groups'!EG82:EN82,0)&gt;0,0,1)</f>
        <v/>
      </c>
      <c r="PB29">
        <f>IF($EJ$29="",FALSE,SUMPRODUCT(('Final Calculation Sheet'!$Z$4:$Z$40=$EJ$29)*($PA$6:$PA$42=1))&gt;0)</f>
        <v/>
      </c>
      <c r="PC29">
        <f>$PC$28+--($PB29)</f>
        <v/>
      </c>
      <c r="PD29">
        <f>IF(ROW()-3&gt;MAX($PC$4:$PC$40),"",INDEX($EJ$4:$EJ$40,MATCH(ROW()-3,$PC$4:$PC$40,0)))</f>
        <v/>
      </c>
      <c r="PE29">
        <f>IF(COUNTIF('Buyer Groups'!DG82:EF82,0)+COUNTIF('Buyer Groups'!EH82:EN82,0)&gt;0,0,1)</f>
        <v/>
      </c>
      <c r="PF29">
        <f>IF($EO$29="",FALSE,SUMPRODUCT(('Final Calculation Sheet'!$AA$4:$AA$40=$EO$29)*($PE$6:$PE$42=1))&gt;0)</f>
        <v/>
      </c>
      <c r="PG29">
        <f>$PG$28+--($PF29)</f>
        <v/>
      </c>
      <c r="PH29">
        <f>IF(ROW()-3&gt;MAX($PG$4:$PG$40),"",INDEX($EO$4:$EO$40,MATCH(ROW()-3,$PG$4:$PG$40,0)))</f>
        <v/>
      </c>
      <c r="PI29">
        <f>IF(COUNTIF('Buyer Groups'!DG82:EG82,0)+COUNTIF('Buyer Groups'!EI82:EN82,0)&gt;0,0,1)</f>
        <v/>
      </c>
      <c r="PJ29">
        <f>IF($ET$29="",FALSE,SUMPRODUCT(('Final Calculation Sheet'!$AB$4:$AB$40=$ET$29)*($PI$6:$PI$42=1))&gt;0)</f>
        <v/>
      </c>
      <c r="PK29">
        <f>$PK$28+--($PJ29)</f>
        <v/>
      </c>
      <c r="PL29">
        <f>IF(ROW()-3&gt;MAX($PK$4:$PK$40),"",INDEX($ET$4:$ET$40,MATCH(ROW()-3,$PK$4:$PK$40,0)))</f>
        <v/>
      </c>
      <c r="PM29">
        <f>IF(COUNTIF('Buyer Groups'!DG82:EH82,0)+COUNTIF('Buyer Groups'!EJ82:EN82,0)&gt;0,0,1)</f>
        <v/>
      </c>
      <c r="PN29">
        <f>IF($EY$29="",FALSE,SUMPRODUCT(('Final Calculation Sheet'!$AC$4:$AC$40=$EY$29)*($PM$6:$PM$42=1))&gt;0)</f>
        <v/>
      </c>
      <c r="PO29">
        <f>$PO$28+--($PN29)</f>
        <v/>
      </c>
      <c r="PP29">
        <f>IF(ROW()-3&gt;MAX($PO$4:$PO$40),"",INDEX($EY$4:$EY$40,MATCH(ROW()-3,$PO$4:$PO$40,0)))</f>
        <v/>
      </c>
      <c r="PQ29">
        <f>IF(COUNTIF('Buyer Groups'!DG82:EI82,0)+COUNTIF('Buyer Groups'!EK82:EN82,0)&gt;0,0,1)</f>
        <v/>
      </c>
      <c r="PR29">
        <f>IF($FD$29="",FALSE,SUMPRODUCT(('Final Calculation Sheet'!$AD$4:$AD$40=$FD$29)*($PQ$6:$PQ$42=1))&gt;0)</f>
        <v/>
      </c>
      <c r="PS29">
        <f>$PS$28+--($PR29)</f>
        <v/>
      </c>
      <c r="PT29">
        <f>IF(ROW()-3&gt;MAX($PS$4:$PS$40),"",INDEX($FD$4:$FD$40,MATCH(ROW()-3,$PS$4:$PS$40,0)))</f>
        <v/>
      </c>
      <c r="PU29">
        <f>IF(COUNTIF('Buyer Groups'!DG82:EJ82,0)+COUNTIF('Buyer Groups'!EL82:EN82,0)&gt;0,0,1)</f>
        <v/>
      </c>
      <c r="PV29">
        <f>IF($FX$29="",FALSE,SUMPRODUCT((IF('Final Calculation Sheet'!$AD$4:$AD$40&lt;=5,"SETTLED","OUTSTANDING")=$FX$29)*($PU$6:$PU$42=1))&gt;0)</f>
        <v/>
      </c>
      <c r="PW29">
        <f>$PW$28+--($PV29)</f>
        <v/>
      </c>
      <c r="PX29">
        <f>IF(ROW()-3&gt;MAX($PW$4:$PW$40),"",INDEX($FX$4:$FX$40,MATCH(ROW()-3,$PW$4:$PW$40,0)))</f>
        <v/>
      </c>
      <c r="PY29">
        <f>IF(COUNTIF('Buyer Groups'!DG82:EK82,0)+COUNTIF('Buyer Groups'!EM82:EN82,0)&gt;0,0,1)</f>
        <v/>
      </c>
      <c r="PZ29">
        <f>IF($FI$29="",FALSE,SUMPRODUCT(('Final Calculation Sheet'!$AF$4:$AF$40=$FI$29)*($PY$6:$PY$42=1))&gt;0)</f>
        <v/>
      </c>
      <c r="QA29">
        <f>$QA$28+--($PZ29)</f>
        <v/>
      </c>
      <c r="QB29">
        <f>IF(ROW()-3&gt;MAX($QA$4:$QA$40),"",INDEX($FI$4:$FI$40,MATCH(ROW()-3,$QA$4:$QA$40,0)))</f>
        <v/>
      </c>
      <c r="QC29">
        <f>IF(COUNTIF('Buyer Groups'!DG82:EL82,0)+COUNTIF('Buyer Groups'!EN82:EN82,0)&gt;0,0,1)</f>
        <v/>
      </c>
      <c r="QD29">
        <f>IF($FN$29="",FALSE,SUMPRODUCT(('Final Calculation Sheet'!$AG$4:$AG$40=$FN$29)*($QC$6:$QC$42=1))&gt;0)</f>
        <v/>
      </c>
      <c r="QE29">
        <f>$QE$28+--($QD29)</f>
        <v/>
      </c>
      <c r="QF29">
        <f>IF(ROW()-3&gt;MAX($QE$4:$QE$40),"",INDEX($FN$4:$FN$40,MATCH(ROW()-3,$QE$4:$QE$40,0)))</f>
        <v/>
      </c>
      <c r="QG29">
        <f>IF(COUNTIF('Buyer Groups'!DG82:EM82,0)&gt;0,0,1)</f>
        <v/>
      </c>
      <c r="QH29">
        <f>IF($FS$29="",FALSE,SUMPRODUCT(('Final Calculation Sheet'!$AH$4:$AH$40=$FS$29)*($QG$6:$QG$42=1))&gt;0)</f>
        <v/>
      </c>
      <c r="QI29">
        <f>$QI$28+--($QH29)</f>
        <v/>
      </c>
      <c r="QJ29">
        <f>IF(ROW()-3&gt;MAX($QI$4:$QI$40),"",INDEX($FS$4:$FS$40,MATCH(ROW()-3,$QI$4:$QI$40,0)))</f>
        <v/>
      </c>
      <c r="QK29" t="str">
        <f>IF('Final Calculation Sheet'!$AH$29="","",'Final Calculation Sheet'!$AH$29)</f>
      </c>
      <c r="QL29" t="str">
        <f>IF(QK29="","",COUNTIFS(QK$4:QK$40,"&lt;"&amp;QK29,QK$4:QK$40,"&lt;&gt;"&amp;"")+COUNTIF(QK$4:QK29,QK29))</f>
      </c>
      <c r="QM29" t="str">
        <f>IF(ROW()-3&gt;COUNTIF(QK$4:QK$40,"&lt;&gt;"&amp;""),"",INDEX(QK$4:QK$40,MATCH(ROW()-3,QL$4:QL$40,0)))</f>
      </c>
      <c r="QN29" t="str">
        <f>=QN28+F(AND(QM29&lt;&gt;"",COUNTIF(QM$4:QM29,QM29)=1),1,0)</f>
      </c>
      <c r="QO29" t="str">
        <f>IF(ROW()-3&gt;MAX(QN$4:QN$40),"",INDEX(QM$4:QM$40,MATCH(ROW()-3,QN$4:QN$40,0)))</f>
      </c>
      <c r="QP29" t="str">
        <f>IF(COUNTIF('Final Calculation Sheet'!$AM29:$BS29,0)&gt;0,0,1)</f>
      </c>
      <c r="QQ29" t="str">
        <f>IF($AI$29="",FALSE,SUMPRODUCT(('Final Calculation Sheet'!$A$4:$A$40=$AI$29)*($QP$4:$QP$40=1))&gt;0)</f>
      </c>
      <c r="QR29" t="str">
        <f>=$QR28+--($QQ29)</f>
      </c>
      <c r="QS29" t="str">
        <f>IF(ROW()-3&gt;MAX($QR$4:$QR$40),"",INDEX($AI$4:$AI$40,MATCH(ROW()-3,$QR$4:$QR$40,0)))</f>
      </c>
      <c r="QT29" t="str">
        <f>IF(COUNTIF('Final Calculation Sheet'!$AL29:$AL29,0)+COUNTIF('Final Calculation Sheet'!$AN29:$BS29,0)&gt;0,0,1)</f>
      </c>
      <c r="QU29" t="str">
        <f>IF($Y$29="",FALSE,SUMPRODUCT(('Final Calculation Sheet'!$B$4:$B$40=$Y$29)*($QT$4:$QT$40=1))&gt;0)</f>
      </c>
      <c r="QV29" t="str">
        <f>=$QV28+--($QU29)</f>
      </c>
      <c r="QW29" t="str">
        <f>IF(ROW()-3&gt;MAX($QV$4:$QV$40),"",INDEX($Y$4:$Y$40,MATCH(ROW()-3,$QV$4:$QV$40,0)))</f>
      </c>
      <c r="QX29" t="str">
        <f>IF(COUNTIF('Final Calculation Sheet'!$AL29:$AM29,0)+COUNTIF('Final Calculation Sheet'!$AO29:$BS29,0)&gt;0,0,1)</f>
      </c>
      <c r="QY29" t="str">
        <f>IF($AS$29="",FALSE,SUMPRODUCT(('Final Calculation Sheet'!$C$4:$C$40=$AS$29)*($QX$4:$QX$40=1))&gt;0)</f>
      </c>
      <c r="QZ29" t="str">
        <f>=$QZ28+--($QY29)</f>
      </c>
      <c r="RA29" t="str">
        <f>IF(ROW()-3&gt;MAX($QZ$4:$QZ$40),"",INDEX($AS$4:$AS$40,MATCH(ROW()-3,$QZ$4:$QZ$40,0)))</f>
      </c>
      <c r="RB29" t="str">
        <f>IF(COUNTIF('Final Calculation Sheet'!$AL29:$AN29,0)+COUNTIF('Final Calculation Sheet'!$AP29:$BS29,0)&gt;0,0,1)</f>
      </c>
      <c r="RC29" t="str">
        <f>IF($AD$29="",FALSE,SUMPRODUCT(('Final Calculation Sheet'!$D$4:$D$40=$AD$29)*($RB$4:$RB$40=1))&gt;0)</f>
      </c>
      <c r="RD29" t="str">
        <f>=$RD28+--($RC29)</f>
      </c>
      <c r="RE29" t="str">
        <f>IF(ROW()-3&gt;MAX($RD$4:$RD$40),"",INDEX($AD$4:$AD$40,MATCH(ROW()-3,$RD$4:$RD$40,0)))</f>
      </c>
      <c r="RF29" t="str">
        <f>IF(COUNTIF('Final Calculation Sheet'!$AL29:$AO29,0)+COUNTIF('Final Calculation Sheet'!$AQ29:$BS29,0)&gt;0,0,1)</f>
      </c>
      <c r="RG29" t="str">
        <f>IF($AN$29="",FALSE,SUMPRODUCT(('Final Calculation Sheet'!$E$4:$E$40=$AN$29)*($RF$4:$RF$40=1))&gt;0)</f>
      </c>
      <c r="RH29" t="str">
        <f>=$RH28+--($RG29)</f>
      </c>
      <c r="RI29" t="str">
        <f>IF(ROW()-3&gt;MAX($RH$4:$RH$40),"",INDEX($AN$4:$AN$40,MATCH(ROW()-3,$RH$4:$RH$40,0)))</f>
      </c>
      <c r="RJ29" t="str">
        <f>IF(COUNTIF('Final Calculation Sheet'!$AL29:$AP29,0)+COUNTIF('Final Calculation Sheet'!$AR29:$BS29,0)&gt;0,0,1)</f>
      </c>
      <c r="RK29" t="str">
        <f>IF($O$29="",FALSE,SUMPRODUCT(('Final Calculation Sheet'!$F$4:$F$40=$O$29)*($RJ$4:$RJ$40=1))&gt;0)</f>
      </c>
      <c r="RL29" t="str">
        <f>=$RL28+--($RK29)</f>
      </c>
      <c r="RM29" t="str">
        <f>IF(ROW()-3&gt;MAX($RL$4:$RL$40),"",INDEX($O$4:$O$40,MATCH(ROW()-3,$RL$4:$RL$40,0)))</f>
      </c>
      <c r="RN29" t="str">
        <f>IF(COUNTIF('Final Calculation Sheet'!$AL29:$AQ29,0)+COUNTIF('Final Calculation Sheet'!$AS29:$BS29,0)&gt;0,0,1)</f>
      </c>
      <c r="RO29" t="str">
        <f>IF($T$29="",FALSE,SUMPRODUCT(('Final Calculation Sheet'!$G$4:$G$40=$T$29)*($RN$4:$RN$40=1))&gt;0)</f>
      </c>
      <c r="RP29" t="str">
        <f>=$RP28+--($RO29)</f>
      </c>
      <c r="RQ29" t="str">
        <f>IF(ROW()-3&gt;MAX($RP$4:$RP$40),"",INDEX($T$4:$T$40,MATCH(ROW()-3,$RP$4:$RP$40,0)))</f>
      </c>
      <c r="RR29" t="str">
        <f>IF(COUNTIF('Final Calculation Sheet'!$AL29:$AR29,0)+COUNTIF('Final Calculation Sheet'!$AT29:$BS29,0)&gt;0,0,1)</f>
      </c>
      <c r="RS29" t="str">
        <f>IF($AX$29="",FALSE,SUMPRODUCT(('Final Calculation Sheet'!$H$4:$H$40=$AX$29)*($RR$4:$RR$40=1))&gt;0)</f>
      </c>
      <c r="RT29" t="str">
        <f>=$RT28+--($RS29)</f>
      </c>
      <c r="RU29" t="str">
        <f>IF(ROW()-3&gt;MAX($RT$4:$RT$40),"",INDEX($AX$4:$AX$40,MATCH(ROW()-3,$RT$4:$RT$40,0)))</f>
      </c>
      <c r="RV29" t="str">
        <f>IF(COUNTIF('Final Calculation Sheet'!$AL29:$AS29,0)+COUNTIF('Final Calculation Sheet'!$AU29:$BS29,0)&gt;0,0,1)</f>
      </c>
      <c r="RW29" t="str">
        <f>IF($BC$29="",FALSE,SUMPRODUCT(('Final Calculation Sheet'!$I$4:$I$40=$BC$29)*($RV$4:$RV$40=1))&gt;0)</f>
      </c>
      <c r="RX29" t="str">
        <f>=$RX28+--($RW29)</f>
      </c>
      <c r="RY29" t="str">
        <f>IF(ROW()-3&gt;MAX($RX$4:$RX$40),"",INDEX($BC$4:$BC$40,MATCH(ROW()-3,$RX$4:$RX$40,0)))</f>
      </c>
      <c r="RZ29" t="str">
        <f>IF(COUNTIF('Final Calculation Sheet'!$AL29:$AT29,0)+COUNTIF('Final Calculation Sheet'!$AV29:$BS29,0)&gt;0,0,1)</f>
      </c>
      <c r="SA29" t="str">
        <f>IF($BH$29="",FALSE,SUMPRODUCT(('Final Calculation Sheet'!$J$4:$J$40=$BH$29)*($RZ$4:$RZ$40=1))&gt;0)</f>
      </c>
      <c r="SB29" t="str">
        <f>=$SB28+--($SA29)</f>
      </c>
      <c r="SC29" t="str">
        <f>IF(ROW()-3&gt;MAX($SB$4:$SB$40),"",INDEX($BH$4:$BH$40,MATCH(ROW()-3,$SB$4:$SB$40,0)))</f>
      </c>
      <c r="SD29" t="str">
        <f>IF(COUNTIF('Final Calculation Sheet'!$AL29:$AU29,0)+COUNTIF('Final Calculation Sheet'!$AW29:$BS29,0)&gt;0,0,1)</f>
      </c>
      <c r="SE29" t="str">
        <f>IF($BM$29="",FALSE,SUMPRODUCT(('Final Calculation Sheet'!$K$4:$K$40=$BM$29)*($SD$4:$SD$40=1))&gt;0)</f>
      </c>
      <c r="SF29" t="str">
        <f>=$SF28+--($SE29)</f>
      </c>
      <c r="SG29" t="str">
        <f>IF(ROW()-3&gt;MAX($SF$4:$SF$40),"",INDEX($BM$4:$BM$40,MATCH(ROW()-3,$SF$4:$SF$40,0)))</f>
      </c>
      <c r="SH29" t="str">
        <f>IF(COUNTIF('Final Calculation Sheet'!$AL29:$AV29,0)+COUNTIF('Final Calculation Sheet'!$AX29:$BS29,0)&gt;0,0,1)</f>
      </c>
      <c r="SI29" t="str">
        <f>IF($BR$29="",FALSE,SUMPRODUCT(('Final Calculation Sheet'!$L$4:$L$40=$BR$29)*($SH$4:$SH$40=1))&gt;0)</f>
      </c>
      <c r="SJ29" t="str">
        <f>=$SJ28+--($SI29)</f>
      </c>
      <c r="SK29" t="str">
        <f>IF(ROW()-3&gt;MAX($SJ$4:$SJ$40),"",INDEX($BR$4:$BR$40,MATCH(ROW()-3,$SJ$4:$SJ$40,0)))</f>
      </c>
      <c r="SL29" t="str">
        <f>IF(COUNTIF('Final Calculation Sheet'!$AL29:$AW29,0)+COUNTIF('Final Calculation Sheet'!$AY29:$BS29,0)&gt;0,0,1)</f>
      </c>
      <c r="SM29" t="str">
        <f>IF($BW$29="",FALSE,SUMPRODUCT(('Final Calculation Sheet'!$M$4:$M$40=$BW$29)*($SL$4:$SL$40=1))&gt;0)</f>
      </c>
      <c r="SN29" t="str">
        <f>=$SN28+--($SM29)</f>
      </c>
      <c r="SO29" t="str">
        <f>IF(ROW()-3&gt;MAX($SN$4:$SN$40),"",INDEX($BW$4:$BW$40,MATCH(ROW()-3,$SN$4:$SN$40,0)))</f>
      </c>
      <c r="SP29" t="str">
        <f>IF(COUNTIF('Final Calculation Sheet'!$AL29:$AX29,0)+COUNTIF('Final Calculation Sheet'!$AZ29:$BS29,0)&gt;0,0,1)</f>
      </c>
      <c r="SQ29" t="str">
        <f>IF($CB$29="",FALSE,SUMPRODUCT(('Final Calculation Sheet'!$N$4:$N$40=$CB$29)*($SP$4:$SP$40=1))&gt;0)</f>
      </c>
      <c r="SR29" t="str">
        <f>=$SR28+--($SQ29)</f>
      </c>
      <c r="SS29" t="str">
        <f>IF(ROW()-3&gt;MAX($SR$4:$SR$40),"",INDEX($CB$4:$CB$40,MATCH(ROW()-3,$SR$4:$SR$40,0)))</f>
      </c>
      <c r="ST29" t="str">
        <f>IF(COUNTIF('Final Calculation Sheet'!$AL29:$AY29,0)+COUNTIF('Final Calculation Sheet'!$BA29:$BS29,0)&gt;0,0,1)</f>
      </c>
      <c r="SU29" t="str">
        <f>IF($CG$29="",FALSE,SUMPRODUCT(('Final Calculation Sheet'!$O$4:$O$40=$CG$29)*($ST$4:$ST$40=1))&gt;0)</f>
      </c>
      <c r="SV29" t="str">
        <f>=$SV28+--($SU29)</f>
      </c>
      <c r="SW29" t="str">
        <f>IF(ROW()-3&gt;MAX($SV$4:$SV$40),"",INDEX($CG$4:$CG$40,MATCH(ROW()-3,$SV$4:$SV$40,0)))</f>
      </c>
      <c r="SX29" t="str">
        <f>IF(COUNTIF('Final Calculation Sheet'!$AL29:$AZ29,0)+COUNTIF('Final Calculation Sheet'!$BB29:$BS29,0)&gt;0,0,1)</f>
      </c>
      <c r="SY29" t="str">
        <f>IF($CL$29="",FALSE,SUMPRODUCT(('Final Calculation Sheet'!$P$4:$P$40=$CL$29)*($SX$4:$SX$40=1))&gt;0)</f>
      </c>
      <c r="SZ29" t="str">
        <f>=$SZ28+--($SY29)</f>
      </c>
      <c r="TA29" t="str">
        <f>IF(ROW()-3&gt;MAX($SZ$4:$SZ$40),"",INDEX($CL$4:$CL$40,MATCH(ROW()-3,$SZ$4:$SZ$40,0)))</f>
      </c>
      <c r="TB29" t="str">
        <f>IF(COUNTIF('Final Calculation Sheet'!$AL29:$BA29,0)+COUNTIF('Final Calculation Sheet'!$BC29:$BS29,0)&gt;0,0,1)</f>
      </c>
      <c r="TC29" t="str">
        <f>IF($CQ$29="",FALSE,SUMPRODUCT(('Final Calculation Sheet'!$Q$4:$Q$40=$CQ$29)*($TB$4:$TB$40=1))&gt;0)</f>
      </c>
      <c r="TD29" t="str">
        <f>=$TD28+--($TC29)</f>
      </c>
      <c r="TE29" t="str">
        <f>IF(ROW()-3&gt;MAX($TD$4:$TD$40),"",INDEX($CQ$4:$CQ$40,MATCH(ROW()-3,$TD$4:$TD$40,0)))</f>
      </c>
      <c r="TF29" t="str">
        <f>IF(COUNTIF('Final Calculation Sheet'!$AL29:$BB29,0)+COUNTIF('Final Calculation Sheet'!$BD29:$BS29,0)&gt;0,0,1)</f>
      </c>
      <c r="TG29" t="str">
        <f>IF($CV$29="",FALSE,SUMPRODUCT(('Final Calculation Sheet'!$R$4:$R$40=$CV$29)*($TF$4:$TF$40=1))&gt;0)</f>
      </c>
      <c r="TH29" t="str">
        <f>=$TH28+--($TG29)</f>
      </c>
      <c r="TI29" t="str">
        <f>IF(ROW()-3&gt;MAX($TH$4:$TH$40),"",INDEX($CV$4:$CV$40,MATCH(ROW()-3,$TH$4:$TH$40,0)))</f>
      </c>
      <c r="TJ29" t="str">
        <f>IF(COUNTIF('Final Calculation Sheet'!$AL29:$BC29,0)+COUNTIF('Final Calculation Sheet'!$BE29:$BS29,0)&gt;0,0,1)</f>
      </c>
      <c r="TK29" t="str">
        <f>IF($DA$29="",FALSE,SUMPRODUCT(('Final Calculation Sheet'!$S$4:$S$40=$DA$29)*($TJ$4:$TJ$40=1))&gt;0)</f>
      </c>
      <c r="TL29" t="str">
        <f>=$TL28+--($TK29)</f>
      </c>
      <c r="TM29" t="str">
        <f>IF(ROW()-3&gt;MAX($TL$4:$TL$40),"",INDEX($DA$4:$DA$40,MATCH(ROW()-3,$TL$4:$TL$40,0)))</f>
      </c>
      <c r="TN29" t="str">
        <f>IF(COUNTIF('Final Calculation Sheet'!$AL29:$BD29,0)+COUNTIF('Final Calculation Sheet'!$BF29:$BS29,0)&gt;0,0,1)</f>
      </c>
      <c r="TO29" t="str">
        <f>IF($DF$29="",FALSE,SUMPRODUCT(('Final Calculation Sheet'!$T$4:$T$40=$DF$29)*($TN$4:$TN$40=1))&gt;0)</f>
      </c>
      <c r="TP29" t="str">
        <f>=$TP28+--($TO29)</f>
      </c>
      <c r="TQ29" t="str">
        <f>IF(ROW()-3&gt;MAX($TP$4:$TP$40),"",INDEX($DF$4:$DF$40,MATCH(ROW()-3,$TP$4:$TP$40,0)))</f>
      </c>
      <c r="TR29" t="str">
        <f>IF(COUNTIF('Final Calculation Sheet'!$AL29:$BE29,0)+COUNTIF('Final Calculation Sheet'!$BG29:$BS29,0)&gt;0,0,1)</f>
      </c>
      <c r="TS29" t="str">
        <f>IF($DK$29="",FALSE,SUMPRODUCT(('Final Calculation Sheet'!$U$4:$U$40=$DK$29)*($TR$4:$TR$40=1))&gt;0)</f>
      </c>
      <c r="TT29" t="str">
        <f>=$TT28+--($TS29)</f>
      </c>
      <c r="TU29" t="str">
        <f>IF(ROW()-3&gt;MAX($TT$4:$TT$40),"",INDEX($DK$4:$DK$40,MATCH(ROW()-3,$TT$4:$TT$40,0)))</f>
      </c>
      <c r="TV29" t="str">
        <f>IF(COUNTIF('Final Calculation Sheet'!$AL29:$BF29,0)+COUNTIF('Final Calculation Sheet'!$BH29:$BS29,0)&gt;0,0,1)</f>
      </c>
      <c r="TW29" t="str">
        <f>IF($DP$29="",FALSE,SUMPRODUCT(('Final Calculation Sheet'!$V$4:$V$40=$DP$29)*($TV$4:$TV$40=1))&gt;0)</f>
      </c>
      <c r="TX29" t="str">
        <f>=$TX28+--($TW29)</f>
      </c>
      <c r="TY29" t="str">
        <f>IF(ROW()-3&gt;MAX($TX$4:$TX$40),"",INDEX($DP$4:$DP$40,MATCH(ROW()-3,$TX$4:$TX$40,0)))</f>
      </c>
      <c r="TZ29" t="str">
        <f>IF(COUNTIF('Final Calculation Sheet'!$AL29:$BG29,0)+COUNTIF('Final Calculation Sheet'!$BI29:$BS29,0)&gt;0,0,1)</f>
      </c>
      <c r="UA29" t="str">
        <f>IF($DU$29="",FALSE,SUMPRODUCT(('Final Calculation Sheet'!$W$4:$W$40=$DU$29)*($TZ$4:$TZ$40=1))&gt;0)</f>
      </c>
      <c r="UB29" t="str">
        <f>=$UB28+--($UA29)</f>
      </c>
      <c r="UC29" t="str">
        <f>IF(ROW()-3&gt;MAX($UB$4:$UB$40),"",INDEX($DU$4:$DU$40,MATCH(ROW()-3,$UB$4:$UB$40,0)))</f>
      </c>
      <c r="UD29" t="str">
        <f>IF(COUNTIF('Final Calculation Sheet'!$AL29:$BH29,0)+COUNTIF('Final Calculation Sheet'!$BJ29:$BS29,0)&gt;0,0,1)</f>
      </c>
      <c r="UE29" t="str">
        <f>IF($DZ$29="",FALSE,SUMPRODUCT(('Final Calculation Sheet'!$X$4:$X$40=$DZ$29)*($UD$4:$UD$40=1))&gt;0)</f>
      </c>
      <c r="UF29" t="str">
        <f>=$UF28+--($UE29)</f>
      </c>
      <c r="UG29" t="str">
        <f>IF(ROW()-3&gt;MAX($UF$4:$UF$40),"",INDEX($DZ$4:$DZ$40,MATCH(ROW()-3,$UF$4:$UF$40,0)))</f>
      </c>
      <c r="UH29" t="str">
        <f>IF(COUNTIF('Final Calculation Sheet'!$AL29:$BI29,0)+COUNTIF('Final Calculation Sheet'!$BK29:$BS29,0)&gt;0,0,1)</f>
      </c>
      <c r="UI29" t="str">
        <f>IF($EE$29="",FALSE,SUMPRODUCT(('Final Calculation Sheet'!$Y$4:$Y$40=$EE$29)*($UH$4:$UH$40=1))&gt;0)</f>
      </c>
      <c r="UJ29" t="str">
        <f>=$UJ28+--($UI29)</f>
      </c>
      <c r="UK29" t="str">
        <f>IF(ROW()-3&gt;MAX($UJ$4:$UJ$40),"",INDEX($EE$4:$EE$40,MATCH(ROW()-3,$UJ$4:$UJ$40,0)))</f>
      </c>
      <c r="UL29" t="str">
        <f>IF(COUNTIF('Final Calculation Sheet'!$AL29:$BJ29,0)+COUNTIF('Final Calculation Sheet'!$BL29:$BS29,0)&gt;0,0,1)</f>
      </c>
      <c r="UM29" t="str">
        <f>IF($EJ$29="",FALSE,SUMPRODUCT(('Final Calculation Sheet'!$Z$4:$Z$40=$EJ$29)*($UL$4:$UL$40=1))&gt;0)</f>
      </c>
      <c r="UN29" t="str">
        <f>=$UN28+--($UM29)</f>
      </c>
      <c r="UO29" t="str">
        <f>IF(ROW()-3&gt;MAX($UN$4:$UN$40),"",INDEX($EJ$4:$EJ$40,MATCH(ROW()-3,$UN$4:$UN$40,0)))</f>
      </c>
      <c r="UP29" t="str">
        <f>IF(COUNTIF('Final Calculation Sheet'!$AL29:$BK29,0)+COUNTIF('Final Calculation Sheet'!$BM29:$BS29,0)&gt;0,0,1)</f>
      </c>
      <c r="UQ29" t="str">
        <f>IF($EO$29="",FALSE,SUMPRODUCT(('Final Calculation Sheet'!$AA$4:$AA$40=$EO$29)*($UP$4:$UP$40=1))&gt;0)</f>
      </c>
      <c r="UR29" t="str">
        <f>=$UR28+--($UQ29)</f>
      </c>
      <c r="US29" t="str">
        <f>IF(ROW()-3&gt;MAX($UR$4:$UR$40),"",INDEX($EO$4:$EO$40,MATCH(ROW()-3,$UR$4:$UR$40,0)))</f>
      </c>
      <c r="UT29" t="str">
        <f>IF(COUNTIF('Final Calculation Sheet'!$AL29:$BL29,0)+COUNTIF('Final Calculation Sheet'!$BN29:$BS29,0)&gt;0,0,1)</f>
      </c>
      <c r="UU29" t="str">
        <f>IF($ET$29="",FALSE,SUMPRODUCT(('Final Calculation Sheet'!$AB$4:$AB$40=$ET$29)*($UT$4:$UT$40=1))&gt;0)</f>
      </c>
      <c r="UV29" t="str">
        <f>=$UV28+--($UU29)</f>
      </c>
      <c r="UW29" t="str">
        <f>IF(ROW()-3&gt;MAX($UV$4:$UV$40),"",INDEX($ET$4:$ET$40,MATCH(ROW()-3,$UV$4:$UV$40,0)))</f>
      </c>
      <c r="UX29" t="str">
        <f>IF(COUNTIF('Final Calculation Sheet'!$AL29:$BM29,0)+COUNTIF('Final Calculation Sheet'!$BO29:$BS29,0)&gt;0,0,1)</f>
      </c>
      <c r="UY29" t="str">
        <f>IF($EY$29="",FALSE,SUMPRODUCT(('Final Calculation Sheet'!$AC$4:$AC$40=$EY$29)*($UX$4:$UX$40=1))&gt;0)</f>
      </c>
      <c r="UZ29" t="str">
        <f>=$UZ28+--($UY29)</f>
      </c>
      <c r="VA29" t="str">
        <f>IF(ROW()-3&gt;MAX($UZ$4:$UZ$40),"",INDEX($EY$4:$EY$40,MATCH(ROW()-3,$UZ$4:$UZ$40,0)))</f>
      </c>
      <c r="VB29" t="str">
        <f>IF(COUNTIF('Final Calculation Sheet'!$AL29:$BN29,0)+COUNTIF('Final Calculation Sheet'!$BP29:$BS29,0)&gt;0,0,1)</f>
      </c>
      <c r="VC29" t="str">
        <f>IF($FD$29="",FALSE,SUMPRODUCT(('Final Calculation Sheet'!$AD$4:$AD$40=$FD$29)*($VB$4:$VB$40=1))&gt;0)</f>
      </c>
      <c r="VD29" t="str">
        <f>=$VD28+--($VC29)</f>
      </c>
      <c r="VE29" t="str">
        <f>IF(ROW()-3&gt;MAX($VD$4:$VD$40),"",INDEX($FD$4:$FD$40,MATCH(ROW()-3,$VD$4:$VD$40,0)))</f>
      </c>
      <c r="VF29" t="str">
        <f>IF(COUNTIF('Final Calculation Sheet'!$AL29:$BO29,0)+COUNTIF('Final Calculation Sheet'!$BQ29:$BS29,0)&gt;0,0,1)</f>
      </c>
      <c r="VG29" t="str">
        <f>IF($FI$29="",FALSE,SUMPRODUCT(('Final Calculation Sheet'!$AE$4:$AE$40=$FI$29)*($VF$4:$VF$40=1))&gt;0)</f>
      </c>
      <c r="VH29" t="str">
        <f>=$VH28+--($VG29)</f>
      </c>
      <c r="VI29" t="str">
        <f>IF(ROW()-3&gt;MAX($VH$4:$VH$40),"",INDEX($FI$4:$FI$40,MATCH(ROW()-3,$VH$4:$VH$40,0)))</f>
      </c>
      <c r="VJ29" t="str">
        <f>IF(COUNTIF('Final Calculation Sheet'!$AL29:$BP29,0)+COUNTIF('Final Calculation Sheet'!$BR29:$BS29,0)&gt;0,0,1)</f>
      </c>
      <c r="VK29" t="str">
        <f>IF($FN$29="",FALSE,SUMPRODUCT(('Final Calculation Sheet'!$AF$4:$AF$40=$FN$29)*($VJ$4:$VJ$40=1))&gt;0)</f>
      </c>
      <c r="VL29" t="str">
        <f>=$VL28+--($VK29)</f>
      </c>
      <c r="VM29" t="str">
        <f>IF(ROW()-3&gt;MAX($VL$4:$VL$40),"",INDEX($FN$4:$FN$40,MATCH(ROW()-3,$VL$4:$VL$40,0)))</f>
      </c>
      <c r="VN29" t="str">
        <f>IF(COUNTIF('Final Calculation Sheet'!$AL29:$BQ29,0)+COUNTIF('Final Calculation Sheet'!$BS29:$BS29,0)&gt;0,0,1)</f>
      </c>
      <c r="VO29" t="str">
        <f>IF($FS$29="",FALSE,SUMPRODUCT(('Final Calculation Sheet'!$AG$4:$AG$40=$FS$29)*($VN$4:$VN$40=1))&gt;0)</f>
      </c>
      <c r="VP29" t="str">
        <f>=$VP28+--($VO29)</f>
      </c>
      <c r="VQ29" t="str">
        <f>IF(ROW()-3&gt;MAX($VP$4:$VP$40),"",INDEX($FS$4:$FS$40,MATCH(ROW()-3,$VP$4:$VP$40,0)))</f>
      </c>
      <c r="VR29" t="str">
        <f>IF(COUNTIF('Final Calculation Sheet'!$AL29:$BR29,0)&gt;0,0,1)</f>
      </c>
      <c r="VS29" t="str">
        <f>IF($QO$29="",FALSE,SUMPRODUCT(('Final Calculation Sheet'!$AH$4:$AH$40=$QO$29)*($VR$4:$VR$40=1))&gt;0)</f>
      </c>
      <c r="VT29" t="str">
        <f>=$VT28+--($VS29)</f>
      </c>
      <c r="VU29" t="str">
        <f>IF(ROW()-3&gt;MAX($VT$4:$VT$40),"",INDEX($QO$4:$QO$40,MATCH(ROW()-3,$VT$4:$VT$40,0)))</f>
      </c>
    </row>
    <row r="30">
      <c r="A30">
        <f>IF('Final Calculation Sheet'!$F$30="","",'Final Calculation Sheet'!$F$30)</f>
        <v/>
      </c>
      <c r="B30">
        <f>IF(A30="","",COUNTIFS(A$4:A$114,"&lt;"&amp;A30,A$4:A$114,"&lt;&gt;"&amp;"")+COUNTIF(A$4:A30,A30))</f>
        <v/>
      </c>
      <c r="C30">
        <f>IF(ROW()-3&gt;COUNTIF(A$4:A$114,"&lt;&gt;"&amp;""),"",INDEX(A$4:A$114,MATCH(ROW()-3,B$4:B$114,0)))</f>
        <v/>
      </c>
      <c r="D30">
        <f>D29+IF(AND(C30&lt;&gt;"",COUNTIF(C$4:C30,C30)=1),1,0)</f>
        <v/>
      </c>
      <c r="E30">
        <f>IF(ROW()-3&gt;MAX(D$4:D$114),"",INDEX(C$4:C$114,MATCH(ROW()-3,D$4:D$114,0)))</f>
        <v/>
      </c>
      <c r="F30">
        <f>ROW()-3</f>
        <v/>
      </c>
      <c r="G30">
        <f>IF(F30="","",COUNTIFS(F$4:F$40,"&lt;"&amp;F30,F$4:F$40,"&lt;&gt;"&amp;"")+COUNTIF(F$4:F30,F30))</f>
        <v/>
      </c>
      <c r="H30">
        <f>IF(ROW()-3&gt;COUNTIF(F$4:F$40,"&lt;&gt;"&amp;""),"",INDEX(F$4:F$40,MATCH(ROW()-3,G$4:G$40,0)))</f>
        <v/>
      </c>
      <c r="I30">
        <f>I29+IF(AND(H30&lt;&gt;"",COUNTIF(H$4:H30,H30)=1),1,0)</f>
        <v/>
      </c>
      <c r="J30">
        <f>IF(ROW()-3&gt;MAX(I$4:I$40),"",INDEX(H$4:H$40,MATCH(ROW()-3,I$4:I$40,0)))</f>
        <v/>
      </c>
      <c r="K30">
        <f>IF('Final Calculation Sheet'!$F$30="","",'Final Calculation Sheet'!$F$30)</f>
        <v/>
      </c>
      <c r="L30">
        <f>IF(K30="","",COUNTIFS(K$4:K$40,"&lt;"&amp;K30,K$4:K$40,"&lt;&gt;"&amp;"")+COUNTIF(K$4:K30,K30))</f>
        <v/>
      </c>
      <c r="M30">
        <f>IF(ROW()-3&gt;COUNTIF(K$4:K$40,"&lt;&gt;"&amp;""),"",INDEX(K$4:K$40,MATCH(ROW()-3,L$4:L$40,0)))</f>
        <v/>
      </c>
      <c r="N30">
        <f>N29+IF(AND(M30&lt;&gt;"",COUNTIF(M$4:M30,M30)=1),1,0)</f>
        <v/>
      </c>
      <c r="O30">
        <f>IF(ROW()-3&gt;MAX(N$4:N$40),"",INDEX(M$4:M$40,MATCH(ROW()-3,N$4:N$40,0)))</f>
        <v/>
      </c>
      <c r="P30">
        <f>IF('Final Calculation Sheet'!$G$30="","",'Final Calculation Sheet'!$G$30)</f>
        <v/>
      </c>
      <c r="Q30">
        <f>IF(P30="","",COUNTIFS(P$4:P$40,"&lt;"&amp;P30,P$4:P$40,"&lt;&gt;"&amp;"")+COUNTIF(P$4:P30,P30))</f>
        <v/>
      </c>
      <c r="R30">
        <f>IF(ROW()-3&gt;COUNTIF(P$4:P$40,"&lt;&gt;"&amp;""),"",INDEX(P$4:P$40,MATCH(ROW()-3,Q$4:Q$40,0)))</f>
        <v/>
      </c>
      <c r="S30">
        <f>S29+IF(AND(R30&lt;&gt;"",COUNTIF(R$4:R30,R30)=1),1,0)</f>
        <v/>
      </c>
      <c r="T30">
        <f>IF(ROW()-3&gt;MAX(S$4:S$40),"",INDEX(R$4:R$40,MATCH(ROW()-3,S$4:S$40,0)))</f>
        <v/>
      </c>
      <c r="U30">
        <f>IF('Final Calculation Sheet'!$B$30="","",'Final Calculation Sheet'!$B$30)</f>
        <v/>
      </c>
      <c r="V30">
        <f>IF(U30="","",COUNTIFS(U$4:U$40,"&lt;"&amp;U30,U$4:U$40,"&lt;&gt;"&amp;"")+COUNTIF(U$4:U30,U30))</f>
        <v/>
      </c>
      <c r="W30">
        <f>IF(ROW()-3&gt;COUNTIF(U$4:U$40,"&lt;&gt;"&amp;""),"",INDEX(U$4:U$40,MATCH(ROW()-3,V$4:V$40,0)))</f>
        <v/>
      </c>
      <c r="X30">
        <f>X29+IF(AND(W30&lt;&gt;"",COUNTIF(W$4:W30,W30)=1),1,0)</f>
        <v/>
      </c>
      <c r="Y30">
        <f>IF(ROW()-3&gt;MAX(X$4:X$40),"",INDEX(W$4:W$40,MATCH(ROW()-3,X$4:X$40,0)))</f>
        <v/>
      </c>
      <c r="Z30">
        <f>IF('Final Calculation Sheet'!$D$30="","",'Final Calculation Sheet'!$D$30)</f>
        <v/>
      </c>
      <c r="AA30">
        <f>IF(Z30="","",COUNTIFS(Z$4:Z$40,"&lt;"&amp;Z30,Z$4:Z$40,"&lt;&gt;"&amp;"")+COUNTIF(Z$4:Z30,Z30))</f>
        <v/>
      </c>
      <c r="AB30">
        <f>IF(ROW()-3&gt;COUNTIF(Z$4:Z$40,"&lt;&gt;"&amp;""),"",INDEX(Z$4:Z$40,MATCH(ROW()-3,AA$4:AA$40,0)))</f>
        <v/>
      </c>
      <c r="AC30">
        <f>AC29+IF(AND(AB30&lt;&gt;"",COUNTIF(AB$4:AB30,AB30)=1),1,0)</f>
        <v/>
      </c>
      <c r="AD30">
        <f>IF(ROW()-3&gt;MAX(AC$4:AC$40),"",INDEX(AB$4:AB$40,MATCH(ROW()-3,AC$4:AC$40,0)))</f>
        <v/>
      </c>
      <c r="AE30">
        <f>IF('Final Calculation Sheet'!$A$30="","",'Final Calculation Sheet'!$A$30)</f>
        <v/>
      </c>
      <c r="AF30">
        <f>IF(AE30="","",COUNTIFS(AE$4:AE$40,"&lt;"&amp;AE30,AE$4:AE$40,"&lt;&gt;"&amp;"")+COUNTIF(AE$4:AE30,AE30))</f>
        <v/>
      </c>
      <c r="AG30">
        <f>IF(ROW()-3&gt;COUNTIF(AE$4:AE$40,"&lt;&gt;"&amp;""),"",INDEX(AE$4:AE$40,MATCH(ROW()-3,AF$4:AF$40,0)))</f>
        <v/>
      </c>
      <c r="AH30">
        <f>AH29+IF(AND(AG30&lt;&gt;"",COUNTIF(AG$4:AG30,AG30)=1),1,0)</f>
        <v/>
      </c>
      <c r="AI30">
        <f>IF(ROW()-3&gt;MAX(AH$4:AH$40),"",INDEX(AG$4:AG$40,MATCH(ROW()-3,AH$4:AH$40,0)))</f>
        <v/>
      </c>
      <c r="AJ30">
        <f>IF('Final Calculation Sheet'!$E$30="","",'Final Calculation Sheet'!$E$30)</f>
        <v/>
      </c>
      <c r="AK30">
        <f>IF(AJ30="","",COUNTIFS(AJ$4:AJ$40,"&lt;"&amp;AJ30,AJ$4:AJ$40,"&lt;&gt;"&amp;"")+COUNTIF(AJ$4:AJ30,AJ30))</f>
        <v/>
      </c>
      <c r="AL30">
        <f>IF(ROW()-3&gt;COUNTIF(AJ$4:AJ$40,"&lt;&gt;"&amp;""),"",INDEX(AJ$4:AJ$40,MATCH(ROW()-3,AK$4:AK$40,0)))</f>
        <v/>
      </c>
      <c r="AM30">
        <f>AM29+IF(AND(AL30&lt;&gt;"",COUNTIF(AL$4:AL30,AL30)=1),1,0)</f>
        <v/>
      </c>
      <c r="AN30">
        <f>IF(ROW()-3&gt;MAX(AM$4:AM$40),"",INDEX(AL$4:AL$40,MATCH(ROW()-3,AM$4:AM$40,0)))</f>
        <v/>
      </c>
      <c r="AO30" s="55">
        <f>IF('Final Calculation Sheet'!$C$30="","",'Final Calculation Sheet'!$C$30)</f>
        <v/>
      </c>
      <c r="AP30">
        <f>IF(AO30="","",COUNTIFS(AO$4:AO$40,"&lt;"&amp;AO30,AO$4:AO$40,"&lt;&gt;"&amp;"")+COUNTIF(AO$4:AO30,AO30))</f>
        <v/>
      </c>
      <c r="AQ30" s="55">
        <f>IF(ROW()-3&gt;COUNTIF(AO$4:AO$40,"&lt;&gt;"&amp;""),"",INDEX(AO$4:AO$40,MATCH(ROW()-3,AP$4:AP$40,0)))</f>
        <v/>
      </c>
      <c r="AR30">
        <f>AR29+IF(AND(AQ30&lt;&gt;"",COUNTIF(AQ$4:AQ30,AQ30)=1),1,0)</f>
        <v/>
      </c>
      <c r="AS30" s="55">
        <f>IF(ROW()-3&gt;MAX(AR$4:AR$40),"",INDEX(AQ$4:AQ$40,MATCH(ROW()-3,AR$4:AR$40,0)))</f>
        <v/>
      </c>
      <c r="AT30" s="55">
        <f>IF('Final Calculation Sheet'!$H$30="","",'Final Calculation Sheet'!$H$30)</f>
        <v/>
      </c>
      <c r="AU30">
        <f>IF(AT30="","",COUNTIFS(AT$4:AT$40,"&lt;"&amp;AT30,AT$4:AT$40,"&lt;&gt;"&amp;"")+COUNTIF(AT$4:AT30,AT30))</f>
        <v/>
      </c>
      <c r="AV30" s="55">
        <f>IF(ROW()-3&gt;COUNTIF(AT$4:AT$40,"&lt;&gt;"&amp;""),"",INDEX(AT$4:AT$40,MATCH(ROW()-3,AU$4:AU$40,0)))</f>
        <v/>
      </c>
      <c r="AW30">
        <f>AW29+IF(AND(AV30&lt;&gt;"",COUNTIF(AV$4:AV30,AV30)=1),1,0)</f>
        <v/>
      </c>
      <c r="AX30" s="55">
        <f>IF(ROW()-3&gt;MAX(AW$4:AW$40),"",INDEX(AV$4:AV$40,MATCH(ROW()-3,AW$4:AW$40,0)))</f>
        <v/>
      </c>
      <c r="AY30" s="55">
        <f>IF('Final Calculation Sheet'!$I$30="","",'Final Calculation Sheet'!$I$30)</f>
        <v/>
      </c>
      <c r="AZ30">
        <f>IF(AY30="","",COUNTIFS(AY$4:AY$40,"&lt;"&amp;AY30,AY$4:AY$40,"&lt;&gt;"&amp;"")+COUNTIF(AY$4:AY30,AY30))</f>
        <v/>
      </c>
      <c r="BA30" s="55">
        <f>IF(ROW()-3&gt;COUNTIF(AY$4:AY$40,"&lt;&gt;"&amp;""),"",INDEX(AY$4:AY$40,MATCH(ROW()-3,AZ$4:AZ$40,0)))</f>
        <v/>
      </c>
      <c r="BB30">
        <f>BB29+IF(AND(BA30&lt;&gt;"",COUNTIF(BA$4:BA30,BA30)=1),1,0)</f>
        <v/>
      </c>
      <c r="BC30" s="55">
        <f>IF(ROW()-3&gt;MAX(BB$4:BB$40),"",INDEX(BA$4:BA$40,MATCH(ROW()-3,BB$4:BB$40,0)))</f>
        <v/>
      </c>
      <c r="BD30" s="55">
        <f>IF('Final Calculation Sheet'!$J$30="","",'Final Calculation Sheet'!$J$30)</f>
        <v/>
      </c>
      <c r="BE30">
        <f>IF(BD30="","",COUNTIFS(BD$4:BD$40,"&lt;"&amp;BD30,BD$4:BD$40,"&lt;&gt;"&amp;"")+COUNTIF(BD$4:BD30,BD30))</f>
        <v/>
      </c>
      <c r="BF30" s="55">
        <f>IF(ROW()-3&gt;COUNTIF(BD$4:BD$40,"&lt;&gt;"&amp;""),"",INDEX(BD$4:BD$40,MATCH(ROW()-3,BE$4:BE$40,0)))</f>
        <v/>
      </c>
      <c r="BG30">
        <f>BG29+IF(AND(BF30&lt;&gt;"",COUNTIF(BF$4:BF30,BF30)=1),1,0)</f>
        <v/>
      </c>
      <c r="BH30" s="55">
        <f>IF(ROW()-3&gt;MAX(BG$4:BG$40),"",INDEX(BF$4:BF$40,MATCH(ROW()-3,BG$4:BG$40,0)))</f>
        <v/>
      </c>
      <c r="BI30" s="55">
        <f>IF('Final Calculation Sheet'!$K$30="","",'Final Calculation Sheet'!$K$30)</f>
        <v/>
      </c>
      <c r="BJ30">
        <f>IF(BI30="","",COUNTIFS(BI$4:BI$40,"&lt;"&amp;BI30,BI$4:BI$40,"&lt;&gt;"&amp;"")+COUNTIF(BI$4:BI30,BI30))</f>
        <v/>
      </c>
      <c r="BK30" s="55">
        <f>IF(ROW()-3&gt;COUNTIF(BI$4:BI$40,"&lt;&gt;"&amp;""),"",INDEX(BI$4:BI$40,MATCH(ROW()-3,BJ$4:BJ$40,0)))</f>
        <v/>
      </c>
      <c r="BL30">
        <f>BL29+IF(AND(BK30&lt;&gt;"",COUNTIF(BK$4:BK30,BK30)=1),1,0)</f>
        <v/>
      </c>
      <c r="BM30" s="55">
        <f>IF(ROW()-3&gt;MAX(BL$4:BL$40),"",INDEX(BK$4:BK$40,MATCH(ROW()-3,BL$4:BL$40,0)))</f>
        <v/>
      </c>
      <c r="BN30" s="55">
        <f>IF('Final Calculation Sheet'!$L$30="","",'Final Calculation Sheet'!$L$30)</f>
        <v/>
      </c>
      <c r="BO30">
        <f>IF(BN30="","",COUNTIFS(BN$4:BN$40,"&lt;"&amp;BN30,BN$4:BN$40,"&lt;&gt;"&amp;"")+COUNTIF(BN$4:BN30,BN30))</f>
        <v/>
      </c>
      <c r="BP30" s="55">
        <f>IF(ROW()-3&gt;COUNTIF(BN$4:BN$40,"&lt;&gt;"&amp;""),"",INDEX(BN$4:BN$40,MATCH(ROW()-3,BO$4:BO$40,0)))</f>
        <v/>
      </c>
      <c r="BQ30">
        <f>BQ29+IF(AND(BP30&lt;&gt;"",COUNTIF(BP$4:BP30,BP30)=1),1,0)</f>
        <v/>
      </c>
      <c r="BR30" s="55">
        <f>IF(ROW()-3&gt;MAX(BQ$4:BQ$40),"",INDEX(BP$4:BP$40,MATCH(ROW()-3,BQ$4:BQ$40,0)))</f>
        <v/>
      </c>
      <c r="BS30" s="55">
        <f>IF('Final Calculation Sheet'!$M$30="","",'Final Calculation Sheet'!$M$30)</f>
        <v/>
      </c>
      <c r="BT30">
        <f>IF(BS30="","",COUNTIFS(BS$4:BS$40,"&lt;"&amp;BS30,BS$4:BS$40,"&lt;&gt;"&amp;"")+COUNTIF(BS$4:BS30,BS30))</f>
        <v/>
      </c>
      <c r="BU30" s="55">
        <f>IF(ROW()-3&gt;COUNTIF(BS$4:BS$40,"&lt;&gt;"&amp;""),"",INDEX(BS$4:BS$40,MATCH(ROW()-3,BT$4:BT$40,0)))</f>
        <v/>
      </c>
      <c r="BV30">
        <f>BV29+IF(AND(BU30&lt;&gt;"",COUNTIF(BU$4:BU30,BU30)=1),1,0)</f>
        <v/>
      </c>
      <c r="BW30" s="55">
        <f>IF(ROW()-3&gt;MAX(BV$4:BV$40),"",INDEX(BU$4:BU$40,MATCH(ROW()-3,BV$4:BV$40,0)))</f>
        <v/>
      </c>
      <c r="BX30" s="138">
        <f>IF('Final Calculation Sheet'!$N$30="","",'Final Calculation Sheet'!$N$30)</f>
        <v/>
      </c>
      <c r="BY30">
        <f>IF(BX30="","",COUNTIFS(BX$4:BX$40,"&lt;"&amp;BX30,BX$4:BX$40,"&lt;&gt;"&amp;"")+COUNTIF(BX$4:BX30,BX30))</f>
        <v/>
      </c>
      <c r="BZ30" s="138">
        <f>IF(ROW()-3&gt;COUNTIF(BX$4:BX$40,"&lt;&gt;"&amp;""),"",INDEX(BX$4:BX$40,MATCH(ROW()-3,BY$4:BY$40,0)))</f>
        <v/>
      </c>
      <c r="CA30">
        <f>CA29+IF(AND(BZ30&lt;&gt;"",COUNTIF(BZ$4:BZ30,BZ30)=1),1,0)</f>
        <v/>
      </c>
      <c r="CB30" s="138">
        <f>IF(ROW()-3&gt;MAX(CA$4:CA$40),"",INDEX(BZ$4:BZ$40,MATCH(ROW()-3,CA$4:CA$40,0)))</f>
        <v/>
      </c>
      <c r="CC30" s="55">
        <f>IF('Final Calculation Sheet'!$O$30="","",'Final Calculation Sheet'!$O$30)</f>
        <v/>
      </c>
      <c r="CD30">
        <f>IF(CC30="","",COUNTIFS(CC$4:CC$40,"&lt;"&amp;CC30,CC$4:CC$40,"&lt;&gt;"&amp;"")+COUNTIF(CC$4:CC30,CC30))</f>
        <v/>
      </c>
      <c r="CE30" s="55">
        <f>IF(ROW()-3&gt;COUNTIF(CC$4:CC$40,"&lt;&gt;"&amp;""),"",INDEX(CC$4:CC$40,MATCH(ROW()-3,CD$4:CD$40,0)))</f>
        <v/>
      </c>
      <c r="CF30">
        <f>CF29+IF(AND(CE30&lt;&gt;"",COUNTIF(CE$4:CE30,CE30)=1),1,0)</f>
        <v/>
      </c>
      <c r="CG30" s="55">
        <f>IF(ROW()-3&gt;MAX(CF$4:CF$40),"",INDEX(CE$4:CE$40,MATCH(ROW()-3,CF$4:CF$40,0)))</f>
        <v/>
      </c>
      <c r="CH30" s="55">
        <f>IF('Final Calculation Sheet'!$P$30="","",'Final Calculation Sheet'!$P$30)</f>
        <v/>
      </c>
      <c r="CI30">
        <f>IF(CH30="","",COUNTIFS(CH$4:CH$40,"&lt;"&amp;CH30,CH$4:CH$40,"&lt;&gt;"&amp;"")+COUNTIF(CH$4:CH30,CH30))</f>
        <v/>
      </c>
      <c r="CJ30" s="55">
        <f>IF(ROW()-3&gt;COUNTIF(CH$4:CH$40,"&lt;&gt;"&amp;""),"",INDEX(CH$4:CH$40,MATCH(ROW()-3,CI$4:CI$40,0)))</f>
        <v/>
      </c>
      <c r="CK30">
        <f>CK29+IF(AND(CJ30&lt;&gt;"",COUNTIF(CJ$4:CJ30,CJ30)=1),1,0)</f>
        <v/>
      </c>
      <c r="CL30" s="55">
        <f>IF(ROW()-3&gt;MAX(CK$4:CK$40),"",INDEX(CJ$4:CJ$40,MATCH(ROW()-3,CK$4:CK$40,0)))</f>
        <v/>
      </c>
      <c r="CM30" s="139">
        <f>IF('Final Calculation Sheet'!$Q$30="","",'Final Calculation Sheet'!$Q$30)</f>
        <v/>
      </c>
      <c r="CN30">
        <f>IF(CM30="","",COUNTIFS(CM$4:CM$40,"&lt;"&amp;CM30,CM$4:CM$40,"&lt;&gt;"&amp;"")+COUNTIF(CM$4:CM30,CM30))</f>
        <v/>
      </c>
      <c r="CO30" s="139">
        <f>IF(ROW()-3&gt;COUNTIF(CM$4:CM$40,"&lt;&gt;"&amp;""),"",INDEX(CM$4:CM$40,MATCH(ROW()-3,CN$4:CN$40,0)))</f>
        <v/>
      </c>
      <c r="CP30">
        <f>CP29+IF(AND(CO30&lt;&gt;"",COUNTIF(CO$4:CO30,CO30)=1),1,0)</f>
        <v/>
      </c>
      <c r="CQ30">
        <f>IF(ROW()-3&gt;MAX(CP$4:CP$40),"",INDEX(CO$4:CO$40,MATCH(ROW()-3,CP$4:CP$40,0)))</f>
        <v/>
      </c>
      <c r="CR30" s="55">
        <f>IF('Final Calculation Sheet'!$R$30="","",'Final Calculation Sheet'!$R$30)</f>
        <v/>
      </c>
      <c r="CS30">
        <f>IF(CR30="","",COUNTIFS(CR$4:CR$40,"&lt;"&amp;CR30,CR$4:CR$40,"&lt;&gt;"&amp;"")+COUNTIF(CR$4:CR30,CR30))</f>
        <v/>
      </c>
      <c r="CT30" s="55">
        <f>IF(ROW()-3&gt;COUNTIF(CR$4:CR$40,"&lt;&gt;"&amp;""),"",INDEX(CR$4:CR$40,MATCH(ROW()-3,CS$4:CS$40,0)))</f>
        <v/>
      </c>
      <c r="CU30">
        <f>CU29+IF(AND(CT30&lt;&gt;"",COUNTIF(CT$4:CT30,CT30)=1),1,0)</f>
        <v/>
      </c>
      <c r="CV30">
        <f>IF(ROW()-3&gt;MAX(CU$4:CU$40),"",INDEX(CT$4:CT$40,MATCH(ROW()-3,CU$4:CU$40,0)))</f>
        <v/>
      </c>
      <c r="CW30" s="55">
        <f>IF('Final Calculation Sheet'!$S$30="","",'Final Calculation Sheet'!$S$30)</f>
        <v/>
      </c>
      <c r="CX30">
        <f>IF(CW30="","",COUNTIFS(CW$4:CW$40,"&lt;"&amp;CW30,CW$4:CW$40,"&lt;&gt;"&amp;"")+COUNTIF(CW$4:CW30,CW30))</f>
        <v/>
      </c>
      <c r="CY30" s="55">
        <f>IF(ROW()-3&gt;COUNTIF(CW$4:CW$40,"&lt;&gt;"&amp;""),"",INDEX(CW$4:CW$40,MATCH(ROW()-3,CX$4:CX$40,0)))</f>
        <v/>
      </c>
      <c r="CZ30">
        <f>CZ29+IF(AND(CY30&lt;&gt;"",COUNTIF(CY$4:CY30,CY30)=1),1,0)</f>
        <v/>
      </c>
      <c r="DA30" s="55">
        <f>IF(ROW()-3&gt;MAX(CZ$4:CZ$40),"",INDEX(CY$4:CY$40,MATCH(ROW()-3,CZ$4:CZ$40,0)))</f>
        <v/>
      </c>
      <c r="DB30" s="55">
        <f>IF('Final Calculation Sheet'!$T$30="","",'Final Calculation Sheet'!$T$30)</f>
        <v/>
      </c>
      <c r="DC30">
        <f>IF(DB30="","",COUNTIFS(DB$4:DB$40,"&lt;"&amp;DB30,DB$4:DB$40,"&lt;&gt;"&amp;"")+COUNTIF(DB$4:DB30,DB30))</f>
        <v/>
      </c>
      <c r="DD30" s="55">
        <f>IF(ROW()-3&gt;COUNTIF(DB$4:DB$40,"&lt;&gt;"&amp;""),"",INDEX(DB$4:DB$40,MATCH(ROW()-3,DC$4:DC$40,0)))</f>
        <v/>
      </c>
      <c r="DE30">
        <f>DE29+IF(AND(DD30&lt;&gt;"",COUNTIF(DD$4:DD30,DD30)=1),1,0)</f>
        <v/>
      </c>
      <c r="DF30" s="55">
        <f>IF(ROW()-3&gt;MAX(DE$4:DE$40),"",INDEX(DD$4:DD$40,MATCH(ROW()-3,DE$4:DE$40,0)))</f>
        <v/>
      </c>
      <c r="DG30" s="140">
        <f>IF('Final Calculation Sheet'!$U$30="","",'Final Calculation Sheet'!$U$30)</f>
        <v/>
      </c>
      <c r="DH30">
        <f>IF(DG30="","",COUNTIFS(DG$4:DG$40,"&lt;"&amp;DG30,DG$4:DG$40,"&lt;&gt;"&amp;"")+COUNTIF(DG$4:DG30,DG30))</f>
        <v/>
      </c>
      <c r="DI30" s="140">
        <f>IF(ROW()-3&gt;COUNTIF(DG$4:DG$40,"&lt;&gt;"&amp;""),"",INDEX(DG$4:DG$40,MATCH(ROW()-3,DH$4:DH$40,0)))</f>
        <v/>
      </c>
      <c r="DJ30">
        <f>DJ29+IF(AND(DI30&lt;&gt;"",COUNTIF(DI$4:DI30,DI30)=1),1,0)</f>
        <v/>
      </c>
      <c r="DK30" s="140">
        <f>IF(ROW()-3&gt;MAX(DJ$4:DJ$40),"",INDEX(DI$4:DI$40,MATCH(ROW()-3,DJ$4:DJ$40,0)))</f>
        <v/>
      </c>
      <c r="DL30">
        <f>IF('Final Calculation Sheet'!$V$30="","",'Final Calculation Sheet'!$V$30)</f>
        <v/>
      </c>
      <c r="DM30">
        <f>IF(DL30="","",COUNTIFS(DL$4:DL$40,"&lt;"&amp;DL30,DL$4:DL$40,"&lt;&gt;"&amp;"")+COUNTIF(DL$4:DL30,DL30))</f>
        <v/>
      </c>
      <c r="DN30">
        <f>IF(ROW()-3&gt;COUNTIF(DL$4:DL$40,"&lt;&gt;"&amp;""),"",INDEX(DL$4:DL$40,MATCH(ROW()-3,DM$4:DM$40,0)))</f>
        <v/>
      </c>
      <c r="DO30">
        <f>DO29+IF(AND(DN30&lt;&gt;"",COUNTIF(DN$4:DN30,DN30)=1),1,0)</f>
        <v/>
      </c>
      <c r="DP30">
        <f>IF(ROW()-3&gt;MAX(DO$4:DO$40),"",INDEX(DN$4:DN$40,MATCH(ROW()-3,DO$4:DO$40,0)))</f>
        <v/>
      </c>
      <c r="DQ30" s="55">
        <f>IF('Final Calculation Sheet'!$W$30="","",'Final Calculation Sheet'!$W$30)</f>
        <v/>
      </c>
      <c r="DR30">
        <f>IF(DQ30="","",COUNTIFS(DQ$4:DQ$40,"&lt;"&amp;DQ30,DQ$4:DQ$40,"&lt;&gt;"&amp;"")+COUNTIF(DQ$4:DQ30,DQ30))</f>
        <v/>
      </c>
      <c r="DS30" s="55">
        <f>IF(ROW()-3&gt;COUNTIF(DQ$4:DQ$40,"&lt;&gt;"&amp;""),"",INDEX(DQ$4:DQ$40,MATCH(ROW()-3,DR$4:DR$40,0)))</f>
        <v/>
      </c>
      <c r="DT30">
        <f>DT29+IF(AND(DS30&lt;&gt;"",COUNTIF(DS$4:DS30,DS30)=1),1,0)</f>
        <v/>
      </c>
      <c r="DU30" s="55">
        <f>IF(ROW()-3&gt;MAX(DT$4:DT$40),"",INDEX(DS$4:DS$40,MATCH(ROW()-3,DT$4:DT$40,0)))</f>
        <v/>
      </c>
      <c r="DV30" s="55">
        <f>IF('Final Calculation Sheet'!$X$30="","",'Final Calculation Sheet'!$X$30)</f>
        <v/>
      </c>
      <c r="DW30">
        <f>IF(DV30="","",COUNTIFS(DV$4:DV$40,"&lt;"&amp;DV30,DV$4:DV$40,"&lt;&gt;"&amp;"")+COUNTIF(DV$4:DV30,DV30))</f>
        <v/>
      </c>
      <c r="DX30" s="55">
        <f>IF(ROW()-3&gt;COUNTIF(DV$4:DV$40,"&lt;&gt;"&amp;""),"",INDEX(DV$4:DV$40,MATCH(ROW()-3,DW$4:DW$40,0)))</f>
        <v/>
      </c>
      <c r="DY30">
        <f>DY29+IF(AND(DX30&lt;&gt;"",COUNTIF(DX$4:DX30,DX30)=1),1,0)</f>
        <v/>
      </c>
      <c r="DZ30">
        <f>IF(ROW()-3&gt;MAX(DY$4:DY$40),"",INDEX(DX$4:DX$40,MATCH(ROW()-3,DY$4:DY$40,0)))</f>
        <v/>
      </c>
      <c r="EA30">
        <f>IF('Final Calculation Sheet'!$Y$30="","",'Final Calculation Sheet'!$Y$30)</f>
        <v/>
      </c>
      <c r="EB30">
        <f>IF(EA30="","",COUNTIFS(EA$4:EA$40,"&lt;"&amp;EA30,EA$4:EA$40,"&lt;&gt;"&amp;"")+COUNTIF(EA$4:EA30,EA30))</f>
        <v/>
      </c>
      <c r="EC30">
        <f>IF(ROW()-3&gt;COUNTIF(EA$4:EA$40,"&lt;&gt;"&amp;""),"",INDEX(EA$4:EA$40,MATCH(ROW()-3,EB$4:EB$40,0)))</f>
        <v/>
      </c>
      <c r="ED30">
        <f>ED29+IF(AND(EC30&lt;&gt;"",COUNTIF(EC$4:EC30,EC30)=1),1,0)</f>
        <v/>
      </c>
      <c r="EE30">
        <f>IF(ROW()-3&gt;MAX(ED$4:ED$40),"",INDEX(EC$4:EC$40,MATCH(ROW()-3,ED$4:ED$40,0)))</f>
        <v/>
      </c>
      <c r="EF30" s="55">
        <f>IF('Final Calculation Sheet'!$Z$30="","",'Final Calculation Sheet'!$Z$30)</f>
        <v/>
      </c>
      <c r="EG30">
        <f>IF(EF30="","",COUNTIFS(EF$4:EF$40,"&lt;"&amp;EF30,EF$4:EF$40,"&lt;&gt;"&amp;"")+COUNTIF(EF$4:EF30,EF30))</f>
        <v/>
      </c>
      <c r="EH30" s="55">
        <f>IF(ROW()-3&gt;COUNTIF(EF$4:EF$40,"&lt;&gt;"&amp;""),"",INDEX(EF$4:EF$40,MATCH(ROW()-3,EG$4:EG$40,0)))</f>
        <v/>
      </c>
      <c r="EI30">
        <f>EI29+IF(AND(EH30&lt;&gt;"",COUNTIF(EH$4:EH30,EH30)=1),1,0)</f>
        <v/>
      </c>
      <c r="EJ30">
        <f>IF(ROW()-3&gt;MAX(EI$4:EI$40),"",INDEX(EH$4:EH$40,MATCH(ROW()-3,EI$4:EI$40,0)))</f>
        <v/>
      </c>
      <c r="EK30">
        <f>IF('Final Calculation Sheet'!$AA$30="","",'Final Calculation Sheet'!$AA$30)</f>
        <v/>
      </c>
      <c r="EL30">
        <f>IF(EK30="","",COUNTIFS(EK$4:EK$40,"&lt;"&amp;EK30,EK$4:EK$40,"&lt;&gt;"&amp;"")+COUNTIF(EK$4:EK30,EK30))</f>
        <v/>
      </c>
      <c r="EM30">
        <f>IF(ROW()-3&gt;COUNTIF(EK$4:EK$40,"&lt;&gt;"&amp;""),"",INDEX(EK$4:EK$40,MATCH(ROW()-3,EL$4:EL$40,0)))</f>
        <v/>
      </c>
      <c r="EN30">
        <f>EN29+IF(AND(EM30&lt;&gt;"",COUNTIF(EM$4:EM30,EM30)=1),1,0)</f>
        <v/>
      </c>
      <c r="EO30">
        <f>IF(ROW()-3&gt;MAX(EN$4:EN$40),"",INDEX(EM$4:EM$40,MATCH(ROW()-3,EN$4:EN$40,0)))</f>
        <v/>
      </c>
      <c r="EP30">
        <f>IF('Final Calculation Sheet'!$AB$30="","",'Final Calculation Sheet'!$AB$30)</f>
        <v/>
      </c>
      <c r="EQ30">
        <f>IF(EP30="","",COUNTIFS(EP$4:EP$40,"&lt;"&amp;EP30,EP$4:EP$40,"&lt;&gt;"&amp;"")+COUNTIF(EP$4:EP30,EP30))</f>
        <v/>
      </c>
      <c r="ER30">
        <f>IF(ROW()-3&gt;COUNTIF(EP$4:EP$40,"&lt;&gt;"&amp;""),"",INDEX(EP$4:EP$40,MATCH(ROW()-3,EQ$4:EQ$40,0)))</f>
        <v/>
      </c>
      <c r="ES30">
        <f>ES29+IF(AND(ER30&lt;&gt;"",COUNTIF(ER$4:ER30,ER30)=1),1,0)</f>
        <v/>
      </c>
      <c r="ET30">
        <f>IF(ROW()-3&gt;MAX(ES$4:ES$40),"",INDEX(ER$4:ER$40,MATCH(ROW()-3,ES$4:ES$40,0)))</f>
        <v/>
      </c>
      <c r="EU30" s="55">
        <f>IF('Final Calculation Sheet'!$AC$30="","",'Final Calculation Sheet'!$AC$30)</f>
        <v/>
      </c>
      <c r="EV30">
        <f>IF(EU30="","",COUNTIFS(EU$4:EU$40,"&lt;"&amp;EU30,EU$4:EU$40,"&lt;&gt;"&amp;"")+COUNTIF(EU$4:EU30,EU30))</f>
        <v/>
      </c>
      <c r="EW30" s="55">
        <f>IF(ROW()-3&gt;COUNTIF(EU$4:EU$40,"&lt;&gt;"&amp;""),"",INDEX(EU$4:EU$40,MATCH(ROW()-3,EV$4:EV$40,0)))</f>
        <v/>
      </c>
      <c r="EX30">
        <f>EX29+IF(AND(EW30&lt;&gt;"",COUNTIF(EW$4:EW30,EW30)=1),1,0)</f>
        <v/>
      </c>
      <c r="EY30" s="55">
        <f>IF(ROW()-3&gt;MAX(EX$4:EX$40),"",INDEX(EW$4:EW$40,MATCH(ROW()-3,EX$4:EX$40,0)))</f>
        <v/>
      </c>
      <c r="EZ30" s="55">
        <f>IF('Final Calculation Sheet'!$AD$30="","",'Final Calculation Sheet'!$AD$30)</f>
        <v/>
      </c>
      <c r="FA30">
        <f>IF(EZ30="","",COUNTIFS(EZ$4:EZ$40,"&lt;"&amp;EZ30,EZ$4:EZ$40,"&lt;&gt;"&amp;"")+COUNTIF(EZ$4:EZ30,EZ30))</f>
        <v/>
      </c>
      <c r="FB30" s="55">
        <f>IF(ROW()-3&gt;COUNTIF(EZ$4:EZ$40,"&lt;&gt;"&amp;""),"",INDEX(EZ$4:EZ$40,MATCH(ROW()-3,FA$4:FA$40,0)))</f>
        <v/>
      </c>
      <c r="FC30">
        <f>FC29+IF(AND(FB30&lt;&gt;"",COUNTIF(FB$4:FB30,FB30)=1),1,0)</f>
        <v/>
      </c>
      <c r="FD30">
        <f>IF(ROW()-3&gt;MAX(FC$4:FC$40),"",INDEX(FB$4:FB$40,MATCH(ROW()-3,FC$4:FC$40,0)))</f>
        <v/>
      </c>
      <c r="FE30">
        <f>IF('Final Calculation Sheet'!$AF$30="","",'Final Calculation Sheet'!$AF$30)</f>
        <v/>
      </c>
      <c r="FF30">
        <f>IF(FE30="","",COUNTIFS(FE$4:FE$40,"&lt;"&amp;FE30,FE$4:FE$40,"&lt;&gt;"&amp;"")+COUNTIF(FE$4:FE30,FE30))</f>
        <v/>
      </c>
      <c r="FG30">
        <f>IF(ROW()-3&gt;COUNTIF(FE$4:FE$40,"&lt;&gt;"&amp;""),"",INDEX(FE$4:FE$40,MATCH(ROW()-3,FF$4:FF$40,0)))</f>
        <v/>
      </c>
      <c r="FH30">
        <f>FH29+IF(AND(FG30&lt;&gt;"",COUNTIF(FG$4:FG30,FG30)=1),1,0)</f>
        <v/>
      </c>
      <c r="FI30">
        <f>IF(ROW()-3&gt;MAX(FH$4:FH$40),"",INDEX(FG$4:FG$40,MATCH(ROW()-3,FH$4:FH$40,0)))</f>
        <v/>
      </c>
      <c r="FJ30" s="141">
        <f>IF('Final Calculation Sheet'!$AG$30="","",'Final Calculation Sheet'!$AG$30)</f>
        <v/>
      </c>
      <c r="FK30">
        <f>IF(FJ30="","",COUNTIFS(FJ$4:FJ$40,"&lt;"&amp;FJ30,FJ$4:FJ$40,"&lt;&gt;"&amp;"")+COUNTIF(FJ$4:FJ30,FJ30))</f>
        <v/>
      </c>
      <c r="FL30" s="141">
        <f>IF(ROW()-3&gt;COUNTIF(FJ$4:FJ$40,"&lt;&gt;"&amp;""),"",INDEX(FJ$4:FJ$40,MATCH(ROW()-3,FK$4:FK$40,0)))</f>
        <v/>
      </c>
      <c r="FM30">
        <f>FM29+IF(AND(FL30&lt;&gt;"",COUNTIF(FL$4:FL30,FL30)=1),1,0)</f>
        <v/>
      </c>
      <c r="FN30">
        <f>IF(ROW()-3&gt;MAX(FM$4:FM$40),"",INDEX(FL$4:FL$40,MATCH(ROW()-3,FM$4:FM$40,0)))</f>
        <v/>
      </c>
      <c r="FO30">
        <f>IF('Final Calculation Sheet'!$AH$30="","",'Final Calculation Sheet'!$AH$30)</f>
        <v/>
      </c>
      <c r="FP30">
        <f>IF(FO30="","",COUNTIFS(FO$4:FO$40,"&lt;"&amp;FO30,FO$4:FO$40,"&lt;&gt;"&amp;"")+COUNTIF(FO$4:FO30,FO30))</f>
        <v/>
      </c>
      <c r="FQ30">
        <f>IF(ROW()-3&gt;COUNTIF(FO$4:FO$40,"&lt;&gt;"&amp;""),"",INDEX(FO$4:FO$40,MATCH(ROW()-3,FP$4:FP$40,0)))</f>
        <v/>
      </c>
      <c r="FR30">
        <f>FR29+IF(AND(FQ30&lt;&gt;"",COUNTIF(FQ$4:FQ30,FQ30)=1),1,0)</f>
        <v/>
      </c>
      <c r="FS30">
        <f>IF(ROW()-3&gt;MAX(FR$4:FR$40),"",INDEX(FQ$4:FQ$40,MATCH(ROW()-3,FR$4:FR$40,0)))</f>
        <v/>
      </c>
      <c r="FU30">
        <f>IF(FT30="","",COUNTIFS(FT$4:FT$40,"&lt;"&amp;FT30,FT$4:FT$40,"&lt;&gt;"&amp;"")+COUNTIF(FT$4:FT30,FT30))</f>
        <v/>
      </c>
      <c r="FV30">
        <f>IF(ROW()-3&gt;COUNTIF(FT$4:FT$40,"&lt;&gt;"&amp;""),"",INDEX(FT$4:FT$40,MATCH(ROW()-3,FU$4:FU$40,0)))</f>
        <v/>
      </c>
      <c r="FW30">
        <f>FW29+IF(AND(FV30&lt;&gt;"",COUNTIF(FV$4:FV30,FV30)=1),1,0)</f>
        <v/>
      </c>
      <c r="FX30">
        <f>IF(ROW()-3&gt;MAX(FW$4:FW$40),"",INDEX(FV$4:FV$40,MATCH(ROW()-3,FW$4:FW$40,0)))</f>
        <v/>
      </c>
      <c r="FY30">
        <f>IF(COUNTIF('Live Search'!BM$29:BO$29,0)+COUNTIF('Live Search'!BQ$29:CU$29,0)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0">
        <f>IF($Y$30="",FALSE,SUMPRODUCT(('Final Calculation Sheet'!$B$4:$B$40=$Y$30)*($FY$6:$FY$42=1))&gt;0)</f>
        <v/>
      </c>
      <c r="GA30">
        <f>$GA$29+--($FZ$30)</f>
        <v/>
      </c>
      <c r="GB30">
        <f>IF(ROW()-3&gt;MAX($GA$4:$GA$40),"",INDEX($Y$4:$Y$40,MATCH(ROW()-3,$GA$4:$GA$40,0)))</f>
        <v/>
      </c>
      <c r="GC30">
        <f>IF(COUNTIF('Live Search'!BM$29:BM$29,0)+COUNTIF('Live Search'!BO$29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GD30">
        <f>IF($O$30="",FALSE,SUMPRODUCT(('Final Calculation Sheet'!$F$4:$F$40=$O$30)*($GC$6:$GC$42=1))&gt;0)</f>
        <v/>
      </c>
      <c r="GE30">
        <f>$GE$29+--($GD30)</f>
        <v/>
      </c>
      <c r="GF30">
        <f>IF(ROW()-3&gt;MAX($GE$4:$GE$40),"",INDEX($O$4:$O$40,MATCH(ROW()-3,$GE$4:$GE$40,0)))</f>
        <v/>
      </c>
      <c r="GG30">
        <f>IF(COUNTIF('Live Search'!BM$29:BN$29,0)+COUNTIF('Live Search'!BP$29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GH30">
        <f>IF($T$30="",FALSE,SUMPRODUCT(('Final Calculation Sheet'!$G$4:$G$40=$T$30)*($GG$6:$GG$42=1))&gt;0)</f>
        <v/>
      </c>
      <c r="GI30">
        <f>$GI$29+--($GH30)</f>
        <v/>
      </c>
      <c r="GJ30">
        <f>IF(ROW()-3&gt;MAX($GI$4:$GI$40),"",INDEX($T$4:$T$40,MATCH(ROW()-3,$GI$4:$GI$40,0)))</f>
        <v/>
      </c>
      <c r="GK30">
        <f>IF(COUNTIF('Live Search'!BM$29:BP$29,0)+COUNTIF('Live Search'!BR$29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GL30">
        <f>IF($AD$30="",FALSE,SUMPRODUCT(('Final Calculation Sheet'!$D$4:$D$40=$AD$30)*($GK$6:$GK$42=1))&gt;0)</f>
        <v/>
      </c>
      <c r="GM30">
        <f>$GM$29+--($GL30)</f>
        <v/>
      </c>
      <c r="GN30">
        <f>IF(ROW()-3&gt;MAX($GM$4:$GM$40),"",INDEX($AD$4:$AD$40,MATCH(ROW()-3,$GM$4:$GM$40,0)))</f>
        <v/>
      </c>
      <c r="GO30">
        <f>IF(COUNTIF('Live Search'!BM$29:BQ$29,0)+COUNTIF('Live Search'!BS$29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GP30">
        <f>IF($AI$30="",FALSE,SUMPRODUCT(('Final Calculation Sheet'!$A$4:$A$40=$AI$30)*($GO$6:$GO$42=1))&gt;0)</f>
        <v/>
      </c>
      <c r="GQ30">
        <f>$GQ$29+--($GP30)</f>
        <v/>
      </c>
      <c r="GR30">
        <f>IF(ROW()-3&gt;MAX($GQ$4:$GQ$40),"",INDEX($AI$4:$AI$40,MATCH(ROW()-3,$GQ$4:$GQ$40,0)))</f>
        <v/>
      </c>
      <c r="GS30">
        <f>IF(COUNTIF('Live Search'!BM$29:BR$29,0)+COUNTIF('Live Search'!BT$29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GT30">
        <f>IF($AN$30="",FALSE,SUMPRODUCT(('Final Calculation Sheet'!$E$4:$E$40=$AN$30)*($GS$6:$GS$42=1))&gt;0)</f>
        <v/>
      </c>
      <c r="GU30">
        <f>$GU$29+--($GT30)</f>
        <v/>
      </c>
      <c r="GV30">
        <f>IF(ROW()-3&gt;MAX($GU$4:$GU$40),"",INDEX($AN$4:$AN$40,MATCH(ROW()-3,$GU$4:$GU$40,0)))</f>
        <v/>
      </c>
      <c r="GW30">
        <f>IF(COUNTIF('Live Search'!BM$29:BS$29,0)+COUNTIF('Live Search'!BU$29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GX30">
        <f>IF($AS$30="",FALSE,SUMPRODUCT(('Final Calculation Sheet'!$C$4:$C$40=$AS$30)*($GW$6:$GW$42=1))&gt;0)</f>
        <v/>
      </c>
      <c r="GY30">
        <f>$GY$29+--($GX30)</f>
        <v/>
      </c>
      <c r="GZ30">
        <f>IF(ROW()-3&gt;MAX($GY$4:$GY$40),"",INDEX($AS$4:$AS$40,MATCH(ROW()-3,$GY$4:$GY$40,0)))</f>
        <v/>
      </c>
      <c r="HA30">
        <f>IF(COUNTIF('Live Search'!BM$29:BT$29,0)+COUNTIF('Live Search'!BV$29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HB30">
        <f>IF($AX$30="",FALSE,SUMPRODUCT(('Final Calculation Sheet'!$H$4:$H$40=$AX$30)*($HA$6:$HA$42=1))&gt;0)</f>
        <v/>
      </c>
      <c r="HC30">
        <f>$HC$29+--($HB30)</f>
        <v/>
      </c>
      <c r="HD30">
        <f>IF(ROW()-3&gt;MAX($HC$4:$HC$40),"",INDEX($AX$4:$AX$40,MATCH(ROW()-3,$HC$4:$HC$40,0)))</f>
        <v/>
      </c>
      <c r="HE30">
        <f>IF(COUNTIF('Live Search'!BM$29:BU$29,0)+COUNTIF('Live Search'!BW$29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HF30">
        <f>IF($BC$30="",FALSE,SUMPRODUCT(('Final Calculation Sheet'!$I$4:$I$40=$BC$30)*($HE$6:$HE$42=1))&gt;0)</f>
        <v/>
      </c>
      <c r="HG30">
        <f>$HG$29+--($HF30)</f>
        <v/>
      </c>
      <c r="HH30">
        <f>IF(ROW()-3&gt;MAX($HG$4:$HG$40),"",INDEX($BC$4:$BC$40,MATCH(ROW()-3,$HG$4:$HG$40,0)))</f>
        <v/>
      </c>
      <c r="HI30">
        <f>IF(COUNTIF('Live Search'!BM$29:BV$29,0)+COUNTIF('Live Search'!BX$29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HJ30">
        <f>IF($BH$30="",FALSE,SUMPRODUCT(('Final Calculation Sheet'!$J$4:$J$40=$BH$30)*($HI$6:$HI$42=1))&gt;0)</f>
        <v/>
      </c>
      <c r="HK30">
        <f>$HK$29+--($HJ30)</f>
        <v/>
      </c>
      <c r="HL30">
        <f>IF(ROW()-3&gt;MAX($HK$4:$HK$40),"",INDEX($BH$4:$BH$40,MATCH(ROW()-3,$HK$4:$HK$40,0)))</f>
        <v/>
      </c>
      <c r="HM30">
        <f>IF(COUNTIF('Live Search'!BM$29:BW$29,0)+COUNTIF('Live Search'!BY$29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HN30">
        <f>IF($BM$30="",FALSE,SUMPRODUCT(('Final Calculation Sheet'!$K$4:$K$40=$BM$30)*($HM$6:$HM$42=1))&gt;0)</f>
        <v/>
      </c>
      <c r="HO30">
        <f>$HO$29+--($HN30)</f>
        <v/>
      </c>
      <c r="HP30">
        <f>IF(ROW()-3&gt;MAX($HO$4:$HO$40),"",INDEX($BM$4:$BM$40,MATCH(ROW()-3,$HO$4:$HO$40,0)))</f>
        <v/>
      </c>
      <c r="HQ30">
        <f>IF(COUNTIF('Live Search'!BM$29:BX$29,0)+COUNTIF('Live Search'!BZ$29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HR30">
        <f>IF($BR$30="",FALSE,SUMPRODUCT(('Final Calculation Sheet'!$L$4:$L$40=$BR$30)*($HQ$6:$HQ$42=1))&gt;0)</f>
        <v/>
      </c>
      <c r="HS30">
        <f>$HS$29+--($HR30)</f>
        <v/>
      </c>
      <c r="HT30">
        <f>IF(ROW()-3&gt;MAX($HS$4:$HS$40),"",INDEX($BR$4:$BR$40,MATCH(ROW()-3,$HS$4:$HS$40,0)))</f>
        <v/>
      </c>
      <c r="HU30">
        <f>IF(COUNTIF('Live Search'!BM$29:BY$29,0)+COUNTIF('Live Search'!CA$29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HV30">
        <f>IF($BW$30="",FALSE,SUMPRODUCT(('Final Calculation Sheet'!$M$4:$M$40=$BW$30)*($HU$6:$HU$42=1))&gt;0)</f>
        <v/>
      </c>
      <c r="HW30">
        <f>$HW$29+--($HV30)</f>
        <v/>
      </c>
      <c r="HX30">
        <f>IF(ROW()-3&gt;MAX($HW$4:$HW$40),"",INDEX($BW$4:$BW$40,MATCH(ROW()-3,$HW$4:$HW$40,0)))</f>
        <v/>
      </c>
      <c r="HY30">
        <f>IF(COUNTIF('Live Search'!BM$29:BZ$29,0)+COUNTIF('Live Search'!CB$29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HZ30">
        <f>IF($CB$30="",FALSE,SUMPRODUCT(('Final Calculation Sheet'!$N$4:$N$40=$CB$30)*($HY$6:$HY$42=1))&gt;0)</f>
        <v/>
      </c>
      <c r="IA30">
        <f>$IA$29+--($HZ30)</f>
        <v/>
      </c>
      <c r="IB30">
        <f>IF(ROW()-3&gt;MAX($IA$4:$IA$40),"",INDEX($CB$4:$CB$40,MATCH(ROW()-3,$IA$4:$IA$40,0)))</f>
        <v/>
      </c>
      <c r="IC30">
        <f>IF(COUNTIF('Live Search'!BM$29:CA$29,0)+COUNTIF('Live Search'!CC$29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ID30">
        <f>IF($CG$30="",FALSE,SUMPRODUCT(('Final Calculation Sheet'!$O$4:$O$40=$CG$30)*($IC$6:$IC$42=1))&gt;0)</f>
        <v/>
      </c>
      <c r="IE30">
        <f>$IE$29+--($ID30)</f>
        <v/>
      </c>
      <c r="IF30">
        <f>IF(ROW()-3&gt;MAX($IE$4:$IE$40),"",INDEX($CG$4:$CG$40,MATCH(ROW()-3,$IE$4:$IE$40,0)))</f>
        <v/>
      </c>
      <c r="IG30">
        <f>IF(COUNTIF('Live Search'!BM$29:CB$29,0)+COUNTIF('Live Search'!CD$29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IH30">
        <f>IF($CL$30="",FALSE,SUMPRODUCT(('Final Calculation Sheet'!$P$4:$P$40=$CL$30)*($IG$6:$IG$42=1))&gt;0)</f>
        <v/>
      </c>
      <c r="II30">
        <f>$II$29+--($IH30)</f>
        <v/>
      </c>
      <c r="IJ30">
        <f>IF(ROW()-3&gt;MAX($II$4:$II$40),"",INDEX($CL$4:$CL$40,MATCH(ROW()-3,$II$4:$II$40,0)))</f>
        <v/>
      </c>
      <c r="IK30">
        <f>IF(COUNTIF('Live Search'!BM$29:CC$29,0)+COUNTIF('Live Search'!CE$29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IL30">
        <f>IF($CQ$30="",FALSE,SUMPRODUCT(('Final Calculation Sheet'!$Q$4:$Q$40=$CQ$30)*($IK$6:$IK$42=1))&gt;0)</f>
        <v/>
      </c>
      <c r="IM30">
        <f>$IM$29+--($IL30)</f>
        <v/>
      </c>
      <c r="IN30">
        <f>IF(ROW()-3&gt;MAX($IM$4:$IM$40),"",INDEX($CQ$4:$CQ$40,MATCH(ROW()-3,$IM$4:$IM$40,0)))</f>
        <v/>
      </c>
      <c r="IO30">
        <f>IF(COUNTIF('Live Search'!BM$29:CD$29,0)+COUNTIF('Live Search'!CF$29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IP30">
        <f>IF($CV$30="",FALSE,SUMPRODUCT(('Final Calculation Sheet'!$R$4:$R$40=$CV$30)*($IO$6:$IO$42=1))&gt;0)</f>
        <v/>
      </c>
      <c r="IQ30">
        <f>$IQ$29+--($IP30)</f>
        <v/>
      </c>
      <c r="IR30">
        <f>IF(ROW()-3&gt;MAX($IQ$4:$IQ$40),"",INDEX($CV$4:$CV$40,MATCH(ROW()-3,$IQ$4:$IQ$40,0)))</f>
        <v/>
      </c>
      <c r="IS30">
        <f>IF(COUNTIF('Live Search'!BM$29:CE$29,0)+COUNTIF('Live Search'!CG$29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IT30">
        <f>IF($DA$30="",FALSE,SUMPRODUCT(('Final Calculation Sheet'!$S$4:$S$40=$DA$30)*($IS$6:$IS$42=1))&gt;0)</f>
        <v/>
      </c>
      <c r="IU30">
        <f>$IU$29+--($IT30)</f>
        <v/>
      </c>
      <c r="IV30">
        <f>IF(ROW()-3&gt;MAX($IU$4:$IU$40),"",INDEX($DA$4:$DA$40,MATCH(ROW()-3,$IU$4:$IU$40,0)))</f>
        <v/>
      </c>
      <c r="IW30">
        <f>IF(COUNTIF('Live Search'!BM$29:CF$29,0)+COUNTIF('Live Search'!CH$29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IX30">
        <f>IF($DF$30="",FALSE,SUMPRODUCT(('Final Calculation Sheet'!$T$4:$T$40=$DF$30)*($IW$6:$IW$42=1))&gt;0)</f>
        <v/>
      </c>
      <c r="IY30">
        <f>$IY$29+--($IX30)</f>
        <v/>
      </c>
      <c r="IZ30">
        <f>IF(ROW()-3&gt;MAX($IY$4:$IY$40),"",INDEX($DF$4:$DF$40,MATCH(ROW()-3,$IY$4:$IY$40,0)))</f>
        <v/>
      </c>
      <c r="JA30">
        <f>IF(COUNTIF('Live Search'!BM$29:CG$29,0)+COUNTIF('Live Search'!CI$29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JB30">
        <f>IF($DK$30="",FALSE,SUMPRODUCT(('Final Calculation Sheet'!$U$4:$U$40=$DK$30)*($JA$6:$JA$42=1))&gt;0)</f>
        <v/>
      </c>
      <c r="JC30">
        <f>$JC$29+--($JB30)</f>
        <v/>
      </c>
      <c r="JD30">
        <f>IF(ROW()-3&gt;MAX($JC$4:$JC$40),"",INDEX($DK$4:$DK$40,MATCH(ROW()-3,$JC$4:$JC$40,0)))</f>
        <v/>
      </c>
      <c r="JE30">
        <f>IF(COUNTIF('Live Search'!BM$29:CH$29,0)+COUNTIF('Live Search'!CJ$29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JF30">
        <f>IF($DP$30="",FALSE,SUMPRODUCT(('Final Calculation Sheet'!$V$4:$V$40=$DP$30)*($JE$6:$JE$42=1))&gt;0)</f>
        <v/>
      </c>
      <c r="JG30">
        <f>$JG$29+--($JF30)</f>
        <v/>
      </c>
      <c r="JH30">
        <f>IF(ROW()-3&gt;MAX($JG$4:$JG$40),"",INDEX($DP$4:$DP$40,MATCH(ROW()-3,$JG$4:$JG$40,0)))</f>
        <v/>
      </c>
      <c r="JI30">
        <f>IF(COUNTIF('Live Search'!BM$29:CI$29,0)+COUNTIF('Live Search'!CK$29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JJ30">
        <f>IF($DU$30="",FALSE,SUMPRODUCT(('Final Calculation Sheet'!$W$4:$W$40=$DU$30)*($JI$6:$JI$42=1))&gt;0)</f>
        <v/>
      </c>
      <c r="JK30">
        <f>$JK$29+--($JJ30)</f>
        <v/>
      </c>
      <c r="JL30">
        <f>IF(ROW()-3&gt;MAX($JK$4:$JK$40),"",INDEX($DU$4:$DU$40,MATCH(ROW()-3,$JK$4:$JK$40,0)))</f>
        <v/>
      </c>
      <c r="JM30">
        <f>IF(COUNTIF('Live Search'!BM$29:CJ$29,0)+COUNTIF('Live Search'!CL$29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JN30">
        <f>IF($DZ$30="",FALSE,SUMPRODUCT(('Final Calculation Sheet'!$X$4:$X$40=$DZ$30)*($JM$6:$JM$42=1))&gt;0)</f>
        <v/>
      </c>
      <c r="JO30">
        <f>$JO$29+--($JN30)</f>
        <v/>
      </c>
      <c r="JP30">
        <f>IF(ROW()-3&gt;MAX($JO$4:$JO$40),"",INDEX($DZ$4:$DZ$40,MATCH(ROW()-3,$JO$4:$JO$40,0)))</f>
        <v/>
      </c>
      <c r="JQ30">
        <f>IF(COUNTIF('Live Search'!BM$29:CK$29,0)+COUNTIF('Live Search'!CM$29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JR30">
        <f>IF($EE$30="",FALSE,SUMPRODUCT(('Final Calculation Sheet'!$Y$4:$Y$40=$EE$30)*($JQ$6:$JQ$42=1))&gt;0)</f>
        <v/>
      </c>
      <c r="JS30">
        <f>$JS$29+--($JR30)</f>
        <v/>
      </c>
      <c r="JT30">
        <f>IF(ROW()-3&gt;MAX($JS$4:$JS$40),"",INDEX($EE$4:$EE$40,MATCH(ROW()-3,$JS$4:$JS$40,0)))</f>
        <v/>
      </c>
      <c r="JU30">
        <f>IF(COUNTIF('Live Search'!BM$29:CL$29,0)+COUNTIF('Live Search'!CN$29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JV30">
        <f>IF($EJ$30="",FALSE,SUMPRODUCT(('Final Calculation Sheet'!$Z$4:$Z$40=$EJ$30)*($JU$6:$JU$42=1))&gt;0)</f>
        <v/>
      </c>
      <c r="JW30">
        <f>$JW$29+--($JV30)</f>
        <v/>
      </c>
      <c r="JX30">
        <f>IF(ROW()-3&gt;MAX($JW$4:$JW$40),"",INDEX($EJ$4:$EJ$40,MATCH(ROW()-3,$JW$4:$JW$40,0)))</f>
        <v/>
      </c>
      <c r="JY30">
        <f>IF(COUNTIF('Live Search'!BM$29:CM$29,0)+COUNTIF('Live Search'!CO$29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JZ30">
        <f>IF($EO$30="",FALSE,SUMPRODUCT(('Final Calculation Sheet'!$AA$4:$AA$40=$EO$30)*($JY$6:$JY$42=1))&gt;0)</f>
        <v/>
      </c>
      <c r="KA30">
        <f>$KA$29+--($JZ30)</f>
        <v/>
      </c>
      <c r="KB30">
        <f>IF(ROW()-3&gt;MAX($KA$4:$KA$40),"",INDEX($EO$4:$EO$40,MATCH(ROW()-3,$KA$4:$KA$40,0)))</f>
        <v/>
      </c>
      <c r="KC30">
        <f>IF(COUNTIF('Live Search'!BM$29:CN$29,0)+COUNTIF('Live Search'!CP$29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KD30">
        <f>IF($ET$30="",FALSE,SUMPRODUCT(('Final Calculation Sheet'!$AB$4:$AB$40=$ET$30)*($KC$6:$KC$42=1))&gt;0)</f>
        <v/>
      </c>
      <c r="KE30">
        <f>$KE$29+--($KD30)</f>
        <v/>
      </c>
      <c r="KF30">
        <f>IF(ROW()-3&gt;MAX($KE$4:$KE$40),"",INDEX($ET$4:$ET$40,MATCH(ROW()-3,$KE$4:$KE$40,0)))</f>
        <v/>
      </c>
      <c r="KG30">
        <f>IF(COUNTIF('Live Search'!BM$29:CO$29,0)+COUNTIF('Live Search'!CQ$29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KH30">
        <f>IF($EY$30="",FALSE,SUMPRODUCT(('Final Calculation Sheet'!$AC$4:$AC$40=$EY$30)*($KG$6:$KG$42=1))&gt;0)</f>
        <v/>
      </c>
      <c r="KI30">
        <f>$KI$29+--($KH30)</f>
        <v/>
      </c>
      <c r="KJ30">
        <f>IF(ROW()-3&gt;MAX($KI$4:$KI$40),"",INDEX($EY$4:$EY$40,MATCH(ROW()-3,$KI$4:$KI$40,0)))</f>
        <v/>
      </c>
      <c r="KK30">
        <f>IF(COUNTIF('Live Search'!BM$29:CP$29,0)+COUNTIF('Live Search'!CR$29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KL30">
        <f>IF($FD$30="",FALSE,SUMPRODUCT(('Final Calculation Sheet'!$AD$4:$AD$40=$FD$30)*($KK$6:$KK$42=1))&gt;0)</f>
        <v/>
      </c>
      <c r="KM30">
        <f>$KM$29+--($KL30)</f>
        <v/>
      </c>
      <c r="KN30">
        <f>IF(ROW()-3&gt;MAX($KM$4:$KM$40),"",INDEX($FD$4:$FD$40,MATCH(ROW()-3,$KM$4:$KM$40,0)))</f>
        <v/>
      </c>
      <c r="KO30">
        <f>IF(COUNTIF('Live Search'!BM$29:CT$29,0)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KP30">
        <f>IF($FX$30="",FALSE,SUMPRODUCT((IF('Final Calculation Sheet'!$AD$4:$AD$40&lt;=5,"SETTLED","OUTSTANDING")=$FX$30)*($KO$6:$KO$42=1))&gt;0)</f>
        <v/>
      </c>
      <c r="KQ30">
        <f>$KQ$29+--($KP30)</f>
        <v/>
      </c>
      <c r="KR30">
        <f>IF(ROW()-3&gt;MAX($KQ$4:$KQ$40),"",INDEX($FX$4:$FX$40,MATCH(ROW()-3,$KQ$4:$KQ$40,0)))</f>
        <v/>
      </c>
      <c r="KS30">
        <f>IF(COUNTIF('Live Search'!BM$29:CQ$29,0)+COUNTIF('Live Search'!CS$29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KT30">
        <f>IF($FI$30="",FALSE,SUMPRODUCT(('Final Calculation Sheet'!$AF$4:$AF$40=$FI$30)*($KS$6:$KS$42=1))&gt;0)</f>
        <v/>
      </c>
      <c r="KU30">
        <f>$KU$29+--($KT30)</f>
        <v/>
      </c>
      <c r="KV30">
        <f>IF(ROW()-3&gt;MAX($KU$4:$KU$40),"",INDEX($FI$4:$FI$40,MATCH(ROW()-3,$KU$4:$KU$40,0)))</f>
        <v/>
      </c>
      <c r="KW30">
        <f>IF(COUNTIF('Live Search'!BM$29:CR$29,0)+COUNTIF('Live Search'!CT$29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KX30">
        <f>IF($FN$30="",FALSE,SUMPRODUCT(('Final Calculation Sheet'!$AG$4:$AG$40=$FN$30)*($KW$6:$KW$42=1))&gt;0)</f>
        <v/>
      </c>
      <c r="KY30">
        <f>$KY$29+--($KX30)</f>
        <v/>
      </c>
      <c r="KZ30">
        <f>IF(ROW()-3&gt;MAX($KY$4:$KY$40),"",INDEX($FN$4:$FN$40,MATCH(ROW()-3,$KY$4:$KY$40,0)))</f>
        <v/>
      </c>
      <c r="LA30">
        <f>IF(COUNTIF('Live Search'!BM$29:CS$29,0)+COUNTIF('Live Search'!CU$29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LB30">
        <f>IF($FS$30="",FALSE,SUMPRODUCT(('Final Calculation Sheet'!$AH$4:$AH$40=$FS$30)*($LA$6:$LA$42=1))&gt;0)</f>
        <v/>
      </c>
      <c r="LC30">
        <f>$LC$29+--($LB30)</f>
        <v/>
      </c>
      <c r="LD30">
        <f>IF(ROW()-3&gt;MAX($LC$4:$LC$40),"",INDEX($FS$4:$FS$40,MATCH(ROW()-3,$LC$4:$LC$40,0)))</f>
        <v/>
      </c>
      <c r="LE30">
        <f>IF(COUNTIF('Buyer Groups'!DH83:EN83,0)&gt;0,0,1)</f>
        <v/>
      </c>
      <c r="LF30">
        <f>IF($O$30="",FALSE,SUMPRODUCT(('Final Calculation Sheet'!$F$4:$F$40=$O$30)*($LE$6:$LE$42=1))&gt;0)</f>
        <v/>
      </c>
      <c r="LG30">
        <f>$LG$29+--($LF30)</f>
        <v/>
      </c>
      <c r="LH30">
        <f>IF(ROW()-3&gt;MAX($LG$4:$LG$40),"",INDEX($O$4:$O$40,MATCH(ROW()-3,$LG$4:$LG$40,0)))</f>
        <v/>
      </c>
      <c r="LI30">
        <f>IF(COUNTIF('Buyer Groups'!DG83:DG83,0)+COUNTIF('Buyer Groups'!DI83:EN83,0)&gt;0,0,1)</f>
        <v/>
      </c>
      <c r="LJ30">
        <f>IF($T$30="",FALSE,SUMPRODUCT(('Final Calculation Sheet'!$G$4:$G$40=$T$30)*($LI$6:$LI$42=1))&gt;0)</f>
        <v/>
      </c>
      <c r="LK30">
        <f>$LK$29+--($LJ30)</f>
        <v/>
      </c>
      <c r="LL30">
        <f>IF(ROW()-3&gt;MAX($LK$4:$LK$40),"",INDEX($T$4:$T$40,MATCH(ROW()-3,$LK$4:$LK$40,0)))</f>
        <v/>
      </c>
      <c r="LM30">
        <f>IF(COUNTIF('Buyer Groups'!DG83:DH83,0)+COUNTIF('Buyer Groups'!DJ83:EN83,0)&gt;0,0,1)</f>
        <v/>
      </c>
      <c r="LN30">
        <f>IF($Y$30="",FALSE,SUMPRODUCT(('Final Calculation Sheet'!$B$4:$B$40=$Y$30)*($LM$6:$LM$42=1))&gt;0)</f>
        <v/>
      </c>
      <c r="LO30">
        <f>$LO$29+--($LN30)</f>
        <v/>
      </c>
      <c r="LP30">
        <f>IF(ROW()-3&gt;MAX($LO$4:$LO$40),"",INDEX($Y$4:$Y$40,MATCH(ROW()-3,$LO$4:$LO$40,0)))</f>
        <v/>
      </c>
      <c r="LQ30">
        <f>IF(COUNTIF('Buyer Groups'!DG83:DI83,0)+COUNTIF('Buyer Groups'!DK83:EN83,0)&gt;0,0,1)</f>
        <v/>
      </c>
      <c r="LR30">
        <f>IF($AD$30="",FALSE,SUMPRODUCT(('Final Calculation Sheet'!$D$4:$D$40=$AD$30)*($LQ$6:$LQ$42=1))&gt;0)</f>
        <v/>
      </c>
      <c r="LS30">
        <f>$LS$29+--($LR30)</f>
        <v/>
      </c>
      <c r="LT30">
        <f>IF(ROW()-3&gt;MAX($LS$4:$LS$40),"",INDEX($AD$4:$AD$40,MATCH(ROW()-3,$LS$4:$LS$40,0)))</f>
        <v/>
      </c>
      <c r="LU30">
        <f>IF(COUNTIF('Buyer Groups'!DG83:DJ83,0)+COUNTIF('Buyer Groups'!DL83:EN83,0)&gt;0,0,1)</f>
        <v/>
      </c>
      <c r="LV30">
        <f>IF($AI$30="",FALSE,SUMPRODUCT(('Final Calculation Sheet'!$A$4:$A$40=$AI$30)*($LU$6:$LU$42=1))&gt;0)</f>
        <v/>
      </c>
      <c r="LW30">
        <f>$LW$29+--($LV30)</f>
        <v/>
      </c>
      <c r="LX30">
        <f>IF(ROW()-3&gt;MAX($LW$4:$LW$40),"",INDEX($AI$4:$AI$40,MATCH(ROW()-3,$LW$4:$LW$40,0)))</f>
        <v/>
      </c>
      <c r="LY30">
        <f>IF(COUNTIF('Buyer Groups'!DG83:DK83,0)+COUNTIF('Buyer Groups'!DM83:EN83,0)&gt;0,0,1)</f>
        <v/>
      </c>
      <c r="LZ30">
        <f>IF($AN$30="",FALSE,SUMPRODUCT(('Final Calculation Sheet'!$E$4:$E$40=$AN$30)*($LY$6:$LY$42=1))&gt;0)</f>
        <v/>
      </c>
      <c r="MA30">
        <f>$MA$29+--($LZ30)</f>
        <v/>
      </c>
      <c r="MB30">
        <f>IF(ROW()-3&gt;MAX($MA$4:$MA$40),"",INDEX($AN$4:$AN$40,MATCH(ROW()-3,$MA$4:$MA$40,0)))</f>
        <v/>
      </c>
      <c r="MC30">
        <f>IF(COUNTIF('Buyer Groups'!DG83:DL83,0)+COUNTIF('Buyer Groups'!DN83:EN83,0)&gt;0,0,1)</f>
        <v/>
      </c>
      <c r="MD30">
        <f>IF($AS$30="",FALSE,SUMPRODUCT(('Final Calculation Sheet'!$C$4:$C$40=$AS$30)*($MC$6:$MC$42=1))&gt;0)</f>
        <v/>
      </c>
      <c r="ME30">
        <f>$ME$29+--($MD30)</f>
        <v/>
      </c>
      <c r="MF30">
        <f>IF(ROW()-3&gt;MAX($ME$4:$ME$40),"",INDEX($AS$4:$AS$40,MATCH(ROW()-3,$ME$4:$ME$40,0)))</f>
        <v/>
      </c>
      <c r="MG30">
        <f>IF(COUNTIF('Buyer Groups'!DG83:DM83,0)+COUNTIF('Buyer Groups'!DO83:EN83,0)&gt;0,0,1)</f>
        <v/>
      </c>
      <c r="MH30">
        <f>IF($AX$30="",FALSE,SUMPRODUCT(('Final Calculation Sheet'!$H$4:$H$40=$AX$30)*($MG$6:$MG$42=1))&gt;0)</f>
        <v/>
      </c>
      <c r="MI30">
        <f>$MI$29+--($MH30)</f>
        <v/>
      </c>
      <c r="MJ30">
        <f>IF(ROW()-3&gt;MAX($MI$4:$MI$40),"",INDEX($AX$4:$AX$40,MATCH(ROW()-3,$MI$4:$MI$40,0)))</f>
        <v/>
      </c>
      <c r="MK30">
        <f>IF(COUNTIF('Buyer Groups'!DG83:DN83,0)+COUNTIF('Buyer Groups'!DP83:EN83,0)&gt;0,0,1)</f>
        <v/>
      </c>
      <c r="ML30">
        <f>IF($BC$30="",FALSE,SUMPRODUCT(('Final Calculation Sheet'!$I$4:$I$40=$BC$30)*($MK$6:$MK$42=1))&gt;0)</f>
        <v/>
      </c>
      <c r="MM30">
        <f>$MM$29+--($ML30)</f>
        <v/>
      </c>
      <c r="MN30">
        <f>IF(ROW()-3&gt;MAX($MM$4:$MM$40),"",INDEX($BC$4:$BC$40,MATCH(ROW()-3,$MM$4:$MM$40,0)))</f>
        <v/>
      </c>
      <c r="MO30">
        <f>IF(COUNTIF('Buyer Groups'!DG83:DO83,0)+COUNTIF('Buyer Groups'!DQ83:EN83,0)&gt;0,0,1)</f>
        <v/>
      </c>
      <c r="MP30">
        <f>IF($BH$30="",FALSE,SUMPRODUCT(('Final Calculation Sheet'!$J$4:$J$40=$BH$30)*($MO$6:$MO$42=1))&gt;0)</f>
        <v/>
      </c>
      <c r="MQ30">
        <f>$MQ$29+--($MP30)</f>
        <v/>
      </c>
      <c r="MR30">
        <f>IF(ROW()-3&gt;MAX($MQ$4:$MQ$40),"",INDEX($BH$4:$BH$40,MATCH(ROW()-3,$MQ$4:$MQ$40,0)))</f>
        <v/>
      </c>
      <c r="MS30">
        <f>IF(COUNTIF('Buyer Groups'!DG83:DP83,0)+COUNTIF('Buyer Groups'!DR83:EN83,0)&gt;0,0,1)</f>
        <v/>
      </c>
      <c r="MT30">
        <f>IF($BM$30="",FALSE,SUMPRODUCT(('Final Calculation Sheet'!$K$4:$K$40=$BM$30)*($MS$6:$MS$42=1))&gt;0)</f>
        <v/>
      </c>
      <c r="MU30">
        <f>$MU$29+--($MT30)</f>
        <v/>
      </c>
      <c r="MV30">
        <f>IF(ROW()-3&gt;MAX($MU$4:$MU$40),"",INDEX($BM$4:$BM$40,MATCH(ROW()-3,$MU$4:$MU$40,0)))</f>
        <v/>
      </c>
      <c r="MW30">
        <f>IF(COUNTIF('Buyer Groups'!DG83:DQ83,0)+COUNTIF('Buyer Groups'!DS83:EN83,0)&gt;0,0,1)</f>
        <v/>
      </c>
      <c r="MX30">
        <f>IF($BR$30="",FALSE,SUMPRODUCT(('Final Calculation Sheet'!$L$4:$L$40=$BR$30)*($MW$6:$MW$42=1))&gt;0)</f>
        <v/>
      </c>
      <c r="MY30">
        <f>$MY$29+--($MX30)</f>
        <v/>
      </c>
      <c r="MZ30">
        <f>IF(ROW()-3&gt;MAX($MY$4:$MY$40),"",INDEX($BR$4:$BR$40,MATCH(ROW()-3,$MY$4:$MY$40,0)))</f>
        <v/>
      </c>
      <c r="NA30">
        <f>IF(COUNTIF('Buyer Groups'!DG83:DR83,0)+COUNTIF('Buyer Groups'!DT83:EN83,0)&gt;0,0,1)</f>
        <v/>
      </c>
      <c r="NB30">
        <f>IF($BW$30="",FALSE,SUMPRODUCT(('Final Calculation Sheet'!$M$4:$M$40=$BW$30)*($NA$6:$NA$42=1))&gt;0)</f>
        <v/>
      </c>
      <c r="NC30">
        <f>$NC$29+--($NB30)</f>
        <v/>
      </c>
      <c r="ND30">
        <f>IF(ROW()-3&gt;MAX($NC$4:$NC$40),"",INDEX($BW$4:$BW$40,MATCH(ROW()-3,$NC$4:$NC$40,0)))</f>
        <v/>
      </c>
      <c r="NE30">
        <f>IF(COUNTIF('Buyer Groups'!DG83:DS83,0)+COUNTIF('Buyer Groups'!DU83:EN83,0)&gt;0,0,1)</f>
        <v/>
      </c>
      <c r="NF30">
        <f>IF($CB$30="",FALSE,SUMPRODUCT(('Final Calculation Sheet'!$N$4:$N$40=$CB$30)*($NE$6:$NE$42=1))&gt;0)</f>
        <v/>
      </c>
      <c r="NG30">
        <f>$NG$29+--($NF30)</f>
        <v/>
      </c>
      <c r="NH30">
        <f>IF(ROW()-3&gt;MAX($NG$4:$NG$40),"",INDEX($CB$4:$CB$40,MATCH(ROW()-3,$NG$4:$NG$40,0)))</f>
        <v/>
      </c>
      <c r="NI30">
        <f>IF(COUNTIF('Buyer Groups'!DG83:DT83,0)+COUNTIF('Buyer Groups'!DV83:EN83,0)&gt;0,0,1)</f>
        <v/>
      </c>
      <c r="NJ30">
        <f>IF($CG$30="",FALSE,SUMPRODUCT(('Final Calculation Sheet'!$O$4:$O$40=$CG$30)*($NI$6:$NI$42=1))&gt;0)</f>
        <v/>
      </c>
      <c r="NK30">
        <f>$NK$29+--($NJ30)</f>
        <v/>
      </c>
      <c r="NL30">
        <f>IF(ROW()-3&gt;MAX($NK$4:$NK$40),"",INDEX($CG$4:$CG$40,MATCH(ROW()-3,$NK$4:$NK$40,0)))</f>
        <v/>
      </c>
      <c r="NM30">
        <f>IF(COUNTIF('Buyer Groups'!DG83:DU83,0)+COUNTIF('Buyer Groups'!DW83:EN83,0)&gt;0,0,1)</f>
        <v/>
      </c>
      <c r="NN30">
        <f>IF($CL$30="",FALSE,SUMPRODUCT(('Final Calculation Sheet'!$P$4:$P$40=$CL$30)*($NM$6:$NM$42=1))&gt;0)</f>
        <v/>
      </c>
      <c r="NO30">
        <f>$NO$29+--($NN30)</f>
        <v/>
      </c>
      <c r="NP30">
        <f>IF(ROW()-3&gt;MAX($NO$4:$NO$40),"",INDEX($CL$4:$CL$40,MATCH(ROW()-3,$NO$4:$NO$40,0)))</f>
        <v/>
      </c>
      <c r="NQ30">
        <f>IF(COUNTIF('Buyer Groups'!DG83:DV83,0)+COUNTIF('Buyer Groups'!DX83:EN83,0)&gt;0,0,1)</f>
        <v/>
      </c>
      <c r="NR30">
        <f>IF($CQ$30="",FALSE,SUMPRODUCT(('Final Calculation Sheet'!$Q$4:$Q$40=$CQ$30)*($NQ$6:$NQ$42=1))&gt;0)</f>
        <v/>
      </c>
      <c r="NS30">
        <f>$NS$29+--($NR30)</f>
        <v/>
      </c>
      <c r="NT30">
        <f>IF(ROW()-3&gt;MAX($NS$4:$NS$40),"",INDEX($CQ$4:$CQ$40,MATCH(ROW()-3,$NS$4:$NS$40,0)))</f>
        <v/>
      </c>
      <c r="NU30">
        <f>IF(COUNTIF('Buyer Groups'!DG83:DW83,0)+COUNTIF('Buyer Groups'!DY83:EN83,0)&gt;0,0,1)</f>
        <v/>
      </c>
      <c r="NV30">
        <f>IF($CV$30="",FALSE,SUMPRODUCT(('Final Calculation Sheet'!$R$4:$R$40=$CV$30)*($NU$6:$NU$42=1))&gt;0)</f>
        <v/>
      </c>
      <c r="NW30">
        <f>$NW$29+--($NV30)</f>
        <v/>
      </c>
      <c r="NX30">
        <f>IF(ROW()-3&gt;MAX($NW$4:$NW$40),"",INDEX($CV$4:$CV$40,MATCH(ROW()-3,$NW$4:$NW$40,0)))</f>
        <v/>
      </c>
      <c r="NY30">
        <f>IF(COUNTIF('Buyer Groups'!DG83:DX83,0)+COUNTIF('Buyer Groups'!DZ83:EN83,0)&gt;0,0,1)</f>
        <v/>
      </c>
      <c r="NZ30">
        <f>IF($DA$30="",FALSE,SUMPRODUCT(('Final Calculation Sheet'!$S$4:$S$40=$DA$30)*($NY$6:$NY$42=1))&gt;0)</f>
        <v/>
      </c>
      <c r="OA30">
        <f>$OA$29+--($NZ30)</f>
        <v/>
      </c>
      <c r="OB30">
        <f>IF(ROW()-3&gt;MAX($OA$4:$OA$40),"",INDEX($DA$4:$DA$40,MATCH(ROW()-3,$OA$4:$OA$40,0)))</f>
        <v/>
      </c>
      <c r="OC30">
        <f>IF(COUNTIF('Buyer Groups'!DG83:DY83,0)+COUNTIF('Buyer Groups'!EA83:EN83,0)&gt;0,0,1)</f>
        <v/>
      </c>
      <c r="OD30">
        <f>IF($DF$30="",FALSE,SUMPRODUCT(('Final Calculation Sheet'!$T$4:$T$40=$DF$30)*($OC$6:$OC$42=1))&gt;0)</f>
        <v/>
      </c>
      <c r="OE30">
        <f>$OE$29+--($OD30)</f>
        <v/>
      </c>
      <c r="OF30">
        <f>IF(ROW()-3&gt;MAX($OE$4:$OE$40),"",INDEX($DF$4:$DF$40,MATCH(ROW()-3,$OE$4:$OE$40,0)))</f>
        <v/>
      </c>
      <c r="OG30">
        <f>IF(COUNTIF('Buyer Groups'!DG83:DZ83,0)+COUNTIF('Buyer Groups'!EB83:EN83,0)&gt;0,0,1)</f>
        <v/>
      </c>
      <c r="OH30">
        <f>IF($DK$30="",FALSE,SUMPRODUCT(('Final Calculation Sheet'!$U$4:$U$40=$DK$30)*($OG$6:$OG$42=1))&gt;0)</f>
        <v/>
      </c>
      <c r="OI30">
        <f>$OI$29+--($OH30)</f>
        <v/>
      </c>
      <c r="OJ30">
        <f>IF(ROW()-3&gt;MAX($OI$4:$OI$40),"",INDEX($DK$4:$DK$40,MATCH(ROW()-3,$OI$4:$OI$40,0)))</f>
        <v/>
      </c>
      <c r="OK30">
        <f>IF(COUNTIF('Buyer Groups'!DG83:EA83,0)+COUNTIF('Buyer Groups'!EC83:EN83,0)&gt;0,0,1)</f>
        <v/>
      </c>
      <c r="OL30">
        <f>IF($DP$30="",FALSE,SUMPRODUCT(('Final Calculation Sheet'!$V$4:$V$40=$DP$30)*($OK$6:$OK$42=1))&gt;0)</f>
        <v/>
      </c>
      <c r="OM30">
        <f>$OM$29+--($OL30)</f>
        <v/>
      </c>
      <c r="ON30">
        <f>IF(ROW()-3&gt;MAX($OM$4:$OM$40),"",INDEX($DP$4:$DP$40,MATCH(ROW()-3,$OM$4:$OM$40,0)))</f>
        <v/>
      </c>
      <c r="OO30">
        <f>IF(COUNTIF('Buyer Groups'!DG83:EB83,0)+COUNTIF('Buyer Groups'!ED83:EN83,0)&gt;0,0,1)</f>
        <v/>
      </c>
      <c r="OP30">
        <f>IF($DU$30="",FALSE,SUMPRODUCT(('Final Calculation Sheet'!$W$4:$W$40=$DU$30)*($OO$6:$OO$42=1))&gt;0)</f>
        <v/>
      </c>
      <c r="OQ30">
        <f>$OQ$29+--($OP30)</f>
        <v/>
      </c>
      <c r="OR30">
        <f>IF(ROW()-3&gt;MAX($OQ$4:$OQ$40),"",INDEX($DU$4:$DU$40,MATCH(ROW()-3,$OQ$4:$OQ$40,0)))</f>
        <v/>
      </c>
      <c r="OS30">
        <f>IF(COUNTIF('Buyer Groups'!DG83:EC83,0)+COUNTIF('Buyer Groups'!EE83:EN83,0)&gt;0,0,1)</f>
        <v/>
      </c>
      <c r="OT30">
        <f>IF($DZ$30="",FALSE,SUMPRODUCT(('Final Calculation Sheet'!$X$4:$X$40=$DZ$30)*($OS$6:$OS$42=1))&gt;0)</f>
        <v/>
      </c>
      <c r="OU30">
        <f>$OU$29+--($OT30)</f>
        <v/>
      </c>
      <c r="OV30">
        <f>IF(ROW()-3&gt;MAX($OU$4:$OU$40),"",INDEX($DZ$4:$DZ$40,MATCH(ROW()-3,$OU$4:$OU$40,0)))</f>
        <v/>
      </c>
      <c r="OW30">
        <f>IF(COUNTIF('Buyer Groups'!DG83:ED83,0)+COUNTIF('Buyer Groups'!EF83:EN83,0)&gt;0,0,1)</f>
        <v/>
      </c>
      <c r="OX30">
        <f>IF($EE$30="",FALSE,SUMPRODUCT(('Final Calculation Sheet'!$Y$4:$Y$40=$EE$30)*($OW$6:$OW$42=1))&gt;0)</f>
        <v/>
      </c>
      <c r="OY30">
        <f>$OY$29+--($OX30)</f>
        <v/>
      </c>
      <c r="OZ30">
        <f>IF(ROW()-3&gt;MAX($OY$4:$OY$40),"",INDEX($EE$4:$EE$40,MATCH(ROW()-3,$OY$4:$OY$40,0)))</f>
        <v/>
      </c>
      <c r="PA30">
        <f>IF(COUNTIF('Buyer Groups'!DG83:EE83,0)+COUNTIF('Buyer Groups'!EG83:EN83,0)&gt;0,0,1)</f>
        <v/>
      </c>
      <c r="PB30">
        <f>IF($EJ$30="",FALSE,SUMPRODUCT(('Final Calculation Sheet'!$Z$4:$Z$40=$EJ$30)*($PA$6:$PA$42=1))&gt;0)</f>
        <v/>
      </c>
      <c r="PC30">
        <f>$PC$29+--($PB30)</f>
        <v/>
      </c>
      <c r="PD30">
        <f>IF(ROW()-3&gt;MAX($PC$4:$PC$40),"",INDEX($EJ$4:$EJ$40,MATCH(ROW()-3,$PC$4:$PC$40,0)))</f>
        <v/>
      </c>
      <c r="PE30">
        <f>IF(COUNTIF('Buyer Groups'!DG83:EF83,0)+COUNTIF('Buyer Groups'!EH83:EN83,0)&gt;0,0,1)</f>
        <v/>
      </c>
      <c r="PF30">
        <f>IF($EO$30="",FALSE,SUMPRODUCT(('Final Calculation Sheet'!$AA$4:$AA$40=$EO$30)*($PE$6:$PE$42=1))&gt;0)</f>
        <v/>
      </c>
      <c r="PG30">
        <f>$PG$29+--($PF30)</f>
        <v/>
      </c>
      <c r="PH30">
        <f>IF(ROW()-3&gt;MAX($PG$4:$PG$40),"",INDEX($EO$4:$EO$40,MATCH(ROW()-3,$PG$4:$PG$40,0)))</f>
        <v/>
      </c>
      <c r="PI30">
        <f>IF(COUNTIF('Buyer Groups'!DG83:EG83,0)+COUNTIF('Buyer Groups'!EI83:EN83,0)&gt;0,0,1)</f>
        <v/>
      </c>
      <c r="PJ30">
        <f>IF($ET$30="",FALSE,SUMPRODUCT(('Final Calculation Sheet'!$AB$4:$AB$40=$ET$30)*($PI$6:$PI$42=1))&gt;0)</f>
        <v/>
      </c>
      <c r="PK30">
        <f>$PK$29+--($PJ30)</f>
        <v/>
      </c>
      <c r="PL30">
        <f>IF(ROW()-3&gt;MAX($PK$4:$PK$40),"",INDEX($ET$4:$ET$40,MATCH(ROW()-3,$PK$4:$PK$40,0)))</f>
        <v/>
      </c>
      <c r="PM30">
        <f>IF(COUNTIF('Buyer Groups'!DG83:EH83,0)+COUNTIF('Buyer Groups'!EJ83:EN83,0)&gt;0,0,1)</f>
        <v/>
      </c>
      <c r="PN30">
        <f>IF($EY$30="",FALSE,SUMPRODUCT(('Final Calculation Sheet'!$AC$4:$AC$40=$EY$30)*($PM$6:$PM$42=1))&gt;0)</f>
        <v/>
      </c>
      <c r="PO30">
        <f>$PO$29+--($PN30)</f>
        <v/>
      </c>
      <c r="PP30">
        <f>IF(ROW()-3&gt;MAX($PO$4:$PO$40),"",INDEX($EY$4:$EY$40,MATCH(ROW()-3,$PO$4:$PO$40,0)))</f>
        <v/>
      </c>
      <c r="PQ30">
        <f>IF(COUNTIF('Buyer Groups'!DG83:EI83,0)+COUNTIF('Buyer Groups'!EK83:EN83,0)&gt;0,0,1)</f>
        <v/>
      </c>
      <c r="PR30">
        <f>IF($FD$30="",FALSE,SUMPRODUCT(('Final Calculation Sheet'!$AD$4:$AD$40=$FD$30)*($PQ$6:$PQ$42=1))&gt;0)</f>
        <v/>
      </c>
      <c r="PS30">
        <f>$PS$29+--($PR30)</f>
        <v/>
      </c>
      <c r="PT30">
        <f>IF(ROW()-3&gt;MAX($PS$4:$PS$40),"",INDEX($FD$4:$FD$40,MATCH(ROW()-3,$PS$4:$PS$40,0)))</f>
        <v/>
      </c>
      <c r="PU30">
        <f>IF(COUNTIF('Buyer Groups'!DG83:EJ83,0)+COUNTIF('Buyer Groups'!EL83:EN83,0)&gt;0,0,1)</f>
        <v/>
      </c>
      <c r="PV30">
        <f>IF($FX$30="",FALSE,SUMPRODUCT((IF('Final Calculation Sheet'!$AD$4:$AD$40&lt;=5,"SETTLED","OUTSTANDING")=$FX$30)*($PU$6:$PU$42=1))&gt;0)</f>
        <v/>
      </c>
      <c r="PW30">
        <f>$PW$29+--($PV30)</f>
        <v/>
      </c>
      <c r="PX30">
        <f>IF(ROW()-3&gt;MAX($PW$4:$PW$40),"",INDEX($FX$4:$FX$40,MATCH(ROW()-3,$PW$4:$PW$40,0)))</f>
        <v/>
      </c>
      <c r="PY30">
        <f>IF(COUNTIF('Buyer Groups'!DG83:EK83,0)+COUNTIF('Buyer Groups'!EM83:EN83,0)&gt;0,0,1)</f>
        <v/>
      </c>
      <c r="PZ30">
        <f>IF($FI$30="",FALSE,SUMPRODUCT(('Final Calculation Sheet'!$AF$4:$AF$40=$FI$30)*($PY$6:$PY$42=1))&gt;0)</f>
        <v/>
      </c>
      <c r="QA30">
        <f>$QA$29+--($PZ30)</f>
        <v/>
      </c>
      <c r="QB30">
        <f>IF(ROW()-3&gt;MAX($QA$4:$QA$40),"",INDEX($FI$4:$FI$40,MATCH(ROW()-3,$QA$4:$QA$40,0)))</f>
        <v/>
      </c>
      <c r="QC30">
        <f>IF(COUNTIF('Buyer Groups'!DG83:EL83,0)+COUNTIF('Buyer Groups'!EN83:EN83,0)&gt;0,0,1)</f>
        <v/>
      </c>
      <c r="QD30">
        <f>IF($FN$30="",FALSE,SUMPRODUCT(('Final Calculation Sheet'!$AG$4:$AG$40=$FN$30)*($QC$6:$QC$42=1))&gt;0)</f>
        <v/>
      </c>
      <c r="QE30">
        <f>$QE$29+--($QD30)</f>
        <v/>
      </c>
      <c r="QF30">
        <f>IF(ROW()-3&gt;MAX($QE$4:$QE$40),"",INDEX($FN$4:$FN$40,MATCH(ROW()-3,$QE$4:$QE$40,0)))</f>
        <v/>
      </c>
      <c r="QG30">
        <f>IF(COUNTIF('Buyer Groups'!DG83:EM83,0)&gt;0,0,1)</f>
        <v/>
      </c>
      <c r="QH30">
        <f>IF($FS$30="",FALSE,SUMPRODUCT(('Final Calculation Sheet'!$AH$4:$AH$40=$FS$30)*($QG$6:$QG$42=1))&gt;0)</f>
        <v/>
      </c>
      <c r="QI30">
        <f>$QI$29+--($QH30)</f>
        <v/>
      </c>
      <c r="QJ30">
        <f>IF(ROW()-3&gt;MAX($QI$4:$QI$40),"",INDEX($FS$4:$FS$40,MATCH(ROW()-3,$QI$4:$QI$40,0)))</f>
        <v/>
      </c>
      <c r="QK30" t="str">
        <f>IF('Final Calculation Sheet'!$AH$30="","",'Final Calculation Sheet'!$AH$30)</f>
      </c>
      <c r="QL30" t="str">
        <f>IF(QK30="","",COUNTIFS(QK$4:QK$40,"&lt;"&amp;QK30,QK$4:QK$40,"&lt;&gt;"&amp;"")+COUNTIF(QK$4:QK30,QK30))</f>
      </c>
      <c r="QM30" t="str">
        <f>IF(ROW()-3&gt;COUNTIF(QK$4:QK$40,"&lt;&gt;"&amp;""),"",INDEX(QK$4:QK$40,MATCH(ROW()-3,QL$4:QL$40,0)))</f>
      </c>
      <c r="QN30" t="str">
        <f>=QN29+F(AND(QM30&lt;&gt;"",COUNTIF(QM$4:QM30,QM30)=1),1,0)</f>
      </c>
      <c r="QO30" t="str">
        <f>IF(ROW()-3&gt;MAX(QN$4:QN$40),"",INDEX(QM$4:QM$40,MATCH(ROW()-3,QN$4:QN$40,0)))</f>
      </c>
      <c r="QP30" t="str">
        <f>IF(COUNTIF('Final Calculation Sheet'!$AM30:$BS30,0)&gt;0,0,1)</f>
      </c>
      <c r="QQ30" t="str">
        <f>IF($AI$30="",FALSE,SUMPRODUCT(('Final Calculation Sheet'!$A$4:$A$40=$AI$30)*($QP$4:$QP$40=1))&gt;0)</f>
      </c>
      <c r="QR30" t="str">
        <f>=$QR29+--($QQ30)</f>
      </c>
      <c r="QS30" t="str">
        <f>IF(ROW()-3&gt;MAX($QR$4:$QR$40),"",INDEX($AI$4:$AI$40,MATCH(ROW()-3,$QR$4:$QR$40,0)))</f>
      </c>
      <c r="QT30" t="str">
        <f>IF(COUNTIF('Final Calculation Sheet'!$AL30:$AL30,0)+COUNTIF('Final Calculation Sheet'!$AN30:$BS30,0)&gt;0,0,1)</f>
      </c>
      <c r="QU30" t="str">
        <f>IF($Y$30="",FALSE,SUMPRODUCT(('Final Calculation Sheet'!$B$4:$B$40=$Y$30)*($QT$4:$QT$40=1))&gt;0)</f>
      </c>
      <c r="QV30" t="str">
        <f>=$QV29+--($QU30)</f>
      </c>
      <c r="QW30" t="str">
        <f>IF(ROW()-3&gt;MAX($QV$4:$QV$40),"",INDEX($Y$4:$Y$40,MATCH(ROW()-3,$QV$4:$QV$40,0)))</f>
      </c>
      <c r="QX30" t="str">
        <f>IF(COUNTIF('Final Calculation Sheet'!$AL30:$AM30,0)+COUNTIF('Final Calculation Sheet'!$AO30:$BS30,0)&gt;0,0,1)</f>
      </c>
      <c r="QY30" t="str">
        <f>IF($AS$30="",FALSE,SUMPRODUCT(('Final Calculation Sheet'!$C$4:$C$40=$AS$30)*($QX$4:$QX$40=1))&gt;0)</f>
      </c>
      <c r="QZ30" t="str">
        <f>=$QZ29+--($QY30)</f>
      </c>
      <c r="RA30" t="str">
        <f>IF(ROW()-3&gt;MAX($QZ$4:$QZ$40),"",INDEX($AS$4:$AS$40,MATCH(ROW()-3,$QZ$4:$QZ$40,0)))</f>
      </c>
      <c r="RB30" t="str">
        <f>IF(COUNTIF('Final Calculation Sheet'!$AL30:$AN30,0)+COUNTIF('Final Calculation Sheet'!$AP30:$BS30,0)&gt;0,0,1)</f>
      </c>
      <c r="RC30" t="str">
        <f>IF($AD$30="",FALSE,SUMPRODUCT(('Final Calculation Sheet'!$D$4:$D$40=$AD$30)*($RB$4:$RB$40=1))&gt;0)</f>
      </c>
      <c r="RD30" t="str">
        <f>=$RD29+--($RC30)</f>
      </c>
      <c r="RE30" t="str">
        <f>IF(ROW()-3&gt;MAX($RD$4:$RD$40),"",INDEX($AD$4:$AD$40,MATCH(ROW()-3,$RD$4:$RD$40,0)))</f>
      </c>
      <c r="RF30" t="str">
        <f>IF(COUNTIF('Final Calculation Sheet'!$AL30:$AO30,0)+COUNTIF('Final Calculation Sheet'!$AQ30:$BS30,0)&gt;0,0,1)</f>
      </c>
      <c r="RG30" t="str">
        <f>IF($AN$30="",FALSE,SUMPRODUCT(('Final Calculation Sheet'!$E$4:$E$40=$AN$30)*($RF$4:$RF$40=1))&gt;0)</f>
      </c>
      <c r="RH30" t="str">
        <f>=$RH29+--($RG30)</f>
      </c>
      <c r="RI30" t="str">
        <f>IF(ROW()-3&gt;MAX($RH$4:$RH$40),"",INDEX($AN$4:$AN$40,MATCH(ROW()-3,$RH$4:$RH$40,0)))</f>
      </c>
      <c r="RJ30" t="str">
        <f>IF(COUNTIF('Final Calculation Sheet'!$AL30:$AP30,0)+COUNTIF('Final Calculation Sheet'!$AR30:$BS30,0)&gt;0,0,1)</f>
      </c>
      <c r="RK30" t="str">
        <f>IF($O$30="",FALSE,SUMPRODUCT(('Final Calculation Sheet'!$F$4:$F$40=$O$30)*($RJ$4:$RJ$40=1))&gt;0)</f>
      </c>
      <c r="RL30" t="str">
        <f>=$RL29+--($RK30)</f>
      </c>
      <c r="RM30" t="str">
        <f>IF(ROW()-3&gt;MAX($RL$4:$RL$40),"",INDEX($O$4:$O$40,MATCH(ROW()-3,$RL$4:$RL$40,0)))</f>
      </c>
      <c r="RN30" t="str">
        <f>IF(COUNTIF('Final Calculation Sheet'!$AL30:$AQ30,0)+COUNTIF('Final Calculation Sheet'!$AS30:$BS30,0)&gt;0,0,1)</f>
      </c>
      <c r="RO30" t="str">
        <f>IF($T$30="",FALSE,SUMPRODUCT(('Final Calculation Sheet'!$G$4:$G$40=$T$30)*($RN$4:$RN$40=1))&gt;0)</f>
      </c>
      <c r="RP30" t="str">
        <f>=$RP29+--($RO30)</f>
      </c>
      <c r="RQ30" t="str">
        <f>IF(ROW()-3&gt;MAX($RP$4:$RP$40),"",INDEX($T$4:$T$40,MATCH(ROW()-3,$RP$4:$RP$40,0)))</f>
      </c>
      <c r="RR30" t="str">
        <f>IF(COUNTIF('Final Calculation Sheet'!$AL30:$AR30,0)+COUNTIF('Final Calculation Sheet'!$AT30:$BS30,0)&gt;0,0,1)</f>
      </c>
      <c r="RS30" t="str">
        <f>IF($AX$30="",FALSE,SUMPRODUCT(('Final Calculation Sheet'!$H$4:$H$40=$AX$30)*($RR$4:$RR$40=1))&gt;0)</f>
      </c>
      <c r="RT30" t="str">
        <f>=$RT29+--($RS30)</f>
      </c>
      <c r="RU30" t="str">
        <f>IF(ROW()-3&gt;MAX($RT$4:$RT$40),"",INDEX($AX$4:$AX$40,MATCH(ROW()-3,$RT$4:$RT$40,0)))</f>
      </c>
      <c r="RV30" t="str">
        <f>IF(COUNTIF('Final Calculation Sheet'!$AL30:$AS30,0)+COUNTIF('Final Calculation Sheet'!$AU30:$BS30,0)&gt;0,0,1)</f>
      </c>
      <c r="RW30" t="str">
        <f>IF($BC$30="",FALSE,SUMPRODUCT(('Final Calculation Sheet'!$I$4:$I$40=$BC$30)*($RV$4:$RV$40=1))&gt;0)</f>
      </c>
      <c r="RX30" t="str">
        <f>=$RX29+--($RW30)</f>
      </c>
      <c r="RY30" t="str">
        <f>IF(ROW()-3&gt;MAX($RX$4:$RX$40),"",INDEX($BC$4:$BC$40,MATCH(ROW()-3,$RX$4:$RX$40,0)))</f>
      </c>
      <c r="RZ30" t="str">
        <f>IF(COUNTIF('Final Calculation Sheet'!$AL30:$AT30,0)+COUNTIF('Final Calculation Sheet'!$AV30:$BS30,0)&gt;0,0,1)</f>
      </c>
      <c r="SA30" t="str">
        <f>IF($BH$30="",FALSE,SUMPRODUCT(('Final Calculation Sheet'!$J$4:$J$40=$BH$30)*($RZ$4:$RZ$40=1))&gt;0)</f>
      </c>
      <c r="SB30" t="str">
        <f>=$SB29+--($SA30)</f>
      </c>
      <c r="SC30" t="str">
        <f>IF(ROW()-3&gt;MAX($SB$4:$SB$40),"",INDEX($BH$4:$BH$40,MATCH(ROW()-3,$SB$4:$SB$40,0)))</f>
      </c>
      <c r="SD30" t="str">
        <f>IF(COUNTIF('Final Calculation Sheet'!$AL30:$AU30,0)+COUNTIF('Final Calculation Sheet'!$AW30:$BS30,0)&gt;0,0,1)</f>
      </c>
      <c r="SE30" t="str">
        <f>IF($BM$30="",FALSE,SUMPRODUCT(('Final Calculation Sheet'!$K$4:$K$40=$BM$30)*($SD$4:$SD$40=1))&gt;0)</f>
      </c>
      <c r="SF30" t="str">
        <f>=$SF29+--($SE30)</f>
      </c>
      <c r="SG30" t="str">
        <f>IF(ROW()-3&gt;MAX($SF$4:$SF$40),"",INDEX($BM$4:$BM$40,MATCH(ROW()-3,$SF$4:$SF$40,0)))</f>
      </c>
      <c r="SH30" t="str">
        <f>IF(COUNTIF('Final Calculation Sheet'!$AL30:$AV30,0)+COUNTIF('Final Calculation Sheet'!$AX30:$BS30,0)&gt;0,0,1)</f>
      </c>
      <c r="SI30" t="str">
        <f>IF($BR$30="",FALSE,SUMPRODUCT(('Final Calculation Sheet'!$L$4:$L$40=$BR$30)*($SH$4:$SH$40=1))&gt;0)</f>
      </c>
      <c r="SJ30" t="str">
        <f>=$SJ29+--($SI30)</f>
      </c>
      <c r="SK30" t="str">
        <f>IF(ROW()-3&gt;MAX($SJ$4:$SJ$40),"",INDEX($BR$4:$BR$40,MATCH(ROW()-3,$SJ$4:$SJ$40,0)))</f>
      </c>
      <c r="SL30" t="str">
        <f>IF(COUNTIF('Final Calculation Sheet'!$AL30:$AW30,0)+COUNTIF('Final Calculation Sheet'!$AY30:$BS30,0)&gt;0,0,1)</f>
      </c>
      <c r="SM30" t="str">
        <f>IF($BW$30="",FALSE,SUMPRODUCT(('Final Calculation Sheet'!$M$4:$M$40=$BW$30)*($SL$4:$SL$40=1))&gt;0)</f>
      </c>
      <c r="SN30" t="str">
        <f>=$SN29+--($SM30)</f>
      </c>
      <c r="SO30" t="str">
        <f>IF(ROW()-3&gt;MAX($SN$4:$SN$40),"",INDEX($BW$4:$BW$40,MATCH(ROW()-3,$SN$4:$SN$40,0)))</f>
      </c>
      <c r="SP30" t="str">
        <f>IF(COUNTIF('Final Calculation Sheet'!$AL30:$AX30,0)+COUNTIF('Final Calculation Sheet'!$AZ30:$BS30,0)&gt;0,0,1)</f>
      </c>
      <c r="SQ30" t="str">
        <f>IF($CB$30="",FALSE,SUMPRODUCT(('Final Calculation Sheet'!$N$4:$N$40=$CB$30)*($SP$4:$SP$40=1))&gt;0)</f>
      </c>
      <c r="SR30" t="str">
        <f>=$SR29+--($SQ30)</f>
      </c>
      <c r="SS30" t="str">
        <f>IF(ROW()-3&gt;MAX($SR$4:$SR$40),"",INDEX($CB$4:$CB$40,MATCH(ROW()-3,$SR$4:$SR$40,0)))</f>
      </c>
      <c r="ST30" t="str">
        <f>IF(COUNTIF('Final Calculation Sheet'!$AL30:$AY30,0)+COUNTIF('Final Calculation Sheet'!$BA30:$BS30,0)&gt;0,0,1)</f>
      </c>
      <c r="SU30" t="str">
        <f>IF($CG$30="",FALSE,SUMPRODUCT(('Final Calculation Sheet'!$O$4:$O$40=$CG$30)*($ST$4:$ST$40=1))&gt;0)</f>
      </c>
      <c r="SV30" t="str">
        <f>=$SV29+--($SU30)</f>
      </c>
      <c r="SW30" t="str">
        <f>IF(ROW()-3&gt;MAX($SV$4:$SV$40),"",INDEX($CG$4:$CG$40,MATCH(ROW()-3,$SV$4:$SV$40,0)))</f>
      </c>
      <c r="SX30" t="str">
        <f>IF(COUNTIF('Final Calculation Sheet'!$AL30:$AZ30,0)+COUNTIF('Final Calculation Sheet'!$BB30:$BS30,0)&gt;0,0,1)</f>
      </c>
      <c r="SY30" t="str">
        <f>IF($CL$30="",FALSE,SUMPRODUCT(('Final Calculation Sheet'!$P$4:$P$40=$CL$30)*($SX$4:$SX$40=1))&gt;0)</f>
      </c>
      <c r="SZ30" t="str">
        <f>=$SZ29+--($SY30)</f>
      </c>
      <c r="TA30" t="str">
        <f>IF(ROW()-3&gt;MAX($SZ$4:$SZ$40),"",INDEX($CL$4:$CL$40,MATCH(ROW()-3,$SZ$4:$SZ$40,0)))</f>
      </c>
      <c r="TB30" t="str">
        <f>IF(COUNTIF('Final Calculation Sheet'!$AL30:$BA30,0)+COUNTIF('Final Calculation Sheet'!$BC30:$BS30,0)&gt;0,0,1)</f>
      </c>
      <c r="TC30" t="str">
        <f>IF($CQ$30="",FALSE,SUMPRODUCT(('Final Calculation Sheet'!$Q$4:$Q$40=$CQ$30)*($TB$4:$TB$40=1))&gt;0)</f>
      </c>
      <c r="TD30" t="str">
        <f>=$TD29+--($TC30)</f>
      </c>
      <c r="TE30" t="str">
        <f>IF(ROW()-3&gt;MAX($TD$4:$TD$40),"",INDEX($CQ$4:$CQ$40,MATCH(ROW()-3,$TD$4:$TD$40,0)))</f>
      </c>
      <c r="TF30" t="str">
        <f>IF(COUNTIF('Final Calculation Sheet'!$AL30:$BB30,0)+COUNTIF('Final Calculation Sheet'!$BD30:$BS30,0)&gt;0,0,1)</f>
      </c>
      <c r="TG30" t="str">
        <f>IF($CV$30="",FALSE,SUMPRODUCT(('Final Calculation Sheet'!$R$4:$R$40=$CV$30)*($TF$4:$TF$40=1))&gt;0)</f>
      </c>
      <c r="TH30" t="str">
        <f>=$TH29+--($TG30)</f>
      </c>
      <c r="TI30" t="str">
        <f>IF(ROW()-3&gt;MAX($TH$4:$TH$40),"",INDEX($CV$4:$CV$40,MATCH(ROW()-3,$TH$4:$TH$40,0)))</f>
      </c>
      <c r="TJ30" t="str">
        <f>IF(COUNTIF('Final Calculation Sheet'!$AL30:$BC30,0)+COUNTIF('Final Calculation Sheet'!$BE30:$BS30,0)&gt;0,0,1)</f>
      </c>
      <c r="TK30" t="str">
        <f>IF($DA$30="",FALSE,SUMPRODUCT(('Final Calculation Sheet'!$S$4:$S$40=$DA$30)*($TJ$4:$TJ$40=1))&gt;0)</f>
      </c>
      <c r="TL30" t="str">
        <f>=$TL29+--($TK30)</f>
      </c>
      <c r="TM30" t="str">
        <f>IF(ROW()-3&gt;MAX($TL$4:$TL$40),"",INDEX($DA$4:$DA$40,MATCH(ROW()-3,$TL$4:$TL$40,0)))</f>
      </c>
      <c r="TN30" t="str">
        <f>IF(COUNTIF('Final Calculation Sheet'!$AL30:$BD30,0)+COUNTIF('Final Calculation Sheet'!$BF30:$BS30,0)&gt;0,0,1)</f>
      </c>
      <c r="TO30" t="str">
        <f>IF($DF$30="",FALSE,SUMPRODUCT(('Final Calculation Sheet'!$T$4:$T$40=$DF$30)*($TN$4:$TN$40=1))&gt;0)</f>
      </c>
      <c r="TP30" t="str">
        <f>=$TP29+--($TO30)</f>
      </c>
      <c r="TQ30" t="str">
        <f>IF(ROW()-3&gt;MAX($TP$4:$TP$40),"",INDEX($DF$4:$DF$40,MATCH(ROW()-3,$TP$4:$TP$40,0)))</f>
      </c>
      <c r="TR30" t="str">
        <f>IF(COUNTIF('Final Calculation Sheet'!$AL30:$BE30,0)+COUNTIF('Final Calculation Sheet'!$BG30:$BS30,0)&gt;0,0,1)</f>
      </c>
      <c r="TS30" t="str">
        <f>IF($DK$30="",FALSE,SUMPRODUCT(('Final Calculation Sheet'!$U$4:$U$40=$DK$30)*($TR$4:$TR$40=1))&gt;0)</f>
      </c>
      <c r="TT30" t="str">
        <f>=$TT29+--($TS30)</f>
      </c>
      <c r="TU30" t="str">
        <f>IF(ROW()-3&gt;MAX($TT$4:$TT$40),"",INDEX($DK$4:$DK$40,MATCH(ROW()-3,$TT$4:$TT$40,0)))</f>
      </c>
      <c r="TV30" t="str">
        <f>IF(COUNTIF('Final Calculation Sheet'!$AL30:$BF30,0)+COUNTIF('Final Calculation Sheet'!$BH30:$BS30,0)&gt;0,0,1)</f>
      </c>
      <c r="TW30" t="str">
        <f>IF($DP$30="",FALSE,SUMPRODUCT(('Final Calculation Sheet'!$V$4:$V$40=$DP$30)*($TV$4:$TV$40=1))&gt;0)</f>
      </c>
      <c r="TX30" t="str">
        <f>=$TX29+--($TW30)</f>
      </c>
      <c r="TY30" t="str">
        <f>IF(ROW()-3&gt;MAX($TX$4:$TX$40),"",INDEX($DP$4:$DP$40,MATCH(ROW()-3,$TX$4:$TX$40,0)))</f>
      </c>
      <c r="TZ30" t="str">
        <f>IF(COUNTIF('Final Calculation Sheet'!$AL30:$BG30,0)+COUNTIF('Final Calculation Sheet'!$BI30:$BS30,0)&gt;0,0,1)</f>
      </c>
      <c r="UA30" t="str">
        <f>IF($DU$30="",FALSE,SUMPRODUCT(('Final Calculation Sheet'!$W$4:$W$40=$DU$30)*($TZ$4:$TZ$40=1))&gt;0)</f>
      </c>
      <c r="UB30" t="str">
        <f>=$UB29+--($UA30)</f>
      </c>
      <c r="UC30" t="str">
        <f>IF(ROW()-3&gt;MAX($UB$4:$UB$40),"",INDEX($DU$4:$DU$40,MATCH(ROW()-3,$UB$4:$UB$40,0)))</f>
      </c>
      <c r="UD30" t="str">
        <f>IF(COUNTIF('Final Calculation Sheet'!$AL30:$BH30,0)+COUNTIF('Final Calculation Sheet'!$BJ30:$BS30,0)&gt;0,0,1)</f>
      </c>
      <c r="UE30" t="str">
        <f>IF($DZ$30="",FALSE,SUMPRODUCT(('Final Calculation Sheet'!$X$4:$X$40=$DZ$30)*($UD$4:$UD$40=1))&gt;0)</f>
      </c>
      <c r="UF30" t="str">
        <f>=$UF29+--($UE30)</f>
      </c>
      <c r="UG30" t="str">
        <f>IF(ROW()-3&gt;MAX($UF$4:$UF$40),"",INDEX($DZ$4:$DZ$40,MATCH(ROW()-3,$UF$4:$UF$40,0)))</f>
      </c>
      <c r="UH30" t="str">
        <f>IF(COUNTIF('Final Calculation Sheet'!$AL30:$BI30,0)+COUNTIF('Final Calculation Sheet'!$BK30:$BS30,0)&gt;0,0,1)</f>
      </c>
      <c r="UI30" t="str">
        <f>IF($EE$30="",FALSE,SUMPRODUCT(('Final Calculation Sheet'!$Y$4:$Y$40=$EE$30)*($UH$4:$UH$40=1))&gt;0)</f>
      </c>
      <c r="UJ30" t="str">
        <f>=$UJ29+--($UI30)</f>
      </c>
      <c r="UK30" t="str">
        <f>IF(ROW()-3&gt;MAX($UJ$4:$UJ$40),"",INDEX($EE$4:$EE$40,MATCH(ROW()-3,$UJ$4:$UJ$40,0)))</f>
      </c>
      <c r="UL30" t="str">
        <f>IF(COUNTIF('Final Calculation Sheet'!$AL30:$BJ30,0)+COUNTIF('Final Calculation Sheet'!$BL30:$BS30,0)&gt;0,0,1)</f>
      </c>
      <c r="UM30" t="str">
        <f>IF($EJ$30="",FALSE,SUMPRODUCT(('Final Calculation Sheet'!$Z$4:$Z$40=$EJ$30)*($UL$4:$UL$40=1))&gt;0)</f>
      </c>
      <c r="UN30" t="str">
        <f>=$UN29+--($UM30)</f>
      </c>
      <c r="UO30" t="str">
        <f>IF(ROW()-3&gt;MAX($UN$4:$UN$40),"",INDEX($EJ$4:$EJ$40,MATCH(ROW()-3,$UN$4:$UN$40,0)))</f>
      </c>
      <c r="UP30" t="str">
        <f>IF(COUNTIF('Final Calculation Sheet'!$AL30:$BK30,0)+COUNTIF('Final Calculation Sheet'!$BM30:$BS30,0)&gt;0,0,1)</f>
      </c>
      <c r="UQ30" t="str">
        <f>IF($EO$30="",FALSE,SUMPRODUCT(('Final Calculation Sheet'!$AA$4:$AA$40=$EO$30)*($UP$4:$UP$40=1))&gt;0)</f>
      </c>
      <c r="UR30" t="str">
        <f>=$UR29+--($UQ30)</f>
      </c>
      <c r="US30" t="str">
        <f>IF(ROW()-3&gt;MAX($UR$4:$UR$40),"",INDEX($EO$4:$EO$40,MATCH(ROW()-3,$UR$4:$UR$40,0)))</f>
      </c>
      <c r="UT30" t="str">
        <f>IF(COUNTIF('Final Calculation Sheet'!$AL30:$BL30,0)+COUNTIF('Final Calculation Sheet'!$BN30:$BS30,0)&gt;0,0,1)</f>
      </c>
      <c r="UU30" t="str">
        <f>IF($ET$30="",FALSE,SUMPRODUCT(('Final Calculation Sheet'!$AB$4:$AB$40=$ET$30)*($UT$4:$UT$40=1))&gt;0)</f>
      </c>
      <c r="UV30" t="str">
        <f>=$UV29+--($UU30)</f>
      </c>
      <c r="UW30" t="str">
        <f>IF(ROW()-3&gt;MAX($UV$4:$UV$40),"",INDEX($ET$4:$ET$40,MATCH(ROW()-3,$UV$4:$UV$40,0)))</f>
      </c>
      <c r="UX30" t="str">
        <f>IF(COUNTIF('Final Calculation Sheet'!$AL30:$BM30,0)+COUNTIF('Final Calculation Sheet'!$BO30:$BS30,0)&gt;0,0,1)</f>
      </c>
      <c r="UY30" t="str">
        <f>IF($EY$30="",FALSE,SUMPRODUCT(('Final Calculation Sheet'!$AC$4:$AC$40=$EY$30)*($UX$4:$UX$40=1))&gt;0)</f>
      </c>
      <c r="UZ30" t="str">
        <f>=$UZ29+--($UY30)</f>
      </c>
      <c r="VA30" t="str">
        <f>IF(ROW()-3&gt;MAX($UZ$4:$UZ$40),"",INDEX($EY$4:$EY$40,MATCH(ROW()-3,$UZ$4:$UZ$40,0)))</f>
      </c>
      <c r="VB30" t="str">
        <f>IF(COUNTIF('Final Calculation Sheet'!$AL30:$BN30,0)+COUNTIF('Final Calculation Sheet'!$BP30:$BS30,0)&gt;0,0,1)</f>
      </c>
      <c r="VC30" t="str">
        <f>IF($FD$30="",FALSE,SUMPRODUCT(('Final Calculation Sheet'!$AD$4:$AD$40=$FD$30)*($VB$4:$VB$40=1))&gt;0)</f>
      </c>
      <c r="VD30" t="str">
        <f>=$VD29+--($VC30)</f>
      </c>
      <c r="VE30" t="str">
        <f>IF(ROW()-3&gt;MAX($VD$4:$VD$40),"",INDEX($FD$4:$FD$40,MATCH(ROW()-3,$VD$4:$VD$40,0)))</f>
      </c>
      <c r="VF30" t="str">
        <f>IF(COUNTIF('Final Calculation Sheet'!$AL30:$BO30,0)+COUNTIF('Final Calculation Sheet'!$BQ30:$BS30,0)&gt;0,0,1)</f>
      </c>
      <c r="VG30" t="str">
        <f>IF($FI$30="",FALSE,SUMPRODUCT(('Final Calculation Sheet'!$AE$4:$AE$40=$FI$30)*($VF$4:$VF$40=1))&gt;0)</f>
      </c>
      <c r="VH30" t="str">
        <f>=$VH29+--($VG30)</f>
      </c>
      <c r="VI30" t="str">
        <f>IF(ROW()-3&gt;MAX($VH$4:$VH$40),"",INDEX($FI$4:$FI$40,MATCH(ROW()-3,$VH$4:$VH$40,0)))</f>
      </c>
      <c r="VJ30" t="str">
        <f>IF(COUNTIF('Final Calculation Sheet'!$AL30:$BP30,0)+COUNTIF('Final Calculation Sheet'!$BR30:$BS30,0)&gt;0,0,1)</f>
      </c>
      <c r="VK30" t="str">
        <f>IF($FN$30="",FALSE,SUMPRODUCT(('Final Calculation Sheet'!$AF$4:$AF$40=$FN$30)*($VJ$4:$VJ$40=1))&gt;0)</f>
      </c>
      <c r="VL30" t="str">
        <f>=$VL29+--($VK30)</f>
      </c>
      <c r="VM30" t="str">
        <f>IF(ROW()-3&gt;MAX($VL$4:$VL$40),"",INDEX($FN$4:$FN$40,MATCH(ROW()-3,$VL$4:$VL$40,0)))</f>
      </c>
      <c r="VN30" t="str">
        <f>IF(COUNTIF('Final Calculation Sheet'!$AL30:$BQ30,0)+COUNTIF('Final Calculation Sheet'!$BS30:$BS30,0)&gt;0,0,1)</f>
      </c>
      <c r="VO30" t="str">
        <f>IF($FS$30="",FALSE,SUMPRODUCT(('Final Calculation Sheet'!$AG$4:$AG$40=$FS$30)*($VN$4:$VN$40=1))&gt;0)</f>
      </c>
      <c r="VP30" t="str">
        <f>=$VP29+--($VO30)</f>
      </c>
      <c r="VQ30" t="str">
        <f>IF(ROW()-3&gt;MAX($VP$4:$VP$40),"",INDEX($FS$4:$FS$40,MATCH(ROW()-3,$VP$4:$VP$40,0)))</f>
      </c>
      <c r="VR30" t="str">
        <f>IF(COUNTIF('Final Calculation Sheet'!$AL30:$BR30,0)&gt;0,0,1)</f>
      </c>
      <c r="VS30" t="str">
        <f>IF($QO$30="",FALSE,SUMPRODUCT(('Final Calculation Sheet'!$AH$4:$AH$40=$QO$30)*($VR$4:$VR$40=1))&gt;0)</f>
      </c>
      <c r="VT30" t="str">
        <f>=$VT29+--($VS30)</f>
      </c>
      <c r="VU30" t="str">
        <f>IF(ROW()-3&gt;MAX($VT$4:$VT$40),"",INDEX($QO$4:$QO$40,MATCH(ROW()-3,$VT$4:$VT$40,0)))</f>
      </c>
    </row>
    <row r="31">
      <c r="A31">
        <f>IF('Final Calculation Sheet'!$F$31="","",'Final Calculation Sheet'!$F$31)</f>
        <v/>
      </c>
      <c r="B31">
        <f>IF(A31="","",COUNTIFS(A$4:A$114,"&lt;"&amp;A31,A$4:A$114,"&lt;&gt;"&amp;"")+COUNTIF(A$4:A31,A31))</f>
        <v/>
      </c>
      <c r="C31">
        <f>IF(ROW()-3&gt;COUNTIF(A$4:A$114,"&lt;&gt;"&amp;""),"",INDEX(A$4:A$114,MATCH(ROW()-3,B$4:B$114,0)))</f>
        <v/>
      </c>
      <c r="D31">
        <f>D30+IF(AND(C31&lt;&gt;"",COUNTIF(C$4:C31,C31)=1),1,0)</f>
        <v/>
      </c>
      <c r="E31">
        <f>IF(ROW()-3&gt;MAX(D$4:D$114),"",INDEX(C$4:C$114,MATCH(ROW()-3,D$4:D$114,0)))</f>
        <v/>
      </c>
      <c r="F31">
        <f>ROW()-3</f>
        <v/>
      </c>
      <c r="G31">
        <f>IF(F31="","",COUNTIFS(F$4:F$40,"&lt;"&amp;F31,F$4:F$40,"&lt;&gt;"&amp;"")+COUNTIF(F$4:F31,F31))</f>
        <v/>
      </c>
      <c r="H31">
        <f>IF(ROW()-3&gt;COUNTIF(F$4:F$40,"&lt;&gt;"&amp;""),"",INDEX(F$4:F$40,MATCH(ROW()-3,G$4:G$40,0)))</f>
        <v/>
      </c>
      <c r="I31">
        <f>I30+IF(AND(H31&lt;&gt;"",COUNTIF(H$4:H31,H31)=1),1,0)</f>
        <v/>
      </c>
      <c r="J31">
        <f>IF(ROW()-3&gt;MAX(I$4:I$40),"",INDEX(H$4:H$40,MATCH(ROW()-3,I$4:I$40,0)))</f>
        <v/>
      </c>
      <c r="K31">
        <f>IF('Final Calculation Sheet'!$F$31="","",'Final Calculation Sheet'!$F$31)</f>
        <v/>
      </c>
      <c r="L31">
        <f>IF(K31="","",COUNTIFS(K$4:K$40,"&lt;"&amp;K31,K$4:K$40,"&lt;&gt;"&amp;"")+COUNTIF(K$4:K31,K31))</f>
        <v/>
      </c>
      <c r="M31">
        <f>IF(ROW()-3&gt;COUNTIF(K$4:K$40,"&lt;&gt;"&amp;""),"",INDEX(K$4:K$40,MATCH(ROW()-3,L$4:L$40,0)))</f>
        <v/>
      </c>
      <c r="N31">
        <f>N30+IF(AND(M31&lt;&gt;"",COUNTIF(M$4:M31,M31)=1),1,0)</f>
        <v/>
      </c>
      <c r="O31">
        <f>IF(ROW()-3&gt;MAX(N$4:N$40),"",INDEX(M$4:M$40,MATCH(ROW()-3,N$4:N$40,0)))</f>
        <v/>
      </c>
      <c r="P31">
        <f>IF('Final Calculation Sheet'!$G$31="","",'Final Calculation Sheet'!$G$31)</f>
        <v/>
      </c>
      <c r="Q31">
        <f>IF(P31="","",COUNTIFS(P$4:P$40,"&lt;"&amp;P31,P$4:P$40,"&lt;&gt;"&amp;"")+COUNTIF(P$4:P31,P31))</f>
        <v/>
      </c>
      <c r="R31">
        <f>IF(ROW()-3&gt;COUNTIF(P$4:P$40,"&lt;&gt;"&amp;""),"",INDEX(P$4:P$40,MATCH(ROW()-3,Q$4:Q$40,0)))</f>
        <v/>
      </c>
      <c r="S31">
        <f>S30+IF(AND(R31&lt;&gt;"",COUNTIF(R$4:R31,R31)=1),1,0)</f>
        <v/>
      </c>
      <c r="T31">
        <f>IF(ROW()-3&gt;MAX(S$4:S$40),"",INDEX(R$4:R$40,MATCH(ROW()-3,S$4:S$40,0)))</f>
        <v/>
      </c>
      <c r="U31">
        <f>IF('Final Calculation Sheet'!$B$31="","",'Final Calculation Sheet'!$B$31)</f>
        <v/>
      </c>
      <c r="V31">
        <f>IF(U31="","",COUNTIFS(U$4:U$40,"&lt;"&amp;U31,U$4:U$40,"&lt;&gt;"&amp;"")+COUNTIF(U$4:U31,U31))</f>
        <v/>
      </c>
      <c r="W31">
        <f>IF(ROW()-3&gt;COUNTIF(U$4:U$40,"&lt;&gt;"&amp;""),"",INDEX(U$4:U$40,MATCH(ROW()-3,V$4:V$40,0)))</f>
        <v/>
      </c>
      <c r="X31">
        <f>X30+IF(AND(W31&lt;&gt;"",COUNTIF(W$4:W31,W31)=1),1,0)</f>
        <v/>
      </c>
      <c r="Y31">
        <f>IF(ROW()-3&gt;MAX(X$4:X$40),"",INDEX(W$4:W$40,MATCH(ROW()-3,X$4:X$40,0)))</f>
        <v/>
      </c>
      <c r="Z31">
        <f>IF('Final Calculation Sheet'!$D$31="","",'Final Calculation Sheet'!$D$31)</f>
        <v/>
      </c>
      <c r="AA31">
        <f>IF(Z31="","",COUNTIFS(Z$4:Z$40,"&lt;"&amp;Z31,Z$4:Z$40,"&lt;&gt;"&amp;"")+COUNTIF(Z$4:Z31,Z31))</f>
        <v/>
      </c>
      <c r="AB31">
        <f>IF(ROW()-3&gt;COUNTIF(Z$4:Z$40,"&lt;&gt;"&amp;""),"",INDEX(Z$4:Z$40,MATCH(ROW()-3,AA$4:AA$40,0)))</f>
        <v/>
      </c>
      <c r="AC31">
        <f>AC30+IF(AND(AB31&lt;&gt;"",COUNTIF(AB$4:AB31,AB31)=1),1,0)</f>
        <v/>
      </c>
      <c r="AD31">
        <f>IF(ROW()-3&gt;MAX(AC$4:AC$40),"",INDEX(AB$4:AB$40,MATCH(ROW()-3,AC$4:AC$40,0)))</f>
        <v/>
      </c>
      <c r="AE31">
        <f>IF('Final Calculation Sheet'!$A$31="","",'Final Calculation Sheet'!$A$31)</f>
        <v/>
      </c>
      <c r="AF31">
        <f>IF(AE31="","",COUNTIFS(AE$4:AE$40,"&lt;"&amp;AE31,AE$4:AE$40,"&lt;&gt;"&amp;"")+COUNTIF(AE$4:AE31,AE31))</f>
        <v/>
      </c>
      <c r="AG31">
        <f>IF(ROW()-3&gt;COUNTIF(AE$4:AE$40,"&lt;&gt;"&amp;""),"",INDEX(AE$4:AE$40,MATCH(ROW()-3,AF$4:AF$40,0)))</f>
        <v/>
      </c>
      <c r="AH31">
        <f>AH30+IF(AND(AG31&lt;&gt;"",COUNTIF(AG$4:AG31,AG31)=1),1,0)</f>
        <v/>
      </c>
      <c r="AI31">
        <f>IF(ROW()-3&gt;MAX(AH$4:AH$40),"",INDEX(AG$4:AG$40,MATCH(ROW()-3,AH$4:AH$40,0)))</f>
        <v/>
      </c>
      <c r="AJ31">
        <f>IF('Final Calculation Sheet'!$E$31="","",'Final Calculation Sheet'!$E$31)</f>
        <v/>
      </c>
      <c r="AK31">
        <f>IF(AJ31="","",COUNTIFS(AJ$4:AJ$40,"&lt;"&amp;AJ31,AJ$4:AJ$40,"&lt;&gt;"&amp;"")+COUNTIF(AJ$4:AJ31,AJ31))</f>
        <v/>
      </c>
      <c r="AL31">
        <f>IF(ROW()-3&gt;COUNTIF(AJ$4:AJ$40,"&lt;&gt;"&amp;""),"",INDEX(AJ$4:AJ$40,MATCH(ROW()-3,AK$4:AK$40,0)))</f>
        <v/>
      </c>
      <c r="AM31">
        <f>AM30+IF(AND(AL31&lt;&gt;"",COUNTIF(AL$4:AL31,AL31)=1),1,0)</f>
        <v/>
      </c>
      <c r="AN31">
        <f>IF(ROW()-3&gt;MAX(AM$4:AM$40),"",INDEX(AL$4:AL$40,MATCH(ROW()-3,AM$4:AM$40,0)))</f>
        <v/>
      </c>
      <c r="AO31" s="55">
        <f>IF('Final Calculation Sheet'!$C$31="","",'Final Calculation Sheet'!$C$31)</f>
        <v/>
      </c>
      <c r="AP31">
        <f>IF(AO31="","",COUNTIFS(AO$4:AO$40,"&lt;"&amp;AO31,AO$4:AO$40,"&lt;&gt;"&amp;"")+COUNTIF(AO$4:AO31,AO31))</f>
        <v/>
      </c>
      <c r="AQ31" s="55">
        <f>IF(ROW()-3&gt;COUNTIF(AO$4:AO$40,"&lt;&gt;"&amp;""),"",INDEX(AO$4:AO$40,MATCH(ROW()-3,AP$4:AP$40,0)))</f>
        <v/>
      </c>
      <c r="AR31">
        <f>AR30+IF(AND(AQ31&lt;&gt;"",COUNTIF(AQ$4:AQ31,AQ31)=1),1,0)</f>
        <v/>
      </c>
      <c r="AS31" s="55">
        <f>IF(ROW()-3&gt;MAX(AR$4:AR$40),"",INDEX(AQ$4:AQ$40,MATCH(ROW()-3,AR$4:AR$40,0)))</f>
        <v/>
      </c>
      <c r="AT31" s="55">
        <f>IF('Final Calculation Sheet'!$H$31="","",'Final Calculation Sheet'!$H$31)</f>
        <v/>
      </c>
      <c r="AU31">
        <f>IF(AT31="","",COUNTIFS(AT$4:AT$40,"&lt;"&amp;AT31,AT$4:AT$40,"&lt;&gt;"&amp;"")+COUNTIF(AT$4:AT31,AT31))</f>
        <v/>
      </c>
      <c r="AV31" s="55">
        <f>IF(ROW()-3&gt;COUNTIF(AT$4:AT$40,"&lt;&gt;"&amp;""),"",INDEX(AT$4:AT$40,MATCH(ROW()-3,AU$4:AU$40,0)))</f>
        <v/>
      </c>
      <c r="AW31">
        <f>AW30+IF(AND(AV31&lt;&gt;"",COUNTIF(AV$4:AV31,AV31)=1),1,0)</f>
        <v/>
      </c>
      <c r="AX31" s="55">
        <f>IF(ROW()-3&gt;MAX(AW$4:AW$40),"",INDEX(AV$4:AV$40,MATCH(ROW()-3,AW$4:AW$40,0)))</f>
        <v/>
      </c>
      <c r="AY31" s="55">
        <f>IF('Final Calculation Sheet'!$I$31="","",'Final Calculation Sheet'!$I$31)</f>
        <v/>
      </c>
      <c r="AZ31">
        <f>IF(AY31="","",COUNTIFS(AY$4:AY$40,"&lt;"&amp;AY31,AY$4:AY$40,"&lt;&gt;"&amp;"")+COUNTIF(AY$4:AY31,AY31))</f>
        <v/>
      </c>
      <c r="BA31" s="55">
        <f>IF(ROW()-3&gt;COUNTIF(AY$4:AY$40,"&lt;&gt;"&amp;""),"",INDEX(AY$4:AY$40,MATCH(ROW()-3,AZ$4:AZ$40,0)))</f>
        <v/>
      </c>
      <c r="BB31">
        <f>BB30+IF(AND(BA31&lt;&gt;"",COUNTIF(BA$4:BA31,BA31)=1),1,0)</f>
        <v/>
      </c>
      <c r="BC31" s="55">
        <f>IF(ROW()-3&gt;MAX(BB$4:BB$40),"",INDEX(BA$4:BA$40,MATCH(ROW()-3,BB$4:BB$40,0)))</f>
        <v/>
      </c>
      <c r="BD31" s="55">
        <f>IF('Final Calculation Sheet'!$J$31="","",'Final Calculation Sheet'!$J$31)</f>
        <v/>
      </c>
      <c r="BE31">
        <f>IF(BD31="","",COUNTIFS(BD$4:BD$40,"&lt;"&amp;BD31,BD$4:BD$40,"&lt;&gt;"&amp;"")+COUNTIF(BD$4:BD31,BD31))</f>
        <v/>
      </c>
      <c r="BF31" s="55">
        <f>IF(ROW()-3&gt;COUNTIF(BD$4:BD$40,"&lt;&gt;"&amp;""),"",INDEX(BD$4:BD$40,MATCH(ROW()-3,BE$4:BE$40,0)))</f>
        <v/>
      </c>
      <c r="BG31">
        <f>BG30+IF(AND(BF31&lt;&gt;"",COUNTIF(BF$4:BF31,BF31)=1),1,0)</f>
        <v/>
      </c>
      <c r="BH31" s="55">
        <f>IF(ROW()-3&gt;MAX(BG$4:BG$40),"",INDEX(BF$4:BF$40,MATCH(ROW()-3,BG$4:BG$40,0)))</f>
        <v/>
      </c>
      <c r="BI31" s="55">
        <f>IF('Final Calculation Sheet'!$K$31="","",'Final Calculation Sheet'!$K$31)</f>
        <v/>
      </c>
      <c r="BJ31">
        <f>IF(BI31="","",COUNTIFS(BI$4:BI$40,"&lt;"&amp;BI31,BI$4:BI$40,"&lt;&gt;"&amp;"")+COUNTIF(BI$4:BI31,BI31))</f>
        <v/>
      </c>
      <c r="BK31" s="55">
        <f>IF(ROW()-3&gt;COUNTIF(BI$4:BI$40,"&lt;&gt;"&amp;""),"",INDEX(BI$4:BI$40,MATCH(ROW()-3,BJ$4:BJ$40,0)))</f>
        <v/>
      </c>
      <c r="BL31">
        <f>BL30+IF(AND(BK31&lt;&gt;"",COUNTIF(BK$4:BK31,BK31)=1),1,0)</f>
        <v/>
      </c>
      <c r="BM31" s="55">
        <f>IF(ROW()-3&gt;MAX(BL$4:BL$40),"",INDEX(BK$4:BK$40,MATCH(ROW()-3,BL$4:BL$40,0)))</f>
        <v/>
      </c>
      <c r="BN31" s="55">
        <f>IF('Final Calculation Sheet'!$L$31="","",'Final Calculation Sheet'!$L$31)</f>
        <v/>
      </c>
      <c r="BO31">
        <f>IF(BN31="","",COUNTIFS(BN$4:BN$40,"&lt;"&amp;BN31,BN$4:BN$40,"&lt;&gt;"&amp;"")+COUNTIF(BN$4:BN31,BN31))</f>
        <v/>
      </c>
      <c r="BP31" s="55">
        <f>IF(ROW()-3&gt;COUNTIF(BN$4:BN$40,"&lt;&gt;"&amp;""),"",INDEX(BN$4:BN$40,MATCH(ROW()-3,BO$4:BO$40,0)))</f>
        <v/>
      </c>
      <c r="BQ31">
        <f>BQ30+IF(AND(BP31&lt;&gt;"",COUNTIF(BP$4:BP31,BP31)=1),1,0)</f>
        <v/>
      </c>
      <c r="BR31" s="55">
        <f>IF(ROW()-3&gt;MAX(BQ$4:BQ$40),"",INDEX(BP$4:BP$40,MATCH(ROW()-3,BQ$4:BQ$40,0)))</f>
        <v/>
      </c>
      <c r="BS31" s="55">
        <f>IF('Final Calculation Sheet'!$M$31="","",'Final Calculation Sheet'!$M$31)</f>
        <v/>
      </c>
      <c r="BT31">
        <f>IF(BS31="","",COUNTIFS(BS$4:BS$40,"&lt;"&amp;BS31,BS$4:BS$40,"&lt;&gt;"&amp;"")+COUNTIF(BS$4:BS31,BS31))</f>
        <v/>
      </c>
      <c r="BU31" s="55">
        <f>IF(ROW()-3&gt;COUNTIF(BS$4:BS$40,"&lt;&gt;"&amp;""),"",INDEX(BS$4:BS$40,MATCH(ROW()-3,BT$4:BT$40,0)))</f>
        <v/>
      </c>
      <c r="BV31">
        <f>BV30+IF(AND(BU31&lt;&gt;"",COUNTIF(BU$4:BU31,BU31)=1),1,0)</f>
        <v/>
      </c>
      <c r="BW31" s="55">
        <f>IF(ROW()-3&gt;MAX(BV$4:BV$40),"",INDEX(BU$4:BU$40,MATCH(ROW()-3,BV$4:BV$40,0)))</f>
        <v/>
      </c>
      <c r="BX31" s="138">
        <f>IF('Final Calculation Sheet'!$N$31="","",'Final Calculation Sheet'!$N$31)</f>
        <v/>
      </c>
      <c r="BY31">
        <f>IF(BX31="","",COUNTIFS(BX$4:BX$40,"&lt;"&amp;BX31,BX$4:BX$40,"&lt;&gt;"&amp;"")+COUNTIF(BX$4:BX31,BX31))</f>
        <v/>
      </c>
      <c r="BZ31" s="138">
        <f>IF(ROW()-3&gt;COUNTIF(BX$4:BX$40,"&lt;&gt;"&amp;""),"",INDEX(BX$4:BX$40,MATCH(ROW()-3,BY$4:BY$40,0)))</f>
        <v/>
      </c>
      <c r="CA31">
        <f>CA30+IF(AND(BZ31&lt;&gt;"",COUNTIF(BZ$4:BZ31,BZ31)=1),1,0)</f>
        <v/>
      </c>
      <c r="CB31" s="138">
        <f>IF(ROW()-3&gt;MAX(CA$4:CA$40),"",INDEX(BZ$4:BZ$40,MATCH(ROW()-3,CA$4:CA$40,0)))</f>
        <v/>
      </c>
      <c r="CC31" s="55">
        <f>IF('Final Calculation Sheet'!$O$31="","",'Final Calculation Sheet'!$O$31)</f>
        <v/>
      </c>
      <c r="CD31">
        <f>IF(CC31="","",COUNTIFS(CC$4:CC$40,"&lt;"&amp;CC31,CC$4:CC$40,"&lt;&gt;"&amp;"")+COUNTIF(CC$4:CC31,CC31))</f>
        <v/>
      </c>
      <c r="CE31" s="55">
        <f>IF(ROW()-3&gt;COUNTIF(CC$4:CC$40,"&lt;&gt;"&amp;""),"",INDEX(CC$4:CC$40,MATCH(ROW()-3,CD$4:CD$40,0)))</f>
        <v/>
      </c>
      <c r="CF31">
        <f>CF30+IF(AND(CE31&lt;&gt;"",COUNTIF(CE$4:CE31,CE31)=1),1,0)</f>
        <v/>
      </c>
      <c r="CG31" s="55">
        <f>IF(ROW()-3&gt;MAX(CF$4:CF$40),"",INDEX(CE$4:CE$40,MATCH(ROW()-3,CF$4:CF$40,0)))</f>
        <v/>
      </c>
      <c r="CH31" s="55">
        <f>IF('Final Calculation Sheet'!$P$31="","",'Final Calculation Sheet'!$P$31)</f>
        <v/>
      </c>
      <c r="CI31">
        <f>IF(CH31="","",COUNTIFS(CH$4:CH$40,"&lt;"&amp;CH31,CH$4:CH$40,"&lt;&gt;"&amp;"")+COUNTIF(CH$4:CH31,CH31))</f>
        <v/>
      </c>
      <c r="CJ31" s="55">
        <f>IF(ROW()-3&gt;COUNTIF(CH$4:CH$40,"&lt;&gt;"&amp;""),"",INDEX(CH$4:CH$40,MATCH(ROW()-3,CI$4:CI$40,0)))</f>
        <v/>
      </c>
      <c r="CK31">
        <f>CK30+IF(AND(CJ31&lt;&gt;"",COUNTIF(CJ$4:CJ31,CJ31)=1),1,0)</f>
        <v/>
      </c>
      <c r="CL31" s="55">
        <f>IF(ROW()-3&gt;MAX(CK$4:CK$40),"",INDEX(CJ$4:CJ$40,MATCH(ROW()-3,CK$4:CK$40,0)))</f>
        <v/>
      </c>
      <c r="CM31" s="139">
        <f>IF('Final Calculation Sheet'!$Q$31="","",'Final Calculation Sheet'!$Q$31)</f>
        <v/>
      </c>
      <c r="CN31">
        <f>IF(CM31="","",COUNTIFS(CM$4:CM$40,"&lt;"&amp;CM31,CM$4:CM$40,"&lt;&gt;"&amp;"")+COUNTIF(CM$4:CM31,CM31))</f>
        <v/>
      </c>
      <c r="CO31" s="139">
        <f>IF(ROW()-3&gt;COUNTIF(CM$4:CM$40,"&lt;&gt;"&amp;""),"",INDEX(CM$4:CM$40,MATCH(ROW()-3,CN$4:CN$40,0)))</f>
        <v/>
      </c>
      <c r="CP31">
        <f>CP30+IF(AND(CO31&lt;&gt;"",COUNTIF(CO$4:CO31,CO31)=1),1,0)</f>
        <v/>
      </c>
      <c r="CQ31">
        <f>IF(ROW()-3&gt;MAX(CP$4:CP$40),"",INDEX(CO$4:CO$40,MATCH(ROW()-3,CP$4:CP$40,0)))</f>
        <v/>
      </c>
      <c r="CR31" s="55">
        <f>IF('Final Calculation Sheet'!$R$31="","",'Final Calculation Sheet'!$R$31)</f>
        <v/>
      </c>
      <c r="CS31">
        <f>IF(CR31="","",COUNTIFS(CR$4:CR$40,"&lt;"&amp;CR31,CR$4:CR$40,"&lt;&gt;"&amp;"")+COUNTIF(CR$4:CR31,CR31))</f>
        <v/>
      </c>
      <c r="CT31" s="55">
        <f>IF(ROW()-3&gt;COUNTIF(CR$4:CR$40,"&lt;&gt;"&amp;""),"",INDEX(CR$4:CR$40,MATCH(ROW()-3,CS$4:CS$40,0)))</f>
        <v/>
      </c>
      <c r="CU31">
        <f>CU30+IF(AND(CT31&lt;&gt;"",COUNTIF(CT$4:CT31,CT31)=1),1,0)</f>
        <v/>
      </c>
      <c r="CV31">
        <f>IF(ROW()-3&gt;MAX(CU$4:CU$40),"",INDEX(CT$4:CT$40,MATCH(ROW()-3,CU$4:CU$40,0)))</f>
        <v/>
      </c>
      <c r="CW31" s="55">
        <f>IF('Final Calculation Sheet'!$S$31="","",'Final Calculation Sheet'!$S$31)</f>
        <v/>
      </c>
      <c r="CX31">
        <f>IF(CW31="","",COUNTIFS(CW$4:CW$40,"&lt;"&amp;CW31,CW$4:CW$40,"&lt;&gt;"&amp;"")+COUNTIF(CW$4:CW31,CW31))</f>
        <v/>
      </c>
      <c r="CY31" s="55">
        <f>IF(ROW()-3&gt;COUNTIF(CW$4:CW$40,"&lt;&gt;"&amp;""),"",INDEX(CW$4:CW$40,MATCH(ROW()-3,CX$4:CX$40,0)))</f>
        <v/>
      </c>
      <c r="CZ31">
        <f>CZ30+IF(AND(CY31&lt;&gt;"",COUNTIF(CY$4:CY31,CY31)=1),1,0)</f>
        <v/>
      </c>
      <c r="DA31" s="55">
        <f>IF(ROW()-3&gt;MAX(CZ$4:CZ$40),"",INDEX(CY$4:CY$40,MATCH(ROW()-3,CZ$4:CZ$40,0)))</f>
        <v/>
      </c>
      <c r="DB31" s="55">
        <f>IF('Final Calculation Sheet'!$T$31="","",'Final Calculation Sheet'!$T$31)</f>
        <v/>
      </c>
      <c r="DC31">
        <f>IF(DB31="","",COUNTIFS(DB$4:DB$40,"&lt;"&amp;DB31,DB$4:DB$40,"&lt;&gt;"&amp;"")+COUNTIF(DB$4:DB31,DB31))</f>
        <v/>
      </c>
      <c r="DD31" s="55">
        <f>IF(ROW()-3&gt;COUNTIF(DB$4:DB$40,"&lt;&gt;"&amp;""),"",INDEX(DB$4:DB$40,MATCH(ROW()-3,DC$4:DC$40,0)))</f>
        <v/>
      </c>
      <c r="DE31">
        <f>DE30+IF(AND(DD31&lt;&gt;"",COUNTIF(DD$4:DD31,DD31)=1),1,0)</f>
        <v/>
      </c>
      <c r="DF31" s="55">
        <f>IF(ROW()-3&gt;MAX(DE$4:DE$40),"",INDEX(DD$4:DD$40,MATCH(ROW()-3,DE$4:DE$40,0)))</f>
        <v/>
      </c>
      <c r="DG31" s="140">
        <f>IF('Final Calculation Sheet'!$U$31="","",'Final Calculation Sheet'!$U$31)</f>
        <v/>
      </c>
      <c r="DH31">
        <f>IF(DG31="","",COUNTIFS(DG$4:DG$40,"&lt;"&amp;DG31,DG$4:DG$40,"&lt;&gt;"&amp;"")+COUNTIF(DG$4:DG31,DG31))</f>
        <v/>
      </c>
      <c r="DI31" s="140">
        <f>IF(ROW()-3&gt;COUNTIF(DG$4:DG$40,"&lt;&gt;"&amp;""),"",INDEX(DG$4:DG$40,MATCH(ROW()-3,DH$4:DH$40,0)))</f>
        <v/>
      </c>
      <c r="DJ31">
        <f>DJ30+IF(AND(DI31&lt;&gt;"",COUNTIF(DI$4:DI31,DI31)=1),1,0)</f>
        <v/>
      </c>
      <c r="DK31" s="140">
        <f>IF(ROW()-3&gt;MAX(DJ$4:DJ$40),"",INDEX(DI$4:DI$40,MATCH(ROW()-3,DJ$4:DJ$40,0)))</f>
        <v/>
      </c>
      <c r="DL31">
        <f>IF('Final Calculation Sheet'!$V$31="","",'Final Calculation Sheet'!$V$31)</f>
        <v/>
      </c>
      <c r="DM31">
        <f>IF(DL31="","",COUNTIFS(DL$4:DL$40,"&lt;"&amp;DL31,DL$4:DL$40,"&lt;&gt;"&amp;"")+COUNTIF(DL$4:DL31,DL31))</f>
        <v/>
      </c>
      <c r="DN31">
        <f>IF(ROW()-3&gt;COUNTIF(DL$4:DL$40,"&lt;&gt;"&amp;""),"",INDEX(DL$4:DL$40,MATCH(ROW()-3,DM$4:DM$40,0)))</f>
        <v/>
      </c>
      <c r="DO31">
        <f>DO30+IF(AND(DN31&lt;&gt;"",COUNTIF(DN$4:DN31,DN31)=1),1,0)</f>
        <v/>
      </c>
      <c r="DP31">
        <f>IF(ROW()-3&gt;MAX(DO$4:DO$40),"",INDEX(DN$4:DN$40,MATCH(ROW()-3,DO$4:DO$40,0)))</f>
        <v/>
      </c>
      <c r="DQ31" s="55">
        <f>IF('Final Calculation Sheet'!$W$31="","",'Final Calculation Sheet'!$W$31)</f>
        <v/>
      </c>
      <c r="DR31">
        <f>IF(DQ31="","",COUNTIFS(DQ$4:DQ$40,"&lt;"&amp;DQ31,DQ$4:DQ$40,"&lt;&gt;"&amp;"")+COUNTIF(DQ$4:DQ31,DQ31))</f>
        <v/>
      </c>
      <c r="DS31" s="55">
        <f>IF(ROW()-3&gt;COUNTIF(DQ$4:DQ$40,"&lt;&gt;"&amp;""),"",INDEX(DQ$4:DQ$40,MATCH(ROW()-3,DR$4:DR$40,0)))</f>
        <v/>
      </c>
      <c r="DT31">
        <f>DT30+IF(AND(DS31&lt;&gt;"",COUNTIF(DS$4:DS31,DS31)=1),1,0)</f>
        <v/>
      </c>
      <c r="DU31" s="55">
        <f>IF(ROW()-3&gt;MAX(DT$4:DT$40),"",INDEX(DS$4:DS$40,MATCH(ROW()-3,DT$4:DT$40,0)))</f>
        <v/>
      </c>
      <c r="DV31" s="55">
        <f>IF('Final Calculation Sheet'!$X$31="","",'Final Calculation Sheet'!$X$31)</f>
        <v/>
      </c>
      <c r="DW31">
        <f>IF(DV31="","",COUNTIFS(DV$4:DV$40,"&lt;"&amp;DV31,DV$4:DV$40,"&lt;&gt;"&amp;"")+COUNTIF(DV$4:DV31,DV31))</f>
        <v/>
      </c>
      <c r="DX31" s="55">
        <f>IF(ROW()-3&gt;COUNTIF(DV$4:DV$40,"&lt;&gt;"&amp;""),"",INDEX(DV$4:DV$40,MATCH(ROW()-3,DW$4:DW$40,0)))</f>
        <v/>
      </c>
      <c r="DY31">
        <f>DY30+IF(AND(DX31&lt;&gt;"",COUNTIF(DX$4:DX31,DX31)=1),1,0)</f>
        <v/>
      </c>
      <c r="DZ31">
        <f>IF(ROW()-3&gt;MAX(DY$4:DY$40),"",INDEX(DX$4:DX$40,MATCH(ROW()-3,DY$4:DY$40,0)))</f>
        <v/>
      </c>
      <c r="EA31">
        <f>IF('Final Calculation Sheet'!$Y$31="","",'Final Calculation Sheet'!$Y$31)</f>
        <v/>
      </c>
      <c r="EB31">
        <f>IF(EA31="","",COUNTIFS(EA$4:EA$40,"&lt;"&amp;EA31,EA$4:EA$40,"&lt;&gt;"&amp;"")+COUNTIF(EA$4:EA31,EA31))</f>
        <v/>
      </c>
      <c r="EC31">
        <f>IF(ROW()-3&gt;COUNTIF(EA$4:EA$40,"&lt;&gt;"&amp;""),"",INDEX(EA$4:EA$40,MATCH(ROW()-3,EB$4:EB$40,0)))</f>
        <v/>
      </c>
      <c r="ED31">
        <f>ED30+IF(AND(EC31&lt;&gt;"",COUNTIF(EC$4:EC31,EC31)=1),1,0)</f>
        <v/>
      </c>
      <c r="EE31">
        <f>IF(ROW()-3&gt;MAX(ED$4:ED$40),"",INDEX(EC$4:EC$40,MATCH(ROW()-3,ED$4:ED$40,0)))</f>
        <v/>
      </c>
      <c r="EF31" s="55">
        <f>IF('Final Calculation Sheet'!$Z$31="","",'Final Calculation Sheet'!$Z$31)</f>
        <v/>
      </c>
      <c r="EG31">
        <f>IF(EF31="","",COUNTIFS(EF$4:EF$40,"&lt;"&amp;EF31,EF$4:EF$40,"&lt;&gt;"&amp;"")+COUNTIF(EF$4:EF31,EF31))</f>
        <v/>
      </c>
      <c r="EH31" s="55">
        <f>IF(ROW()-3&gt;COUNTIF(EF$4:EF$40,"&lt;&gt;"&amp;""),"",INDEX(EF$4:EF$40,MATCH(ROW()-3,EG$4:EG$40,0)))</f>
        <v/>
      </c>
      <c r="EI31">
        <f>EI30+IF(AND(EH31&lt;&gt;"",COUNTIF(EH$4:EH31,EH31)=1),1,0)</f>
        <v/>
      </c>
      <c r="EJ31">
        <f>IF(ROW()-3&gt;MAX(EI$4:EI$40),"",INDEX(EH$4:EH$40,MATCH(ROW()-3,EI$4:EI$40,0)))</f>
        <v/>
      </c>
      <c r="EK31">
        <f>IF('Final Calculation Sheet'!$AA$31="","",'Final Calculation Sheet'!$AA$31)</f>
        <v/>
      </c>
      <c r="EL31">
        <f>IF(EK31="","",COUNTIFS(EK$4:EK$40,"&lt;"&amp;EK31,EK$4:EK$40,"&lt;&gt;"&amp;"")+COUNTIF(EK$4:EK31,EK31))</f>
        <v/>
      </c>
      <c r="EM31">
        <f>IF(ROW()-3&gt;COUNTIF(EK$4:EK$40,"&lt;&gt;"&amp;""),"",INDEX(EK$4:EK$40,MATCH(ROW()-3,EL$4:EL$40,0)))</f>
        <v/>
      </c>
      <c r="EN31">
        <f>EN30+IF(AND(EM31&lt;&gt;"",COUNTIF(EM$4:EM31,EM31)=1),1,0)</f>
        <v/>
      </c>
      <c r="EO31">
        <f>IF(ROW()-3&gt;MAX(EN$4:EN$40),"",INDEX(EM$4:EM$40,MATCH(ROW()-3,EN$4:EN$40,0)))</f>
        <v/>
      </c>
      <c r="EP31">
        <f>IF('Final Calculation Sheet'!$AB$31="","",'Final Calculation Sheet'!$AB$31)</f>
        <v/>
      </c>
      <c r="EQ31">
        <f>IF(EP31="","",COUNTIFS(EP$4:EP$40,"&lt;"&amp;EP31,EP$4:EP$40,"&lt;&gt;"&amp;"")+COUNTIF(EP$4:EP31,EP31))</f>
        <v/>
      </c>
      <c r="ER31">
        <f>IF(ROW()-3&gt;COUNTIF(EP$4:EP$40,"&lt;&gt;"&amp;""),"",INDEX(EP$4:EP$40,MATCH(ROW()-3,EQ$4:EQ$40,0)))</f>
        <v/>
      </c>
      <c r="ES31">
        <f>ES30+IF(AND(ER31&lt;&gt;"",COUNTIF(ER$4:ER31,ER31)=1),1,0)</f>
        <v/>
      </c>
      <c r="ET31">
        <f>IF(ROW()-3&gt;MAX(ES$4:ES$40),"",INDEX(ER$4:ER$40,MATCH(ROW()-3,ES$4:ES$40,0)))</f>
        <v/>
      </c>
      <c r="EU31" s="55">
        <f>IF('Final Calculation Sheet'!$AC$31="","",'Final Calculation Sheet'!$AC$31)</f>
        <v/>
      </c>
      <c r="EV31">
        <f>IF(EU31="","",COUNTIFS(EU$4:EU$40,"&lt;"&amp;EU31,EU$4:EU$40,"&lt;&gt;"&amp;"")+COUNTIF(EU$4:EU31,EU31))</f>
        <v/>
      </c>
      <c r="EW31" s="55">
        <f>IF(ROW()-3&gt;COUNTIF(EU$4:EU$40,"&lt;&gt;"&amp;""),"",INDEX(EU$4:EU$40,MATCH(ROW()-3,EV$4:EV$40,0)))</f>
        <v/>
      </c>
      <c r="EX31">
        <f>EX30+IF(AND(EW31&lt;&gt;"",COUNTIF(EW$4:EW31,EW31)=1),1,0)</f>
        <v/>
      </c>
      <c r="EY31" s="55">
        <f>IF(ROW()-3&gt;MAX(EX$4:EX$40),"",INDEX(EW$4:EW$40,MATCH(ROW()-3,EX$4:EX$40,0)))</f>
        <v/>
      </c>
      <c r="EZ31" s="55">
        <f>IF('Final Calculation Sheet'!$AD$31="","",'Final Calculation Sheet'!$AD$31)</f>
        <v/>
      </c>
      <c r="FA31">
        <f>IF(EZ31="","",COUNTIFS(EZ$4:EZ$40,"&lt;"&amp;EZ31,EZ$4:EZ$40,"&lt;&gt;"&amp;"")+COUNTIF(EZ$4:EZ31,EZ31))</f>
        <v/>
      </c>
      <c r="FB31" s="55">
        <f>IF(ROW()-3&gt;COUNTIF(EZ$4:EZ$40,"&lt;&gt;"&amp;""),"",INDEX(EZ$4:EZ$40,MATCH(ROW()-3,FA$4:FA$40,0)))</f>
        <v/>
      </c>
      <c r="FC31">
        <f>FC30+IF(AND(FB31&lt;&gt;"",COUNTIF(FB$4:FB31,FB31)=1),1,0)</f>
        <v/>
      </c>
      <c r="FD31">
        <f>IF(ROW()-3&gt;MAX(FC$4:FC$40),"",INDEX(FB$4:FB$40,MATCH(ROW()-3,FC$4:FC$40,0)))</f>
        <v/>
      </c>
      <c r="FE31">
        <f>IF('Final Calculation Sheet'!$AF$31="","",'Final Calculation Sheet'!$AF$31)</f>
        <v/>
      </c>
      <c r="FF31">
        <f>IF(FE31="","",COUNTIFS(FE$4:FE$40,"&lt;"&amp;FE31,FE$4:FE$40,"&lt;&gt;"&amp;"")+COUNTIF(FE$4:FE31,FE31))</f>
        <v/>
      </c>
      <c r="FG31">
        <f>IF(ROW()-3&gt;COUNTIF(FE$4:FE$40,"&lt;&gt;"&amp;""),"",INDEX(FE$4:FE$40,MATCH(ROW()-3,FF$4:FF$40,0)))</f>
        <v/>
      </c>
      <c r="FH31">
        <f>FH30+IF(AND(FG31&lt;&gt;"",COUNTIF(FG$4:FG31,FG31)=1),1,0)</f>
        <v/>
      </c>
      <c r="FI31">
        <f>IF(ROW()-3&gt;MAX(FH$4:FH$40),"",INDEX(FG$4:FG$40,MATCH(ROW()-3,FH$4:FH$40,0)))</f>
        <v/>
      </c>
      <c r="FJ31" s="141">
        <f>IF('Final Calculation Sheet'!$AG$31="","",'Final Calculation Sheet'!$AG$31)</f>
        <v/>
      </c>
      <c r="FK31">
        <f>IF(FJ31="","",COUNTIFS(FJ$4:FJ$40,"&lt;"&amp;FJ31,FJ$4:FJ$40,"&lt;&gt;"&amp;"")+COUNTIF(FJ$4:FJ31,FJ31))</f>
        <v/>
      </c>
      <c r="FL31" s="141">
        <f>IF(ROW()-3&gt;COUNTIF(FJ$4:FJ$40,"&lt;&gt;"&amp;""),"",INDEX(FJ$4:FJ$40,MATCH(ROW()-3,FK$4:FK$40,0)))</f>
        <v/>
      </c>
      <c r="FM31">
        <f>FM30+IF(AND(FL31&lt;&gt;"",COUNTIF(FL$4:FL31,FL31)=1),1,0)</f>
        <v/>
      </c>
      <c r="FN31">
        <f>IF(ROW()-3&gt;MAX(FM$4:FM$40),"",INDEX(FL$4:FL$40,MATCH(ROW()-3,FM$4:FM$40,0)))</f>
        <v/>
      </c>
      <c r="FO31">
        <f>IF('Final Calculation Sheet'!$AH$31="","",'Final Calculation Sheet'!$AH$31)</f>
        <v/>
      </c>
      <c r="FP31">
        <f>IF(FO31="","",COUNTIFS(FO$4:FO$40,"&lt;"&amp;FO31,FO$4:FO$40,"&lt;&gt;"&amp;"")+COUNTIF(FO$4:FO31,FO31))</f>
        <v/>
      </c>
      <c r="FQ31">
        <f>IF(ROW()-3&gt;COUNTIF(FO$4:FO$40,"&lt;&gt;"&amp;""),"",INDEX(FO$4:FO$40,MATCH(ROW()-3,FP$4:FP$40,0)))</f>
        <v/>
      </c>
      <c r="FR31">
        <f>FR30+IF(AND(FQ31&lt;&gt;"",COUNTIF(FQ$4:FQ31,FQ31)=1),1,0)</f>
        <v/>
      </c>
      <c r="FS31">
        <f>IF(ROW()-3&gt;MAX(FR$4:FR$40),"",INDEX(FQ$4:FQ$40,MATCH(ROW()-3,FR$4:FR$40,0)))</f>
        <v/>
      </c>
      <c r="FU31">
        <f>IF(FT31="","",COUNTIFS(FT$4:FT$40,"&lt;"&amp;FT31,FT$4:FT$40,"&lt;&gt;"&amp;"")+COUNTIF(FT$4:FT31,FT31))</f>
        <v/>
      </c>
      <c r="FV31">
        <f>IF(ROW()-3&gt;COUNTIF(FT$4:FT$40,"&lt;&gt;"&amp;""),"",INDEX(FT$4:FT$40,MATCH(ROW()-3,FU$4:FU$40,0)))</f>
        <v/>
      </c>
      <c r="FW31">
        <f>FW30+IF(AND(FV31&lt;&gt;"",COUNTIF(FV$4:FV31,FV31)=1),1,0)</f>
        <v/>
      </c>
      <c r="FX31">
        <f>IF(ROW()-3&gt;MAX(FW$4:FW$40),"",INDEX(FV$4:FV$40,MATCH(ROW()-3,FW$4:FW$40,0)))</f>
        <v/>
      </c>
      <c r="FY31">
        <f>IF(COUNTIF('Live Search'!BM$30:BO$30,0)+COUNTIF('Live Search'!BQ$30:CU$30,0)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1">
        <f>IF($Y$31="",FALSE,SUMPRODUCT(('Final Calculation Sheet'!$B$4:$B$40=$Y$31)*($FY$6:$FY$42=1))&gt;0)</f>
        <v/>
      </c>
      <c r="GA31">
        <f>$GA$30+--($FZ$31)</f>
        <v/>
      </c>
      <c r="GB31">
        <f>IF(ROW()-3&gt;MAX($GA$4:$GA$40),"",INDEX($Y$4:$Y$40,MATCH(ROW()-3,$GA$4:$GA$40,0)))</f>
        <v/>
      </c>
      <c r="GC31">
        <f>IF(COUNTIF('Live Search'!BM$30:BM$30,0)+COUNTIF('Live Search'!BO$30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GD31">
        <f>IF($O$31="",FALSE,SUMPRODUCT(('Final Calculation Sheet'!$F$4:$F$40=$O$31)*($GC$6:$GC$42=1))&gt;0)</f>
        <v/>
      </c>
      <c r="GE31">
        <f>$GE$30+--($GD31)</f>
        <v/>
      </c>
      <c r="GF31">
        <f>IF(ROW()-3&gt;MAX($GE$4:$GE$40),"",INDEX($O$4:$O$40,MATCH(ROW()-3,$GE$4:$GE$40,0)))</f>
        <v/>
      </c>
      <c r="GG31">
        <f>IF(COUNTIF('Live Search'!BM$30:BN$30,0)+COUNTIF('Live Search'!BP$30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GH31">
        <f>IF($T$31="",FALSE,SUMPRODUCT(('Final Calculation Sheet'!$G$4:$G$40=$T$31)*($GG$6:$GG$42=1))&gt;0)</f>
        <v/>
      </c>
      <c r="GI31">
        <f>$GI$30+--($GH31)</f>
        <v/>
      </c>
      <c r="GJ31">
        <f>IF(ROW()-3&gt;MAX($GI$4:$GI$40),"",INDEX($T$4:$T$40,MATCH(ROW()-3,$GI$4:$GI$40,0)))</f>
        <v/>
      </c>
      <c r="GK31">
        <f>IF(COUNTIF('Live Search'!BM$30:BP$30,0)+COUNTIF('Live Search'!BR$30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GL31">
        <f>IF($AD$31="",FALSE,SUMPRODUCT(('Final Calculation Sheet'!$D$4:$D$40=$AD$31)*($GK$6:$GK$42=1))&gt;0)</f>
        <v/>
      </c>
      <c r="GM31">
        <f>$GM$30+--($GL31)</f>
        <v/>
      </c>
      <c r="GN31">
        <f>IF(ROW()-3&gt;MAX($GM$4:$GM$40),"",INDEX($AD$4:$AD$40,MATCH(ROW()-3,$GM$4:$GM$40,0)))</f>
        <v/>
      </c>
      <c r="GO31">
        <f>IF(COUNTIF('Live Search'!BM$30:BQ$30,0)+COUNTIF('Live Search'!BS$30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GP31">
        <f>IF($AI$31="",FALSE,SUMPRODUCT(('Final Calculation Sheet'!$A$4:$A$40=$AI$31)*($GO$6:$GO$42=1))&gt;0)</f>
        <v/>
      </c>
      <c r="GQ31">
        <f>$GQ$30+--($GP31)</f>
        <v/>
      </c>
      <c r="GR31">
        <f>IF(ROW()-3&gt;MAX($GQ$4:$GQ$40),"",INDEX($AI$4:$AI$40,MATCH(ROW()-3,$GQ$4:$GQ$40,0)))</f>
        <v/>
      </c>
      <c r="GS31">
        <f>IF(COUNTIF('Live Search'!BM$30:BR$30,0)+COUNTIF('Live Search'!BT$30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GT31">
        <f>IF($AN$31="",FALSE,SUMPRODUCT(('Final Calculation Sheet'!$E$4:$E$40=$AN$31)*($GS$6:$GS$42=1))&gt;0)</f>
        <v/>
      </c>
      <c r="GU31">
        <f>$GU$30+--($GT31)</f>
        <v/>
      </c>
      <c r="GV31">
        <f>IF(ROW()-3&gt;MAX($GU$4:$GU$40),"",INDEX($AN$4:$AN$40,MATCH(ROW()-3,$GU$4:$GU$40,0)))</f>
        <v/>
      </c>
      <c r="GW31">
        <f>IF(COUNTIF('Live Search'!BM$30:BS$30,0)+COUNTIF('Live Search'!BU$30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GX31">
        <f>IF($AS$31="",FALSE,SUMPRODUCT(('Final Calculation Sheet'!$C$4:$C$40=$AS$31)*($GW$6:$GW$42=1))&gt;0)</f>
        <v/>
      </c>
      <c r="GY31">
        <f>$GY$30+--($GX31)</f>
        <v/>
      </c>
      <c r="GZ31">
        <f>IF(ROW()-3&gt;MAX($GY$4:$GY$40),"",INDEX($AS$4:$AS$40,MATCH(ROW()-3,$GY$4:$GY$40,0)))</f>
        <v/>
      </c>
      <c r="HA31">
        <f>IF(COUNTIF('Live Search'!BM$30:BT$30,0)+COUNTIF('Live Search'!BV$30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HB31">
        <f>IF($AX$31="",FALSE,SUMPRODUCT(('Final Calculation Sheet'!$H$4:$H$40=$AX$31)*($HA$6:$HA$42=1))&gt;0)</f>
        <v/>
      </c>
      <c r="HC31">
        <f>$HC$30+--($HB31)</f>
        <v/>
      </c>
      <c r="HD31">
        <f>IF(ROW()-3&gt;MAX($HC$4:$HC$40),"",INDEX($AX$4:$AX$40,MATCH(ROW()-3,$HC$4:$HC$40,0)))</f>
        <v/>
      </c>
      <c r="HE31">
        <f>IF(COUNTIF('Live Search'!BM$30:BU$30,0)+COUNTIF('Live Search'!BW$30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HF31">
        <f>IF($BC$31="",FALSE,SUMPRODUCT(('Final Calculation Sheet'!$I$4:$I$40=$BC$31)*($HE$6:$HE$42=1))&gt;0)</f>
        <v/>
      </c>
      <c r="HG31">
        <f>$HG$30+--($HF31)</f>
        <v/>
      </c>
      <c r="HH31">
        <f>IF(ROW()-3&gt;MAX($HG$4:$HG$40),"",INDEX($BC$4:$BC$40,MATCH(ROW()-3,$HG$4:$HG$40,0)))</f>
        <v/>
      </c>
      <c r="HI31">
        <f>IF(COUNTIF('Live Search'!BM$30:BV$30,0)+COUNTIF('Live Search'!BX$30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HJ31">
        <f>IF($BH$31="",FALSE,SUMPRODUCT(('Final Calculation Sheet'!$J$4:$J$40=$BH$31)*($HI$6:$HI$42=1))&gt;0)</f>
        <v/>
      </c>
      <c r="HK31">
        <f>$HK$30+--($HJ31)</f>
        <v/>
      </c>
      <c r="HL31">
        <f>IF(ROW()-3&gt;MAX($HK$4:$HK$40),"",INDEX($BH$4:$BH$40,MATCH(ROW()-3,$HK$4:$HK$40,0)))</f>
        <v/>
      </c>
      <c r="HM31">
        <f>IF(COUNTIF('Live Search'!BM$30:BW$30,0)+COUNTIF('Live Search'!BY$30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HN31">
        <f>IF($BM$31="",FALSE,SUMPRODUCT(('Final Calculation Sheet'!$K$4:$K$40=$BM$31)*($HM$6:$HM$42=1))&gt;0)</f>
        <v/>
      </c>
      <c r="HO31">
        <f>$HO$30+--($HN31)</f>
        <v/>
      </c>
      <c r="HP31">
        <f>IF(ROW()-3&gt;MAX($HO$4:$HO$40),"",INDEX($BM$4:$BM$40,MATCH(ROW()-3,$HO$4:$HO$40,0)))</f>
        <v/>
      </c>
      <c r="HQ31">
        <f>IF(COUNTIF('Live Search'!BM$30:BX$30,0)+COUNTIF('Live Search'!BZ$30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HR31">
        <f>IF($BR$31="",FALSE,SUMPRODUCT(('Final Calculation Sheet'!$L$4:$L$40=$BR$31)*($HQ$6:$HQ$42=1))&gt;0)</f>
        <v/>
      </c>
      <c r="HS31">
        <f>$HS$30+--($HR31)</f>
        <v/>
      </c>
      <c r="HT31">
        <f>IF(ROW()-3&gt;MAX($HS$4:$HS$40),"",INDEX($BR$4:$BR$40,MATCH(ROW()-3,$HS$4:$HS$40,0)))</f>
        <v/>
      </c>
      <c r="HU31">
        <f>IF(COUNTIF('Live Search'!BM$30:BY$30,0)+COUNTIF('Live Search'!CA$30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HV31">
        <f>IF($BW$31="",FALSE,SUMPRODUCT(('Final Calculation Sheet'!$M$4:$M$40=$BW$31)*($HU$6:$HU$42=1))&gt;0)</f>
        <v/>
      </c>
      <c r="HW31">
        <f>$HW$30+--($HV31)</f>
        <v/>
      </c>
      <c r="HX31">
        <f>IF(ROW()-3&gt;MAX($HW$4:$HW$40),"",INDEX($BW$4:$BW$40,MATCH(ROW()-3,$HW$4:$HW$40,0)))</f>
        <v/>
      </c>
      <c r="HY31">
        <f>IF(COUNTIF('Live Search'!BM$30:BZ$30,0)+COUNTIF('Live Search'!CB$30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HZ31">
        <f>IF($CB$31="",FALSE,SUMPRODUCT(('Final Calculation Sheet'!$N$4:$N$40=$CB$31)*($HY$6:$HY$42=1))&gt;0)</f>
        <v/>
      </c>
      <c r="IA31">
        <f>$IA$30+--($HZ31)</f>
        <v/>
      </c>
      <c r="IB31">
        <f>IF(ROW()-3&gt;MAX($IA$4:$IA$40),"",INDEX($CB$4:$CB$40,MATCH(ROW()-3,$IA$4:$IA$40,0)))</f>
        <v/>
      </c>
      <c r="IC31">
        <f>IF(COUNTIF('Live Search'!BM$30:CA$30,0)+COUNTIF('Live Search'!CC$30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ID31">
        <f>IF($CG$31="",FALSE,SUMPRODUCT(('Final Calculation Sheet'!$O$4:$O$40=$CG$31)*($IC$6:$IC$42=1))&gt;0)</f>
        <v/>
      </c>
      <c r="IE31">
        <f>$IE$30+--($ID31)</f>
        <v/>
      </c>
      <c r="IF31">
        <f>IF(ROW()-3&gt;MAX($IE$4:$IE$40),"",INDEX($CG$4:$CG$40,MATCH(ROW()-3,$IE$4:$IE$40,0)))</f>
        <v/>
      </c>
      <c r="IG31">
        <f>IF(COUNTIF('Live Search'!BM$30:CB$30,0)+COUNTIF('Live Search'!CD$30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IH31">
        <f>IF($CL$31="",FALSE,SUMPRODUCT(('Final Calculation Sheet'!$P$4:$P$40=$CL$31)*($IG$6:$IG$42=1))&gt;0)</f>
        <v/>
      </c>
      <c r="II31">
        <f>$II$30+--($IH31)</f>
        <v/>
      </c>
      <c r="IJ31">
        <f>IF(ROW()-3&gt;MAX($II$4:$II$40),"",INDEX($CL$4:$CL$40,MATCH(ROW()-3,$II$4:$II$40,0)))</f>
        <v/>
      </c>
      <c r="IK31">
        <f>IF(COUNTIF('Live Search'!BM$30:CC$30,0)+COUNTIF('Live Search'!CE$30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IL31">
        <f>IF($CQ$31="",FALSE,SUMPRODUCT(('Final Calculation Sheet'!$Q$4:$Q$40=$CQ$31)*($IK$6:$IK$42=1))&gt;0)</f>
        <v/>
      </c>
      <c r="IM31">
        <f>$IM$30+--($IL31)</f>
        <v/>
      </c>
      <c r="IN31">
        <f>IF(ROW()-3&gt;MAX($IM$4:$IM$40),"",INDEX($CQ$4:$CQ$40,MATCH(ROW()-3,$IM$4:$IM$40,0)))</f>
        <v/>
      </c>
      <c r="IO31">
        <f>IF(COUNTIF('Live Search'!BM$30:CD$30,0)+COUNTIF('Live Search'!CF$30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IP31">
        <f>IF($CV$31="",FALSE,SUMPRODUCT(('Final Calculation Sheet'!$R$4:$R$40=$CV$31)*($IO$6:$IO$42=1))&gt;0)</f>
        <v/>
      </c>
      <c r="IQ31">
        <f>$IQ$30+--($IP31)</f>
        <v/>
      </c>
      <c r="IR31">
        <f>IF(ROW()-3&gt;MAX($IQ$4:$IQ$40),"",INDEX($CV$4:$CV$40,MATCH(ROW()-3,$IQ$4:$IQ$40,0)))</f>
        <v/>
      </c>
      <c r="IS31">
        <f>IF(COUNTIF('Live Search'!BM$30:CE$30,0)+COUNTIF('Live Search'!CG$30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IT31">
        <f>IF($DA$31="",FALSE,SUMPRODUCT(('Final Calculation Sheet'!$S$4:$S$40=$DA$31)*($IS$6:$IS$42=1))&gt;0)</f>
        <v/>
      </c>
      <c r="IU31">
        <f>$IU$30+--($IT31)</f>
        <v/>
      </c>
      <c r="IV31">
        <f>IF(ROW()-3&gt;MAX($IU$4:$IU$40),"",INDEX($DA$4:$DA$40,MATCH(ROW()-3,$IU$4:$IU$40,0)))</f>
        <v/>
      </c>
      <c r="IW31">
        <f>IF(COUNTIF('Live Search'!BM$30:CF$30,0)+COUNTIF('Live Search'!CH$30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IX31">
        <f>IF($DF$31="",FALSE,SUMPRODUCT(('Final Calculation Sheet'!$T$4:$T$40=$DF$31)*($IW$6:$IW$42=1))&gt;0)</f>
        <v/>
      </c>
      <c r="IY31">
        <f>$IY$30+--($IX31)</f>
        <v/>
      </c>
      <c r="IZ31">
        <f>IF(ROW()-3&gt;MAX($IY$4:$IY$40),"",INDEX($DF$4:$DF$40,MATCH(ROW()-3,$IY$4:$IY$40,0)))</f>
        <v/>
      </c>
      <c r="JA31">
        <f>IF(COUNTIF('Live Search'!BM$30:CG$30,0)+COUNTIF('Live Search'!CI$30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JB31">
        <f>IF($DK$31="",FALSE,SUMPRODUCT(('Final Calculation Sheet'!$U$4:$U$40=$DK$31)*($JA$6:$JA$42=1))&gt;0)</f>
        <v/>
      </c>
      <c r="JC31">
        <f>$JC$30+--($JB31)</f>
        <v/>
      </c>
      <c r="JD31">
        <f>IF(ROW()-3&gt;MAX($JC$4:$JC$40),"",INDEX($DK$4:$DK$40,MATCH(ROW()-3,$JC$4:$JC$40,0)))</f>
        <v/>
      </c>
      <c r="JE31">
        <f>IF(COUNTIF('Live Search'!BM$30:CH$30,0)+COUNTIF('Live Search'!CJ$30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JF31">
        <f>IF($DP$31="",FALSE,SUMPRODUCT(('Final Calculation Sheet'!$V$4:$V$40=$DP$31)*($JE$6:$JE$42=1))&gt;0)</f>
        <v/>
      </c>
      <c r="JG31">
        <f>$JG$30+--($JF31)</f>
        <v/>
      </c>
      <c r="JH31">
        <f>IF(ROW()-3&gt;MAX($JG$4:$JG$40),"",INDEX($DP$4:$DP$40,MATCH(ROW()-3,$JG$4:$JG$40,0)))</f>
        <v/>
      </c>
      <c r="JI31">
        <f>IF(COUNTIF('Live Search'!BM$30:CI$30,0)+COUNTIF('Live Search'!CK$30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JJ31">
        <f>IF($DU$31="",FALSE,SUMPRODUCT(('Final Calculation Sheet'!$W$4:$W$40=$DU$31)*($JI$6:$JI$42=1))&gt;0)</f>
        <v/>
      </c>
      <c r="JK31">
        <f>$JK$30+--($JJ31)</f>
        <v/>
      </c>
      <c r="JL31">
        <f>IF(ROW()-3&gt;MAX($JK$4:$JK$40),"",INDEX($DU$4:$DU$40,MATCH(ROW()-3,$JK$4:$JK$40,0)))</f>
        <v/>
      </c>
      <c r="JM31">
        <f>IF(COUNTIF('Live Search'!BM$30:CJ$30,0)+COUNTIF('Live Search'!CL$30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JN31">
        <f>IF($DZ$31="",FALSE,SUMPRODUCT(('Final Calculation Sheet'!$X$4:$X$40=$DZ$31)*($JM$6:$JM$42=1))&gt;0)</f>
        <v/>
      </c>
      <c r="JO31">
        <f>$JO$30+--($JN31)</f>
        <v/>
      </c>
      <c r="JP31">
        <f>IF(ROW()-3&gt;MAX($JO$4:$JO$40),"",INDEX($DZ$4:$DZ$40,MATCH(ROW()-3,$JO$4:$JO$40,0)))</f>
        <v/>
      </c>
      <c r="JQ31">
        <f>IF(COUNTIF('Live Search'!BM$30:CK$30,0)+COUNTIF('Live Search'!CM$30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JR31">
        <f>IF($EE$31="",FALSE,SUMPRODUCT(('Final Calculation Sheet'!$Y$4:$Y$40=$EE$31)*($JQ$6:$JQ$42=1))&gt;0)</f>
        <v/>
      </c>
      <c r="JS31">
        <f>$JS$30+--($JR31)</f>
        <v/>
      </c>
      <c r="JT31">
        <f>IF(ROW()-3&gt;MAX($JS$4:$JS$40),"",INDEX($EE$4:$EE$40,MATCH(ROW()-3,$JS$4:$JS$40,0)))</f>
        <v/>
      </c>
      <c r="JU31">
        <f>IF(COUNTIF('Live Search'!BM$30:CL$30,0)+COUNTIF('Live Search'!CN$30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JV31">
        <f>IF($EJ$31="",FALSE,SUMPRODUCT(('Final Calculation Sheet'!$Z$4:$Z$40=$EJ$31)*($JU$6:$JU$42=1))&gt;0)</f>
        <v/>
      </c>
      <c r="JW31">
        <f>$JW$30+--($JV31)</f>
        <v/>
      </c>
      <c r="JX31">
        <f>IF(ROW()-3&gt;MAX($JW$4:$JW$40),"",INDEX($EJ$4:$EJ$40,MATCH(ROW()-3,$JW$4:$JW$40,0)))</f>
        <v/>
      </c>
      <c r="JY31">
        <f>IF(COUNTIF('Live Search'!BM$30:CM$30,0)+COUNTIF('Live Search'!CO$30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JZ31">
        <f>IF($EO$31="",FALSE,SUMPRODUCT(('Final Calculation Sheet'!$AA$4:$AA$40=$EO$31)*($JY$6:$JY$42=1))&gt;0)</f>
        <v/>
      </c>
      <c r="KA31">
        <f>$KA$30+--($JZ31)</f>
        <v/>
      </c>
      <c r="KB31">
        <f>IF(ROW()-3&gt;MAX($KA$4:$KA$40),"",INDEX($EO$4:$EO$40,MATCH(ROW()-3,$KA$4:$KA$40,0)))</f>
        <v/>
      </c>
      <c r="KC31">
        <f>IF(COUNTIF('Live Search'!BM$30:CN$30,0)+COUNTIF('Live Search'!CP$30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KD31">
        <f>IF($ET$31="",FALSE,SUMPRODUCT(('Final Calculation Sheet'!$AB$4:$AB$40=$ET$31)*($KC$6:$KC$42=1))&gt;0)</f>
        <v/>
      </c>
      <c r="KE31">
        <f>$KE$30+--($KD31)</f>
        <v/>
      </c>
      <c r="KF31">
        <f>IF(ROW()-3&gt;MAX($KE$4:$KE$40),"",INDEX($ET$4:$ET$40,MATCH(ROW()-3,$KE$4:$KE$40,0)))</f>
        <v/>
      </c>
      <c r="KG31">
        <f>IF(COUNTIF('Live Search'!BM$30:CO$30,0)+COUNTIF('Live Search'!CQ$30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KH31">
        <f>IF($EY$31="",FALSE,SUMPRODUCT(('Final Calculation Sheet'!$AC$4:$AC$40=$EY$31)*($KG$6:$KG$42=1))&gt;0)</f>
        <v/>
      </c>
      <c r="KI31">
        <f>$KI$30+--($KH31)</f>
        <v/>
      </c>
      <c r="KJ31">
        <f>IF(ROW()-3&gt;MAX($KI$4:$KI$40),"",INDEX($EY$4:$EY$40,MATCH(ROW()-3,$KI$4:$KI$40,0)))</f>
        <v/>
      </c>
      <c r="KK31">
        <f>IF(COUNTIF('Live Search'!BM$30:CP$30,0)+COUNTIF('Live Search'!CR$30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KL31">
        <f>IF($FD$31="",FALSE,SUMPRODUCT(('Final Calculation Sheet'!$AD$4:$AD$40=$FD$31)*($KK$6:$KK$42=1))&gt;0)</f>
        <v/>
      </c>
      <c r="KM31">
        <f>$KM$30+--($KL31)</f>
        <v/>
      </c>
      <c r="KN31">
        <f>IF(ROW()-3&gt;MAX($KM$4:$KM$40),"",INDEX($FD$4:$FD$40,MATCH(ROW()-3,$KM$4:$KM$40,0)))</f>
        <v/>
      </c>
      <c r="KO31">
        <f>IF(COUNTIF('Live Search'!BM$30:CT$30,0)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KP31">
        <f>IF($FX$31="",FALSE,SUMPRODUCT((IF('Final Calculation Sheet'!$AD$4:$AD$40&lt;=5,"SETTLED","OUTSTANDING")=$FX$31)*($KO$6:$KO$42=1))&gt;0)</f>
        <v/>
      </c>
      <c r="KQ31">
        <f>$KQ$30+--($KP31)</f>
        <v/>
      </c>
      <c r="KR31">
        <f>IF(ROW()-3&gt;MAX($KQ$4:$KQ$40),"",INDEX($FX$4:$FX$40,MATCH(ROW()-3,$KQ$4:$KQ$40,0)))</f>
        <v/>
      </c>
      <c r="KS31">
        <f>IF(COUNTIF('Live Search'!BM$30:CQ$30,0)+COUNTIF('Live Search'!CS$30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KT31">
        <f>IF($FI$31="",FALSE,SUMPRODUCT(('Final Calculation Sheet'!$AF$4:$AF$40=$FI$31)*($KS$6:$KS$42=1))&gt;0)</f>
        <v/>
      </c>
      <c r="KU31">
        <f>$KU$30+--($KT31)</f>
        <v/>
      </c>
      <c r="KV31">
        <f>IF(ROW()-3&gt;MAX($KU$4:$KU$40),"",INDEX($FI$4:$FI$40,MATCH(ROW()-3,$KU$4:$KU$40,0)))</f>
        <v/>
      </c>
      <c r="KW31">
        <f>IF(COUNTIF('Live Search'!BM$30:CR$30,0)+COUNTIF('Live Search'!CT$30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KX31">
        <f>IF($FN$31="",FALSE,SUMPRODUCT(('Final Calculation Sheet'!$AG$4:$AG$40=$FN$31)*($KW$6:$KW$42=1))&gt;0)</f>
        <v/>
      </c>
      <c r="KY31">
        <f>$KY$30+--($KX31)</f>
        <v/>
      </c>
      <c r="KZ31">
        <f>IF(ROW()-3&gt;MAX($KY$4:$KY$40),"",INDEX($FN$4:$FN$40,MATCH(ROW()-3,$KY$4:$KY$40,0)))</f>
        <v/>
      </c>
      <c r="LA31">
        <f>IF(COUNTIF('Live Search'!BM$30:CS$30,0)+COUNTIF('Live Search'!CU$30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LB31">
        <f>IF($FS$31="",FALSE,SUMPRODUCT(('Final Calculation Sheet'!$AH$4:$AH$40=$FS$31)*($LA$6:$LA$42=1))&gt;0)</f>
        <v/>
      </c>
      <c r="LC31">
        <f>$LC$30+--($LB31)</f>
        <v/>
      </c>
      <c r="LD31">
        <f>IF(ROW()-3&gt;MAX($LC$4:$LC$40),"",INDEX($FS$4:$FS$40,MATCH(ROW()-3,$LC$4:$LC$40,0)))</f>
        <v/>
      </c>
      <c r="LE31">
        <f>IF(COUNTIF('Buyer Groups'!DH84:EN84,0)&gt;0,0,1)</f>
        <v/>
      </c>
      <c r="LF31">
        <f>IF($O$31="",FALSE,SUMPRODUCT(('Final Calculation Sheet'!$F$4:$F$40=$O$31)*($LE$6:$LE$42=1))&gt;0)</f>
        <v/>
      </c>
      <c r="LG31">
        <f>$LG$30+--($LF31)</f>
        <v/>
      </c>
      <c r="LH31">
        <f>IF(ROW()-3&gt;MAX($LG$4:$LG$40),"",INDEX($O$4:$O$40,MATCH(ROW()-3,$LG$4:$LG$40,0)))</f>
        <v/>
      </c>
      <c r="LI31">
        <f>IF(COUNTIF('Buyer Groups'!DG84:DG84,0)+COUNTIF('Buyer Groups'!DI84:EN84,0)&gt;0,0,1)</f>
        <v/>
      </c>
      <c r="LJ31">
        <f>IF($T$31="",FALSE,SUMPRODUCT(('Final Calculation Sheet'!$G$4:$G$40=$T$31)*($LI$6:$LI$42=1))&gt;0)</f>
        <v/>
      </c>
      <c r="LK31">
        <f>$LK$30+--($LJ31)</f>
        <v/>
      </c>
      <c r="LL31">
        <f>IF(ROW()-3&gt;MAX($LK$4:$LK$40),"",INDEX($T$4:$T$40,MATCH(ROW()-3,$LK$4:$LK$40,0)))</f>
        <v/>
      </c>
      <c r="LM31">
        <f>IF(COUNTIF('Buyer Groups'!DG84:DH84,0)+COUNTIF('Buyer Groups'!DJ84:EN84,0)&gt;0,0,1)</f>
        <v/>
      </c>
      <c r="LN31">
        <f>IF($Y$31="",FALSE,SUMPRODUCT(('Final Calculation Sheet'!$B$4:$B$40=$Y$31)*($LM$6:$LM$42=1))&gt;0)</f>
        <v/>
      </c>
      <c r="LO31">
        <f>$LO$30+--($LN31)</f>
        <v/>
      </c>
      <c r="LP31">
        <f>IF(ROW()-3&gt;MAX($LO$4:$LO$40),"",INDEX($Y$4:$Y$40,MATCH(ROW()-3,$LO$4:$LO$40,0)))</f>
        <v/>
      </c>
      <c r="LQ31">
        <f>IF(COUNTIF('Buyer Groups'!DG84:DI84,0)+COUNTIF('Buyer Groups'!DK84:EN84,0)&gt;0,0,1)</f>
        <v/>
      </c>
      <c r="LR31">
        <f>IF($AD$31="",FALSE,SUMPRODUCT(('Final Calculation Sheet'!$D$4:$D$40=$AD$31)*($LQ$6:$LQ$42=1))&gt;0)</f>
        <v/>
      </c>
      <c r="LS31">
        <f>$LS$30+--($LR31)</f>
        <v/>
      </c>
      <c r="LT31">
        <f>IF(ROW()-3&gt;MAX($LS$4:$LS$40),"",INDEX($AD$4:$AD$40,MATCH(ROW()-3,$LS$4:$LS$40,0)))</f>
        <v/>
      </c>
      <c r="LU31">
        <f>IF(COUNTIF('Buyer Groups'!DG84:DJ84,0)+COUNTIF('Buyer Groups'!DL84:EN84,0)&gt;0,0,1)</f>
        <v/>
      </c>
      <c r="LV31">
        <f>IF($AI$31="",FALSE,SUMPRODUCT(('Final Calculation Sheet'!$A$4:$A$40=$AI$31)*($LU$6:$LU$42=1))&gt;0)</f>
        <v/>
      </c>
      <c r="LW31">
        <f>$LW$30+--($LV31)</f>
        <v/>
      </c>
      <c r="LX31">
        <f>IF(ROW()-3&gt;MAX($LW$4:$LW$40),"",INDEX($AI$4:$AI$40,MATCH(ROW()-3,$LW$4:$LW$40,0)))</f>
        <v/>
      </c>
      <c r="LY31">
        <f>IF(COUNTIF('Buyer Groups'!DG84:DK84,0)+COUNTIF('Buyer Groups'!DM84:EN84,0)&gt;0,0,1)</f>
        <v/>
      </c>
      <c r="LZ31">
        <f>IF($AN$31="",FALSE,SUMPRODUCT(('Final Calculation Sheet'!$E$4:$E$40=$AN$31)*($LY$6:$LY$42=1))&gt;0)</f>
        <v/>
      </c>
      <c r="MA31">
        <f>$MA$30+--($LZ31)</f>
        <v/>
      </c>
      <c r="MB31">
        <f>IF(ROW()-3&gt;MAX($MA$4:$MA$40),"",INDEX($AN$4:$AN$40,MATCH(ROW()-3,$MA$4:$MA$40,0)))</f>
        <v/>
      </c>
      <c r="MC31">
        <f>IF(COUNTIF('Buyer Groups'!DG84:DL84,0)+COUNTIF('Buyer Groups'!DN84:EN84,0)&gt;0,0,1)</f>
        <v/>
      </c>
      <c r="MD31">
        <f>IF($AS$31="",FALSE,SUMPRODUCT(('Final Calculation Sheet'!$C$4:$C$40=$AS$31)*($MC$6:$MC$42=1))&gt;0)</f>
        <v/>
      </c>
      <c r="ME31">
        <f>$ME$30+--($MD31)</f>
        <v/>
      </c>
      <c r="MF31">
        <f>IF(ROW()-3&gt;MAX($ME$4:$ME$40),"",INDEX($AS$4:$AS$40,MATCH(ROW()-3,$ME$4:$ME$40,0)))</f>
        <v/>
      </c>
      <c r="MG31">
        <f>IF(COUNTIF('Buyer Groups'!DG84:DM84,0)+COUNTIF('Buyer Groups'!DO84:EN84,0)&gt;0,0,1)</f>
        <v/>
      </c>
      <c r="MH31">
        <f>IF($AX$31="",FALSE,SUMPRODUCT(('Final Calculation Sheet'!$H$4:$H$40=$AX$31)*($MG$6:$MG$42=1))&gt;0)</f>
        <v/>
      </c>
      <c r="MI31">
        <f>$MI$30+--($MH31)</f>
        <v/>
      </c>
      <c r="MJ31">
        <f>IF(ROW()-3&gt;MAX($MI$4:$MI$40),"",INDEX($AX$4:$AX$40,MATCH(ROW()-3,$MI$4:$MI$40,0)))</f>
        <v/>
      </c>
      <c r="MK31">
        <f>IF(COUNTIF('Buyer Groups'!DG84:DN84,0)+COUNTIF('Buyer Groups'!DP84:EN84,0)&gt;0,0,1)</f>
        <v/>
      </c>
      <c r="ML31">
        <f>IF($BC$31="",FALSE,SUMPRODUCT(('Final Calculation Sheet'!$I$4:$I$40=$BC$31)*($MK$6:$MK$42=1))&gt;0)</f>
        <v/>
      </c>
      <c r="MM31">
        <f>$MM$30+--($ML31)</f>
        <v/>
      </c>
      <c r="MN31">
        <f>IF(ROW()-3&gt;MAX($MM$4:$MM$40),"",INDEX($BC$4:$BC$40,MATCH(ROW()-3,$MM$4:$MM$40,0)))</f>
        <v/>
      </c>
      <c r="MO31">
        <f>IF(COUNTIF('Buyer Groups'!DG84:DO84,0)+COUNTIF('Buyer Groups'!DQ84:EN84,0)&gt;0,0,1)</f>
        <v/>
      </c>
      <c r="MP31">
        <f>IF($BH$31="",FALSE,SUMPRODUCT(('Final Calculation Sheet'!$J$4:$J$40=$BH$31)*($MO$6:$MO$42=1))&gt;0)</f>
        <v/>
      </c>
      <c r="MQ31">
        <f>$MQ$30+--($MP31)</f>
        <v/>
      </c>
      <c r="MR31">
        <f>IF(ROW()-3&gt;MAX($MQ$4:$MQ$40),"",INDEX($BH$4:$BH$40,MATCH(ROW()-3,$MQ$4:$MQ$40,0)))</f>
        <v/>
      </c>
      <c r="MS31">
        <f>IF(COUNTIF('Buyer Groups'!DG84:DP84,0)+COUNTIF('Buyer Groups'!DR84:EN84,0)&gt;0,0,1)</f>
        <v/>
      </c>
      <c r="MT31">
        <f>IF($BM$31="",FALSE,SUMPRODUCT(('Final Calculation Sheet'!$K$4:$K$40=$BM$31)*($MS$6:$MS$42=1))&gt;0)</f>
        <v/>
      </c>
      <c r="MU31">
        <f>$MU$30+--($MT31)</f>
        <v/>
      </c>
      <c r="MV31">
        <f>IF(ROW()-3&gt;MAX($MU$4:$MU$40),"",INDEX($BM$4:$BM$40,MATCH(ROW()-3,$MU$4:$MU$40,0)))</f>
        <v/>
      </c>
      <c r="MW31">
        <f>IF(COUNTIF('Buyer Groups'!DG84:DQ84,0)+COUNTIF('Buyer Groups'!DS84:EN84,0)&gt;0,0,1)</f>
        <v/>
      </c>
      <c r="MX31">
        <f>IF($BR$31="",FALSE,SUMPRODUCT(('Final Calculation Sheet'!$L$4:$L$40=$BR$31)*($MW$6:$MW$42=1))&gt;0)</f>
        <v/>
      </c>
      <c r="MY31">
        <f>$MY$30+--($MX31)</f>
        <v/>
      </c>
      <c r="MZ31">
        <f>IF(ROW()-3&gt;MAX($MY$4:$MY$40),"",INDEX($BR$4:$BR$40,MATCH(ROW()-3,$MY$4:$MY$40,0)))</f>
        <v/>
      </c>
      <c r="NA31">
        <f>IF(COUNTIF('Buyer Groups'!DG84:DR84,0)+COUNTIF('Buyer Groups'!DT84:EN84,0)&gt;0,0,1)</f>
        <v/>
      </c>
      <c r="NB31">
        <f>IF($BW$31="",FALSE,SUMPRODUCT(('Final Calculation Sheet'!$M$4:$M$40=$BW$31)*($NA$6:$NA$42=1))&gt;0)</f>
        <v/>
      </c>
      <c r="NC31">
        <f>$NC$30+--($NB31)</f>
        <v/>
      </c>
      <c r="ND31">
        <f>IF(ROW()-3&gt;MAX($NC$4:$NC$40),"",INDEX($BW$4:$BW$40,MATCH(ROW()-3,$NC$4:$NC$40,0)))</f>
        <v/>
      </c>
      <c r="NE31">
        <f>IF(COUNTIF('Buyer Groups'!DG84:DS84,0)+COUNTIF('Buyer Groups'!DU84:EN84,0)&gt;0,0,1)</f>
        <v/>
      </c>
      <c r="NF31">
        <f>IF($CB$31="",FALSE,SUMPRODUCT(('Final Calculation Sheet'!$N$4:$N$40=$CB$31)*($NE$6:$NE$42=1))&gt;0)</f>
        <v/>
      </c>
      <c r="NG31">
        <f>$NG$30+--($NF31)</f>
        <v/>
      </c>
      <c r="NH31">
        <f>IF(ROW()-3&gt;MAX($NG$4:$NG$40),"",INDEX($CB$4:$CB$40,MATCH(ROW()-3,$NG$4:$NG$40,0)))</f>
        <v/>
      </c>
      <c r="NI31">
        <f>IF(COUNTIF('Buyer Groups'!DG84:DT84,0)+COUNTIF('Buyer Groups'!DV84:EN84,0)&gt;0,0,1)</f>
        <v/>
      </c>
      <c r="NJ31">
        <f>IF($CG$31="",FALSE,SUMPRODUCT(('Final Calculation Sheet'!$O$4:$O$40=$CG$31)*($NI$6:$NI$42=1))&gt;0)</f>
        <v/>
      </c>
      <c r="NK31">
        <f>$NK$30+--($NJ31)</f>
        <v/>
      </c>
      <c r="NL31">
        <f>IF(ROW()-3&gt;MAX($NK$4:$NK$40),"",INDEX($CG$4:$CG$40,MATCH(ROW()-3,$NK$4:$NK$40,0)))</f>
        <v/>
      </c>
      <c r="NM31">
        <f>IF(COUNTIF('Buyer Groups'!DG84:DU84,0)+COUNTIF('Buyer Groups'!DW84:EN84,0)&gt;0,0,1)</f>
        <v/>
      </c>
      <c r="NN31">
        <f>IF($CL$31="",FALSE,SUMPRODUCT(('Final Calculation Sheet'!$P$4:$P$40=$CL$31)*($NM$6:$NM$42=1))&gt;0)</f>
        <v/>
      </c>
      <c r="NO31">
        <f>$NO$30+--($NN31)</f>
        <v/>
      </c>
      <c r="NP31">
        <f>IF(ROW()-3&gt;MAX($NO$4:$NO$40),"",INDEX($CL$4:$CL$40,MATCH(ROW()-3,$NO$4:$NO$40,0)))</f>
        <v/>
      </c>
      <c r="NQ31">
        <f>IF(COUNTIF('Buyer Groups'!DG84:DV84,0)+COUNTIF('Buyer Groups'!DX84:EN84,0)&gt;0,0,1)</f>
        <v/>
      </c>
      <c r="NR31">
        <f>IF($CQ$31="",FALSE,SUMPRODUCT(('Final Calculation Sheet'!$Q$4:$Q$40=$CQ$31)*($NQ$6:$NQ$42=1))&gt;0)</f>
        <v/>
      </c>
      <c r="NS31">
        <f>$NS$30+--($NR31)</f>
        <v/>
      </c>
      <c r="NT31">
        <f>IF(ROW()-3&gt;MAX($NS$4:$NS$40),"",INDEX($CQ$4:$CQ$40,MATCH(ROW()-3,$NS$4:$NS$40,0)))</f>
        <v/>
      </c>
      <c r="NU31">
        <f>IF(COUNTIF('Buyer Groups'!DG84:DW84,0)+COUNTIF('Buyer Groups'!DY84:EN84,0)&gt;0,0,1)</f>
        <v/>
      </c>
      <c r="NV31">
        <f>IF($CV$31="",FALSE,SUMPRODUCT(('Final Calculation Sheet'!$R$4:$R$40=$CV$31)*($NU$6:$NU$42=1))&gt;0)</f>
        <v/>
      </c>
      <c r="NW31">
        <f>$NW$30+--($NV31)</f>
        <v/>
      </c>
      <c r="NX31">
        <f>IF(ROW()-3&gt;MAX($NW$4:$NW$40),"",INDEX($CV$4:$CV$40,MATCH(ROW()-3,$NW$4:$NW$40,0)))</f>
        <v/>
      </c>
      <c r="NY31">
        <f>IF(COUNTIF('Buyer Groups'!DG84:DX84,0)+COUNTIF('Buyer Groups'!DZ84:EN84,0)&gt;0,0,1)</f>
        <v/>
      </c>
      <c r="NZ31">
        <f>IF($DA$31="",FALSE,SUMPRODUCT(('Final Calculation Sheet'!$S$4:$S$40=$DA$31)*($NY$6:$NY$42=1))&gt;0)</f>
        <v/>
      </c>
      <c r="OA31">
        <f>$OA$30+--($NZ31)</f>
        <v/>
      </c>
      <c r="OB31">
        <f>IF(ROW()-3&gt;MAX($OA$4:$OA$40),"",INDEX($DA$4:$DA$40,MATCH(ROW()-3,$OA$4:$OA$40,0)))</f>
        <v/>
      </c>
      <c r="OC31">
        <f>IF(COUNTIF('Buyer Groups'!DG84:DY84,0)+COUNTIF('Buyer Groups'!EA84:EN84,0)&gt;0,0,1)</f>
        <v/>
      </c>
      <c r="OD31">
        <f>IF($DF$31="",FALSE,SUMPRODUCT(('Final Calculation Sheet'!$T$4:$T$40=$DF$31)*($OC$6:$OC$42=1))&gt;0)</f>
        <v/>
      </c>
      <c r="OE31">
        <f>$OE$30+--($OD31)</f>
        <v/>
      </c>
      <c r="OF31">
        <f>IF(ROW()-3&gt;MAX($OE$4:$OE$40),"",INDEX($DF$4:$DF$40,MATCH(ROW()-3,$OE$4:$OE$40,0)))</f>
        <v/>
      </c>
      <c r="OG31">
        <f>IF(COUNTIF('Buyer Groups'!DG84:DZ84,0)+COUNTIF('Buyer Groups'!EB84:EN84,0)&gt;0,0,1)</f>
        <v/>
      </c>
      <c r="OH31">
        <f>IF($DK$31="",FALSE,SUMPRODUCT(('Final Calculation Sheet'!$U$4:$U$40=$DK$31)*($OG$6:$OG$42=1))&gt;0)</f>
        <v/>
      </c>
      <c r="OI31">
        <f>$OI$30+--($OH31)</f>
        <v/>
      </c>
      <c r="OJ31">
        <f>IF(ROW()-3&gt;MAX($OI$4:$OI$40),"",INDEX($DK$4:$DK$40,MATCH(ROW()-3,$OI$4:$OI$40,0)))</f>
        <v/>
      </c>
      <c r="OK31">
        <f>IF(COUNTIF('Buyer Groups'!DG84:EA84,0)+COUNTIF('Buyer Groups'!EC84:EN84,0)&gt;0,0,1)</f>
        <v/>
      </c>
      <c r="OL31">
        <f>IF($DP$31="",FALSE,SUMPRODUCT(('Final Calculation Sheet'!$V$4:$V$40=$DP$31)*($OK$6:$OK$42=1))&gt;0)</f>
        <v/>
      </c>
      <c r="OM31">
        <f>$OM$30+--($OL31)</f>
        <v/>
      </c>
      <c r="ON31">
        <f>IF(ROW()-3&gt;MAX($OM$4:$OM$40),"",INDEX($DP$4:$DP$40,MATCH(ROW()-3,$OM$4:$OM$40,0)))</f>
        <v/>
      </c>
      <c r="OO31">
        <f>IF(COUNTIF('Buyer Groups'!DG84:EB84,0)+COUNTIF('Buyer Groups'!ED84:EN84,0)&gt;0,0,1)</f>
        <v/>
      </c>
      <c r="OP31">
        <f>IF($DU$31="",FALSE,SUMPRODUCT(('Final Calculation Sheet'!$W$4:$W$40=$DU$31)*($OO$6:$OO$42=1))&gt;0)</f>
        <v/>
      </c>
      <c r="OQ31">
        <f>$OQ$30+--($OP31)</f>
        <v/>
      </c>
      <c r="OR31">
        <f>IF(ROW()-3&gt;MAX($OQ$4:$OQ$40),"",INDEX($DU$4:$DU$40,MATCH(ROW()-3,$OQ$4:$OQ$40,0)))</f>
        <v/>
      </c>
      <c r="OS31">
        <f>IF(COUNTIF('Buyer Groups'!DG84:EC84,0)+COUNTIF('Buyer Groups'!EE84:EN84,0)&gt;0,0,1)</f>
        <v/>
      </c>
      <c r="OT31">
        <f>IF($DZ$31="",FALSE,SUMPRODUCT(('Final Calculation Sheet'!$X$4:$X$40=$DZ$31)*($OS$6:$OS$42=1))&gt;0)</f>
        <v/>
      </c>
      <c r="OU31">
        <f>$OU$30+--($OT31)</f>
        <v/>
      </c>
      <c r="OV31">
        <f>IF(ROW()-3&gt;MAX($OU$4:$OU$40),"",INDEX($DZ$4:$DZ$40,MATCH(ROW()-3,$OU$4:$OU$40,0)))</f>
        <v/>
      </c>
      <c r="OW31">
        <f>IF(COUNTIF('Buyer Groups'!DG84:ED84,0)+COUNTIF('Buyer Groups'!EF84:EN84,0)&gt;0,0,1)</f>
        <v/>
      </c>
      <c r="OX31">
        <f>IF($EE$31="",FALSE,SUMPRODUCT(('Final Calculation Sheet'!$Y$4:$Y$40=$EE$31)*($OW$6:$OW$42=1))&gt;0)</f>
        <v/>
      </c>
      <c r="OY31">
        <f>$OY$30+--($OX31)</f>
        <v/>
      </c>
      <c r="OZ31">
        <f>IF(ROW()-3&gt;MAX($OY$4:$OY$40),"",INDEX($EE$4:$EE$40,MATCH(ROW()-3,$OY$4:$OY$40,0)))</f>
        <v/>
      </c>
      <c r="PA31">
        <f>IF(COUNTIF('Buyer Groups'!DG84:EE84,0)+COUNTIF('Buyer Groups'!EG84:EN84,0)&gt;0,0,1)</f>
        <v/>
      </c>
      <c r="PB31">
        <f>IF($EJ$31="",FALSE,SUMPRODUCT(('Final Calculation Sheet'!$Z$4:$Z$40=$EJ$31)*($PA$6:$PA$42=1))&gt;0)</f>
        <v/>
      </c>
      <c r="PC31">
        <f>$PC$30+--($PB31)</f>
        <v/>
      </c>
      <c r="PD31">
        <f>IF(ROW()-3&gt;MAX($PC$4:$PC$40),"",INDEX($EJ$4:$EJ$40,MATCH(ROW()-3,$PC$4:$PC$40,0)))</f>
        <v/>
      </c>
      <c r="PE31">
        <f>IF(COUNTIF('Buyer Groups'!DG84:EF84,0)+COUNTIF('Buyer Groups'!EH84:EN84,0)&gt;0,0,1)</f>
        <v/>
      </c>
      <c r="PF31">
        <f>IF($EO$31="",FALSE,SUMPRODUCT(('Final Calculation Sheet'!$AA$4:$AA$40=$EO$31)*($PE$6:$PE$42=1))&gt;0)</f>
        <v/>
      </c>
      <c r="PG31">
        <f>$PG$30+--($PF31)</f>
        <v/>
      </c>
      <c r="PH31">
        <f>IF(ROW()-3&gt;MAX($PG$4:$PG$40),"",INDEX($EO$4:$EO$40,MATCH(ROW()-3,$PG$4:$PG$40,0)))</f>
        <v/>
      </c>
      <c r="PI31">
        <f>IF(COUNTIF('Buyer Groups'!DG84:EG84,0)+COUNTIF('Buyer Groups'!EI84:EN84,0)&gt;0,0,1)</f>
        <v/>
      </c>
      <c r="PJ31">
        <f>IF($ET$31="",FALSE,SUMPRODUCT(('Final Calculation Sheet'!$AB$4:$AB$40=$ET$31)*($PI$6:$PI$42=1))&gt;0)</f>
        <v/>
      </c>
      <c r="PK31">
        <f>$PK$30+--($PJ31)</f>
        <v/>
      </c>
      <c r="PL31">
        <f>IF(ROW()-3&gt;MAX($PK$4:$PK$40),"",INDEX($ET$4:$ET$40,MATCH(ROW()-3,$PK$4:$PK$40,0)))</f>
        <v/>
      </c>
      <c r="PM31">
        <f>IF(COUNTIF('Buyer Groups'!DG84:EH84,0)+COUNTIF('Buyer Groups'!EJ84:EN84,0)&gt;0,0,1)</f>
        <v/>
      </c>
      <c r="PN31">
        <f>IF($EY$31="",FALSE,SUMPRODUCT(('Final Calculation Sheet'!$AC$4:$AC$40=$EY$31)*($PM$6:$PM$42=1))&gt;0)</f>
        <v/>
      </c>
      <c r="PO31">
        <f>$PO$30+--($PN31)</f>
        <v/>
      </c>
      <c r="PP31">
        <f>IF(ROW()-3&gt;MAX($PO$4:$PO$40),"",INDEX($EY$4:$EY$40,MATCH(ROW()-3,$PO$4:$PO$40,0)))</f>
        <v/>
      </c>
      <c r="PQ31">
        <f>IF(COUNTIF('Buyer Groups'!DG84:EI84,0)+COUNTIF('Buyer Groups'!EK84:EN84,0)&gt;0,0,1)</f>
        <v/>
      </c>
      <c r="PR31">
        <f>IF($FD$31="",FALSE,SUMPRODUCT(('Final Calculation Sheet'!$AD$4:$AD$40=$FD$31)*($PQ$6:$PQ$42=1))&gt;0)</f>
        <v/>
      </c>
      <c r="PS31">
        <f>$PS$30+--($PR31)</f>
        <v/>
      </c>
      <c r="PT31">
        <f>IF(ROW()-3&gt;MAX($PS$4:$PS$40),"",INDEX($FD$4:$FD$40,MATCH(ROW()-3,$PS$4:$PS$40,0)))</f>
        <v/>
      </c>
      <c r="PU31">
        <f>IF(COUNTIF('Buyer Groups'!DG84:EJ84,0)+COUNTIF('Buyer Groups'!EL84:EN84,0)&gt;0,0,1)</f>
        <v/>
      </c>
      <c r="PV31">
        <f>IF($FX$31="",FALSE,SUMPRODUCT((IF('Final Calculation Sheet'!$AD$4:$AD$40&lt;=5,"SETTLED","OUTSTANDING")=$FX$31)*($PU$6:$PU$42=1))&gt;0)</f>
        <v/>
      </c>
      <c r="PW31">
        <f>$PW$30+--($PV31)</f>
        <v/>
      </c>
      <c r="PX31">
        <f>IF(ROW()-3&gt;MAX($PW$4:$PW$40),"",INDEX($FX$4:$FX$40,MATCH(ROW()-3,$PW$4:$PW$40,0)))</f>
        <v/>
      </c>
      <c r="PY31">
        <f>IF(COUNTIF('Buyer Groups'!DG84:EK84,0)+COUNTIF('Buyer Groups'!EM84:EN84,0)&gt;0,0,1)</f>
        <v/>
      </c>
      <c r="PZ31">
        <f>IF($FI$31="",FALSE,SUMPRODUCT(('Final Calculation Sheet'!$AF$4:$AF$40=$FI$31)*($PY$6:$PY$42=1))&gt;0)</f>
        <v/>
      </c>
      <c r="QA31">
        <f>$QA$30+--($PZ31)</f>
        <v/>
      </c>
      <c r="QB31">
        <f>IF(ROW()-3&gt;MAX($QA$4:$QA$40),"",INDEX($FI$4:$FI$40,MATCH(ROW()-3,$QA$4:$QA$40,0)))</f>
        <v/>
      </c>
      <c r="QC31">
        <f>IF(COUNTIF('Buyer Groups'!DG84:EL84,0)+COUNTIF('Buyer Groups'!EN84:EN84,0)&gt;0,0,1)</f>
        <v/>
      </c>
      <c r="QD31">
        <f>IF($FN$31="",FALSE,SUMPRODUCT(('Final Calculation Sheet'!$AG$4:$AG$40=$FN$31)*($QC$6:$QC$42=1))&gt;0)</f>
        <v/>
      </c>
      <c r="QE31">
        <f>$QE$30+--($QD31)</f>
        <v/>
      </c>
      <c r="QF31">
        <f>IF(ROW()-3&gt;MAX($QE$4:$QE$40),"",INDEX($FN$4:$FN$40,MATCH(ROW()-3,$QE$4:$QE$40,0)))</f>
        <v/>
      </c>
      <c r="QG31">
        <f>IF(COUNTIF('Buyer Groups'!DG84:EM84,0)&gt;0,0,1)</f>
        <v/>
      </c>
      <c r="QH31">
        <f>IF($FS$31="",FALSE,SUMPRODUCT(('Final Calculation Sheet'!$AH$4:$AH$40=$FS$31)*($QG$6:$QG$42=1))&gt;0)</f>
        <v/>
      </c>
      <c r="QI31">
        <f>$QI$30+--($QH31)</f>
        <v/>
      </c>
      <c r="QJ31">
        <f>IF(ROW()-3&gt;MAX($QI$4:$QI$40),"",INDEX($FS$4:$FS$40,MATCH(ROW()-3,$QI$4:$QI$40,0)))</f>
        <v/>
      </c>
      <c r="QK31" t="str">
        <f>IF('Final Calculation Sheet'!$AH$31="","",'Final Calculation Sheet'!$AH$31)</f>
      </c>
      <c r="QL31" t="str">
        <f>IF(QK31="","",COUNTIFS(QK$4:QK$40,"&lt;"&amp;QK31,QK$4:QK$40,"&lt;&gt;"&amp;"")+COUNTIF(QK$4:QK31,QK31))</f>
      </c>
      <c r="QM31" t="str">
        <f>IF(ROW()-3&gt;COUNTIF(QK$4:QK$40,"&lt;&gt;"&amp;""),"",INDEX(QK$4:QK$40,MATCH(ROW()-3,QL$4:QL$40,0)))</f>
      </c>
      <c r="QN31" t="str">
        <f>=QN30+F(AND(QM31&lt;&gt;"",COUNTIF(QM$4:QM31,QM31)=1),1,0)</f>
      </c>
      <c r="QO31" t="str">
        <f>IF(ROW()-3&gt;MAX(QN$4:QN$40),"",INDEX(QM$4:QM$40,MATCH(ROW()-3,QN$4:QN$40,0)))</f>
      </c>
      <c r="QP31" t="str">
        <f>IF(COUNTIF('Final Calculation Sheet'!$AM31:$BS31,0)&gt;0,0,1)</f>
      </c>
      <c r="QQ31" t="str">
        <f>IF($AI$31="",FALSE,SUMPRODUCT(('Final Calculation Sheet'!$A$4:$A$40=$AI$31)*($QP$4:$QP$40=1))&gt;0)</f>
      </c>
      <c r="QR31" t="str">
        <f>=$QR30+--($QQ31)</f>
      </c>
      <c r="QS31" t="str">
        <f>IF(ROW()-3&gt;MAX($QR$4:$QR$40),"",INDEX($AI$4:$AI$40,MATCH(ROW()-3,$QR$4:$QR$40,0)))</f>
      </c>
      <c r="QT31" t="str">
        <f>IF(COUNTIF('Final Calculation Sheet'!$AL31:$AL31,0)+COUNTIF('Final Calculation Sheet'!$AN31:$BS31,0)&gt;0,0,1)</f>
      </c>
      <c r="QU31" t="str">
        <f>IF($Y$31="",FALSE,SUMPRODUCT(('Final Calculation Sheet'!$B$4:$B$40=$Y$31)*($QT$4:$QT$40=1))&gt;0)</f>
      </c>
      <c r="QV31" t="str">
        <f>=$QV30+--($QU31)</f>
      </c>
      <c r="QW31" t="str">
        <f>IF(ROW()-3&gt;MAX($QV$4:$QV$40),"",INDEX($Y$4:$Y$40,MATCH(ROW()-3,$QV$4:$QV$40,0)))</f>
      </c>
      <c r="QX31" t="str">
        <f>IF(COUNTIF('Final Calculation Sheet'!$AL31:$AM31,0)+COUNTIF('Final Calculation Sheet'!$AO31:$BS31,0)&gt;0,0,1)</f>
      </c>
      <c r="QY31" t="str">
        <f>IF($AS$31="",FALSE,SUMPRODUCT(('Final Calculation Sheet'!$C$4:$C$40=$AS$31)*($QX$4:$QX$40=1))&gt;0)</f>
      </c>
      <c r="QZ31" t="str">
        <f>=$QZ30+--($QY31)</f>
      </c>
      <c r="RA31" t="str">
        <f>IF(ROW()-3&gt;MAX($QZ$4:$QZ$40),"",INDEX($AS$4:$AS$40,MATCH(ROW()-3,$QZ$4:$QZ$40,0)))</f>
      </c>
      <c r="RB31" t="str">
        <f>IF(COUNTIF('Final Calculation Sheet'!$AL31:$AN31,0)+COUNTIF('Final Calculation Sheet'!$AP31:$BS31,0)&gt;0,0,1)</f>
      </c>
      <c r="RC31" t="str">
        <f>IF($AD$31="",FALSE,SUMPRODUCT(('Final Calculation Sheet'!$D$4:$D$40=$AD$31)*($RB$4:$RB$40=1))&gt;0)</f>
      </c>
      <c r="RD31" t="str">
        <f>=$RD30+--($RC31)</f>
      </c>
      <c r="RE31" t="str">
        <f>IF(ROW()-3&gt;MAX($RD$4:$RD$40),"",INDEX($AD$4:$AD$40,MATCH(ROW()-3,$RD$4:$RD$40,0)))</f>
      </c>
      <c r="RF31" t="str">
        <f>IF(COUNTIF('Final Calculation Sheet'!$AL31:$AO31,0)+COUNTIF('Final Calculation Sheet'!$AQ31:$BS31,0)&gt;0,0,1)</f>
      </c>
      <c r="RG31" t="str">
        <f>IF($AN$31="",FALSE,SUMPRODUCT(('Final Calculation Sheet'!$E$4:$E$40=$AN$31)*($RF$4:$RF$40=1))&gt;0)</f>
      </c>
      <c r="RH31" t="str">
        <f>=$RH30+--($RG31)</f>
      </c>
      <c r="RI31" t="str">
        <f>IF(ROW()-3&gt;MAX($RH$4:$RH$40),"",INDEX($AN$4:$AN$40,MATCH(ROW()-3,$RH$4:$RH$40,0)))</f>
      </c>
      <c r="RJ31" t="str">
        <f>IF(COUNTIF('Final Calculation Sheet'!$AL31:$AP31,0)+COUNTIF('Final Calculation Sheet'!$AR31:$BS31,0)&gt;0,0,1)</f>
      </c>
      <c r="RK31" t="str">
        <f>IF($O$31="",FALSE,SUMPRODUCT(('Final Calculation Sheet'!$F$4:$F$40=$O$31)*($RJ$4:$RJ$40=1))&gt;0)</f>
      </c>
      <c r="RL31" t="str">
        <f>=$RL30+--($RK31)</f>
      </c>
      <c r="RM31" t="str">
        <f>IF(ROW()-3&gt;MAX($RL$4:$RL$40),"",INDEX($O$4:$O$40,MATCH(ROW()-3,$RL$4:$RL$40,0)))</f>
      </c>
      <c r="RN31" t="str">
        <f>IF(COUNTIF('Final Calculation Sheet'!$AL31:$AQ31,0)+COUNTIF('Final Calculation Sheet'!$AS31:$BS31,0)&gt;0,0,1)</f>
      </c>
      <c r="RO31" t="str">
        <f>IF($T$31="",FALSE,SUMPRODUCT(('Final Calculation Sheet'!$G$4:$G$40=$T$31)*($RN$4:$RN$40=1))&gt;0)</f>
      </c>
      <c r="RP31" t="str">
        <f>=$RP30+--($RO31)</f>
      </c>
      <c r="RQ31" t="str">
        <f>IF(ROW()-3&gt;MAX($RP$4:$RP$40),"",INDEX($T$4:$T$40,MATCH(ROW()-3,$RP$4:$RP$40,0)))</f>
      </c>
      <c r="RR31" t="str">
        <f>IF(COUNTIF('Final Calculation Sheet'!$AL31:$AR31,0)+COUNTIF('Final Calculation Sheet'!$AT31:$BS31,0)&gt;0,0,1)</f>
      </c>
      <c r="RS31" t="str">
        <f>IF($AX$31="",FALSE,SUMPRODUCT(('Final Calculation Sheet'!$H$4:$H$40=$AX$31)*($RR$4:$RR$40=1))&gt;0)</f>
      </c>
      <c r="RT31" t="str">
        <f>=$RT30+--($RS31)</f>
      </c>
      <c r="RU31" t="str">
        <f>IF(ROW()-3&gt;MAX($RT$4:$RT$40),"",INDEX($AX$4:$AX$40,MATCH(ROW()-3,$RT$4:$RT$40,0)))</f>
      </c>
      <c r="RV31" t="str">
        <f>IF(COUNTIF('Final Calculation Sheet'!$AL31:$AS31,0)+COUNTIF('Final Calculation Sheet'!$AU31:$BS31,0)&gt;0,0,1)</f>
      </c>
      <c r="RW31" t="str">
        <f>IF($BC$31="",FALSE,SUMPRODUCT(('Final Calculation Sheet'!$I$4:$I$40=$BC$31)*($RV$4:$RV$40=1))&gt;0)</f>
      </c>
      <c r="RX31" t="str">
        <f>=$RX30+--($RW31)</f>
      </c>
      <c r="RY31" t="str">
        <f>IF(ROW()-3&gt;MAX($RX$4:$RX$40),"",INDEX($BC$4:$BC$40,MATCH(ROW()-3,$RX$4:$RX$40,0)))</f>
      </c>
      <c r="RZ31" t="str">
        <f>IF(COUNTIF('Final Calculation Sheet'!$AL31:$AT31,0)+COUNTIF('Final Calculation Sheet'!$AV31:$BS31,0)&gt;0,0,1)</f>
      </c>
      <c r="SA31" t="str">
        <f>IF($BH$31="",FALSE,SUMPRODUCT(('Final Calculation Sheet'!$J$4:$J$40=$BH$31)*($RZ$4:$RZ$40=1))&gt;0)</f>
      </c>
      <c r="SB31" t="str">
        <f>=$SB30+--($SA31)</f>
      </c>
      <c r="SC31" t="str">
        <f>IF(ROW()-3&gt;MAX($SB$4:$SB$40),"",INDEX($BH$4:$BH$40,MATCH(ROW()-3,$SB$4:$SB$40,0)))</f>
      </c>
      <c r="SD31" t="str">
        <f>IF(COUNTIF('Final Calculation Sheet'!$AL31:$AU31,0)+COUNTIF('Final Calculation Sheet'!$AW31:$BS31,0)&gt;0,0,1)</f>
      </c>
      <c r="SE31" t="str">
        <f>IF($BM$31="",FALSE,SUMPRODUCT(('Final Calculation Sheet'!$K$4:$K$40=$BM$31)*($SD$4:$SD$40=1))&gt;0)</f>
      </c>
      <c r="SF31" t="str">
        <f>=$SF30+--($SE31)</f>
      </c>
      <c r="SG31" t="str">
        <f>IF(ROW()-3&gt;MAX($SF$4:$SF$40),"",INDEX($BM$4:$BM$40,MATCH(ROW()-3,$SF$4:$SF$40,0)))</f>
      </c>
      <c r="SH31" t="str">
        <f>IF(COUNTIF('Final Calculation Sheet'!$AL31:$AV31,0)+COUNTIF('Final Calculation Sheet'!$AX31:$BS31,0)&gt;0,0,1)</f>
      </c>
      <c r="SI31" t="str">
        <f>IF($BR$31="",FALSE,SUMPRODUCT(('Final Calculation Sheet'!$L$4:$L$40=$BR$31)*($SH$4:$SH$40=1))&gt;0)</f>
      </c>
      <c r="SJ31" t="str">
        <f>=$SJ30+--($SI31)</f>
      </c>
      <c r="SK31" t="str">
        <f>IF(ROW()-3&gt;MAX($SJ$4:$SJ$40),"",INDEX($BR$4:$BR$40,MATCH(ROW()-3,$SJ$4:$SJ$40,0)))</f>
      </c>
      <c r="SL31" t="str">
        <f>IF(COUNTIF('Final Calculation Sheet'!$AL31:$AW31,0)+COUNTIF('Final Calculation Sheet'!$AY31:$BS31,0)&gt;0,0,1)</f>
      </c>
      <c r="SM31" t="str">
        <f>IF($BW$31="",FALSE,SUMPRODUCT(('Final Calculation Sheet'!$M$4:$M$40=$BW$31)*($SL$4:$SL$40=1))&gt;0)</f>
      </c>
      <c r="SN31" t="str">
        <f>=$SN30+--($SM31)</f>
      </c>
      <c r="SO31" t="str">
        <f>IF(ROW()-3&gt;MAX($SN$4:$SN$40),"",INDEX($BW$4:$BW$40,MATCH(ROW()-3,$SN$4:$SN$40,0)))</f>
      </c>
      <c r="SP31" t="str">
        <f>IF(COUNTIF('Final Calculation Sheet'!$AL31:$AX31,0)+COUNTIF('Final Calculation Sheet'!$AZ31:$BS31,0)&gt;0,0,1)</f>
      </c>
      <c r="SQ31" t="str">
        <f>IF($CB$31="",FALSE,SUMPRODUCT(('Final Calculation Sheet'!$N$4:$N$40=$CB$31)*($SP$4:$SP$40=1))&gt;0)</f>
      </c>
      <c r="SR31" t="str">
        <f>=$SR30+--($SQ31)</f>
      </c>
      <c r="SS31" t="str">
        <f>IF(ROW()-3&gt;MAX($SR$4:$SR$40),"",INDEX($CB$4:$CB$40,MATCH(ROW()-3,$SR$4:$SR$40,0)))</f>
      </c>
      <c r="ST31" t="str">
        <f>IF(COUNTIF('Final Calculation Sheet'!$AL31:$AY31,0)+COUNTIF('Final Calculation Sheet'!$BA31:$BS31,0)&gt;0,0,1)</f>
      </c>
      <c r="SU31" t="str">
        <f>IF($CG$31="",FALSE,SUMPRODUCT(('Final Calculation Sheet'!$O$4:$O$40=$CG$31)*($ST$4:$ST$40=1))&gt;0)</f>
      </c>
      <c r="SV31" t="str">
        <f>=$SV30+--($SU31)</f>
      </c>
      <c r="SW31" t="str">
        <f>IF(ROW()-3&gt;MAX($SV$4:$SV$40),"",INDEX($CG$4:$CG$40,MATCH(ROW()-3,$SV$4:$SV$40,0)))</f>
      </c>
      <c r="SX31" t="str">
        <f>IF(COUNTIF('Final Calculation Sheet'!$AL31:$AZ31,0)+COUNTIF('Final Calculation Sheet'!$BB31:$BS31,0)&gt;0,0,1)</f>
      </c>
      <c r="SY31" t="str">
        <f>IF($CL$31="",FALSE,SUMPRODUCT(('Final Calculation Sheet'!$P$4:$P$40=$CL$31)*($SX$4:$SX$40=1))&gt;0)</f>
      </c>
      <c r="SZ31" t="str">
        <f>=$SZ30+--($SY31)</f>
      </c>
      <c r="TA31" t="str">
        <f>IF(ROW()-3&gt;MAX($SZ$4:$SZ$40),"",INDEX($CL$4:$CL$40,MATCH(ROW()-3,$SZ$4:$SZ$40,0)))</f>
      </c>
      <c r="TB31" t="str">
        <f>IF(COUNTIF('Final Calculation Sheet'!$AL31:$BA31,0)+COUNTIF('Final Calculation Sheet'!$BC31:$BS31,0)&gt;0,0,1)</f>
      </c>
      <c r="TC31" t="str">
        <f>IF($CQ$31="",FALSE,SUMPRODUCT(('Final Calculation Sheet'!$Q$4:$Q$40=$CQ$31)*($TB$4:$TB$40=1))&gt;0)</f>
      </c>
      <c r="TD31" t="str">
        <f>=$TD30+--($TC31)</f>
      </c>
      <c r="TE31" t="str">
        <f>IF(ROW()-3&gt;MAX($TD$4:$TD$40),"",INDEX($CQ$4:$CQ$40,MATCH(ROW()-3,$TD$4:$TD$40,0)))</f>
      </c>
      <c r="TF31" t="str">
        <f>IF(COUNTIF('Final Calculation Sheet'!$AL31:$BB31,0)+COUNTIF('Final Calculation Sheet'!$BD31:$BS31,0)&gt;0,0,1)</f>
      </c>
      <c r="TG31" t="str">
        <f>IF($CV$31="",FALSE,SUMPRODUCT(('Final Calculation Sheet'!$R$4:$R$40=$CV$31)*($TF$4:$TF$40=1))&gt;0)</f>
      </c>
      <c r="TH31" t="str">
        <f>=$TH30+--($TG31)</f>
      </c>
      <c r="TI31" t="str">
        <f>IF(ROW()-3&gt;MAX($TH$4:$TH$40),"",INDEX($CV$4:$CV$40,MATCH(ROW()-3,$TH$4:$TH$40,0)))</f>
      </c>
      <c r="TJ31" t="str">
        <f>IF(COUNTIF('Final Calculation Sheet'!$AL31:$BC31,0)+COUNTIF('Final Calculation Sheet'!$BE31:$BS31,0)&gt;0,0,1)</f>
      </c>
      <c r="TK31" t="str">
        <f>IF($DA$31="",FALSE,SUMPRODUCT(('Final Calculation Sheet'!$S$4:$S$40=$DA$31)*($TJ$4:$TJ$40=1))&gt;0)</f>
      </c>
      <c r="TL31" t="str">
        <f>=$TL30+--($TK31)</f>
      </c>
      <c r="TM31" t="str">
        <f>IF(ROW()-3&gt;MAX($TL$4:$TL$40),"",INDEX($DA$4:$DA$40,MATCH(ROW()-3,$TL$4:$TL$40,0)))</f>
      </c>
      <c r="TN31" t="str">
        <f>IF(COUNTIF('Final Calculation Sheet'!$AL31:$BD31,0)+COUNTIF('Final Calculation Sheet'!$BF31:$BS31,0)&gt;0,0,1)</f>
      </c>
      <c r="TO31" t="str">
        <f>IF($DF$31="",FALSE,SUMPRODUCT(('Final Calculation Sheet'!$T$4:$T$40=$DF$31)*($TN$4:$TN$40=1))&gt;0)</f>
      </c>
      <c r="TP31" t="str">
        <f>=$TP30+--($TO31)</f>
      </c>
      <c r="TQ31" t="str">
        <f>IF(ROW()-3&gt;MAX($TP$4:$TP$40),"",INDEX($DF$4:$DF$40,MATCH(ROW()-3,$TP$4:$TP$40,0)))</f>
      </c>
      <c r="TR31" t="str">
        <f>IF(COUNTIF('Final Calculation Sheet'!$AL31:$BE31,0)+COUNTIF('Final Calculation Sheet'!$BG31:$BS31,0)&gt;0,0,1)</f>
      </c>
      <c r="TS31" t="str">
        <f>IF($DK$31="",FALSE,SUMPRODUCT(('Final Calculation Sheet'!$U$4:$U$40=$DK$31)*($TR$4:$TR$40=1))&gt;0)</f>
      </c>
      <c r="TT31" t="str">
        <f>=$TT30+--($TS31)</f>
      </c>
      <c r="TU31" t="str">
        <f>IF(ROW()-3&gt;MAX($TT$4:$TT$40),"",INDEX($DK$4:$DK$40,MATCH(ROW()-3,$TT$4:$TT$40,0)))</f>
      </c>
      <c r="TV31" t="str">
        <f>IF(COUNTIF('Final Calculation Sheet'!$AL31:$BF31,0)+COUNTIF('Final Calculation Sheet'!$BH31:$BS31,0)&gt;0,0,1)</f>
      </c>
      <c r="TW31" t="str">
        <f>IF($DP$31="",FALSE,SUMPRODUCT(('Final Calculation Sheet'!$V$4:$V$40=$DP$31)*($TV$4:$TV$40=1))&gt;0)</f>
      </c>
      <c r="TX31" t="str">
        <f>=$TX30+--($TW31)</f>
      </c>
      <c r="TY31" t="str">
        <f>IF(ROW()-3&gt;MAX($TX$4:$TX$40),"",INDEX($DP$4:$DP$40,MATCH(ROW()-3,$TX$4:$TX$40,0)))</f>
      </c>
      <c r="TZ31" t="str">
        <f>IF(COUNTIF('Final Calculation Sheet'!$AL31:$BG31,0)+COUNTIF('Final Calculation Sheet'!$BI31:$BS31,0)&gt;0,0,1)</f>
      </c>
      <c r="UA31" t="str">
        <f>IF($DU$31="",FALSE,SUMPRODUCT(('Final Calculation Sheet'!$W$4:$W$40=$DU$31)*($TZ$4:$TZ$40=1))&gt;0)</f>
      </c>
      <c r="UB31" t="str">
        <f>=$UB30+--($UA31)</f>
      </c>
      <c r="UC31" t="str">
        <f>IF(ROW()-3&gt;MAX($UB$4:$UB$40),"",INDEX($DU$4:$DU$40,MATCH(ROW()-3,$UB$4:$UB$40,0)))</f>
      </c>
      <c r="UD31" t="str">
        <f>IF(COUNTIF('Final Calculation Sheet'!$AL31:$BH31,0)+COUNTIF('Final Calculation Sheet'!$BJ31:$BS31,0)&gt;0,0,1)</f>
      </c>
      <c r="UE31" t="str">
        <f>IF($DZ$31="",FALSE,SUMPRODUCT(('Final Calculation Sheet'!$X$4:$X$40=$DZ$31)*($UD$4:$UD$40=1))&gt;0)</f>
      </c>
      <c r="UF31" t="str">
        <f>=$UF30+--($UE31)</f>
      </c>
      <c r="UG31" t="str">
        <f>IF(ROW()-3&gt;MAX($UF$4:$UF$40),"",INDEX($DZ$4:$DZ$40,MATCH(ROW()-3,$UF$4:$UF$40,0)))</f>
      </c>
      <c r="UH31" t="str">
        <f>IF(COUNTIF('Final Calculation Sheet'!$AL31:$BI31,0)+COUNTIF('Final Calculation Sheet'!$BK31:$BS31,0)&gt;0,0,1)</f>
      </c>
      <c r="UI31" t="str">
        <f>IF($EE$31="",FALSE,SUMPRODUCT(('Final Calculation Sheet'!$Y$4:$Y$40=$EE$31)*($UH$4:$UH$40=1))&gt;0)</f>
      </c>
      <c r="UJ31" t="str">
        <f>=$UJ30+--($UI31)</f>
      </c>
      <c r="UK31" t="str">
        <f>IF(ROW()-3&gt;MAX($UJ$4:$UJ$40),"",INDEX($EE$4:$EE$40,MATCH(ROW()-3,$UJ$4:$UJ$40,0)))</f>
      </c>
      <c r="UL31" t="str">
        <f>IF(COUNTIF('Final Calculation Sheet'!$AL31:$BJ31,0)+COUNTIF('Final Calculation Sheet'!$BL31:$BS31,0)&gt;0,0,1)</f>
      </c>
      <c r="UM31" t="str">
        <f>IF($EJ$31="",FALSE,SUMPRODUCT(('Final Calculation Sheet'!$Z$4:$Z$40=$EJ$31)*($UL$4:$UL$40=1))&gt;0)</f>
      </c>
      <c r="UN31" t="str">
        <f>=$UN30+--($UM31)</f>
      </c>
      <c r="UO31" t="str">
        <f>IF(ROW()-3&gt;MAX($UN$4:$UN$40),"",INDEX($EJ$4:$EJ$40,MATCH(ROW()-3,$UN$4:$UN$40,0)))</f>
      </c>
      <c r="UP31" t="str">
        <f>IF(COUNTIF('Final Calculation Sheet'!$AL31:$BK31,0)+COUNTIF('Final Calculation Sheet'!$BM31:$BS31,0)&gt;0,0,1)</f>
      </c>
      <c r="UQ31" t="str">
        <f>IF($EO$31="",FALSE,SUMPRODUCT(('Final Calculation Sheet'!$AA$4:$AA$40=$EO$31)*($UP$4:$UP$40=1))&gt;0)</f>
      </c>
      <c r="UR31" t="str">
        <f>=$UR30+--($UQ31)</f>
      </c>
      <c r="US31" t="str">
        <f>IF(ROW()-3&gt;MAX($UR$4:$UR$40),"",INDEX($EO$4:$EO$40,MATCH(ROW()-3,$UR$4:$UR$40,0)))</f>
      </c>
      <c r="UT31" t="str">
        <f>IF(COUNTIF('Final Calculation Sheet'!$AL31:$BL31,0)+COUNTIF('Final Calculation Sheet'!$BN31:$BS31,0)&gt;0,0,1)</f>
      </c>
      <c r="UU31" t="str">
        <f>IF($ET$31="",FALSE,SUMPRODUCT(('Final Calculation Sheet'!$AB$4:$AB$40=$ET$31)*($UT$4:$UT$40=1))&gt;0)</f>
      </c>
      <c r="UV31" t="str">
        <f>=$UV30+--($UU31)</f>
      </c>
      <c r="UW31" t="str">
        <f>IF(ROW()-3&gt;MAX($UV$4:$UV$40),"",INDEX($ET$4:$ET$40,MATCH(ROW()-3,$UV$4:$UV$40,0)))</f>
      </c>
      <c r="UX31" t="str">
        <f>IF(COUNTIF('Final Calculation Sheet'!$AL31:$BM31,0)+COUNTIF('Final Calculation Sheet'!$BO31:$BS31,0)&gt;0,0,1)</f>
      </c>
      <c r="UY31" t="str">
        <f>IF($EY$31="",FALSE,SUMPRODUCT(('Final Calculation Sheet'!$AC$4:$AC$40=$EY$31)*($UX$4:$UX$40=1))&gt;0)</f>
      </c>
      <c r="UZ31" t="str">
        <f>=$UZ30+--($UY31)</f>
      </c>
      <c r="VA31" t="str">
        <f>IF(ROW()-3&gt;MAX($UZ$4:$UZ$40),"",INDEX($EY$4:$EY$40,MATCH(ROW()-3,$UZ$4:$UZ$40,0)))</f>
      </c>
      <c r="VB31" t="str">
        <f>IF(COUNTIF('Final Calculation Sheet'!$AL31:$BN31,0)+COUNTIF('Final Calculation Sheet'!$BP31:$BS31,0)&gt;0,0,1)</f>
      </c>
      <c r="VC31" t="str">
        <f>IF($FD$31="",FALSE,SUMPRODUCT(('Final Calculation Sheet'!$AD$4:$AD$40=$FD$31)*($VB$4:$VB$40=1))&gt;0)</f>
      </c>
      <c r="VD31" t="str">
        <f>=$VD30+--($VC31)</f>
      </c>
      <c r="VE31" t="str">
        <f>IF(ROW()-3&gt;MAX($VD$4:$VD$40),"",INDEX($FD$4:$FD$40,MATCH(ROW()-3,$VD$4:$VD$40,0)))</f>
      </c>
      <c r="VF31" t="str">
        <f>IF(COUNTIF('Final Calculation Sheet'!$AL31:$BO31,0)+COUNTIF('Final Calculation Sheet'!$BQ31:$BS31,0)&gt;0,0,1)</f>
      </c>
      <c r="VG31" t="str">
        <f>IF($FI$31="",FALSE,SUMPRODUCT(('Final Calculation Sheet'!$AE$4:$AE$40=$FI$31)*($VF$4:$VF$40=1))&gt;0)</f>
      </c>
      <c r="VH31" t="str">
        <f>=$VH30+--($VG31)</f>
      </c>
      <c r="VI31" t="str">
        <f>IF(ROW()-3&gt;MAX($VH$4:$VH$40),"",INDEX($FI$4:$FI$40,MATCH(ROW()-3,$VH$4:$VH$40,0)))</f>
      </c>
      <c r="VJ31" t="str">
        <f>IF(COUNTIF('Final Calculation Sheet'!$AL31:$BP31,0)+COUNTIF('Final Calculation Sheet'!$BR31:$BS31,0)&gt;0,0,1)</f>
      </c>
      <c r="VK31" t="str">
        <f>IF($FN$31="",FALSE,SUMPRODUCT(('Final Calculation Sheet'!$AF$4:$AF$40=$FN$31)*($VJ$4:$VJ$40=1))&gt;0)</f>
      </c>
      <c r="VL31" t="str">
        <f>=$VL30+--($VK31)</f>
      </c>
      <c r="VM31" t="str">
        <f>IF(ROW()-3&gt;MAX($VL$4:$VL$40),"",INDEX($FN$4:$FN$40,MATCH(ROW()-3,$VL$4:$VL$40,0)))</f>
      </c>
      <c r="VN31" t="str">
        <f>IF(COUNTIF('Final Calculation Sheet'!$AL31:$BQ31,0)+COUNTIF('Final Calculation Sheet'!$BS31:$BS31,0)&gt;0,0,1)</f>
      </c>
      <c r="VO31" t="str">
        <f>IF($FS$31="",FALSE,SUMPRODUCT(('Final Calculation Sheet'!$AG$4:$AG$40=$FS$31)*($VN$4:$VN$40=1))&gt;0)</f>
      </c>
      <c r="VP31" t="str">
        <f>=$VP30+--($VO31)</f>
      </c>
      <c r="VQ31" t="str">
        <f>IF(ROW()-3&gt;MAX($VP$4:$VP$40),"",INDEX($FS$4:$FS$40,MATCH(ROW()-3,$VP$4:$VP$40,0)))</f>
      </c>
      <c r="VR31" t="str">
        <f>IF(COUNTIF('Final Calculation Sheet'!$AL31:$BR31,0)&gt;0,0,1)</f>
      </c>
      <c r="VS31" t="str">
        <f>IF($QO$31="",FALSE,SUMPRODUCT(('Final Calculation Sheet'!$AH$4:$AH$40=$QO$31)*($VR$4:$VR$40=1))&gt;0)</f>
      </c>
      <c r="VT31" t="str">
        <f>=$VT30+--($VS31)</f>
      </c>
      <c r="VU31" t="str">
        <f>IF(ROW()-3&gt;MAX($VT$4:$VT$40),"",INDEX($QO$4:$QO$40,MATCH(ROW()-3,$VT$4:$VT$40,0)))</f>
      </c>
    </row>
    <row r="32">
      <c r="A32">
        <f>IF('Final Calculation Sheet'!$F$32="","",'Final Calculation Sheet'!$F$32)</f>
        <v/>
      </c>
      <c r="B32">
        <f>IF(A32="","",COUNTIFS(A$4:A$114,"&lt;"&amp;A32,A$4:A$114,"&lt;&gt;"&amp;"")+COUNTIF(A$4:A32,A32))</f>
        <v/>
      </c>
      <c r="C32">
        <f>IF(ROW()-3&gt;COUNTIF(A$4:A$114,"&lt;&gt;"&amp;""),"",INDEX(A$4:A$114,MATCH(ROW()-3,B$4:B$114,0)))</f>
        <v/>
      </c>
      <c r="D32">
        <f>D31+IF(AND(C32&lt;&gt;"",COUNTIF(C$4:C32,C32)=1),1,0)</f>
        <v/>
      </c>
      <c r="E32">
        <f>IF(ROW()-3&gt;MAX(D$4:D$114),"",INDEX(C$4:C$114,MATCH(ROW()-3,D$4:D$114,0)))</f>
        <v/>
      </c>
      <c r="F32">
        <f>ROW()-3</f>
        <v/>
      </c>
      <c r="G32">
        <f>IF(F32="","",COUNTIFS(F$4:F$40,"&lt;"&amp;F32,F$4:F$40,"&lt;&gt;"&amp;"")+COUNTIF(F$4:F32,F32))</f>
        <v/>
      </c>
      <c r="H32">
        <f>IF(ROW()-3&gt;COUNTIF(F$4:F$40,"&lt;&gt;"&amp;""),"",INDEX(F$4:F$40,MATCH(ROW()-3,G$4:G$40,0)))</f>
        <v/>
      </c>
      <c r="I32">
        <f>I31+IF(AND(H32&lt;&gt;"",COUNTIF(H$4:H32,H32)=1),1,0)</f>
        <v/>
      </c>
      <c r="J32">
        <f>IF(ROW()-3&gt;MAX(I$4:I$40),"",INDEX(H$4:H$40,MATCH(ROW()-3,I$4:I$40,0)))</f>
        <v/>
      </c>
      <c r="K32">
        <f>IF('Final Calculation Sheet'!$F$32="","",'Final Calculation Sheet'!$F$32)</f>
        <v/>
      </c>
      <c r="L32">
        <f>IF(K32="","",COUNTIFS(K$4:K$40,"&lt;"&amp;K32,K$4:K$40,"&lt;&gt;"&amp;"")+COUNTIF(K$4:K32,K32))</f>
        <v/>
      </c>
      <c r="M32">
        <f>IF(ROW()-3&gt;COUNTIF(K$4:K$40,"&lt;&gt;"&amp;""),"",INDEX(K$4:K$40,MATCH(ROW()-3,L$4:L$40,0)))</f>
        <v/>
      </c>
      <c r="N32">
        <f>N31+IF(AND(M32&lt;&gt;"",COUNTIF(M$4:M32,M32)=1),1,0)</f>
        <v/>
      </c>
      <c r="O32">
        <f>IF(ROW()-3&gt;MAX(N$4:N$40),"",INDEX(M$4:M$40,MATCH(ROW()-3,N$4:N$40,0)))</f>
        <v/>
      </c>
      <c r="P32">
        <f>IF('Final Calculation Sheet'!$G$32="","",'Final Calculation Sheet'!$G$32)</f>
        <v/>
      </c>
      <c r="Q32">
        <f>IF(P32="","",COUNTIFS(P$4:P$40,"&lt;"&amp;P32,P$4:P$40,"&lt;&gt;"&amp;"")+COUNTIF(P$4:P32,P32))</f>
        <v/>
      </c>
      <c r="R32">
        <f>IF(ROW()-3&gt;COUNTIF(P$4:P$40,"&lt;&gt;"&amp;""),"",INDEX(P$4:P$40,MATCH(ROW()-3,Q$4:Q$40,0)))</f>
        <v/>
      </c>
      <c r="S32">
        <f>S31+IF(AND(R32&lt;&gt;"",COUNTIF(R$4:R32,R32)=1),1,0)</f>
        <v/>
      </c>
      <c r="T32">
        <f>IF(ROW()-3&gt;MAX(S$4:S$40),"",INDEX(R$4:R$40,MATCH(ROW()-3,S$4:S$40,0)))</f>
        <v/>
      </c>
      <c r="U32">
        <f>IF('Final Calculation Sheet'!$B$32="","",'Final Calculation Sheet'!$B$32)</f>
        <v/>
      </c>
      <c r="V32">
        <f>IF(U32="","",COUNTIFS(U$4:U$40,"&lt;"&amp;U32,U$4:U$40,"&lt;&gt;"&amp;"")+COUNTIF(U$4:U32,U32))</f>
        <v/>
      </c>
      <c r="W32">
        <f>IF(ROW()-3&gt;COUNTIF(U$4:U$40,"&lt;&gt;"&amp;""),"",INDEX(U$4:U$40,MATCH(ROW()-3,V$4:V$40,0)))</f>
        <v/>
      </c>
      <c r="X32">
        <f>X31+IF(AND(W32&lt;&gt;"",COUNTIF(W$4:W32,W32)=1),1,0)</f>
        <v/>
      </c>
      <c r="Y32">
        <f>IF(ROW()-3&gt;MAX(X$4:X$40),"",INDEX(W$4:W$40,MATCH(ROW()-3,X$4:X$40,0)))</f>
        <v/>
      </c>
      <c r="Z32">
        <f>IF('Final Calculation Sheet'!$D$32="","",'Final Calculation Sheet'!$D$32)</f>
        <v/>
      </c>
      <c r="AA32">
        <f>IF(Z32="","",COUNTIFS(Z$4:Z$40,"&lt;"&amp;Z32,Z$4:Z$40,"&lt;&gt;"&amp;"")+COUNTIF(Z$4:Z32,Z32))</f>
        <v/>
      </c>
      <c r="AB32">
        <f>IF(ROW()-3&gt;COUNTIF(Z$4:Z$40,"&lt;&gt;"&amp;""),"",INDEX(Z$4:Z$40,MATCH(ROW()-3,AA$4:AA$40,0)))</f>
        <v/>
      </c>
      <c r="AC32">
        <f>AC31+IF(AND(AB32&lt;&gt;"",COUNTIF(AB$4:AB32,AB32)=1),1,0)</f>
        <v/>
      </c>
      <c r="AD32">
        <f>IF(ROW()-3&gt;MAX(AC$4:AC$40),"",INDEX(AB$4:AB$40,MATCH(ROW()-3,AC$4:AC$40,0)))</f>
        <v/>
      </c>
      <c r="AE32">
        <f>IF('Final Calculation Sheet'!$A$32="","",'Final Calculation Sheet'!$A$32)</f>
        <v/>
      </c>
      <c r="AF32">
        <f>IF(AE32="","",COUNTIFS(AE$4:AE$40,"&lt;"&amp;AE32,AE$4:AE$40,"&lt;&gt;"&amp;"")+COUNTIF(AE$4:AE32,AE32))</f>
        <v/>
      </c>
      <c r="AG32">
        <f>IF(ROW()-3&gt;COUNTIF(AE$4:AE$40,"&lt;&gt;"&amp;""),"",INDEX(AE$4:AE$40,MATCH(ROW()-3,AF$4:AF$40,0)))</f>
        <v/>
      </c>
      <c r="AH32">
        <f>AH31+IF(AND(AG32&lt;&gt;"",COUNTIF(AG$4:AG32,AG32)=1),1,0)</f>
        <v/>
      </c>
      <c r="AI32">
        <f>IF(ROW()-3&gt;MAX(AH$4:AH$40),"",INDEX(AG$4:AG$40,MATCH(ROW()-3,AH$4:AH$40,0)))</f>
        <v/>
      </c>
      <c r="AJ32">
        <f>IF('Final Calculation Sheet'!$E$32="","",'Final Calculation Sheet'!$E$32)</f>
        <v/>
      </c>
      <c r="AK32">
        <f>IF(AJ32="","",COUNTIFS(AJ$4:AJ$40,"&lt;"&amp;AJ32,AJ$4:AJ$40,"&lt;&gt;"&amp;"")+COUNTIF(AJ$4:AJ32,AJ32))</f>
        <v/>
      </c>
      <c r="AL32">
        <f>IF(ROW()-3&gt;COUNTIF(AJ$4:AJ$40,"&lt;&gt;"&amp;""),"",INDEX(AJ$4:AJ$40,MATCH(ROW()-3,AK$4:AK$40,0)))</f>
        <v/>
      </c>
      <c r="AM32">
        <f>AM31+IF(AND(AL32&lt;&gt;"",COUNTIF(AL$4:AL32,AL32)=1),1,0)</f>
        <v/>
      </c>
      <c r="AN32">
        <f>IF(ROW()-3&gt;MAX(AM$4:AM$40),"",INDEX(AL$4:AL$40,MATCH(ROW()-3,AM$4:AM$40,0)))</f>
        <v/>
      </c>
      <c r="AO32" s="55">
        <f>IF('Final Calculation Sheet'!$C$32="","",'Final Calculation Sheet'!$C$32)</f>
        <v/>
      </c>
      <c r="AP32">
        <f>IF(AO32="","",COUNTIFS(AO$4:AO$40,"&lt;"&amp;AO32,AO$4:AO$40,"&lt;&gt;"&amp;"")+COUNTIF(AO$4:AO32,AO32))</f>
        <v/>
      </c>
      <c r="AQ32" s="55">
        <f>IF(ROW()-3&gt;COUNTIF(AO$4:AO$40,"&lt;&gt;"&amp;""),"",INDEX(AO$4:AO$40,MATCH(ROW()-3,AP$4:AP$40,0)))</f>
        <v/>
      </c>
      <c r="AR32">
        <f>AR31+IF(AND(AQ32&lt;&gt;"",COUNTIF(AQ$4:AQ32,AQ32)=1),1,0)</f>
        <v/>
      </c>
      <c r="AS32" s="55">
        <f>IF(ROW()-3&gt;MAX(AR$4:AR$40),"",INDEX(AQ$4:AQ$40,MATCH(ROW()-3,AR$4:AR$40,0)))</f>
        <v/>
      </c>
      <c r="AT32" s="55">
        <f>IF('Final Calculation Sheet'!$H$32="","",'Final Calculation Sheet'!$H$32)</f>
        <v/>
      </c>
      <c r="AU32">
        <f>IF(AT32="","",COUNTIFS(AT$4:AT$40,"&lt;"&amp;AT32,AT$4:AT$40,"&lt;&gt;"&amp;"")+COUNTIF(AT$4:AT32,AT32))</f>
        <v/>
      </c>
      <c r="AV32" s="55">
        <f>IF(ROW()-3&gt;COUNTIF(AT$4:AT$40,"&lt;&gt;"&amp;""),"",INDEX(AT$4:AT$40,MATCH(ROW()-3,AU$4:AU$40,0)))</f>
        <v/>
      </c>
      <c r="AW32">
        <f>AW31+IF(AND(AV32&lt;&gt;"",COUNTIF(AV$4:AV32,AV32)=1),1,0)</f>
        <v/>
      </c>
      <c r="AX32" s="55">
        <f>IF(ROW()-3&gt;MAX(AW$4:AW$40),"",INDEX(AV$4:AV$40,MATCH(ROW()-3,AW$4:AW$40,0)))</f>
        <v/>
      </c>
      <c r="AY32" s="55">
        <f>IF('Final Calculation Sheet'!$I$32="","",'Final Calculation Sheet'!$I$32)</f>
        <v/>
      </c>
      <c r="AZ32">
        <f>IF(AY32="","",COUNTIFS(AY$4:AY$40,"&lt;"&amp;AY32,AY$4:AY$40,"&lt;&gt;"&amp;"")+COUNTIF(AY$4:AY32,AY32))</f>
        <v/>
      </c>
      <c r="BA32" s="55">
        <f>IF(ROW()-3&gt;COUNTIF(AY$4:AY$40,"&lt;&gt;"&amp;""),"",INDEX(AY$4:AY$40,MATCH(ROW()-3,AZ$4:AZ$40,0)))</f>
        <v/>
      </c>
      <c r="BB32">
        <f>BB31+IF(AND(BA32&lt;&gt;"",COUNTIF(BA$4:BA32,BA32)=1),1,0)</f>
        <v/>
      </c>
      <c r="BC32" s="55">
        <f>IF(ROW()-3&gt;MAX(BB$4:BB$40),"",INDEX(BA$4:BA$40,MATCH(ROW()-3,BB$4:BB$40,0)))</f>
        <v/>
      </c>
      <c r="BD32" s="55">
        <f>IF('Final Calculation Sheet'!$J$32="","",'Final Calculation Sheet'!$J$32)</f>
        <v/>
      </c>
      <c r="BE32">
        <f>IF(BD32="","",COUNTIFS(BD$4:BD$40,"&lt;"&amp;BD32,BD$4:BD$40,"&lt;&gt;"&amp;"")+COUNTIF(BD$4:BD32,BD32))</f>
        <v/>
      </c>
      <c r="BF32" s="55">
        <f>IF(ROW()-3&gt;COUNTIF(BD$4:BD$40,"&lt;&gt;"&amp;""),"",INDEX(BD$4:BD$40,MATCH(ROW()-3,BE$4:BE$40,0)))</f>
        <v/>
      </c>
      <c r="BG32">
        <f>BG31+IF(AND(BF32&lt;&gt;"",COUNTIF(BF$4:BF32,BF32)=1),1,0)</f>
        <v/>
      </c>
      <c r="BH32" s="55">
        <f>IF(ROW()-3&gt;MAX(BG$4:BG$40),"",INDEX(BF$4:BF$40,MATCH(ROW()-3,BG$4:BG$40,0)))</f>
        <v/>
      </c>
      <c r="BI32" s="55">
        <f>IF('Final Calculation Sheet'!$K$32="","",'Final Calculation Sheet'!$K$32)</f>
        <v/>
      </c>
      <c r="BJ32">
        <f>IF(BI32="","",COUNTIFS(BI$4:BI$40,"&lt;"&amp;BI32,BI$4:BI$40,"&lt;&gt;"&amp;"")+COUNTIF(BI$4:BI32,BI32))</f>
        <v/>
      </c>
      <c r="BK32" s="55">
        <f>IF(ROW()-3&gt;COUNTIF(BI$4:BI$40,"&lt;&gt;"&amp;""),"",INDEX(BI$4:BI$40,MATCH(ROW()-3,BJ$4:BJ$40,0)))</f>
        <v/>
      </c>
      <c r="BL32">
        <f>BL31+IF(AND(BK32&lt;&gt;"",COUNTIF(BK$4:BK32,BK32)=1),1,0)</f>
        <v/>
      </c>
      <c r="BM32" s="55">
        <f>IF(ROW()-3&gt;MAX(BL$4:BL$40),"",INDEX(BK$4:BK$40,MATCH(ROW()-3,BL$4:BL$40,0)))</f>
        <v/>
      </c>
      <c r="BN32" s="55">
        <f>IF('Final Calculation Sheet'!$L$32="","",'Final Calculation Sheet'!$L$32)</f>
        <v/>
      </c>
      <c r="BO32">
        <f>IF(BN32="","",COUNTIFS(BN$4:BN$40,"&lt;"&amp;BN32,BN$4:BN$40,"&lt;&gt;"&amp;"")+COUNTIF(BN$4:BN32,BN32))</f>
        <v/>
      </c>
      <c r="BP32" s="55">
        <f>IF(ROW()-3&gt;COUNTIF(BN$4:BN$40,"&lt;&gt;"&amp;""),"",INDEX(BN$4:BN$40,MATCH(ROW()-3,BO$4:BO$40,0)))</f>
        <v/>
      </c>
      <c r="BQ32">
        <f>BQ31+IF(AND(BP32&lt;&gt;"",COUNTIF(BP$4:BP32,BP32)=1),1,0)</f>
        <v/>
      </c>
      <c r="BR32" s="55">
        <f>IF(ROW()-3&gt;MAX(BQ$4:BQ$40),"",INDEX(BP$4:BP$40,MATCH(ROW()-3,BQ$4:BQ$40,0)))</f>
        <v/>
      </c>
      <c r="BS32" s="55">
        <f>IF('Final Calculation Sheet'!$M$32="","",'Final Calculation Sheet'!$M$32)</f>
        <v/>
      </c>
      <c r="BT32">
        <f>IF(BS32="","",COUNTIFS(BS$4:BS$40,"&lt;"&amp;BS32,BS$4:BS$40,"&lt;&gt;"&amp;"")+COUNTIF(BS$4:BS32,BS32))</f>
        <v/>
      </c>
      <c r="BU32" s="55">
        <f>IF(ROW()-3&gt;COUNTIF(BS$4:BS$40,"&lt;&gt;"&amp;""),"",INDEX(BS$4:BS$40,MATCH(ROW()-3,BT$4:BT$40,0)))</f>
        <v/>
      </c>
      <c r="BV32">
        <f>BV31+IF(AND(BU32&lt;&gt;"",COUNTIF(BU$4:BU32,BU32)=1),1,0)</f>
        <v/>
      </c>
      <c r="BW32" s="55">
        <f>IF(ROW()-3&gt;MAX(BV$4:BV$40),"",INDEX(BU$4:BU$40,MATCH(ROW()-3,BV$4:BV$40,0)))</f>
        <v/>
      </c>
      <c r="BX32" s="138">
        <f>IF('Final Calculation Sheet'!$N$32="","",'Final Calculation Sheet'!$N$32)</f>
        <v/>
      </c>
      <c r="BY32">
        <f>IF(BX32="","",COUNTIFS(BX$4:BX$40,"&lt;"&amp;BX32,BX$4:BX$40,"&lt;&gt;"&amp;"")+COUNTIF(BX$4:BX32,BX32))</f>
        <v/>
      </c>
      <c r="BZ32" s="138">
        <f>IF(ROW()-3&gt;COUNTIF(BX$4:BX$40,"&lt;&gt;"&amp;""),"",INDEX(BX$4:BX$40,MATCH(ROW()-3,BY$4:BY$40,0)))</f>
        <v/>
      </c>
      <c r="CA32">
        <f>CA31+IF(AND(BZ32&lt;&gt;"",COUNTIF(BZ$4:BZ32,BZ32)=1),1,0)</f>
        <v/>
      </c>
      <c r="CB32" s="138">
        <f>IF(ROW()-3&gt;MAX(CA$4:CA$40),"",INDEX(BZ$4:BZ$40,MATCH(ROW()-3,CA$4:CA$40,0)))</f>
        <v/>
      </c>
      <c r="CC32" s="55">
        <f>IF('Final Calculation Sheet'!$O$32="","",'Final Calculation Sheet'!$O$32)</f>
        <v/>
      </c>
      <c r="CD32">
        <f>IF(CC32="","",COUNTIFS(CC$4:CC$40,"&lt;"&amp;CC32,CC$4:CC$40,"&lt;&gt;"&amp;"")+COUNTIF(CC$4:CC32,CC32))</f>
        <v/>
      </c>
      <c r="CE32" s="55">
        <f>IF(ROW()-3&gt;COUNTIF(CC$4:CC$40,"&lt;&gt;"&amp;""),"",INDEX(CC$4:CC$40,MATCH(ROW()-3,CD$4:CD$40,0)))</f>
        <v/>
      </c>
      <c r="CF32">
        <f>CF31+IF(AND(CE32&lt;&gt;"",COUNTIF(CE$4:CE32,CE32)=1),1,0)</f>
        <v/>
      </c>
      <c r="CG32" s="55">
        <f>IF(ROW()-3&gt;MAX(CF$4:CF$40),"",INDEX(CE$4:CE$40,MATCH(ROW()-3,CF$4:CF$40,0)))</f>
        <v/>
      </c>
      <c r="CH32" s="55">
        <f>IF('Final Calculation Sheet'!$P$32="","",'Final Calculation Sheet'!$P$32)</f>
        <v/>
      </c>
      <c r="CI32">
        <f>IF(CH32="","",COUNTIFS(CH$4:CH$40,"&lt;"&amp;CH32,CH$4:CH$40,"&lt;&gt;"&amp;"")+COUNTIF(CH$4:CH32,CH32))</f>
        <v/>
      </c>
      <c r="CJ32" s="55">
        <f>IF(ROW()-3&gt;COUNTIF(CH$4:CH$40,"&lt;&gt;"&amp;""),"",INDEX(CH$4:CH$40,MATCH(ROW()-3,CI$4:CI$40,0)))</f>
        <v/>
      </c>
      <c r="CK32">
        <f>CK31+IF(AND(CJ32&lt;&gt;"",COUNTIF(CJ$4:CJ32,CJ32)=1),1,0)</f>
        <v/>
      </c>
      <c r="CL32" s="55">
        <f>IF(ROW()-3&gt;MAX(CK$4:CK$40),"",INDEX(CJ$4:CJ$40,MATCH(ROW()-3,CK$4:CK$40,0)))</f>
        <v/>
      </c>
      <c r="CM32" s="139">
        <f>IF('Final Calculation Sheet'!$Q$32="","",'Final Calculation Sheet'!$Q$32)</f>
        <v/>
      </c>
      <c r="CN32">
        <f>IF(CM32="","",COUNTIFS(CM$4:CM$40,"&lt;"&amp;CM32,CM$4:CM$40,"&lt;&gt;"&amp;"")+COUNTIF(CM$4:CM32,CM32))</f>
        <v/>
      </c>
      <c r="CO32" s="139">
        <f>IF(ROW()-3&gt;COUNTIF(CM$4:CM$40,"&lt;&gt;"&amp;""),"",INDEX(CM$4:CM$40,MATCH(ROW()-3,CN$4:CN$40,0)))</f>
        <v/>
      </c>
      <c r="CP32">
        <f>CP31+IF(AND(CO32&lt;&gt;"",COUNTIF(CO$4:CO32,CO32)=1),1,0)</f>
        <v/>
      </c>
      <c r="CQ32">
        <f>IF(ROW()-3&gt;MAX(CP$4:CP$40),"",INDEX(CO$4:CO$40,MATCH(ROW()-3,CP$4:CP$40,0)))</f>
        <v/>
      </c>
      <c r="CR32" s="55">
        <f>IF('Final Calculation Sheet'!$R$32="","",'Final Calculation Sheet'!$R$32)</f>
        <v/>
      </c>
      <c r="CS32">
        <f>IF(CR32="","",COUNTIFS(CR$4:CR$40,"&lt;"&amp;CR32,CR$4:CR$40,"&lt;&gt;"&amp;"")+COUNTIF(CR$4:CR32,CR32))</f>
        <v/>
      </c>
      <c r="CT32" s="55">
        <f>IF(ROW()-3&gt;COUNTIF(CR$4:CR$40,"&lt;&gt;"&amp;""),"",INDEX(CR$4:CR$40,MATCH(ROW()-3,CS$4:CS$40,0)))</f>
        <v/>
      </c>
      <c r="CU32">
        <f>CU31+IF(AND(CT32&lt;&gt;"",COUNTIF(CT$4:CT32,CT32)=1),1,0)</f>
        <v/>
      </c>
      <c r="CV32">
        <f>IF(ROW()-3&gt;MAX(CU$4:CU$40),"",INDEX(CT$4:CT$40,MATCH(ROW()-3,CU$4:CU$40,0)))</f>
        <v/>
      </c>
      <c r="CW32" s="55">
        <f>IF('Final Calculation Sheet'!$S$32="","",'Final Calculation Sheet'!$S$32)</f>
        <v/>
      </c>
      <c r="CX32">
        <f>IF(CW32="","",COUNTIFS(CW$4:CW$40,"&lt;"&amp;CW32,CW$4:CW$40,"&lt;&gt;"&amp;"")+COUNTIF(CW$4:CW32,CW32))</f>
        <v/>
      </c>
      <c r="CY32" s="55">
        <f>IF(ROW()-3&gt;COUNTIF(CW$4:CW$40,"&lt;&gt;"&amp;""),"",INDEX(CW$4:CW$40,MATCH(ROW()-3,CX$4:CX$40,0)))</f>
        <v/>
      </c>
      <c r="CZ32">
        <f>CZ31+IF(AND(CY32&lt;&gt;"",COUNTIF(CY$4:CY32,CY32)=1),1,0)</f>
        <v/>
      </c>
      <c r="DA32" s="55">
        <f>IF(ROW()-3&gt;MAX(CZ$4:CZ$40),"",INDEX(CY$4:CY$40,MATCH(ROW()-3,CZ$4:CZ$40,0)))</f>
        <v/>
      </c>
      <c r="DB32" s="55">
        <f>IF('Final Calculation Sheet'!$T$32="","",'Final Calculation Sheet'!$T$32)</f>
        <v/>
      </c>
      <c r="DC32">
        <f>IF(DB32="","",COUNTIFS(DB$4:DB$40,"&lt;"&amp;DB32,DB$4:DB$40,"&lt;&gt;"&amp;"")+COUNTIF(DB$4:DB32,DB32))</f>
        <v/>
      </c>
      <c r="DD32" s="55">
        <f>IF(ROW()-3&gt;COUNTIF(DB$4:DB$40,"&lt;&gt;"&amp;""),"",INDEX(DB$4:DB$40,MATCH(ROW()-3,DC$4:DC$40,0)))</f>
        <v/>
      </c>
      <c r="DE32">
        <f>DE31+IF(AND(DD32&lt;&gt;"",COUNTIF(DD$4:DD32,DD32)=1),1,0)</f>
        <v/>
      </c>
      <c r="DF32" s="55">
        <f>IF(ROW()-3&gt;MAX(DE$4:DE$40),"",INDEX(DD$4:DD$40,MATCH(ROW()-3,DE$4:DE$40,0)))</f>
        <v/>
      </c>
      <c r="DG32" s="140">
        <f>IF('Final Calculation Sheet'!$U$32="","",'Final Calculation Sheet'!$U$32)</f>
        <v/>
      </c>
      <c r="DH32">
        <f>IF(DG32="","",COUNTIFS(DG$4:DG$40,"&lt;"&amp;DG32,DG$4:DG$40,"&lt;&gt;"&amp;"")+COUNTIF(DG$4:DG32,DG32))</f>
        <v/>
      </c>
      <c r="DI32" s="140">
        <f>IF(ROW()-3&gt;COUNTIF(DG$4:DG$40,"&lt;&gt;"&amp;""),"",INDEX(DG$4:DG$40,MATCH(ROW()-3,DH$4:DH$40,0)))</f>
        <v/>
      </c>
      <c r="DJ32">
        <f>DJ31+IF(AND(DI32&lt;&gt;"",COUNTIF(DI$4:DI32,DI32)=1),1,0)</f>
        <v/>
      </c>
      <c r="DK32" s="140">
        <f>IF(ROW()-3&gt;MAX(DJ$4:DJ$40),"",INDEX(DI$4:DI$40,MATCH(ROW()-3,DJ$4:DJ$40,0)))</f>
        <v/>
      </c>
      <c r="DL32">
        <f>IF('Final Calculation Sheet'!$V$32="","",'Final Calculation Sheet'!$V$32)</f>
        <v/>
      </c>
      <c r="DM32">
        <f>IF(DL32="","",COUNTIFS(DL$4:DL$40,"&lt;"&amp;DL32,DL$4:DL$40,"&lt;&gt;"&amp;"")+COUNTIF(DL$4:DL32,DL32))</f>
        <v/>
      </c>
      <c r="DN32">
        <f>IF(ROW()-3&gt;COUNTIF(DL$4:DL$40,"&lt;&gt;"&amp;""),"",INDEX(DL$4:DL$40,MATCH(ROW()-3,DM$4:DM$40,0)))</f>
        <v/>
      </c>
      <c r="DO32">
        <f>DO31+IF(AND(DN32&lt;&gt;"",COUNTIF(DN$4:DN32,DN32)=1),1,0)</f>
        <v/>
      </c>
      <c r="DP32">
        <f>IF(ROW()-3&gt;MAX(DO$4:DO$40),"",INDEX(DN$4:DN$40,MATCH(ROW()-3,DO$4:DO$40,0)))</f>
        <v/>
      </c>
      <c r="DQ32" s="55">
        <f>IF('Final Calculation Sheet'!$W$32="","",'Final Calculation Sheet'!$W$32)</f>
        <v/>
      </c>
      <c r="DR32">
        <f>IF(DQ32="","",COUNTIFS(DQ$4:DQ$40,"&lt;"&amp;DQ32,DQ$4:DQ$40,"&lt;&gt;"&amp;"")+COUNTIF(DQ$4:DQ32,DQ32))</f>
        <v/>
      </c>
      <c r="DS32" s="55">
        <f>IF(ROW()-3&gt;COUNTIF(DQ$4:DQ$40,"&lt;&gt;"&amp;""),"",INDEX(DQ$4:DQ$40,MATCH(ROW()-3,DR$4:DR$40,0)))</f>
        <v/>
      </c>
      <c r="DT32">
        <f>DT31+IF(AND(DS32&lt;&gt;"",COUNTIF(DS$4:DS32,DS32)=1),1,0)</f>
        <v/>
      </c>
      <c r="DU32" s="55">
        <f>IF(ROW()-3&gt;MAX(DT$4:DT$40),"",INDEX(DS$4:DS$40,MATCH(ROW()-3,DT$4:DT$40,0)))</f>
        <v/>
      </c>
      <c r="DV32" s="55">
        <f>IF('Final Calculation Sheet'!$X$32="","",'Final Calculation Sheet'!$X$32)</f>
        <v/>
      </c>
      <c r="DW32">
        <f>IF(DV32="","",COUNTIFS(DV$4:DV$40,"&lt;"&amp;DV32,DV$4:DV$40,"&lt;&gt;"&amp;"")+COUNTIF(DV$4:DV32,DV32))</f>
        <v/>
      </c>
      <c r="DX32" s="55">
        <f>IF(ROW()-3&gt;COUNTIF(DV$4:DV$40,"&lt;&gt;"&amp;""),"",INDEX(DV$4:DV$40,MATCH(ROW()-3,DW$4:DW$40,0)))</f>
        <v/>
      </c>
      <c r="DY32">
        <f>DY31+IF(AND(DX32&lt;&gt;"",COUNTIF(DX$4:DX32,DX32)=1),1,0)</f>
        <v/>
      </c>
      <c r="DZ32">
        <f>IF(ROW()-3&gt;MAX(DY$4:DY$40),"",INDEX(DX$4:DX$40,MATCH(ROW()-3,DY$4:DY$40,0)))</f>
        <v/>
      </c>
      <c r="EA32">
        <f>IF('Final Calculation Sheet'!$Y$32="","",'Final Calculation Sheet'!$Y$32)</f>
        <v/>
      </c>
      <c r="EB32">
        <f>IF(EA32="","",COUNTIFS(EA$4:EA$40,"&lt;"&amp;EA32,EA$4:EA$40,"&lt;&gt;"&amp;"")+COUNTIF(EA$4:EA32,EA32))</f>
        <v/>
      </c>
      <c r="EC32">
        <f>IF(ROW()-3&gt;COUNTIF(EA$4:EA$40,"&lt;&gt;"&amp;""),"",INDEX(EA$4:EA$40,MATCH(ROW()-3,EB$4:EB$40,0)))</f>
        <v/>
      </c>
      <c r="ED32">
        <f>ED31+IF(AND(EC32&lt;&gt;"",COUNTIF(EC$4:EC32,EC32)=1),1,0)</f>
        <v/>
      </c>
      <c r="EE32">
        <f>IF(ROW()-3&gt;MAX(ED$4:ED$40),"",INDEX(EC$4:EC$40,MATCH(ROW()-3,ED$4:ED$40,0)))</f>
        <v/>
      </c>
      <c r="EF32" s="55">
        <f>IF('Final Calculation Sheet'!$Z$32="","",'Final Calculation Sheet'!$Z$32)</f>
        <v/>
      </c>
      <c r="EG32">
        <f>IF(EF32="","",COUNTIFS(EF$4:EF$40,"&lt;"&amp;EF32,EF$4:EF$40,"&lt;&gt;"&amp;"")+COUNTIF(EF$4:EF32,EF32))</f>
        <v/>
      </c>
      <c r="EH32" s="55">
        <f>IF(ROW()-3&gt;COUNTIF(EF$4:EF$40,"&lt;&gt;"&amp;""),"",INDEX(EF$4:EF$40,MATCH(ROW()-3,EG$4:EG$40,0)))</f>
        <v/>
      </c>
      <c r="EI32">
        <f>EI31+IF(AND(EH32&lt;&gt;"",COUNTIF(EH$4:EH32,EH32)=1),1,0)</f>
        <v/>
      </c>
      <c r="EJ32">
        <f>IF(ROW()-3&gt;MAX(EI$4:EI$40),"",INDEX(EH$4:EH$40,MATCH(ROW()-3,EI$4:EI$40,0)))</f>
        <v/>
      </c>
      <c r="EK32">
        <f>IF('Final Calculation Sheet'!$AA$32="","",'Final Calculation Sheet'!$AA$32)</f>
        <v/>
      </c>
      <c r="EL32">
        <f>IF(EK32="","",COUNTIFS(EK$4:EK$40,"&lt;"&amp;EK32,EK$4:EK$40,"&lt;&gt;"&amp;"")+COUNTIF(EK$4:EK32,EK32))</f>
        <v/>
      </c>
      <c r="EM32">
        <f>IF(ROW()-3&gt;COUNTIF(EK$4:EK$40,"&lt;&gt;"&amp;""),"",INDEX(EK$4:EK$40,MATCH(ROW()-3,EL$4:EL$40,0)))</f>
        <v/>
      </c>
      <c r="EN32">
        <f>EN31+IF(AND(EM32&lt;&gt;"",COUNTIF(EM$4:EM32,EM32)=1),1,0)</f>
        <v/>
      </c>
      <c r="EO32">
        <f>IF(ROW()-3&gt;MAX(EN$4:EN$40),"",INDEX(EM$4:EM$40,MATCH(ROW()-3,EN$4:EN$40,0)))</f>
        <v/>
      </c>
      <c r="EP32">
        <f>IF('Final Calculation Sheet'!$AB$32="","",'Final Calculation Sheet'!$AB$32)</f>
        <v/>
      </c>
      <c r="EQ32">
        <f>IF(EP32="","",COUNTIFS(EP$4:EP$40,"&lt;"&amp;EP32,EP$4:EP$40,"&lt;&gt;"&amp;"")+COUNTIF(EP$4:EP32,EP32))</f>
        <v/>
      </c>
      <c r="ER32">
        <f>IF(ROW()-3&gt;COUNTIF(EP$4:EP$40,"&lt;&gt;"&amp;""),"",INDEX(EP$4:EP$40,MATCH(ROW()-3,EQ$4:EQ$40,0)))</f>
        <v/>
      </c>
      <c r="ES32">
        <f>ES31+IF(AND(ER32&lt;&gt;"",COUNTIF(ER$4:ER32,ER32)=1),1,0)</f>
        <v/>
      </c>
      <c r="ET32">
        <f>IF(ROW()-3&gt;MAX(ES$4:ES$40),"",INDEX(ER$4:ER$40,MATCH(ROW()-3,ES$4:ES$40,0)))</f>
        <v/>
      </c>
      <c r="EU32" s="55">
        <f>IF('Final Calculation Sheet'!$AC$32="","",'Final Calculation Sheet'!$AC$32)</f>
        <v/>
      </c>
      <c r="EV32">
        <f>IF(EU32="","",COUNTIFS(EU$4:EU$40,"&lt;"&amp;EU32,EU$4:EU$40,"&lt;&gt;"&amp;"")+COUNTIF(EU$4:EU32,EU32))</f>
        <v/>
      </c>
      <c r="EW32" s="55">
        <f>IF(ROW()-3&gt;COUNTIF(EU$4:EU$40,"&lt;&gt;"&amp;""),"",INDEX(EU$4:EU$40,MATCH(ROW()-3,EV$4:EV$40,0)))</f>
        <v/>
      </c>
      <c r="EX32">
        <f>EX31+IF(AND(EW32&lt;&gt;"",COUNTIF(EW$4:EW32,EW32)=1),1,0)</f>
        <v/>
      </c>
      <c r="EY32" s="55">
        <f>IF(ROW()-3&gt;MAX(EX$4:EX$40),"",INDEX(EW$4:EW$40,MATCH(ROW()-3,EX$4:EX$40,0)))</f>
        <v/>
      </c>
      <c r="EZ32" s="55">
        <f>IF('Final Calculation Sheet'!$AD$32="","",'Final Calculation Sheet'!$AD$32)</f>
        <v/>
      </c>
      <c r="FA32">
        <f>IF(EZ32="","",COUNTIFS(EZ$4:EZ$40,"&lt;"&amp;EZ32,EZ$4:EZ$40,"&lt;&gt;"&amp;"")+COUNTIF(EZ$4:EZ32,EZ32))</f>
        <v/>
      </c>
      <c r="FB32" s="55">
        <f>IF(ROW()-3&gt;COUNTIF(EZ$4:EZ$40,"&lt;&gt;"&amp;""),"",INDEX(EZ$4:EZ$40,MATCH(ROW()-3,FA$4:FA$40,0)))</f>
        <v/>
      </c>
      <c r="FC32">
        <f>FC31+IF(AND(FB32&lt;&gt;"",COUNTIF(FB$4:FB32,FB32)=1),1,0)</f>
        <v/>
      </c>
      <c r="FD32">
        <f>IF(ROW()-3&gt;MAX(FC$4:FC$40),"",INDEX(FB$4:FB$40,MATCH(ROW()-3,FC$4:FC$40,0)))</f>
        <v/>
      </c>
      <c r="FE32">
        <f>IF('Final Calculation Sheet'!$AF$32="","",'Final Calculation Sheet'!$AF$32)</f>
        <v/>
      </c>
      <c r="FF32">
        <f>IF(FE32="","",COUNTIFS(FE$4:FE$40,"&lt;"&amp;FE32,FE$4:FE$40,"&lt;&gt;"&amp;"")+COUNTIF(FE$4:FE32,FE32))</f>
        <v/>
      </c>
      <c r="FG32">
        <f>IF(ROW()-3&gt;COUNTIF(FE$4:FE$40,"&lt;&gt;"&amp;""),"",INDEX(FE$4:FE$40,MATCH(ROW()-3,FF$4:FF$40,0)))</f>
        <v/>
      </c>
      <c r="FH32">
        <f>FH31+IF(AND(FG32&lt;&gt;"",COUNTIF(FG$4:FG32,FG32)=1),1,0)</f>
        <v/>
      </c>
      <c r="FI32">
        <f>IF(ROW()-3&gt;MAX(FH$4:FH$40),"",INDEX(FG$4:FG$40,MATCH(ROW()-3,FH$4:FH$40,0)))</f>
        <v/>
      </c>
      <c r="FJ32" s="141">
        <f>IF('Final Calculation Sheet'!$AG$32="","",'Final Calculation Sheet'!$AG$32)</f>
        <v/>
      </c>
      <c r="FK32">
        <f>IF(FJ32="","",COUNTIFS(FJ$4:FJ$40,"&lt;"&amp;FJ32,FJ$4:FJ$40,"&lt;&gt;"&amp;"")+COUNTIF(FJ$4:FJ32,FJ32))</f>
        <v/>
      </c>
      <c r="FL32" s="141">
        <f>IF(ROW()-3&gt;COUNTIF(FJ$4:FJ$40,"&lt;&gt;"&amp;""),"",INDEX(FJ$4:FJ$40,MATCH(ROW()-3,FK$4:FK$40,0)))</f>
        <v/>
      </c>
      <c r="FM32">
        <f>FM31+IF(AND(FL32&lt;&gt;"",COUNTIF(FL$4:FL32,FL32)=1),1,0)</f>
        <v/>
      </c>
      <c r="FN32">
        <f>IF(ROW()-3&gt;MAX(FM$4:FM$40),"",INDEX(FL$4:FL$40,MATCH(ROW()-3,FM$4:FM$40,0)))</f>
        <v/>
      </c>
      <c r="FO32">
        <f>IF('Final Calculation Sheet'!$AH$32="","",'Final Calculation Sheet'!$AH$32)</f>
        <v/>
      </c>
      <c r="FP32">
        <f>IF(FO32="","",COUNTIFS(FO$4:FO$40,"&lt;"&amp;FO32,FO$4:FO$40,"&lt;&gt;"&amp;"")+COUNTIF(FO$4:FO32,FO32))</f>
        <v/>
      </c>
      <c r="FQ32">
        <f>IF(ROW()-3&gt;COUNTIF(FO$4:FO$40,"&lt;&gt;"&amp;""),"",INDEX(FO$4:FO$40,MATCH(ROW()-3,FP$4:FP$40,0)))</f>
        <v/>
      </c>
      <c r="FR32">
        <f>FR31+IF(AND(FQ32&lt;&gt;"",COUNTIF(FQ$4:FQ32,FQ32)=1),1,0)</f>
        <v/>
      </c>
      <c r="FS32">
        <f>IF(ROW()-3&gt;MAX(FR$4:FR$40),"",INDEX(FQ$4:FQ$40,MATCH(ROW()-3,FR$4:FR$40,0)))</f>
        <v/>
      </c>
      <c r="FU32">
        <f>IF(FT32="","",COUNTIFS(FT$4:FT$40,"&lt;"&amp;FT32,FT$4:FT$40,"&lt;&gt;"&amp;"")+COUNTIF(FT$4:FT32,FT32))</f>
        <v/>
      </c>
      <c r="FV32">
        <f>IF(ROW()-3&gt;COUNTIF(FT$4:FT$40,"&lt;&gt;"&amp;""),"",INDEX(FT$4:FT$40,MATCH(ROW()-3,FU$4:FU$40,0)))</f>
        <v/>
      </c>
      <c r="FW32">
        <f>FW31+IF(AND(FV32&lt;&gt;"",COUNTIF(FV$4:FV32,FV32)=1),1,0)</f>
        <v/>
      </c>
      <c r="FX32">
        <f>IF(ROW()-3&gt;MAX(FW$4:FW$40),"",INDEX(FV$4:FV$40,MATCH(ROW()-3,FW$4:FW$40,0)))</f>
        <v/>
      </c>
      <c r="FY32">
        <f>IF(COUNTIF('Live Search'!BM$31:BO$31,0)+COUNTIF('Live Search'!BQ$31:CU$31,0)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2">
        <f>IF($Y$32="",FALSE,SUMPRODUCT(('Final Calculation Sheet'!$B$4:$B$40=$Y$32)*($FY$6:$FY$42=1))&gt;0)</f>
        <v/>
      </c>
      <c r="GA32">
        <f>$GA$31+--($FZ$32)</f>
        <v/>
      </c>
      <c r="GB32">
        <f>IF(ROW()-3&gt;MAX($GA$4:$GA$40),"",INDEX($Y$4:$Y$40,MATCH(ROW()-3,$GA$4:$GA$40,0)))</f>
        <v/>
      </c>
      <c r="GC32">
        <f>IF(COUNTIF('Live Search'!BM$31:BM$31,0)+COUNTIF('Live Search'!BO$31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GD32">
        <f>IF($O$32="",FALSE,SUMPRODUCT(('Final Calculation Sheet'!$F$4:$F$40=$O$32)*($GC$6:$GC$42=1))&gt;0)</f>
        <v/>
      </c>
      <c r="GE32">
        <f>$GE$31+--($GD32)</f>
        <v/>
      </c>
      <c r="GF32">
        <f>IF(ROW()-3&gt;MAX($GE$4:$GE$40),"",INDEX($O$4:$O$40,MATCH(ROW()-3,$GE$4:$GE$40,0)))</f>
        <v/>
      </c>
      <c r="GG32">
        <f>IF(COUNTIF('Live Search'!BM$31:BN$31,0)+COUNTIF('Live Search'!BP$31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GH32">
        <f>IF($T$32="",FALSE,SUMPRODUCT(('Final Calculation Sheet'!$G$4:$G$40=$T$32)*($GG$6:$GG$42=1))&gt;0)</f>
        <v/>
      </c>
      <c r="GI32">
        <f>$GI$31+--($GH32)</f>
        <v/>
      </c>
      <c r="GJ32">
        <f>IF(ROW()-3&gt;MAX($GI$4:$GI$40),"",INDEX($T$4:$T$40,MATCH(ROW()-3,$GI$4:$GI$40,0)))</f>
        <v/>
      </c>
      <c r="GK32">
        <f>IF(COUNTIF('Live Search'!BM$31:BP$31,0)+COUNTIF('Live Search'!BR$31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GL32">
        <f>IF($AD$32="",FALSE,SUMPRODUCT(('Final Calculation Sheet'!$D$4:$D$40=$AD$32)*($GK$6:$GK$42=1))&gt;0)</f>
        <v/>
      </c>
      <c r="GM32">
        <f>$GM$31+--($GL32)</f>
        <v/>
      </c>
      <c r="GN32">
        <f>IF(ROW()-3&gt;MAX($GM$4:$GM$40),"",INDEX($AD$4:$AD$40,MATCH(ROW()-3,$GM$4:$GM$40,0)))</f>
        <v/>
      </c>
      <c r="GO32">
        <f>IF(COUNTIF('Live Search'!BM$31:BQ$31,0)+COUNTIF('Live Search'!BS$31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GP32">
        <f>IF($AI$32="",FALSE,SUMPRODUCT(('Final Calculation Sheet'!$A$4:$A$40=$AI$32)*($GO$6:$GO$42=1))&gt;0)</f>
        <v/>
      </c>
      <c r="GQ32">
        <f>$GQ$31+--($GP32)</f>
        <v/>
      </c>
      <c r="GR32">
        <f>IF(ROW()-3&gt;MAX($GQ$4:$GQ$40),"",INDEX($AI$4:$AI$40,MATCH(ROW()-3,$GQ$4:$GQ$40,0)))</f>
        <v/>
      </c>
      <c r="GS32">
        <f>IF(COUNTIF('Live Search'!BM$31:BR$31,0)+COUNTIF('Live Search'!BT$31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GT32">
        <f>IF($AN$32="",FALSE,SUMPRODUCT(('Final Calculation Sheet'!$E$4:$E$40=$AN$32)*($GS$6:$GS$42=1))&gt;0)</f>
        <v/>
      </c>
      <c r="GU32">
        <f>$GU$31+--($GT32)</f>
        <v/>
      </c>
      <c r="GV32">
        <f>IF(ROW()-3&gt;MAX($GU$4:$GU$40),"",INDEX($AN$4:$AN$40,MATCH(ROW()-3,$GU$4:$GU$40,0)))</f>
        <v/>
      </c>
      <c r="GW32">
        <f>IF(COUNTIF('Live Search'!BM$31:BS$31,0)+COUNTIF('Live Search'!BU$31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GX32">
        <f>IF($AS$32="",FALSE,SUMPRODUCT(('Final Calculation Sheet'!$C$4:$C$40=$AS$32)*($GW$6:$GW$42=1))&gt;0)</f>
        <v/>
      </c>
      <c r="GY32">
        <f>$GY$31+--($GX32)</f>
        <v/>
      </c>
      <c r="GZ32">
        <f>IF(ROW()-3&gt;MAX($GY$4:$GY$40),"",INDEX($AS$4:$AS$40,MATCH(ROW()-3,$GY$4:$GY$40,0)))</f>
        <v/>
      </c>
      <c r="HA32">
        <f>IF(COUNTIF('Live Search'!BM$31:BT$31,0)+COUNTIF('Live Search'!BV$31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HB32">
        <f>IF($AX$32="",FALSE,SUMPRODUCT(('Final Calculation Sheet'!$H$4:$H$40=$AX$32)*($HA$6:$HA$42=1))&gt;0)</f>
        <v/>
      </c>
      <c r="HC32">
        <f>$HC$31+--($HB32)</f>
        <v/>
      </c>
      <c r="HD32">
        <f>IF(ROW()-3&gt;MAX($HC$4:$HC$40),"",INDEX($AX$4:$AX$40,MATCH(ROW()-3,$HC$4:$HC$40,0)))</f>
        <v/>
      </c>
      <c r="HE32">
        <f>IF(COUNTIF('Live Search'!BM$31:BU$31,0)+COUNTIF('Live Search'!BW$31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HF32">
        <f>IF($BC$32="",FALSE,SUMPRODUCT(('Final Calculation Sheet'!$I$4:$I$40=$BC$32)*($HE$6:$HE$42=1))&gt;0)</f>
        <v/>
      </c>
      <c r="HG32">
        <f>$HG$31+--($HF32)</f>
        <v/>
      </c>
      <c r="HH32">
        <f>IF(ROW()-3&gt;MAX($HG$4:$HG$40),"",INDEX($BC$4:$BC$40,MATCH(ROW()-3,$HG$4:$HG$40,0)))</f>
        <v/>
      </c>
      <c r="HI32">
        <f>IF(COUNTIF('Live Search'!BM$31:BV$31,0)+COUNTIF('Live Search'!BX$31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HJ32">
        <f>IF($BH$32="",FALSE,SUMPRODUCT(('Final Calculation Sheet'!$J$4:$J$40=$BH$32)*($HI$6:$HI$42=1))&gt;0)</f>
        <v/>
      </c>
      <c r="HK32">
        <f>$HK$31+--($HJ32)</f>
        <v/>
      </c>
      <c r="HL32">
        <f>IF(ROW()-3&gt;MAX($HK$4:$HK$40),"",INDEX($BH$4:$BH$40,MATCH(ROW()-3,$HK$4:$HK$40,0)))</f>
        <v/>
      </c>
      <c r="HM32">
        <f>IF(COUNTIF('Live Search'!BM$31:BW$31,0)+COUNTIF('Live Search'!BY$31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HN32">
        <f>IF($BM$32="",FALSE,SUMPRODUCT(('Final Calculation Sheet'!$K$4:$K$40=$BM$32)*($HM$6:$HM$42=1))&gt;0)</f>
        <v/>
      </c>
      <c r="HO32">
        <f>$HO$31+--($HN32)</f>
        <v/>
      </c>
      <c r="HP32">
        <f>IF(ROW()-3&gt;MAX($HO$4:$HO$40),"",INDEX($BM$4:$BM$40,MATCH(ROW()-3,$HO$4:$HO$40,0)))</f>
        <v/>
      </c>
      <c r="HQ32">
        <f>IF(COUNTIF('Live Search'!BM$31:BX$31,0)+COUNTIF('Live Search'!BZ$31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HR32">
        <f>IF($BR$32="",FALSE,SUMPRODUCT(('Final Calculation Sheet'!$L$4:$L$40=$BR$32)*($HQ$6:$HQ$42=1))&gt;0)</f>
        <v/>
      </c>
      <c r="HS32">
        <f>$HS$31+--($HR32)</f>
        <v/>
      </c>
      <c r="HT32">
        <f>IF(ROW()-3&gt;MAX($HS$4:$HS$40),"",INDEX($BR$4:$BR$40,MATCH(ROW()-3,$HS$4:$HS$40,0)))</f>
        <v/>
      </c>
      <c r="HU32">
        <f>IF(COUNTIF('Live Search'!BM$31:BY$31,0)+COUNTIF('Live Search'!CA$31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HV32">
        <f>IF($BW$32="",FALSE,SUMPRODUCT(('Final Calculation Sheet'!$M$4:$M$40=$BW$32)*($HU$6:$HU$42=1))&gt;0)</f>
        <v/>
      </c>
      <c r="HW32">
        <f>$HW$31+--($HV32)</f>
        <v/>
      </c>
      <c r="HX32">
        <f>IF(ROW()-3&gt;MAX($HW$4:$HW$40),"",INDEX($BW$4:$BW$40,MATCH(ROW()-3,$HW$4:$HW$40,0)))</f>
        <v/>
      </c>
      <c r="HY32">
        <f>IF(COUNTIF('Live Search'!BM$31:BZ$31,0)+COUNTIF('Live Search'!CB$31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HZ32">
        <f>IF($CB$32="",FALSE,SUMPRODUCT(('Final Calculation Sheet'!$N$4:$N$40=$CB$32)*($HY$6:$HY$42=1))&gt;0)</f>
        <v/>
      </c>
      <c r="IA32">
        <f>$IA$31+--($HZ32)</f>
        <v/>
      </c>
      <c r="IB32">
        <f>IF(ROW()-3&gt;MAX($IA$4:$IA$40),"",INDEX($CB$4:$CB$40,MATCH(ROW()-3,$IA$4:$IA$40,0)))</f>
        <v/>
      </c>
      <c r="IC32">
        <f>IF(COUNTIF('Live Search'!BM$31:CA$31,0)+COUNTIF('Live Search'!CC$31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ID32">
        <f>IF($CG$32="",FALSE,SUMPRODUCT(('Final Calculation Sheet'!$O$4:$O$40=$CG$32)*($IC$6:$IC$42=1))&gt;0)</f>
        <v/>
      </c>
      <c r="IE32">
        <f>$IE$31+--($ID32)</f>
        <v/>
      </c>
      <c r="IF32">
        <f>IF(ROW()-3&gt;MAX($IE$4:$IE$40),"",INDEX($CG$4:$CG$40,MATCH(ROW()-3,$IE$4:$IE$40,0)))</f>
        <v/>
      </c>
      <c r="IG32">
        <f>IF(COUNTIF('Live Search'!BM$31:CB$31,0)+COUNTIF('Live Search'!CD$31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IH32">
        <f>IF($CL$32="",FALSE,SUMPRODUCT(('Final Calculation Sheet'!$P$4:$P$40=$CL$32)*($IG$6:$IG$42=1))&gt;0)</f>
        <v/>
      </c>
      <c r="II32">
        <f>$II$31+--($IH32)</f>
        <v/>
      </c>
      <c r="IJ32">
        <f>IF(ROW()-3&gt;MAX($II$4:$II$40),"",INDEX($CL$4:$CL$40,MATCH(ROW()-3,$II$4:$II$40,0)))</f>
        <v/>
      </c>
      <c r="IK32">
        <f>IF(COUNTIF('Live Search'!BM$31:CC$31,0)+COUNTIF('Live Search'!CE$31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IL32">
        <f>IF($CQ$32="",FALSE,SUMPRODUCT(('Final Calculation Sheet'!$Q$4:$Q$40=$CQ$32)*($IK$6:$IK$42=1))&gt;0)</f>
        <v/>
      </c>
      <c r="IM32">
        <f>$IM$31+--($IL32)</f>
        <v/>
      </c>
      <c r="IN32">
        <f>IF(ROW()-3&gt;MAX($IM$4:$IM$40),"",INDEX($CQ$4:$CQ$40,MATCH(ROW()-3,$IM$4:$IM$40,0)))</f>
        <v/>
      </c>
      <c r="IO32">
        <f>IF(COUNTIF('Live Search'!BM$31:CD$31,0)+COUNTIF('Live Search'!CF$31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IP32">
        <f>IF($CV$32="",FALSE,SUMPRODUCT(('Final Calculation Sheet'!$R$4:$R$40=$CV$32)*($IO$6:$IO$42=1))&gt;0)</f>
        <v/>
      </c>
      <c r="IQ32">
        <f>$IQ$31+--($IP32)</f>
        <v/>
      </c>
      <c r="IR32">
        <f>IF(ROW()-3&gt;MAX($IQ$4:$IQ$40),"",INDEX($CV$4:$CV$40,MATCH(ROW()-3,$IQ$4:$IQ$40,0)))</f>
        <v/>
      </c>
      <c r="IS32">
        <f>IF(COUNTIF('Live Search'!BM$31:CE$31,0)+COUNTIF('Live Search'!CG$31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IT32">
        <f>IF($DA$32="",FALSE,SUMPRODUCT(('Final Calculation Sheet'!$S$4:$S$40=$DA$32)*($IS$6:$IS$42=1))&gt;0)</f>
        <v/>
      </c>
      <c r="IU32">
        <f>$IU$31+--($IT32)</f>
        <v/>
      </c>
      <c r="IV32">
        <f>IF(ROW()-3&gt;MAX($IU$4:$IU$40),"",INDEX($DA$4:$DA$40,MATCH(ROW()-3,$IU$4:$IU$40,0)))</f>
        <v/>
      </c>
      <c r="IW32">
        <f>IF(COUNTIF('Live Search'!BM$31:CF$31,0)+COUNTIF('Live Search'!CH$31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IX32">
        <f>IF($DF$32="",FALSE,SUMPRODUCT(('Final Calculation Sheet'!$T$4:$T$40=$DF$32)*($IW$6:$IW$42=1))&gt;0)</f>
        <v/>
      </c>
      <c r="IY32">
        <f>$IY$31+--($IX32)</f>
        <v/>
      </c>
      <c r="IZ32">
        <f>IF(ROW()-3&gt;MAX($IY$4:$IY$40),"",INDEX($DF$4:$DF$40,MATCH(ROW()-3,$IY$4:$IY$40,0)))</f>
        <v/>
      </c>
      <c r="JA32">
        <f>IF(COUNTIF('Live Search'!BM$31:CG$31,0)+COUNTIF('Live Search'!CI$31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JB32">
        <f>IF($DK$32="",FALSE,SUMPRODUCT(('Final Calculation Sheet'!$U$4:$U$40=$DK$32)*($JA$6:$JA$42=1))&gt;0)</f>
        <v/>
      </c>
      <c r="JC32">
        <f>$JC$31+--($JB32)</f>
        <v/>
      </c>
      <c r="JD32">
        <f>IF(ROW()-3&gt;MAX($JC$4:$JC$40),"",INDEX($DK$4:$DK$40,MATCH(ROW()-3,$JC$4:$JC$40,0)))</f>
        <v/>
      </c>
      <c r="JE32">
        <f>IF(COUNTIF('Live Search'!BM$31:CH$31,0)+COUNTIF('Live Search'!CJ$31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JF32">
        <f>IF($DP$32="",FALSE,SUMPRODUCT(('Final Calculation Sheet'!$V$4:$V$40=$DP$32)*($JE$6:$JE$42=1))&gt;0)</f>
        <v/>
      </c>
      <c r="JG32">
        <f>$JG$31+--($JF32)</f>
        <v/>
      </c>
      <c r="JH32">
        <f>IF(ROW()-3&gt;MAX($JG$4:$JG$40),"",INDEX($DP$4:$DP$40,MATCH(ROW()-3,$JG$4:$JG$40,0)))</f>
        <v/>
      </c>
      <c r="JI32">
        <f>IF(COUNTIF('Live Search'!BM$31:CI$31,0)+COUNTIF('Live Search'!CK$31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JJ32">
        <f>IF($DU$32="",FALSE,SUMPRODUCT(('Final Calculation Sheet'!$W$4:$W$40=$DU$32)*($JI$6:$JI$42=1))&gt;0)</f>
        <v/>
      </c>
      <c r="JK32">
        <f>$JK$31+--($JJ32)</f>
        <v/>
      </c>
      <c r="JL32">
        <f>IF(ROW()-3&gt;MAX($JK$4:$JK$40),"",INDEX($DU$4:$DU$40,MATCH(ROW()-3,$JK$4:$JK$40,0)))</f>
        <v/>
      </c>
      <c r="JM32">
        <f>IF(COUNTIF('Live Search'!BM$31:CJ$31,0)+COUNTIF('Live Search'!CL$31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JN32">
        <f>IF($DZ$32="",FALSE,SUMPRODUCT(('Final Calculation Sheet'!$X$4:$X$40=$DZ$32)*($JM$6:$JM$42=1))&gt;0)</f>
        <v/>
      </c>
      <c r="JO32">
        <f>$JO$31+--($JN32)</f>
        <v/>
      </c>
      <c r="JP32">
        <f>IF(ROW()-3&gt;MAX($JO$4:$JO$40),"",INDEX($DZ$4:$DZ$40,MATCH(ROW()-3,$JO$4:$JO$40,0)))</f>
        <v/>
      </c>
      <c r="JQ32">
        <f>IF(COUNTIF('Live Search'!BM$31:CK$31,0)+COUNTIF('Live Search'!CM$31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JR32">
        <f>IF($EE$32="",FALSE,SUMPRODUCT(('Final Calculation Sheet'!$Y$4:$Y$40=$EE$32)*($JQ$6:$JQ$42=1))&gt;0)</f>
        <v/>
      </c>
      <c r="JS32">
        <f>$JS$31+--($JR32)</f>
        <v/>
      </c>
      <c r="JT32">
        <f>IF(ROW()-3&gt;MAX($JS$4:$JS$40),"",INDEX($EE$4:$EE$40,MATCH(ROW()-3,$JS$4:$JS$40,0)))</f>
        <v/>
      </c>
      <c r="JU32">
        <f>IF(COUNTIF('Live Search'!BM$31:CL$31,0)+COUNTIF('Live Search'!CN$31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JV32">
        <f>IF($EJ$32="",FALSE,SUMPRODUCT(('Final Calculation Sheet'!$Z$4:$Z$40=$EJ$32)*($JU$6:$JU$42=1))&gt;0)</f>
        <v/>
      </c>
      <c r="JW32">
        <f>$JW$31+--($JV32)</f>
        <v/>
      </c>
      <c r="JX32">
        <f>IF(ROW()-3&gt;MAX($JW$4:$JW$40),"",INDEX($EJ$4:$EJ$40,MATCH(ROW()-3,$JW$4:$JW$40,0)))</f>
        <v/>
      </c>
      <c r="JY32">
        <f>IF(COUNTIF('Live Search'!BM$31:CM$31,0)+COUNTIF('Live Search'!CO$31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JZ32">
        <f>IF($EO$32="",FALSE,SUMPRODUCT(('Final Calculation Sheet'!$AA$4:$AA$40=$EO$32)*($JY$6:$JY$42=1))&gt;0)</f>
        <v/>
      </c>
      <c r="KA32">
        <f>$KA$31+--($JZ32)</f>
        <v/>
      </c>
      <c r="KB32">
        <f>IF(ROW()-3&gt;MAX($KA$4:$KA$40),"",INDEX($EO$4:$EO$40,MATCH(ROW()-3,$KA$4:$KA$40,0)))</f>
        <v/>
      </c>
      <c r="KC32">
        <f>IF(COUNTIF('Live Search'!BM$31:CN$31,0)+COUNTIF('Live Search'!CP$31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KD32">
        <f>IF($ET$32="",FALSE,SUMPRODUCT(('Final Calculation Sheet'!$AB$4:$AB$40=$ET$32)*($KC$6:$KC$42=1))&gt;0)</f>
        <v/>
      </c>
      <c r="KE32">
        <f>$KE$31+--($KD32)</f>
        <v/>
      </c>
      <c r="KF32">
        <f>IF(ROW()-3&gt;MAX($KE$4:$KE$40),"",INDEX($ET$4:$ET$40,MATCH(ROW()-3,$KE$4:$KE$40,0)))</f>
        <v/>
      </c>
      <c r="KG32">
        <f>IF(COUNTIF('Live Search'!BM$31:CO$31,0)+COUNTIF('Live Search'!CQ$31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KH32">
        <f>IF($EY$32="",FALSE,SUMPRODUCT(('Final Calculation Sheet'!$AC$4:$AC$40=$EY$32)*($KG$6:$KG$42=1))&gt;0)</f>
        <v/>
      </c>
      <c r="KI32">
        <f>$KI$31+--($KH32)</f>
        <v/>
      </c>
      <c r="KJ32">
        <f>IF(ROW()-3&gt;MAX($KI$4:$KI$40),"",INDEX($EY$4:$EY$40,MATCH(ROW()-3,$KI$4:$KI$40,0)))</f>
        <v/>
      </c>
      <c r="KK32">
        <f>IF(COUNTIF('Live Search'!BM$31:CP$31,0)+COUNTIF('Live Search'!CR$31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KL32">
        <f>IF($FD$32="",FALSE,SUMPRODUCT(('Final Calculation Sheet'!$AD$4:$AD$40=$FD$32)*($KK$6:$KK$42=1))&gt;0)</f>
        <v/>
      </c>
      <c r="KM32">
        <f>$KM$31+--($KL32)</f>
        <v/>
      </c>
      <c r="KN32">
        <f>IF(ROW()-3&gt;MAX($KM$4:$KM$40),"",INDEX($FD$4:$FD$40,MATCH(ROW()-3,$KM$4:$KM$40,0)))</f>
        <v/>
      </c>
      <c r="KO32">
        <f>IF(COUNTIF('Live Search'!BM$31:CT$31,0)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KP32">
        <f>IF($FX$32="",FALSE,SUMPRODUCT((IF('Final Calculation Sheet'!$AD$4:$AD$40&lt;=5,"SETTLED","OUTSTANDING")=$FX$32)*($KO$6:$KO$42=1))&gt;0)</f>
        <v/>
      </c>
      <c r="KQ32">
        <f>$KQ$31+--($KP32)</f>
        <v/>
      </c>
      <c r="KR32">
        <f>IF(ROW()-3&gt;MAX($KQ$4:$KQ$40),"",INDEX($FX$4:$FX$40,MATCH(ROW()-3,$KQ$4:$KQ$40,0)))</f>
        <v/>
      </c>
      <c r="KS32">
        <f>IF(COUNTIF('Live Search'!BM$31:CQ$31,0)+COUNTIF('Live Search'!CS$31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KT32">
        <f>IF($FI$32="",FALSE,SUMPRODUCT(('Final Calculation Sheet'!$AF$4:$AF$40=$FI$32)*($KS$6:$KS$42=1))&gt;0)</f>
        <v/>
      </c>
      <c r="KU32">
        <f>$KU$31+--($KT32)</f>
        <v/>
      </c>
      <c r="KV32">
        <f>IF(ROW()-3&gt;MAX($KU$4:$KU$40),"",INDEX($FI$4:$FI$40,MATCH(ROW()-3,$KU$4:$KU$40,0)))</f>
        <v/>
      </c>
      <c r="KW32">
        <f>IF(COUNTIF('Live Search'!BM$31:CR$31,0)+COUNTIF('Live Search'!CT$31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KX32">
        <f>IF($FN$32="",FALSE,SUMPRODUCT(('Final Calculation Sheet'!$AG$4:$AG$40=$FN$32)*($KW$6:$KW$42=1))&gt;0)</f>
        <v/>
      </c>
      <c r="KY32">
        <f>$KY$31+--($KX32)</f>
        <v/>
      </c>
      <c r="KZ32">
        <f>IF(ROW()-3&gt;MAX($KY$4:$KY$40),"",INDEX($FN$4:$FN$40,MATCH(ROW()-3,$KY$4:$KY$40,0)))</f>
        <v/>
      </c>
      <c r="LA32">
        <f>IF(COUNTIF('Live Search'!BM$31:CS$31,0)+COUNTIF('Live Search'!CU$31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LB32">
        <f>IF($FS$32="",FALSE,SUMPRODUCT(('Final Calculation Sheet'!$AH$4:$AH$40=$FS$32)*($LA$6:$LA$42=1))&gt;0)</f>
        <v/>
      </c>
      <c r="LC32">
        <f>$LC$31+--($LB32)</f>
        <v/>
      </c>
      <c r="LD32">
        <f>IF(ROW()-3&gt;MAX($LC$4:$LC$40),"",INDEX($FS$4:$FS$40,MATCH(ROW()-3,$LC$4:$LC$40,0)))</f>
        <v/>
      </c>
      <c r="LE32">
        <f>IF(COUNTIF('Buyer Groups'!DH85:EN85,0)&gt;0,0,1)</f>
        <v/>
      </c>
      <c r="LF32">
        <f>IF($O$32="",FALSE,SUMPRODUCT(('Final Calculation Sheet'!$F$4:$F$40=$O$32)*($LE$6:$LE$42=1))&gt;0)</f>
        <v/>
      </c>
      <c r="LG32">
        <f>$LG$31+--($LF32)</f>
        <v/>
      </c>
      <c r="LH32">
        <f>IF(ROW()-3&gt;MAX($LG$4:$LG$40),"",INDEX($O$4:$O$40,MATCH(ROW()-3,$LG$4:$LG$40,0)))</f>
        <v/>
      </c>
      <c r="LI32">
        <f>IF(COUNTIF('Buyer Groups'!DG85:DG85,0)+COUNTIF('Buyer Groups'!DI85:EN85,0)&gt;0,0,1)</f>
        <v/>
      </c>
      <c r="LJ32">
        <f>IF($T$32="",FALSE,SUMPRODUCT(('Final Calculation Sheet'!$G$4:$G$40=$T$32)*($LI$6:$LI$42=1))&gt;0)</f>
        <v/>
      </c>
      <c r="LK32">
        <f>$LK$31+--($LJ32)</f>
        <v/>
      </c>
      <c r="LL32">
        <f>IF(ROW()-3&gt;MAX($LK$4:$LK$40),"",INDEX($T$4:$T$40,MATCH(ROW()-3,$LK$4:$LK$40,0)))</f>
        <v/>
      </c>
      <c r="LM32">
        <f>IF(COUNTIF('Buyer Groups'!DG85:DH85,0)+COUNTIF('Buyer Groups'!DJ85:EN85,0)&gt;0,0,1)</f>
        <v/>
      </c>
      <c r="LN32">
        <f>IF($Y$32="",FALSE,SUMPRODUCT(('Final Calculation Sheet'!$B$4:$B$40=$Y$32)*($LM$6:$LM$42=1))&gt;0)</f>
        <v/>
      </c>
      <c r="LO32">
        <f>$LO$31+--($LN32)</f>
        <v/>
      </c>
      <c r="LP32">
        <f>IF(ROW()-3&gt;MAX($LO$4:$LO$40),"",INDEX($Y$4:$Y$40,MATCH(ROW()-3,$LO$4:$LO$40,0)))</f>
        <v/>
      </c>
      <c r="LQ32">
        <f>IF(COUNTIF('Buyer Groups'!DG85:DI85,0)+COUNTIF('Buyer Groups'!DK85:EN85,0)&gt;0,0,1)</f>
        <v/>
      </c>
      <c r="LR32">
        <f>IF($AD$32="",FALSE,SUMPRODUCT(('Final Calculation Sheet'!$D$4:$D$40=$AD$32)*($LQ$6:$LQ$42=1))&gt;0)</f>
        <v/>
      </c>
      <c r="LS32">
        <f>$LS$31+--($LR32)</f>
        <v/>
      </c>
      <c r="LT32">
        <f>IF(ROW()-3&gt;MAX($LS$4:$LS$40),"",INDEX($AD$4:$AD$40,MATCH(ROW()-3,$LS$4:$LS$40,0)))</f>
        <v/>
      </c>
      <c r="LU32">
        <f>IF(COUNTIF('Buyer Groups'!DG85:DJ85,0)+COUNTIF('Buyer Groups'!DL85:EN85,0)&gt;0,0,1)</f>
        <v/>
      </c>
      <c r="LV32">
        <f>IF($AI$32="",FALSE,SUMPRODUCT(('Final Calculation Sheet'!$A$4:$A$40=$AI$32)*($LU$6:$LU$42=1))&gt;0)</f>
        <v/>
      </c>
      <c r="LW32">
        <f>$LW$31+--($LV32)</f>
        <v/>
      </c>
      <c r="LX32">
        <f>IF(ROW()-3&gt;MAX($LW$4:$LW$40),"",INDEX($AI$4:$AI$40,MATCH(ROW()-3,$LW$4:$LW$40,0)))</f>
        <v/>
      </c>
      <c r="LY32">
        <f>IF(COUNTIF('Buyer Groups'!DG85:DK85,0)+COUNTIF('Buyer Groups'!DM85:EN85,0)&gt;0,0,1)</f>
        <v/>
      </c>
      <c r="LZ32">
        <f>IF($AN$32="",FALSE,SUMPRODUCT(('Final Calculation Sheet'!$E$4:$E$40=$AN$32)*($LY$6:$LY$42=1))&gt;0)</f>
        <v/>
      </c>
      <c r="MA32">
        <f>$MA$31+--($LZ32)</f>
        <v/>
      </c>
      <c r="MB32">
        <f>IF(ROW()-3&gt;MAX($MA$4:$MA$40),"",INDEX($AN$4:$AN$40,MATCH(ROW()-3,$MA$4:$MA$40,0)))</f>
        <v/>
      </c>
      <c r="MC32">
        <f>IF(COUNTIF('Buyer Groups'!DG85:DL85,0)+COUNTIF('Buyer Groups'!DN85:EN85,0)&gt;0,0,1)</f>
        <v/>
      </c>
      <c r="MD32">
        <f>IF($AS$32="",FALSE,SUMPRODUCT(('Final Calculation Sheet'!$C$4:$C$40=$AS$32)*($MC$6:$MC$42=1))&gt;0)</f>
        <v/>
      </c>
      <c r="ME32">
        <f>$ME$31+--($MD32)</f>
        <v/>
      </c>
      <c r="MF32">
        <f>IF(ROW()-3&gt;MAX($ME$4:$ME$40),"",INDEX($AS$4:$AS$40,MATCH(ROW()-3,$ME$4:$ME$40,0)))</f>
        <v/>
      </c>
      <c r="MG32">
        <f>IF(COUNTIF('Buyer Groups'!DG85:DM85,0)+COUNTIF('Buyer Groups'!DO85:EN85,0)&gt;0,0,1)</f>
        <v/>
      </c>
      <c r="MH32">
        <f>IF($AX$32="",FALSE,SUMPRODUCT(('Final Calculation Sheet'!$H$4:$H$40=$AX$32)*($MG$6:$MG$42=1))&gt;0)</f>
        <v/>
      </c>
      <c r="MI32">
        <f>$MI$31+--($MH32)</f>
        <v/>
      </c>
      <c r="MJ32">
        <f>IF(ROW()-3&gt;MAX($MI$4:$MI$40),"",INDEX($AX$4:$AX$40,MATCH(ROW()-3,$MI$4:$MI$40,0)))</f>
        <v/>
      </c>
      <c r="MK32">
        <f>IF(COUNTIF('Buyer Groups'!DG85:DN85,0)+COUNTIF('Buyer Groups'!DP85:EN85,0)&gt;0,0,1)</f>
        <v/>
      </c>
      <c r="ML32">
        <f>IF($BC$32="",FALSE,SUMPRODUCT(('Final Calculation Sheet'!$I$4:$I$40=$BC$32)*($MK$6:$MK$42=1))&gt;0)</f>
        <v/>
      </c>
      <c r="MM32">
        <f>$MM$31+--($ML32)</f>
        <v/>
      </c>
      <c r="MN32">
        <f>IF(ROW()-3&gt;MAX($MM$4:$MM$40),"",INDEX($BC$4:$BC$40,MATCH(ROW()-3,$MM$4:$MM$40,0)))</f>
        <v/>
      </c>
      <c r="MO32">
        <f>IF(COUNTIF('Buyer Groups'!DG85:DO85,0)+COUNTIF('Buyer Groups'!DQ85:EN85,0)&gt;0,0,1)</f>
        <v/>
      </c>
      <c r="MP32">
        <f>IF($BH$32="",FALSE,SUMPRODUCT(('Final Calculation Sheet'!$J$4:$J$40=$BH$32)*($MO$6:$MO$42=1))&gt;0)</f>
        <v/>
      </c>
      <c r="MQ32">
        <f>$MQ$31+--($MP32)</f>
        <v/>
      </c>
      <c r="MR32">
        <f>IF(ROW()-3&gt;MAX($MQ$4:$MQ$40),"",INDEX($BH$4:$BH$40,MATCH(ROW()-3,$MQ$4:$MQ$40,0)))</f>
        <v/>
      </c>
      <c r="MS32">
        <f>IF(COUNTIF('Buyer Groups'!DG85:DP85,0)+COUNTIF('Buyer Groups'!DR85:EN85,0)&gt;0,0,1)</f>
        <v/>
      </c>
      <c r="MT32">
        <f>IF($BM$32="",FALSE,SUMPRODUCT(('Final Calculation Sheet'!$K$4:$K$40=$BM$32)*($MS$6:$MS$42=1))&gt;0)</f>
        <v/>
      </c>
      <c r="MU32">
        <f>$MU$31+--($MT32)</f>
        <v/>
      </c>
      <c r="MV32">
        <f>IF(ROW()-3&gt;MAX($MU$4:$MU$40),"",INDEX($BM$4:$BM$40,MATCH(ROW()-3,$MU$4:$MU$40,0)))</f>
        <v/>
      </c>
      <c r="MW32">
        <f>IF(COUNTIF('Buyer Groups'!DG85:DQ85,0)+COUNTIF('Buyer Groups'!DS85:EN85,0)&gt;0,0,1)</f>
        <v/>
      </c>
      <c r="MX32">
        <f>IF($BR$32="",FALSE,SUMPRODUCT(('Final Calculation Sheet'!$L$4:$L$40=$BR$32)*($MW$6:$MW$42=1))&gt;0)</f>
        <v/>
      </c>
      <c r="MY32">
        <f>$MY$31+--($MX32)</f>
        <v/>
      </c>
      <c r="MZ32">
        <f>IF(ROW()-3&gt;MAX($MY$4:$MY$40),"",INDEX($BR$4:$BR$40,MATCH(ROW()-3,$MY$4:$MY$40,0)))</f>
        <v/>
      </c>
      <c r="NA32">
        <f>IF(COUNTIF('Buyer Groups'!DG85:DR85,0)+COUNTIF('Buyer Groups'!DT85:EN85,0)&gt;0,0,1)</f>
        <v/>
      </c>
      <c r="NB32">
        <f>IF($BW$32="",FALSE,SUMPRODUCT(('Final Calculation Sheet'!$M$4:$M$40=$BW$32)*($NA$6:$NA$42=1))&gt;0)</f>
        <v/>
      </c>
      <c r="NC32">
        <f>$NC$31+--($NB32)</f>
        <v/>
      </c>
      <c r="ND32">
        <f>IF(ROW()-3&gt;MAX($NC$4:$NC$40),"",INDEX($BW$4:$BW$40,MATCH(ROW()-3,$NC$4:$NC$40,0)))</f>
        <v/>
      </c>
      <c r="NE32">
        <f>IF(COUNTIF('Buyer Groups'!DG85:DS85,0)+COUNTIF('Buyer Groups'!DU85:EN85,0)&gt;0,0,1)</f>
        <v/>
      </c>
      <c r="NF32">
        <f>IF($CB$32="",FALSE,SUMPRODUCT(('Final Calculation Sheet'!$N$4:$N$40=$CB$32)*($NE$6:$NE$42=1))&gt;0)</f>
        <v/>
      </c>
      <c r="NG32">
        <f>$NG$31+--($NF32)</f>
        <v/>
      </c>
      <c r="NH32">
        <f>IF(ROW()-3&gt;MAX($NG$4:$NG$40),"",INDEX($CB$4:$CB$40,MATCH(ROW()-3,$NG$4:$NG$40,0)))</f>
        <v/>
      </c>
      <c r="NI32">
        <f>IF(COUNTIF('Buyer Groups'!DG85:DT85,0)+COUNTIF('Buyer Groups'!DV85:EN85,0)&gt;0,0,1)</f>
        <v/>
      </c>
      <c r="NJ32">
        <f>IF($CG$32="",FALSE,SUMPRODUCT(('Final Calculation Sheet'!$O$4:$O$40=$CG$32)*($NI$6:$NI$42=1))&gt;0)</f>
        <v/>
      </c>
      <c r="NK32">
        <f>$NK$31+--($NJ32)</f>
        <v/>
      </c>
      <c r="NL32">
        <f>IF(ROW()-3&gt;MAX($NK$4:$NK$40),"",INDEX($CG$4:$CG$40,MATCH(ROW()-3,$NK$4:$NK$40,0)))</f>
        <v/>
      </c>
      <c r="NM32">
        <f>IF(COUNTIF('Buyer Groups'!DG85:DU85,0)+COUNTIF('Buyer Groups'!DW85:EN85,0)&gt;0,0,1)</f>
        <v/>
      </c>
      <c r="NN32">
        <f>IF($CL$32="",FALSE,SUMPRODUCT(('Final Calculation Sheet'!$P$4:$P$40=$CL$32)*($NM$6:$NM$42=1))&gt;0)</f>
        <v/>
      </c>
      <c r="NO32">
        <f>$NO$31+--($NN32)</f>
        <v/>
      </c>
      <c r="NP32">
        <f>IF(ROW()-3&gt;MAX($NO$4:$NO$40),"",INDEX($CL$4:$CL$40,MATCH(ROW()-3,$NO$4:$NO$40,0)))</f>
        <v/>
      </c>
      <c r="NQ32">
        <f>IF(COUNTIF('Buyer Groups'!DG85:DV85,0)+COUNTIF('Buyer Groups'!DX85:EN85,0)&gt;0,0,1)</f>
        <v/>
      </c>
      <c r="NR32">
        <f>IF($CQ$32="",FALSE,SUMPRODUCT(('Final Calculation Sheet'!$Q$4:$Q$40=$CQ$32)*($NQ$6:$NQ$42=1))&gt;0)</f>
        <v/>
      </c>
      <c r="NS32">
        <f>$NS$31+--($NR32)</f>
        <v/>
      </c>
      <c r="NT32">
        <f>IF(ROW()-3&gt;MAX($NS$4:$NS$40),"",INDEX($CQ$4:$CQ$40,MATCH(ROW()-3,$NS$4:$NS$40,0)))</f>
        <v/>
      </c>
      <c r="NU32">
        <f>IF(COUNTIF('Buyer Groups'!DG85:DW85,0)+COUNTIF('Buyer Groups'!DY85:EN85,0)&gt;0,0,1)</f>
        <v/>
      </c>
      <c r="NV32">
        <f>IF($CV$32="",FALSE,SUMPRODUCT(('Final Calculation Sheet'!$R$4:$R$40=$CV$32)*($NU$6:$NU$42=1))&gt;0)</f>
        <v/>
      </c>
      <c r="NW32">
        <f>$NW$31+--($NV32)</f>
        <v/>
      </c>
      <c r="NX32">
        <f>IF(ROW()-3&gt;MAX($NW$4:$NW$40),"",INDEX($CV$4:$CV$40,MATCH(ROW()-3,$NW$4:$NW$40,0)))</f>
        <v/>
      </c>
      <c r="NY32">
        <f>IF(COUNTIF('Buyer Groups'!DG85:DX85,0)+COUNTIF('Buyer Groups'!DZ85:EN85,0)&gt;0,0,1)</f>
        <v/>
      </c>
      <c r="NZ32">
        <f>IF($DA$32="",FALSE,SUMPRODUCT(('Final Calculation Sheet'!$S$4:$S$40=$DA$32)*($NY$6:$NY$42=1))&gt;0)</f>
        <v/>
      </c>
      <c r="OA32">
        <f>$OA$31+--($NZ32)</f>
        <v/>
      </c>
      <c r="OB32">
        <f>IF(ROW()-3&gt;MAX($OA$4:$OA$40),"",INDEX($DA$4:$DA$40,MATCH(ROW()-3,$OA$4:$OA$40,0)))</f>
        <v/>
      </c>
      <c r="OC32">
        <f>IF(COUNTIF('Buyer Groups'!DG85:DY85,0)+COUNTIF('Buyer Groups'!EA85:EN85,0)&gt;0,0,1)</f>
        <v/>
      </c>
      <c r="OD32">
        <f>IF($DF$32="",FALSE,SUMPRODUCT(('Final Calculation Sheet'!$T$4:$T$40=$DF$32)*($OC$6:$OC$42=1))&gt;0)</f>
        <v/>
      </c>
      <c r="OE32">
        <f>$OE$31+--($OD32)</f>
        <v/>
      </c>
      <c r="OF32">
        <f>IF(ROW()-3&gt;MAX($OE$4:$OE$40),"",INDEX($DF$4:$DF$40,MATCH(ROW()-3,$OE$4:$OE$40,0)))</f>
        <v/>
      </c>
      <c r="OG32">
        <f>IF(COUNTIF('Buyer Groups'!DG85:DZ85,0)+COUNTIF('Buyer Groups'!EB85:EN85,0)&gt;0,0,1)</f>
        <v/>
      </c>
      <c r="OH32">
        <f>IF($DK$32="",FALSE,SUMPRODUCT(('Final Calculation Sheet'!$U$4:$U$40=$DK$32)*($OG$6:$OG$42=1))&gt;0)</f>
        <v/>
      </c>
      <c r="OI32">
        <f>$OI$31+--($OH32)</f>
        <v/>
      </c>
      <c r="OJ32">
        <f>IF(ROW()-3&gt;MAX($OI$4:$OI$40),"",INDEX($DK$4:$DK$40,MATCH(ROW()-3,$OI$4:$OI$40,0)))</f>
        <v/>
      </c>
      <c r="OK32">
        <f>IF(COUNTIF('Buyer Groups'!DG85:EA85,0)+COUNTIF('Buyer Groups'!EC85:EN85,0)&gt;0,0,1)</f>
        <v/>
      </c>
      <c r="OL32">
        <f>IF($DP$32="",FALSE,SUMPRODUCT(('Final Calculation Sheet'!$V$4:$V$40=$DP$32)*($OK$6:$OK$42=1))&gt;0)</f>
        <v/>
      </c>
      <c r="OM32">
        <f>$OM$31+--($OL32)</f>
        <v/>
      </c>
      <c r="ON32">
        <f>IF(ROW()-3&gt;MAX($OM$4:$OM$40),"",INDEX($DP$4:$DP$40,MATCH(ROW()-3,$OM$4:$OM$40,0)))</f>
        <v/>
      </c>
      <c r="OO32">
        <f>IF(COUNTIF('Buyer Groups'!DG85:EB85,0)+COUNTIF('Buyer Groups'!ED85:EN85,0)&gt;0,0,1)</f>
        <v/>
      </c>
      <c r="OP32">
        <f>IF($DU$32="",FALSE,SUMPRODUCT(('Final Calculation Sheet'!$W$4:$W$40=$DU$32)*($OO$6:$OO$42=1))&gt;0)</f>
        <v/>
      </c>
      <c r="OQ32">
        <f>$OQ$31+--($OP32)</f>
        <v/>
      </c>
      <c r="OR32">
        <f>IF(ROW()-3&gt;MAX($OQ$4:$OQ$40),"",INDEX($DU$4:$DU$40,MATCH(ROW()-3,$OQ$4:$OQ$40,0)))</f>
        <v/>
      </c>
      <c r="OS32">
        <f>IF(COUNTIF('Buyer Groups'!DG85:EC85,0)+COUNTIF('Buyer Groups'!EE85:EN85,0)&gt;0,0,1)</f>
        <v/>
      </c>
      <c r="OT32">
        <f>IF($DZ$32="",FALSE,SUMPRODUCT(('Final Calculation Sheet'!$X$4:$X$40=$DZ$32)*($OS$6:$OS$42=1))&gt;0)</f>
        <v/>
      </c>
      <c r="OU32">
        <f>$OU$31+--($OT32)</f>
        <v/>
      </c>
      <c r="OV32">
        <f>IF(ROW()-3&gt;MAX($OU$4:$OU$40),"",INDEX($DZ$4:$DZ$40,MATCH(ROW()-3,$OU$4:$OU$40,0)))</f>
        <v/>
      </c>
      <c r="OW32">
        <f>IF(COUNTIF('Buyer Groups'!DG85:ED85,0)+COUNTIF('Buyer Groups'!EF85:EN85,0)&gt;0,0,1)</f>
        <v/>
      </c>
      <c r="OX32">
        <f>IF($EE$32="",FALSE,SUMPRODUCT(('Final Calculation Sheet'!$Y$4:$Y$40=$EE$32)*($OW$6:$OW$42=1))&gt;0)</f>
        <v/>
      </c>
      <c r="OY32">
        <f>$OY$31+--($OX32)</f>
        <v/>
      </c>
      <c r="OZ32">
        <f>IF(ROW()-3&gt;MAX($OY$4:$OY$40),"",INDEX($EE$4:$EE$40,MATCH(ROW()-3,$OY$4:$OY$40,0)))</f>
        <v/>
      </c>
      <c r="PA32">
        <f>IF(COUNTIF('Buyer Groups'!DG85:EE85,0)+COUNTIF('Buyer Groups'!EG85:EN85,0)&gt;0,0,1)</f>
        <v/>
      </c>
      <c r="PB32">
        <f>IF($EJ$32="",FALSE,SUMPRODUCT(('Final Calculation Sheet'!$Z$4:$Z$40=$EJ$32)*($PA$6:$PA$42=1))&gt;0)</f>
        <v/>
      </c>
      <c r="PC32">
        <f>$PC$31+--($PB32)</f>
        <v/>
      </c>
      <c r="PD32">
        <f>IF(ROW()-3&gt;MAX($PC$4:$PC$40),"",INDEX($EJ$4:$EJ$40,MATCH(ROW()-3,$PC$4:$PC$40,0)))</f>
        <v/>
      </c>
      <c r="PE32">
        <f>IF(COUNTIF('Buyer Groups'!DG85:EF85,0)+COUNTIF('Buyer Groups'!EH85:EN85,0)&gt;0,0,1)</f>
        <v/>
      </c>
      <c r="PF32">
        <f>IF($EO$32="",FALSE,SUMPRODUCT(('Final Calculation Sheet'!$AA$4:$AA$40=$EO$32)*($PE$6:$PE$42=1))&gt;0)</f>
        <v/>
      </c>
      <c r="PG32">
        <f>$PG$31+--($PF32)</f>
        <v/>
      </c>
      <c r="PH32">
        <f>IF(ROW()-3&gt;MAX($PG$4:$PG$40),"",INDEX($EO$4:$EO$40,MATCH(ROW()-3,$PG$4:$PG$40,0)))</f>
        <v/>
      </c>
      <c r="PI32">
        <f>IF(COUNTIF('Buyer Groups'!DG85:EG85,0)+COUNTIF('Buyer Groups'!EI85:EN85,0)&gt;0,0,1)</f>
        <v/>
      </c>
      <c r="PJ32">
        <f>IF($ET$32="",FALSE,SUMPRODUCT(('Final Calculation Sheet'!$AB$4:$AB$40=$ET$32)*($PI$6:$PI$42=1))&gt;0)</f>
        <v/>
      </c>
      <c r="PK32">
        <f>$PK$31+--($PJ32)</f>
        <v/>
      </c>
      <c r="PL32">
        <f>IF(ROW()-3&gt;MAX($PK$4:$PK$40),"",INDEX($ET$4:$ET$40,MATCH(ROW()-3,$PK$4:$PK$40,0)))</f>
        <v/>
      </c>
      <c r="PM32">
        <f>IF(COUNTIF('Buyer Groups'!DG85:EH85,0)+COUNTIF('Buyer Groups'!EJ85:EN85,0)&gt;0,0,1)</f>
        <v/>
      </c>
      <c r="PN32">
        <f>IF($EY$32="",FALSE,SUMPRODUCT(('Final Calculation Sheet'!$AC$4:$AC$40=$EY$32)*($PM$6:$PM$42=1))&gt;0)</f>
        <v/>
      </c>
      <c r="PO32">
        <f>$PO$31+--($PN32)</f>
        <v/>
      </c>
      <c r="PP32">
        <f>IF(ROW()-3&gt;MAX($PO$4:$PO$40),"",INDEX($EY$4:$EY$40,MATCH(ROW()-3,$PO$4:$PO$40,0)))</f>
        <v/>
      </c>
      <c r="PQ32">
        <f>IF(COUNTIF('Buyer Groups'!DG85:EI85,0)+COUNTIF('Buyer Groups'!EK85:EN85,0)&gt;0,0,1)</f>
        <v/>
      </c>
      <c r="PR32">
        <f>IF($FD$32="",FALSE,SUMPRODUCT(('Final Calculation Sheet'!$AD$4:$AD$40=$FD$32)*($PQ$6:$PQ$42=1))&gt;0)</f>
        <v/>
      </c>
      <c r="PS32">
        <f>$PS$31+--($PR32)</f>
        <v/>
      </c>
      <c r="PT32">
        <f>IF(ROW()-3&gt;MAX($PS$4:$PS$40),"",INDEX($FD$4:$FD$40,MATCH(ROW()-3,$PS$4:$PS$40,0)))</f>
        <v/>
      </c>
      <c r="PU32">
        <f>IF(COUNTIF('Buyer Groups'!DG85:EJ85,0)+COUNTIF('Buyer Groups'!EL85:EN85,0)&gt;0,0,1)</f>
        <v/>
      </c>
      <c r="PV32">
        <f>IF($FX$32="",FALSE,SUMPRODUCT((IF('Final Calculation Sheet'!$AD$4:$AD$40&lt;=5,"SETTLED","OUTSTANDING")=$FX$32)*($PU$6:$PU$42=1))&gt;0)</f>
        <v/>
      </c>
      <c r="PW32">
        <f>$PW$31+--($PV32)</f>
        <v/>
      </c>
      <c r="PX32">
        <f>IF(ROW()-3&gt;MAX($PW$4:$PW$40),"",INDEX($FX$4:$FX$40,MATCH(ROW()-3,$PW$4:$PW$40,0)))</f>
        <v/>
      </c>
      <c r="PY32">
        <f>IF(COUNTIF('Buyer Groups'!DG85:EK85,0)+COUNTIF('Buyer Groups'!EM85:EN85,0)&gt;0,0,1)</f>
        <v/>
      </c>
      <c r="PZ32">
        <f>IF($FI$32="",FALSE,SUMPRODUCT(('Final Calculation Sheet'!$AF$4:$AF$40=$FI$32)*($PY$6:$PY$42=1))&gt;0)</f>
        <v/>
      </c>
      <c r="QA32">
        <f>$QA$31+--($PZ32)</f>
        <v/>
      </c>
      <c r="QB32">
        <f>IF(ROW()-3&gt;MAX($QA$4:$QA$40),"",INDEX($FI$4:$FI$40,MATCH(ROW()-3,$QA$4:$QA$40,0)))</f>
        <v/>
      </c>
      <c r="QC32">
        <f>IF(COUNTIF('Buyer Groups'!DG85:EL85,0)+COUNTIF('Buyer Groups'!EN85:EN85,0)&gt;0,0,1)</f>
        <v/>
      </c>
      <c r="QD32">
        <f>IF($FN$32="",FALSE,SUMPRODUCT(('Final Calculation Sheet'!$AG$4:$AG$40=$FN$32)*($QC$6:$QC$42=1))&gt;0)</f>
        <v/>
      </c>
      <c r="QE32">
        <f>$QE$31+--($QD32)</f>
        <v/>
      </c>
      <c r="QF32">
        <f>IF(ROW()-3&gt;MAX($QE$4:$QE$40),"",INDEX($FN$4:$FN$40,MATCH(ROW()-3,$QE$4:$QE$40,0)))</f>
        <v/>
      </c>
      <c r="QG32">
        <f>IF(COUNTIF('Buyer Groups'!DG85:EM85,0)&gt;0,0,1)</f>
        <v/>
      </c>
      <c r="QH32">
        <f>IF($FS$32="",FALSE,SUMPRODUCT(('Final Calculation Sheet'!$AH$4:$AH$40=$FS$32)*($QG$6:$QG$42=1))&gt;0)</f>
        <v/>
      </c>
      <c r="QI32">
        <f>$QI$31+--($QH32)</f>
        <v/>
      </c>
      <c r="QJ32">
        <f>IF(ROW()-3&gt;MAX($QI$4:$QI$40),"",INDEX($FS$4:$FS$40,MATCH(ROW()-3,$QI$4:$QI$40,0)))</f>
        <v/>
      </c>
      <c r="QK32" t="str">
        <f>IF('Final Calculation Sheet'!$AH$32="","",'Final Calculation Sheet'!$AH$32)</f>
      </c>
      <c r="QL32" t="str">
        <f>IF(QK32="","",COUNTIFS(QK$4:QK$40,"&lt;"&amp;QK32,QK$4:QK$40,"&lt;&gt;"&amp;"")+COUNTIF(QK$4:QK32,QK32))</f>
      </c>
      <c r="QM32" t="str">
        <f>IF(ROW()-3&gt;COUNTIF(QK$4:QK$40,"&lt;&gt;"&amp;""),"",INDEX(QK$4:QK$40,MATCH(ROW()-3,QL$4:QL$40,0)))</f>
      </c>
      <c r="QN32" t="str">
        <f>=QN31+F(AND(QM32&lt;&gt;"",COUNTIF(QM$4:QM32,QM32)=1),1,0)</f>
      </c>
      <c r="QO32" t="str">
        <f>IF(ROW()-3&gt;MAX(QN$4:QN$40),"",INDEX(QM$4:QM$40,MATCH(ROW()-3,QN$4:QN$40,0)))</f>
      </c>
      <c r="QP32" t="str">
        <f>IF(COUNTIF('Final Calculation Sheet'!$AM32:$BS32,0)&gt;0,0,1)</f>
      </c>
      <c r="QQ32" t="str">
        <f>IF($AI$32="",FALSE,SUMPRODUCT(('Final Calculation Sheet'!$A$4:$A$40=$AI$32)*($QP$4:$QP$40=1))&gt;0)</f>
      </c>
      <c r="QR32" t="str">
        <f>=$QR31+--($QQ32)</f>
      </c>
      <c r="QS32" t="str">
        <f>IF(ROW()-3&gt;MAX($QR$4:$QR$40),"",INDEX($AI$4:$AI$40,MATCH(ROW()-3,$QR$4:$QR$40,0)))</f>
      </c>
      <c r="QT32" t="str">
        <f>IF(COUNTIF('Final Calculation Sheet'!$AL32:$AL32,0)+COUNTIF('Final Calculation Sheet'!$AN32:$BS32,0)&gt;0,0,1)</f>
      </c>
      <c r="QU32" t="str">
        <f>IF($Y$32="",FALSE,SUMPRODUCT(('Final Calculation Sheet'!$B$4:$B$40=$Y$32)*($QT$4:$QT$40=1))&gt;0)</f>
      </c>
      <c r="QV32" t="str">
        <f>=$QV31+--($QU32)</f>
      </c>
      <c r="QW32" t="str">
        <f>IF(ROW()-3&gt;MAX($QV$4:$QV$40),"",INDEX($Y$4:$Y$40,MATCH(ROW()-3,$QV$4:$QV$40,0)))</f>
      </c>
      <c r="QX32" t="str">
        <f>IF(COUNTIF('Final Calculation Sheet'!$AL32:$AM32,0)+COUNTIF('Final Calculation Sheet'!$AO32:$BS32,0)&gt;0,0,1)</f>
      </c>
      <c r="QY32" t="str">
        <f>IF($AS$32="",FALSE,SUMPRODUCT(('Final Calculation Sheet'!$C$4:$C$40=$AS$32)*($QX$4:$QX$40=1))&gt;0)</f>
      </c>
      <c r="QZ32" t="str">
        <f>=$QZ31+--($QY32)</f>
      </c>
      <c r="RA32" t="str">
        <f>IF(ROW()-3&gt;MAX($QZ$4:$QZ$40),"",INDEX($AS$4:$AS$40,MATCH(ROW()-3,$QZ$4:$QZ$40,0)))</f>
      </c>
      <c r="RB32" t="str">
        <f>IF(COUNTIF('Final Calculation Sheet'!$AL32:$AN32,0)+COUNTIF('Final Calculation Sheet'!$AP32:$BS32,0)&gt;0,0,1)</f>
      </c>
      <c r="RC32" t="str">
        <f>IF($AD$32="",FALSE,SUMPRODUCT(('Final Calculation Sheet'!$D$4:$D$40=$AD$32)*($RB$4:$RB$40=1))&gt;0)</f>
      </c>
      <c r="RD32" t="str">
        <f>=$RD31+--($RC32)</f>
      </c>
      <c r="RE32" t="str">
        <f>IF(ROW()-3&gt;MAX($RD$4:$RD$40),"",INDEX($AD$4:$AD$40,MATCH(ROW()-3,$RD$4:$RD$40,0)))</f>
      </c>
      <c r="RF32" t="str">
        <f>IF(COUNTIF('Final Calculation Sheet'!$AL32:$AO32,0)+COUNTIF('Final Calculation Sheet'!$AQ32:$BS32,0)&gt;0,0,1)</f>
      </c>
      <c r="RG32" t="str">
        <f>IF($AN$32="",FALSE,SUMPRODUCT(('Final Calculation Sheet'!$E$4:$E$40=$AN$32)*($RF$4:$RF$40=1))&gt;0)</f>
      </c>
      <c r="RH32" t="str">
        <f>=$RH31+--($RG32)</f>
      </c>
      <c r="RI32" t="str">
        <f>IF(ROW()-3&gt;MAX($RH$4:$RH$40),"",INDEX($AN$4:$AN$40,MATCH(ROW()-3,$RH$4:$RH$40,0)))</f>
      </c>
      <c r="RJ32" t="str">
        <f>IF(COUNTIF('Final Calculation Sheet'!$AL32:$AP32,0)+COUNTIF('Final Calculation Sheet'!$AR32:$BS32,0)&gt;0,0,1)</f>
      </c>
      <c r="RK32" t="str">
        <f>IF($O$32="",FALSE,SUMPRODUCT(('Final Calculation Sheet'!$F$4:$F$40=$O$32)*($RJ$4:$RJ$40=1))&gt;0)</f>
      </c>
      <c r="RL32" t="str">
        <f>=$RL31+--($RK32)</f>
      </c>
      <c r="RM32" t="str">
        <f>IF(ROW()-3&gt;MAX($RL$4:$RL$40),"",INDEX($O$4:$O$40,MATCH(ROW()-3,$RL$4:$RL$40,0)))</f>
      </c>
      <c r="RN32" t="str">
        <f>IF(COUNTIF('Final Calculation Sheet'!$AL32:$AQ32,0)+COUNTIF('Final Calculation Sheet'!$AS32:$BS32,0)&gt;0,0,1)</f>
      </c>
      <c r="RO32" t="str">
        <f>IF($T$32="",FALSE,SUMPRODUCT(('Final Calculation Sheet'!$G$4:$G$40=$T$32)*($RN$4:$RN$40=1))&gt;0)</f>
      </c>
      <c r="RP32" t="str">
        <f>=$RP31+--($RO32)</f>
      </c>
      <c r="RQ32" t="str">
        <f>IF(ROW()-3&gt;MAX($RP$4:$RP$40),"",INDEX($T$4:$T$40,MATCH(ROW()-3,$RP$4:$RP$40,0)))</f>
      </c>
      <c r="RR32" t="str">
        <f>IF(COUNTIF('Final Calculation Sheet'!$AL32:$AR32,0)+COUNTIF('Final Calculation Sheet'!$AT32:$BS32,0)&gt;0,0,1)</f>
      </c>
      <c r="RS32" t="str">
        <f>IF($AX$32="",FALSE,SUMPRODUCT(('Final Calculation Sheet'!$H$4:$H$40=$AX$32)*($RR$4:$RR$40=1))&gt;0)</f>
      </c>
      <c r="RT32" t="str">
        <f>=$RT31+--($RS32)</f>
      </c>
      <c r="RU32" t="str">
        <f>IF(ROW()-3&gt;MAX($RT$4:$RT$40),"",INDEX($AX$4:$AX$40,MATCH(ROW()-3,$RT$4:$RT$40,0)))</f>
      </c>
      <c r="RV32" t="str">
        <f>IF(COUNTIF('Final Calculation Sheet'!$AL32:$AS32,0)+COUNTIF('Final Calculation Sheet'!$AU32:$BS32,0)&gt;0,0,1)</f>
      </c>
      <c r="RW32" t="str">
        <f>IF($BC$32="",FALSE,SUMPRODUCT(('Final Calculation Sheet'!$I$4:$I$40=$BC$32)*($RV$4:$RV$40=1))&gt;0)</f>
      </c>
      <c r="RX32" t="str">
        <f>=$RX31+--($RW32)</f>
      </c>
      <c r="RY32" t="str">
        <f>IF(ROW()-3&gt;MAX($RX$4:$RX$40),"",INDEX($BC$4:$BC$40,MATCH(ROW()-3,$RX$4:$RX$40,0)))</f>
      </c>
      <c r="RZ32" t="str">
        <f>IF(COUNTIF('Final Calculation Sheet'!$AL32:$AT32,0)+COUNTIF('Final Calculation Sheet'!$AV32:$BS32,0)&gt;0,0,1)</f>
      </c>
      <c r="SA32" t="str">
        <f>IF($BH$32="",FALSE,SUMPRODUCT(('Final Calculation Sheet'!$J$4:$J$40=$BH$32)*($RZ$4:$RZ$40=1))&gt;0)</f>
      </c>
      <c r="SB32" t="str">
        <f>=$SB31+--($SA32)</f>
      </c>
      <c r="SC32" t="str">
        <f>IF(ROW()-3&gt;MAX($SB$4:$SB$40),"",INDEX($BH$4:$BH$40,MATCH(ROW()-3,$SB$4:$SB$40,0)))</f>
      </c>
      <c r="SD32" t="str">
        <f>IF(COUNTIF('Final Calculation Sheet'!$AL32:$AU32,0)+COUNTIF('Final Calculation Sheet'!$AW32:$BS32,0)&gt;0,0,1)</f>
      </c>
      <c r="SE32" t="str">
        <f>IF($BM$32="",FALSE,SUMPRODUCT(('Final Calculation Sheet'!$K$4:$K$40=$BM$32)*($SD$4:$SD$40=1))&gt;0)</f>
      </c>
      <c r="SF32" t="str">
        <f>=$SF31+--($SE32)</f>
      </c>
      <c r="SG32" t="str">
        <f>IF(ROW()-3&gt;MAX($SF$4:$SF$40),"",INDEX($BM$4:$BM$40,MATCH(ROW()-3,$SF$4:$SF$40,0)))</f>
      </c>
      <c r="SH32" t="str">
        <f>IF(COUNTIF('Final Calculation Sheet'!$AL32:$AV32,0)+COUNTIF('Final Calculation Sheet'!$AX32:$BS32,0)&gt;0,0,1)</f>
      </c>
      <c r="SI32" t="str">
        <f>IF($BR$32="",FALSE,SUMPRODUCT(('Final Calculation Sheet'!$L$4:$L$40=$BR$32)*($SH$4:$SH$40=1))&gt;0)</f>
      </c>
      <c r="SJ32" t="str">
        <f>=$SJ31+--($SI32)</f>
      </c>
      <c r="SK32" t="str">
        <f>IF(ROW()-3&gt;MAX($SJ$4:$SJ$40),"",INDEX($BR$4:$BR$40,MATCH(ROW()-3,$SJ$4:$SJ$40,0)))</f>
      </c>
      <c r="SL32" t="str">
        <f>IF(COUNTIF('Final Calculation Sheet'!$AL32:$AW32,0)+COUNTIF('Final Calculation Sheet'!$AY32:$BS32,0)&gt;0,0,1)</f>
      </c>
      <c r="SM32" t="str">
        <f>IF($BW$32="",FALSE,SUMPRODUCT(('Final Calculation Sheet'!$M$4:$M$40=$BW$32)*($SL$4:$SL$40=1))&gt;0)</f>
      </c>
      <c r="SN32" t="str">
        <f>=$SN31+--($SM32)</f>
      </c>
      <c r="SO32" t="str">
        <f>IF(ROW()-3&gt;MAX($SN$4:$SN$40),"",INDEX($BW$4:$BW$40,MATCH(ROW()-3,$SN$4:$SN$40,0)))</f>
      </c>
      <c r="SP32" t="str">
        <f>IF(COUNTIF('Final Calculation Sheet'!$AL32:$AX32,0)+COUNTIF('Final Calculation Sheet'!$AZ32:$BS32,0)&gt;0,0,1)</f>
      </c>
      <c r="SQ32" t="str">
        <f>IF($CB$32="",FALSE,SUMPRODUCT(('Final Calculation Sheet'!$N$4:$N$40=$CB$32)*($SP$4:$SP$40=1))&gt;0)</f>
      </c>
      <c r="SR32" t="str">
        <f>=$SR31+--($SQ32)</f>
      </c>
      <c r="SS32" t="str">
        <f>IF(ROW()-3&gt;MAX($SR$4:$SR$40),"",INDEX($CB$4:$CB$40,MATCH(ROW()-3,$SR$4:$SR$40,0)))</f>
      </c>
      <c r="ST32" t="str">
        <f>IF(COUNTIF('Final Calculation Sheet'!$AL32:$AY32,0)+COUNTIF('Final Calculation Sheet'!$BA32:$BS32,0)&gt;0,0,1)</f>
      </c>
      <c r="SU32" t="str">
        <f>IF($CG$32="",FALSE,SUMPRODUCT(('Final Calculation Sheet'!$O$4:$O$40=$CG$32)*($ST$4:$ST$40=1))&gt;0)</f>
      </c>
      <c r="SV32" t="str">
        <f>=$SV31+--($SU32)</f>
      </c>
      <c r="SW32" t="str">
        <f>IF(ROW()-3&gt;MAX($SV$4:$SV$40),"",INDEX($CG$4:$CG$40,MATCH(ROW()-3,$SV$4:$SV$40,0)))</f>
      </c>
      <c r="SX32" t="str">
        <f>IF(COUNTIF('Final Calculation Sheet'!$AL32:$AZ32,0)+COUNTIF('Final Calculation Sheet'!$BB32:$BS32,0)&gt;0,0,1)</f>
      </c>
      <c r="SY32" t="str">
        <f>IF($CL$32="",FALSE,SUMPRODUCT(('Final Calculation Sheet'!$P$4:$P$40=$CL$32)*($SX$4:$SX$40=1))&gt;0)</f>
      </c>
      <c r="SZ32" t="str">
        <f>=$SZ31+--($SY32)</f>
      </c>
      <c r="TA32" t="str">
        <f>IF(ROW()-3&gt;MAX($SZ$4:$SZ$40),"",INDEX($CL$4:$CL$40,MATCH(ROW()-3,$SZ$4:$SZ$40,0)))</f>
      </c>
      <c r="TB32" t="str">
        <f>IF(COUNTIF('Final Calculation Sheet'!$AL32:$BA32,0)+COUNTIF('Final Calculation Sheet'!$BC32:$BS32,0)&gt;0,0,1)</f>
      </c>
      <c r="TC32" t="str">
        <f>IF($CQ$32="",FALSE,SUMPRODUCT(('Final Calculation Sheet'!$Q$4:$Q$40=$CQ$32)*($TB$4:$TB$40=1))&gt;0)</f>
      </c>
      <c r="TD32" t="str">
        <f>=$TD31+--($TC32)</f>
      </c>
      <c r="TE32" t="str">
        <f>IF(ROW()-3&gt;MAX($TD$4:$TD$40),"",INDEX($CQ$4:$CQ$40,MATCH(ROW()-3,$TD$4:$TD$40,0)))</f>
      </c>
      <c r="TF32" t="str">
        <f>IF(COUNTIF('Final Calculation Sheet'!$AL32:$BB32,0)+COUNTIF('Final Calculation Sheet'!$BD32:$BS32,0)&gt;0,0,1)</f>
      </c>
      <c r="TG32" t="str">
        <f>IF($CV$32="",FALSE,SUMPRODUCT(('Final Calculation Sheet'!$R$4:$R$40=$CV$32)*($TF$4:$TF$40=1))&gt;0)</f>
      </c>
      <c r="TH32" t="str">
        <f>=$TH31+--($TG32)</f>
      </c>
      <c r="TI32" t="str">
        <f>IF(ROW()-3&gt;MAX($TH$4:$TH$40),"",INDEX($CV$4:$CV$40,MATCH(ROW()-3,$TH$4:$TH$40,0)))</f>
      </c>
      <c r="TJ32" t="str">
        <f>IF(COUNTIF('Final Calculation Sheet'!$AL32:$BC32,0)+COUNTIF('Final Calculation Sheet'!$BE32:$BS32,0)&gt;0,0,1)</f>
      </c>
      <c r="TK32" t="str">
        <f>IF($DA$32="",FALSE,SUMPRODUCT(('Final Calculation Sheet'!$S$4:$S$40=$DA$32)*($TJ$4:$TJ$40=1))&gt;0)</f>
      </c>
      <c r="TL32" t="str">
        <f>=$TL31+--($TK32)</f>
      </c>
      <c r="TM32" t="str">
        <f>IF(ROW()-3&gt;MAX($TL$4:$TL$40),"",INDEX($DA$4:$DA$40,MATCH(ROW()-3,$TL$4:$TL$40,0)))</f>
      </c>
      <c r="TN32" t="str">
        <f>IF(COUNTIF('Final Calculation Sheet'!$AL32:$BD32,0)+COUNTIF('Final Calculation Sheet'!$BF32:$BS32,0)&gt;0,0,1)</f>
      </c>
      <c r="TO32" t="str">
        <f>IF($DF$32="",FALSE,SUMPRODUCT(('Final Calculation Sheet'!$T$4:$T$40=$DF$32)*($TN$4:$TN$40=1))&gt;0)</f>
      </c>
      <c r="TP32" t="str">
        <f>=$TP31+--($TO32)</f>
      </c>
      <c r="TQ32" t="str">
        <f>IF(ROW()-3&gt;MAX($TP$4:$TP$40),"",INDEX($DF$4:$DF$40,MATCH(ROW()-3,$TP$4:$TP$40,0)))</f>
      </c>
      <c r="TR32" t="str">
        <f>IF(COUNTIF('Final Calculation Sheet'!$AL32:$BE32,0)+COUNTIF('Final Calculation Sheet'!$BG32:$BS32,0)&gt;0,0,1)</f>
      </c>
      <c r="TS32" t="str">
        <f>IF($DK$32="",FALSE,SUMPRODUCT(('Final Calculation Sheet'!$U$4:$U$40=$DK$32)*($TR$4:$TR$40=1))&gt;0)</f>
      </c>
      <c r="TT32" t="str">
        <f>=$TT31+--($TS32)</f>
      </c>
      <c r="TU32" t="str">
        <f>IF(ROW()-3&gt;MAX($TT$4:$TT$40),"",INDEX($DK$4:$DK$40,MATCH(ROW()-3,$TT$4:$TT$40,0)))</f>
      </c>
      <c r="TV32" t="str">
        <f>IF(COUNTIF('Final Calculation Sheet'!$AL32:$BF32,0)+COUNTIF('Final Calculation Sheet'!$BH32:$BS32,0)&gt;0,0,1)</f>
      </c>
      <c r="TW32" t="str">
        <f>IF($DP$32="",FALSE,SUMPRODUCT(('Final Calculation Sheet'!$V$4:$V$40=$DP$32)*($TV$4:$TV$40=1))&gt;0)</f>
      </c>
      <c r="TX32" t="str">
        <f>=$TX31+--($TW32)</f>
      </c>
      <c r="TY32" t="str">
        <f>IF(ROW()-3&gt;MAX($TX$4:$TX$40),"",INDEX($DP$4:$DP$40,MATCH(ROW()-3,$TX$4:$TX$40,0)))</f>
      </c>
      <c r="TZ32" t="str">
        <f>IF(COUNTIF('Final Calculation Sheet'!$AL32:$BG32,0)+COUNTIF('Final Calculation Sheet'!$BI32:$BS32,0)&gt;0,0,1)</f>
      </c>
      <c r="UA32" t="str">
        <f>IF($DU$32="",FALSE,SUMPRODUCT(('Final Calculation Sheet'!$W$4:$W$40=$DU$32)*($TZ$4:$TZ$40=1))&gt;0)</f>
      </c>
      <c r="UB32" t="str">
        <f>=$UB31+--($UA32)</f>
      </c>
      <c r="UC32" t="str">
        <f>IF(ROW()-3&gt;MAX($UB$4:$UB$40),"",INDEX($DU$4:$DU$40,MATCH(ROW()-3,$UB$4:$UB$40,0)))</f>
      </c>
      <c r="UD32" t="str">
        <f>IF(COUNTIF('Final Calculation Sheet'!$AL32:$BH32,0)+COUNTIF('Final Calculation Sheet'!$BJ32:$BS32,0)&gt;0,0,1)</f>
      </c>
      <c r="UE32" t="str">
        <f>IF($DZ$32="",FALSE,SUMPRODUCT(('Final Calculation Sheet'!$X$4:$X$40=$DZ$32)*($UD$4:$UD$40=1))&gt;0)</f>
      </c>
      <c r="UF32" t="str">
        <f>=$UF31+--($UE32)</f>
      </c>
      <c r="UG32" t="str">
        <f>IF(ROW()-3&gt;MAX($UF$4:$UF$40),"",INDEX($DZ$4:$DZ$40,MATCH(ROW()-3,$UF$4:$UF$40,0)))</f>
      </c>
      <c r="UH32" t="str">
        <f>IF(COUNTIF('Final Calculation Sheet'!$AL32:$BI32,0)+COUNTIF('Final Calculation Sheet'!$BK32:$BS32,0)&gt;0,0,1)</f>
      </c>
      <c r="UI32" t="str">
        <f>IF($EE$32="",FALSE,SUMPRODUCT(('Final Calculation Sheet'!$Y$4:$Y$40=$EE$32)*($UH$4:$UH$40=1))&gt;0)</f>
      </c>
      <c r="UJ32" t="str">
        <f>=$UJ31+--($UI32)</f>
      </c>
      <c r="UK32" t="str">
        <f>IF(ROW()-3&gt;MAX($UJ$4:$UJ$40),"",INDEX($EE$4:$EE$40,MATCH(ROW()-3,$UJ$4:$UJ$40,0)))</f>
      </c>
      <c r="UL32" t="str">
        <f>IF(COUNTIF('Final Calculation Sheet'!$AL32:$BJ32,0)+COUNTIF('Final Calculation Sheet'!$BL32:$BS32,0)&gt;0,0,1)</f>
      </c>
      <c r="UM32" t="str">
        <f>IF($EJ$32="",FALSE,SUMPRODUCT(('Final Calculation Sheet'!$Z$4:$Z$40=$EJ$32)*($UL$4:$UL$40=1))&gt;0)</f>
      </c>
      <c r="UN32" t="str">
        <f>=$UN31+--($UM32)</f>
      </c>
      <c r="UO32" t="str">
        <f>IF(ROW()-3&gt;MAX($UN$4:$UN$40),"",INDEX($EJ$4:$EJ$40,MATCH(ROW()-3,$UN$4:$UN$40,0)))</f>
      </c>
      <c r="UP32" t="str">
        <f>IF(COUNTIF('Final Calculation Sheet'!$AL32:$BK32,0)+COUNTIF('Final Calculation Sheet'!$BM32:$BS32,0)&gt;0,0,1)</f>
      </c>
      <c r="UQ32" t="str">
        <f>IF($EO$32="",FALSE,SUMPRODUCT(('Final Calculation Sheet'!$AA$4:$AA$40=$EO$32)*($UP$4:$UP$40=1))&gt;0)</f>
      </c>
      <c r="UR32" t="str">
        <f>=$UR31+--($UQ32)</f>
      </c>
      <c r="US32" t="str">
        <f>IF(ROW()-3&gt;MAX($UR$4:$UR$40),"",INDEX($EO$4:$EO$40,MATCH(ROW()-3,$UR$4:$UR$40,0)))</f>
      </c>
      <c r="UT32" t="str">
        <f>IF(COUNTIF('Final Calculation Sheet'!$AL32:$BL32,0)+COUNTIF('Final Calculation Sheet'!$BN32:$BS32,0)&gt;0,0,1)</f>
      </c>
      <c r="UU32" t="str">
        <f>IF($ET$32="",FALSE,SUMPRODUCT(('Final Calculation Sheet'!$AB$4:$AB$40=$ET$32)*($UT$4:$UT$40=1))&gt;0)</f>
      </c>
      <c r="UV32" t="str">
        <f>=$UV31+--($UU32)</f>
      </c>
      <c r="UW32" t="str">
        <f>IF(ROW()-3&gt;MAX($UV$4:$UV$40),"",INDEX($ET$4:$ET$40,MATCH(ROW()-3,$UV$4:$UV$40,0)))</f>
      </c>
      <c r="UX32" t="str">
        <f>IF(COUNTIF('Final Calculation Sheet'!$AL32:$BM32,0)+COUNTIF('Final Calculation Sheet'!$BO32:$BS32,0)&gt;0,0,1)</f>
      </c>
      <c r="UY32" t="str">
        <f>IF($EY$32="",FALSE,SUMPRODUCT(('Final Calculation Sheet'!$AC$4:$AC$40=$EY$32)*($UX$4:$UX$40=1))&gt;0)</f>
      </c>
      <c r="UZ32" t="str">
        <f>=$UZ31+--($UY32)</f>
      </c>
      <c r="VA32" t="str">
        <f>IF(ROW()-3&gt;MAX($UZ$4:$UZ$40),"",INDEX($EY$4:$EY$40,MATCH(ROW()-3,$UZ$4:$UZ$40,0)))</f>
      </c>
      <c r="VB32" t="str">
        <f>IF(COUNTIF('Final Calculation Sheet'!$AL32:$BN32,0)+COUNTIF('Final Calculation Sheet'!$BP32:$BS32,0)&gt;0,0,1)</f>
      </c>
      <c r="VC32" t="str">
        <f>IF($FD$32="",FALSE,SUMPRODUCT(('Final Calculation Sheet'!$AD$4:$AD$40=$FD$32)*($VB$4:$VB$40=1))&gt;0)</f>
      </c>
      <c r="VD32" t="str">
        <f>=$VD31+--($VC32)</f>
      </c>
      <c r="VE32" t="str">
        <f>IF(ROW()-3&gt;MAX($VD$4:$VD$40),"",INDEX($FD$4:$FD$40,MATCH(ROW()-3,$VD$4:$VD$40,0)))</f>
      </c>
      <c r="VF32" t="str">
        <f>IF(COUNTIF('Final Calculation Sheet'!$AL32:$BO32,0)+COUNTIF('Final Calculation Sheet'!$BQ32:$BS32,0)&gt;0,0,1)</f>
      </c>
      <c r="VG32" t="str">
        <f>IF($FI$32="",FALSE,SUMPRODUCT(('Final Calculation Sheet'!$AE$4:$AE$40=$FI$32)*($VF$4:$VF$40=1))&gt;0)</f>
      </c>
      <c r="VH32" t="str">
        <f>=$VH31+--($VG32)</f>
      </c>
      <c r="VI32" t="str">
        <f>IF(ROW()-3&gt;MAX($VH$4:$VH$40),"",INDEX($FI$4:$FI$40,MATCH(ROW()-3,$VH$4:$VH$40,0)))</f>
      </c>
      <c r="VJ32" t="str">
        <f>IF(COUNTIF('Final Calculation Sheet'!$AL32:$BP32,0)+COUNTIF('Final Calculation Sheet'!$BR32:$BS32,0)&gt;0,0,1)</f>
      </c>
      <c r="VK32" t="str">
        <f>IF($FN$32="",FALSE,SUMPRODUCT(('Final Calculation Sheet'!$AF$4:$AF$40=$FN$32)*($VJ$4:$VJ$40=1))&gt;0)</f>
      </c>
      <c r="VL32" t="str">
        <f>=$VL31+--($VK32)</f>
      </c>
      <c r="VM32" t="str">
        <f>IF(ROW()-3&gt;MAX($VL$4:$VL$40),"",INDEX($FN$4:$FN$40,MATCH(ROW()-3,$VL$4:$VL$40,0)))</f>
      </c>
      <c r="VN32" t="str">
        <f>IF(COUNTIF('Final Calculation Sheet'!$AL32:$BQ32,0)+COUNTIF('Final Calculation Sheet'!$BS32:$BS32,0)&gt;0,0,1)</f>
      </c>
      <c r="VO32" t="str">
        <f>IF($FS$32="",FALSE,SUMPRODUCT(('Final Calculation Sheet'!$AG$4:$AG$40=$FS$32)*($VN$4:$VN$40=1))&gt;0)</f>
      </c>
      <c r="VP32" t="str">
        <f>=$VP31+--($VO32)</f>
      </c>
      <c r="VQ32" t="str">
        <f>IF(ROW()-3&gt;MAX($VP$4:$VP$40),"",INDEX($FS$4:$FS$40,MATCH(ROW()-3,$VP$4:$VP$40,0)))</f>
      </c>
      <c r="VR32" t="str">
        <f>IF(COUNTIF('Final Calculation Sheet'!$AL32:$BR32,0)&gt;0,0,1)</f>
      </c>
      <c r="VS32" t="str">
        <f>IF($QO$32="",FALSE,SUMPRODUCT(('Final Calculation Sheet'!$AH$4:$AH$40=$QO$32)*($VR$4:$VR$40=1))&gt;0)</f>
      </c>
      <c r="VT32" t="str">
        <f>=$VT31+--($VS32)</f>
      </c>
      <c r="VU32" t="str">
        <f>IF(ROW()-3&gt;MAX($VT$4:$VT$40),"",INDEX($QO$4:$QO$40,MATCH(ROW()-3,$VT$4:$VT$40,0)))</f>
      </c>
    </row>
    <row r="33">
      <c r="A33">
        <f>IF('Final Calculation Sheet'!$F$33="","",'Final Calculation Sheet'!$F$33)</f>
        <v/>
      </c>
      <c r="B33">
        <f>IF(A33="","",COUNTIFS(A$4:A$114,"&lt;"&amp;A33,A$4:A$114,"&lt;&gt;"&amp;"")+COUNTIF(A$4:A33,A33))</f>
        <v/>
      </c>
      <c r="C33">
        <f>IF(ROW()-3&gt;COUNTIF(A$4:A$114,"&lt;&gt;"&amp;""),"",INDEX(A$4:A$114,MATCH(ROW()-3,B$4:B$114,0)))</f>
        <v/>
      </c>
      <c r="D33">
        <f>D32+IF(AND(C33&lt;&gt;"",COUNTIF(C$4:C33,C33)=1),1,0)</f>
        <v/>
      </c>
      <c r="E33">
        <f>IF(ROW()-3&gt;MAX(D$4:D$114),"",INDEX(C$4:C$114,MATCH(ROW()-3,D$4:D$114,0)))</f>
        <v/>
      </c>
      <c r="F33">
        <f>ROW()-3</f>
        <v/>
      </c>
      <c r="G33">
        <f>IF(F33="","",COUNTIFS(F$4:F$40,"&lt;"&amp;F33,F$4:F$40,"&lt;&gt;"&amp;"")+COUNTIF(F$4:F33,F33))</f>
        <v/>
      </c>
      <c r="H33">
        <f>IF(ROW()-3&gt;COUNTIF(F$4:F$40,"&lt;&gt;"&amp;""),"",INDEX(F$4:F$40,MATCH(ROW()-3,G$4:G$40,0)))</f>
        <v/>
      </c>
      <c r="I33">
        <f>I32+IF(AND(H33&lt;&gt;"",COUNTIF(H$4:H33,H33)=1),1,0)</f>
        <v/>
      </c>
      <c r="J33">
        <f>IF(ROW()-3&gt;MAX(I$4:I$40),"",INDEX(H$4:H$40,MATCH(ROW()-3,I$4:I$40,0)))</f>
        <v/>
      </c>
      <c r="K33">
        <f>IF('Final Calculation Sheet'!$F$33="","",'Final Calculation Sheet'!$F$33)</f>
        <v/>
      </c>
      <c r="L33">
        <f>IF(K33="","",COUNTIFS(K$4:K$40,"&lt;"&amp;K33,K$4:K$40,"&lt;&gt;"&amp;"")+COUNTIF(K$4:K33,K33))</f>
        <v/>
      </c>
      <c r="M33">
        <f>IF(ROW()-3&gt;COUNTIF(K$4:K$40,"&lt;&gt;"&amp;""),"",INDEX(K$4:K$40,MATCH(ROW()-3,L$4:L$40,0)))</f>
        <v/>
      </c>
      <c r="N33">
        <f>N32+IF(AND(M33&lt;&gt;"",COUNTIF(M$4:M33,M33)=1),1,0)</f>
        <v/>
      </c>
      <c r="O33">
        <f>IF(ROW()-3&gt;MAX(N$4:N$40),"",INDEX(M$4:M$40,MATCH(ROW()-3,N$4:N$40,0)))</f>
        <v/>
      </c>
      <c r="P33">
        <f>IF('Final Calculation Sheet'!$G$33="","",'Final Calculation Sheet'!$G$33)</f>
        <v/>
      </c>
      <c r="Q33">
        <f>IF(P33="","",COUNTIFS(P$4:P$40,"&lt;"&amp;P33,P$4:P$40,"&lt;&gt;"&amp;"")+COUNTIF(P$4:P33,P33))</f>
        <v/>
      </c>
      <c r="R33">
        <f>IF(ROW()-3&gt;COUNTIF(P$4:P$40,"&lt;&gt;"&amp;""),"",INDEX(P$4:P$40,MATCH(ROW()-3,Q$4:Q$40,0)))</f>
        <v/>
      </c>
      <c r="S33">
        <f>S32+IF(AND(R33&lt;&gt;"",COUNTIF(R$4:R33,R33)=1),1,0)</f>
        <v/>
      </c>
      <c r="T33">
        <f>IF(ROW()-3&gt;MAX(S$4:S$40),"",INDEX(R$4:R$40,MATCH(ROW()-3,S$4:S$40,0)))</f>
        <v/>
      </c>
      <c r="U33">
        <f>IF('Final Calculation Sheet'!$B$33="","",'Final Calculation Sheet'!$B$33)</f>
        <v/>
      </c>
      <c r="V33">
        <f>IF(U33="","",COUNTIFS(U$4:U$40,"&lt;"&amp;U33,U$4:U$40,"&lt;&gt;"&amp;"")+COUNTIF(U$4:U33,U33))</f>
        <v/>
      </c>
      <c r="W33">
        <f>IF(ROW()-3&gt;COUNTIF(U$4:U$40,"&lt;&gt;"&amp;""),"",INDEX(U$4:U$40,MATCH(ROW()-3,V$4:V$40,0)))</f>
        <v/>
      </c>
      <c r="X33">
        <f>X32+IF(AND(W33&lt;&gt;"",COUNTIF(W$4:W33,W33)=1),1,0)</f>
        <v/>
      </c>
      <c r="Y33">
        <f>IF(ROW()-3&gt;MAX(X$4:X$40),"",INDEX(W$4:W$40,MATCH(ROW()-3,X$4:X$40,0)))</f>
        <v/>
      </c>
      <c r="Z33">
        <f>IF('Final Calculation Sheet'!$D$33="","",'Final Calculation Sheet'!$D$33)</f>
        <v/>
      </c>
      <c r="AA33">
        <f>IF(Z33="","",COUNTIFS(Z$4:Z$40,"&lt;"&amp;Z33,Z$4:Z$40,"&lt;&gt;"&amp;"")+COUNTIF(Z$4:Z33,Z33))</f>
        <v/>
      </c>
      <c r="AB33">
        <f>IF(ROW()-3&gt;COUNTIF(Z$4:Z$40,"&lt;&gt;"&amp;""),"",INDEX(Z$4:Z$40,MATCH(ROW()-3,AA$4:AA$40,0)))</f>
        <v/>
      </c>
      <c r="AC33">
        <f>AC32+IF(AND(AB33&lt;&gt;"",COUNTIF(AB$4:AB33,AB33)=1),1,0)</f>
        <v/>
      </c>
      <c r="AD33">
        <f>IF(ROW()-3&gt;MAX(AC$4:AC$40),"",INDEX(AB$4:AB$40,MATCH(ROW()-3,AC$4:AC$40,0)))</f>
        <v/>
      </c>
      <c r="AE33">
        <f>IF('Final Calculation Sheet'!$A$33="","",'Final Calculation Sheet'!$A$33)</f>
        <v/>
      </c>
      <c r="AF33">
        <f>IF(AE33="","",COUNTIFS(AE$4:AE$40,"&lt;"&amp;AE33,AE$4:AE$40,"&lt;&gt;"&amp;"")+COUNTIF(AE$4:AE33,AE33))</f>
        <v/>
      </c>
      <c r="AG33">
        <f>IF(ROW()-3&gt;COUNTIF(AE$4:AE$40,"&lt;&gt;"&amp;""),"",INDEX(AE$4:AE$40,MATCH(ROW()-3,AF$4:AF$40,0)))</f>
        <v/>
      </c>
      <c r="AH33">
        <f>AH32+IF(AND(AG33&lt;&gt;"",COUNTIF(AG$4:AG33,AG33)=1),1,0)</f>
        <v/>
      </c>
      <c r="AI33">
        <f>IF(ROW()-3&gt;MAX(AH$4:AH$40),"",INDEX(AG$4:AG$40,MATCH(ROW()-3,AH$4:AH$40,0)))</f>
        <v/>
      </c>
      <c r="AJ33">
        <f>IF('Final Calculation Sheet'!$E$33="","",'Final Calculation Sheet'!$E$33)</f>
        <v/>
      </c>
      <c r="AK33">
        <f>IF(AJ33="","",COUNTIFS(AJ$4:AJ$40,"&lt;"&amp;AJ33,AJ$4:AJ$40,"&lt;&gt;"&amp;"")+COUNTIF(AJ$4:AJ33,AJ33))</f>
        <v/>
      </c>
      <c r="AL33">
        <f>IF(ROW()-3&gt;COUNTIF(AJ$4:AJ$40,"&lt;&gt;"&amp;""),"",INDEX(AJ$4:AJ$40,MATCH(ROW()-3,AK$4:AK$40,0)))</f>
        <v/>
      </c>
      <c r="AM33">
        <f>AM32+IF(AND(AL33&lt;&gt;"",COUNTIF(AL$4:AL33,AL33)=1),1,0)</f>
        <v/>
      </c>
      <c r="AN33">
        <f>IF(ROW()-3&gt;MAX(AM$4:AM$40),"",INDEX(AL$4:AL$40,MATCH(ROW()-3,AM$4:AM$40,0)))</f>
        <v/>
      </c>
      <c r="AO33" s="55">
        <f>IF('Final Calculation Sheet'!$C$33="","",'Final Calculation Sheet'!$C$33)</f>
        <v/>
      </c>
      <c r="AP33">
        <f>IF(AO33="","",COUNTIFS(AO$4:AO$40,"&lt;"&amp;AO33,AO$4:AO$40,"&lt;&gt;"&amp;"")+COUNTIF(AO$4:AO33,AO33))</f>
        <v/>
      </c>
      <c r="AQ33" s="55">
        <f>IF(ROW()-3&gt;COUNTIF(AO$4:AO$40,"&lt;&gt;"&amp;""),"",INDEX(AO$4:AO$40,MATCH(ROW()-3,AP$4:AP$40,0)))</f>
        <v/>
      </c>
      <c r="AR33">
        <f>AR32+IF(AND(AQ33&lt;&gt;"",COUNTIF(AQ$4:AQ33,AQ33)=1),1,0)</f>
        <v/>
      </c>
      <c r="AS33" s="55">
        <f>IF(ROW()-3&gt;MAX(AR$4:AR$40),"",INDEX(AQ$4:AQ$40,MATCH(ROW()-3,AR$4:AR$40,0)))</f>
        <v/>
      </c>
      <c r="AT33" s="55">
        <f>IF('Final Calculation Sheet'!$H$33="","",'Final Calculation Sheet'!$H$33)</f>
        <v/>
      </c>
      <c r="AU33">
        <f>IF(AT33="","",COUNTIFS(AT$4:AT$40,"&lt;"&amp;AT33,AT$4:AT$40,"&lt;&gt;"&amp;"")+COUNTIF(AT$4:AT33,AT33))</f>
        <v/>
      </c>
      <c r="AV33" s="55">
        <f>IF(ROW()-3&gt;COUNTIF(AT$4:AT$40,"&lt;&gt;"&amp;""),"",INDEX(AT$4:AT$40,MATCH(ROW()-3,AU$4:AU$40,0)))</f>
        <v/>
      </c>
      <c r="AW33">
        <f>AW32+IF(AND(AV33&lt;&gt;"",COUNTIF(AV$4:AV33,AV33)=1),1,0)</f>
        <v/>
      </c>
      <c r="AX33" s="55">
        <f>IF(ROW()-3&gt;MAX(AW$4:AW$40),"",INDEX(AV$4:AV$40,MATCH(ROW()-3,AW$4:AW$40,0)))</f>
        <v/>
      </c>
      <c r="AY33" s="55">
        <f>IF('Final Calculation Sheet'!$I$33="","",'Final Calculation Sheet'!$I$33)</f>
        <v/>
      </c>
      <c r="AZ33">
        <f>IF(AY33="","",COUNTIFS(AY$4:AY$40,"&lt;"&amp;AY33,AY$4:AY$40,"&lt;&gt;"&amp;"")+COUNTIF(AY$4:AY33,AY33))</f>
        <v/>
      </c>
      <c r="BA33" s="55">
        <f>IF(ROW()-3&gt;COUNTIF(AY$4:AY$40,"&lt;&gt;"&amp;""),"",INDEX(AY$4:AY$40,MATCH(ROW()-3,AZ$4:AZ$40,0)))</f>
        <v/>
      </c>
      <c r="BB33">
        <f>BB32+IF(AND(BA33&lt;&gt;"",COUNTIF(BA$4:BA33,BA33)=1),1,0)</f>
        <v/>
      </c>
      <c r="BC33" s="55">
        <f>IF(ROW()-3&gt;MAX(BB$4:BB$40),"",INDEX(BA$4:BA$40,MATCH(ROW()-3,BB$4:BB$40,0)))</f>
        <v/>
      </c>
      <c r="BD33" s="55">
        <f>IF('Final Calculation Sheet'!$J$33="","",'Final Calculation Sheet'!$J$33)</f>
        <v/>
      </c>
      <c r="BE33">
        <f>IF(BD33="","",COUNTIFS(BD$4:BD$40,"&lt;"&amp;BD33,BD$4:BD$40,"&lt;&gt;"&amp;"")+COUNTIF(BD$4:BD33,BD33))</f>
        <v/>
      </c>
      <c r="BF33" s="55">
        <f>IF(ROW()-3&gt;COUNTIF(BD$4:BD$40,"&lt;&gt;"&amp;""),"",INDEX(BD$4:BD$40,MATCH(ROW()-3,BE$4:BE$40,0)))</f>
        <v/>
      </c>
      <c r="BG33">
        <f>BG32+IF(AND(BF33&lt;&gt;"",COUNTIF(BF$4:BF33,BF33)=1),1,0)</f>
        <v/>
      </c>
      <c r="BH33" s="55">
        <f>IF(ROW()-3&gt;MAX(BG$4:BG$40),"",INDEX(BF$4:BF$40,MATCH(ROW()-3,BG$4:BG$40,0)))</f>
        <v/>
      </c>
      <c r="BI33" s="55">
        <f>IF('Final Calculation Sheet'!$K$33="","",'Final Calculation Sheet'!$K$33)</f>
        <v/>
      </c>
      <c r="BJ33">
        <f>IF(BI33="","",COUNTIFS(BI$4:BI$40,"&lt;"&amp;BI33,BI$4:BI$40,"&lt;&gt;"&amp;"")+COUNTIF(BI$4:BI33,BI33))</f>
        <v/>
      </c>
      <c r="BK33" s="55">
        <f>IF(ROW()-3&gt;COUNTIF(BI$4:BI$40,"&lt;&gt;"&amp;""),"",INDEX(BI$4:BI$40,MATCH(ROW()-3,BJ$4:BJ$40,0)))</f>
        <v/>
      </c>
      <c r="BL33">
        <f>BL32+IF(AND(BK33&lt;&gt;"",COUNTIF(BK$4:BK33,BK33)=1),1,0)</f>
        <v/>
      </c>
      <c r="BM33" s="55">
        <f>IF(ROW()-3&gt;MAX(BL$4:BL$40),"",INDEX(BK$4:BK$40,MATCH(ROW()-3,BL$4:BL$40,0)))</f>
        <v/>
      </c>
      <c r="BN33" s="55">
        <f>IF('Final Calculation Sheet'!$L$33="","",'Final Calculation Sheet'!$L$33)</f>
        <v/>
      </c>
      <c r="BO33">
        <f>IF(BN33="","",COUNTIFS(BN$4:BN$40,"&lt;"&amp;BN33,BN$4:BN$40,"&lt;&gt;"&amp;"")+COUNTIF(BN$4:BN33,BN33))</f>
        <v/>
      </c>
      <c r="BP33" s="55">
        <f>IF(ROW()-3&gt;COUNTIF(BN$4:BN$40,"&lt;&gt;"&amp;""),"",INDEX(BN$4:BN$40,MATCH(ROW()-3,BO$4:BO$40,0)))</f>
        <v/>
      </c>
      <c r="BQ33">
        <f>BQ32+IF(AND(BP33&lt;&gt;"",COUNTIF(BP$4:BP33,BP33)=1),1,0)</f>
        <v/>
      </c>
      <c r="BR33" s="55">
        <f>IF(ROW()-3&gt;MAX(BQ$4:BQ$40),"",INDEX(BP$4:BP$40,MATCH(ROW()-3,BQ$4:BQ$40,0)))</f>
        <v/>
      </c>
      <c r="BS33" s="55">
        <f>IF('Final Calculation Sheet'!$M$33="","",'Final Calculation Sheet'!$M$33)</f>
        <v/>
      </c>
      <c r="BT33">
        <f>IF(BS33="","",COUNTIFS(BS$4:BS$40,"&lt;"&amp;BS33,BS$4:BS$40,"&lt;&gt;"&amp;"")+COUNTIF(BS$4:BS33,BS33))</f>
        <v/>
      </c>
      <c r="BU33" s="55">
        <f>IF(ROW()-3&gt;COUNTIF(BS$4:BS$40,"&lt;&gt;"&amp;""),"",INDEX(BS$4:BS$40,MATCH(ROW()-3,BT$4:BT$40,0)))</f>
        <v/>
      </c>
      <c r="BV33">
        <f>BV32+IF(AND(BU33&lt;&gt;"",COUNTIF(BU$4:BU33,BU33)=1),1,0)</f>
        <v/>
      </c>
      <c r="BW33" s="55">
        <f>IF(ROW()-3&gt;MAX(BV$4:BV$40),"",INDEX(BU$4:BU$40,MATCH(ROW()-3,BV$4:BV$40,0)))</f>
        <v/>
      </c>
      <c r="BX33" s="138">
        <f>IF('Final Calculation Sheet'!$N$33="","",'Final Calculation Sheet'!$N$33)</f>
        <v/>
      </c>
      <c r="BY33">
        <f>IF(BX33="","",COUNTIFS(BX$4:BX$40,"&lt;"&amp;BX33,BX$4:BX$40,"&lt;&gt;"&amp;"")+COUNTIF(BX$4:BX33,BX33))</f>
        <v/>
      </c>
      <c r="BZ33" s="138">
        <f>IF(ROW()-3&gt;COUNTIF(BX$4:BX$40,"&lt;&gt;"&amp;""),"",INDEX(BX$4:BX$40,MATCH(ROW()-3,BY$4:BY$40,0)))</f>
        <v/>
      </c>
      <c r="CA33">
        <f>CA32+IF(AND(BZ33&lt;&gt;"",COUNTIF(BZ$4:BZ33,BZ33)=1),1,0)</f>
        <v/>
      </c>
      <c r="CB33" s="138">
        <f>IF(ROW()-3&gt;MAX(CA$4:CA$40),"",INDEX(BZ$4:BZ$40,MATCH(ROW()-3,CA$4:CA$40,0)))</f>
        <v/>
      </c>
      <c r="CC33" s="55">
        <f>IF('Final Calculation Sheet'!$O$33="","",'Final Calculation Sheet'!$O$33)</f>
        <v/>
      </c>
      <c r="CD33">
        <f>IF(CC33="","",COUNTIFS(CC$4:CC$40,"&lt;"&amp;CC33,CC$4:CC$40,"&lt;&gt;"&amp;"")+COUNTIF(CC$4:CC33,CC33))</f>
        <v/>
      </c>
      <c r="CE33" s="55">
        <f>IF(ROW()-3&gt;COUNTIF(CC$4:CC$40,"&lt;&gt;"&amp;""),"",INDEX(CC$4:CC$40,MATCH(ROW()-3,CD$4:CD$40,0)))</f>
        <v/>
      </c>
      <c r="CF33">
        <f>CF32+IF(AND(CE33&lt;&gt;"",COUNTIF(CE$4:CE33,CE33)=1),1,0)</f>
        <v/>
      </c>
      <c r="CG33" s="55">
        <f>IF(ROW()-3&gt;MAX(CF$4:CF$40),"",INDEX(CE$4:CE$40,MATCH(ROW()-3,CF$4:CF$40,0)))</f>
        <v/>
      </c>
      <c r="CH33" s="55">
        <f>IF('Final Calculation Sheet'!$P$33="","",'Final Calculation Sheet'!$P$33)</f>
        <v/>
      </c>
      <c r="CI33">
        <f>IF(CH33="","",COUNTIFS(CH$4:CH$40,"&lt;"&amp;CH33,CH$4:CH$40,"&lt;&gt;"&amp;"")+COUNTIF(CH$4:CH33,CH33))</f>
        <v/>
      </c>
      <c r="CJ33" s="55">
        <f>IF(ROW()-3&gt;COUNTIF(CH$4:CH$40,"&lt;&gt;"&amp;""),"",INDEX(CH$4:CH$40,MATCH(ROW()-3,CI$4:CI$40,0)))</f>
        <v/>
      </c>
      <c r="CK33">
        <f>CK32+IF(AND(CJ33&lt;&gt;"",COUNTIF(CJ$4:CJ33,CJ33)=1),1,0)</f>
        <v/>
      </c>
      <c r="CL33" s="55">
        <f>IF(ROW()-3&gt;MAX(CK$4:CK$40),"",INDEX(CJ$4:CJ$40,MATCH(ROW()-3,CK$4:CK$40,0)))</f>
        <v/>
      </c>
      <c r="CM33" s="139">
        <f>IF('Final Calculation Sheet'!$Q$33="","",'Final Calculation Sheet'!$Q$33)</f>
        <v/>
      </c>
      <c r="CN33">
        <f>IF(CM33="","",COUNTIFS(CM$4:CM$40,"&lt;"&amp;CM33,CM$4:CM$40,"&lt;&gt;"&amp;"")+COUNTIF(CM$4:CM33,CM33))</f>
        <v/>
      </c>
      <c r="CO33" s="139">
        <f>IF(ROW()-3&gt;COUNTIF(CM$4:CM$40,"&lt;&gt;"&amp;""),"",INDEX(CM$4:CM$40,MATCH(ROW()-3,CN$4:CN$40,0)))</f>
        <v/>
      </c>
      <c r="CP33">
        <f>CP32+IF(AND(CO33&lt;&gt;"",COUNTIF(CO$4:CO33,CO33)=1),1,0)</f>
        <v/>
      </c>
      <c r="CQ33">
        <f>IF(ROW()-3&gt;MAX(CP$4:CP$40),"",INDEX(CO$4:CO$40,MATCH(ROW()-3,CP$4:CP$40,0)))</f>
        <v/>
      </c>
      <c r="CR33" s="55">
        <f>IF('Final Calculation Sheet'!$R$33="","",'Final Calculation Sheet'!$R$33)</f>
        <v/>
      </c>
      <c r="CS33">
        <f>IF(CR33="","",COUNTIFS(CR$4:CR$40,"&lt;"&amp;CR33,CR$4:CR$40,"&lt;&gt;"&amp;"")+COUNTIF(CR$4:CR33,CR33))</f>
        <v/>
      </c>
      <c r="CT33" s="55">
        <f>IF(ROW()-3&gt;COUNTIF(CR$4:CR$40,"&lt;&gt;"&amp;""),"",INDEX(CR$4:CR$40,MATCH(ROW()-3,CS$4:CS$40,0)))</f>
        <v/>
      </c>
      <c r="CU33">
        <f>CU32+IF(AND(CT33&lt;&gt;"",COUNTIF(CT$4:CT33,CT33)=1),1,0)</f>
        <v/>
      </c>
      <c r="CV33">
        <f>IF(ROW()-3&gt;MAX(CU$4:CU$40),"",INDEX(CT$4:CT$40,MATCH(ROW()-3,CU$4:CU$40,0)))</f>
        <v/>
      </c>
      <c r="CW33" s="55">
        <f>IF('Final Calculation Sheet'!$S$33="","",'Final Calculation Sheet'!$S$33)</f>
        <v/>
      </c>
      <c r="CX33">
        <f>IF(CW33="","",COUNTIFS(CW$4:CW$40,"&lt;"&amp;CW33,CW$4:CW$40,"&lt;&gt;"&amp;"")+COUNTIF(CW$4:CW33,CW33))</f>
        <v/>
      </c>
      <c r="CY33" s="55">
        <f>IF(ROW()-3&gt;COUNTIF(CW$4:CW$40,"&lt;&gt;"&amp;""),"",INDEX(CW$4:CW$40,MATCH(ROW()-3,CX$4:CX$40,0)))</f>
        <v/>
      </c>
      <c r="CZ33">
        <f>CZ32+IF(AND(CY33&lt;&gt;"",COUNTIF(CY$4:CY33,CY33)=1),1,0)</f>
        <v/>
      </c>
      <c r="DA33" s="55">
        <f>IF(ROW()-3&gt;MAX(CZ$4:CZ$40),"",INDEX(CY$4:CY$40,MATCH(ROW()-3,CZ$4:CZ$40,0)))</f>
        <v/>
      </c>
      <c r="DB33" s="55">
        <f>IF('Final Calculation Sheet'!$T$33="","",'Final Calculation Sheet'!$T$33)</f>
        <v/>
      </c>
      <c r="DC33">
        <f>IF(DB33="","",COUNTIFS(DB$4:DB$40,"&lt;"&amp;DB33,DB$4:DB$40,"&lt;&gt;"&amp;"")+COUNTIF(DB$4:DB33,DB33))</f>
        <v/>
      </c>
      <c r="DD33" s="55">
        <f>IF(ROW()-3&gt;COUNTIF(DB$4:DB$40,"&lt;&gt;"&amp;""),"",INDEX(DB$4:DB$40,MATCH(ROW()-3,DC$4:DC$40,0)))</f>
        <v/>
      </c>
      <c r="DE33">
        <f>DE32+IF(AND(DD33&lt;&gt;"",COUNTIF(DD$4:DD33,DD33)=1),1,0)</f>
        <v/>
      </c>
      <c r="DF33" s="55">
        <f>IF(ROW()-3&gt;MAX(DE$4:DE$40),"",INDEX(DD$4:DD$40,MATCH(ROW()-3,DE$4:DE$40,0)))</f>
        <v/>
      </c>
      <c r="DG33" s="140">
        <f>IF('Final Calculation Sheet'!$U$33="","",'Final Calculation Sheet'!$U$33)</f>
        <v/>
      </c>
      <c r="DH33">
        <f>IF(DG33="","",COUNTIFS(DG$4:DG$40,"&lt;"&amp;DG33,DG$4:DG$40,"&lt;&gt;"&amp;"")+COUNTIF(DG$4:DG33,DG33))</f>
        <v/>
      </c>
      <c r="DI33" s="140">
        <f>IF(ROW()-3&gt;COUNTIF(DG$4:DG$40,"&lt;&gt;"&amp;""),"",INDEX(DG$4:DG$40,MATCH(ROW()-3,DH$4:DH$40,0)))</f>
        <v/>
      </c>
      <c r="DJ33">
        <f>DJ32+IF(AND(DI33&lt;&gt;"",COUNTIF(DI$4:DI33,DI33)=1),1,0)</f>
        <v/>
      </c>
      <c r="DK33" s="140">
        <f>IF(ROW()-3&gt;MAX(DJ$4:DJ$40),"",INDEX(DI$4:DI$40,MATCH(ROW()-3,DJ$4:DJ$40,0)))</f>
        <v/>
      </c>
      <c r="DL33">
        <f>IF('Final Calculation Sheet'!$V$33="","",'Final Calculation Sheet'!$V$33)</f>
        <v/>
      </c>
      <c r="DM33">
        <f>IF(DL33="","",COUNTIFS(DL$4:DL$40,"&lt;"&amp;DL33,DL$4:DL$40,"&lt;&gt;"&amp;"")+COUNTIF(DL$4:DL33,DL33))</f>
        <v/>
      </c>
      <c r="DN33">
        <f>IF(ROW()-3&gt;COUNTIF(DL$4:DL$40,"&lt;&gt;"&amp;""),"",INDEX(DL$4:DL$40,MATCH(ROW()-3,DM$4:DM$40,0)))</f>
        <v/>
      </c>
      <c r="DO33">
        <f>DO32+IF(AND(DN33&lt;&gt;"",COUNTIF(DN$4:DN33,DN33)=1),1,0)</f>
        <v/>
      </c>
      <c r="DP33">
        <f>IF(ROW()-3&gt;MAX(DO$4:DO$40),"",INDEX(DN$4:DN$40,MATCH(ROW()-3,DO$4:DO$40,0)))</f>
        <v/>
      </c>
      <c r="DQ33" s="55">
        <f>IF('Final Calculation Sheet'!$W$33="","",'Final Calculation Sheet'!$W$33)</f>
        <v/>
      </c>
      <c r="DR33">
        <f>IF(DQ33="","",COUNTIFS(DQ$4:DQ$40,"&lt;"&amp;DQ33,DQ$4:DQ$40,"&lt;&gt;"&amp;"")+COUNTIF(DQ$4:DQ33,DQ33))</f>
        <v/>
      </c>
      <c r="DS33" s="55">
        <f>IF(ROW()-3&gt;COUNTIF(DQ$4:DQ$40,"&lt;&gt;"&amp;""),"",INDEX(DQ$4:DQ$40,MATCH(ROW()-3,DR$4:DR$40,0)))</f>
        <v/>
      </c>
      <c r="DT33">
        <f>DT32+IF(AND(DS33&lt;&gt;"",COUNTIF(DS$4:DS33,DS33)=1),1,0)</f>
        <v/>
      </c>
      <c r="DU33" s="55">
        <f>IF(ROW()-3&gt;MAX(DT$4:DT$40),"",INDEX(DS$4:DS$40,MATCH(ROW()-3,DT$4:DT$40,0)))</f>
        <v/>
      </c>
      <c r="DV33" s="55">
        <f>IF('Final Calculation Sheet'!$X$33="","",'Final Calculation Sheet'!$X$33)</f>
        <v/>
      </c>
      <c r="DW33">
        <f>IF(DV33="","",COUNTIFS(DV$4:DV$40,"&lt;"&amp;DV33,DV$4:DV$40,"&lt;&gt;"&amp;"")+COUNTIF(DV$4:DV33,DV33))</f>
        <v/>
      </c>
      <c r="DX33" s="55">
        <f>IF(ROW()-3&gt;COUNTIF(DV$4:DV$40,"&lt;&gt;"&amp;""),"",INDEX(DV$4:DV$40,MATCH(ROW()-3,DW$4:DW$40,0)))</f>
        <v/>
      </c>
      <c r="DY33">
        <f>DY32+IF(AND(DX33&lt;&gt;"",COUNTIF(DX$4:DX33,DX33)=1),1,0)</f>
        <v/>
      </c>
      <c r="DZ33">
        <f>IF(ROW()-3&gt;MAX(DY$4:DY$40),"",INDEX(DX$4:DX$40,MATCH(ROW()-3,DY$4:DY$40,0)))</f>
        <v/>
      </c>
      <c r="EA33">
        <f>IF('Final Calculation Sheet'!$Y$33="","",'Final Calculation Sheet'!$Y$33)</f>
        <v/>
      </c>
      <c r="EB33">
        <f>IF(EA33="","",COUNTIFS(EA$4:EA$40,"&lt;"&amp;EA33,EA$4:EA$40,"&lt;&gt;"&amp;"")+COUNTIF(EA$4:EA33,EA33))</f>
        <v/>
      </c>
      <c r="EC33">
        <f>IF(ROW()-3&gt;COUNTIF(EA$4:EA$40,"&lt;&gt;"&amp;""),"",INDEX(EA$4:EA$40,MATCH(ROW()-3,EB$4:EB$40,0)))</f>
        <v/>
      </c>
      <c r="ED33">
        <f>ED32+IF(AND(EC33&lt;&gt;"",COUNTIF(EC$4:EC33,EC33)=1),1,0)</f>
        <v/>
      </c>
      <c r="EE33">
        <f>IF(ROW()-3&gt;MAX(ED$4:ED$40),"",INDEX(EC$4:EC$40,MATCH(ROW()-3,ED$4:ED$40,0)))</f>
        <v/>
      </c>
      <c r="EF33" s="55">
        <f>IF('Final Calculation Sheet'!$Z$33="","",'Final Calculation Sheet'!$Z$33)</f>
        <v/>
      </c>
      <c r="EG33">
        <f>IF(EF33="","",COUNTIFS(EF$4:EF$40,"&lt;"&amp;EF33,EF$4:EF$40,"&lt;&gt;"&amp;"")+COUNTIF(EF$4:EF33,EF33))</f>
        <v/>
      </c>
      <c r="EH33" s="55">
        <f>IF(ROW()-3&gt;COUNTIF(EF$4:EF$40,"&lt;&gt;"&amp;""),"",INDEX(EF$4:EF$40,MATCH(ROW()-3,EG$4:EG$40,0)))</f>
        <v/>
      </c>
      <c r="EI33">
        <f>EI32+IF(AND(EH33&lt;&gt;"",COUNTIF(EH$4:EH33,EH33)=1),1,0)</f>
        <v/>
      </c>
      <c r="EJ33">
        <f>IF(ROW()-3&gt;MAX(EI$4:EI$40),"",INDEX(EH$4:EH$40,MATCH(ROW()-3,EI$4:EI$40,0)))</f>
        <v/>
      </c>
      <c r="EK33">
        <f>IF('Final Calculation Sheet'!$AA$33="","",'Final Calculation Sheet'!$AA$33)</f>
        <v/>
      </c>
      <c r="EL33">
        <f>IF(EK33="","",COUNTIFS(EK$4:EK$40,"&lt;"&amp;EK33,EK$4:EK$40,"&lt;&gt;"&amp;"")+COUNTIF(EK$4:EK33,EK33))</f>
        <v/>
      </c>
      <c r="EM33">
        <f>IF(ROW()-3&gt;COUNTIF(EK$4:EK$40,"&lt;&gt;"&amp;""),"",INDEX(EK$4:EK$40,MATCH(ROW()-3,EL$4:EL$40,0)))</f>
        <v/>
      </c>
      <c r="EN33">
        <f>EN32+IF(AND(EM33&lt;&gt;"",COUNTIF(EM$4:EM33,EM33)=1),1,0)</f>
        <v/>
      </c>
      <c r="EO33">
        <f>IF(ROW()-3&gt;MAX(EN$4:EN$40),"",INDEX(EM$4:EM$40,MATCH(ROW()-3,EN$4:EN$40,0)))</f>
        <v/>
      </c>
      <c r="EP33">
        <f>IF('Final Calculation Sheet'!$AB$33="","",'Final Calculation Sheet'!$AB$33)</f>
        <v/>
      </c>
      <c r="EQ33">
        <f>IF(EP33="","",COUNTIFS(EP$4:EP$40,"&lt;"&amp;EP33,EP$4:EP$40,"&lt;&gt;"&amp;"")+COUNTIF(EP$4:EP33,EP33))</f>
        <v/>
      </c>
      <c r="ER33">
        <f>IF(ROW()-3&gt;COUNTIF(EP$4:EP$40,"&lt;&gt;"&amp;""),"",INDEX(EP$4:EP$40,MATCH(ROW()-3,EQ$4:EQ$40,0)))</f>
        <v/>
      </c>
      <c r="ES33">
        <f>ES32+IF(AND(ER33&lt;&gt;"",COUNTIF(ER$4:ER33,ER33)=1),1,0)</f>
        <v/>
      </c>
      <c r="ET33">
        <f>IF(ROW()-3&gt;MAX(ES$4:ES$40),"",INDEX(ER$4:ER$40,MATCH(ROW()-3,ES$4:ES$40,0)))</f>
        <v/>
      </c>
      <c r="EU33" s="55">
        <f>IF('Final Calculation Sheet'!$AC$33="","",'Final Calculation Sheet'!$AC$33)</f>
        <v/>
      </c>
      <c r="EV33">
        <f>IF(EU33="","",COUNTIFS(EU$4:EU$40,"&lt;"&amp;EU33,EU$4:EU$40,"&lt;&gt;"&amp;"")+COUNTIF(EU$4:EU33,EU33))</f>
        <v/>
      </c>
      <c r="EW33" s="55">
        <f>IF(ROW()-3&gt;COUNTIF(EU$4:EU$40,"&lt;&gt;"&amp;""),"",INDEX(EU$4:EU$40,MATCH(ROW()-3,EV$4:EV$40,0)))</f>
        <v/>
      </c>
      <c r="EX33">
        <f>EX32+IF(AND(EW33&lt;&gt;"",COUNTIF(EW$4:EW33,EW33)=1),1,0)</f>
        <v/>
      </c>
      <c r="EY33" s="55">
        <f>IF(ROW()-3&gt;MAX(EX$4:EX$40),"",INDEX(EW$4:EW$40,MATCH(ROW()-3,EX$4:EX$40,0)))</f>
        <v/>
      </c>
      <c r="EZ33" s="55">
        <f>IF('Final Calculation Sheet'!$AD$33="","",'Final Calculation Sheet'!$AD$33)</f>
        <v/>
      </c>
      <c r="FA33">
        <f>IF(EZ33="","",COUNTIFS(EZ$4:EZ$40,"&lt;"&amp;EZ33,EZ$4:EZ$40,"&lt;&gt;"&amp;"")+COUNTIF(EZ$4:EZ33,EZ33))</f>
        <v/>
      </c>
      <c r="FB33" s="55">
        <f>IF(ROW()-3&gt;COUNTIF(EZ$4:EZ$40,"&lt;&gt;"&amp;""),"",INDEX(EZ$4:EZ$40,MATCH(ROW()-3,FA$4:FA$40,0)))</f>
        <v/>
      </c>
      <c r="FC33">
        <f>FC32+IF(AND(FB33&lt;&gt;"",COUNTIF(FB$4:FB33,FB33)=1),1,0)</f>
        <v/>
      </c>
      <c r="FD33">
        <f>IF(ROW()-3&gt;MAX(FC$4:FC$40),"",INDEX(FB$4:FB$40,MATCH(ROW()-3,FC$4:FC$40,0)))</f>
        <v/>
      </c>
      <c r="FE33">
        <f>IF('Final Calculation Sheet'!$AF$33="","",'Final Calculation Sheet'!$AF$33)</f>
        <v/>
      </c>
      <c r="FF33">
        <f>IF(FE33="","",COUNTIFS(FE$4:FE$40,"&lt;"&amp;FE33,FE$4:FE$40,"&lt;&gt;"&amp;"")+COUNTIF(FE$4:FE33,FE33))</f>
        <v/>
      </c>
      <c r="FG33">
        <f>IF(ROW()-3&gt;COUNTIF(FE$4:FE$40,"&lt;&gt;"&amp;""),"",INDEX(FE$4:FE$40,MATCH(ROW()-3,FF$4:FF$40,0)))</f>
        <v/>
      </c>
      <c r="FH33">
        <f>FH32+IF(AND(FG33&lt;&gt;"",COUNTIF(FG$4:FG33,FG33)=1),1,0)</f>
        <v/>
      </c>
      <c r="FI33">
        <f>IF(ROW()-3&gt;MAX(FH$4:FH$40),"",INDEX(FG$4:FG$40,MATCH(ROW()-3,FH$4:FH$40,0)))</f>
        <v/>
      </c>
      <c r="FJ33" s="141">
        <f>IF('Final Calculation Sheet'!$AG$33="","",'Final Calculation Sheet'!$AG$33)</f>
        <v/>
      </c>
      <c r="FK33">
        <f>IF(FJ33="","",COUNTIFS(FJ$4:FJ$40,"&lt;"&amp;FJ33,FJ$4:FJ$40,"&lt;&gt;"&amp;"")+COUNTIF(FJ$4:FJ33,FJ33))</f>
        <v/>
      </c>
      <c r="FL33" s="141">
        <f>IF(ROW()-3&gt;COUNTIF(FJ$4:FJ$40,"&lt;&gt;"&amp;""),"",INDEX(FJ$4:FJ$40,MATCH(ROW()-3,FK$4:FK$40,0)))</f>
        <v/>
      </c>
      <c r="FM33">
        <f>FM32+IF(AND(FL33&lt;&gt;"",COUNTIF(FL$4:FL33,FL33)=1),1,0)</f>
        <v/>
      </c>
      <c r="FN33">
        <f>IF(ROW()-3&gt;MAX(FM$4:FM$40),"",INDEX(FL$4:FL$40,MATCH(ROW()-3,FM$4:FM$40,0)))</f>
        <v/>
      </c>
      <c r="FO33">
        <f>IF('Final Calculation Sheet'!$AH$33="","",'Final Calculation Sheet'!$AH$33)</f>
        <v/>
      </c>
      <c r="FP33">
        <f>IF(FO33="","",COUNTIFS(FO$4:FO$40,"&lt;"&amp;FO33,FO$4:FO$40,"&lt;&gt;"&amp;"")+COUNTIF(FO$4:FO33,FO33))</f>
        <v/>
      </c>
      <c r="FQ33">
        <f>IF(ROW()-3&gt;COUNTIF(FO$4:FO$40,"&lt;&gt;"&amp;""),"",INDEX(FO$4:FO$40,MATCH(ROW()-3,FP$4:FP$40,0)))</f>
        <v/>
      </c>
      <c r="FR33">
        <f>FR32+IF(AND(FQ33&lt;&gt;"",COUNTIF(FQ$4:FQ33,FQ33)=1),1,0)</f>
        <v/>
      </c>
      <c r="FS33">
        <f>IF(ROW()-3&gt;MAX(FR$4:FR$40),"",INDEX(FQ$4:FQ$40,MATCH(ROW()-3,FR$4:FR$40,0)))</f>
        <v/>
      </c>
      <c r="FU33">
        <f>IF(FT33="","",COUNTIFS(FT$4:FT$40,"&lt;"&amp;FT33,FT$4:FT$40,"&lt;&gt;"&amp;"")+COUNTIF(FT$4:FT33,FT33))</f>
        <v/>
      </c>
      <c r="FV33">
        <f>IF(ROW()-3&gt;COUNTIF(FT$4:FT$40,"&lt;&gt;"&amp;""),"",INDEX(FT$4:FT$40,MATCH(ROW()-3,FU$4:FU$40,0)))</f>
        <v/>
      </c>
      <c r="FW33">
        <f>FW32+IF(AND(FV33&lt;&gt;"",COUNTIF(FV$4:FV33,FV33)=1),1,0)</f>
        <v/>
      </c>
      <c r="FX33">
        <f>IF(ROW()-3&gt;MAX(FW$4:FW$40),"",INDEX(FV$4:FV$40,MATCH(ROW()-3,FW$4:FW$40,0)))</f>
        <v/>
      </c>
      <c r="FY33">
        <f>IF(COUNTIF('Live Search'!BM$32:BO$32,0)+COUNTIF('Live Search'!BQ$32:CU$32,0)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3">
        <f>IF($Y$33="",FALSE,SUMPRODUCT(('Final Calculation Sheet'!$B$4:$B$40=$Y$33)*($FY$6:$FY$42=1))&gt;0)</f>
        <v/>
      </c>
      <c r="GA33">
        <f>$GA$32+--($FZ$33)</f>
        <v/>
      </c>
      <c r="GB33">
        <f>IF(ROW()-3&gt;MAX($GA$4:$GA$40),"",INDEX($Y$4:$Y$40,MATCH(ROW()-3,$GA$4:$GA$40,0)))</f>
        <v/>
      </c>
      <c r="GC33">
        <f>IF(COUNTIF('Live Search'!BM$32:BM$32,0)+COUNTIF('Live Search'!BO$32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GD33">
        <f>IF($O$33="",FALSE,SUMPRODUCT(('Final Calculation Sheet'!$F$4:$F$40=$O$33)*($GC$6:$GC$42=1))&gt;0)</f>
        <v/>
      </c>
      <c r="GE33">
        <f>$GE$32+--($GD33)</f>
        <v/>
      </c>
      <c r="GF33">
        <f>IF(ROW()-3&gt;MAX($GE$4:$GE$40),"",INDEX($O$4:$O$40,MATCH(ROW()-3,$GE$4:$GE$40,0)))</f>
        <v/>
      </c>
      <c r="GG33">
        <f>IF(COUNTIF('Live Search'!BM$32:BN$32,0)+COUNTIF('Live Search'!BP$32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GH33">
        <f>IF($T$33="",FALSE,SUMPRODUCT(('Final Calculation Sheet'!$G$4:$G$40=$T$33)*($GG$6:$GG$42=1))&gt;0)</f>
        <v/>
      </c>
      <c r="GI33">
        <f>$GI$32+--($GH33)</f>
        <v/>
      </c>
      <c r="GJ33">
        <f>IF(ROW()-3&gt;MAX($GI$4:$GI$40),"",INDEX($T$4:$T$40,MATCH(ROW()-3,$GI$4:$GI$40,0)))</f>
        <v/>
      </c>
      <c r="GK33">
        <f>IF(COUNTIF('Live Search'!BM$32:BP$32,0)+COUNTIF('Live Search'!BR$32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GL33">
        <f>IF($AD$33="",FALSE,SUMPRODUCT(('Final Calculation Sheet'!$D$4:$D$40=$AD$33)*($GK$6:$GK$42=1))&gt;0)</f>
        <v/>
      </c>
      <c r="GM33">
        <f>$GM$32+--($GL33)</f>
        <v/>
      </c>
      <c r="GN33">
        <f>IF(ROW()-3&gt;MAX($GM$4:$GM$40),"",INDEX($AD$4:$AD$40,MATCH(ROW()-3,$GM$4:$GM$40,0)))</f>
        <v/>
      </c>
      <c r="GO33">
        <f>IF(COUNTIF('Live Search'!BM$32:BQ$32,0)+COUNTIF('Live Search'!BS$32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GP33">
        <f>IF($AI$33="",FALSE,SUMPRODUCT(('Final Calculation Sheet'!$A$4:$A$40=$AI$33)*($GO$6:$GO$42=1))&gt;0)</f>
        <v/>
      </c>
      <c r="GQ33">
        <f>$GQ$32+--($GP33)</f>
        <v/>
      </c>
      <c r="GR33">
        <f>IF(ROW()-3&gt;MAX($GQ$4:$GQ$40),"",INDEX($AI$4:$AI$40,MATCH(ROW()-3,$GQ$4:$GQ$40,0)))</f>
        <v/>
      </c>
      <c r="GS33">
        <f>IF(COUNTIF('Live Search'!BM$32:BR$32,0)+COUNTIF('Live Search'!BT$32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GT33">
        <f>IF($AN$33="",FALSE,SUMPRODUCT(('Final Calculation Sheet'!$E$4:$E$40=$AN$33)*($GS$6:$GS$42=1))&gt;0)</f>
        <v/>
      </c>
      <c r="GU33">
        <f>$GU$32+--($GT33)</f>
        <v/>
      </c>
      <c r="GV33">
        <f>IF(ROW()-3&gt;MAX($GU$4:$GU$40),"",INDEX($AN$4:$AN$40,MATCH(ROW()-3,$GU$4:$GU$40,0)))</f>
        <v/>
      </c>
      <c r="GW33">
        <f>IF(COUNTIF('Live Search'!BM$32:BS$32,0)+COUNTIF('Live Search'!BU$32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GX33">
        <f>IF($AS$33="",FALSE,SUMPRODUCT(('Final Calculation Sheet'!$C$4:$C$40=$AS$33)*($GW$6:$GW$42=1))&gt;0)</f>
        <v/>
      </c>
      <c r="GY33">
        <f>$GY$32+--($GX33)</f>
        <v/>
      </c>
      <c r="GZ33">
        <f>IF(ROW()-3&gt;MAX($GY$4:$GY$40),"",INDEX($AS$4:$AS$40,MATCH(ROW()-3,$GY$4:$GY$40,0)))</f>
        <v/>
      </c>
      <c r="HA33">
        <f>IF(COUNTIF('Live Search'!BM$32:BT$32,0)+COUNTIF('Live Search'!BV$32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HB33">
        <f>IF($AX$33="",FALSE,SUMPRODUCT(('Final Calculation Sheet'!$H$4:$H$40=$AX$33)*($HA$6:$HA$42=1))&gt;0)</f>
        <v/>
      </c>
      <c r="HC33">
        <f>$HC$32+--($HB33)</f>
        <v/>
      </c>
      <c r="HD33">
        <f>IF(ROW()-3&gt;MAX($HC$4:$HC$40),"",INDEX($AX$4:$AX$40,MATCH(ROW()-3,$HC$4:$HC$40,0)))</f>
        <v/>
      </c>
      <c r="HE33">
        <f>IF(COUNTIF('Live Search'!BM$32:BU$32,0)+COUNTIF('Live Search'!BW$32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HF33">
        <f>IF($BC$33="",FALSE,SUMPRODUCT(('Final Calculation Sheet'!$I$4:$I$40=$BC$33)*($HE$6:$HE$42=1))&gt;0)</f>
        <v/>
      </c>
      <c r="HG33">
        <f>$HG$32+--($HF33)</f>
        <v/>
      </c>
      <c r="HH33">
        <f>IF(ROW()-3&gt;MAX($HG$4:$HG$40),"",INDEX($BC$4:$BC$40,MATCH(ROW()-3,$HG$4:$HG$40,0)))</f>
        <v/>
      </c>
      <c r="HI33">
        <f>IF(COUNTIF('Live Search'!BM$32:BV$32,0)+COUNTIF('Live Search'!BX$32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HJ33">
        <f>IF($BH$33="",FALSE,SUMPRODUCT(('Final Calculation Sheet'!$J$4:$J$40=$BH$33)*($HI$6:$HI$42=1))&gt;0)</f>
        <v/>
      </c>
      <c r="HK33">
        <f>$HK$32+--($HJ33)</f>
        <v/>
      </c>
      <c r="HL33">
        <f>IF(ROW()-3&gt;MAX($HK$4:$HK$40),"",INDEX($BH$4:$BH$40,MATCH(ROW()-3,$HK$4:$HK$40,0)))</f>
        <v/>
      </c>
      <c r="HM33">
        <f>IF(COUNTIF('Live Search'!BM$32:BW$32,0)+COUNTIF('Live Search'!BY$32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HN33">
        <f>IF($BM$33="",FALSE,SUMPRODUCT(('Final Calculation Sheet'!$K$4:$K$40=$BM$33)*($HM$6:$HM$42=1))&gt;0)</f>
        <v/>
      </c>
      <c r="HO33">
        <f>$HO$32+--($HN33)</f>
        <v/>
      </c>
      <c r="HP33">
        <f>IF(ROW()-3&gt;MAX($HO$4:$HO$40),"",INDEX($BM$4:$BM$40,MATCH(ROW()-3,$HO$4:$HO$40,0)))</f>
        <v/>
      </c>
      <c r="HQ33">
        <f>IF(COUNTIF('Live Search'!BM$32:BX$32,0)+COUNTIF('Live Search'!BZ$32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HR33">
        <f>IF($BR$33="",FALSE,SUMPRODUCT(('Final Calculation Sheet'!$L$4:$L$40=$BR$33)*($HQ$6:$HQ$42=1))&gt;0)</f>
        <v/>
      </c>
      <c r="HS33">
        <f>$HS$32+--($HR33)</f>
        <v/>
      </c>
      <c r="HT33">
        <f>IF(ROW()-3&gt;MAX($HS$4:$HS$40),"",INDEX($BR$4:$BR$40,MATCH(ROW()-3,$HS$4:$HS$40,0)))</f>
        <v/>
      </c>
      <c r="HU33">
        <f>IF(COUNTIF('Live Search'!BM$32:BY$32,0)+COUNTIF('Live Search'!CA$32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HV33">
        <f>IF($BW$33="",FALSE,SUMPRODUCT(('Final Calculation Sheet'!$M$4:$M$40=$BW$33)*($HU$6:$HU$42=1))&gt;0)</f>
        <v/>
      </c>
      <c r="HW33">
        <f>$HW$32+--($HV33)</f>
        <v/>
      </c>
      <c r="HX33">
        <f>IF(ROW()-3&gt;MAX($HW$4:$HW$40),"",INDEX($BW$4:$BW$40,MATCH(ROW()-3,$HW$4:$HW$40,0)))</f>
        <v/>
      </c>
      <c r="HY33">
        <f>IF(COUNTIF('Live Search'!BM$32:BZ$32,0)+COUNTIF('Live Search'!CB$32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HZ33">
        <f>IF($CB$33="",FALSE,SUMPRODUCT(('Final Calculation Sheet'!$N$4:$N$40=$CB$33)*($HY$6:$HY$42=1))&gt;0)</f>
        <v/>
      </c>
      <c r="IA33">
        <f>$IA$32+--($HZ33)</f>
        <v/>
      </c>
      <c r="IB33">
        <f>IF(ROW()-3&gt;MAX($IA$4:$IA$40),"",INDEX($CB$4:$CB$40,MATCH(ROW()-3,$IA$4:$IA$40,0)))</f>
        <v/>
      </c>
      <c r="IC33">
        <f>IF(COUNTIF('Live Search'!BM$32:CA$32,0)+COUNTIF('Live Search'!CC$32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ID33">
        <f>IF($CG$33="",FALSE,SUMPRODUCT(('Final Calculation Sheet'!$O$4:$O$40=$CG$33)*($IC$6:$IC$42=1))&gt;0)</f>
        <v/>
      </c>
      <c r="IE33">
        <f>$IE$32+--($ID33)</f>
        <v/>
      </c>
      <c r="IF33">
        <f>IF(ROW()-3&gt;MAX($IE$4:$IE$40),"",INDEX($CG$4:$CG$40,MATCH(ROW()-3,$IE$4:$IE$40,0)))</f>
        <v/>
      </c>
      <c r="IG33">
        <f>IF(COUNTIF('Live Search'!BM$32:CB$32,0)+COUNTIF('Live Search'!CD$32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IH33">
        <f>IF($CL$33="",FALSE,SUMPRODUCT(('Final Calculation Sheet'!$P$4:$P$40=$CL$33)*($IG$6:$IG$42=1))&gt;0)</f>
        <v/>
      </c>
      <c r="II33">
        <f>$II$32+--($IH33)</f>
        <v/>
      </c>
      <c r="IJ33">
        <f>IF(ROW()-3&gt;MAX($II$4:$II$40),"",INDEX($CL$4:$CL$40,MATCH(ROW()-3,$II$4:$II$40,0)))</f>
        <v/>
      </c>
      <c r="IK33">
        <f>IF(COUNTIF('Live Search'!BM$32:CC$32,0)+COUNTIF('Live Search'!CE$32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IL33">
        <f>IF($CQ$33="",FALSE,SUMPRODUCT(('Final Calculation Sheet'!$Q$4:$Q$40=$CQ$33)*($IK$6:$IK$42=1))&gt;0)</f>
        <v/>
      </c>
      <c r="IM33">
        <f>$IM$32+--($IL33)</f>
        <v/>
      </c>
      <c r="IN33">
        <f>IF(ROW()-3&gt;MAX($IM$4:$IM$40),"",INDEX($CQ$4:$CQ$40,MATCH(ROW()-3,$IM$4:$IM$40,0)))</f>
        <v/>
      </c>
      <c r="IO33">
        <f>IF(COUNTIF('Live Search'!BM$32:CD$32,0)+COUNTIF('Live Search'!CF$32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IP33">
        <f>IF($CV$33="",FALSE,SUMPRODUCT(('Final Calculation Sheet'!$R$4:$R$40=$CV$33)*($IO$6:$IO$42=1))&gt;0)</f>
        <v/>
      </c>
      <c r="IQ33">
        <f>$IQ$32+--($IP33)</f>
        <v/>
      </c>
      <c r="IR33">
        <f>IF(ROW()-3&gt;MAX($IQ$4:$IQ$40),"",INDEX($CV$4:$CV$40,MATCH(ROW()-3,$IQ$4:$IQ$40,0)))</f>
        <v/>
      </c>
      <c r="IS33">
        <f>IF(COUNTIF('Live Search'!BM$32:CE$32,0)+COUNTIF('Live Search'!CG$32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IT33">
        <f>IF($DA$33="",FALSE,SUMPRODUCT(('Final Calculation Sheet'!$S$4:$S$40=$DA$33)*($IS$6:$IS$42=1))&gt;0)</f>
        <v/>
      </c>
      <c r="IU33">
        <f>$IU$32+--($IT33)</f>
        <v/>
      </c>
      <c r="IV33">
        <f>IF(ROW()-3&gt;MAX($IU$4:$IU$40),"",INDEX($DA$4:$DA$40,MATCH(ROW()-3,$IU$4:$IU$40,0)))</f>
        <v/>
      </c>
      <c r="IW33">
        <f>IF(COUNTIF('Live Search'!BM$32:CF$32,0)+COUNTIF('Live Search'!CH$32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IX33">
        <f>IF($DF$33="",FALSE,SUMPRODUCT(('Final Calculation Sheet'!$T$4:$T$40=$DF$33)*($IW$6:$IW$42=1))&gt;0)</f>
        <v/>
      </c>
      <c r="IY33">
        <f>$IY$32+--($IX33)</f>
        <v/>
      </c>
      <c r="IZ33">
        <f>IF(ROW()-3&gt;MAX($IY$4:$IY$40),"",INDEX($DF$4:$DF$40,MATCH(ROW()-3,$IY$4:$IY$40,0)))</f>
        <v/>
      </c>
      <c r="JA33">
        <f>IF(COUNTIF('Live Search'!BM$32:CG$32,0)+COUNTIF('Live Search'!CI$32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JB33">
        <f>IF($DK$33="",FALSE,SUMPRODUCT(('Final Calculation Sheet'!$U$4:$U$40=$DK$33)*($JA$6:$JA$42=1))&gt;0)</f>
        <v/>
      </c>
      <c r="JC33">
        <f>$JC$32+--($JB33)</f>
        <v/>
      </c>
      <c r="JD33">
        <f>IF(ROW()-3&gt;MAX($JC$4:$JC$40),"",INDEX($DK$4:$DK$40,MATCH(ROW()-3,$JC$4:$JC$40,0)))</f>
        <v/>
      </c>
      <c r="JE33">
        <f>IF(COUNTIF('Live Search'!BM$32:CH$32,0)+COUNTIF('Live Search'!CJ$32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JF33">
        <f>IF($DP$33="",FALSE,SUMPRODUCT(('Final Calculation Sheet'!$V$4:$V$40=$DP$33)*($JE$6:$JE$42=1))&gt;0)</f>
        <v/>
      </c>
      <c r="JG33">
        <f>$JG$32+--($JF33)</f>
        <v/>
      </c>
      <c r="JH33">
        <f>IF(ROW()-3&gt;MAX($JG$4:$JG$40),"",INDEX($DP$4:$DP$40,MATCH(ROW()-3,$JG$4:$JG$40,0)))</f>
        <v/>
      </c>
      <c r="JI33">
        <f>IF(COUNTIF('Live Search'!BM$32:CI$32,0)+COUNTIF('Live Search'!CK$32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JJ33">
        <f>IF($DU$33="",FALSE,SUMPRODUCT(('Final Calculation Sheet'!$W$4:$W$40=$DU$33)*($JI$6:$JI$42=1))&gt;0)</f>
        <v/>
      </c>
      <c r="JK33">
        <f>$JK$32+--($JJ33)</f>
        <v/>
      </c>
      <c r="JL33">
        <f>IF(ROW()-3&gt;MAX($JK$4:$JK$40),"",INDEX($DU$4:$DU$40,MATCH(ROW()-3,$JK$4:$JK$40,0)))</f>
        <v/>
      </c>
      <c r="JM33">
        <f>IF(COUNTIF('Live Search'!BM$32:CJ$32,0)+COUNTIF('Live Search'!CL$32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JN33">
        <f>IF($DZ$33="",FALSE,SUMPRODUCT(('Final Calculation Sheet'!$X$4:$X$40=$DZ$33)*($JM$6:$JM$42=1))&gt;0)</f>
        <v/>
      </c>
      <c r="JO33">
        <f>$JO$32+--($JN33)</f>
        <v/>
      </c>
      <c r="JP33">
        <f>IF(ROW()-3&gt;MAX($JO$4:$JO$40),"",INDEX($DZ$4:$DZ$40,MATCH(ROW()-3,$JO$4:$JO$40,0)))</f>
        <v/>
      </c>
      <c r="JQ33">
        <f>IF(COUNTIF('Live Search'!BM$32:CK$32,0)+COUNTIF('Live Search'!CM$32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JR33">
        <f>IF($EE$33="",FALSE,SUMPRODUCT(('Final Calculation Sheet'!$Y$4:$Y$40=$EE$33)*($JQ$6:$JQ$42=1))&gt;0)</f>
        <v/>
      </c>
      <c r="JS33">
        <f>$JS$32+--($JR33)</f>
        <v/>
      </c>
      <c r="JT33">
        <f>IF(ROW()-3&gt;MAX($JS$4:$JS$40),"",INDEX($EE$4:$EE$40,MATCH(ROW()-3,$JS$4:$JS$40,0)))</f>
        <v/>
      </c>
      <c r="JU33">
        <f>IF(COUNTIF('Live Search'!BM$32:CL$32,0)+COUNTIF('Live Search'!CN$32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JV33">
        <f>IF($EJ$33="",FALSE,SUMPRODUCT(('Final Calculation Sheet'!$Z$4:$Z$40=$EJ$33)*($JU$6:$JU$42=1))&gt;0)</f>
        <v/>
      </c>
      <c r="JW33">
        <f>$JW$32+--($JV33)</f>
        <v/>
      </c>
      <c r="JX33">
        <f>IF(ROW()-3&gt;MAX($JW$4:$JW$40),"",INDEX($EJ$4:$EJ$40,MATCH(ROW()-3,$JW$4:$JW$40,0)))</f>
        <v/>
      </c>
      <c r="JY33">
        <f>IF(COUNTIF('Live Search'!BM$32:CM$32,0)+COUNTIF('Live Search'!CO$32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JZ33">
        <f>IF($EO$33="",FALSE,SUMPRODUCT(('Final Calculation Sheet'!$AA$4:$AA$40=$EO$33)*($JY$6:$JY$42=1))&gt;0)</f>
        <v/>
      </c>
      <c r="KA33">
        <f>$KA$32+--($JZ33)</f>
        <v/>
      </c>
      <c r="KB33">
        <f>IF(ROW()-3&gt;MAX($KA$4:$KA$40),"",INDEX($EO$4:$EO$40,MATCH(ROW()-3,$KA$4:$KA$40,0)))</f>
        <v/>
      </c>
      <c r="KC33">
        <f>IF(COUNTIF('Live Search'!BM$32:CN$32,0)+COUNTIF('Live Search'!CP$32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KD33">
        <f>IF($ET$33="",FALSE,SUMPRODUCT(('Final Calculation Sheet'!$AB$4:$AB$40=$ET$33)*($KC$6:$KC$42=1))&gt;0)</f>
        <v/>
      </c>
      <c r="KE33">
        <f>$KE$32+--($KD33)</f>
        <v/>
      </c>
      <c r="KF33">
        <f>IF(ROW()-3&gt;MAX($KE$4:$KE$40),"",INDEX($ET$4:$ET$40,MATCH(ROW()-3,$KE$4:$KE$40,0)))</f>
        <v/>
      </c>
      <c r="KG33">
        <f>IF(COUNTIF('Live Search'!BM$32:CO$32,0)+COUNTIF('Live Search'!CQ$32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KH33">
        <f>IF($EY$33="",FALSE,SUMPRODUCT(('Final Calculation Sheet'!$AC$4:$AC$40=$EY$33)*($KG$6:$KG$42=1))&gt;0)</f>
        <v/>
      </c>
      <c r="KI33">
        <f>$KI$32+--($KH33)</f>
        <v/>
      </c>
      <c r="KJ33">
        <f>IF(ROW()-3&gt;MAX($KI$4:$KI$40),"",INDEX($EY$4:$EY$40,MATCH(ROW()-3,$KI$4:$KI$40,0)))</f>
        <v/>
      </c>
      <c r="KK33">
        <f>IF(COUNTIF('Live Search'!BM$32:CP$32,0)+COUNTIF('Live Search'!CR$32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KL33">
        <f>IF($FD$33="",FALSE,SUMPRODUCT(('Final Calculation Sheet'!$AD$4:$AD$40=$FD$33)*($KK$6:$KK$42=1))&gt;0)</f>
        <v/>
      </c>
      <c r="KM33">
        <f>$KM$32+--($KL33)</f>
        <v/>
      </c>
      <c r="KN33">
        <f>IF(ROW()-3&gt;MAX($KM$4:$KM$40),"",INDEX($FD$4:$FD$40,MATCH(ROW()-3,$KM$4:$KM$40,0)))</f>
        <v/>
      </c>
      <c r="KO33">
        <f>IF(COUNTIF('Live Search'!BM$32:CT$32,0)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KP33">
        <f>IF($FX$33="",FALSE,SUMPRODUCT((IF('Final Calculation Sheet'!$AD$4:$AD$40&lt;=5,"SETTLED","OUTSTANDING")=$FX$33)*($KO$6:$KO$42=1))&gt;0)</f>
        <v/>
      </c>
      <c r="KQ33">
        <f>$KQ$32+--($KP33)</f>
        <v/>
      </c>
      <c r="KR33">
        <f>IF(ROW()-3&gt;MAX($KQ$4:$KQ$40),"",INDEX($FX$4:$FX$40,MATCH(ROW()-3,$KQ$4:$KQ$40,0)))</f>
        <v/>
      </c>
      <c r="KS33">
        <f>IF(COUNTIF('Live Search'!BM$32:CQ$32,0)+COUNTIF('Live Search'!CS$32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KT33">
        <f>IF($FI$33="",FALSE,SUMPRODUCT(('Final Calculation Sheet'!$AF$4:$AF$40=$FI$33)*($KS$6:$KS$42=1))&gt;0)</f>
        <v/>
      </c>
      <c r="KU33">
        <f>$KU$32+--($KT33)</f>
        <v/>
      </c>
      <c r="KV33">
        <f>IF(ROW()-3&gt;MAX($KU$4:$KU$40),"",INDEX($FI$4:$FI$40,MATCH(ROW()-3,$KU$4:$KU$40,0)))</f>
        <v/>
      </c>
      <c r="KW33">
        <f>IF(COUNTIF('Live Search'!BM$32:CR$32,0)+COUNTIF('Live Search'!CT$32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KX33">
        <f>IF($FN$33="",FALSE,SUMPRODUCT(('Final Calculation Sheet'!$AG$4:$AG$40=$FN$33)*($KW$6:$KW$42=1))&gt;0)</f>
        <v/>
      </c>
      <c r="KY33">
        <f>$KY$32+--($KX33)</f>
        <v/>
      </c>
      <c r="KZ33">
        <f>IF(ROW()-3&gt;MAX($KY$4:$KY$40),"",INDEX($FN$4:$FN$40,MATCH(ROW()-3,$KY$4:$KY$40,0)))</f>
        <v/>
      </c>
      <c r="LA33">
        <f>IF(COUNTIF('Live Search'!BM$32:CS$32,0)+COUNTIF('Live Search'!CU$32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LB33">
        <f>IF($FS$33="",FALSE,SUMPRODUCT(('Final Calculation Sheet'!$AH$4:$AH$40=$FS$33)*($LA$6:$LA$42=1))&gt;0)</f>
        <v/>
      </c>
      <c r="LC33">
        <f>$LC$32+--($LB33)</f>
        <v/>
      </c>
      <c r="LD33">
        <f>IF(ROW()-3&gt;MAX($LC$4:$LC$40),"",INDEX($FS$4:$FS$40,MATCH(ROW()-3,$LC$4:$LC$40,0)))</f>
        <v/>
      </c>
      <c r="LE33">
        <f>IF(COUNTIF('Buyer Groups'!DH86:EN86,0)&gt;0,0,1)</f>
        <v/>
      </c>
      <c r="LF33">
        <f>IF($O$33="",FALSE,SUMPRODUCT(('Final Calculation Sheet'!$F$4:$F$40=$O$33)*($LE$6:$LE$42=1))&gt;0)</f>
        <v/>
      </c>
      <c r="LG33">
        <f>$LG$32+--($LF33)</f>
        <v/>
      </c>
      <c r="LH33">
        <f>IF(ROW()-3&gt;MAX($LG$4:$LG$40),"",INDEX($O$4:$O$40,MATCH(ROW()-3,$LG$4:$LG$40,0)))</f>
        <v/>
      </c>
      <c r="LI33">
        <f>IF(COUNTIF('Buyer Groups'!DG86:DG86,0)+COUNTIF('Buyer Groups'!DI86:EN86,0)&gt;0,0,1)</f>
        <v/>
      </c>
      <c r="LJ33">
        <f>IF($T$33="",FALSE,SUMPRODUCT(('Final Calculation Sheet'!$G$4:$G$40=$T$33)*($LI$6:$LI$42=1))&gt;0)</f>
        <v/>
      </c>
      <c r="LK33">
        <f>$LK$32+--($LJ33)</f>
        <v/>
      </c>
      <c r="LL33">
        <f>IF(ROW()-3&gt;MAX($LK$4:$LK$40),"",INDEX($T$4:$T$40,MATCH(ROW()-3,$LK$4:$LK$40,0)))</f>
        <v/>
      </c>
      <c r="LM33">
        <f>IF(COUNTIF('Buyer Groups'!DG86:DH86,0)+COUNTIF('Buyer Groups'!DJ86:EN86,0)&gt;0,0,1)</f>
        <v/>
      </c>
      <c r="LN33">
        <f>IF($Y$33="",FALSE,SUMPRODUCT(('Final Calculation Sheet'!$B$4:$B$40=$Y$33)*($LM$6:$LM$42=1))&gt;0)</f>
        <v/>
      </c>
      <c r="LO33">
        <f>$LO$32+--($LN33)</f>
        <v/>
      </c>
      <c r="LP33">
        <f>IF(ROW()-3&gt;MAX($LO$4:$LO$40),"",INDEX($Y$4:$Y$40,MATCH(ROW()-3,$LO$4:$LO$40,0)))</f>
        <v/>
      </c>
      <c r="LQ33">
        <f>IF(COUNTIF('Buyer Groups'!DG86:DI86,0)+COUNTIF('Buyer Groups'!DK86:EN86,0)&gt;0,0,1)</f>
        <v/>
      </c>
      <c r="LR33">
        <f>IF($AD$33="",FALSE,SUMPRODUCT(('Final Calculation Sheet'!$D$4:$D$40=$AD$33)*($LQ$6:$LQ$42=1))&gt;0)</f>
        <v/>
      </c>
      <c r="LS33">
        <f>$LS$32+--($LR33)</f>
        <v/>
      </c>
      <c r="LT33">
        <f>IF(ROW()-3&gt;MAX($LS$4:$LS$40),"",INDEX($AD$4:$AD$40,MATCH(ROW()-3,$LS$4:$LS$40,0)))</f>
        <v/>
      </c>
      <c r="LU33">
        <f>IF(COUNTIF('Buyer Groups'!DG86:DJ86,0)+COUNTIF('Buyer Groups'!DL86:EN86,0)&gt;0,0,1)</f>
        <v/>
      </c>
      <c r="LV33">
        <f>IF($AI$33="",FALSE,SUMPRODUCT(('Final Calculation Sheet'!$A$4:$A$40=$AI$33)*($LU$6:$LU$42=1))&gt;0)</f>
        <v/>
      </c>
      <c r="LW33">
        <f>$LW$32+--($LV33)</f>
        <v/>
      </c>
      <c r="LX33">
        <f>IF(ROW()-3&gt;MAX($LW$4:$LW$40),"",INDEX($AI$4:$AI$40,MATCH(ROW()-3,$LW$4:$LW$40,0)))</f>
        <v/>
      </c>
      <c r="LY33">
        <f>IF(COUNTIF('Buyer Groups'!DG86:DK86,0)+COUNTIF('Buyer Groups'!DM86:EN86,0)&gt;0,0,1)</f>
        <v/>
      </c>
      <c r="LZ33">
        <f>IF($AN$33="",FALSE,SUMPRODUCT(('Final Calculation Sheet'!$E$4:$E$40=$AN$33)*($LY$6:$LY$42=1))&gt;0)</f>
        <v/>
      </c>
      <c r="MA33">
        <f>$MA$32+--($LZ33)</f>
        <v/>
      </c>
      <c r="MB33">
        <f>IF(ROW()-3&gt;MAX($MA$4:$MA$40),"",INDEX($AN$4:$AN$40,MATCH(ROW()-3,$MA$4:$MA$40,0)))</f>
        <v/>
      </c>
      <c r="MC33">
        <f>IF(COUNTIF('Buyer Groups'!DG86:DL86,0)+COUNTIF('Buyer Groups'!DN86:EN86,0)&gt;0,0,1)</f>
        <v/>
      </c>
      <c r="MD33">
        <f>IF($AS$33="",FALSE,SUMPRODUCT(('Final Calculation Sheet'!$C$4:$C$40=$AS$33)*($MC$6:$MC$42=1))&gt;0)</f>
        <v/>
      </c>
      <c r="ME33">
        <f>$ME$32+--($MD33)</f>
        <v/>
      </c>
      <c r="MF33">
        <f>IF(ROW()-3&gt;MAX($ME$4:$ME$40),"",INDEX($AS$4:$AS$40,MATCH(ROW()-3,$ME$4:$ME$40,0)))</f>
        <v/>
      </c>
      <c r="MG33">
        <f>IF(COUNTIF('Buyer Groups'!DG86:DM86,0)+COUNTIF('Buyer Groups'!DO86:EN86,0)&gt;0,0,1)</f>
        <v/>
      </c>
      <c r="MH33">
        <f>IF($AX$33="",FALSE,SUMPRODUCT(('Final Calculation Sheet'!$H$4:$H$40=$AX$33)*($MG$6:$MG$42=1))&gt;0)</f>
        <v/>
      </c>
      <c r="MI33">
        <f>$MI$32+--($MH33)</f>
        <v/>
      </c>
      <c r="MJ33">
        <f>IF(ROW()-3&gt;MAX($MI$4:$MI$40),"",INDEX($AX$4:$AX$40,MATCH(ROW()-3,$MI$4:$MI$40,0)))</f>
        <v/>
      </c>
      <c r="MK33">
        <f>IF(COUNTIF('Buyer Groups'!DG86:DN86,0)+COUNTIF('Buyer Groups'!DP86:EN86,0)&gt;0,0,1)</f>
        <v/>
      </c>
      <c r="ML33">
        <f>IF($BC$33="",FALSE,SUMPRODUCT(('Final Calculation Sheet'!$I$4:$I$40=$BC$33)*($MK$6:$MK$42=1))&gt;0)</f>
        <v/>
      </c>
      <c r="MM33">
        <f>$MM$32+--($ML33)</f>
        <v/>
      </c>
      <c r="MN33">
        <f>IF(ROW()-3&gt;MAX($MM$4:$MM$40),"",INDEX($BC$4:$BC$40,MATCH(ROW()-3,$MM$4:$MM$40,0)))</f>
        <v/>
      </c>
      <c r="MO33">
        <f>IF(COUNTIF('Buyer Groups'!DG86:DO86,0)+COUNTIF('Buyer Groups'!DQ86:EN86,0)&gt;0,0,1)</f>
        <v/>
      </c>
      <c r="MP33">
        <f>IF($BH$33="",FALSE,SUMPRODUCT(('Final Calculation Sheet'!$J$4:$J$40=$BH$33)*($MO$6:$MO$42=1))&gt;0)</f>
        <v/>
      </c>
      <c r="MQ33">
        <f>$MQ$32+--($MP33)</f>
        <v/>
      </c>
      <c r="MR33">
        <f>IF(ROW()-3&gt;MAX($MQ$4:$MQ$40),"",INDEX($BH$4:$BH$40,MATCH(ROW()-3,$MQ$4:$MQ$40,0)))</f>
        <v/>
      </c>
      <c r="MS33">
        <f>IF(COUNTIF('Buyer Groups'!DG86:DP86,0)+COUNTIF('Buyer Groups'!DR86:EN86,0)&gt;0,0,1)</f>
        <v/>
      </c>
      <c r="MT33">
        <f>IF($BM$33="",FALSE,SUMPRODUCT(('Final Calculation Sheet'!$K$4:$K$40=$BM$33)*($MS$6:$MS$42=1))&gt;0)</f>
        <v/>
      </c>
      <c r="MU33">
        <f>$MU$32+--($MT33)</f>
        <v/>
      </c>
      <c r="MV33">
        <f>IF(ROW()-3&gt;MAX($MU$4:$MU$40),"",INDEX($BM$4:$BM$40,MATCH(ROW()-3,$MU$4:$MU$40,0)))</f>
        <v/>
      </c>
      <c r="MW33">
        <f>IF(COUNTIF('Buyer Groups'!DG86:DQ86,0)+COUNTIF('Buyer Groups'!DS86:EN86,0)&gt;0,0,1)</f>
        <v/>
      </c>
      <c r="MX33">
        <f>IF($BR$33="",FALSE,SUMPRODUCT(('Final Calculation Sheet'!$L$4:$L$40=$BR$33)*($MW$6:$MW$42=1))&gt;0)</f>
        <v/>
      </c>
      <c r="MY33">
        <f>$MY$32+--($MX33)</f>
        <v/>
      </c>
      <c r="MZ33">
        <f>IF(ROW()-3&gt;MAX($MY$4:$MY$40),"",INDEX($BR$4:$BR$40,MATCH(ROW()-3,$MY$4:$MY$40,0)))</f>
        <v/>
      </c>
      <c r="NA33">
        <f>IF(COUNTIF('Buyer Groups'!DG86:DR86,0)+COUNTIF('Buyer Groups'!DT86:EN86,0)&gt;0,0,1)</f>
        <v/>
      </c>
      <c r="NB33">
        <f>IF($BW$33="",FALSE,SUMPRODUCT(('Final Calculation Sheet'!$M$4:$M$40=$BW$33)*($NA$6:$NA$42=1))&gt;0)</f>
        <v/>
      </c>
      <c r="NC33">
        <f>$NC$32+--($NB33)</f>
        <v/>
      </c>
      <c r="ND33">
        <f>IF(ROW()-3&gt;MAX($NC$4:$NC$40),"",INDEX($BW$4:$BW$40,MATCH(ROW()-3,$NC$4:$NC$40,0)))</f>
        <v/>
      </c>
      <c r="NE33">
        <f>IF(COUNTIF('Buyer Groups'!DG86:DS86,0)+COUNTIF('Buyer Groups'!DU86:EN86,0)&gt;0,0,1)</f>
        <v/>
      </c>
      <c r="NF33">
        <f>IF($CB$33="",FALSE,SUMPRODUCT(('Final Calculation Sheet'!$N$4:$N$40=$CB$33)*($NE$6:$NE$42=1))&gt;0)</f>
        <v/>
      </c>
      <c r="NG33">
        <f>$NG$32+--($NF33)</f>
        <v/>
      </c>
      <c r="NH33">
        <f>IF(ROW()-3&gt;MAX($NG$4:$NG$40),"",INDEX($CB$4:$CB$40,MATCH(ROW()-3,$NG$4:$NG$40,0)))</f>
        <v/>
      </c>
      <c r="NI33">
        <f>IF(COUNTIF('Buyer Groups'!DG86:DT86,0)+COUNTIF('Buyer Groups'!DV86:EN86,0)&gt;0,0,1)</f>
        <v/>
      </c>
      <c r="NJ33">
        <f>IF($CG$33="",FALSE,SUMPRODUCT(('Final Calculation Sheet'!$O$4:$O$40=$CG$33)*($NI$6:$NI$42=1))&gt;0)</f>
        <v/>
      </c>
      <c r="NK33">
        <f>$NK$32+--($NJ33)</f>
        <v/>
      </c>
      <c r="NL33">
        <f>IF(ROW()-3&gt;MAX($NK$4:$NK$40),"",INDEX($CG$4:$CG$40,MATCH(ROW()-3,$NK$4:$NK$40,0)))</f>
        <v/>
      </c>
      <c r="NM33">
        <f>IF(COUNTIF('Buyer Groups'!DG86:DU86,0)+COUNTIF('Buyer Groups'!DW86:EN86,0)&gt;0,0,1)</f>
        <v/>
      </c>
      <c r="NN33">
        <f>IF($CL$33="",FALSE,SUMPRODUCT(('Final Calculation Sheet'!$P$4:$P$40=$CL$33)*($NM$6:$NM$42=1))&gt;0)</f>
        <v/>
      </c>
      <c r="NO33">
        <f>$NO$32+--($NN33)</f>
        <v/>
      </c>
      <c r="NP33">
        <f>IF(ROW()-3&gt;MAX($NO$4:$NO$40),"",INDEX($CL$4:$CL$40,MATCH(ROW()-3,$NO$4:$NO$40,0)))</f>
        <v/>
      </c>
      <c r="NQ33">
        <f>IF(COUNTIF('Buyer Groups'!DG86:DV86,0)+COUNTIF('Buyer Groups'!DX86:EN86,0)&gt;0,0,1)</f>
        <v/>
      </c>
      <c r="NR33">
        <f>IF($CQ$33="",FALSE,SUMPRODUCT(('Final Calculation Sheet'!$Q$4:$Q$40=$CQ$33)*($NQ$6:$NQ$42=1))&gt;0)</f>
        <v/>
      </c>
      <c r="NS33">
        <f>$NS$32+--($NR33)</f>
        <v/>
      </c>
      <c r="NT33">
        <f>IF(ROW()-3&gt;MAX($NS$4:$NS$40),"",INDEX($CQ$4:$CQ$40,MATCH(ROW()-3,$NS$4:$NS$40,0)))</f>
        <v/>
      </c>
      <c r="NU33">
        <f>IF(COUNTIF('Buyer Groups'!DG86:DW86,0)+COUNTIF('Buyer Groups'!DY86:EN86,0)&gt;0,0,1)</f>
        <v/>
      </c>
      <c r="NV33">
        <f>IF($CV$33="",FALSE,SUMPRODUCT(('Final Calculation Sheet'!$R$4:$R$40=$CV$33)*($NU$6:$NU$42=1))&gt;0)</f>
        <v/>
      </c>
      <c r="NW33">
        <f>$NW$32+--($NV33)</f>
        <v/>
      </c>
      <c r="NX33">
        <f>IF(ROW()-3&gt;MAX($NW$4:$NW$40),"",INDEX($CV$4:$CV$40,MATCH(ROW()-3,$NW$4:$NW$40,0)))</f>
        <v/>
      </c>
      <c r="NY33">
        <f>IF(COUNTIF('Buyer Groups'!DG86:DX86,0)+COUNTIF('Buyer Groups'!DZ86:EN86,0)&gt;0,0,1)</f>
        <v/>
      </c>
      <c r="NZ33">
        <f>IF($DA$33="",FALSE,SUMPRODUCT(('Final Calculation Sheet'!$S$4:$S$40=$DA$33)*($NY$6:$NY$42=1))&gt;0)</f>
        <v/>
      </c>
      <c r="OA33">
        <f>$OA$32+--($NZ33)</f>
        <v/>
      </c>
      <c r="OB33">
        <f>IF(ROW()-3&gt;MAX($OA$4:$OA$40),"",INDEX($DA$4:$DA$40,MATCH(ROW()-3,$OA$4:$OA$40,0)))</f>
        <v/>
      </c>
      <c r="OC33">
        <f>IF(COUNTIF('Buyer Groups'!DG86:DY86,0)+COUNTIF('Buyer Groups'!EA86:EN86,0)&gt;0,0,1)</f>
        <v/>
      </c>
      <c r="OD33">
        <f>IF($DF$33="",FALSE,SUMPRODUCT(('Final Calculation Sheet'!$T$4:$T$40=$DF$33)*($OC$6:$OC$42=1))&gt;0)</f>
        <v/>
      </c>
      <c r="OE33">
        <f>$OE$32+--($OD33)</f>
        <v/>
      </c>
      <c r="OF33">
        <f>IF(ROW()-3&gt;MAX($OE$4:$OE$40),"",INDEX($DF$4:$DF$40,MATCH(ROW()-3,$OE$4:$OE$40,0)))</f>
        <v/>
      </c>
      <c r="OG33">
        <f>IF(COUNTIF('Buyer Groups'!DG86:DZ86,0)+COUNTIF('Buyer Groups'!EB86:EN86,0)&gt;0,0,1)</f>
        <v/>
      </c>
      <c r="OH33">
        <f>IF($DK$33="",FALSE,SUMPRODUCT(('Final Calculation Sheet'!$U$4:$U$40=$DK$33)*($OG$6:$OG$42=1))&gt;0)</f>
        <v/>
      </c>
      <c r="OI33">
        <f>$OI$32+--($OH33)</f>
        <v/>
      </c>
      <c r="OJ33">
        <f>IF(ROW()-3&gt;MAX($OI$4:$OI$40),"",INDEX($DK$4:$DK$40,MATCH(ROW()-3,$OI$4:$OI$40,0)))</f>
        <v/>
      </c>
      <c r="OK33">
        <f>IF(COUNTIF('Buyer Groups'!DG86:EA86,0)+COUNTIF('Buyer Groups'!EC86:EN86,0)&gt;0,0,1)</f>
        <v/>
      </c>
      <c r="OL33">
        <f>IF($DP$33="",FALSE,SUMPRODUCT(('Final Calculation Sheet'!$V$4:$V$40=$DP$33)*($OK$6:$OK$42=1))&gt;0)</f>
        <v/>
      </c>
      <c r="OM33">
        <f>$OM$32+--($OL33)</f>
        <v/>
      </c>
      <c r="ON33">
        <f>IF(ROW()-3&gt;MAX($OM$4:$OM$40),"",INDEX($DP$4:$DP$40,MATCH(ROW()-3,$OM$4:$OM$40,0)))</f>
        <v/>
      </c>
      <c r="OO33">
        <f>IF(COUNTIF('Buyer Groups'!DG86:EB86,0)+COUNTIF('Buyer Groups'!ED86:EN86,0)&gt;0,0,1)</f>
        <v/>
      </c>
      <c r="OP33">
        <f>IF($DU$33="",FALSE,SUMPRODUCT(('Final Calculation Sheet'!$W$4:$W$40=$DU$33)*($OO$6:$OO$42=1))&gt;0)</f>
        <v/>
      </c>
      <c r="OQ33">
        <f>$OQ$32+--($OP33)</f>
        <v/>
      </c>
      <c r="OR33">
        <f>IF(ROW()-3&gt;MAX($OQ$4:$OQ$40),"",INDEX($DU$4:$DU$40,MATCH(ROW()-3,$OQ$4:$OQ$40,0)))</f>
        <v/>
      </c>
      <c r="OS33">
        <f>IF(COUNTIF('Buyer Groups'!DG86:EC86,0)+COUNTIF('Buyer Groups'!EE86:EN86,0)&gt;0,0,1)</f>
        <v/>
      </c>
      <c r="OT33">
        <f>IF($DZ$33="",FALSE,SUMPRODUCT(('Final Calculation Sheet'!$X$4:$X$40=$DZ$33)*($OS$6:$OS$42=1))&gt;0)</f>
        <v/>
      </c>
      <c r="OU33">
        <f>$OU$32+--($OT33)</f>
        <v/>
      </c>
      <c r="OV33">
        <f>IF(ROW()-3&gt;MAX($OU$4:$OU$40),"",INDEX($DZ$4:$DZ$40,MATCH(ROW()-3,$OU$4:$OU$40,0)))</f>
        <v/>
      </c>
      <c r="OW33">
        <f>IF(COUNTIF('Buyer Groups'!DG86:ED86,0)+COUNTIF('Buyer Groups'!EF86:EN86,0)&gt;0,0,1)</f>
        <v/>
      </c>
      <c r="OX33">
        <f>IF($EE$33="",FALSE,SUMPRODUCT(('Final Calculation Sheet'!$Y$4:$Y$40=$EE$33)*($OW$6:$OW$42=1))&gt;0)</f>
        <v/>
      </c>
      <c r="OY33">
        <f>$OY$32+--($OX33)</f>
        <v/>
      </c>
      <c r="OZ33">
        <f>IF(ROW()-3&gt;MAX($OY$4:$OY$40),"",INDEX($EE$4:$EE$40,MATCH(ROW()-3,$OY$4:$OY$40,0)))</f>
        <v/>
      </c>
      <c r="PA33">
        <f>IF(COUNTIF('Buyer Groups'!DG86:EE86,0)+COUNTIF('Buyer Groups'!EG86:EN86,0)&gt;0,0,1)</f>
        <v/>
      </c>
      <c r="PB33">
        <f>IF($EJ$33="",FALSE,SUMPRODUCT(('Final Calculation Sheet'!$Z$4:$Z$40=$EJ$33)*($PA$6:$PA$42=1))&gt;0)</f>
        <v/>
      </c>
      <c r="PC33">
        <f>$PC$32+--($PB33)</f>
        <v/>
      </c>
      <c r="PD33">
        <f>IF(ROW()-3&gt;MAX($PC$4:$PC$40),"",INDEX($EJ$4:$EJ$40,MATCH(ROW()-3,$PC$4:$PC$40,0)))</f>
        <v/>
      </c>
      <c r="PE33">
        <f>IF(COUNTIF('Buyer Groups'!DG86:EF86,0)+COUNTIF('Buyer Groups'!EH86:EN86,0)&gt;0,0,1)</f>
        <v/>
      </c>
      <c r="PF33">
        <f>IF($EO$33="",FALSE,SUMPRODUCT(('Final Calculation Sheet'!$AA$4:$AA$40=$EO$33)*($PE$6:$PE$42=1))&gt;0)</f>
        <v/>
      </c>
      <c r="PG33">
        <f>$PG$32+--($PF33)</f>
        <v/>
      </c>
      <c r="PH33">
        <f>IF(ROW()-3&gt;MAX($PG$4:$PG$40),"",INDEX($EO$4:$EO$40,MATCH(ROW()-3,$PG$4:$PG$40,0)))</f>
        <v/>
      </c>
      <c r="PI33">
        <f>IF(COUNTIF('Buyer Groups'!DG86:EG86,0)+COUNTIF('Buyer Groups'!EI86:EN86,0)&gt;0,0,1)</f>
        <v/>
      </c>
      <c r="PJ33">
        <f>IF($ET$33="",FALSE,SUMPRODUCT(('Final Calculation Sheet'!$AB$4:$AB$40=$ET$33)*($PI$6:$PI$42=1))&gt;0)</f>
        <v/>
      </c>
      <c r="PK33">
        <f>$PK$32+--($PJ33)</f>
        <v/>
      </c>
      <c r="PL33">
        <f>IF(ROW()-3&gt;MAX($PK$4:$PK$40),"",INDEX($ET$4:$ET$40,MATCH(ROW()-3,$PK$4:$PK$40,0)))</f>
        <v/>
      </c>
      <c r="PM33">
        <f>IF(COUNTIF('Buyer Groups'!DG86:EH86,0)+COUNTIF('Buyer Groups'!EJ86:EN86,0)&gt;0,0,1)</f>
        <v/>
      </c>
      <c r="PN33">
        <f>IF($EY$33="",FALSE,SUMPRODUCT(('Final Calculation Sheet'!$AC$4:$AC$40=$EY$33)*($PM$6:$PM$42=1))&gt;0)</f>
        <v/>
      </c>
      <c r="PO33">
        <f>$PO$32+--($PN33)</f>
        <v/>
      </c>
      <c r="PP33">
        <f>IF(ROW()-3&gt;MAX($PO$4:$PO$40),"",INDEX($EY$4:$EY$40,MATCH(ROW()-3,$PO$4:$PO$40,0)))</f>
        <v/>
      </c>
      <c r="PQ33">
        <f>IF(COUNTIF('Buyer Groups'!DG86:EI86,0)+COUNTIF('Buyer Groups'!EK86:EN86,0)&gt;0,0,1)</f>
        <v/>
      </c>
      <c r="PR33">
        <f>IF($FD$33="",FALSE,SUMPRODUCT(('Final Calculation Sheet'!$AD$4:$AD$40=$FD$33)*($PQ$6:$PQ$42=1))&gt;0)</f>
        <v/>
      </c>
      <c r="PS33">
        <f>$PS$32+--($PR33)</f>
        <v/>
      </c>
      <c r="PT33">
        <f>IF(ROW()-3&gt;MAX($PS$4:$PS$40),"",INDEX($FD$4:$FD$40,MATCH(ROW()-3,$PS$4:$PS$40,0)))</f>
        <v/>
      </c>
      <c r="PU33">
        <f>IF(COUNTIF('Buyer Groups'!DG86:EJ86,0)+COUNTIF('Buyer Groups'!EL86:EN86,0)&gt;0,0,1)</f>
        <v/>
      </c>
      <c r="PV33">
        <f>IF($FX$33="",FALSE,SUMPRODUCT((IF('Final Calculation Sheet'!$AD$4:$AD$40&lt;=5,"SETTLED","OUTSTANDING")=$FX$33)*($PU$6:$PU$42=1))&gt;0)</f>
        <v/>
      </c>
      <c r="PW33">
        <f>$PW$32+--($PV33)</f>
        <v/>
      </c>
      <c r="PX33">
        <f>IF(ROW()-3&gt;MAX($PW$4:$PW$40),"",INDEX($FX$4:$FX$40,MATCH(ROW()-3,$PW$4:$PW$40,0)))</f>
        <v/>
      </c>
      <c r="PY33">
        <f>IF(COUNTIF('Buyer Groups'!DG86:EK86,0)+COUNTIF('Buyer Groups'!EM86:EN86,0)&gt;0,0,1)</f>
        <v/>
      </c>
      <c r="PZ33">
        <f>IF($FI$33="",FALSE,SUMPRODUCT(('Final Calculation Sheet'!$AF$4:$AF$40=$FI$33)*($PY$6:$PY$42=1))&gt;0)</f>
        <v/>
      </c>
      <c r="QA33">
        <f>$QA$32+--($PZ33)</f>
        <v/>
      </c>
      <c r="QB33">
        <f>IF(ROW()-3&gt;MAX($QA$4:$QA$40),"",INDEX($FI$4:$FI$40,MATCH(ROW()-3,$QA$4:$QA$40,0)))</f>
        <v/>
      </c>
      <c r="QC33">
        <f>IF(COUNTIF('Buyer Groups'!DG86:EL86,0)+COUNTIF('Buyer Groups'!EN86:EN86,0)&gt;0,0,1)</f>
        <v/>
      </c>
      <c r="QD33">
        <f>IF($FN$33="",FALSE,SUMPRODUCT(('Final Calculation Sheet'!$AG$4:$AG$40=$FN$33)*($QC$6:$QC$42=1))&gt;0)</f>
        <v/>
      </c>
      <c r="QE33">
        <f>$QE$32+--($QD33)</f>
        <v/>
      </c>
      <c r="QF33">
        <f>IF(ROW()-3&gt;MAX($QE$4:$QE$40),"",INDEX($FN$4:$FN$40,MATCH(ROW()-3,$QE$4:$QE$40,0)))</f>
        <v/>
      </c>
      <c r="QG33">
        <f>IF(COUNTIF('Buyer Groups'!DG86:EM86,0)&gt;0,0,1)</f>
        <v/>
      </c>
      <c r="QH33">
        <f>IF($FS$33="",FALSE,SUMPRODUCT(('Final Calculation Sheet'!$AH$4:$AH$40=$FS$33)*($QG$6:$QG$42=1))&gt;0)</f>
        <v/>
      </c>
      <c r="QI33">
        <f>$QI$32+--($QH33)</f>
        <v/>
      </c>
      <c r="QJ33">
        <f>IF(ROW()-3&gt;MAX($QI$4:$QI$40),"",INDEX($FS$4:$FS$40,MATCH(ROW()-3,$QI$4:$QI$40,0)))</f>
        <v/>
      </c>
      <c r="QK33" t="str">
        <f>IF('Final Calculation Sheet'!$AH$33="","",'Final Calculation Sheet'!$AH$33)</f>
      </c>
      <c r="QL33" t="str">
        <f>IF(QK33="","",COUNTIFS(QK$4:QK$40,"&lt;"&amp;QK33,QK$4:QK$40,"&lt;&gt;"&amp;"")+COUNTIF(QK$4:QK33,QK33))</f>
      </c>
      <c r="QM33" t="str">
        <f>IF(ROW()-3&gt;COUNTIF(QK$4:QK$40,"&lt;&gt;"&amp;""),"",INDEX(QK$4:QK$40,MATCH(ROW()-3,QL$4:QL$40,0)))</f>
      </c>
      <c r="QN33" t="str">
        <f>=QN32+F(AND(QM33&lt;&gt;"",COUNTIF(QM$4:QM33,QM33)=1),1,0)</f>
      </c>
      <c r="QO33" t="str">
        <f>IF(ROW()-3&gt;MAX(QN$4:QN$40),"",INDEX(QM$4:QM$40,MATCH(ROW()-3,QN$4:QN$40,0)))</f>
      </c>
      <c r="QP33" t="str">
        <f>IF(COUNTIF('Final Calculation Sheet'!$AM33:$BS33,0)&gt;0,0,1)</f>
      </c>
      <c r="QQ33" t="str">
        <f>IF($AI$33="",FALSE,SUMPRODUCT(('Final Calculation Sheet'!$A$4:$A$40=$AI$33)*($QP$4:$QP$40=1))&gt;0)</f>
      </c>
      <c r="QR33" t="str">
        <f>=$QR32+--($QQ33)</f>
      </c>
      <c r="QS33" t="str">
        <f>IF(ROW()-3&gt;MAX($QR$4:$QR$40),"",INDEX($AI$4:$AI$40,MATCH(ROW()-3,$QR$4:$QR$40,0)))</f>
      </c>
      <c r="QT33" t="str">
        <f>IF(COUNTIF('Final Calculation Sheet'!$AL33:$AL33,0)+COUNTIF('Final Calculation Sheet'!$AN33:$BS33,0)&gt;0,0,1)</f>
      </c>
      <c r="QU33" t="str">
        <f>IF($Y$33="",FALSE,SUMPRODUCT(('Final Calculation Sheet'!$B$4:$B$40=$Y$33)*($QT$4:$QT$40=1))&gt;0)</f>
      </c>
      <c r="QV33" t="str">
        <f>=$QV32+--($QU33)</f>
      </c>
      <c r="QW33" t="str">
        <f>IF(ROW()-3&gt;MAX($QV$4:$QV$40),"",INDEX($Y$4:$Y$40,MATCH(ROW()-3,$QV$4:$QV$40,0)))</f>
      </c>
      <c r="QX33" t="str">
        <f>IF(COUNTIF('Final Calculation Sheet'!$AL33:$AM33,0)+COUNTIF('Final Calculation Sheet'!$AO33:$BS33,0)&gt;0,0,1)</f>
      </c>
      <c r="QY33" t="str">
        <f>IF($AS$33="",FALSE,SUMPRODUCT(('Final Calculation Sheet'!$C$4:$C$40=$AS$33)*($QX$4:$QX$40=1))&gt;0)</f>
      </c>
      <c r="QZ33" t="str">
        <f>=$QZ32+--($QY33)</f>
      </c>
      <c r="RA33" t="str">
        <f>IF(ROW()-3&gt;MAX($QZ$4:$QZ$40),"",INDEX($AS$4:$AS$40,MATCH(ROW()-3,$QZ$4:$QZ$40,0)))</f>
      </c>
      <c r="RB33" t="str">
        <f>IF(COUNTIF('Final Calculation Sheet'!$AL33:$AN33,0)+COUNTIF('Final Calculation Sheet'!$AP33:$BS33,0)&gt;0,0,1)</f>
      </c>
      <c r="RC33" t="str">
        <f>IF($AD$33="",FALSE,SUMPRODUCT(('Final Calculation Sheet'!$D$4:$D$40=$AD$33)*($RB$4:$RB$40=1))&gt;0)</f>
      </c>
      <c r="RD33" t="str">
        <f>=$RD32+--($RC33)</f>
      </c>
      <c r="RE33" t="str">
        <f>IF(ROW()-3&gt;MAX($RD$4:$RD$40),"",INDEX($AD$4:$AD$40,MATCH(ROW()-3,$RD$4:$RD$40,0)))</f>
      </c>
      <c r="RF33" t="str">
        <f>IF(COUNTIF('Final Calculation Sheet'!$AL33:$AO33,0)+COUNTIF('Final Calculation Sheet'!$AQ33:$BS33,0)&gt;0,0,1)</f>
      </c>
      <c r="RG33" t="str">
        <f>IF($AN$33="",FALSE,SUMPRODUCT(('Final Calculation Sheet'!$E$4:$E$40=$AN$33)*($RF$4:$RF$40=1))&gt;0)</f>
      </c>
      <c r="RH33" t="str">
        <f>=$RH32+--($RG33)</f>
      </c>
      <c r="RI33" t="str">
        <f>IF(ROW()-3&gt;MAX($RH$4:$RH$40),"",INDEX($AN$4:$AN$40,MATCH(ROW()-3,$RH$4:$RH$40,0)))</f>
      </c>
      <c r="RJ33" t="str">
        <f>IF(COUNTIF('Final Calculation Sheet'!$AL33:$AP33,0)+COUNTIF('Final Calculation Sheet'!$AR33:$BS33,0)&gt;0,0,1)</f>
      </c>
      <c r="RK33" t="str">
        <f>IF($O$33="",FALSE,SUMPRODUCT(('Final Calculation Sheet'!$F$4:$F$40=$O$33)*($RJ$4:$RJ$40=1))&gt;0)</f>
      </c>
      <c r="RL33" t="str">
        <f>=$RL32+--($RK33)</f>
      </c>
      <c r="RM33" t="str">
        <f>IF(ROW()-3&gt;MAX($RL$4:$RL$40),"",INDEX($O$4:$O$40,MATCH(ROW()-3,$RL$4:$RL$40,0)))</f>
      </c>
      <c r="RN33" t="str">
        <f>IF(COUNTIF('Final Calculation Sheet'!$AL33:$AQ33,0)+COUNTIF('Final Calculation Sheet'!$AS33:$BS33,0)&gt;0,0,1)</f>
      </c>
      <c r="RO33" t="str">
        <f>IF($T$33="",FALSE,SUMPRODUCT(('Final Calculation Sheet'!$G$4:$G$40=$T$33)*($RN$4:$RN$40=1))&gt;0)</f>
      </c>
      <c r="RP33" t="str">
        <f>=$RP32+--($RO33)</f>
      </c>
      <c r="RQ33" t="str">
        <f>IF(ROW()-3&gt;MAX($RP$4:$RP$40),"",INDEX($T$4:$T$40,MATCH(ROW()-3,$RP$4:$RP$40,0)))</f>
      </c>
      <c r="RR33" t="str">
        <f>IF(COUNTIF('Final Calculation Sheet'!$AL33:$AR33,0)+COUNTIF('Final Calculation Sheet'!$AT33:$BS33,0)&gt;0,0,1)</f>
      </c>
      <c r="RS33" t="str">
        <f>IF($AX$33="",FALSE,SUMPRODUCT(('Final Calculation Sheet'!$H$4:$H$40=$AX$33)*($RR$4:$RR$40=1))&gt;0)</f>
      </c>
      <c r="RT33" t="str">
        <f>=$RT32+--($RS33)</f>
      </c>
      <c r="RU33" t="str">
        <f>IF(ROW()-3&gt;MAX($RT$4:$RT$40),"",INDEX($AX$4:$AX$40,MATCH(ROW()-3,$RT$4:$RT$40,0)))</f>
      </c>
      <c r="RV33" t="str">
        <f>IF(COUNTIF('Final Calculation Sheet'!$AL33:$AS33,0)+COUNTIF('Final Calculation Sheet'!$AU33:$BS33,0)&gt;0,0,1)</f>
      </c>
      <c r="RW33" t="str">
        <f>IF($BC$33="",FALSE,SUMPRODUCT(('Final Calculation Sheet'!$I$4:$I$40=$BC$33)*($RV$4:$RV$40=1))&gt;0)</f>
      </c>
      <c r="RX33" t="str">
        <f>=$RX32+--($RW33)</f>
      </c>
      <c r="RY33" t="str">
        <f>IF(ROW()-3&gt;MAX($RX$4:$RX$40),"",INDEX($BC$4:$BC$40,MATCH(ROW()-3,$RX$4:$RX$40,0)))</f>
      </c>
      <c r="RZ33" t="str">
        <f>IF(COUNTIF('Final Calculation Sheet'!$AL33:$AT33,0)+COUNTIF('Final Calculation Sheet'!$AV33:$BS33,0)&gt;0,0,1)</f>
      </c>
      <c r="SA33" t="str">
        <f>IF($BH$33="",FALSE,SUMPRODUCT(('Final Calculation Sheet'!$J$4:$J$40=$BH$33)*($RZ$4:$RZ$40=1))&gt;0)</f>
      </c>
      <c r="SB33" t="str">
        <f>=$SB32+--($SA33)</f>
      </c>
      <c r="SC33" t="str">
        <f>IF(ROW()-3&gt;MAX($SB$4:$SB$40),"",INDEX($BH$4:$BH$40,MATCH(ROW()-3,$SB$4:$SB$40,0)))</f>
      </c>
      <c r="SD33" t="str">
        <f>IF(COUNTIF('Final Calculation Sheet'!$AL33:$AU33,0)+COUNTIF('Final Calculation Sheet'!$AW33:$BS33,0)&gt;0,0,1)</f>
      </c>
      <c r="SE33" t="str">
        <f>IF($BM$33="",FALSE,SUMPRODUCT(('Final Calculation Sheet'!$K$4:$K$40=$BM$33)*($SD$4:$SD$40=1))&gt;0)</f>
      </c>
      <c r="SF33" t="str">
        <f>=$SF32+--($SE33)</f>
      </c>
      <c r="SG33" t="str">
        <f>IF(ROW()-3&gt;MAX($SF$4:$SF$40),"",INDEX($BM$4:$BM$40,MATCH(ROW()-3,$SF$4:$SF$40,0)))</f>
      </c>
      <c r="SH33" t="str">
        <f>IF(COUNTIF('Final Calculation Sheet'!$AL33:$AV33,0)+COUNTIF('Final Calculation Sheet'!$AX33:$BS33,0)&gt;0,0,1)</f>
      </c>
      <c r="SI33" t="str">
        <f>IF($BR$33="",FALSE,SUMPRODUCT(('Final Calculation Sheet'!$L$4:$L$40=$BR$33)*($SH$4:$SH$40=1))&gt;0)</f>
      </c>
      <c r="SJ33" t="str">
        <f>=$SJ32+--($SI33)</f>
      </c>
      <c r="SK33" t="str">
        <f>IF(ROW()-3&gt;MAX($SJ$4:$SJ$40),"",INDEX($BR$4:$BR$40,MATCH(ROW()-3,$SJ$4:$SJ$40,0)))</f>
      </c>
      <c r="SL33" t="str">
        <f>IF(COUNTIF('Final Calculation Sheet'!$AL33:$AW33,0)+COUNTIF('Final Calculation Sheet'!$AY33:$BS33,0)&gt;0,0,1)</f>
      </c>
      <c r="SM33" t="str">
        <f>IF($BW$33="",FALSE,SUMPRODUCT(('Final Calculation Sheet'!$M$4:$M$40=$BW$33)*($SL$4:$SL$40=1))&gt;0)</f>
      </c>
      <c r="SN33" t="str">
        <f>=$SN32+--($SM33)</f>
      </c>
      <c r="SO33" t="str">
        <f>IF(ROW()-3&gt;MAX($SN$4:$SN$40),"",INDEX($BW$4:$BW$40,MATCH(ROW()-3,$SN$4:$SN$40,0)))</f>
      </c>
      <c r="SP33" t="str">
        <f>IF(COUNTIF('Final Calculation Sheet'!$AL33:$AX33,0)+COUNTIF('Final Calculation Sheet'!$AZ33:$BS33,0)&gt;0,0,1)</f>
      </c>
      <c r="SQ33" t="str">
        <f>IF($CB$33="",FALSE,SUMPRODUCT(('Final Calculation Sheet'!$N$4:$N$40=$CB$33)*($SP$4:$SP$40=1))&gt;0)</f>
      </c>
      <c r="SR33" t="str">
        <f>=$SR32+--($SQ33)</f>
      </c>
      <c r="SS33" t="str">
        <f>IF(ROW()-3&gt;MAX($SR$4:$SR$40),"",INDEX($CB$4:$CB$40,MATCH(ROW()-3,$SR$4:$SR$40,0)))</f>
      </c>
      <c r="ST33" t="str">
        <f>IF(COUNTIF('Final Calculation Sheet'!$AL33:$AY33,0)+COUNTIF('Final Calculation Sheet'!$BA33:$BS33,0)&gt;0,0,1)</f>
      </c>
      <c r="SU33" t="str">
        <f>IF($CG$33="",FALSE,SUMPRODUCT(('Final Calculation Sheet'!$O$4:$O$40=$CG$33)*($ST$4:$ST$40=1))&gt;0)</f>
      </c>
      <c r="SV33" t="str">
        <f>=$SV32+--($SU33)</f>
      </c>
      <c r="SW33" t="str">
        <f>IF(ROW()-3&gt;MAX($SV$4:$SV$40),"",INDEX($CG$4:$CG$40,MATCH(ROW()-3,$SV$4:$SV$40,0)))</f>
      </c>
      <c r="SX33" t="str">
        <f>IF(COUNTIF('Final Calculation Sheet'!$AL33:$AZ33,0)+COUNTIF('Final Calculation Sheet'!$BB33:$BS33,0)&gt;0,0,1)</f>
      </c>
      <c r="SY33" t="str">
        <f>IF($CL$33="",FALSE,SUMPRODUCT(('Final Calculation Sheet'!$P$4:$P$40=$CL$33)*($SX$4:$SX$40=1))&gt;0)</f>
      </c>
      <c r="SZ33" t="str">
        <f>=$SZ32+--($SY33)</f>
      </c>
      <c r="TA33" t="str">
        <f>IF(ROW()-3&gt;MAX($SZ$4:$SZ$40),"",INDEX($CL$4:$CL$40,MATCH(ROW()-3,$SZ$4:$SZ$40,0)))</f>
      </c>
      <c r="TB33" t="str">
        <f>IF(COUNTIF('Final Calculation Sheet'!$AL33:$BA33,0)+COUNTIF('Final Calculation Sheet'!$BC33:$BS33,0)&gt;0,0,1)</f>
      </c>
      <c r="TC33" t="str">
        <f>IF($CQ$33="",FALSE,SUMPRODUCT(('Final Calculation Sheet'!$Q$4:$Q$40=$CQ$33)*($TB$4:$TB$40=1))&gt;0)</f>
      </c>
      <c r="TD33" t="str">
        <f>=$TD32+--($TC33)</f>
      </c>
      <c r="TE33" t="str">
        <f>IF(ROW()-3&gt;MAX($TD$4:$TD$40),"",INDEX($CQ$4:$CQ$40,MATCH(ROW()-3,$TD$4:$TD$40,0)))</f>
      </c>
      <c r="TF33" t="str">
        <f>IF(COUNTIF('Final Calculation Sheet'!$AL33:$BB33,0)+COUNTIF('Final Calculation Sheet'!$BD33:$BS33,0)&gt;0,0,1)</f>
      </c>
      <c r="TG33" t="str">
        <f>IF($CV$33="",FALSE,SUMPRODUCT(('Final Calculation Sheet'!$R$4:$R$40=$CV$33)*($TF$4:$TF$40=1))&gt;0)</f>
      </c>
      <c r="TH33" t="str">
        <f>=$TH32+--($TG33)</f>
      </c>
      <c r="TI33" t="str">
        <f>IF(ROW()-3&gt;MAX($TH$4:$TH$40),"",INDEX($CV$4:$CV$40,MATCH(ROW()-3,$TH$4:$TH$40,0)))</f>
      </c>
      <c r="TJ33" t="str">
        <f>IF(COUNTIF('Final Calculation Sheet'!$AL33:$BC33,0)+COUNTIF('Final Calculation Sheet'!$BE33:$BS33,0)&gt;0,0,1)</f>
      </c>
      <c r="TK33" t="str">
        <f>IF($DA$33="",FALSE,SUMPRODUCT(('Final Calculation Sheet'!$S$4:$S$40=$DA$33)*($TJ$4:$TJ$40=1))&gt;0)</f>
      </c>
      <c r="TL33" t="str">
        <f>=$TL32+--($TK33)</f>
      </c>
      <c r="TM33" t="str">
        <f>IF(ROW()-3&gt;MAX($TL$4:$TL$40),"",INDEX($DA$4:$DA$40,MATCH(ROW()-3,$TL$4:$TL$40,0)))</f>
      </c>
      <c r="TN33" t="str">
        <f>IF(COUNTIF('Final Calculation Sheet'!$AL33:$BD33,0)+COUNTIF('Final Calculation Sheet'!$BF33:$BS33,0)&gt;0,0,1)</f>
      </c>
      <c r="TO33" t="str">
        <f>IF($DF$33="",FALSE,SUMPRODUCT(('Final Calculation Sheet'!$T$4:$T$40=$DF$33)*($TN$4:$TN$40=1))&gt;0)</f>
      </c>
      <c r="TP33" t="str">
        <f>=$TP32+--($TO33)</f>
      </c>
      <c r="TQ33" t="str">
        <f>IF(ROW()-3&gt;MAX($TP$4:$TP$40),"",INDEX($DF$4:$DF$40,MATCH(ROW()-3,$TP$4:$TP$40,0)))</f>
      </c>
      <c r="TR33" t="str">
        <f>IF(COUNTIF('Final Calculation Sheet'!$AL33:$BE33,0)+COUNTIF('Final Calculation Sheet'!$BG33:$BS33,0)&gt;0,0,1)</f>
      </c>
      <c r="TS33" t="str">
        <f>IF($DK$33="",FALSE,SUMPRODUCT(('Final Calculation Sheet'!$U$4:$U$40=$DK$33)*($TR$4:$TR$40=1))&gt;0)</f>
      </c>
      <c r="TT33" t="str">
        <f>=$TT32+--($TS33)</f>
      </c>
      <c r="TU33" t="str">
        <f>IF(ROW()-3&gt;MAX($TT$4:$TT$40),"",INDEX($DK$4:$DK$40,MATCH(ROW()-3,$TT$4:$TT$40,0)))</f>
      </c>
      <c r="TV33" t="str">
        <f>IF(COUNTIF('Final Calculation Sheet'!$AL33:$BF33,0)+COUNTIF('Final Calculation Sheet'!$BH33:$BS33,0)&gt;0,0,1)</f>
      </c>
      <c r="TW33" t="str">
        <f>IF($DP$33="",FALSE,SUMPRODUCT(('Final Calculation Sheet'!$V$4:$V$40=$DP$33)*($TV$4:$TV$40=1))&gt;0)</f>
      </c>
      <c r="TX33" t="str">
        <f>=$TX32+--($TW33)</f>
      </c>
      <c r="TY33" t="str">
        <f>IF(ROW()-3&gt;MAX($TX$4:$TX$40),"",INDEX($DP$4:$DP$40,MATCH(ROW()-3,$TX$4:$TX$40,0)))</f>
      </c>
      <c r="TZ33" t="str">
        <f>IF(COUNTIF('Final Calculation Sheet'!$AL33:$BG33,0)+COUNTIF('Final Calculation Sheet'!$BI33:$BS33,0)&gt;0,0,1)</f>
      </c>
      <c r="UA33" t="str">
        <f>IF($DU$33="",FALSE,SUMPRODUCT(('Final Calculation Sheet'!$W$4:$W$40=$DU$33)*($TZ$4:$TZ$40=1))&gt;0)</f>
      </c>
      <c r="UB33" t="str">
        <f>=$UB32+--($UA33)</f>
      </c>
      <c r="UC33" t="str">
        <f>IF(ROW()-3&gt;MAX($UB$4:$UB$40),"",INDEX($DU$4:$DU$40,MATCH(ROW()-3,$UB$4:$UB$40,0)))</f>
      </c>
      <c r="UD33" t="str">
        <f>IF(COUNTIF('Final Calculation Sheet'!$AL33:$BH33,0)+COUNTIF('Final Calculation Sheet'!$BJ33:$BS33,0)&gt;0,0,1)</f>
      </c>
      <c r="UE33" t="str">
        <f>IF($DZ$33="",FALSE,SUMPRODUCT(('Final Calculation Sheet'!$X$4:$X$40=$DZ$33)*($UD$4:$UD$40=1))&gt;0)</f>
      </c>
      <c r="UF33" t="str">
        <f>=$UF32+--($UE33)</f>
      </c>
      <c r="UG33" t="str">
        <f>IF(ROW()-3&gt;MAX($UF$4:$UF$40),"",INDEX($DZ$4:$DZ$40,MATCH(ROW()-3,$UF$4:$UF$40,0)))</f>
      </c>
      <c r="UH33" t="str">
        <f>IF(COUNTIF('Final Calculation Sheet'!$AL33:$BI33,0)+COUNTIF('Final Calculation Sheet'!$BK33:$BS33,0)&gt;0,0,1)</f>
      </c>
      <c r="UI33" t="str">
        <f>IF($EE$33="",FALSE,SUMPRODUCT(('Final Calculation Sheet'!$Y$4:$Y$40=$EE$33)*($UH$4:$UH$40=1))&gt;0)</f>
      </c>
      <c r="UJ33" t="str">
        <f>=$UJ32+--($UI33)</f>
      </c>
      <c r="UK33" t="str">
        <f>IF(ROW()-3&gt;MAX($UJ$4:$UJ$40),"",INDEX($EE$4:$EE$40,MATCH(ROW()-3,$UJ$4:$UJ$40,0)))</f>
      </c>
      <c r="UL33" t="str">
        <f>IF(COUNTIF('Final Calculation Sheet'!$AL33:$BJ33,0)+COUNTIF('Final Calculation Sheet'!$BL33:$BS33,0)&gt;0,0,1)</f>
      </c>
      <c r="UM33" t="str">
        <f>IF($EJ$33="",FALSE,SUMPRODUCT(('Final Calculation Sheet'!$Z$4:$Z$40=$EJ$33)*($UL$4:$UL$40=1))&gt;0)</f>
      </c>
      <c r="UN33" t="str">
        <f>=$UN32+--($UM33)</f>
      </c>
      <c r="UO33" t="str">
        <f>IF(ROW()-3&gt;MAX($UN$4:$UN$40),"",INDEX($EJ$4:$EJ$40,MATCH(ROW()-3,$UN$4:$UN$40,0)))</f>
      </c>
      <c r="UP33" t="str">
        <f>IF(COUNTIF('Final Calculation Sheet'!$AL33:$BK33,0)+COUNTIF('Final Calculation Sheet'!$BM33:$BS33,0)&gt;0,0,1)</f>
      </c>
      <c r="UQ33" t="str">
        <f>IF($EO$33="",FALSE,SUMPRODUCT(('Final Calculation Sheet'!$AA$4:$AA$40=$EO$33)*($UP$4:$UP$40=1))&gt;0)</f>
      </c>
      <c r="UR33" t="str">
        <f>=$UR32+--($UQ33)</f>
      </c>
      <c r="US33" t="str">
        <f>IF(ROW()-3&gt;MAX($UR$4:$UR$40),"",INDEX($EO$4:$EO$40,MATCH(ROW()-3,$UR$4:$UR$40,0)))</f>
      </c>
      <c r="UT33" t="str">
        <f>IF(COUNTIF('Final Calculation Sheet'!$AL33:$BL33,0)+COUNTIF('Final Calculation Sheet'!$BN33:$BS33,0)&gt;0,0,1)</f>
      </c>
      <c r="UU33" t="str">
        <f>IF($ET$33="",FALSE,SUMPRODUCT(('Final Calculation Sheet'!$AB$4:$AB$40=$ET$33)*($UT$4:$UT$40=1))&gt;0)</f>
      </c>
      <c r="UV33" t="str">
        <f>=$UV32+--($UU33)</f>
      </c>
      <c r="UW33" t="str">
        <f>IF(ROW()-3&gt;MAX($UV$4:$UV$40),"",INDEX($ET$4:$ET$40,MATCH(ROW()-3,$UV$4:$UV$40,0)))</f>
      </c>
      <c r="UX33" t="str">
        <f>IF(COUNTIF('Final Calculation Sheet'!$AL33:$BM33,0)+COUNTIF('Final Calculation Sheet'!$BO33:$BS33,0)&gt;0,0,1)</f>
      </c>
      <c r="UY33" t="str">
        <f>IF($EY$33="",FALSE,SUMPRODUCT(('Final Calculation Sheet'!$AC$4:$AC$40=$EY$33)*($UX$4:$UX$40=1))&gt;0)</f>
      </c>
      <c r="UZ33" t="str">
        <f>=$UZ32+--($UY33)</f>
      </c>
      <c r="VA33" t="str">
        <f>IF(ROW()-3&gt;MAX($UZ$4:$UZ$40),"",INDEX($EY$4:$EY$40,MATCH(ROW()-3,$UZ$4:$UZ$40,0)))</f>
      </c>
      <c r="VB33" t="str">
        <f>IF(COUNTIF('Final Calculation Sheet'!$AL33:$BN33,0)+COUNTIF('Final Calculation Sheet'!$BP33:$BS33,0)&gt;0,0,1)</f>
      </c>
      <c r="VC33" t="str">
        <f>IF($FD$33="",FALSE,SUMPRODUCT(('Final Calculation Sheet'!$AD$4:$AD$40=$FD$33)*($VB$4:$VB$40=1))&gt;0)</f>
      </c>
      <c r="VD33" t="str">
        <f>=$VD32+--($VC33)</f>
      </c>
      <c r="VE33" t="str">
        <f>IF(ROW()-3&gt;MAX($VD$4:$VD$40),"",INDEX($FD$4:$FD$40,MATCH(ROW()-3,$VD$4:$VD$40,0)))</f>
      </c>
      <c r="VF33" t="str">
        <f>IF(COUNTIF('Final Calculation Sheet'!$AL33:$BO33,0)+COUNTIF('Final Calculation Sheet'!$BQ33:$BS33,0)&gt;0,0,1)</f>
      </c>
      <c r="VG33" t="str">
        <f>IF($FI$33="",FALSE,SUMPRODUCT(('Final Calculation Sheet'!$AE$4:$AE$40=$FI$33)*($VF$4:$VF$40=1))&gt;0)</f>
      </c>
      <c r="VH33" t="str">
        <f>=$VH32+--($VG33)</f>
      </c>
      <c r="VI33" t="str">
        <f>IF(ROW()-3&gt;MAX($VH$4:$VH$40),"",INDEX($FI$4:$FI$40,MATCH(ROW()-3,$VH$4:$VH$40,0)))</f>
      </c>
      <c r="VJ33" t="str">
        <f>IF(COUNTIF('Final Calculation Sheet'!$AL33:$BP33,0)+COUNTIF('Final Calculation Sheet'!$BR33:$BS33,0)&gt;0,0,1)</f>
      </c>
      <c r="VK33" t="str">
        <f>IF($FN$33="",FALSE,SUMPRODUCT(('Final Calculation Sheet'!$AF$4:$AF$40=$FN$33)*($VJ$4:$VJ$40=1))&gt;0)</f>
      </c>
      <c r="VL33" t="str">
        <f>=$VL32+--($VK33)</f>
      </c>
      <c r="VM33" t="str">
        <f>IF(ROW()-3&gt;MAX($VL$4:$VL$40),"",INDEX($FN$4:$FN$40,MATCH(ROW()-3,$VL$4:$VL$40,0)))</f>
      </c>
      <c r="VN33" t="str">
        <f>IF(COUNTIF('Final Calculation Sheet'!$AL33:$BQ33,0)+COUNTIF('Final Calculation Sheet'!$BS33:$BS33,0)&gt;0,0,1)</f>
      </c>
      <c r="VO33" t="str">
        <f>IF($FS$33="",FALSE,SUMPRODUCT(('Final Calculation Sheet'!$AG$4:$AG$40=$FS$33)*($VN$4:$VN$40=1))&gt;0)</f>
      </c>
      <c r="VP33" t="str">
        <f>=$VP32+--($VO33)</f>
      </c>
      <c r="VQ33" t="str">
        <f>IF(ROW()-3&gt;MAX($VP$4:$VP$40),"",INDEX($FS$4:$FS$40,MATCH(ROW()-3,$VP$4:$VP$40,0)))</f>
      </c>
      <c r="VR33" t="str">
        <f>IF(COUNTIF('Final Calculation Sheet'!$AL33:$BR33,0)&gt;0,0,1)</f>
      </c>
      <c r="VS33" t="str">
        <f>IF($QO$33="",FALSE,SUMPRODUCT(('Final Calculation Sheet'!$AH$4:$AH$40=$QO$33)*($VR$4:$VR$40=1))&gt;0)</f>
      </c>
      <c r="VT33" t="str">
        <f>=$VT32+--($VS33)</f>
      </c>
      <c r="VU33" t="str">
        <f>IF(ROW()-3&gt;MAX($VT$4:$VT$40),"",INDEX($QO$4:$QO$40,MATCH(ROW()-3,$VT$4:$VT$40,0)))</f>
      </c>
    </row>
    <row r="34">
      <c r="A34">
        <f>IF('Final Calculation Sheet'!$F$34="","",'Final Calculation Sheet'!$F$34)</f>
        <v/>
      </c>
      <c r="B34">
        <f>IF(A34="","",COUNTIFS(A$4:A$114,"&lt;"&amp;A34,A$4:A$114,"&lt;&gt;"&amp;"")+COUNTIF(A$4:A34,A34))</f>
        <v/>
      </c>
      <c r="C34">
        <f>IF(ROW()-3&gt;COUNTIF(A$4:A$114,"&lt;&gt;"&amp;""),"",INDEX(A$4:A$114,MATCH(ROW()-3,B$4:B$114,0)))</f>
        <v/>
      </c>
      <c r="D34">
        <f>D33+IF(AND(C34&lt;&gt;"",COUNTIF(C$4:C34,C34)=1),1,0)</f>
        <v/>
      </c>
      <c r="E34">
        <f>IF(ROW()-3&gt;MAX(D$4:D$114),"",INDEX(C$4:C$114,MATCH(ROW()-3,D$4:D$114,0)))</f>
        <v/>
      </c>
      <c r="F34">
        <f>ROW()-3</f>
        <v/>
      </c>
      <c r="G34">
        <f>IF(F34="","",COUNTIFS(F$4:F$40,"&lt;"&amp;F34,F$4:F$40,"&lt;&gt;"&amp;"")+COUNTIF(F$4:F34,F34))</f>
        <v/>
      </c>
      <c r="H34">
        <f>IF(ROW()-3&gt;COUNTIF(F$4:F$40,"&lt;&gt;"&amp;""),"",INDEX(F$4:F$40,MATCH(ROW()-3,G$4:G$40,0)))</f>
        <v/>
      </c>
      <c r="I34">
        <f>I33+IF(AND(H34&lt;&gt;"",COUNTIF(H$4:H34,H34)=1),1,0)</f>
        <v/>
      </c>
      <c r="J34">
        <f>IF(ROW()-3&gt;MAX(I$4:I$40),"",INDEX(H$4:H$40,MATCH(ROW()-3,I$4:I$40,0)))</f>
        <v/>
      </c>
      <c r="K34">
        <f>IF('Final Calculation Sheet'!$F$34="","",'Final Calculation Sheet'!$F$34)</f>
        <v/>
      </c>
      <c r="L34">
        <f>IF(K34="","",COUNTIFS(K$4:K$40,"&lt;"&amp;K34,K$4:K$40,"&lt;&gt;"&amp;"")+COUNTIF(K$4:K34,K34))</f>
        <v/>
      </c>
      <c r="M34">
        <f>IF(ROW()-3&gt;COUNTIF(K$4:K$40,"&lt;&gt;"&amp;""),"",INDEX(K$4:K$40,MATCH(ROW()-3,L$4:L$40,0)))</f>
        <v/>
      </c>
      <c r="N34">
        <f>N33+IF(AND(M34&lt;&gt;"",COUNTIF(M$4:M34,M34)=1),1,0)</f>
        <v/>
      </c>
      <c r="O34">
        <f>IF(ROW()-3&gt;MAX(N$4:N$40),"",INDEX(M$4:M$40,MATCH(ROW()-3,N$4:N$40,0)))</f>
        <v/>
      </c>
      <c r="P34">
        <f>IF('Final Calculation Sheet'!$G$34="","",'Final Calculation Sheet'!$G$34)</f>
        <v/>
      </c>
      <c r="Q34">
        <f>IF(P34="","",COUNTIFS(P$4:P$40,"&lt;"&amp;P34,P$4:P$40,"&lt;&gt;"&amp;"")+COUNTIF(P$4:P34,P34))</f>
        <v/>
      </c>
      <c r="R34">
        <f>IF(ROW()-3&gt;COUNTIF(P$4:P$40,"&lt;&gt;"&amp;""),"",INDEX(P$4:P$40,MATCH(ROW()-3,Q$4:Q$40,0)))</f>
        <v/>
      </c>
      <c r="S34">
        <f>S33+IF(AND(R34&lt;&gt;"",COUNTIF(R$4:R34,R34)=1),1,0)</f>
        <v/>
      </c>
      <c r="T34">
        <f>IF(ROW()-3&gt;MAX(S$4:S$40),"",INDEX(R$4:R$40,MATCH(ROW()-3,S$4:S$40,0)))</f>
        <v/>
      </c>
      <c r="U34">
        <f>IF('Final Calculation Sheet'!$B$34="","",'Final Calculation Sheet'!$B$34)</f>
        <v/>
      </c>
      <c r="V34">
        <f>IF(U34="","",COUNTIFS(U$4:U$40,"&lt;"&amp;U34,U$4:U$40,"&lt;&gt;"&amp;"")+COUNTIF(U$4:U34,U34))</f>
        <v/>
      </c>
      <c r="W34">
        <f>IF(ROW()-3&gt;COUNTIF(U$4:U$40,"&lt;&gt;"&amp;""),"",INDEX(U$4:U$40,MATCH(ROW()-3,V$4:V$40,0)))</f>
        <v/>
      </c>
      <c r="X34">
        <f>X33+IF(AND(W34&lt;&gt;"",COUNTIF(W$4:W34,W34)=1),1,0)</f>
        <v/>
      </c>
      <c r="Y34">
        <f>IF(ROW()-3&gt;MAX(X$4:X$40),"",INDEX(W$4:W$40,MATCH(ROW()-3,X$4:X$40,0)))</f>
        <v/>
      </c>
      <c r="Z34">
        <f>IF('Final Calculation Sheet'!$D$34="","",'Final Calculation Sheet'!$D$34)</f>
        <v/>
      </c>
      <c r="AA34">
        <f>IF(Z34="","",COUNTIFS(Z$4:Z$40,"&lt;"&amp;Z34,Z$4:Z$40,"&lt;&gt;"&amp;"")+COUNTIF(Z$4:Z34,Z34))</f>
        <v/>
      </c>
      <c r="AB34">
        <f>IF(ROW()-3&gt;COUNTIF(Z$4:Z$40,"&lt;&gt;"&amp;""),"",INDEX(Z$4:Z$40,MATCH(ROW()-3,AA$4:AA$40,0)))</f>
        <v/>
      </c>
      <c r="AC34">
        <f>AC33+IF(AND(AB34&lt;&gt;"",COUNTIF(AB$4:AB34,AB34)=1),1,0)</f>
        <v/>
      </c>
      <c r="AD34">
        <f>IF(ROW()-3&gt;MAX(AC$4:AC$40),"",INDEX(AB$4:AB$40,MATCH(ROW()-3,AC$4:AC$40,0)))</f>
        <v/>
      </c>
      <c r="AE34">
        <f>IF('Final Calculation Sheet'!$A$34="","",'Final Calculation Sheet'!$A$34)</f>
        <v/>
      </c>
      <c r="AF34">
        <f>IF(AE34="","",COUNTIFS(AE$4:AE$40,"&lt;"&amp;AE34,AE$4:AE$40,"&lt;&gt;"&amp;"")+COUNTIF(AE$4:AE34,AE34))</f>
        <v/>
      </c>
      <c r="AG34">
        <f>IF(ROW()-3&gt;COUNTIF(AE$4:AE$40,"&lt;&gt;"&amp;""),"",INDEX(AE$4:AE$40,MATCH(ROW()-3,AF$4:AF$40,0)))</f>
        <v/>
      </c>
      <c r="AH34">
        <f>AH33+IF(AND(AG34&lt;&gt;"",COUNTIF(AG$4:AG34,AG34)=1),1,0)</f>
        <v/>
      </c>
      <c r="AI34">
        <f>IF(ROW()-3&gt;MAX(AH$4:AH$40),"",INDEX(AG$4:AG$40,MATCH(ROW()-3,AH$4:AH$40,0)))</f>
        <v/>
      </c>
      <c r="AJ34">
        <f>IF('Final Calculation Sheet'!$E$34="","",'Final Calculation Sheet'!$E$34)</f>
        <v/>
      </c>
      <c r="AK34">
        <f>IF(AJ34="","",COUNTIFS(AJ$4:AJ$40,"&lt;"&amp;AJ34,AJ$4:AJ$40,"&lt;&gt;"&amp;"")+COUNTIF(AJ$4:AJ34,AJ34))</f>
        <v/>
      </c>
      <c r="AL34">
        <f>IF(ROW()-3&gt;COUNTIF(AJ$4:AJ$40,"&lt;&gt;"&amp;""),"",INDEX(AJ$4:AJ$40,MATCH(ROW()-3,AK$4:AK$40,0)))</f>
        <v/>
      </c>
      <c r="AM34">
        <f>AM33+IF(AND(AL34&lt;&gt;"",COUNTIF(AL$4:AL34,AL34)=1),1,0)</f>
        <v/>
      </c>
      <c r="AN34">
        <f>IF(ROW()-3&gt;MAX(AM$4:AM$40),"",INDEX(AL$4:AL$40,MATCH(ROW()-3,AM$4:AM$40,0)))</f>
        <v/>
      </c>
      <c r="AO34" s="55">
        <f>IF('Final Calculation Sheet'!$C$34="","",'Final Calculation Sheet'!$C$34)</f>
        <v/>
      </c>
      <c r="AP34">
        <f>IF(AO34="","",COUNTIFS(AO$4:AO$40,"&lt;"&amp;AO34,AO$4:AO$40,"&lt;&gt;"&amp;"")+COUNTIF(AO$4:AO34,AO34))</f>
        <v/>
      </c>
      <c r="AQ34" s="55">
        <f>IF(ROW()-3&gt;COUNTIF(AO$4:AO$40,"&lt;&gt;"&amp;""),"",INDEX(AO$4:AO$40,MATCH(ROW()-3,AP$4:AP$40,0)))</f>
        <v/>
      </c>
      <c r="AR34">
        <f>AR33+IF(AND(AQ34&lt;&gt;"",COUNTIF(AQ$4:AQ34,AQ34)=1),1,0)</f>
        <v/>
      </c>
      <c r="AS34" s="55">
        <f>IF(ROW()-3&gt;MAX(AR$4:AR$40),"",INDEX(AQ$4:AQ$40,MATCH(ROW()-3,AR$4:AR$40,0)))</f>
        <v/>
      </c>
      <c r="AT34" s="55">
        <f>IF('Final Calculation Sheet'!$H$34="","",'Final Calculation Sheet'!$H$34)</f>
        <v/>
      </c>
      <c r="AU34">
        <f>IF(AT34="","",COUNTIFS(AT$4:AT$40,"&lt;"&amp;AT34,AT$4:AT$40,"&lt;&gt;"&amp;"")+COUNTIF(AT$4:AT34,AT34))</f>
        <v/>
      </c>
      <c r="AV34" s="55">
        <f>IF(ROW()-3&gt;COUNTIF(AT$4:AT$40,"&lt;&gt;"&amp;""),"",INDEX(AT$4:AT$40,MATCH(ROW()-3,AU$4:AU$40,0)))</f>
        <v/>
      </c>
      <c r="AW34">
        <f>AW33+IF(AND(AV34&lt;&gt;"",COUNTIF(AV$4:AV34,AV34)=1),1,0)</f>
        <v/>
      </c>
      <c r="AX34" s="55">
        <f>IF(ROW()-3&gt;MAX(AW$4:AW$40),"",INDEX(AV$4:AV$40,MATCH(ROW()-3,AW$4:AW$40,0)))</f>
        <v/>
      </c>
      <c r="AY34" s="55">
        <f>IF('Final Calculation Sheet'!$I$34="","",'Final Calculation Sheet'!$I$34)</f>
        <v/>
      </c>
      <c r="AZ34">
        <f>IF(AY34="","",COUNTIFS(AY$4:AY$40,"&lt;"&amp;AY34,AY$4:AY$40,"&lt;&gt;"&amp;"")+COUNTIF(AY$4:AY34,AY34))</f>
        <v/>
      </c>
      <c r="BA34" s="55">
        <f>IF(ROW()-3&gt;COUNTIF(AY$4:AY$40,"&lt;&gt;"&amp;""),"",INDEX(AY$4:AY$40,MATCH(ROW()-3,AZ$4:AZ$40,0)))</f>
        <v/>
      </c>
      <c r="BB34">
        <f>BB33+IF(AND(BA34&lt;&gt;"",COUNTIF(BA$4:BA34,BA34)=1),1,0)</f>
        <v/>
      </c>
      <c r="BC34" s="55">
        <f>IF(ROW()-3&gt;MAX(BB$4:BB$40),"",INDEX(BA$4:BA$40,MATCH(ROW()-3,BB$4:BB$40,0)))</f>
        <v/>
      </c>
      <c r="BD34" s="55">
        <f>IF('Final Calculation Sheet'!$J$34="","",'Final Calculation Sheet'!$J$34)</f>
        <v/>
      </c>
      <c r="BE34">
        <f>IF(BD34="","",COUNTIFS(BD$4:BD$40,"&lt;"&amp;BD34,BD$4:BD$40,"&lt;&gt;"&amp;"")+COUNTIF(BD$4:BD34,BD34))</f>
        <v/>
      </c>
      <c r="BF34" s="55">
        <f>IF(ROW()-3&gt;COUNTIF(BD$4:BD$40,"&lt;&gt;"&amp;""),"",INDEX(BD$4:BD$40,MATCH(ROW()-3,BE$4:BE$40,0)))</f>
        <v/>
      </c>
      <c r="BG34">
        <f>BG33+IF(AND(BF34&lt;&gt;"",COUNTIF(BF$4:BF34,BF34)=1),1,0)</f>
        <v/>
      </c>
      <c r="BH34" s="55">
        <f>IF(ROW()-3&gt;MAX(BG$4:BG$40),"",INDEX(BF$4:BF$40,MATCH(ROW()-3,BG$4:BG$40,0)))</f>
        <v/>
      </c>
      <c r="BI34" s="55">
        <f>IF('Final Calculation Sheet'!$K$34="","",'Final Calculation Sheet'!$K$34)</f>
        <v/>
      </c>
      <c r="BJ34">
        <f>IF(BI34="","",COUNTIFS(BI$4:BI$40,"&lt;"&amp;BI34,BI$4:BI$40,"&lt;&gt;"&amp;"")+COUNTIF(BI$4:BI34,BI34))</f>
        <v/>
      </c>
      <c r="BK34" s="55">
        <f>IF(ROW()-3&gt;COUNTIF(BI$4:BI$40,"&lt;&gt;"&amp;""),"",INDEX(BI$4:BI$40,MATCH(ROW()-3,BJ$4:BJ$40,0)))</f>
        <v/>
      </c>
      <c r="BL34">
        <f>BL33+IF(AND(BK34&lt;&gt;"",COUNTIF(BK$4:BK34,BK34)=1),1,0)</f>
        <v/>
      </c>
      <c r="BM34" s="55">
        <f>IF(ROW()-3&gt;MAX(BL$4:BL$40),"",INDEX(BK$4:BK$40,MATCH(ROW()-3,BL$4:BL$40,0)))</f>
        <v/>
      </c>
      <c r="BN34" s="55">
        <f>IF('Final Calculation Sheet'!$L$34="","",'Final Calculation Sheet'!$L$34)</f>
        <v/>
      </c>
      <c r="BO34">
        <f>IF(BN34="","",COUNTIFS(BN$4:BN$40,"&lt;"&amp;BN34,BN$4:BN$40,"&lt;&gt;"&amp;"")+COUNTIF(BN$4:BN34,BN34))</f>
        <v/>
      </c>
      <c r="BP34" s="55">
        <f>IF(ROW()-3&gt;COUNTIF(BN$4:BN$40,"&lt;&gt;"&amp;""),"",INDEX(BN$4:BN$40,MATCH(ROW()-3,BO$4:BO$40,0)))</f>
        <v/>
      </c>
      <c r="BQ34">
        <f>BQ33+IF(AND(BP34&lt;&gt;"",COUNTIF(BP$4:BP34,BP34)=1),1,0)</f>
        <v/>
      </c>
      <c r="BR34" s="55">
        <f>IF(ROW()-3&gt;MAX(BQ$4:BQ$40),"",INDEX(BP$4:BP$40,MATCH(ROW()-3,BQ$4:BQ$40,0)))</f>
        <v/>
      </c>
      <c r="BS34" s="55">
        <f>IF('Final Calculation Sheet'!$M$34="","",'Final Calculation Sheet'!$M$34)</f>
        <v/>
      </c>
      <c r="BT34">
        <f>IF(BS34="","",COUNTIFS(BS$4:BS$40,"&lt;"&amp;BS34,BS$4:BS$40,"&lt;&gt;"&amp;"")+COUNTIF(BS$4:BS34,BS34))</f>
        <v/>
      </c>
      <c r="BU34" s="55">
        <f>IF(ROW()-3&gt;COUNTIF(BS$4:BS$40,"&lt;&gt;"&amp;""),"",INDEX(BS$4:BS$40,MATCH(ROW()-3,BT$4:BT$40,0)))</f>
        <v/>
      </c>
      <c r="BV34">
        <f>BV33+IF(AND(BU34&lt;&gt;"",COUNTIF(BU$4:BU34,BU34)=1),1,0)</f>
        <v/>
      </c>
      <c r="BW34" s="55">
        <f>IF(ROW()-3&gt;MAX(BV$4:BV$40),"",INDEX(BU$4:BU$40,MATCH(ROW()-3,BV$4:BV$40,0)))</f>
        <v/>
      </c>
      <c r="BX34" s="138">
        <f>IF('Final Calculation Sheet'!$N$34="","",'Final Calculation Sheet'!$N$34)</f>
        <v/>
      </c>
      <c r="BY34">
        <f>IF(BX34="","",COUNTIFS(BX$4:BX$40,"&lt;"&amp;BX34,BX$4:BX$40,"&lt;&gt;"&amp;"")+COUNTIF(BX$4:BX34,BX34))</f>
        <v/>
      </c>
      <c r="BZ34" s="138">
        <f>IF(ROW()-3&gt;COUNTIF(BX$4:BX$40,"&lt;&gt;"&amp;""),"",INDEX(BX$4:BX$40,MATCH(ROW()-3,BY$4:BY$40,0)))</f>
        <v/>
      </c>
      <c r="CA34">
        <f>CA33+IF(AND(BZ34&lt;&gt;"",COUNTIF(BZ$4:BZ34,BZ34)=1),1,0)</f>
        <v/>
      </c>
      <c r="CB34" s="138">
        <f>IF(ROW()-3&gt;MAX(CA$4:CA$40),"",INDEX(BZ$4:BZ$40,MATCH(ROW()-3,CA$4:CA$40,0)))</f>
        <v/>
      </c>
      <c r="CC34" s="55">
        <f>IF('Final Calculation Sheet'!$O$34="","",'Final Calculation Sheet'!$O$34)</f>
        <v/>
      </c>
      <c r="CD34">
        <f>IF(CC34="","",COUNTIFS(CC$4:CC$40,"&lt;"&amp;CC34,CC$4:CC$40,"&lt;&gt;"&amp;"")+COUNTIF(CC$4:CC34,CC34))</f>
        <v/>
      </c>
      <c r="CE34" s="55">
        <f>IF(ROW()-3&gt;COUNTIF(CC$4:CC$40,"&lt;&gt;"&amp;""),"",INDEX(CC$4:CC$40,MATCH(ROW()-3,CD$4:CD$40,0)))</f>
        <v/>
      </c>
      <c r="CF34">
        <f>CF33+IF(AND(CE34&lt;&gt;"",COUNTIF(CE$4:CE34,CE34)=1),1,0)</f>
        <v/>
      </c>
      <c r="CG34" s="55">
        <f>IF(ROW()-3&gt;MAX(CF$4:CF$40),"",INDEX(CE$4:CE$40,MATCH(ROW()-3,CF$4:CF$40,0)))</f>
        <v/>
      </c>
      <c r="CH34" s="55">
        <f>IF('Final Calculation Sheet'!$P$34="","",'Final Calculation Sheet'!$P$34)</f>
        <v/>
      </c>
      <c r="CI34">
        <f>IF(CH34="","",COUNTIFS(CH$4:CH$40,"&lt;"&amp;CH34,CH$4:CH$40,"&lt;&gt;"&amp;"")+COUNTIF(CH$4:CH34,CH34))</f>
        <v/>
      </c>
      <c r="CJ34" s="55">
        <f>IF(ROW()-3&gt;COUNTIF(CH$4:CH$40,"&lt;&gt;"&amp;""),"",INDEX(CH$4:CH$40,MATCH(ROW()-3,CI$4:CI$40,0)))</f>
        <v/>
      </c>
      <c r="CK34">
        <f>CK33+IF(AND(CJ34&lt;&gt;"",COUNTIF(CJ$4:CJ34,CJ34)=1),1,0)</f>
        <v/>
      </c>
      <c r="CL34" s="55">
        <f>IF(ROW()-3&gt;MAX(CK$4:CK$40),"",INDEX(CJ$4:CJ$40,MATCH(ROW()-3,CK$4:CK$40,0)))</f>
        <v/>
      </c>
      <c r="CM34" s="139">
        <f>IF('Final Calculation Sheet'!$Q$34="","",'Final Calculation Sheet'!$Q$34)</f>
        <v/>
      </c>
      <c r="CN34">
        <f>IF(CM34="","",COUNTIFS(CM$4:CM$40,"&lt;"&amp;CM34,CM$4:CM$40,"&lt;&gt;"&amp;"")+COUNTIF(CM$4:CM34,CM34))</f>
        <v/>
      </c>
      <c r="CO34" s="139">
        <f>IF(ROW()-3&gt;COUNTIF(CM$4:CM$40,"&lt;&gt;"&amp;""),"",INDEX(CM$4:CM$40,MATCH(ROW()-3,CN$4:CN$40,0)))</f>
        <v/>
      </c>
      <c r="CP34">
        <f>CP33+IF(AND(CO34&lt;&gt;"",COUNTIF(CO$4:CO34,CO34)=1),1,0)</f>
        <v/>
      </c>
      <c r="CQ34">
        <f>IF(ROW()-3&gt;MAX(CP$4:CP$40),"",INDEX(CO$4:CO$40,MATCH(ROW()-3,CP$4:CP$40,0)))</f>
        <v/>
      </c>
      <c r="CR34" s="55">
        <f>IF('Final Calculation Sheet'!$R$34="","",'Final Calculation Sheet'!$R$34)</f>
        <v/>
      </c>
      <c r="CS34">
        <f>IF(CR34="","",COUNTIFS(CR$4:CR$40,"&lt;"&amp;CR34,CR$4:CR$40,"&lt;&gt;"&amp;"")+COUNTIF(CR$4:CR34,CR34))</f>
        <v/>
      </c>
      <c r="CT34" s="55">
        <f>IF(ROW()-3&gt;COUNTIF(CR$4:CR$40,"&lt;&gt;"&amp;""),"",INDEX(CR$4:CR$40,MATCH(ROW()-3,CS$4:CS$40,0)))</f>
        <v/>
      </c>
      <c r="CU34">
        <f>CU33+IF(AND(CT34&lt;&gt;"",COUNTIF(CT$4:CT34,CT34)=1),1,0)</f>
        <v/>
      </c>
      <c r="CV34">
        <f>IF(ROW()-3&gt;MAX(CU$4:CU$40),"",INDEX(CT$4:CT$40,MATCH(ROW()-3,CU$4:CU$40,0)))</f>
        <v/>
      </c>
      <c r="CW34" s="55">
        <f>IF('Final Calculation Sheet'!$S$34="","",'Final Calculation Sheet'!$S$34)</f>
        <v/>
      </c>
      <c r="CX34">
        <f>IF(CW34="","",COUNTIFS(CW$4:CW$40,"&lt;"&amp;CW34,CW$4:CW$40,"&lt;&gt;"&amp;"")+COUNTIF(CW$4:CW34,CW34))</f>
        <v/>
      </c>
      <c r="CY34" s="55">
        <f>IF(ROW()-3&gt;COUNTIF(CW$4:CW$40,"&lt;&gt;"&amp;""),"",INDEX(CW$4:CW$40,MATCH(ROW()-3,CX$4:CX$40,0)))</f>
        <v/>
      </c>
      <c r="CZ34">
        <f>CZ33+IF(AND(CY34&lt;&gt;"",COUNTIF(CY$4:CY34,CY34)=1),1,0)</f>
        <v/>
      </c>
      <c r="DA34" s="55">
        <f>IF(ROW()-3&gt;MAX(CZ$4:CZ$40),"",INDEX(CY$4:CY$40,MATCH(ROW()-3,CZ$4:CZ$40,0)))</f>
        <v/>
      </c>
      <c r="DB34" s="55">
        <f>IF('Final Calculation Sheet'!$T$34="","",'Final Calculation Sheet'!$T$34)</f>
        <v/>
      </c>
      <c r="DC34">
        <f>IF(DB34="","",COUNTIFS(DB$4:DB$40,"&lt;"&amp;DB34,DB$4:DB$40,"&lt;&gt;"&amp;"")+COUNTIF(DB$4:DB34,DB34))</f>
        <v/>
      </c>
      <c r="DD34" s="55">
        <f>IF(ROW()-3&gt;COUNTIF(DB$4:DB$40,"&lt;&gt;"&amp;""),"",INDEX(DB$4:DB$40,MATCH(ROW()-3,DC$4:DC$40,0)))</f>
        <v/>
      </c>
      <c r="DE34">
        <f>DE33+IF(AND(DD34&lt;&gt;"",COUNTIF(DD$4:DD34,DD34)=1),1,0)</f>
        <v/>
      </c>
      <c r="DF34" s="55">
        <f>IF(ROW()-3&gt;MAX(DE$4:DE$40),"",INDEX(DD$4:DD$40,MATCH(ROW()-3,DE$4:DE$40,0)))</f>
        <v/>
      </c>
      <c r="DG34" s="140">
        <f>IF('Final Calculation Sheet'!$U$34="","",'Final Calculation Sheet'!$U$34)</f>
        <v/>
      </c>
      <c r="DH34">
        <f>IF(DG34="","",COUNTIFS(DG$4:DG$40,"&lt;"&amp;DG34,DG$4:DG$40,"&lt;&gt;"&amp;"")+COUNTIF(DG$4:DG34,DG34))</f>
        <v/>
      </c>
      <c r="DI34" s="140">
        <f>IF(ROW()-3&gt;COUNTIF(DG$4:DG$40,"&lt;&gt;"&amp;""),"",INDEX(DG$4:DG$40,MATCH(ROW()-3,DH$4:DH$40,0)))</f>
        <v/>
      </c>
      <c r="DJ34">
        <f>DJ33+IF(AND(DI34&lt;&gt;"",COUNTIF(DI$4:DI34,DI34)=1),1,0)</f>
        <v/>
      </c>
      <c r="DK34" s="140">
        <f>IF(ROW()-3&gt;MAX(DJ$4:DJ$40),"",INDEX(DI$4:DI$40,MATCH(ROW()-3,DJ$4:DJ$40,0)))</f>
        <v/>
      </c>
      <c r="DL34">
        <f>IF('Final Calculation Sheet'!$V$34="","",'Final Calculation Sheet'!$V$34)</f>
        <v/>
      </c>
      <c r="DM34">
        <f>IF(DL34="","",COUNTIFS(DL$4:DL$40,"&lt;"&amp;DL34,DL$4:DL$40,"&lt;&gt;"&amp;"")+COUNTIF(DL$4:DL34,DL34))</f>
        <v/>
      </c>
      <c r="DN34">
        <f>IF(ROW()-3&gt;COUNTIF(DL$4:DL$40,"&lt;&gt;"&amp;""),"",INDEX(DL$4:DL$40,MATCH(ROW()-3,DM$4:DM$40,0)))</f>
        <v/>
      </c>
      <c r="DO34">
        <f>DO33+IF(AND(DN34&lt;&gt;"",COUNTIF(DN$4:DN34,DN34)=1),1,0)</f>
        <v/>
      </c>
      <c r="DP34">
        <f>IF(ROW()-3&gt;MAX(DO$4:DO$40),"",INDEX(DN$4:DN$40,MATCH(ROW()-3,DO$4:DO$40,0)))</f>
        <v/>
      </c>
      <c r="DQ34" s="55">
        <f>IF('Final Calculation Sheet'!$W$34="","",'Final Calculation Sheet'!$W$34)</f>
        <v/>
      </c>
      <c r="DR34">
        <f>IF(DQ34="","",COUNTIFS(DQ$4:DQ$40,"&lt;"&amp;DQ34,DQ$4:DQ$40,"&lt;&gt;"&amp;"")+COUNTIF(DQ$4:DQ34,DQ34))</f>
        <v/>
      </c>
      <c r="DS34" s="55">
        <f>IF(ROW()-3&gt;COUNTIF(DQ$4:DQ$40,"&lt;&gt;"&amp;""),"",INDEX(DQ$4:DQ$40,MATCH(ROW()-3,DR$4:DR$40,0)))</f>
        <v/>
      </c>
      <c r="DT34">
        <f>DT33+IF(AND(DS34&lt;&gt;"",COUNTIF(DS$4:DS34,DS34)=1),1,0)</f>
        <v/>
      </c>
      <c r="DU34" s="55">
        <f>IF(ROW()-3&gt;MAX(DT$4:DT$40),"",INDEX(DS$4:DS$40,MATCH(ROW()-3,DT$4:DT$40,0)))</f>
        <v/>
      </c>
      <c r="DV34" s="55">
        <f>IF('Final Calculation Sheet'!$X$34="","",'Final Calculation Sheet'!$X$34)</f>
        <v/>
      </c>
      <c r="DW34">
        <f>IF(DV34="","",COUNTIFS(DV$4:DV$40,"&lt;"&amp;DV34,DV$4:DV$40,"&lt;&gt;"&amp;"")+COUNTIF(DV$4:DV34,DV34))</f>
        <v/>
      </c>
      <c r="DX34" s="55">
        <f>IF(ROW()-3&gt;COUNTIF(DV$4:DV$40,"&lt;&gt;"&amp;""),"",INDEX(DV$4:DV$40,MATCH(ROW()-3,DW$4:DW$40,0)))</f>
        <v/>
      </c>
      <c r="DY34">
        <f>DY33+IF(AND(DX34&lt;&gt;"",COUNTIF(DX$4:DX34,DX34)=1),1,0)</f>
        <v/>
      </c>
      <c r="DZ34">
        <f>IF(ROW()-3&gt;MAX(DY$4:DY$40),"",INDEX(DX$4:DX$40,MATCH(ROW()-3,DY$4:DY$40,0)))</f>
        <v/>
      </c>
      <c r="EA34">
        <f>IF('Final Calculation Sheet'!$Y$34="","",'Final Calculation Sheet'!$Y$34)</f>
        <v/>
      </c>
      <c r="EB34">
        <f>IF(EA34="","",COUNTIFS(EA$4:EA$40,"&lt;"&amp;EA34,EA$4:EA$40,"&lt;&gt;"&amp;"")+COUNTIF(EA$4:EA34,EA34))</f>
        <v/>
      </c>
      <c r="EC34">
        <f>IF(ROW()-3&gt;COUNTIF(EA$4:EA$40,"&lt;&gt;"&amp;""),"",INDEX(EA$4:EA$40,MATCH(ROW()-3,EB$4:EB$40,0)))</f>
        <v/>
      </c>
      <c r="ED34">
        <f>ED33+IF(AND(EC34&lt;&gt;"",COUNTIF(EC$4:EC34,EC34)=1),1,0)</f>
        <v/>
      </c>
      <c r="EE34">
        <f>IF(ROW()-3&gt;MAX(ED$4:ED$40),"",INDEX(EC$4:EC$40,MATCH(ROW()-3,ED$4:ED$40,0)))</f>
        <v/>
      </c>
      <c r="EF34" s="55">
        <f>IF('Final Calculation Sheet'!$Z$34="","",'Final Calculation Sheet'!$Z$34)</f>
        <v/>
      </c>
      <c r="EG34">
        <f>IF(EF34="","",COUNTIFS(EF$4:EF$40,"&lt;"&amp;EF34,EF$4:EF$40,"&lt;&gt;"&amp;"")+COUNTIF(EF$4:EF34,EF34))</f>
        <v/>
      </c>
      <c r="EH34" s="55">
        <f>IF(ROW()-3&gt;COUNTIF(EF$4:EF$40,"&lt;&gt;"&amp;""),"",INDEX(EF$4:EF$40,MATCH(ROW()-3,EG$4:EG$40,0)))</f>
        <v/>
      </c>
      <c r="EI34">
        <f>EI33+IF(AND(EH34&lt;&gt;"",COUNTIF(EH$4:EH34,EH34)=1),1,0)</f>
        <v/>
      </c>
      <c r="EJ34">
        <f>IF(ROW()-3&gt;MAX(EI$4:EI$40),"",INDEX(EH$4:EH$40,MATCH(ROW()-3,EI$4:EI$40,0)))</f>
        <v/>
      </c>
      <c r="EK34">
        <f>IF('Final Calculation Sheet'!$AA$34="","",'Final Calculation Sheet'!$AA$34)</f>
        <v/>
      </c>
      <c r="EL34">
        <f>IF(EK34="","",COUNTIFS(EK$4:EK$40,"&lt;"&amp;EK34,EK$4:EK$40,"&lt;&gt;"&amp;"")+COUNTIF(EK$4:EK34,EK34))</f>
        <v/>
      </c>
      <c r="EM34">
        <f>IF(ROW()-3&gt;COUNTIF(EK$4:EK$40,"&lt;&gt;"&amp;""),"",INDEX(EK$4:EK$40,MATCH(ROW()-3,EL$4:EL$40,0)))</f>
        <v/>
      </c>
      <c r="EN34">
        <f>EN33+IF(AND(EM34&lt;&gt;"",COUNTIF(EM$4:EM34,EM34)=1),1,0)</f>
        <v/>
      </c>
      <c r="EO34">
        <f>IF(ROW()-3&gt;MAX(EN$4:EN$40),"",INDEX(EM$4:EM$40,MATCH(ROW()-3,EN$4:EN$40,0)))</f>
        <v/>
      </c>
      <c r="EP34">
        <f>IF('Final Calculation Sheet'!$AB$34="","",'Final Calculation Sheet'!$AB$34)</f>
        <v/>
      </c>
      <c r="EQ34">
        <f>IF(EP34="","",COUNTIFS(EP$4:EP$40,"&lt;"&amp;EP34,EP$4:EP$40,"&lt;&gt;"&amp;"")+COUNTIF(EP$4:EP34,EP34))</f>
        <v/>
      </c>
      <c r="ER34">
        <f>IF(ROW()-3&gt;COUNTIF(EP$4:EP$40,"&lt;&gt;"&amp;""),"",INDEX(EP$4:EP$40,MATCH(ROW()-3,EQ$4:EQ$40,0)))</f>
        <v/>
      </c>
      <c r="ES34">
        <f>ES33+IF(AND(ER34&lt;&gt;"",COUNTIF(ER$4:ER34,ER34)=1),1,0)</f>
        <v/>
      </c>
      <c r="ET34">
        <f>IF(ROW()-3&gt;MAX(ES$4:ES$40),"",INDEX(ER$4:ER$40,MATCH(ROW()-3,ES$4:ES$40,0)))</f>
        <v/>
      </c>
      <c r="EU34" s="55">
        <f>IF('Final Calculation Sheet'!$AC$34="","",'Final Calculation Sheet'!$AC$34)</f>
        <v/>
      </c>
      <c r="EV34">
        <f>IF(EU34="","",COUNTIFS(EU$4:EU$40,"&lt;"&amp;EU34,EU$4:EU$40,"&lt;&gt;"&amp;"")+COUNTIF(EU$4:EU34,EU34))</f>
        <v/>
      </c>
      <c r="EW34" s="55">
        <f>IF(ROW()-3&gt;COUNTIF(EU$4:EU$40,"&lt;&gt;"&amp;""),"",INDEX(EU$4:EU$40,MATCH(ROW()-3,EV$4:EV$40,0)))</f>
        <v/>
      </c>
      <c r="EX34">
        <f>EX33+IF(AND(EW34&lt;&gt;"",COUNTIF(EW$4:EW34,EW34)=1),1,0)</f>
        <v/>
      </c>
      <c r="EY34" s="55">
        <f>IF(ROW()-3&gt;MAX(EX$4:EX$40),"",INDEX(EW$4:EW$40,MATCH(ROW()-3,EX$4:EX$40,0)))</f>
        <v/>
      </c>
      <c r="EZ34" s="55">
        <f>IF('Final Calculation Sheet'!$AD$34="","",'Final Calculation Sheet'!$AD$34)</f>
        <v/>
      </c>
      <c r="FA34">
        <f>IF(EZ34="","",COUNTIFS(EZ$4:EZ$40,"&lt;"&amp;EZ34,EZ$4:EZ$40,"&lt;&gt;"&amp;"")+COUNTIF(EZ$4:EZ34,EZ34))</f>
        <v/>
      </c>
      <c r="FB34" s="55">
        <f>IF(ROW()-3&gt;COUNTIF(EZ$4:EZ$40,"&lt;&gt;"&amp;""),"",INDEX(EZ$4:EZ$40,MATCH(ROW()-3,FA$4:FA$40,0)))</f>
        <v/>
      </c>
      <c r="FC34">
        <f>FC33+IF(AND(FB34&lt;&gt;"",COUNTIF(FB$4:FB34,FB34)=1),1,0)</f>
        <v/>
      </c>
      <c r="FD34">
        <f>IF(ROW()-3&gt;MAX(FC$4:FC$40),"",INDEX(FB$4:FB$40,MATCH(ROW()-3,FC$4:FC$40,0)))</f>
        <v/>
      </c>
      <c r="FE34">
        <f>IF('Final Calculation Sheet'!$AF$34="","",'Final Calculation Sheet'!$AF$34)</f>
        <v/>
      </c>
      <c r="FF34">
        <f>IF(FE34="","",COUNTIFS(FE$4:FE$40,"&lt;"&amp;FE34,FE$4:FE$40,"&lt;&gt;"&amp;"")+COUNTIF(FE$4:FE34,FE34))</f>
        <v/>
      </c>
      <c r="FG34">
        <f>IF(ROW()-3&gt;COUNTIF(FE$4:FE$40,"&lt;&gt;"&amp;""),"",INDEX(FE$4:FE$40,MATCH(ROW()-3,FF$4:FF$40,0)))</f>
        <v/>
      </c>
      <c r="FH34">
        <f>FH33+IF(AND(FG34&lt;&gt;"",COUNTIF(FG$4:FG34,FG34)=1),1,0)</f>
        <v/>
      </c>
      <c r="FI34">
        <f>IF(ROW()-3&gt;MAX(FH$4:FH$40),"",INDEX(FG$4:FG$40,MATCH(ROW()-3,FH$4:FH$40,0)))</f>
        <v/>
      </c>
      <c r="FJ34" s="141">
        <f>IF('Final Calculation Sheet'!$AG$34="","",'Final Calculation Sheet'!$AG$34)</f>
        <v/>
      </c>
      <c r="FK34">
        <f>IF(FJ34="","",COUNTIFS(FJ$4:FJ$40,"&lt;"&amp;FJ34,FJ$4:FJ$40,"&lt;&gt;"&amp;"")+COUNTIF(FJ$4:FJ34,FJ34))</f>
        <v/>
      </c>
      <c r="FL34" s="141">
        <f>IF(ROW()-3&gt;COUNTIF(FJ$4:FJ$40,"&lt;&gt;"&amp;""),"",INDEX(FJ$4:FJ$40,MATCH(ROW()-3,FK$4:FK$40,0)))</f>
        <v/>
      </c>
      <c r="FM34">
        <f>FM33+IF(AND(FL34&lt;&gt;"",COUNTIF(FL$4:FL34,FL34)=1),1,0)</f>
        <v/>
      </c>
      <c r="FN34">
        <f>IF(ROW()-3&gt;MAX(FM$4:FM$40),"",INDEX(FL$4:FL$40,MATCH(ROW()-3,FM$4:FM$40,0)))</f>
        <v/>
      </c>
      <c r="FO34">
        <f>IF('Final Calculation Sheet'!$AH$34="","",'Final Calculation Sheet'!$AH$34)</f>
        <v/>
      </c>
      <c r="FP34">
        <f>IF(FO34="","",COUNTIFS(FO$4:FO$40,"&lt;"&amp;FO34,FO$4:FO$40,"&lt;&gt;"&amp;"")+COUNTIF(FO$4:FO34,FO34))</f>
        <v/>
      </c>
      <c r="FQ34">
        <f>IF(ROW()-3&gt;COUNTIF(FO$4:FO$40,"&lt;&gt;"&amp;""),"",INDEX(FO$4:FO$40,MATCH(ROW()-3,FP$4:FP$40,0)))</f>
        <v/>
      </c>
      <c r="FR34">
        <f>FR33+IF(AND(FQ34&lt;&gt;"",COUNTIF(FQ$4:FQ34,FQ34)=1),1,0)</f>
        <v/>
      </c>
      <c r="FS34">
        <f>IF(ROW()-3&gt;MAX(FR$4:FR$40),"",INDEX(FQ$4:FQ$40,MATCH(ROW()-3,FR$4:FR$40,0)))</f>
        <v/>
      </c>
      <c r="FU34">
        <f>IF(FT34="","",COUNTIFS(FT$4:FT$40,"&lt;"&amp;FT34,FT$4:FT$40,"&lt;&gt;"&amp;"")+COUNTIF(FT$4:FT34,FT34))</f>
        <v/>
      </c>
      <c r="FV34">
        <f>IF(ROW()-3&gt;COUNTIF(FT$4:FT$40,"&lt;&gt;"&amp;""),"",INDEX(FT$4:FT$40,MATCH(ROW()-3,FU$4:FU$40,0)))</f>
        <v/>
      </c>
      <c r="FW34">
        <f>FW33+IF(AND(FV34&lt;&gt;"",COUNTIF(FV$4:FV34,FV34)=1),1,0)</f>
        <v/>
      </c>
      <c r="FX34">
        <f>IF(ROW()-3&gt;MAX(FW$4:FW$40),"",INDEX(FV$4:FV$40,MATCH(ROW()-3,FW$4:FW$40,0)))</f>
        <v/>
      </c>
      <c r="FY34">
        <f>IF(COUNTIF('Live Search'!BM$33:BO$33,0)+COUNTIF('Live Search'!BQ$33:CU$33,0)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4">
        <f>IF($Y$34="",FALSE,SUMPRODUCT(('Final Calculation Sheet'!$B$4:$B$40=$Y$34)*($FY$6:$FY$42=1))&gt;0)</f>
        <v/>
      </c>
      <c r="GA34">
        <f>$GA$33+--($FZ$34)</f>
        <v/>
      </c>
      <c r="GB34">
        <f>IF(ROW()-3&gt;MAX($GA$4:$GA$40),"",INDEX($Y$4:$Y$40,MATCH(ROW()-3,$GA$4:$GA$40,0)))</f>
        <v/>
      </c>
      <c r="GC34">
        <f>IF(COUNTIF('Live Search'!BM$33:BM$33,0)+COUNTIF('Live Search'!BO$33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GD34">
        <f>IF($O$34="",FALSE,SUMPRODUCT(('Final Calculation Sheet'!$F$4:$F$40=$O$34)*($GC$6:$GC$42=1))&gt;0)</f>
        <v/>
      </c>
      <c r="GE34">
        <f>$GE$33+--($GD34)</f>
        <v/>
      </c>
      <c r="GF34">
        <f>IF(ROW()-3&gt;MAX($GE$4:$GE$40),"",INDEX($O$4:$O$40,MATCH(ROW()-3,$GE$4:$GE$40,0)))</f>
        <v/>
      </c>
      <c r="GG34">
        <f>IF(COUNTIF('Live Search'!BM$33:BN$33,0)+COUNTIF('Live Search'!BP$33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GH34">
        <f>IF($T$34="",FALSE,SUMPRODUCT(('Final Calculation Sheet'!$G$4:$G$40=$T$34)*($GG$6:$GG$42=1))&gt;0)</f>
        <v/>
      </c>
      <c r="GI34">
        <f>$GI$33+--($GH34)</f>
        <v/>
      </c>
      <c r="GJ34">
        <f>IF(ROW()-3&gt;MAX($GI$4:$GI$40),"",INDEX($T$4:$T$40,MATCH(ROW()-3,$GI$4:$GI$40,0)))</f>
        <v/>
      </c>
      <c r="GK34">
        <f>IF(COUNTIF('Live Search'!BM$33:BP$33,0)+COUNTIF('Live Search'!BR$33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GL34">
        <f>IF($AD$34="",FALSE,SUMPRODUCT(('Final Calculation Sheet'!$D$4:$D$40=$AD$34)*($GK$6:$GK$42=1))&gt;0)</f>
        <v/>
      </c>
      <c r="GM34">
        <f>$GM$33+--($GL34)</f>
        <v/>
      </c>
      <c r="GN34">
        <f>IF(ROW()-3&gt;MAX($GM$4:$GM$40),"",INDEX($AD$4:$AD$40,MATCH(ROW()-3,$GM$4:$GM$40,0)))</f>
        <v/>
      </c>
      <c r="GO34">
        <f>IF(COUNTIF('Live Search'!BM$33:BQ$33,0)+COUNTIF('Live Search'!BS$33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GP34">
        <f>IF($AI$34="",FALSE,SUMPRODUCT(('Final Calculation Sheet'!$A$4:$A$40=$AI$34)*($GO$6:$GO$42=1))&gt;0)</f>
        <v/>
      </c>
      <c r="GQ34">
        <f>$GQ$33+--($GP34)</f>
        <v/>
      </c>
      <c r="GR34">
        <f>IF(ROW()-3&gt;MAX($GQ$4:$GQ$40),"",INDEX($AI$4:$AI$40,MATCH(ROW()-3,$GQ$4:$GQ$40,0)))</f>
        <v/>
      </c>
      <c r="GS34">
        <f>IF(COUNTIF('Live Search'!BM$33:BR$33,0)+COUNTIF('Live Search'!BT$33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GT34">
        <f>IF($AN$34="",FALSE,SUMPRODUCT(('Final Calculation Sheet'!$E$4:$E$40=$AN$34)*($GS$6:$GS$42=1))&gt;0)</f>
        <v/>
      </c>
      <c r="GU34">
        <f>$GU$33+--($GT34)</f>
        <v/>
      </c>
      <c r="GV34">
        <f>IF(ROW()-3&gt;MAX($GU$4:$GU$40),"",INDEX($AN$4:$AN$40,MATCH(ROW()-3,$GU$4:$GU$40,0)))</f>
        <v/>
      </c>
      <c r="GW34">
        <f>IF(COUNTIF('Live Search'!BM$33:BS$33,0)+COUNTIF('Live Search'!BU$33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GX34">
        <f>IF($AS$34="",FALSE,SUMPRODUCT(('Final Calculation Sheet'!$C$4:$C$40=$AS$34)*($GW$6:$GW$42=1))&gt;0)</f>
        <v/>
      </c>
      <c r="GY34">
        <f>$GY$33+--($GX34)</f>
        <v/>
      </c>
      <c r="GZ34">
        <f>IF(ROW()-3&gt;MAX($GY$4:$GY$40),"",INDEX($AS$4:$AS$40,MATCH(ROW()-3,$GY$4:$GY$40,0)))</f>
        <v/>
      </c>
      <c r="HA34">
        <f>IF(COUNTIF('Live Search'!BM$33:BT$33,0)+COUNTIF('Live Search'!BV$33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HB34">
        <f>IF($AX$34="",FALSE,SUMPRODUCT(('Final Calculation Sheet'!$H$4:$H$40=$AX$34)*($HA$6:$HA$42=1))&gt;0)</f>
        <v/>
      </c>
      <c r="HC34">
        <f>$HC$33+--($HB34)</f>
        <v/>
      </c>
      <c r="HD34">
        <f>IF(ROW()-3&gt;MAX($HC$4:$HC$40),"",INDEX($AX$4:$AX$40,MATCH(ROW()-3,$HC$4:$HC$40,0)))</f>
        <v/>
      </c>
      <c r="HE34">
        <f>IF(COUNTIF('Live Search'!BM$33:BU$33,0)+COUNTIF('Live Search'!BW$33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HF34">
        <f>IF($BC$34="",FALSE,SUMPRODUCT(('Final Calculation Sheet'!$I$4:$I$40=$BC$34)*($HE$6:$HE$42=1))&gt;0)</f>
        <v/>
      </c>
      <c r="HG34">
        <f>$HG$33+--($HF34)</f>
        <v/>
      </c>
      <c r="HH34">
        <f>IF(ROW()-3&gt;MAX($HG$4:$HG$40),"",INDEX($BC$4:$BC$40,MATCH(ROW()-3,$HG$4:$HG$40,0)))</f>
        <v/>
      </c>
      <c r="HI34">
        <f>IF(COUNTIF('Live Search'!BM$33:BV$33,0)+COUNTIF('Live Search'!BX$33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HJ34">
        <f>IF($BH$34="",FALSE,SUMPRODUCT(('Final Calculation Sheet'!$J$4:$J$40=$BH$34)*($HI$6:$HI$42=1))&gt;0)</f>
        <v/>
      </c>
      <c r="HK34">
        <f>$HK$33+--($HJ34)</f>
        <v/>
      </c>
      <c r="HL34">
        <f>IF(ROW()-3&gt;MAX($HK$4:$HK$40),"",INDEX($BH$4:$BH$40,MATCH(ROW()-3,$HK$4:$HK$40,0)))</f>
        <v/>
      </c>
      <c r="HM34">
        <f>IF(COUNTIF('Live Search'!BM$33:BW$33,0)+COUNTIF('Live Search'!BY$33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HN34">
        <f>IF($BM$34="",FALSE,SUMPRODUCT(('Final Calculation Sheet'!$K$4:$K$40=$BM$34)*($HM$6:$HM$42=1))&gt;0)</f>
        <v/>
      </c>
      <c r="HO34">
        <f>$HO$33+--($HN34)</f>
        <v/>
      </c>
      <c r="HP34">
        <f>IF(ROW()-3&gt;MAX($HO$4:$HO$40),"",INDEX($BM$4:$BM$40,MATCH(ROW()-3,$HO$4:$HO$40,0)))</f>
        <v/>
      </c>
      <c r="HQ34">
        <f>IF(COUNTIF('Live Search'!BM$33:BX$33,0)+COUNTIF('Live Search'!BZ$33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HR34">
        <f>IF($BR$34="",FALSE,SUMPRODUCT(('Final Calculation Sheet'!$L$4:$L$40=$BR$34)*($HQ$6:$HQ$42=1))&gt;0)</f>
        <v/>
      </c>
      <c r="HS34">
        <f>$HS$33+--($HR34)</f>
        <v/>
      </c>
      <c r="HT34">
        <f>IF(ROW()-3&gt;MAX($HS$4:$HS$40),"",INDEX($BR$4:$BR$40,MATCH(ROW()-3,$HS$4:$HS$40,0)))</f>
        <v/>
      </c>
      <c r="HU34">
        <f>IF(COUNTIF('Live Search'!BM$33:BY$33,0)+COUNTIF('Live Search'!CA$33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HV34">
        <f>IF($BW$34="",FALSE,SUMPRODUCT(('Final Calculation Sheet'!$M$4:$M$40=$BW$34)*($HU$6:$HU$42=1))&gt;0)</f>
        <v/>
      </c>
      <c r="HW34">
        <f>$HW$33+--($HV34)</f>
        <v/>
      </c>
      <c r="HX34">
        <f>IF(ROW()-3&gt;MAX($HW$4:$HW$40),"",INDEX($BW$4:$BW$40,MATCH(ROW()-3,$HW$4:$HW$40,0)))</f>
        <v/>
      </c>
      <c r="HY34">
        <f>IF(COUNTIF('Live Search'!BM$33:BZ$33,0)+COUNTIF('Live Search'!CB$33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HZ34">
        <f>IF($CB$34="",FALSE,SUMPRODUCT(('Final Calculation Sheet'!$N$4:$N$40=$CB$34)*($HY$6:$HY$42=1))&gt;0)</f>
        <v/>
      </c>
      <c r="IA34">
        <f>$IA$33+--($HZ34)</f>
        <v/>
      </c>
      <c r="IB34">
        <f>IF(ROW()-3&gt;MAX($IA$4:$IA$40),"",INDEX($CB$4:$CB$40,MATCH(ROW()-3,$IA$4:$IA$40,0)))</f>
        <v/>
      </c>
      <c r="IC34">
        <f>IF(COUNTIF('Live Search'!BM$33:CA$33,0)+COUNTIF('Live Search'!CC$33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ID34">
        <f>IF($CG$34="",FALSE,SUMPRODUCT(('Final Calculation Sheet'!$O$4:$O$40=$CG$34)*($IC$6:$IC$42=1))&gt;0)</f>
        <v/>
      </c>
      <c r="IE34">
        <f>$IE$33+--($ID34)</f>
        <v/>
      </c>
      <c r="IF34">
        <f>IF(ROW()-3&gt;MAX($IE$4:$IE$40),"",INDEX($CG$4:$CG$40,MATCH(ROW()-3,$IE$4:$IE$40,0)))</f>
        <v/>
      </c>
      <c r="IG34">
        <f>IF(COUNTIF('Live Search'!BM$33:CB$33,0)+COUNTIF('Live Search'!CD$33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IH34">
        <f>IF($CL$34="",FALSE,SUMPRODUCT(('Final Calculation Sheet'!$P$4:$P$40=$CL$34)*($IG$6:$IG$42=1))&gt;0)</f>
        <v/>
      </c>
      <c r="II34">
        <f>$II$33+--($IH34)</f>
        <v/>
      </c>
      <c r="IJ34">
        <f>IF(ROW()-3&gt;MAX($II$4:$II$40),"",INDEX($CL$4:$CL$40,MATCH(ROW()-3,$II$4:$II$40,0)))</f>
        <v/>
      </c>
      <c r="IK34">
        <f>IF(COUNTIF('Live Search'!BM$33:CC$33,0)+COUNTIF('Live Search'!CE$33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IL34">
        <f>IF($CQ$34="",FALSE,SUMPRODUCT(('Final Calculation Sheet'!$Q$4:$Q$40=$CQ$34)*($IK$6:$IK$42=1))&gt;0)</f>
        <v/>
      </c>
      <c r="IM34">
        <f>$IM$33+--($IL34)</f>
        <v/>
      </c>
      <c r="IN34">
        <f>IF(ROW()-3&gt;MAX($IM$4:$IM$40),"",INDEX($CQ$4:$CQ$40,MATCH(ROW()-3,$IM$4:$IM$40,0)))</f>
        <v/>
      </c>
      <c r="IO34">
        <f>IF(COUNTIF('Live Search'!BM$33:CD$33,0)+COUNTIF('Live Search'!CF$33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IP34">
        <f>IF($CV$34="",FALSE,SUMPRODUCT(('Final Calculation Sheet'!$R$4:$R$40=$CV$34)*($IO$6:$IO$42=1))&gt;0)</f>
        <v/>
      </c>
      <c r="IQ34">
        <f>$IQ$33+--($IP34)</f>
        <v/>
      </c>
      <c r="IR34">
        <f>IF(ROW()-3&gt;MAX($IQ$4:$IQ$40),"",INDEX($CV$4:$CV$40,MATCH(ROW()-3,$IQ$4:$IQ$40,0)))</f>
        <v/>
      </c>
      <c r="IS34">
        <f>IF(COUNTIF('Live Search'!BM$33:CE$33,0)+COUNTIF('Live Search'!CG$33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IT34">
        <f>IF($DA$34="",FALSE,SUMPRODUCT(('Final Calculation Sheet'!$S$4:$S$40=$DA$34)*($IS$6:$IS$42=1))&gt;0)</f>
        <v/>
      </c>
      <c r="IU34">
        <f>$IU$33+--($IT34)</f>
        <v/>
      </c>
      <c r="IV34">
        <f>IF(ROW()-3&gt;MAX($IU$4:$IU$40),"",INDEX($DA$4:$DA$40,MATCH(ROW()-3,$IU$4:$IU$40,0)))</f>
        <v/>
      </c>
      <c r="IW34">
        <f>IF(COUNTIF('Live Search'!BM$33:CF$33,0)+COUNTIF('Live Search'!CH$33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IX34">
        <f>IF($DF$34="",FALSE,SUMPRODUCT(('Final Calculation Sheet'!$T$4:$T$40=$DF$34)*($IW$6:$IW$42=1))&gt;0)</f>
        <v/>
      </c>
      <c r="IY34">
        <f>$IY$33+--($IX34)</f>
        <v/>
      </c>
      <c r="IZ34">
        <f>IF(ROW()-3&gt;MAX($IY$4:$IY$40),"",INDEX($DF$4:$DF$40,MATCH(ROW()-3,$IY$4:$IY$40,0)))</f>
        <v/>
      </c>
      <c r="JA34">
        <f>IF(COUNTIF('Live Search'!BM$33:CG$33,0)+COUNTIF('Live Search'!CI$33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JB34">
        <f>IF($DK$34="",FALSE,SUMPRODUCT(('Final Calculation Sheet'!$U$4:$U$40=$DK$34)*($JA$6:$JA$42=1))&gt;0)</f>
        <v/>
      </c>
      <c r="JC34">
        <f>$JC$33+--($JB34)</f>
        <v/>
      </c>
      <c r="JD34">
        <f>IF(ROW()-3&gt;MAX($JC$4:$JC$40),"",INDEX($DK$4:$DK$40,MATCH(ROW()-3,$JC$4:$JC$40,0)))</f>
        <v/>
      </c>
      <c r="JE34">
        <f>IF(COUNTIF('Live Search'!BM$33:CH$33,0)+COUNTIF('Live Search'!CJ$33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JF34">
        <f>IF($DP$34="",FALSE,SUMPRODUCT(('Final Calculation Sheet'!$V$4:$V$40=$DP$34)*($JE$6:$JE$42=1))&gt;0)</f>
        <v/>
      </c>
      <c r="JG34">
        <f>$JG$33+--($JF34)</f>
        <v/>
      </c>
      <c r="JH34">
        <f>IF(ROW()-3&gt;MAX($JG$4:$JG$40),"",INDEX($DP$4:$DP$40,MATCH(ROW()-3,$JG$4:$JG$40,0)))</f>
        <v/>
      </c>
      <c r="JI34">
        <f>IF(COUNTIF('Live Search'!BM$33:CI$33,0)+COUNTIF('Live Search'!CK$33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JJ34">
        <f>IF($DU$34="",FALSE,SUMPRODUCT(('Final Calculation Sheet'!$W$4:$W$40=$DU$34)*($JI$6:$JI$42=1))&gt;0)</f>
        <v/>
      </c>
      <c r="JK34">
        <f>$JK$33+--($JJ34)</f>
        <v/>
      </c>
      <c r="JL34">
        <f>IF(ROW()-3&gt;MAX($JK$4:$JK$40),"",INDEX($DU$4:$DU$40,MATCH(ROW()-3,$JK$4:$JK$40,0)))</f>
        <v/>
      </c>
      <c r="JM34">
        <f>IF(COUNTIF('Live Search'!BM$33:CJ$33,0)+COUNTIF('Live Search'!CL$33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JN34">
        <f>IF($DZ$34="",FALSE,SUMPRODUCT(('Final Calculation Sheet'!$X$4:$X$40=$DZ$34)*($JM$6:$JM$42=1))&gt;0)</f>
        <v/>
      </c>
      <c r="JO34">
        <f>$JO$33+--($JN34)</f>
        <v/>
      </c>
      <c r="JP34">
        <f>IF(ROW()-3&gt;MAX($JO$4:$JO$40),"",INDEX($DZ$4:$DZ$40,MATCH(ROW()-3,$JO$4:$JO$40,0)))</f>
        <v/>
      </c>
      <c r="JQ34">
        <f>IF(COUNTIF('Live Search'!BM$33:CK$33,0)+COUNTIF('Live Search'!CM$33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JR34">
        <f>IF($EE$34="",FALSE,SUMPRODUCT(('Final Calculation Sheet'!$Y$4:$Y$40=$EE$34)*($JQ$6:$JQ$42=1))&gt;0)</f>
        <v/>
      </c>
      <c r="JS34">
        <f>$JS$33+--($JR34)</f>
        <v/>
      </c>
      <c r="JT34">
        <f>IF(ROW()-3&gt;MAX($JS$4:$JS$40),"",INDEX($EE$4:$EE$40,MATCH(ROW()-3,$JS$4:$JS$40,0)))</f>
        <v/>
      </c>
      <c r="JU34">
        <f>IF(COUNTIF('Live Search'!BM$33:CL$33,0)+COUNTIF('Live Search'!CN$33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JV34">
        <f>IF($EJ$34="",FALSE,SUMPRODUCT(('Final Calculation Sheet'!$Z$4:$Z$40=$EJ$34)*($JU$6:$JU$42=1))&gt;0)</f>
        <v/>
      </c>
      <c r="JW34">
        <f>$JW$33+--($JV34)</f>
        <v/>
      </c>
      <c r="JX34">
        <f>IF(ROW()-3&gt;MAX($JW$4:$JW$40),"",INDEX($EJ$4:$EJ$40,MATCH(ROW()-3,$JW$4:$JW$40,0)))</f>
        <v/>
      </c>
      <c r="JY34">
        <f>IF(COUNTIF('Live Search'!BM$33:CM$33,0)+COUNTIF('Live Search'!CO$33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JZ34">
        <f>IF($EO$34="",FALSE,SUMPRODUCT(('Final Calculation Sheet'!$AA$4:$AA$40=$EO$34)*($JY$6:$JY$42=1))&gt;0)</f>
        <v/>
      </c>
      <c r="KA34">
        <f>$KA$33+--($JZ34)</f>
        <v/>
      </c>
      <c r="KB34">
        <f>IF(ROW()-3&gt;MAX($KA$4:$KA$40),"",INDEX($EO$4:$EO$40,MATCH(ROW()-3,$KA$4:$KA$40,0)))</f>
        <v/>
      </c>
      <c r="KC34">
        <f>IF(COUNTIF('Live Search'!BM$33:CN$33,0)+COUNTIF('Live Search'!CP$33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KD34">
        <f>IF($ET$34="",FALSE,SUMPRODUCT(('Final Calculation Sheet'!$AB$4:$AB$40=$ET$34)*($KC$6:$KC$42=1))&gt;0)</f>
        <v/>
      </c>
      <c r="KE34">
        <f>$KE$33+--($KD34)</f>
        <v/>
      </c>
      <c r="KF34">
        <f>IF(ROW()-3&gt;MAX($KE$4:$KE$40),"",INDEX($ET$4:$ET$40,MATCH(ROW()-3,$KE$4:$KE$40,0)))</f>
        <v/>
      </c>
      <c r="KG34">
        <f>IF(COUNTIF('Live Search'!BM$33:CO$33,0)+COUNTIF('Live Search'!CQ$33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KH34">
        <f>IF($EY$34="",FALSE,SUMPRODUCT(('Final Calculation Sheet'!$AC$4:$AC$40=$EY$34)*($KG$6:$KG$42=1))&gt;0)</f>
        <v/>
      </c>
      <c r="KI34">
        <f>$KI$33+--($KH34)</f>
        <v/>
      </c>
      <c r="KJ34">
        <f>IF(ROW()-3&gt;MAX($KI$4:$KI$40),"",INDEX($EY$4:$EY$40,MATCH(ROW()-3,$KI$4:$KI$40,0)))</f>
        <v/>
      </c>
      <c r="KK34">
        <f>IF(COUNTIF('Live Search'!BM$33:CP$33,0)+COUNTIF('Live Search'!CR$33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KL34">
        <f>IF($FD$34="",FALSE,SUMPRODUCT(('Final Calculation Sheet'!$AD$4:$AD$40=$FD$34)*($KK$6:$KK$42=1))&gt;0)</f>
        <v/>
      </c>
      <c r="KM34">
        <f>$KM$33+--($KL34)</f>
        <v/>
      </c>
      <c r="KN34">
        <f>IF(ROW()-3&gt;MAX($KM$4:$KM$40),"",INDEX($FD$4:$FD$40,MATCH(ROW()-3,$KM$4:$KM$40,0)))</f>
        <v/>
      </c>
      <c r="KO34">
        <f>IF(COUNTIF('Live Search'!BM$33:CT$33,0)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KP34">
        <f>IF($FX$34="",FALSE,SUMPRODUCT((IF('Final Calculation Sheet'!$AD$4:$AD$40&lt;=5,"SETTLED","OUTSTANDING")=$FX$34)*($KO$6:$KO$42=1))&gt;0)</f>
        <v/>
      </c>
      <c r="KQ34">
        <f>$KQ$33+--($KP34)</f>
        <v/>
      </c>
      <c r="KR34">
        <f>IF(ROW()-3&gt;MAX($KQ$4:$KQ$40),"",INDEX($FX$4:$FX$40,MATCH(ROW()-3,$KQ$4:$KQ$40,0)))</f>
        <v/>
      </c>
      <c r="KS34">
        <f>IF(COUNTIF('Live Search'!BM$33:CQ$33,0)+COUNTIF('Live Search'!CS$33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KT34">
        <f>IF($FI$34="",FALSE,SUMPRODUCT(('Final Calculation Sheet'!$AF$4:$AF$40=$FI$34)*($KS$6:$KS$42=1))&gt;0)</f>
        <v/>
      </c>
      <c r="KU34">
        <f>$KU$33+--($KT34)</f>
        <v/>
      </c>
      <c r="KV34">
        <f>IF(ROW()-3&gt;MAX($KU$4:$KU$40),"",INDEX($FI$4:$FI$40,MATCH(ROW()-3,$KU$4:$KU$40,0)))</f>
        <v/>
      </c>
      <c r="KW34">
        <f>IF(COUNTIF('Live Search'!BM$33:CR$33,0)+COUNTIF('Live Search'!CT$33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KX34">
        <f>IF($FN$34="",FALSE,SUMPRODUCT(('Final Calculation Sheet'!$AG$4:$AG$40=$FN$34)*($KW$6:$KW$42=1))&gt;0)</f>
        <v/>
      </c>
      <c r="KY34">
        <f>$KY$33+--($KX34)</f>
        <v/>
      </c>
      <c r="KZ34">
        <f>IF(ROW()-3&gt;MAX($KY$4:$KY$40),"",INDEX($FN$4:$FN$40,MATCH(ROW()-3,$KY$4:$KY$40,0)))</f>
        <v/>
      </c>
      <c r="LA34">
        <f>IF(COUNTIF('Live Search'!BM$33:CS$33,0)+COUNTIF('Live Search'!CU$33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LB34">
        <f>IF($FS$34="",FALSE,SUMPRODUCT(('Final Calculation Sheet'!$AH$4:$AH$40=$FS$34)*($LA$6:$LA$42=1))&gt;0)</f>
        <v/>
      </c>
      <c r="LC34">
        <f>$LC$33+--($LB34)</f>
        <v/>
      </c>
      <c r="LD34">
        <f>IF(ROW()-3&gt;MAX($LC$4:$LC$40),"",INDEX($FS$4:$FS$40,MATCH(ROW()-3,$LC$4:$LC$40,0)))</f>
        <v/>
      </c>
      <c r="LE34">
        <f>IF(COUNTIF('Buyer Groups'!DH87:EN87,0)&gt;0,0,1)</f>
        <v/>
      </c>
      <c r="LF34">
        <f>IF($O$34="",FALSE,SUMPRODUCT(('Final Calculation Sheet'!$F$4:$F$40=$O$34)*($LE$6:$LE$42=1))&gt;0)</f>
        <v/>
      </c>
      <c r="LG34">
        <f>$LG$33+--($LF34)</f>
        <v/>
      </c>
      <c r="LH34">
        <f>IF(ROW()-3&gt;MAX($LG$4:$LG$40),"",INDEX($O$4:$O$40,MATCH(ROW()-3,$LG$4:$LG$40,0)))</f>
        <v/>
      </c>
      <c r="LI34">
        <f>IF(COUNTIF('Buyer Groups'!DG87:DG87,0)+COUNTIF('Buyer Groups'!DI87:EN87,0)&gt;0,0,1)</f>
        <v/>
      </c>
      <c r="LJ34">
        <f>IF($T$34="",FALSE,SUMPRODUCT(('Final Calculation Sheet'!$G$4:$G$40=$T$34)*($LI$6:$LI$42=1))&gt;0)</f>
        <v/>
      </c>
      <c r="LK34">
        <f>$LK$33+--($LJ34)</f>
        <v/>
      </c>
      <c r="LL34">
        <f>IF(ROW()-3&gt;MAX($LK$4:$LK$40),"",INDEX($T$4:$T$40,MATCH(ROW()-3,$LK$4:$LK$40,0)))</f>
        <v/>
      </c>
      <c r="LM34">
        <f>IF(COUNTIF('Buyer Groups'!DG87:DH87,0)+COUNTIF('Buyer Groups'!DJ87:EN87,0)&gt;0,0,1)</f>
        <v/>
      </c>
      <c r="LN34">
        <f>IF($Y$34="",FALSE,SUMPRODUCT(('Final Calculation Sheet'!$B$4:$B$40=$Y$34)*($LM$6:$LM$42=1))&gt;0)</f>
        <v/>
      </c>
      <c r="LO34">
        <f>$LO$33+--($LN34)</f>
        <v/>
      </c>
      <c r="LP34">
        <f>IF(ROW()-3&gt;MAX($LO$4:$LO$40),"",INDEX($Y$4:$Y$40,MATCH(ROW()-3,$LO$4:$LO$40,0)))</f>
        <v/>
      </c>
      <c r="LQ34">
        <f>IF(COUNTIF('Buyer Groups'!DG87:DI87,0)+COUNTIF('Buyer Groups'!DK87:EN87,0)&gt;0,0,1)</f>
        <v/>
      </c>
      <c r="LR34">
        <f>IF($AD$34="",FALSE,SUMPRODUCT(('Final Calculation Sheet'!$D$4:$D$40=$AD$34)*($LQ$6:$LQ$42=1))&gt;0)</f>
        <v/>
      </c>
      <c r="LS34">
        <f>$LS$33+--($LR34)</f>
        <v/>
      </c>
      <c r="LT34">
        <f>IF(ROW()-3&gt;MAX($LS$4:$LS$40),"",INDEX($AD$4:$AD$40,MATCH(ROW()-3,$LS$4:$LS$40,0)))</f>
        <v/>
      </c>
      <c r="LU34">
        <f>IF(COUNTIF('Buyer Groups'!DG87:DJ87,0)+COUNTIF('Buyer Groups'!DL87:EN87,0)&gt;0,0,1)</f>
        <v/>
      </c>
      <c r="LV34">
        <f>IF($AI$34="",FALSE,SUMPRODUCT(('Final Calculation Sheet'!$A$4:$A$40=$AI$34)*($LU$6:$LU$42=1))&gt;0)</f>
        <v/>
      </c>
      <c r="LW34">
        <f>$LW$33+--($LV34)</f>
        <v/>
      </c>
      <c r="LX34">
        <f>IF(ROW()-3&gt;MAX($LW$4:$LW$40),"",INDEX($AI$4:$AI$40,MATCH(ROW()-3,$LW$4:$LW$40,0)))</f>
        <v/>
      </c>
      <c r="LY34">
        <f>IF(COUNTIF('Buyer Groups'!DG87:DK87,0)+COUNTIF('Buyer Groups'!DM87:EN87,0)&gt;0,0,1)</f>
        <v/>
      </c>
      <c r="LZ34">
        <f>IF($AN$34="",FALSE,SUMPRODUCT(('Final Calculation Sheet'!$E$4:$E$40=$AN$34)*($LY$6:$LY$42=1))&gt;0)</f>
        <v/>
      </c>
      <c r="MA34">
        <f>$MA$33+--($LZ34)</f>
        <v/>
      </c>
      <c r="MB34">
        <f>IF(ROW()-3&gt;MAX($MA$4:$MA$40),"",INDEX($AN$4:$AN$40,MATCH(ROW()-3,$MA$4:$MA$40,0)))</f>
        <v/>
      </c>
      <c r="MC34">
        <f>IF(COUNTIF('Buyer Groups'!DG87:DL87,0)+COUNTIF('Buyer Groups'!DN87:EN87,0)&gt;0,0,1)</f>
        <v/>
      </c>
      <c r="MD34">
        <f>IF($AS$34="",FALSE,SUMPRODUCT(('Final Calculation Sheet'!$C$4:$C$40=$AS$34)*($MC$6:$MC$42=1))&gt;0)</f>
        <v/>
      </c>
      <c r="ME34">
        <f>$ME$33+--($MD34)</f>
        <v/>
      </c>
      <c r="MF34">
        <f>IF(ROW()-3&gt;MAX($ME$4:$ME$40),"",INDEX($AS$4:$AS$40,MATCH(ROW()-3,$ME$4:$ME$40,0)))</f>
        <v/>
      </c>
      <c r="MG34">
        <f>IF(COUNTIF('Buyer Groups'!DG87:DM87,0)+COUNTIF('Buyer Groups'!DO87:EN87,0)&gt;0,0,1)</f>
        <v/>
      </c>
      <c r="MH34">
        <f>IF($AX$34="",FALSE,SUMPRODUCT(('Final Calculation Sheet'!$H$4:$H$40=$AX$34)*($MG$6:$MG$42=1))&gt;0)</f>
        <v/>
      </c>
      <c r="MI34">
        <f>$MI$33+--($MH34)</f>
        <v/>
      </c>
      <c r="MJ34">
        <f>IF(ROW()-3&gt;MAX($MI$4:$MI$40),"",INDEX($AX$4:$AX$40,MATCH(ROW()-3,$MI$4:$MI$40,0)))</f>
        <v/>
      </c>
      <c r="MK34">
        <f>IF(COUNTIF('Buyer Groups'!DG87:DN87,0)+COUNTIF('Buyer Groups'!DP87:EN87,0)&gt;0,0,1)</f>
        <v/>
      </c>
      <c r="ML34">
        <f>IF($BC$34="",FALSE,SUMPRODUCT(('Final Calculation Sheet'!$I$4:$I$40=$BC$34)*($MK$6:$MK$42=1))&gt;0)</f>
        <v/>
      </c>
      <c r="MM34">
        <f>$MM$33+--($ML34)</f>
        <v/>
      </c>
      <c r="MN34">
        <f>IF(ROW()-3&gt;MAX($MM$4:$MM$40),"",INDEX($BC$4:$BC$40,MATCH(ROW()-3,$MM$4:$MM$40,0)))</f>
        <v/>
      </c>
      <c r="MO34">
        <f>IF(COUNTIF('Buyer Groups'!DG87:DO87,0)+COUNTIF('Buyer Groups'!DQ87:EN87,0)&gt;0,0,1)</f>
        <v/>
      </c>
      <c r="MP34">
        <f>IF($BH$34="",FALSE,SUMPRODUCT(('Final Calculation Sheet'!$J$4:$J$40=$BH$34)*($MO$6:$MO$42=1))&gt;0)</f>
        <v/>
      </c>
      <c r="MQ34">
        <f>$MQ$33+--($MP34)</f>
        <v/>
      </c>
      <c r="MR34">
        <f>IF(ROW()-3&gt;MAX($MQ$4:$MQ$40),"",INDEX($BH$4:$BH$40,MATCH(ROW()-3,$MQ$4:$MQ$40,0)))</f>
        <v/>
      </c>
      <c r="MS34">
        <f>IF(COUNTIF('Buyer Groups'!DG87:DP87,0)+COUNTIF('Buyer Groups'!DR87:EN87,0)&gt;0,0,1)</f>
        <v/>
      </c>
      <c r="MT34">
        <f>IF($BM$34="",FALSE,SUMPRODUCT(('Final Calculation Sheet'!$K$4:$K$40=$BM$34)*($MS$6:$MS$42=1))&gt;0)</f>
        <v/>
      </c>
      <c r="MU34">
        <f>$MU$33+--($MT34)</f>
        <v/>
      </c>
      <c r="MV34">
        <f>IF(ROW()-3&gt;MAX($MU$4:$MU$40),"",INDEX($BM$4:$BM$40,MATCH(ROW()-3,$MU$4:$MU$40,0)))</f>
        <v/>
      </c>
      <c r="MW34">
        <f>IF(COUNTIF('Buyer Groups'!DG87:DQ87,0)+COUNTIF('Buyer Groups'!DS87:EN87,0)&gt;0,0,1)</f>
        <v/>
      </c>
      <c r="MX34">
        <f>IF($BR$34="",FALSE,SUMPRODUCT(('Final Calculation Sheet'!$L$4:$L$40=$BR$34)*($MW$6:$MW$42=1))&gt;0)</f>
        <v/>
      </c>
      <c r="MY34">
        <f>$MY$33+--($MX34)</f>
        <v/>
      </c>
      <c r="MZ34">
        <f>IF(ROW()-3&gt;MAX($MY$4:$MY$40),"",INDEX($BR$4:$BR$40,MATCH(ROW()-3,$MY$4:$MY$40,0)))</f>
        <v/>
      </c>
      <c r="NA34">
        <f>IF(COUNTIF('Buyer Groups'!DG87:DR87,0)+COUNTIF('Buyer Groups'!DT87:EN87,0)&gt;0,0,1)</f>
        <v/>
      </c>
      <c r="NB34">
        <f>IF($BW$34="",FALSE,SUMPRODUCT(('Final Calculation Sheet'!$M$4:$M$40=$BW$34)*($NA$6:$NA$42=1))&gt;0)</f>
        <v/>
      </c>
      <c r="NC34">
        <f>$NC$33+--($NB34)</f>
        <v/>
      </c>
      <c r="ND34">
        <f>IF(ROW()-3&gt;MAX($NC$4:$NC$40),"",INDEX($BW$4:$BW$40,MATCH(ROW()-3,$NC$4:$NC$40,0)))</f>
        <v/>
      </c>
      <c r="NE34">
        <f>IF(COUNTIF('Buyer Groups'!DG87:DS87,0)+COUNTIF('Buyer Groups'!DU87:EN87,0)&gt;0,0,1)</f>
        <v/>
      </c>
      <c r="NF34">
        <f>IF($CB$34="",FALSE,SUMPRODUCT(('Final Calculation Sheet'!$N$4:$N$40=$CB$34)*($NE$6:$NE$42=1))&gt;0)</f>
        <v/>
      </c>
      <c r="NG34">
        <f>$NG$33+--($NF34)</f>
        <v/>
      </c>
      <c r="NH34">
        <f>IF(ROW()-3&gt;MAX($NG$4:$NG$40),"",INDEX($CB$4:$CB$40,MATCH(ROW()-3,$NG$4:$NG$40,0)))</f>
        <v/>
      </c>
      <c r="NI34">
        <f>IF(COUNTIF('Buyer Groups'!DG87:DT87,0)+COUNTIF('Buyer Groups'!DV87:EN87,0)&gt;0,0,1)</f>
        <v/>
      </c>
      <c r="NJ34">
        <f>IF($CG$34="",FALSE,SUMPRODUCT(('Final Calculation Sheet'!$O$4:$O$40=$CG$34)*($NI$6:$NI$42=1))&gt;0)</f>
        <v/>
      </c>
      <c r="NK34">
        <f>$NK$33+--($NJ34)</f>
        <v/>
      </c>
      <c r="NL34">
        <f>IF(ROW()-3&gt;MAX($NK$4:$NK$40),"",INDEX($CG$4:$CG$40,MATCH(ROW()-3,$NK$4:$NK$40,0)))</f>
        <v/>
      </c>
      <c r="NM34">
        <f>IF(COUNTIF('Buyer Groups'!DG87:DU87,0)+COUNTIF('Buyer Groups'!DW87:EN87,0)&gt;0,0,1)</f>
        <v/>
      </c>
      <c r="NN34">
        <f>IF($CL$34="",FALSE,SUMPRODUCT(('Final Calculation Sheet'!$P$4:$P$40=$CL$34)*($NM$6:$NM$42=1))&gt;0)</f>
        <v/>
      </c>
      <c r="NO34">
        <f>$NO$33+--($NN34)</f>
        <v/>
      </c>
      <c r="NP34">
        <f>IF(ROW()-3&gt;MAX($NO$4:$NO$40),"",INDEX($CL$4:$CL$40,MATCH(ROW()-3,$NO$4:$NO$40,0)))</f>
        <v/>
      </c>
      <c r="NQ34">
        <f>IF(COUNTIF('Buyer Groups'!DG87:DV87,0)+COUNTIF('Buyer Groups'!DX87:EN87,0)&gt;0,0,1)</f>
        <v/>
      </c>
      <c r="NR34">
        <f>IF($CQ$34="",FALSE,SUMPRODUCT(('Final Calculation Sheet'!$Q$4:$Q$40=$CQ$34)*($NQ$6:$NQ$42=1))&gt;0)</f>
        <v/>
      </c>
      <c r="NS34">
        <f>$NS$33+--($NR34)</f>
        <v/>
      </c>
      <c r="NT34">
        <f>IF(ROW()-3&gt;MAX($NS$4:$NS$40),"",INDEX($CQ$4:$CQ$40,MATCH(ROW()-3,$NS$4:$NS$40,0)))</f>
        <v/>
      </c>
      <c r="NU34">
        <f>IF(COUNTIF('Buyer Groups'!DG87:DW87,0)+COUNTIF('Buyer Groups'!DY87:EN87,0)&gt;0,0,1)</f>
        <v/>
      </c>
      <c r="NV34">
        <f>IF($CV$34="",FALSE,SUMPRODUCT(('Final Calculation Sheet'!$R$4:$R$40=$CV$34)*($NU$6:$NU$42=1))&gt;0)</f>
        <v/>
      </c>
      <c r="NW34">
        <f>$NW$33+--($NV34)</f>
        <v/>
      </c>
      <c r="NX34">
        <f>IF(ROW()-3&gt;MAX($NW$4:$NW$40),"",INDEX($CV$4:$CV$40,MATCH(ROW()-3,$NW$4:$NW$40,0)))</f>
        <v/>
      </c>
      <c r="NY34">
        <f>IF(COUNTIF('Buyer Groups'!DG87:DX87,0)+COUNTIF('Buyer Groups'!DZ87:EN87,0)&gt;0,0,1)</f>
        <v/>
      </c>
      <c r="NZ34">
        <f>IF($DA$34="",FALSE,SUMPRODUCT(('Final Calculation Sheet'!$S$4:$S$40=$DA$34)*($NY$6:$NY$42=1))&gt;0)</f>
        <v/>
      </c>
      <c r="OA34">
        <f>$OA$33+--($NZ34)</f>
        <v/>
      </c>
      <c r="OB34">
        <f>IF(ROW()-3&gt;MAX($OA$4:$OA$40),"",INDEX($DA$4:$DA$40,MATCH(ROW()-3,$OA$4:$OA$40,0)))</f>
        <v/>
      </c>
      <c r="OC34">
        <f>IF(COUNTIF('Buyer Groups'!DG87:DY87,0)+COUNTIF('Buyer Groups'!EA87:EN87,0)&gt;0,0,1)</f>
        <v/>
      </c>
      <c r="OD34">
        <f>IF($DF$34="",FALSE,SUMPRODUCT(('Final Calculation Sheet'!$T$4:$T$40=$DF$34)*($OC$6:$OC$42=1))&gt;0)</f>
        <v/>
      </c>
      <c r="OE34">
        <f>$OE$33+--($OD34)</f>
        <v/>
      </c>
      <c r="OF34">
        <f>IF(ROW()-3&gt;MAX($OE$4:$OE$40),"",INDEX($DF$4:$DF$40,MATCH(ROW()-3,$OE$4:$OE$40,0)))</f>
        <v/>
      </c>
      <c r="OG34">
        <f>IF(COUNTIF('Buyer Groups'!DG87:DZ87,0)+COUNTIF('Buyer Groups'!EB87:EN87,0)&gt;0,0,1)</f>
        <v/>
      </c>
      <c r="OH34">
        <f>IF($DK$34="",FALSE,SUMPRODUCT(('Final Calculation Sheet'!$U$4:$U$40=$DK$34)*($OG$6:$OG$42=1))&gt;0)</f>
        <v/>
      </c>
      <c r="OI34">
        <f>$OI$33+--($OH34)</f>
        <v/>
      </c>
      <c r="OJ34">
        <f>IF(ROW()-3&gt;MAX($OI$4:$OI$40),"",INDEX($DK$4:$DK$40,MATCH(ROW()-3,$OI$4:$OI$40,0)))</f>
        <v/>
      </c>
      <c r="OK34">
        <f>IF(COUNTIF('Buyer Groups'!DG87:EA87,0)+COUNTIF('Buyer Groups'!EC87:EN87,0)&gt;0,0,1)</f>
        <v/>
      </c>
      <c r="OL34">
        <f>IF($DP$34="",FALSE,SUMPRODUCT(('Final Calculation Sheet'!$V$4:$V$40=$DP$34)*($OK$6:$OK$42=1))&gt;0)</f>
        <v/>
      </c>
      <c r="OM34">
        <f>$OM$33+--($OL34)</f>
        <v/>
      </c>
      <c r="ON34">
        <f>IF(ROW()-3&gt;MAX($OM$4:$OM$40),"",INDEX($DP$4:$DP$40,MATCH(ROW()-3,$OM$4:$OM$40,0)))</f>
        <v/>
      </c>
      <c r="OO34">
        <f>IF(COUNTIF('Buyer Groups'!DG87:EB87,0)+COUNTIF('Buyer Groups'!ED87:EN87,0)&gt;0,0,1)</f>
        <v/>
      </c>
      <c r="OP34">
        <f>IF($DU$34="",FALSE,SUMPRODUCT(('Final Calculation Sheet'!$W$4:$W$40=$DU$34)*($OO$6:$OO$42=1))&gt;0)</f>
        <v/>
      </c>
      <c r="OQ34">
        <f>$OQ$33+--($OP34)</f>
        <v/>
      </c>
      <c r="OR34">
        <f>IF(ROW()-3&gt;MAX($OQ$4:$OQ$40),"",INDEX($DU$4:$DU$40,MATCH(ROW()-3,$OQ$4:$OQ$40,0)))</f>
        <v/>
      </c>
      <c r="OS34">
        <f>IF(COUNTIF('Buyer Groups'!DG87:EC87,0)+COUNTIF('Buyer Groups'!EE87:EN87,0)&gt;0,0,1)</f>
        <v/>
      </c>
      <c r="OT34">
        <f>IF($DZ$34="",FALSE,SUMPRODUCT(('Final Calculation Sheet'!$X$4:$X$40=$DZ$34)*($OS$6:$OS$42=1))&gt;0)</f>
        <v/>
      </c>
      <c r="OU34">
        <f>$OU$33+--($OT34)</f>
        <v/>
      </c>
      <c r="OV34">
        <f>IF(ROW()-3&gt;MAX($OU$4:$OU$40),"",INDEX($DZ$4:$DZ$40,MATCH(ROW()-3,$OU$4:$OU$40,0)))</f>
        <v/>
      </c>
      <c r="OW34">
        <f>IF(COUNTIF('Buyer Groups'!DG87:ED87,0)+COUNTIF('Buyer Groups'!EF87:EN87,0)&gt;0,0,1)</f>
        <v/>
      </c>
      <c r="OX34">
        <f>IF($EE$34="",FALSE,SUMPRODUCT(('Final Calculation Sheet'!$Y$4:$Y$40=$EE$34)*($OW$6:$OW$42=1))&gt;0)</f>
        <v/>
      </c>
      <c r="OY34">
        <f>$OY$33+--($OX34)</f>
        <v/>
      </c>
      <c r="OZ34">
        <f>IF(ROW()-3&gt;MAX($OY$4:$OY$40),"",INDEX($EE$4:$EE$40,MATCH(ROW()-3,$OY$4:$OY$40,0)))</f>
        <v/>
      </c>
      <c r="PA34">
        <f>IF(COUNTIF('Buyer Groups'!DG87:EE87,0)+COUNTIF('Buyer Groups'!EG87:EN87,0)&gt;0,0,1)</f>
        <v/>
      </c>
      <c r="PB34">
        <f>IF($EJ$34="",FALSE,SUMPRODUCT(('Final Calculation Sheet'!$Z$4:$Z$40=$EJ$34)*($PA$6:$PA$42=1))&gt;0)</f>
        <v/>
      </c>
      <c r="PC34">
        <f>$PC$33+--($PB34)</f>
        <v/>
      </c>
      <c r="PD34">
        <f>IF(ROW()-3&gt;MAX($PC$4:$PC$40),"",INDEX($EJ$4:$EJ$40,MATCH(ROW()-3,$PC$4:$PC$40,0)))</f>
        <v/>
      </c>
      <c r="PE34">
        <f>IF(COUNTIF('Buyer Groups'!DG87:EF87,0)+COUNTIF('Buyer Groups'!EH87:EN87,0)&gt;0,0,1)</f>
        <v/>
      </c>
      <c r="PF34">
        <f>IF($EO$34="",FALSE,SUMPRODUCT(('Final Calculation Sheet'!$AA$4:$AA$40=$EO$34)*($PE$6:$PE$42=1))&gt;0)</f>
        <v/>
      </c>
      <c r="PG34">
        <f>$PG$33+--($PF34)</f>
        <v/>
      </c>
      <c r="PH34">
        <f>IF(ROW()-3&gt;MAX($PG$4:$PG$40),"",INDEX($EO$4:$EO$40,MATCH(ROW()-3,$PG$4:$PG$40,0)))</f>
        <v/>
      </c>
      <c r="PI34">
        <f>IF(COUNTIF('Buyer Groups'!DG87:EG87,0)+COUNTIF('Buyer Groups'!EI87:EN87,0)&gt;0,0,1)</f>
        <v/>
      </c>
      <c r="PJ34">
        <f>IF($ET$34="",FALSE,SUMPRODUCT(('Final Calculation Sheet'!$AB$4:$AB$40=$ET$34)*($PI$6:$PI$42=1))&gt;0)</f>
        <v/>
      </c>
      <c r="PK34">
        <f>$PK$33+--($PJ34)</f>
        <v/>
      </c>
      <c r="PL34">
        <f>IF(ROW()-3&gt;MAX($PK$4:$PK$40),"",INDEX($ET$4:$ET$40,MATCH(ROW()-3,$PK$4:$PK$40,0)))</f>
        <v/>
      </c>
      <c r="PM34">
        <f>IF(COUNTIF('Buyer Groups'!DG87:EH87,0)+COUNTIF('Buyer Groups'!EJ87:EN87,0)&gt;0,0,1)</f>
        <v/>
      </c>
      <c r="PN34">
        <f>IF($EY$34="",FALSE,SUMPRODUCT(('Final Calculation Sheet'!$AC$4:$AC$40=$EY$34)*($PM$6:$PM$42=1))&gt;0)</f>
        <v/>
      </c>
      <c r="PO34">
        <f>$PO$33+--($PN34)</f>
        <v/>
      </c>
      <c r="PP34">
        <f>IF(ROW()-3&gt;MAX($PO$4:$PO$40),"",INDEX($EY$4:$EY$40,MATCH(ROW()-3,$PO$4:$PO$40,0)))</f>
        <v/>
      </c>
      <c r="PQ34">
        <f>IF(COUNTIF('Buyer Groups'!DG87:EI87,0)+COUNTIF('Buyer Groups'!EK87:EN87,0)&gt;0,0,1)</f>
        <v/>
      </c>
      <c r="PR34">
        <f>IF($FD$34="",FALSE,SUMPRODUCT(('Final Calculation Sheet'!$AD$4:$AD$40=$FD$34)*($PQ$6:$PQ$42=1))&gt;0)</f>
        <v/>
      </c>
      <c r="PS34">
        <f>$PS$33+--($PR34)</f>
        <v/>
      </c>
      <c r="PT34">
        <f>IF(ROW()-3&gt;MAX($PS$4:$PS$40),"",INDEX($FD$4:$FD$40,MATCH(ROW()-3,$PS$4:$PS$40,0)))</f>
        <v/>
      </c>
      <c r="PU34">
        <f>IF(COUNTIF('Buyer Groups'!DG87:EJ87,0)+COUNTIF('Buyer Groups'!EL87:EN87,0)&gt;0,0,1)</f>
        <v/>
      </c>
      <c r="PV34">
        <f>IF($FX$34="",FALSE,SUMPRODUCT((IF('Final Calculation Sheet'!$AD$4:$AD$40&lt;=5,"SETTLED","OUTSTANDING")=$FX$34)*($PU$6:$PU$42=1))&gt;0)</f>
        <v/>
      </c>
      <c r="PW34">
        <f>$PW$33+--($PV34)</f>
        <v/>
      </c>
      <c r="PX34">
        <f>IF(ROW()-3&gt;MAX($PW$4:$PW$40),"",INDEX($FX$4:$FX$40,MATCH(ROW()-3,$PW$4:$PW$40,0)))</f>
        <v/>
      </c>
      <c r="PY34">
        <f>IF(COUNTIF('Buyer Groups'!DG87:EK87,0)+COUNTIF('Buyer Groups'!EM87:EN87,0)&gt;0,0,1)</f>
        <v/>
      </c>
      <c r="PZ34">
        <f>IF($FI$34="",FALSE,SUMPRODUCT(('Final Calculation Sheet'!$AF$4:$AF$40=$FI$34)*($PY$6:$PY$42=1))&gt;0)</f>
        <v/>
      </c>
      <c r="QA34">
        <f>$QA$33+--($PZ34)</f>
        <v/>
      </c>
      <c r="QB34">
        <f>IF(ROW()-3&gt;MAX($QA$4:$QA$40),"",INDEX($FI$4:$FI$40,MATCH(ROW()-3,$QA$4:$QA$40,0)))</f>
        <v/>
      </c>
      <c r="QC34">
        <f>IF(COUNTIF('Buyer Groups'!DG87:EL87,0)+COUNTIF('Buyer Groups'!EN87:EN87,0)&gt;0,0,1)</f>
        <v/>
      </c>
      <c r="QD34">
        <f>IF($FN$34="",FALSE,SUMPRODUCT(('Final Calculation Sheet'!$AG$4:$AG$40=$FN$34)*($QC$6:$QC$42=1))&gt;0)</f>
        <v/>
      </c>
      <c r="QE34">
        <f>$QE$33+--($QD34)</f>
        <v/>
      </c>
      <c r="QF34">
        <f>IF(ROW()-3&gt;MAX($QE$4:$QE$40),"",INDEX($FN$4:$FN$40,MATCH(ROW()-3,$QE$4:$QE$40,0)))</f>
        <v/>
      </c>
      <c r="QG34">
        <f>IF(COUNTIF('Buyer Groups'!DG87:EM87,0)&gt;0,0,1)</f>
        <v/>
      </c>
      <c r="QH34">
        <f>IF($FS$34="",FALSE,SUMPRODUCT(('Final Calculation Sheet'!$AH$4:$AH$40=$FS$34)*($QG$6:$QG$42=1))&gt;0)</f>
        <v/>
      </c>
      <c r="QI34">
        <f>$QI$33+--($QH34)</f>
        <v/>
      </c>
      <c r="QJ34">
        <f>IF(ROW()-3&gt;MAX($QI$4:$QI$40),"",INDEX($FS$4:$FS$40,MATCH(ROW()-3,$QI$4:$QI$40,0)))</f>
        <v/>
      </c>
      <c r="QK34" t="str">
        <f>IF('Final Calculation Sheet'!$AH$34="","",'Final Calculation Sheet'!$AH$34)</f>
      </c>
      <c r="QL34" t="str">
        <f>IF(QK34="","",COUNTIFS(QK$4:QK$40,"&lt;"&amp;QK34,QK$4:QK$40,"&lt;&gt;"&amp;"")+COUNTIF(QK$4:QK34,QK34))</f>
      </c>
      <c r="QM34" t="str">
        <f>IF(ROW()-3&gt;COUNTIF(QK$4:QK$40,"&lt;&gt;"&amp;""),"",INDEX(QK$4:QK$40,MATCH(ROW()-3,QL$4:QL$40,0)))</f>
      </c>
      <c r="QN34" t="str">
        <f>=QN33+F(AND(QM34&lt;&gt;"",COUNTIF(QM$4:QM34,QM34)=1),1,0)</f>
      </c>
      <c r="QO34" t="str">
        <f>IF(ROW()-3&gt;MAX(QN$4:QN$40),"",INDEX(QM$4:QM$40,MATCH(ROW()-3,QN$4:QN$40,0)))</f>
      </c>
      <c r="QP34" t="str">
        <f>IF(COUNTIF('Final Calculation Sheet'!$AM34:$BS34,0)&gt;0,0,1)</f>
      </c>
      <c r="QQ34" t="str">
        <f>IF($AI$34="",FALSE,SUMPRODUCT(('Final Calculation Sheet'!$A$4:$A$40=$AI$34)*($QP$4:$QP$40=1))&gt;0)</f>
      </c>
      <c r="QR34" t="str">
        <f>=$QR33+--($QQ34)</f>
      </c>
      <c r="QS34" t="str">
        <f>IF(ROW()-3&gt;MAX($QR$4:$QR$40),"",INDEX($AI$4:$AI$40,MATCH(ROW()-3,$QR$4:$QR$40,0)))</f>
      </c>
      <c r="QT34" t="str">
        <f>IF(COUNTIF('Final Calculation Sheet'!$AL34:$AL34,0)+COUNTIF('Final Calculation Sheet'!$AN34:$BS34,0)&gt;0,0,1)</f>
      </c>
      <c r="QU34" t="str">
        <f>IF($Y$34="",FALSE,SUMPRODUCT(('Final Calculation Sheet'!$B$4:$B$40=$Y$34)*($QT$4:$QT$40=1))&gt;0)</f>
      </c>
      <c r="QV34" t="str">
        <f>=$QV33+--($QU34)</f>
      </c>
      <c r="QW34" t="str">
        <f>IF(ROW()-3&gt;MAX($QV$4:$QV$40),"",INDEX($Y$4:$Y$40,MATCH(ROW()-3,$QV$4:$QV$40,0)))</f>
      </c>
      <c r="QX34" t="str">
        <f>IF(COUNTIF('Final Calculation Sheet'!$AL34:$AM34,0)+COUNTIF('Final Calculation Sheet'!$AO34:$BS34,0)&gt;0,0,1)</f>
      </c>
      <c r="QY34" t="str">
        <f>IF($AS$34="",FALSE,SUMPRODUCT(('Final Calculation Sheet'!$C$4:$C$40=$AS$34)*($QX$4:$QX$40=1))&gt;0)</f>
      </c>
      <c r="QZ34" t="str">
        <f>=$QZ33+--($QY34)</f>
      </c>
      <c r="RA34" t="str">
        <f>IF(ROW()-3&gt;MAX($QZ$4:$QZ$40),"",INDEX($AS$4:$AS$40,MATCH(ROW()-3,$QZ$4:$QZ$40,0)))</f>
      </c>
      <c r="RB34" t="str">
        <f>IF(COUNTIF('Final Calculation Sheet'!$AL34:$AN34,0)+COUNTIF('Final Calculation Sheet'!$AP34:$BS34,0)&gt;0,0,1)</f>
      </c>
      <c r="RC34" t="str">
        <f>IF($AD$34="",FALSE,SUMPRODUCT(('Final Calculation Sheet'!$D$4:$D$40=$AD$34)*($RB$4:$RB$40=1))&gt;0)</f>
      </c>
      <c r="RD34" t="str">
        <f>=$RD33+--($RC34)</f>
      </c>
      <c r="RE34" t="str">
        <f>IF(ROW()-3&gt;MAX($RD$4:$RD$40),"",INDEX($AD$4:$AD$40,MATCH(ROW()-3,$RD$4:$RD$40,0)))</f>
      </c>
      <c r="RF34" t="str">
        <f>IF(COUNTIF('Final Calculation Sheet'!$AL34:$AO34,0)+COUNTIF('Final Calculation Sheet'!$AQ34:$BS34,0)&gt;0,0,1)</f>
      </c>
      <c r="RG34" t="str">
        <f>IF($AN$34="",FALSE,SUMPRODUCT(('Final Calculation Sheet'!$E$4:$E$40=$AN$34)*($RF$4:$RF$40=1))&gt;0)</f>
      </c>
      <c r="RH34" t="str">
        <f>=$RH33+--($RG34)</f>
      </c>
      <c r="RI34" t="str">
        <f>IF(ROW()-3&gt;MAX($RH$4:$RH$40),"",INDEX($AN$4:$AN$40,MATCH(ROW()-3,$RH$4:$RH$40,0)))</f>
      </c>
      <c r="RJ34" t="str">
        <f>IF(COUNTIF('Final Calculation Sheet'!$AL34:$AP34,0)+COUNTIF('Final Calculation Sheet'!$AR34:$BS34,0)&gt;0,0,1)</f>
      </c>
      <c r="RK34" t="str">
        <f>IF($O$34="",FALSE,SUMPRODUCT(('Final Calculation Sheet'!$F$4:$F$40=$O$34)*($RJ$4:$RJ$40=1))&gt;0)</f>
      </c>
      <c r="RL34" t="str">
        <f>=$RL33+--($RK34)</f>
      </c>
      <c r="RM34" t="str">
        <f>IF(ROW()-3&gt;MAX($RL$4:$RL$40),"",INDEX($O$4:$O$40,MATCH(ROW()-3,$RL$4:$RL$40,0)))</f>
      </c>
      <c r="RN34" t="str">
        <f>IF(COUNTIF('Final Calculation Sheet'!$AL34:$AQ34,0)+COUNTIF('Final Calculation Sheet'!$AS34:$BS34,0)&gt;0,0,1)</f>
      </c>
      <c r="RO34" t="str">
        <f>IF($T$34="",FALSE,SUMPRODUCT(('Final Calculation Sheet'!$G$4:$G$40=$T$34)*($RN$4:$RN$40=1))&gt;0)</f>
      </c>
      <c r="RP34" t="str">
        <f>=$RP33+--($RO34)</f>
      </c>
      <c r="RQ34" t="str">
        <f>IF(ROW()-3&gt;MAX($RP$4:$RP$40),"",INDEX($T$4:$T$40,MATCH(ROW()-3,$RP$4:$RP$40,0)))</f>
      </c>
      <c r="RR34" t="str">
        <f>IF(COUNTIF('Final Calculation Sheet'!$AL34:$AR34,0)+COUNTIF('Final Calculation Sheet'!$AT34:$BS34,0)&gt;0,0,1)</f>
      </c>
      <c r="RS34" t="str">
        <f>IF($AX$34="",FALSE,SUMPRODUCT(('Final Calculation Sheet'!$H$4:$H$40=$AX$34)*($RR$4:$RR$40=1))&gt;0)</f>
      </c>
      <c r="RT34" t="str">
        <f>=$RT33+--($RS34)</f>
      </c>
      <c r="RU34" t="str">
        <f>IF(ROW()-3&gt;MAX($RT$4:$RT$40),"",INDEX($AX$4:$AX$40,MATCH(ROW()-3,$RT$4:$RT$40,0)))</f>
      </c>
      <c r="RV34" t="str">
        <f>IF(COUNTIF('Final Calculation Sheet'!$AL34:$AS34,0)+COUNTIF('Final Calculation Sheet'!$AU34:$BS34,0)&gt;0,0,1)</f>
      </c>
      <c r="RW34" t="str">
        <f>IF($BC$34="",FALSE,SUMPRODUCT(('Final Calculation Sheet'!$I$4:$I$40=$BC$34)*($RV$4:$RV$40=1))&gt;0)</f>
      </c>
      <c r="RX34" t="str">
        <f>=$RX33+--($RW34)</f>
      </c>
      <c r="RY34" t="str">
        <f>IF(ROW()-3&gt;MAX($RX$4:$RX$40),"",INDEX($BC$4:$BC$40,MATCH(ROW()-3,$RX$4:$RX$40,0)))</f>
      </c>
      <c r="RZ34" t="str">
        <f>IF(COUNTIF('Final Calculation Sheet'!$AL34:$AT34,0)+COUNTIF('Final Calculation Sheet'!$AV34:$BS34,0)&gt;0,0,1)</f>
      </c>
      <c r="SA34" t="str">
        <f>IF($BH$34="",FALSE,SUMPRODUCT(('Final Calculation Sheet'!$J$4:$J$40=$BH$34)*($RZ$4:$RZ$40=1))&gt;0)</f>
      </c>
      <c r="SB34" t="str">
        <f>=$SB33+--($SA34)</f>
      </c>
      <c r="SC34" t="str">
        <f>IF(ROW()-3&gt;MAX($SB$4:$SB$40),"",INDEX($BH$4:$BH$40,MATCH(ROW()-3,$SB$4:$SB$40,0)))</f>
      </c>
      <c r="SD34" t="str">
        <f>IF(COUNTIF('Final Calculation Sheet'!$AL34:$AU34,0)+COUNTIF('Final Calculation Sheet'!$AW34:$BS34,0)&gt;0,0,1)</f>
      </c>
      <c r="SE34" t="str">
        <f>IF($BM$34="",FALSE,SUMPRODUCT(('Final Calculation Sheet'!$K$4:$K$40=$BM$34)*($SD$4:$SD$40=1))&gt;0)</f>
      </c>
      <c r="SF34" t="str">
        <f>=$SF33+--($SE34)</f>
      </c>
      <c r="SG34" t="str">
        <f>IF(ROW()-3&gt;MAX($SF$4:$SF$40),"",INDEX($BM$4:$BM$40,MATCH(ROW()-3,$SF$4:$SF$40,0)))</f>
      </c>
      <c r="SH34" t="str">
        <f>IF(COUNTIF('Final Calculation Sheet'!$AL34:$AV34,0)+COUNTIF('Final Calculation Sheet'!$AX34:$BS34,0)&gt;0,0,1)</f>
      </c>
      <c r="SI34" t="str">
        <f>IF($BR$34="",FALSE,SUMPRODUCT(('Final Calculation Sheet'!$L$4:$L$40=$BR$34)*($SH$4:$SH$40=1))&gt;0)</f>
      </c>
      <c r="SJ34" t="str">
        <f>=$SJ33+--($SI34)</f>
      </c>
      <c r="SK34" t="str">
        <f>IF(ROW()-3&gt;MAX($SJ$4:$SJ$40),"",INDEX($BR$4:$BR$40,MATCH(ROW()-3,$SJ$4:$SJ$40,0)))</f>
      </c>
      <c r="SL34" t="str">
        <f>IF(COUNTIF('Final Calculation Sheet'!$AL34:$AW34,0)+COUNTIF('Final Calculation Sheet'!$AY34:$BS34,0)&gt;0,0,1)</f>
      </c>
      <c r="SM34" t="str">
        <f>IF($BW$34="",FALSE,SUMPRODUCT(('Final Calculation Sheet'!$M$4:$M$40=$BW$34)*($SL$4:$SL$40=1))&gt;0)</f>
      </c>
      <c r="SN34" t="str">
        <f>=$SN33+--($SM34)</f>
      </c>
      <c r="SO34" t="str">
        <f>IF(ROW()-3&gt;MAX($SN$4:$SN$40),"",INDEX($BW$4:$BW$40,MATCH(ROW()-3,$SN$4:$SN$40,0)))</f>
      </c>
      <c r="SP34" t="str">
        <f>IF(COUNTIF('Final Calculation Sheet'!$AL34:$AX34,0)+COUNTIF('Final Calculation Sheet'!$AZ34:$BS34,0)&gt;0,0,1)</f>
      </c>
      <c r="SQ34" t="str">
        <f>IF($CB$34="",FALSE,SUMPRODUCT(('Final Calculation Sheet'!$N$4:$N$40=$CB$34)*($SP$4:$SP$40=1))&gt;0)</f>
      </c>
      <c r="SR34" t="str">
        <f>=$SR33+--($SQ34)</f>
      </c>
      <c r="SS34" t="str">
        <f>IF(ROW()-3&gt;MAX($SR$4:$SR$40),"",INDEX($CB$4:$CB$40,MATCH(ROW()-3,$SR$4:$SR$40,0)))</f>
      </c>
      <c r="ST34" t="str">
        <f>IF(COUNTIF('Final Calculation Sheet'!$AL34:$AY34,0)+COUNTIF('Final Calculation Sheet'!$BA34:$BS34,0)&gt;0,0,1)</f>
      </c>
      <c r="SU34" t="str">
        <f>IF($CG$34="",FALSE,SUMPRODUCT(('Final Calculation Sheet'!$O$4:$O$40=$CG$34)*($ST$4:$ST$40=1))&gt;0)</f>
      </c>
      <c r="SV34" t="str">
        <f>=$SV33+--($SU34)</f>
      </c>
      <c r="SW34" t="str">
        <f>IF(ROW()-3&gt;MAX($SV$4:$SV$40),"",INDEX($CG$4:$CG$40,MATCH(ROW()-3,$SV$4:$SV$40,0)))</f>
      </c>
      <c r="SX34" t="str">
        <f>IF(COUNTIF('Final Calculation Sheet'!$AL34:$AZ34,0)+COUNTIF('Final Calculation Sheet'!$BB34:$BS34,0)&gt;0,0,1)</f>
      </c>
      <c r="SY34" t="str">
        <f>IF($CL$34="",FALSE,SUMPRODUCT(('Final Calculation Sheet'!$P$4:$P$40=$CL$34)*($SX$4:$SX$40=1))&gt;0)</f>
      </c>
      <c r="SZ34" t="str">
        <f>=$SZ33+--($SY34)</f>
      </c>
      <c r="TA34" t="str">
        <f>IF(ROW()-3&gt;MAX($SZ$4:$SZ$40),"",INDEX($CL$4:$CL$40,MATCH(ROW()-3,$SZ$4:$SZ$40,0)))</f>
      </c>
      <c r="TB34" t="str">
        <f>IF(COUNTIF('Final Calculation Sheet'!$AL34:$BA34,0)+COUNTIF('Final Calculation Sheet'!$BC34:$BS34,0)&gt;0,0,1)</f>
      </c>
      <c r="TC34" t="str">
        <f>IF($CQ$34="",FALSE,SUMPRODUCT(('Final Calculation Sheet'!$Q$4:$Q$40=$CQ$34)*($TB$4:$TB$40=1))&gt;0)</f>
      </c>
      <c r="TD34" t="str">
        <f>=$TD33+--($TC34)</f>
      </c>
      <c r="TE34" t="str">
        <f>IF(ROW()-3&gt;MAX($TD$4:$TD$40),"",INDEX($CQ$4:$CQ$40,MATCH(ROW()-3,$TD$4:$TD$40,0)))</f>
      </c>
      <c r="TF34" t="str">
        <f>IF(COUNTIF('Final Calculation Sheet'!$AL34:$BB34,0)+COUNTIF('Final Calculation Sheet'!$BD34:$BS34,0)&gt;0,0,1)</f>
      </c>
      <c r="TG34" t="str">
        <f>IF($CV$34="",FALSE,SUMPRODUCT(('Final Calculation Sheet'!$R$4:$R$40=$CV$34)*($TF$4:$TF$40=1))&gt;0)</f>
      </c>
      <c r="TH34" t="str">
        <f>=$TH33+--($TG34)</f>
      </c>
      <c r="TI34" t="str">
        <f>IF(ROW()-3&gt;MAX($TH$4:$TH$40),"",INDEX($CV$4:$CV$40,MATCH(ROW()-3,$TH$4:$TH$40,0)))</f>
      </c>
      <c r="TJ34" t="str">
        <f>IF(COUNTIF('Final Calculation Sheet'!$AL34:$BC34,0)+COUNTIF('Final Calculation Sheet'!$BE34:$BS34,0)&gt;0,0,1)</f>
      </c>
      <c r="TK34" t="str">
        <f>IF($DA$34="",FALSE,SUMPRODUCT(('Final Calculation Sheet'!$S$4:$S$40=$DA$34)*($TJ$4:$TJ$40=1))&gt;0)</f>
      </c>
      <c r="TL34" t="str">
        <f>=$TL33+--($TK34)</f>
      </c>
      <c r="TM34" t="str">
        <f>IF(ROW()-3&gt;MAX($TL$4:$TL$40),"",INDEX($DA$4:$DA$40,MATCH(ROW()-3,$TL$4:$TL$40,0)))</f>
      </c>
      <c r="TN34" t="str">
        <f>IF(COUNTIF('Final Calculation Sheet'!$AL34:$BD34,0)+COUNTIF('Final Calculation Sheet'!$BF34:$BS34,0)&gt;0,0,1)</f>
      </c>
      <c r="TO34" t="str">
        <f>IF($DF$34="",FALSE,SUMPRODUCT(('Final Calculation Sheet'!$T$4:$T$40=$DF$34)*($TN$4:$TN$40=1))&gt;0)</f>
      </c>
      <c r="TP34" t="str">
        <f>=$TP33+--($TO34)</f>
      </c>
      <c r="TQ34" t="str">
        <f>IF(ROW()-3&gt;MAX($TP$4:$TP$40),"",INDEX($DF$4:$DF$40,MATCH(ROW()-3,$TP$4:$TP$40,0)))</f>
      </c>
      <c r="TR34" t="str">
        <f>IF(COUNTIF('Final Calculation Sheet'!$AL34:$BE34,0)+COUNTIF('Final Calculation Sheet'!$BG34:$BS34,0)&gt;0,0,1)</f>
      </c>
      <c r="TS34" t="str">
        <f>IF($DK$34="",FALSE,SUMPRODUCT(('Final Calculation Sheet'!$U$4:$U$40=$DK$34)*($TR$4:$TR$40=1))&gt;0)</f>
      </c>
      <c r="TT34" t="str">
        <f>=$TT33+--($TS34)</f>
      </c>
      <c r="TU34" t="str">
        <f>IF(ROW()-3&gt;MAX($TT$4:$TT$40),"",INDEX($DK$4:$DK$40,MATCH(ROW()-3,$TT$4:$TT$40,0)))</f>
      </c>
      <c r="TV34" t="str">
        <f>IF(COUNTIF('Final Calculation Sheet'!$AL34:$BF34,0)+COUNTIF('Final Calculation Sheet'!$BH34:$BS34,0)&gt;0,0,1)</f>
      </c>
      <c r="TW34" t="str">
        <f>IF($DP$34="",FALSE,SUMPRODUCT(('Final Calculation Sheet'!$V$4:$V$40=$DP$34)*($TV$4:$TV$40=1))&gt;0)</f>
      </c>
      <c r="TX34" t="str">
        <f>=$TX33+--($TW34)</f>
      </c>
      <c r="TY34" t="str">
        <f>IF(ROW()-3&gt;MAX($TX$4:$TX$40),"",INDEX($DP$4:$DP$40,MATCH(ROW()-3,$TX$4:$TX$40,0)))</f>
      </c>
      <c r="TZ34" t="str">
        <f>IF(COUNTIF('Final Calculation Sheet'!$AL34:$BG34,0)+COUNTIF('Final Calculation Sheet'!$BI34:$BS34,0)&gt;0,0,1)</f>
      </c>
      <c r="UA34" t="str">
        <f>IF($DU$34="",FALSE,SUMPRODUCT(('Final Calculation Sheet'!$W$4:$W$40=$DU$34)*($TZ$4:$TZ$40=1))&gt;0)</f>
      </c>
      <c r="UB34" t="str">
        <f>=$UB33+--($UA34)</f>
      </c>
      <c r="UC34" t="str">
        <f>IF(ROW()-3&gt;MAX($UB$4:$UB$40),"",INDEX($DU$4:$DU$40,MATCH(ROW()-3,$UB$4:$UB$40,0)))</f>
      </c>
      <c r="UD34" t="str">
        <f>IF(COUNTIF('Final Calculation Sheet'!$AL34:$BH34,0)+COUNTIF('Final Calculation Sheet'!$BJ34:$BS34,0)&gt;0,0,1)</f>
      </c>
      <c r="UE34" t="str">
        <f>IF($DZ$34="",FALSE,SUMPRODUCT(('Final Calculation Sheet'!$X$4:$X$40=$DZ$34)*($UD$4:$UD$40=1))&gt;0)</f>
      </c>
      <c r="UF34" t="str">
        <f>=$UF33+--($UE34)</f>
      </c>
      <c r="UG34" t="str">
        <f>IF(ROW()-3&gt;MAX($UF$4:$UF$40),"",INDEX($DZ$4:$DZ$40,MATCH(ROW()-3,$UF$4:$UF$40,0)))</f>
      </c>
      <c r="UH34" t="str">
        <f>IF(COUNTIF('Final Calculation Sheet'!$AL34:$BI34,0)+COUNTIF('Final Calculation Sheet'!$BK34:$BS34,0)&gt;0,0,1)</f>
      </c>
      <c r="UI34" t="str">
        <f>IF($EE$34="",FALSE,SUMPRODUCT(('Final Calculation Sheet'!$Y$4:$Y$40=$EE$34)*($UH$4:$UH$40=1))&gt;0)</f>
      </c>
      <c r="UJ34" t="str">
        <f>=$UJ33+--($UI34)</f>
      </c>
      <c r="UK34" t="str">
        <f>IF(ROW()-3&gt;MAX($UJ$4:$UJ$40),"",INDEX($EE$4:$EE$40,MATCH(ROW()-3,$UJ$4:$UJ$40,0)))</f>
      </c>
      <c r="UL34" t="str">
        <f>IF(COUNTIF('Final Calculation Sheet'!$AL34:$BJ34,0)+COUNTIF('Final Calculation Sheet'!$BL34:$BS34,0)&gt;0,0,1)</f>
      </c>
      <c r="UM34" t="str">
        <f>IF($EJ$34="",FALSE,SUMPRODUCT(('Final Calculation Sheet'!$Z$4:$Z$40=$EJ$34)*($UL$4:$UL$40=1))&gt;0)</f>
      </c>
      <c r="UN34" t="str">
        <f>=$UN33+--($UM34)</f>
      </c>
      <c r="UO34" t="str">
        <f>IF(ROW()-3&gt;MAX($UN$4:$UN$40),"",INDEX($EJ$4:$EJ$40,MATCH(ROW()-3,$UN$4:$UN$40,0)))</f>
      </c>
      <c r="UP34" t="str">
        <f>IF(COUNTIF('Final Calculation Sheet'!$AL34:$BK34,0)+COUNTIF('Final Calculation Sheet'!$BM34:$BS34,0)&gt;0,0,1)</f>
      </c>
      <c r="UQ34" t="str">
        <f>IF($EO$34="",FALSE,SUMPRODUCT(('Final Calculation Sheet'!$AA$4:$AA$40=$EO$34)*($UP$4:$UP$40=1))&gt;0)</f>
      </c>
      <c r="UR34" t="str">
        <f>=$UR33+--($UQ34)</f>
      </c>
      <c r="US34" t="str">
        <f>IF(ROW()-3&gt;MAX($UR$4:$UR$40),"",INDEX($EO$4:$EO$40,MATCH(ROW()-3,$UR$4:$UR$40,0)))</f>
      </c>
      <c r="UT34" t="str">
        <f>IF(COUNTIF('Final Calculation Sheet'!$AL34:$BL34,0)+COUNTIF('Final Calculation Sheet'!$BN34:$BS34,0)&gt;0,0,1)</f>
      </c>
      <c r="UU34" t="str">
        <f>IF($ET$34="",FALSE,SUMPRODUCT(('Final Calculation Sheet'!$AB$4:$AB$40=$ET$34)*($UT$4:$UT$40=1))&gt;0)</f>
      </c>
      <c r="UV34" t="str">
        <f>=$UV33+--($UU34)</f>
      </c>
      <c r="UW34" t="str">
        <f>IF(ROW()-3&gt;MAX($UV$4:$UV$40),"",INDEX($ET$4:$ET$40,MATCH(ROW()-3,$UV$4:$UV$40,0)))</f>
      </c>
      <c r="UX34" t="str">
        <f>IF(COUNTIF('Final Calculation Sheet'!$AL34:$BM34,0)+COUNTIF('Final Calculation Sheet'!$BO34:$BS34,0)&gt;0,0,1)</f>
      </c>
      <c r="UY34" t="str">
        <f>IF($EY$34="",FALSE,SUMPRODUCT(('Final Calculation Sheet'!$AC$4:$AC$40=$EY$34)*($UX$4:$UX$40=1))&gt;0)</f>
      </c>
      <c r="UZ34" t="str">
        <f>=$UZ33+--($UY34)</f>
      </c>
      <c r="VA34" t="str">
        <f>IF(ROW()-3&gt;MAX($UZ$4:$UZ$40),"",INDEX($EY$4:$EY$40,MATCH(ROW()-3,$UZ$4:$UZ$40,0)))</f>
      </c>
      <c r="VB34" t="str">
        <f>IF(COUNTIF('Final Calculation Sheet'!$AL34:$BN34,0)+COUNTIF('Final Calculation Sheet'!$BP34:$BS34,0)&gt;0,0,1)</f>
      </c>
      <c r="VC34" t="str">
        <f>IF($FD$34="",FALSE,SUMPRODUCT(('Final Calculation Sheet'!$AD$4:$AD$40=$FD$34)*($VB$4:$VB$40=1))&gt;0)</f>
      </c>
      <c r="VD34" t="str">
        <f>=$VD33+--($VC34)</f>
      </c>
      <c r="VE34" t="str">
        <f>IF(ROW()-3&gt;MAX($VD$4:$VD$40),"",INDEX($FD$4:$FD$40,MATCH(ROW()-3,$VD$4:$VD$40,0)))</f>
      </c>
      <c r="VF34" t="str">
        <f>IF(COUNTIF('Final Calculation Sheet'!$AL34:$BO34,0)+COUNTIF('Final Calculation Sheet'!$BQ34:$BS34,0)&gt;0,0,1)</f>
      </c>
      <c r="VG34" t="str">
        <f>IF($FI$34="",FALSE,SUMPRODUCT(('Final Calculation Sheet'!$AE$4:$AE$40=$FI$34)*($VF$4:$VF$40=1))&gt;0)</f>
      </c>
      <c r="VH34" t="str">
        <f>=$VH33+--($VG34)</f>
      </c>
      <c r="VI34" t="str">
        <f>IF(ROW()-3&gt;MAX($VH$4:$VH$40),"",INDEX($FI$4:$FI$40,MATCH(ROW()-3,$VH$4:$VH$40,0)))</f>
      </c>
      <c r="VJ34" t="str">
        <f>IF(COUNTIF('Final Calculation Sheet'!$AL34:$BP34,0)+COUNTIF('Final Calculation Sheet'!$BR34:$BS34,0)&gt;0,0,1)</f>
      </c>
      <c r="VK34" t="str">
        <f>IF($FN$34="",FALSE,SUMPRODUCT(('Final Calculation Sheet'!$AF$4:$AF$40=$FN$34)*($VJ$4:$VJ$40=1))&gt;0)</f>
      </c>
      <c r="VL34" t="str">
        <f>=$VL33+--($VK34)</f>
      </c>
      <c r="VM34" t="str">
        <f>IF(ROW()-3&gt;MAX($VL$4:$VL$40),"",INDEX($FN$4:$FN$40,MATCH(ROW()-3,$VL$4:$VL$40,0)))</f>
      </c>
      <c r="VN34" t="str">
        <f>IF(COUNTIF('Final Calculation Sheet'!$AL34:$BQ34,0)+COUNTIF('Final Calculation Sheet'!$BS34:$BS34,0)&gt;0,0,1)</f>
      </c>
      <c r="VO34" t="str">
        <f>IF($FS$34="",FALSE,SUMPRODUCT(('Final Calculation Sheet'!$AG$4:$AG$40=$FS$34)*($VN$4:$VN$40=1))&gt;0)</f>
      </c>
      <c r="VP34" t="str">
        <f>=$VP33+--($VO34)</f>
      </c>
      <c r="VQ34" t="str">
        <f>IF(ROW()-3&gt;MAX($VP$4:$VP$40),"",INDEX($FS$4:$FS$40,MATCH(ROW()-3,$VP$4:$VP$40,0)))</f>
      </c>
      <c r="VR34" t="str">
        <f>IF(COUNTIF('Final Calculation Sheet'!$AL34:$BR34,0)&gt;0,0,1)</f>
      </c>
      <c r="VS34" t="str">
        <f>IF($QO$34="",FALSE,SUMPRODUCT(('Final Calculation Sheet'!$AH$4:$AH$40=$QO$34)*($VR$4:$VR$40=1))&gt;0)</f>
      </c>
      <c r="VT34" t="str">
        <f>=$VT33+--($VS34)</f>
      </c>
      <c r="VU34" t="str">
        <f>IF(ROW()-3&gt;MAX($VT$4:$VT$40),"",INDEX($QO$4:$QO$40,MATCH(ROW()-3,$VT$4:$VT$40,0)))</f>
      </c>
    </row>
    <row r="35">
      <c r="A35">
        <f>IF('Final Calculation Sheet'!$F$35="","",'Final Calculation Sheet'!$F$35)</f>
        <v/>
      </c>
      <c r="B35">
        <f>IF(A35="","",COUNTIFS(A$4:A$114,"&lt;"&amp;A35,A$4:A$114,"&lt;&gt;"&amp;"")+COUNTIF(A$4:A35,A35))</f>
        <v/>
      </c>
      <c r="C35">
        <f>IF(ROW()-3&gt;COUNTIF(A$4:A$114,"&lt;&gt;"&amp;""),"",INDEX(A$4:A$114,MATCH(ROW()-3,B$4:B$114,0)))</f>
        <v/>
      </c>
      <c r="D35">
        <f>D34+IF(AND(C35&lt;&gt;"",COUNTIF(C$4:C35,C35)=1),1,0)</f>
        <v/>
      </c>
      <c r="E35">
        <f>IF(ROW()-3&gt;MAX(D$4:D$114),"",INDEX(C$4:C$114,MATCH(ROW()-3,D$4:D$114,0)))</f>
        <v/>
      </c>
      <c r="F35">
        <f>ROW()-3</f>
        <v/>
      </c>
      <c r="G35">
        <f>IF(F35="","",COUNTIFS(F$4:F$40,"&lt;"&amp;F35,F$4:F$40,"&lt;&gt;"&amp;"")+COUNTIF(F$4:F35,F35))</f>
        <v/>
      </c>
      <c r="H35">
        <f>IF(ROW()-3&gt;COUNTIF(F$4:F$40,"&lt;&gt;"&amp;""),"",INDEX(F$4:F$40,MATCH(ROW()-3,G$4:G$40,0)))</f>
        <v/>
      </c>
      <c r="I35">
        <f>I34+IF(AND(H35&lt;&gt;"",COUNTIF(H$4:H35,H35)=1),1,0)</f>
        <v/>
      </c>
      <c r="J35">
        <f>IF(ROW()-3&gt;MAX(I$4:I$40),"",INDEX(H$4:H$40,MATCH(ROW()-3,I$4:I$40,0)))</f>
        <v/>
      </c>
      <c r="K35">
        <f>IF('Final Calculation Sheet'!$F$35="","",'Final Calculation Sheet'!$F$35)</f>
        <v/>
      </c>
      <c r="L35">
        <f>IF(K35="","",COUNTIFS(K$4:K$40,"&lt;"&amp;K35,K$4:K$40,"&lt;&gt;"&amp;"")+COUNTIF(K$4:K35,K35))</f>
        <v/>
      </c>
      <c r="M35">
        <f>IF(ROW()-3&gt;COUNTIF(K$4:K$40,"&lt;&gt;"&amp;""),"",INDEX(K$4:K$40,MATCH(ROW()-3,L$4:L$40,0)))</f>
        <v/>
      </c>
      <c r="N35">
        <f>N34+IF(AND(M35&lt;&gt;"",COUNTIF(M$4:M35,M35)=1),1,0)</f>
        <v/>
      </c>
      <c r="O35">
        <f>IF(ROW()-3&gt;MAX(N$4:N$40),"",INDEX(M$4:M$40,MATCH(ROW()-3,N$4:N$40,0)))</f>
        <v/>
      </c>
      <c r="P35">
        <f>IF('Final Calculation Sheet'!$G$35="","",'Final Calculation Sheet'!$G$35)</f>
        <v/>
      </c>
      <c r="Q35">
        <f>IF(P35="","",COUNTIFS(P$4:P$40,"&lt;"&amp;P35,P$4:P$40,"&lt;&gt;"&amp;"")+COUNTIF(P$4:P35,P35))</f>
        <v/>
      </c>
      <c r="R35">
        <f>IF(ROW()-3&gt;COUNTIF(P$4:P$40,"&lt;&gt;"&amp;""),"",INDEX(P$4:P$40,MATCH(ROW()-3,Q$4:Q$40,0)))</f>
        <v/>
      </c>
      <c r="S35">
        <f>S34+IF(AND(R35&lt;&gt;"",COUNTIF(R$4:R35,R35)=1),1,0)</f>
        <v/>
      </c>
      <c r="T35">
        <f>IF(ROW()-3&gt;MAX(S$4:S$40),"",INDEX(R$4:R$40,MATCH(ROW()-3,S$4:S$40,0)))</f>
        <v/>
      </c>
      <c r="U35">
        <f>IF('Final Calculation Sheet'!$B$35="","",'Final Calculation Sheet'!$B$35)</f>
        <v/>
      </c>
      <c r="V35">
        <f>IF(U35="","",COUNTIFS(U$4:U$40,"&lt;"&amp;U35,U$4:U$40,"&lt;&gt;"&amp;"")+COUNTIF(U$4:U35,U35))</f>
        <v/>
      </c>
      <c r="W35">
        <f>IF(ROW()-3&gt;COUNTIF(U$4:U$40,"&lt;&gt;"&amp;""),"",INDEX(U$4:U$40,MATCH(ROW()-3,V$4:V$40,0)))</f>
        <v/>
      </c>
      <c r="X35">
        <f>X34+IF(AND(W35&lt;&gt;"",COUNTIF(W$4:W35,W35)=1),1,0)</f>
        <v/>
      </c>
      <c r="Y35">
        <f>IF(ROW()-3&gt;MAX(X$4:X$40),"",INDEX(W$4:W$40,MATCH(ROW()-3,X$4:X$40,0)))</f>
        <v/>
      </c>
      <c r="Z35">
        <f>IF('Final Calculation Sheet'!$D$35="","",'Final Calculation Sheet'!$D$35)</f>
        <v/>
      </c>
      <c r="AA35">
        <f>IF(Z35="","",COUNTIFS(Z$4:Z$40,"&lt;"&amp;Z35,Z$4:Z$40,"&lt;&gt;"&amp;"")+COUNTIF(Z$4:Z35,Z35))</f>
        <v/>
      </c>
      <c r="AB35">
        <f>IF(ROW()-3&gt;COUNTIF(Z$4:Z$40,"&lt;&gt;"&amp;""),"",INDEX(Z$4:Z$40,MATCH(ROW()-3,AA$4:AA$40,0)))</f>
        <v/>
      </c>
      <c r="AC35">
        <f>AC34+IF(AND(AB35&lt;&gt;"",COUNTIF(AB$4:AB35,AB35)=1),1,0)</f>
        <v/>
      </c>
      <c r="AD35">
        <f>IF(ROW()-3&gt;MAX(AC$4:AC$40),"",INDEX(AB$4:AB$40,MATCH(ROW()-3,AC$4:AC$40,0)))</f>
        <v/>
      </c>
      <c r="AE35">
        <f>IF('Final Calculation Sheet'!$A$35="","",'Final Calculation Sheet'!$A$35)</f>
        <v/>
      </c>
      <c r="AF35">
        <f>IF(AE35="","",COUNTIFS(AE$4:AE$40,"&lt;"&amp;AE35,AE$4:AE$40,"&lt;&gt;"&amp;"")+COUNTIF(AE$4:AE35,AE35))</f>
        <v/>
      </c>
      <c r="AG35">
        <f>IF(ROW()-3&gt;COUNTIF(AE$4:AE$40,"&lt;&gt;"&amp;""),"",INDEX(AE$4:AE$40,MATCH(ROW()-3,AF$4:AF$40,0)))</f>
        <v/>
      </c>
      <c r="AH35">
        <f>AH34+IF(AND(AG35&lt;&gt;"",COUNTIF(AG$4:AG35,AG35)=1),1,0)</f>
        <v/>
      </c>
      <c r="AI35">
        <f>IF(ROW()-3&gt;MAX(AH$4:AH$40),"",INDEX(AG$4:AG$40,MATCH(ROW()-3,AH$4:AH$40,0)))</f>
        <v/>
      </c>
      <c r="AJ35">
        <f>IF('Final Calculation Sheet'!$E$35="","",'Final Calculation Sheet'!$E$35)</f>
        <v/>
      </c>
      <c r="AK35">
        <f>IF(AJ35="","",COUNTIFS(AJ$4:AJ$40,"&lt;"&amp;AJ35,AJ$4:AJ$40,"&lt;&gt;"&amp;"")+COUNTIF(AJ$4:AJ35,AJ35))</f>
        <v/>
      </c>
      <c r="AL35">
        <f>IF(ROW()-3&gt;COUNTIF(AJ$4:AJ$40,"&lt;&gt;"&amp;""),"",INDEX(AJ$4:AJ$40,MATCH(ROW()-3,AK$4:AK$40,0)))</f>
        <v/>
      </c>
      <c r="AM35">
        <f>AM34+IF(AND(AL35&lt;&gt;"",COUNTIF(AL$4:AL35,AL35)=1),1,0)</f>
        <v/>
      </c>
      <c r="AN35">
        <f>IF(ROW()-3&gt;MAX(AM$4:AM$40),"",INDEX(AL$4:AL$40,MATCH(ROW()-3,AM$4:AM$40,0)))</f>
        <v/>
      </c>
      <c r="AO35" s="55">
        <f>IF('Final Calculation Sheet'!$C$35="","",'Final Calculation Sheet'!$C$35)</f>
        <v/>
      </c>
      <c r="AP35">
        <f>IF(AO35="","",COUNTIFS(AO$4:AO$40,"&lt;"&amp;AO35,AO$4:AO$40,"&lt;&gt;"&amp;"")+COUNTIF(AO$4:AO35,AO35))</f>
        <v/>
      </c>
      <c r="AQ35" s="55">
        <f>IF(ROW()-3&gt;COUNTIF(AO$4:AO$40,"&lt;&gt;"&amp;""),"",INDEX(AO$4:AO$40,MATCH(ROW()-3,AP$4:AP$40,0)))</f>
        <v/>
      </c>
      <c r="AR35">
        <f>AR34+IF(AND(AQ35&lt;&gt;"",COUNTIF(AQ$4:AQ35,AQ35)=1),1,0)</f>
        <v/>
      </c>
      <c r="AS35" s="55">
        <f>IF(ROW()-3&gt;MAX(AR$4:AR$40),"",INDEX(AQ$4:AQ$40,MATCH(ROW()-3,AR$4:AR$40,0)))</f>
        <v/>
      </c>
      <c r="AT35" s="55">
        <f>IF('Final Calculation Sheet'!$H$35="","",'Final Calculation Sheet'!$H$35)</f>
        <v/>
      </c>
      <c r="AU35">
        <f>IF(AT35="","",COUNTIFS(AT$4:AT$40,"&lt;"&amp;AT35,AT$4:AT$40,"&lt;&gt;"&amp;"")+COUNTIF(AT$4:AT35,AT35))</f>
        <v/>
      </c>
      <c r="AV35" s="55">
        <f>IF(ROW()-3&gt;COUNTIF(AT$4:AT$40,"&lt;&gt;"&amp;""),"",INDEX(AT$4:AT$40,MATCH(ROW()-3,AU$4:AU$40,0)))</f>
        <v/>
      </c>
      <c r="AW35">
        <f>AW34+IF(AND(AV35&lt;&gt;"",COUNTIF(AV$4:AV35,AV35)=1),1,0)</f>
        <v/>
      </c>
      <c r="AX35" s="55">
        <f>IF(ROW()-3&gt;MAX(AW$4:AW$40),"",INDEX(AV$4:AV$40,MATCH(ROW()-3,AW$4:AW$40,0)))</f>
        <v/>
      </c>
      <c r="AY35" s="55">
        <f>IF('Final Calculation Sheet'!$I$35="","",'Final Calculation Sheet'!$I$35)</f>
        <v/>
      </c>
      <c r="AZ35">
        <f>IF(AY35="","",COUNTIFS(AY$4:AY$40,"&lt;"&amp;AY35,AY$4:AY$40,"&lt;&gt;"&amp;"")+COUNTIF(AY$4:AY35,AY35))</f>
        <v/>
      </c>
      <c r="BA35" s="55">
        <f>IF(ROW()-3&gt;COUNTIF(AY$4:AY$40,"&lt;&gt;"&amp;""),"",INDEX(AY$4:AY$40,MATCH(ROW()-3,AZ$4:AZ$40,0)))</f>
        <v/>
      </c>
      <c r="BB35">
        <f>BB34+IF(AND(BA35&lt;&gt;"",COUNTIF(BA$4:BA35,BA35)=1),1,0)</f>
        <v/>
      </c>
      <c r="BC35" s="55">
        <f>IF(ROW()-3&gt;MAX(BB$4:BB$40),"",INDEX(BA$4:BA$40,MATCH(ROW()-3,BB$4:BB$40,0)))</f>
        <v/>
      </c>
      <c r="BD35" s="55">
        <f>IF('Final Calculation Sheet'!$J$35="","",'Final Calculation Sheet'!$J$35)</f>
        <v/>
      </c>
      <c r="BE35">
        <f>IF(BD35="","",COUNTIFS(BD$4:BD$40,"&lt;"&amp;BD35,BD$4:BD$40,"&lt;&gt;"&amp;"")+COUNTIF(BD$4:BD35,BD35))</f>
        <v/>
      </c>
      <c r="BF35" s="55">
        <f>IF(ROW()-3&gt;COUNTIF(BD$4:BD$40,"&lt;&gt;"&amp;""),"",INDEX(BD$4:BD$40,MATCH(ROW()-3,BE$4:BE$40,0)))</f>
        <v/>
      </c>
      <c r="BG35">
        <f>BG34+IF(AND(BF35&lt;&gt;"",COUNTIF(BF$4:BF35,BF35)=1),1,0)</f>
        <v/>
      </c>
      <c r="BH35" s="55">
        <f>IF(ROW()-3&gt;MAX(BG$4:BG$40),"",INDEX(BF$4:BF$40,MATCH(ROW()-3,BG$4:BG$40,0)))</f>
        <v/>
      </c>
      <c r="BI35" s="55">
        <f>IF('Final Calculation Sheet'!$K$35="","",'Final Calculation Sheet'!$K$35)</f>
        <v/>
      </c>
      <c r="BJ35">
        <f>IF(BI35="","",COUNTIFS(BI$4:BI$40,"&lt;"&amp;BI35,BI$4:BI$40,"&lt;&gt;"&amp;"")+COUNTIF(BI$4:BI35,BI35))</f>
        <v/>
      </c>
      <c r="BK35" s="55">
        <f>IF(ROW()-3&gt;COUNTIF(BI$4:BI$40,"&lt;&gt;"&amp;""),"",INDEX(BI$4:BI$40,MATCH(ROW()-3,BJ$4:BJ$40,0)))</f>
        <v/>
      </c>
      <c r="BL35">
        <f>BL34+IF(AND(BK35&lt;&gt;"",COUNTIF(BK$4:BK35,BK35)=1),1,0)</f>
        <v/>
      </c>
      <c r="BM35" s="55">
        <f>IF(ROW()-3&gt;MAX(BL$4:BL$40),"",INDEX(BK$4:BK$40,MATCH(ROW()-3,BL$4:BL$40,0)))</f>
        <v/>
      </c>
      <c r="BN35" s="55">
        <f>IF('Final Calculation Sheet'!$L$35="","",'Final Calculation Sheet'!$L$35)</f>
        <v/>
      </c>
      <c r="BO35">
        <f>IF(BN35="","",COUNTIFS(BN$4:BN$40,"&lt;"&amp;BN35,BN$4:BN$40,"&lt;&gt;"&amp;"")+COUNTIF(BN$4:BN35,BN35))</f>
        <v/>
      </c>
      <c r="BP35" s="55">
        <f>IF(ROW()-3&gt;COUNTIF(BN$4:BN$40,"&lt;&gt;"&amp;""),"",INDEX(BN$4:BN$40,MATCH(ROW()-3,BO$4:BO$40,0)))</f>
        <v/>
      </c>
      <c r="BQ35">
        <f>BQ34+IF(AND(BP35&lt;&gt;"",COUNTIF(BP$4:BP35,BP35)=1),1,0)</f>
        <v/>
      </c>
      <c r="BR35" s="55">
        <f>IF(ROW()-3&gt;MAX(BQ$4:BQ$40),"",INDEX(BP$4:BP$40,MATCH(ROW()-3,BQ$4:BQ$40,0)))</f>
        <v/>
      </c>
      <c r="BS35" s="55">
        <f>IF('Final Calculation Sheet'!$M$35="","",'Final Calculation Sheet'!$M$35)</f>
        <v/>
      </c>
      <c r="BT35">
        <f>IF(BS35="","",COUNTIFS(BS$4:BS$40,"&lt;"&amp;BS35,BS$4:BS$40,"&lt;&gt;"&amp;"")+COUNTIF(BS$4:BS35,BS35))</f>
        <v/>
      </c>
      <c r="BU35" s="55">
        <f>IF(ROW()-3&gt;COUNTIF(BS$4:BS$40,"&lt;&gt;"&amp;""),"",INDEX(BS$4:BS$40,MATCH(ROW()-3,BT$4:BT$40,0)))</f>
        <v/>
      </c>
      <c r="BV35">
        <f>BV34+IF(AND(BU35&lt;&gt;"",COUNTIF(BU$4:BU35,BU35)=1),1,0)</f>
        <v/>
      </c>
      <c r="BW35" s="55">
        <f>IF(ROW()-3&gt;MAX(BV$4:BV$40),"",INDEX(BU$4:BU$40,MATCH(ROW()-3,BV$4:BV$40,0)))</f>
        <v/>
      </c>
      <c r="BX35" s="138">
        <f>IF('Final Calculation Sheet'!$N$35="","",'Final Calculation Sheet'!$N$35)</f>
        <v/>
      </c>
      <c r="BY35">
        <f>IF(BX35="","",COUNTIFS(BX$4:BX$40,"&lt;"&amp;BX35,BX$4:BX$40,"&lt;&gt;"&amp;"")+COUNTIF(BX$4:BX35,BX35))</f>
        <v/>
      </c>
      <c r="BZ35" s="138">
        <f>IF(ROW()-3&gt;COUNTIF(BX$4:BX$40,"&lt;&gt;"&amp;""),"",INDEX(BX$4:BX$40,MATCH(ROW()-3,BY$4:BY$40,0)))</f>
        <v/>
      </c>
      <c r="CA35">
        <f>CA34+IF(AND(BZ35&lt;&gt;"",COUNTIF(BZ$4:BZ35,BZ35)=1),1,0)</f>
        <v/>
      </c>
      <c r="CB35" s="138">
        <f>IF(ROW()-3&gt;MAX(CA$4:CA$40),"",INDEX(BZ$4:BZ$40,MATCH(ROW()-3,CA$4:CA$40,0)))</f>
        <v/>
      </c>
      <c r="CC35" s="55">
        <f>IF('Final Calculation Sheet'!$O$35="","",'Final Calculation Sheet'!$O$35)</f>
        <v/>
      </c>
      <c r="CD35">
        <f>IF(CC35="","",COUNTIFS(CC$4:CC$40,"&lt;"&amp;CC35,CC$4:CC$40,"&lt;&gt;"&amp;"")+COUNTIF(CC$4:CC35,CC35))</f>
        <v/>
      </c>
      <c r="CE35" s="55">
        <f>IF(ROW()-3&gt;COUNTIF(CC$4:CC$40,"&lt;&gt;"&amp;""),"",INDEX(CC$4:CC$40,MATCH(ROW()-3,CD$4:CD$40,0)))</f>
        <v/>
      </c>
      <c r="CF35">
        <f>CF34+IF(AND(CE35&lt;&gt;"",COUNTIF(CE$4:CE35,CE35)=1),1,0)</f>
        <v/>
      </c>
      <c r="CG35" s="55">
        <f>IF(ROW()-3&gt;MAX(CF$4:CF$40),"",INDEX(CE$4:CE$40,MATCH(ROW()-3,CF$4:CF$40,0)))</f>
        <v/>
      </c>
      <c r="CH35" s="55">
        <f>IF('Final Calculation Sheet'!$P$35="","",'Final Calculation Sheet'!$P$35)</f>
        <v/>
      </c>
      <c r="CI35">
        <f>IF(CH35="","",COUNTIFS(CH$4:CH$40,"&lt;"&amp;CH35,CH$4:CH$40,"&lt;&gt;"&amp;"")+COUNTIF(CH$4:CH35,CH35))</f>
        <v/>
      </c>
      <c r="CJ35" s="55">
        <f>IF(ROW()-3&gt;COUNTIF(CH$4:CH$40,"&lt;&gt;"&amp;""),"",INDEX(CH$4:CH$40,MATCH(ROW()-3,CI$4:CI$40,0)))</f>
        <v/>
      </c>
      <c r="CK35">
        <f>CK34+IF(AND(CJ35&lt;&gt;"",COUNTIF(CJ$4:CJ35,CJ35)=1),1,0)</f>
        <v/>
      </c>
      <c r="CL35" s="55">
        <f>IF(ROW()-3&gt;MAX(CK$4:CK$40),"",INDEX(CJ$4:CJ$40,MATCH(ROW()-3,CK$4:CK$40,0)))</f>
        <v/>
      </c>
      <c r="CM35" s="139">
        <f>IF('Final Calculation Sheet'!$Q$35="","",'Final Calculation Sheet'!$Q$35)</f>
        <v/>
      </c>
      <c r="CN35">
        <f>IF(CM35="","",COUNTIFS(CM$4:CM$40,"&lt;"&amp;CM35,CM$4:CM$40,"&lt;&gt;"&amp;"")+COUNTIF(CM$4:CM35,CM35))</f>
        <v/>
      </c>
      <c r="CO35" s="139">
        <f>IF(ROW()-3&gt;COUNTIF(CM$4:CM$40,"&lt;&gt;"&amp;""),"",INDEX(CM$4:CM$40,MATCH(ROW()-3,CN$4:CN$40,0)))</f>
        <v/>
      </c>
      <c r="CP35">
        <f>CP34+IF(AND(CO35&lt;&gt;"",COUNTIF(CO$4:CO35,CO35)=1),1,0)</f>
        <v/>
      </c>
      <c r="CQ35">
        <f>IF(ROW()-3&gt;MAX(CP$4:CP$40),"",INDEX(CO$4:CO$40,MATCH(ROW()-3,CP$4:CP$40,0)))</f>
        <v/>
      </c>
      <c r="CR35" s="55">
        <f>IF('Final Calculation Sheet'!$R$35="","",'Final Calculation Sheet'!$R$35)</f>
        <v/>
      </c>
      <c r="CS35">
        <f>IF(CR35="","",COUNTIFS(CR$4:CR$40,"&lt;"&amp;CR35,CR$4:CR$40,"&lt;&gt;"&amp;"")+COUNTIF(CR$4:CR35,CR35))</f>
        <v/>
      </c>
      <c r="CT35" s="55">
        <f>IF(ROW()-3&gt;COUNTIF(CR$4:CR$40,"&lt;&gt;"&amp;""),"",INDEX(CR$4:CR$40,MATCH(ROW()-3,CS$4:CS$40,0)))</f>
        <v/>
      </c>
      <c r="CU35">
        <f>CU34+IF(AND(CT35&lt;&gt;"",COUNTIF(CT$4:CT35,CT35)=1),1,0)</f>
        <v/>
      </c>
      <c r="CV35">
        <f>IF(ROW()-3&gt;MAX(CU$4:CU$40),"",INDEX(CT$4:CT$40,MATCH(ROW()-3,CU$4:CU$40,0)))</f>
        <v/>
      </c>
      <c r="CW35" s="55">
        <f>IF('Final Calculation Sheet'!$S$35="","",'Final Calculation Sheet'!$S$35)</f>
        <v/>
      </c>
      <c r="CX35">
        <f>IF(CW35="","",COUNTIFS(CW$4:CW$40,"&lt;"&amp;CW35,CW$4:CW$40,"&lt;&gt;"&amp;"")+COUNTIF(CW$4:CW35,CW35))</f>
        <v/>
      </c>
      <c r="CY35" s="55">
        <f>IF(ROW()-3&gt;COUNTIF(CW$4:CW$40,"&lt;&gt;"&amp;""),"",INDEX(CW$4:CW$40,MATCH(ROW()-3,CX$4:CX$40,0)))</f>
        <v/>
      </c>
      <c r="CZ35">
        <f>CZ34+IF(AND(CY35&lt;&gt;"",COUNTIF(CY$4:CY35,CY35)=1),1,0)</f>
        <v/>
      </c>
      <c r="DA35" s="55">
        <f>IF(ROW()-3&gt;MAX(CZ$4:CZ$40),"",INDEX(CY$4:CY$40,MATCH(ROW()-3,CZ$4:CZ$40,0)))</f>
        <v/>
      </c>
      <c r="DB35" s="55">
        <f>IF('Final Calculation Sheet'!$T$35="","",'Final Calculation Sheet'!$T$35)</f>
        <v/>
      </c>
      <c r="DC35">
        <f>IF(DB35="","",COUNTIFS(DB$4:DB$40,"&lt;"&amp;DB35,DB$4:DB$40,"&lt;&gt;"&amp;"")+COUNTIF(DB$4:DB35,DB35))</f>
        <v/>
      </c>
      <c r="DD35" s="55">
        <f>IF(ROW()-3&gt;COUNTIF(DB$4:DB$40,"&lt;&gt;"&amp;""),"",INDEX(DB$4:DB$40,MATCH(ROW()-3,DC$4:DC$40,0)))</f>
        <v/>
      </c>
      <c r="DE35">
        <f>DE34+IF(AND(DD35&lt;&gt;"",COUNTIF(DD$4:DD35,DD35)=1),1,0)</f>
        <v/>
      </c>
      <c r="DF35" s="55">
        <f>IF(ROW()-3&gt;MAX(DE$4:DE$40),"",INDEX(DD$4:DD$40,MATCH(ROW()-3,DE$4:DE$40,0)))</f>
        <v/>
      </c>
      <c r="DG35" s="140">
        <f>IF('Final Calculation Sheet'!$U$35="","",'Final Calculation Sheet'!$U$35)</f>
        <v/>
      </c>
      <c r="DH35">
        <f>IF(DG35="","",COUNTIFS(DG$4:DG$40,"&lt;"&amp;DG35,DG$4:DG$40,"&lt;&gt;"&amp;"")+COUNTIF(DG$4:DG35,DG35))</f>
        <v/>
      </c>
      <c r="DI35" s="140">
        <f>IF(ROW()-3&gt;COUNTIF(DG$4:DG$40,"&lt;&gt;"&amp;""),"",INDEX(DG$4:DG$40,MATCH(ROW()-3,DH$4:DH$40,0)))</f>
        <v/>
      </c>
      <c r="DJ35">
        <f>DJ34+IF(AND(DI35&lt;&gt;"",COUNTIF(DI$4:DI35,DI35)=1),1,0)</f>
        <v/>
      </c>
      <c r="DK35" s="140">
        <f>IF(ROW()-3&gt;MAX(DJ$4:DJ$40),"",INDEX(DI$4:DI$40,MATCH(ROW()-3,DJ$4:DJ$40,0)))</f>
        <v/>
      </c>
      <c r="DL35">
        <f>IF('Final Calculation Sheet'!$V$35="","",'Final Calculation Sheet'!$V$35)</f>
        <v/>
      </c>
      <c r="DM35">
        <f>IF(DL35="","",COUNTIFS(DL$4:DL$40,"&lt;"&amp;DL35,DL$4:DL$40,"&lt;&gt;"&amp;"")+COUNTIF(DL$4:DL35,DL35))</f>
        <v/>
      </c>
      <c r="DN35">
        <f>IF(ROW()-3&gt;COUNTIF(DL$4:DL$40,"&lt;&gt;"&amp;""),"",INDEX(DL$4:DL$40,MATCH(ROW()-3,DM$4:DM$40,0)))</f>
        <v/>
      </c>
      <c r="DO35">
        <f>DO34+IF(AND(DN35&lt;&gt;"",COUNTIF(DN$4:DN35,DN35)=1),1,0)</f>
        <v/>
      </c>
      <c r="DP35">
        <f>IF(ROW()-3&gt;MAX(DO$4:DO$40),"",INDEX(DN$4:DN$40,MATCH(ROW()-3,DO$4:DO$40,0)))</f>
        <v/>
      </c>
      <c r="DQ35" s="55">
        <f>IF('Final Calculation Sheet'!$W$35="","",'Final Calculation Sheet'!$W$35)</f>
        <v/>
      </c>
      <c r="DR35">
        <f>IF(DQ35="","",COUNTIFS(DQ$4:DQ$40,"&lt;"&amp;DQ35,DQ$4:DQ$40,"&lt;&gt;"&amp;"")+COUNTIF(DQ$4:DQ35,DQ35))</f>
        <v/>
      </c>
      <c r="DS35" s="55">
        <f>IF(ROW()-3&gt;COUNTIF(DQ$4:DQ$40,"&lt;&gt;"&amp;""),"",INDEX(DQ$4:DQ$40,MATCH(ROW()-3,DR$4:DR$40,0)))</f>
        <v/>
      </c>
      <c r="DT35">
        <f>DT34+IF(AND(DS35&lt;&gt;"",COUNTIF(DS$4:DS35,DS35)=1),1,0)</f>
        <v/>
      </c>
      <c r="DU35" s="55">
        <f>IF(ROW()-3&gt;MAX(DT$4:DT$40),"",INDEX(DS$4:DS$40,MATCH(ROW()-3,DT$4:DT$40,0)))</f>
        <v/>
      </c>
      <c r="DV35" s="55">
        <f>IF('Final Calculation Sheet'!$X$35="","",'Final Calculation Sheet'!$X$35)</f>
        <v/>
      </c>
      <c r="DW35">
        <f>IF(DV35="","",COUNTIFS(DV$4:DV$40,"&lt;"&amp;DV35,DV$4:DV$40,"&lt;&gt;"&amp;"")+COUNTIF(DV$4:DV35,DV35))</f>
        <v/>
      </c>
      <c r="DX35" s="55">
        <f>IF(ROW()-3&gt;COUNTIF(DV$4:DV$40,"&lt;&gt;"&amp;""),"",INDEX(DV$4:DV$40,MATCH(ROW()-3,DW$4:DW$40,0)))</f>
        <v/>
      </c>
      <c r="DY35">
        <f>DY34+IF(AND(DX35&lt;&gt;"",COUNTIF(DX$4:DX35,DX35)=1),1,0)</f>
        <v/>
      </c>
      <c r="DZ35">
        <f>IF(ROW()-3&gt;MAX(DY$4:DY$40),"",INDEX(DX$4:DX$40,MATCH(ROW()-3,DY$4:DY$40,0)))</f>
        <v/>
      </c>
      <c r="EA35">
        <f>IF('Final Calculation Sheet'!$Y$35="","",'Final Calculation Sheet'!$Y$35)</f>
        <v/>
      </c>
      <c r="EB35">
        <f>IF(EA35="","",COUNTIFS(EA$4:EA$40,"&lt;"&amp;EA35,EA$4:EA$40,"&lt;&gt;"&amp;"")+COUNTIF(EA$4:EA35,EA35))</f>
        <v/>
      </c>
      <c r="EC35">
        <f>IF(ROW()-3&gt;COUNTIF(EA$4:EA$40,"&lt;&gt;"&amp;""),"",INDEX(EA$4:EA$40,MATCH(ROW()-3,EB$4:EB$40,0)))</f>
        <v/>
      </c>
      <c r="ED35">
        <f>ED34+IF(AND(EC35&lt;&gt;"",COUNTIF(EC$4:EC35,EC35)=1),1,0)</f>
        <v/>
      </c>
      <c r="EE35">
        <f>IF(ROW()-3&gt;MAX(ED$4:ED$40),"",INDEX(EC$4:EC$40,MATCH(ROW()-3,ED$4:ED$40,0)))</f>
        <v/>
      </c>
      <c r="EF35" s="55">
        <f>IF('Final Calculation Sheet'!$Z$35="","",'Final Calculation Sheet'!$Z$35)</f>
        <v/>
      </c>
      <c r="EG35">
        <f>IF(EF35="","",COUNTIFS(EF$4:EF$40,"&lt;"&amp;EF35,EF$4:EF$40,"&lt;&gt;"&amp;"")+COUNTIF(EF$4:EF35,EF35))</f>
        <v/>
      </c>
      <c r="EH35" s="55">
        <f>IF(ROW()-3&gt;COUNTIF(EF$4:EF$40,"&lt;&gt;"&amp;""),"",INDEX(EF$4:EF$40,MATCH(ROW()-3,EG$4:EG$40,0)))</f>
        <v/>
      </c>
      <c r="EI35">
        <f>EI34+IF(AND(EH35&lt;&gt;"",COUNTIF(EH$4:EH35,EH35)=1),1,0)</f>
        <v/>
      </c>
      <c r="EJ35">
        <f>IF(ROW()-3&gt;MAX(EI$4:EI$40),"",INDEX(EH$4:EH$40,MATCH(ROW()-3,EI$4:EI$40,0)))</f>
        <v/>
      </c>
      <c r="EK35">
        <f>IF('Final Calculation Sheet'!$AA$35="","",'Final Calculation Sheet'!$AA$35)</f>
        <v/>
      </c>
      <c r="EL35">
        <f>IF(EK35="","",COUNTIFS(EK$4:EK$40,"&lt;"&amp;EK35,EK$4:EK$40,"&lt;&gt;"&amp;"")+COUNTIF(EK$4:EK35,EK35))</f>
        <v/>
      </c>
      <c r="EM35">
        <f>IF(ROW()-3&gt;COUNTIF(EK$4:EK$40,"&lt;&gt;"&amp;""),"",INDEX(EK$4:EK$40,MATCH(ROW()-3,EL$4:EL$40,0)))</f>
        <v/>
      </c>
      <c r="EN35">
        <f>EN34+IF(AND(EM35&lt;&gt;"",COUNTIF(EM$4:EM35,EM35)=1),1,0)</f>
        <v/>
      </c>
      <c r="EO35">
        <f>IF(ROW()-3&gt;MAX(EN$4:EN$40),"",INDEX(EM$4:EM$40,MATCH(ROW()-3,EN$4:EN$40,0)))</f>
        <v/>
      </c>
      <c r="EP35">
        <f>IF('Final Calculation Sheet'!$AB$35="","",'Final Calculation Sheet'!$AB$35)</f>
        <v/>
      </c>
      <c r="EQ35">
        <f>IF(EP35="","",COUNTIFS(EP$4:EP$40,"&lt;"&amp;EP35,EP$4:EP$40,"&lt;&gt;"&amp;"")+COUNTIF(EP$4:EP35,EP35))</f>
        <v/>
      </c>
      <c r="ER35">
        <f>IF(ROW()-3&gt;COUNTIF(EP$4:EP$40,"&lt;&gt;"&amp;""),"",INDEX(EP$4:EP$40,MATCH(ROW()-3,EQ$4:EQ$40,0)))</f>
        <v/>
      </c>
      <c r="ES35">
        <f>ES34+IF(AND(ER35&lt;&gt;"",COUNTIF(ER$4:ER35,ER35)=1),1,0)</f>
        <v/>
      </c>
      <c r="ET35">
        <f>IF(ROW()-3&gt;MAX(ES$4:ES$40),"",INDEX(ER$4:ER$40,MATCH(ROW()-3,ES$4:ES$40,0)))</f>
        <v/>
      </c>
      <c r="EU35" s="55">
        <f>IF('Final Calculation Sheet'!$AC$35="","",'Final Calculation Sheet'!$AC$35)</f>
        <v/>
      </c>
      <c r="EV35">
        <f>IF(EU35="","",COUNTIFS(EU$4:EU$40,"&lt;"&amp;EU35,EU$4:EU$40,"&lt;&gt;"&amp;"")+COUNTIF(EU$4:EU35,EU35))</f>
        <v/>
      </c>
      <c r="EW35" s="55">
        <f>IF(ROW()-3&gt;COUNTIF(EU$4:EU$40,"&lt;&gt;"&amp;""),"",INDEX(EU$4:EU$40,MATCH(ROW()-3,EV$4:EV$40,0)))</f>
        <v/>
      </c>
      <c r="EX35">
        <f>EX34+IF(AND(EW35&lt;&gt;"",COUNTIF(EW$4:EW35,EW35)=1),1,0)</f>
        <v/>
      </c>
      <c r="EY35" s="55">
        <f>IF(ROW()-3&gt;MAX(EX$4:EX$40),"",INDEX(EW$4:EW$40,MATCH(ROW()-3,EX$4:EX$40,0)))</f>
        <v/>
      </c>
      <c r="EZ35" s="55">
        <f>IF('Final Calculation Sheet'!$AD$35="","",'Final Calculation Sheet'!$AD$35)</f>
        <v/>
      </c>
      <c r="FA35">
        <f>IF(EZ35="","",COUNTIFS(EZ$4:EZ$40,"&lt;"&amp;EZ35,EZ$4:EZ$40,"&lt;&gt;"&amp;"")+COUNTIF(EZ$4:EZ35,EZ35))</f>
        <v/>
      </c>
      <c r="FB35" s="55">
        <f>IF(ROW()-3&gt;COUNTIF(EZ$4:EZ$40,"&lt;&gt;"&amp;""),"",INDEX(EZ$4:EZ$40,MATCH(ROW()-3,FA$4:FA$40,0)))</f>
        <v/>
      </c>
      <c r="FC35">
        <f>FC34+IF(AND(FB35&lt;&gt;"",COUNTIF(FB$4:FB35,FB35)=1),1,0)</f>
        <v/>
      </c>
      <c r="FD35">
        <f>IF(ROW()-3&gt;MAX(FC$4:FC$40),"",INDEX(FB$4:FB$40,MATCH(ROW()-3,FC$4:FC$40,0)))</f>
        <v/>
      </c>
      <c r="FE35">
        <f>IF('Final Calculation Sheet'!$AF$35="","",'Final Calculation Sheet'!$AF$35)</f>
        <v/>
      </c>
      <c r="FF35">
        <f>IF(FE35="","",COUNTIFS(FE$4:FE$40,"&lt;"&amp;FE35,FE$4:FE$40,"&lt;&gt;"&amp;"")+COUNTIF(FE$4:FE35,FE35))</f>
        <v/>
      </c>
      <c r="FG35">
        <f>IF(ROW()-3&gt;COUNTIF(FE$4:FE$40,"&lt;&gt;"&amp;""),"",INDEX(FE$4:FE$40,MATCH(ROW()-3,FF$4:FF$40,0)))</f>
        <v/>
      </c>
      <c r="FH35">
        <f>FH34+IF(AND(FG35&lt;&gt;"",COUNTIF(FG$4:FG35,FG35)=1),1,0)</f>
        <v/>
      </c>
      <c r="FI35">
        <f>IF(ROW()-3&gt;MAX(FH$4:FH$40),"",INDEX(FG$4:FG$40,MATCH(ROW()-3,FH$4:FH$40,0)))</f>
        <v/>
      </c>
      <c r="FJ35" s="141">
        <f>IF('Final Calculation Sheet'!$AG$35="","",'Final Calculation Sheet'!$AG$35)</f>
        <v/>
      </c>
      <c r="FK35">
        <f>IF(FJ35="","",COUNTIFS(FJ$4:FJ$40,"&lt;"&amp;FJ35,FJ$4:FJ$40,"&lt;&gt;"&amp;"")+COUNTIF(FJ$4:FJ35,FJ35))</f>
        <v/>
      </c>
      <c r="FL35" s="141">
        <f>IF(ROW()-3&gt;COUNTIF(FJ$4:FJ$40,"&lt;&gt;"&amp;""),"",INDEX(FJ$4:FJ$40,MATCH(ROW()-3,FK$4:FK$40,0)))</f>
        <v/>
      </c>
      <c r="FM35">
        <f>FM34+IF(AND(FL35&lt;&gt;"",COUNTIF(FL$4:FL35,FL35)=1),1,0)</f>
        <v/>
      </c>
      <c r="FN35">
        <f>IF(ROW()-3&gt;MAX(FM$4:FM$40),"",INDEX(FL$4:FL$40,MATCH(ROW()-3,FM$4:FM$40,0)))</f>
        <v/>
      </c>
      <c r="FO35">
        <f>IF('Final Calculation Sheet'!$AH$35="","",'Final Calculation Sheet'!$AH$35)</f>
        <v/>
      </c>
      <c r="FP35">
        <f>IF(FO35="","",COUNTIFS(FO$4:FO$40,"&lt;"&amp;FO35,FO$4:FO$40,"&lt;&gt;"&amp;"")+COUNTIF(FO$4:FO35,FO35))</f>
        <v/>
      </c>
      <c r="FQ35">
        <f>IF(ROW()-3&gt;COUNTIF(FO$4:FO$40,"&lt;&gt;"&amp;""),"",INDEX(FO$4:FO$40,MATCH(ROW()-3,FP$4:FP$40,0)))</f>
        <v/>
      </c>
      <c r="FR35">
        <f>FR34+IF(AND(FQ35&lt;&gt;"",COUNTIF(FQ$4:FQ35,FQ35)=1),1,0)</f>
        <v/>
      </c>
      <c r="FS35">
        <f>IF(ROW()-3&gt;MAX(FR$4:FR$40),"",INDEX(FQ$4:FQ$40,MATCH(ROW()-3,FR$4:FR$40,0)))</f>
        <v/>
      </c>
      <c r="FU35">
        <f>IF(FT35="","",COUNTIFS(FT$4:FT$40,"&lt;"&amp;FT35,FT$4:FT$40,"&lt;&gt;"&amp;"")+COUNTIF(FT$4:FT35,FT35))</f>
        <v/>
      </c>
      <c r="FV35">
        <f>IF(ROW()-3&gt;COUNTIF(FT$4:FT$40,"&lt;&gt;"&amp;""),"",INDEX(FT$4:FT$40,MATCH(ROW()-3,FU$4:FU$40,0)))</f>
        <v/>
      </c>
      <c r="FW35">
        <f>FW34+IF(AND(FV35&lt;&gt;"",COUNTIF(FV$4:FV35,FV35)=1),1,0)</f>
        <v/>
      </c>
      <c r="FX35">
        <f>IF(ROW()-3&gt;MAX(FW$4:FW$40),"",INDEX(FV$4:FV$40,MATCH(ROW()-3,FW$4:FW$40,0)))</f>
        <v/>
      </c>
      <c r="FY35">
        <f>IF(COUNTIF('Live Search'!BM$34:BO$34,0)+COUNTIF('Live Search'!BQ$34:CU$34,0)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5">
        <f>IF($Y$35="",FALSE,SUMPRODUCT(('Final Calculation Sheet'!$B$4:$B$40=$Y$35)*($FY$6:$FY$42=1))&gt;0)</f>
        <v/>
      </c>
      <c r="GA35">
        <f>$GA$34+--($FZ$35)</f>
        <v/>
      </c>
      <c r="GB35">
        <f>IF(ROW()-3&gt;MAX($GA$4:$GA$40),"",INDEX($Y$4:$Y$40,MATCH(ROW()-3,$GA$4:$GA$40,0)))</f>
        <v/>
      </c>
      <c r="GC35">
        <f>IF(COUNTIF('Live Search'!BM$34:BM$34,0)+COUNTIF('Live Search'!BO$34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GD35">
        <f>IF($O$35="",FALSE,SUMPRODUCT(('Final Calculation Sheet'!$F$4:$F$40=$O$35)*($GC$6:$GC$42=1))&gt;0)</f>
        <v/>
      </c>
      <c r="GE35">
        <f>$GE$34+--($GD35)</f>
        <v/>
      </c>
      <c r="GF35">
        <f>IF(ROW()-3&gt;MAX($GE$4:$GE$40),"",INDEX($O$4:$O$40,MATCH(ROW()-3,$GE$4:$GE$40,0)))</f>
        <v/>
      </c>
      <c r="GG35">
        <f>IF(COUNTIF('Live Search'!BM$34:BN$34,0)+COUNTIF('Live Search'!BP$34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GH35">
        <f>IF($T$35="",FALSE,SUMPRODUCT(('Final Calculation Sheet'!$G$4:$G$40=$T$35)*($GG$6:$GG$42=1))&gt;0)</f>
        <v/>
      </c>
      <c r="GI35">
        <f>$GI$34+--($GH35)</f>
        <v/>
      </c>
      <c r="GJ35">
        <f>IF(ROW()-3&gt;MAX($GI$4:$GI$40),"",INDEX($T$4:$T$40,MATCH(ROW()-3,$GI$4:$GI$40,0)))</f>
        <v/>
      </c>
      <c r="GK35">
        <f>IF(COUNTIF('Live Search'!BM$34:BP$34,0)+COUNTIF('Live Search'!BR$34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GL35">
        <f>IF($AD$35="",FALSE,SUMPRODUCT(('Final Calculation Sheet'!$D$4:$D$40=$AD$35)*($GK$6:$GK$42=1))&gt;0)</f>
        <v/>
      </c>
      <c r="GM35">
        <f>$GM$34+--($GL35)</f>
        <v/>
      </c>
      <c r="GN35">
        <f>IF(ROW()-3&gt;MAX($GM$4:$GM$40),"",INDEX($AD$4:$AD$40,MATCH(ROW()-3,$GM$4:$GM$40,0)))</f>
        <v/>
      </c>
      <c r="GO35">
        <f>IF(COUNTIF('Live Search'!BM$34:BQ$34,0)+COUNTIF('Live Search'!BS$34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GP35">
        <f>IF($AI$35="",FALSE,SUMPRODUCT(('Final Calculation Sheet'!$A$4:$A$40=$AI$35)*($GO$6:$GO$42=1))&gt;0)</f>
        <v/>
      </c>
      <c r="GQ35">
        <f>$GQ$34+--($GP35)</f>
        <v/>
      </c>
      <c r="GR35">
        <f>IF(ROW()-3&gt;MAX($GQ$4:$GQ$40),"",INDEX($AI$4:$AI$40,MATCH(ROW()-3,$GQ$4:$GQ$40,0)))</f>
        <v/>
      </c>
      <c r="GS35">
        <f>IF(COUNTIF('Live Search'!BM$34:BR$34,0)+COUNTIF('Live Search'!BT$34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GT35">
        <f>IF($AN$35="",FALSE,SUMPRODUCT(('Final Calculation Sheet'!$E$4:$E$40=$AN$35)*($GS$6:$GS$42=1))&gt;0)</f>
        <v/>
      </c>
      <c r="GU35">
        <f>$GU$34+--($GT35)</f>
        <v/>
      </c>
      <c r="GV35">
        <f>IF(ROW()-3&gt;MAX($GU$4:$GU$40),"",INDEX($AN$4:$AN$40,MATCH(ROW()-3,$GU$4:$GU$40,0)))</f>
        <v/>
      </c>
      <c r="GW35">
        <f>IF(COUNTIF('Live Search'!BM$34:BS$34,0)+COUNTIF('Live Search'!BU$34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GX35">
        <f>IF($AS$35="",FALSE,SUMPRODUCT(('Final Calculation Sheet'!$C$4:$C$40=$AS$35)*($GW$6:$GW$42=1))&gt;0)</f>
        <v/>
      </c>
      <c r="GY35">
        <f>$GY$34+--($GX35)</f>
        <v/>
      </c>
      <c r="GZ35">
        <f>IF(ROW()-3&gt;MAX($GY$4:$GY$40),"",INDEX($AS$4:$AS$40,MATCH(ROW()-3,$GY$4:$GY$40,0)))</f>
        <v/>
      </c>
      <c r="HA35">
        <f>IF(COUNTIF('Live Search'!BM$34:BT$34,0)+COUNTIF('Live Search'!BV$34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HB35">
        <f>IF($AX$35="",FALSE,SUMPRODUCT(('Final Calculation Sheet'!$H$4:$H$40=$AX$35)*($HA$6:$HA$42=1))&gt;0)</f>
        <v/>
      </c>
      <c r="HC35">
        <f>$HC$34+--($HB35)</f>
        <v/>
      </c>
      <c r="HD35">
        <f>IF(ROW()-3&gt;MAX($HC$4:$HC$40),"",INDEX($AX$4:$AX$40,MATCH(ROW()-3,$HC$4:$HC$40,0)))</f>
        <v/>
      </c>
      <c r="HE35">
        <f>IF(COUNTIF('Live Search'!BM$34:BU$34,0)+COUNTIF('Live Search'!BW$34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HF35">
        <f>IF($BC$35="",FALSE,SUMPRODUCT(('Final Calculation Sheet'!$I$4:$I$40=$BC$35)*($HE$6:$HE$42=1))&gt;0)</f>
        <v/>
      </c>
      <c r="HG35">
        <f>$HG$34+--($HF35)</f>
        <v/>
      </c>
      <c r="HH35">
        <f>IF(ROW()-3&gt;MAX($HG$4:$HG$40),"",INDEX($BC$4:$BC$40,MATCH(ROW()-3,$HG$4:$HG$40,0)))</f>
        <v/>
      </c>
      <c r="HI35">
        <f>IF(COUNTIF('Live Search'!BM$34:BV$34,0)+COUNTIF('Live Search'!BX$34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HJ35">
        <f>IF($BH$35="",FALSE,SUMPRODUCT(('Final Calculation Sheet'!$J$4:$J$40=$BH$35)*($HI$6:$HI$42=1))&gt;0)</f>
        <v/>
      </c>
      <c r="HK35">
        <f>$HK$34+--($HJ35)</f>
        <v/>
      </c>
      <c r="HL35">
        <f>IF(ROW()-3&gt;MAX($HK$4:$HK$40),"",INDEX($BH$4:$BH$40,MATCH(ROW()-3,$HK$4:$HK$40,0)))</f>
        <v/>
      </c>
      <c r="HM35">
        <f>IF(COUNTIF('Live Search'!BM$34:BW$34,0)+COUNTIF('Live Search'!BY$34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HN35">
        <f>IF($BM$35="",FALSE,SUMPRODUCT(('Final Calculation Sheet'!$K$4:$K$40=$BM$35)*($HM$6:$HM$42=1))&gt;0)</f>
        <v/>
      </c>
      <c r="HO35">
        <f>$HO$34+--($HN35)</f>
        <v/>
      </c>
      <c r="HP35">
        <f>IF(ROW()-3&gt;MAX($HO$4:$HO$40),"",INDEX($BM$4:$BM$40,MATCH(ROW()-3,$HO$4:$HO$40,0)))</f>
        <v/>
      </c>
      <c r="HQ35">
        <f>IF(COUNTIF('Live Search'!BM$34:BX$34,0)+COUNTIF('Live Search'!BZ$34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HR35">
        <f>IF($BR$35="",FALSE,SUMPRODUCT(('Final Calculation Sheet'!$L$4:$L$40=$BR$35)*($HQ$6:$HQ$42=1))&gt;0)</f>
        <v/>
      </c>
      <c r="HS35">
        <f>$HS$34+--($HR35)</f>
        <v/>
      </c>
      <c r="HT35">
        <f>IF(ROW()-3&gt;MAX($HS$4:$HS$40),"",INDEX($BR$4:$BR$40,MATCH(ROW()-3,$HS$4:$HS$40,0)))</f>
        <v/>
      </c>
      <c r="HU35">
        <f>IF(COUNTIF('Live Search'!BM$34:BY$34,0)+COUNTIF('Live Search'!CA$34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HV35">
        <f>IF($BW$35="",FALSE,SUMPRODUCT(('Final Calculation Sheet'!$M$4:$M$40=$BW$35)*($HU$6:$HU$42=1))&gt;0)</f>
        <v/>
      </c>
      <c r="HW35">
        <f>$HW$34+--($HV35)</f>
        <v/>
      </c>
      <c r="HX35">
        <f>IF(ROW()-3&gt;MAX($HW$4:$HW$40),"",INDEX($BW$4:$BW$40,MATCH(ROW()-3,$HW$4:$HW$40,0)))</f>
        <v/>
      </c>
      <c r="HY35">
        <f>IF(COUNTIF('Live Search'!BM$34:BZ$34,0)+COUNTIF('Live Search'!CB$34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HZ35">
        <f>IF($CB$35="",FALSE,SUMPRODUCT(('Final Calculation Sheet'!$N$4:$N$40=$CB$35)*($HY$6:$HY$42=1))&gt;0)</f>
        <v/>
      </c>
      <c r="IA35">
        <f>$IA$34+--($HZ35)</f>
        <v/>
      </c>
      <c r="IB35">
        <f>IF(ROW()-3&gt;MAX($IA$4:$IA$40),"",INDEX($CB$4:$CB$40,MATCH(ROW()-3,$IA$4:$IA$40,0)))</f>
        <v/>
      </c>
      <c r="IC35">
        <f>IF(COUNTIF('Live Search'!BM$34:CA$34,0)+COUNTIF('Live Search'!CC$34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ID35">
        <f>IF($CG$35="",FALSE,SUMPRODUCT(('Final Calculation Sheet'!$O$4:$O$40=$CG$35)*($IC$6:$IC$42=1))&gt;0)</f>
        <v/>
      </c>
      <c r="IE35">
        <f>$IE$34+--($ID35)</f>
        <v/>
      </c>
      <c r="IF35">
        <f>IF(ROW()-3&gt;MAX($IE$4:$IE$40),"",INDEX($CG$4:$CG$40,MATCH(ROW()-3,$IE$4:$IE$40,0)))</f>
        <v/>
      </c>
      <c r="IG35">
        <f>IF(COUNTIF('Live Search'!BM$34:CB$34,0)+COUNTIF('Live Search'!CD$34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IH35">
        <f>IF($CL$35="",FALSE,SUMPRODUCT(('Final Calculation Sheet'!$P$4:$P$40=$CL$35)*($IG$6:$IG$42=1))&gt;0)</f>
        <v/>
      </c>
      <c r="II35">
        <f>$II$34+--($IH35)</f>
        <v/>
      </c>
      <c r="IJ35">
        <f>IF(ROW()-3&gt;MAX($II$4:$II$40),"",INDEX($CL$4:$CL$40,MATCH(ROW()-3,$II$4:$II$40,0)))</f>
        <v/>
      </c>
      <c r="IK35">
        <f>IF(COUNTIF('Live Search'!BM$34:CC$34,0)+COUNTIF('Live Search'!CE$34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IL35">
        <f>IF($CQ$35="",FALSE,SUMPRODUCT(('Final Calculation Sheet'!$Q$4:$Q$40=$CQ$35)*($IK$6:$IK$42=1))&gt;0)</f>
        <v/>
      </c>
      <c r="IM35">
        <f>$IM$34+--($IL35)</f>
        <v/>
      </c>
      <c r="IN35">
        <f>IF(ROW()-3&gt;MAX($IM$4:$IM$40),"",INDEX($CQ$4:$CQ$40,MATCH(ROW()-3,$IM$4:$IM$40,0)))</f>
        <v/>
      </c>
      <c r="IO35">
        <f>IF(COUNTIF('Live Search'!BM$34:CD$34,0)+COUNTIF('Live Search'!CF$34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IP35">
        <f>IF($CV$35="",FALSE,SUMPRODUCT(('Final Calculation Sheet'!$R$4:$R$40=$CV$35)*($IO$6:$IO$42=1))&gt;0)</f>
        <v/>
      </c>
      <c r="IQ35">
        <f>$IQ$34+--($IP35)</f>
        <v/>
      </c>
      <c r="IR35">
        <f>IF(ROW()-3&gt;MAX($IQ$4:$IQ$40),"",INDEX($CV$4:$CV$40,MATCH(ROW()-3,$IQ$4:$IQ$40,0)))</f>
        <v/>
      </c>
      <c r="IS35">
        <f>IF(COUNTIF('Live Search'!BM$34:CE$34,0)+COUNTIF('Live Search'!CG$34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IT35">
        <f>IF($DA$35="",FALSE,SUMPRODUCT(('Final Calculation Sheet'!$S$4:$S$40=$DA$35)*($IS$6:$IS$42=1))&gt;0)</f>
        <v/>
      </c>
      <c r="IU35">
        <f>$IU$34+--($IT35)</f>
        <v/>
      </c>
      <c r="IV35">
        <f>IF(ROW()-3&gt;MAX($IU$4:$IU$40),"",INDEX($DA$4:$DA$40,MATCH(ROW()-3,$IU$4:$IU$40,0)))</f>
        <v/>
      </c>
      <c r="IW35">
        <f>IF(COUNTIF('Live Search'!BM$34:CF$34,0)+COUNTIF('Live Search'!CH$34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IX35">
        <f>IF($DF$35="",FALSE,SUMPRODUCT(('Final Calculation Sheet'!$T$4:$T$40=$DF$35)*($IW$6:$IW$42=1))&gt;0)</f>
        <v/>
      </c>
      <c r="IY35">
        <f>$IY$34+--($IX35)</f>
        <v/>
      </c>
      <c r="IZ35">
        <f>IF(ROW()-3&gt;MAX($IY$4:$IY$40),"",INDEX($DF$4:$DF$40,MATCH(ROW()-3,$IY$4:$IY$40,0)))</f>
        <v/>
      </c>
      <c r="JA35">
        <f>IF(COUNTIF('Live Search'!BM$34:CG$34,0)+COUNTIF('Live Search'!CI$34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JB35">
        <f>IF($DK$35="",FALSE,SUMPRODUCT(('Final Calculation Sheet'!$U$4:$U$40=$DK$35)*($JA$6:$JA$42=1))&gt;0)</f>
        <v/>
      </c>
      <c r="JC35">
        <f>$JC$34+--($JB35)</f>
        <v/>
      </c>
      <c r="JD35">
        <f>IF(ROW()-3&gt;MAX($JC$4:$JC$40),"",INDEX($DK$4:$DK$40,MATCH(ROW()-3,$JC$4:$JC$40,0)))</f>
        <v/>
      </c>
      <c r="JE35">
        <f>IF(COUNTIF('Live Search'!BM$34:CH$34,0)+COUNTIF('Live Search'!CJ$34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JF35">
        <f>IF($DP$35="",FALSE,SUMPRODUCT(('Final Calculation Sheet'!$V$4:$V$40=$DP$35)*($JE$6:$JE$42=1))&gt;0)</f>
        <v/>
      </c>
      <c r="JG35">
        <f>$JG$34+--($JF35)</f>
        <v/>
      </c>
      <c r="JH35">
        <f>IF(ROW()-3&gt;MAX($JG$4:$JG$40),"",INDEX($DP$4:$DP$40,MATCH(ROW()-3,$JG$4:$JG$40,0)))</f>
        <v/>
      </c>
      <c r="JI35">
        <f>IF(COUNTIF('Live Search'!BM$34:CI$34,0)+COUNTIF('Live Search'!CK$34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JJ35">
        <f>IF($DU$35="",FALSE,SUMPRODUCT(('Final Calculation Sheet'!$W$4:$W$40=$DU$35)*($JI$6:$JI$42=1))&gt;0)</f>
        <v/>
      </c>
      <c r="JK35">
        <f>$JK$34+--($JJ35)</f>
        <v/>
      </c>
      <c r="JL35">
        <f>IF(ROW()-3&gt;MAX($JK$4:$JK$40),"",INDEX($DU$4:$DU$40,MATCH(ROW()-3,$JK$4:$JK$40,0)))</f>
        <v/>
      </c>
      <c r="JM35">
        <f>IF(COUNTIF('Live Search'!BM$34:CJ$34,0)+COUNTIF('Live Search'!CL$34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JN35">
        <f>IF($DZ$35="",FALSE,SUMPRODUCT(('Final Calculation Sheet'!$X$4:$X$40=$DZ$35)*($JM$6:$JM$42=1))&gt;0)</f>
        <v/>
      </c>
      <c r="JO35">
        <f>$JO$34+--($JN35)</f>
        <v/>
      </c>
      <c r="JP35">
        <f>IF(ROW()-3&gt;MAX($JO$4:$JO$40),"",INDEX($DZ$4:$DZ$40,MATCH(ROW()-3,$JO$4:$JO$40,0)))</f>
        <v/>
      </c>
      <c r="JQ35">
        <f>IF(COUNTIF('Live Search'!BM$34:CK$34,0)+COUNTIF('Live Search'!CM$34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JR35">
        <f>IF($EE$35="",FALSE,SUMPRODUCT(('Final Calculation Sheet'!$Y$4:$Y$40=$EE$35)*($JQ$6:$JQ$42=1))&gt;0)</f>
        <v/>
      </c>
      <c r="JS35">
        <f>$JS$34+--($JR35)</f>
        <v/>
      </c>
      <c r="JT35">
        <f>IF(ROW()-3&gt;MAX($JS$4:$JS$40),"",INDEX($EE$4:$EE$40,MATCH(ROW()-3,$JS$4:$JS$40,0)))</f>
        <v/>
      </c>
      <c r="JU35">
        <f>IF(COUNTIF('Live Search'!BM$34:CL$34,0)+COUNTIF('Live Search'!CN$34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JV35">
        <f>IF($EJ$35="",FALSE,SUMPRODUCT(('Final Calculation Sheet'!$Z$4:$Z$40=$EJ$35)*($JU$6:$JU$42=1))&gt;0)</f>
        <v/>
      </c>
      <c r="JW35">
        <f>$JW$34+--($JV35)</f>
        <v/>
      </c>
      <c r="JX35">
        <f>IF(ROW()-3&gt;MAX($JW$4:$JW$40),"",INDEX($EJ$4:$EJ$40,MATCH(ROW()-3,$JW$4:$JW$40,0)))</f>
        <v/>
      </c>
      <c r="JY35">
        <f>IF(COUNTIF('Live Search'!BM$34:CM$34,0)+COUNTIF('Live Search'!CO$34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JZ35">
        <f>IF($EO$35="",FALSE,SUMPRODUCT(('Final Calculation Sheet'!$AA$4:$AA$40=$EO$35)*($JY$6:$JY$42=1))&gt;0)</f>
        <v/>
      </c>
      <c r="KA35">
        <f>$KA$34+--($JZ35)</f>
        <v/>
      </c>
      <c r="KB35">
        <f>IF(ROW()-3&gt;MAX($KA$4:$KA$40),"",INDEX($EO$4:$EO$40,MATCH(ROW()-3,$KA$4:$KA$40,0)))</f>
        <v/>
      </c>
      <c r="KC35">
        <f>IF(COUNTIF('Live Search'!BM$34:CN$34,0)+COUNTIF('Live Search'!CP$34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KD35">
        <f>IF($ET$35="",FALSE,SUMPRODUCT(('Final Calculation Sheet'!$AB$4:$AB$40=$ET$35)*($KC$6:$KC$42=1))&gt;0)</f>
        <v/>
      </c>
      <c r="KE35">
        <f>$KE$34+--($KD35)</f>
        <v/>
      </c>
      <c r="KF35">
        <f>IF(ROW()-3&gt;MAX($KE$4:$KE$40),"",INDEX($ET$4:$ET$40,MATCH(ROW()-3,$KE$4:$KE$40,0)))</f>
        <v/>
      </c>
      <c r="KG35">
        <f>IF(COUNTIF('Live Search'!BM$34:CO$34,0)+COUNTIF('Live Search'!CQ$34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KH35">
        <f>IF($EY$35="",FALSE,SUMPRODUCT(('Final Calculation Sheet'!$AC$4:$AC$40=$EY$35)*($KG$6:$KG$42=1))&gt;0)</f>
        <v/>
      </c>
      <c r="KI35">
        <f>$KI$34+--($KH35)</f>
        <v/>
      </c>
      <c r="KJ35">
        <f>IF(ROW()-3&gt;MAX($KI$4:$KI$40),"",INDEX($EY$4:$EY$40,MATCH(ROW()-3,$KI$4:$KI$40,0)))</f>
        <v/>
      </c>
      <c r="KK35">
        <f>IF(COUNTIF('Live Search'!BM$34:CP$34,0)+COUNTIF('Live Search'!CR$34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KL35">
        <f>IF($FD$35="",FALSE,SUMPRODUCT(('Final Calculation Sheet'!$AD$4:$AD$40=$FD$35)*($KK$6:$KK$42=1))&gt;0)</f>
        <v/>
      </c>
      <c r="KM35">
        <f>$KM$34+--($KL35)</f>
        <v/>
      </c>
      <c r="KN35">
        <f>IF(ROW()-3&gt;MAX($KM$4:$KM$40),"",INDEX($FD$4:$FD$40,MATCH(ROW()-3,$KM$4:$KM$40,0)))</f>
        <v/>
      </c>
      <c r="KO35">
        <f>IF(COUNTIF('Live Search'!BM$34:CT$34,0)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KP35">
        <f>IF($FX$35="",FALSE,SUMPRODUCT((IF('Final Calculation Sheet'!$AD$4:$AD$40&lt;=5,"SETTLED","OUTSTANDING")=$FX$35)*($KO$6:$KO$42=1))&gt;0)</f>
        <v/>
      </c>
      <c r="KQ35">
        <f>$KQ$34+--($KP35)</f>
        <v/>
      </c>
      <c r="KR35">
        <f>IF(ROW()-3&gt;MAX($KQ$4:$KQ$40),"",INDEX($FX$4:$FX$40,MATCH(ROW()-3,$KQ$4:$KQ$40,0)))</f>
        <v/>
      </c>
      <c r="KS35">
        <f>IF(COUNTIF('Live Search'!BM$34:CQ$34,0)+COUNTIF('Live Search'!CS$34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KT35">
        <f>IF($FI$35="",FALSE,SUMPRODUCT(('Final Calculation Sheet'!$AF$4:$AF$40=$FI$35)*($KS$6:$KS$42=1))&gt;0)</f>
        <v/>
      </c>
      <c r="KU35">
        <f>$KU$34+--($KT35)</f>
        <v/>
      </c>
      <c r="KV35">
        <f>IF(ROW()-3&gt;MAX($KU$4:$KU$40),"",INDEX($FI$4:$FI$40,MATCH(ROW()-3,$KU$4:$KU$40,0)))</f>
        <v/>
      </c>
      <c r="KW35">
        <f>IF(COUNTIF('Live Search'!BM$34:CR$34,0)+COUNTIF('Live Search'!CT$34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KX35">
        <f>IF($FN$35="",FALSE,SUMPRODUCT(('Final Calculation Sheet'!$AG$4:$AG$40=$FN$35)*($KW$6:$KW$42=1))&gt;0)</f>
        <v/>
      </c>
      <c r="KY35">
        <f>$KY$34+--($KX35)</f>
        <v/>
      </c>
      <c r="KZ35">
        <f>IF(ROW()-3&gt;MAX($KY$4:$KY$40),"",INDEX($FN$4:$FN$40,MATCH(ROW()-3,$KY$4:$KY$40,0)))</f>
        <v/>
      </c>
      <c r="LA35">
        <f>IF(COUNTIF('Live Search'!BM$34:CS$34,0)+COUNTIF('Live Search'!CU$34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LB35">
        <f>IF($FS$35="",FALSE,SUMPRODUCT(('Final Calculation Sheet'!$AH$4:$AH$40=$FS$35)*($LA$6:$LA$42=1))&gt;0)</f>
        <v/>
      </c>
      <c r="LC35">
        <f>$LC$34+--($LB35)</f>
        <v/>
      </c>
      <c r="LD35">
        <f>IF(ROW()-3&gt;MAX($LC$4:$LC$40),"",INDEX($FS$4:$FS$40,MATCH(ROW()-3,$LC$4:$LC$40,0)))</f>
        <v/>
      </c>
      <c r="LE35">
        <f>IF(COUNTIF('Buyer Groups'!DH88:EN88,0)&gt;0,0,1)</f>
        <v/>
      </c>
      <c r="LF35">
        <f>IF($O$35="",FALSE,SUMPRODUCT(('Final Calculation Sheet'!$F$4:$F$40=$O$35)*($LE$6:$LE$42=1))&gt;0)</f>
        <v/>
      </c>
      <c r="LG35">
        <f>$LG$34+--($LF35)</f>
        <v/>
      </c>
      <c r="LH35">
        <f>IF(ROW()-3&gt;MAX($LG$4:$LG$40),"",INDEX($O$4:$O$40,MATCH(ROW()-3,$LG$4:$LG$40,0)))</f>
        <v/>
      </c>
      <c r="LI35">
        <f>IF(COUNTIF('Buyer Groups'!DG88:DG88,0)+COUNTIF('Buyer Groups'!DI88:EN88,0)&gt;0,0,1)</f>
        <v/>
      </c>
      <c r="LJ35">
        <f>IF($T$35="",FALSE,SUMPRODUCT(('Final Calculation Sheet'!$G$4:$G$40=$T$35)*($LI$6:$LI$42=1))&gt;0)</f>
        <v/>
      </c>
      <c r="LK35">
        <f>$LK$34+--($LJ35)</f>
        <v/>
      </c>
      <c r="LL35">
        <f>IF(ROW()-3&gt;MAX($LK$4:$LK$40),"",INDEX($T$4:$T$40,MATCH(ROW()-3,$LK$4:$LK$40,0)))</f>
        <v/>
      </c>
      <c r="LM35">
        <f>IF(COUNTIF('Buyer Groups'!DG88:DH88,0)+COUNTIF('Buyer Groups'!DJ88:EN88,0)&gt;0,0,1)</f>
        <v/>
      </c>
      <c r="LN35">
        <f>IF($Y$35="",FALSE,SUMPRODUCT(('Final Calculation Sheet'!$B$4:$B$40=$Y$35)*($LM$6:$LM$42=1))&gt;0)</f>
        <v/>
      </c>
      <c r="LO35">
        <f>$LO$34+--($LN35)</f>
        <v/>
      </c>
      <c r="LP35">
        <f>IF(ROW()-3&gt;MAX($LO$4:$LO$40),"",INDEX($Y$4:$Y$40,MATCH(ROW()-3,$LO$4:$LO$40,0)))</f>
        <v/>
      </c>
      <c r="LQ35">
        <f>IF(COUNTIF('Buyer Groups'!DG88:DI88,0)+COUNTIF('Buyer Groups'!DK88:EN88,0)&gt;0,0,1)</f>
        <v/>
      </c>
      <c r="LR35">
        <f>IF($AD$35="",FALSE,SUMPRODUCT(('Final Calculation Sheet'!$D$4:$D$40=$AD$35)*($LQ$6:$LQ$42=1))&gt;0)</f>
        <v/>
      </c>
      <c r="LS35">
        <f>$LS$34+--($LR35)</f>
        <v/>
      </c>
      <c r="LT35">
        <f>IF(ROW()-3&gt;MAX($LS$4:$LS$40),"",INDEX($AD$4:$AD$40,MATCH(ROW()-3,$LS$4:$LS$40,0)))</f>
        <v/>
      </c>
      <c r="LU35">
        <f>IF(COUNTIF('Buyer Groups'!DG88:DJ88,0)+COUNTIF('Buyer Groups'!DL88:EN88,0)&gt;0,0,1)</f>
        <v/>
      </c>
      <c r="LV35">
        <f>IF($AI$35="",FALSE,SUMPRODUCT(('Final Calculation Sheet'!$A$4:$A$40=$AI$35)*($LU$6:$LU$42=1))&gt;0)</f>
        <v/>
      </c>
      <c r="LW35">
        <f>$LW$34+--($LV35)</f>
        <v/>
      </c>
      <c r="LX35">
        <f>IF(ROW()-3&gt;MAX($LW$4:$LW$40),"",INDEX($AI$4:$AI$40,MATCH(ROW()-3,$LW$4:$LW$40,0)))</f>
        <v/>
      </c>
      <c r="LY35">
        <f>IF(COUNTIF('Buyer Groups'!DG88:DK88,0)+COUNTIF('Buyer Groups'!DM88:EN88,0)&gt;0,0,1)</f>
        <v/>
      </c>
      <c r="LZ35">
        <f>IF($AN$35="",FALSE,SUMPRODUCT(('Final Calculation Sheet'!$E$4:$E$40=$AN$35)*($LY$6:$LY$42=1))&gt;0)</f>
        <v/>
      </c>
      <c r="MA35">
        <f>$MA$34+--($LZ35)</f>
        <v/>
      </c>
      <c r="MB35">
        <f>IF(ROW()-3&gt;MAX($MA$4:$MA$40),"",INDEX($AN$4:$AN$40,MATCH(ROW()-3,$MA$4:$MA$40,0)))</f>
        <v/>
      </c>
      <c r="MC35">
        <f>IF(COUNTIF('Buyer Groups'!DG88:DL88,0)+COUNTIF('Buyer Groups'!DN88:EN88,0)&gt;0,0,1)</f>
        <v/>
      </c>
      <c r="MD35">
        <f>IF($AS$35="",FALSE,SUMPRODUCT(('Final Calculation Sheet'!$C$4:$C$40=$AS$35)*($MC$6:$MC$42=1))&gt;0)</f>
        <v/>
      </c>
      <c r="ME35">
        <f>$ME$34+--($MD35)</f>
        <v/>
      </c>
      <c r="MF35">
        <f>IF(ROW()-3&gt;MAX($ME$4:$ME$40),"",INDEX($AS$4:$AS$40,MATCH(ROW()-3,$ME$4:$ME$40,0)))</f>
        <v/>
      </c>
      <c r="MG35">
        <f>IF(COUNTIF('Buyer Groups'!DG88:DM88,0)+COUNTIF('Buyer Groups'!DO88:EN88,0)&gt;0,0,1)</f>
        <v/>
      </c>
      <c r="MH35">
        <f>IF($AX$35="",FALSE,SUMPRODUCT(('Final Calculation Sheet'!$H$4:$H$40=$AX$35)*($MG$6:$MG$42=1))&gt;0)</f>
        <v/>
      </c>
      <c r="MI35">
        <f>$MI$34+--($MH35)</f>
        <v/>
      </c>
      <c r="MJ35">
        <f>IF(ROW()-3&gt;MAX($MI$4:$MI$40),"",INDEX($AX$4:$AX$40,MATCH(ROW()-3,$MI$4:$MI$40,0)))</f>
        <v/>
      </c>
      <c r="MK35">
        <f>IF(COUNTIF('Buyer Groups'!DG88:DN88,0)+COUNTIF('Buyer Groups'!DP88:EN88,0)&gt;0,0,1)</f>
        <v/>
      </c>
      <c r="ML35">
        <f>IF($BC$35="",FALSE,SUMPRODUCT(('Final Calculation Sheet'!$I$4:$I$40=$BC$35)*($MK$6:$MK$42=1))&gt;0)</f>
        <v/>
      </c>
      <c r="MM35">
        <f>$MM$34+--($ML35)</f>
        <v/>
      </c>
      <c r="MN35">
        <f>IF(ROW()-3&gt;MAX($MM$4:$MM$40),"",INDEX($BC$4:$BC$40,MATCH(ROW()-3,$MM$4:$MM$40,0)))</f>
        <v/>
      </c>
      <c r="MO35">
        <f>IF(COUNTIF('Buyer Groups'!DG88:DO88,0)+COUNTIF('Buyer Groups'!DQ88:EN88,0)&gt;0,0,1)</f>
        <v/>
      </c>
      <c r="MP35">
        <f>IF($BH$35="",FALSE,SUMPRODUCT(('Final Calculation Sheet'!$J$4:$J$40=$BH$35)*($MO$6:$MO$42=1))&gt;0)</f>
        <v/>
      </c>
      <c r="MQ35">
        <f>$MQ$34+--($MP35)</f>
        <v/>
      </c>
      <c r="MR35">
        <f>IF(ROW()-3&gt;MAX($MQ$4:$MQ$40),"",INDEX($BH$4:$BH$40,MATCH(ROW()-3,$MQ$4:$MQ$40,0)))</f>
        <v/>
      </c>
      <c r="MS35">
        <f>IF(COUNTIF('Buyer Groups'!DG88:DP88,0)+COUNTIF('Buyer Groups'!DR88:EN88,0)&gt;0,0,1)</f>
        <v/>
      </c>
      <c r="MT35">
        <f>IF($BM$35="",FALSE,SUMPRODUCT(('Final Calculation Sheet'!$K$4:$K$40=$BM$35)*($MS$6:$MS$42=1))&gt;0)</f>
        <v/>
      </c>
      <c r="MU35">
        <f>$MU$34+--($MT35)</f>
        <v/>
      </c>
      <c r="MV35">
        <f>IF(ROW()-3&gt;MAX($MU$4:$MU$40),"",INDEX($BM$4:$BM$40,MATCH(ROW()-3,$MU$4:$MU$40,0)))</f>
        <v/>
      </c>
      <c r="MW35">
        <f>IF(COUNTIF('Buyer Groups'!DG88:DQ88,0)+COUNTIF('Buyer Groups'!DS88:EN88,0)&gt;0,0,1)</f>
        <v/>
      </c>
      <c r="MX35">
        <f>IF($BR$35="",FALSE,SUMPRODUCT(('Final Calculation Sheet'!$L$4:$L$40=$BR$35)*($MW$6:$MW$42=1))&gt;0)</f>
        <v/>
      </c>
      <c r="MY35">
        <f>$MY$34+--($MX35)</f>
        <v/>
      </c>
      <c r="MZ35">
        <f>IF(ROW()-3&gt;MAX($MY$4:$MY$40),"",INDEX($BR$4:$BR$40,MATCH(ROW()-3,$MY$4:$MY$40,0)))</f>
        <v/>
      </c>
      <c r="NA35">
        <f>IF(COUNTIF('Buyer Groups'!DG88:DR88,0)+COUNTIF('Buyer Groups'!DT88:EN88,0)&gt;0,0,1)</f>
        <v/>
      </c>
      <c r="NB35">
        <f>IF($BW$35="",FALSE,SUMPRODUCT(('Final Calculation Sheet'!$M$4:$M$40=$BW$35)*($NA$6:$NA$42=1))&gt;0)</f>
        <v/>
      </c>
      <c r="NC35">
        <f>$NC$34+--($NB35)</f>
        <v/>
      </c>
      <c r="ND35">
        <f>IF(ROW()-3&gt;MAX($NC$4:$NC$40),"",INDEX($BW$4:$BW$40,MATCH(ROW()-3,$NC$4:$NC$40,0)))</f>
        <v/>
      </c>
      <c r="NE35">
        <f>IF(COUNTIF('Buyer Groups'!DG88:DS88,0)+COUNTIF('Buyer Groups'!DU88:EN88,0)&gt;0,0,1)</f>
        <v/>
      </c>
      <c r="NF35">
        <f>IF($CB$35="",FALSE,SUMPRODUCT(('Final Calculation Sheet'!$N$4:$N$40=$CB$35)*($NE$6:$NE$42=1))&gt;0)</f>
        <v/>
      </c>
      <c r="NG35">
        <f>$NG$34+--($NF35)</f>
        <v/>
      </c>
      <c r="NH35">
        <f>IF(ROW()-3&gt;MAX($NG$4:$NG$40),"",INDEX($CB$4:$CB$40,MATCH(ROW()-3,$NG$4:$NG$40,0)))</f>
        <v/>
      </c>
      <c r="NI35">
        <f>IF(COUNTIF('Buyer Groups'!DG88:DT88,0)+COUNTIF('Buyer Groups'!DV88:EN88,0)&gt;0,0,1)</f>
        <v/>
      </c>
      <c r="NJ35">
        <f>IF($CG$35="",FALSE,SUMPRODUCT(('Final Calculation Sheet'!$O$4:$O$40=$CG$35)*($NI$6:$NI$42=1))&gt;0)</f>
        <v/>
      </c>
      <c r="NK35">
        <f>$NK$34+--($NJ35)</f>
        <v/>
      </c>
      <c r="NL35">
        <f>IF(ROW()-3&gt;MAX($NK$4:$NK$40),"",INDEX($CG$4:$CG$40,MATCH(ROW()-3,$NK$4:$NK$40,0)))</f>
        <v/>
      </c>
      <c r="NM35">
        <f>IF(COUNTIF('Buyer Groups'!DG88:DU88,0)+COUNTIF('Buyer Groups'!DW88:EN88,0)&gt;0,0,1)</f>
        <v/>
      </c>
      <c r="NN35">
        <f>IF($CL$35="",FALSE,SUMPRODUCT(('Final Calculation Sheet'!$P$4:$P$40=$CL$35)*($NM$6:$NM$42=1))&gt;0)</f>
        <v/>
      </c>
      <c r="NO35">
        <f>$NO$34+--($NN35)</f>
        <v/>
      </c>
      <c r="NP35">
        <f>IF(ROW()-3&gt;MAX($NO$4:$NO$40),"",INDEX($CL$4:$CL$40,MATCH(ROW()-3,$NO$4:$NO$40,0)))</f>
        <v/>
      </c>
      <c r="NQ35">
        <f>IF(COUNTIF('Buyer Groups'!DG88:DV88,0)+COUNTIF('Buyer Groups'!DX88:EN88,0)&gt;0,0,1)</f>
        <v/>
      </c>
      <c r="NR35">
        <f>IF($CQ$35="",FALSE,SUMPRODUCT(('Final Calculation Sheet'!$Q$4:$Q$40=$CQ$35)*($NQ$6:$NQ$42=1))&gt;0)</f>
        <v/>
      </c>
      <c r="NS35">
        <f>$NS$34+--($NR35)</f>
        <v/>
      </c>
      <c r="NT35">
        <f>IF(ROW()-3&gt;MAX($NS$4:$NS$40),"",INDEX($CQ$4:$CQ$40,MATCH(ROW()-3,$NS$4:$NS$40,0)))</f>
        <v/>
      </c>
      <c r="NU35">
        <f>IF(COUNTIF('Buyer Groups'!DG88:DW88,0)+COUNTIF('Buyer Groups'!DY88:EN88,0)&gt;0,0,1)</f>
        <v/>
      </c>
      <c r="NV35">
        <f>IF($CV$35="",FALSE,SUMPRODUCT(('Final Calculation Sheet'!$R$4:$R$40=$CV$35)*($NU$6:$NU$42=1))&gt;0)</f>
        <v/>
      </c>
      <c r="NW35">
        <f>$NW$34+--($NV35)</f>
        <v/>
      </c>
      <c r="NX35">
        <f>IF(ROW()-3&gt;MAX($NW$4:$NW$40),"",INDEX($CV$4:$CV$40,MATCH(ROW()-3,$NW$4:$NW$40,0)))</f>
        <v/>
      </c>
      <c r="NY35">
        <f>IF(COUNTIF('Buyer Groups'!DG88:DX88,0)+COUNTIF('Buyer Groups'!DZ88:EN88,0)&gt;0,0,1)</f>
        <v/>
      </c>
      <c r="NZ35">
        <f>IF($DA$35="",FALSE,SUMPRODUCT(('Final Calculation Sheet'!$S$4:$S$40=$DA$35)*($NY$6:$NY$42=1))&gt;0)</f>
        <v/>
      </c>
      <c r="OA35">
        <f>$OA$34+--($NZ35)</f>
        <v/>
      </c>
      <c r="OB35">
        <f>IF(ROW()-3&gt;MAX($OA$4:$OA$40),"",INDEX($DA$4:$DA$40,MATCH(ROW()-3,$OA$4:$OA$40,0)))</f>
        <v/>
      </c>
      <c r="OC35">
        <f>IF(COUNTIF('Buyer Groups'!DG88:DY88,0)+COUNTIF('Buyer Groups'!EA88:EN88,0)&gt;0,0,1)</f>
        <v/>
      </c>
      <c r="OD35">
        <f>IF($DF$35="",FALSE,SUMPRODUCT(('Final Calculation Sheet'!$T$4:$T$40=$DF$35)*($OC$6:$OC$42=1))&gt;0)</f>
        <v/>
      </c>
      <c r="OE35">
        <f>$OE$34+--($OD35)</f>
        <v/>
      </c>
      <c r="OF35">
        <f>IF(ROW()-3&gt;MAX($OE$4:$OE$40),"",INDEX($DF$4:$DF$40,MATCH(ROW()-3,$OE$4:$OE$40,0)))</f>
        <v/>
      </c>
      <c r="OG35">
        <f>IF(COUNTIF('Buyer Groups'!DG88:DZ88,0)+COUNTIF('Buyer Groups'!EB88:EN88,0)&gt;0,0,1)</f>
        <v/>
      </c>
      <c r="OH35">
        <f>IF($DK$35="",FALSE,SUMPRODUCT(('Final Calculation Sheet'!$U$4:$U$40=$DK$35)*($OG$6:$OG$42=1))&gt;0)</f>
        <v/>
      </c>
      <c r="OI35">
        <f>$OI$34+--($OH35)</f>
        <v/>
      </c>
      <c r="OJ35">
        <f>IF(ROW()-3&gt;MAX($OI$4:$OI$40),"",INDEX($DK$4:$DK$40,MATCH(ROW()-3,$OI$4:$OI$40,0)))</f>
        <v/>
      </c>
      <c r="OK35">
        <f>IF(COUNTIF('Buyer Groups'!DG88:EA88,0)+COUNTIF('Buyer Groups'!EC88:EN88,0)&gt;0,0,1)</f>
        <v/>
      </c>
      <c r="OL35">
        <f>IF($DP$35="",FALSE,SUMPRODUCT(('Final Calculation Sheet'!$V$4:$V$40=$DP$35)*($OK$6:$OK$42=1))&gt;0)</f>
        <v/>
      </c>
      <c r="OM35">
        <f>$OM$34+--($OL35)</f>
        <v/>
      </c>
      <c r="ON35">
        <f>IF(ROW()-3&gt;MAX($OM$4:$OM$40),"",INDEX($DP$4:$DP$40,MATCH(ROW()-3,$OM$4:$OM$40,0)))</f>
        <v/>
      </c>
      <c r="OO35">
        <f>IF(COUNTIF('Buyer Groups'!DG88:EB88,0)+COUNTIF('Buyer Groups'!ED88:EN88,0)&gt;0,0,1)</f>
        <v/>
      </c>
      <c r="OP35">
        <f>IF($DU$35="",FALSE,SUMPRODUCT(('Final Calculation Sheet'!$W$4:$W$40=$DU$35)*($OO$6:$OO$42=1))&gt;0)</f>
        <v/>
      </c>
      <c r="OQ35">
        <f>$OQ$34+--($OP35)</f>
        <v/>
      </c>
      <c r="OR35">
        <f>IF(ROW()-3&gt;MAX($OQ$4:$OQ$40),"",INDEX($DU$4:$DU$40,MATCH(ROW()-3,$OQ$4:$OQ$40,0)))</f>
        <v/>
      </c>
      <c r="OS35">
        <f>IF(COUNTIF('Buyer Groups'!DG88:EC88,0)+COUNTIF('Buyer Groups'!EE88:EN88,0)&gt;0,0,1)</f>
        <v/>
      </c>
      <c r="OT35">
        <f>IF($DZ$35="",FALSE,SUMPRODUCT(('Final Calculation Sheet'!$X$4:$X$40=$DZ$35)*($OS$6:$OS$42=1))&gt;0)</f>
        <v/>
      </c>
      <c r="OU35">
        <f>$OU$34+--($OT35)</f>
        <v/>
      </c>
      <c r="OV35">
        <f>IF(ROW()-3&gt;MAX($OU$4:$OU$40),"",INDEX($DZ$4:$DZ$40,MATCH(ROW()-3,$OU$4:$OU$40,0)))</f>
        <v/>
      </c>
      <c r="OW35">
        <f>IF(COUNTIF('Buyer Groups'!DG88:ED88,0)+COUNTIF('Buyer Groups'!EF88:EN88,0)&gt;0,0,1)</f>
        <v/>
      </c>
      <c r="OX35">
        <f>IF($EE$35="",FALSE,SUMPRODUCT(('Final Calculation Sheet'!$Y$4:$Y$40=$EE$35)*($OW$6:$OW$42=1))&gt;0)</f>
        <v/>
      </c>
      <c r="OY35">
        <f>$OY$34+--($OX35)</f>
        <v/>
      </c>
      <c r="OZ35">
        <f>IF(ROW()-3&gt;MAX($OY$4:$OY$40),"",INDEX($EE$4:$EE$40,MATCH(ROW()-3,$OY$4:$OY$40,0)))</f>
        <v/>
      </c>
      <c r="PA35">
        <f>IF(COUNTIF('Buyer Groups'!DG88:EE88,0)+COUNTIF('Buyer Groups'!EG88:EN88,0)&gt;0,0,1)</f>
        <v/>
      </c>
      <c r="PB35">
        <f>IF($EJ$35="",FALSE,SUMPRODUCT(('Final Calculation Sheet'!$Z$4:$Z$40=$EJ$35)*($PA$6:$PA$42=1))&gt;0)</f>
        <v/>
      </c>
      <c r="PC35">
        <f>$PC$34+--($PB35)</f>
        <v/>
      </c>
      <c r="PD35">
        <f>IF(ROW()-3&gt;MAX($PC$4:$PC$40),"",INDEX($EJ$4:$EJ$40,MATCH(ROW()-3,$PC$4:$PC$40,0)))</f>
        <v/>
      </c>
      <c r="PE35">
        <f>IF(COUNTIF('Buyer Groups'!DG88:EF88,0)+COUNTIF('Buyer Groups'!EH88:EN88,0)&gt;0,0,1)</f>
        <v/>
      </c>
      <c r="PF35">
        <f>IF($EO$35="",FALSE,SUMPRODUCT(('Final Calculation Sheet'!$AA$4:$AA$40=$EO$35)*($PE$6:$PE$42=1))&gt;0)</f>
        <v/>
      </c>
      <c r="PG35">
        <f>$PG$34+--($PF35)</f>
        <v/>
      </c>
      <c r="PH35">
        <f>IF(ROW()-3&gt;MAX($PG$4:$PG$40),"",INDEX($EO$4:$EO$40,MATCH(ROW()-3,$PG$4:$PG$40,0)))</f>
        <v/>
      </c>
      <c r="PI35">
        <f>IF(COUNTIF('Buyer Groups'!DG88:EG88,0)+COUNTIF('Buyer Groups'!EI88:EN88,0)&gt;0,0,1)</f>
        <v/>
      </c>
      <c r="PJ35">
        <f>IF($ET$35="",FALSE,SUMPRODUCT(('Final Calculation Sheet'!$AB$4:$AB$40=$ET$35)*($PI$6:$PI$42=1))&gt;0)</f>
        <v/>
      </c>
      <c r="PK35">
        <f>$PK$34+--($PJ35)</f>
        <v/>
      </c>
      <c r="PL35">
        <f>IF(ROW()-3&gt;MAX($PK$4:$PK$40),"",INDEX($ET$4:$ET$40,MATCH(ROW()-3,$PK$4:$PK$40,0)))</f>
        <v/>
      </c>
      <c r="PM35">
        <f>IF(COUNTIF('Buyer Groups'!DG88:EH88,0)+COUNTIF('Buyer Groups'!EJ88:EN88,0)&gt;0,0,1)</f>
        <v/>
      </c>
      <c r="PN35">
        <f>IF($EY$35="",FALSE,SUMPRODUCT(('Final Calculation Sheet'!$AC$4:$AC$40=$EY$35)*($PM$6:$PM$42=1))&gt;0)</f>
        <v/>
      </c>
      <c r="PO35">
        <f>$PO$34+--($PN35)</f>
        <v/>
      </c>
      <c r="PP35">
        <f>IF(ROW()-3&gt;MAX($PO$4:$PO$40),"",INDEX($EY$4:$EY$40,MATCH(ROW()-3,$PO$4:$PO$40,0)))</f>
        <v/>
      </c>
      <c r="PQ35">
        <f>IF(COUNTIF('Buyer Groups'!DG88:EI88,0)+COUNTIF('Buyer Groups'!EK88:EN88,0)&gt;0,0,1)</f>
        <v/>
      </c>
      <c r="PR35">
        <f>IF($FD$35="",FALSE,SUMPRODUCT(('Final Calculation Sheet'!$AD$4:$AD$40=$FD$35)*($PQ$6:$PQ$42=1))&gt;0)</f>
        <v/>
      </c>
      <c r="PS35">
        <f>$PS$34+--($PR35)</f>
        <v/>
      </c>
      <c r="PT35">
        <f>IF(ROW()-3&gt;MAX($PS$4:$PS$40),"",INDEX($FD$4:$FD$40,MATCH(ROW()-3,$PS$4:$PS$40,0)))</f>
        <v/>
      </c>
      <c r="PU35">
        <f>IF(COUNTIF('Buyer Groups'!DG88:EJ88,0)+COUNTIF('Buyer Groups'!EL88:EN88,0)&gt;0,0,1)</f>
        <v/>
      </c>
      <c r="PV35">
        <f>IF($FX$35="",FALSE,SUMPRODUCT((IF('Final Calculation Sheet'!$AD$4:$AD$40&lt;=5,"SETTLED","OUTSTANDING")=$FX$35)*($PU$6:$PU$42=1))&gt;0)</f>
        <v/>
      </c>
      <c r="PW35">
        <f>$PW$34+--($PV35)</f>
        <v/>
      </c>
      <c r="PX35">
        <f>IF(ROW()-3&gt;MAX($PW$4:$PW$40),"",INDEX($FX$4:$FX$40,MATCH(ROW()-3,$PW$4:$PW$40,0)))</f>
        <v/>
      </c>
      <c r="PY35">
        <f>IF(COUNTIF('Buyer Groups'!DG88:EK88,0)+COUNTIF('Buyer Groups'!EM88:EN88,0)&gt;0,0,1)</f>
        <v/>
      </c>
      <c r="PZ35">
        <f>IF($FI$35="",FALSE,SUMPRODUCT(('Final Calculation Sheet'!$AF$4:$AF$40=$FI$35)*($PY$6:$PY$42=1))&gt;0)</f>
        <v/>
      </c>
      <c r="QA35">
        <f>$QA$34+--($PZ35)</f>
        <v/>
      </c>
      <c r="QB35">
        <f>IF(ROW()-3&gt;MAX($QA$4:$QA$40),"",INDEX($FI$4:$FI$40,MATCH(ROW()-3,$QA$4:$QA$40,0)))</f>
        <v/>
      </c>
      <c r="QC35">
        <f>IF(COUNTIF('Buyer Groups'!DG88:EL88,0)+COUNTIF('Buyer Groups'!EN88:EN88,0)&gt;0,0,1)</f>
        <v/>
      </c>
      <c r="QD35">
        <f>IF($FN$35="",FALSE,SUMPRODUCT(('Final Calculation Sheet'!$AG$4:$AG$40=$FN$35)*($QC$6:$QC$42=1))&gt;0)</f>
        <v/>
      </c>
      <c r="QE35">
        <f>$QE$34+--($QD35)</f>
        <v/>
      </c>
      <c r="QF35">
        <f>IF(ROW()-3&gt;MAX($QE$4:$QE$40),"",INDEX($FN$4:$FN$40,MATCH(ROW()-3,$QE$4:$QE$40,0)))</f>
        <v/>
      </c>
      <c r="QG35">
        <f>IF(COUNTIF('Buyer Groups'!DG88:EM88,0)&gt;0,0,1)</f>
        <v/>
      </c>
      <c r="QH35">
        <f>IF($FS$35="",FALSE,SUMPRODUCT(('Final Calculation Sheet'!$AH$4:$AH$40=$FS$35)*($QG$6:$QG$42=1))&gt;0)</f>
        <v/>
      </c>
      <c r="QI35">
        <f>$QI$34+--($QH35)</f>
        <v/>
      </c>
      <c r="QJ35">
        <f>IF(ROW()-3&gt;MAX($QI$4:$QI$40),"",INDEX($FS$4:$FS$40,MATCH(ROW()-3,$QI$4:$QI$40,0)))</f>
        <v/>
      </c>
      <c r="QK35" t="str">
        <f>IF('Final Calculation Sheet'!$AH$35="","",'Final Calculation Sheet'!$AH$35)</f>
      </c>
      <c r="QL35" t="str">
        <f>IF(QK35="","",COUNTIFS(QK$4:QK$40,"&lt;"&amp;QK35,QK$4:QK$40,"&lt;&gt;"&amp;"")+COUNTIF(QK$4:QK35,QK35))</f>
      </c>
      <c r="QM35" t="str">
        <f>IF(ROW()-3&gt;COUNTIF(QK$4:QK$40,"&lt;&gt;"&amp;""),"",INDEX(QK$4:QK$40,MATCH(ROW()-3,QL$4:QL$40,0)))</f>
      </c>
      <c r="QN35" t="str">
        <f>=QN34+F(AND(QM35&lt;&gt;"",COUNTIF(QM$4:QM35,QM35)=1),1,0)</f>
      </c>
      <c r="QO35" t="str">
        <f>IF(ROW()-3&gt;MAX(QN$4:QN$40),"",INDEX(QM$4:QM$40,MATCH(ROW()-3,QN$4:QN$40,0)))</f>
      </c>
      <c r="QP35" t="str">
        <f>IF(COUNTIF('Final Calculation Sheet'!$AM35:$BS35,0)&gt;0,0,1)</f>
      </c>
      <c r="QQ35" t="str">
        <f>IF($AI$35="",FALSE,SUMPRODUCT(('Final Calculation Sheet'!$A$4:$A$40=$AI$35)*($QP$4:$QP$40=1))&gt;0)</f>
      </c>
      <c r="QR35" t="str">
        <f>=$QR34+--($QQ35)</f>
      </c>
      <c r="QS35" t="str">
        <f>IF(ROW()-3&gt;MAX($QR$4:$QR$40),"",INDEX($AI$4:$AI$40,MATCH(ROW()-3,$QR$4:$QR$40,0)))</f>
      </c>
      <c r="QT35" t="str">
        <f>IF(COUNTIF('Final Calculation Sheet'!$AL35:$AL35,0)+COUNTIF('Final Calculation Sheet'!$AN35:$BS35,0)&gt;0,0,1)</f>
      </c>
      <c r="QU35" t="str">
        <f>IF($Y$35="",FALSE,SUMPRODUCT(('Final Calculation Sheet'!$B$4:$B$40=$Y$35)*($QT$4:$QT$40=1))&gt;0)</f>
      </c>
      <c r="QV35" t="str">
        <f>=$QV34+--($QU35)</f>
      </c>
      <c r="QW35" t="str">
        <f>IF(ROW()-3&gt;MAX($QV$4:$QV$40),"",INDEX($Y$4:$Y$40,MATCH(ROW()-3,$QV$4:$QV$40,0)))</f>
      </c>
      <c r="QX35" t="str">
        <f>IF(COUNTIF('Final Calculation Sheet'!$AL35:$AM35,0)+COUNTIF('Final Calculation Sheet'!$AO35:$BS35,0)&gt;0,0,1)</f>
      </c>
      <c r="QY35" t="str">
        <f>IF($AS$35="",FALSE,SUMPRODUCT(('Final Calculation Sheet'!$C$4:$C$40=$AS$35)*($QX$4:$QX$40=1))&gt;0)</f>
      </c>
      <c r="QZ35" t="str">
        <f>=$QZ34+--($QY35)</f>
      </c>
      <c r="RA35" t="str">
        <f>IF(ROW()-3&gt;MAX($QZ$4:$QZ$40),"",INDEX($AS$4:$AS$40,MATCH(ROW()-3,$QZ$4:$QZ$40,0)))</f>
      </c>
      <c r="RB35" t="str">
        <f>IF(COUNTIF('Final Calculation Sheet'!$AL35:$AN35,0)+COUNTIF('Final Calculation Sheet'!$AP35:$BS35,0)&gt;0,0,1)</f>
      </c>
      <c r="RC35" t="str">
        <f>IF($AD$35="",FALSE,SUMPRODUCT(('Final Calculation Sheet'!$D$4:$D$40=$AD$35)*($RB$4:$RB$40=1))&gt;0)</f>
      </c>
      <c r="RD35" t="str">
        <f>=$RD34+--($RC35)</f>
      </c>
      <c r="RE35" t="str">
        <f>IF(ROW()-3&gt;MAX($RD$4:$RD$40),"",INDEX($AD$4:$AD$40,MATCH(ROW()-3,$RD$4:$RD$40,0)))</f>
      </c>
      <c r="RF35" t="str">
        <f>IF(COUNTIF('Final Calculation Sheet'!$AL35:$AO35,0)+COUNTIF('Final Calculation Sheet'!$AQ35:$BS35,0)&gt;0,0,1)</f>
      </c>
      <c r="RG35" t="str">
        <f>IF($AN$35="",FALSE,SUMPRODUCT(('Final Calculation Sheet'!$E$4:$E$40=$AN$35)*($RF$4:$RF$40=1))&gt;0)</f>
      </c>
      <c r="RH35" t="str">
        <f>=$RH34+--($RG35)</f>
      </c>
      <c r="RI35" t="str">
        <f>IF(ROW()-3&gt;MAX($RH$4:$RH$40),"",INDEX($AN$4:$AN$40,MATCH(ROW()-3,$RH$4:$RH$40,0)))</f>
      </c>
      <c r="RJ35" t="str">
        <f>IF(COUNTIF('Final Calculation Sheet'!$AL35:$AP35,0)+COUNTIF('Final Calculation Sheet'!$AR35:$BS35,0)&gt;0,0,1)</f>
      </c>
      <c r="RK35" t="str">
        <f>IF($O$35="",FALSE,SUMPRODUCT(('Final Calculation Sheet'!$F$4:$F$40=$O$35)*($RJ$4:$RJ$40=1))&gt;0)</f>
      </c>
      <c r="RL35" t="str">
        <f>=$RL34+--($RK35)</f>
      </c>
      <c r="RM35" t="str">
        <f>IF(ROW()-3&gt;MAX($RL$4:$RL$40),"",INDEX($O$4:$O$40,MATCH(ROW()-3,$RL$4:$RL$40,0)))</f>
      </c>
      <c r="RN35" t="str">
        <f>IF(COUNTIF('Final Calculation Sheet'!$AL35:$AQ35,0)+COUNTIF('Final Calculation Sheet'!$AS35:$BS35,0)&gt;0,0,1)</f>
      </c>
      <c r="RO35" t="str">
        <f>IF($T$35="",FALSE,SUMPRODUCT(('Final Calculation Sheet'!$G$4:$G$40=$T$35)*($RN$4:$RN$40=1))&gt;0)</f>
      </c>
      <c r="RP35" t="str">
        <f>=$RP34+--($RO35)</f>
      </c>
      <c r="RQ35" t="str">
        <f>IF(ROW()-3&gt;MAX($RP$4:$RP$40),"",INDEX($T$4:$T$40,MATCH(ROW()-3,$RP$4:$RP$40,0)))</f>
      </c>
      <c r="RR35" t="str">
        <f>IF(COUNTIF('Final Calculation Sheet'!$AL35:$AR35,0)+COUNTIF('Final Calculation Sheet'!$AT35:$BS35,0)&gt;0,0,1)</f>
      </c>
      <c r="RS35" t="str">
        <f>IF($AX$35="",FALSE,SUMPRODUCT(('Final Calculation Sheet'!$H$4:$H$40=$AX$35)*($RR$4:$RR$40=1))&gt;0)</f>
      </c>
      <c r="RT35" t="str">
        <f>=$RT34+--($RS35)</f>
      </c>
      <c r="RU35" t="str">
        <f>IF(ROW()-3&gt;MAX($RT$4:$RT$40),"",INDEX($AX$4:$AX$40,MATCH(ROW()-3,$RT$4:$RT$40,0)))</f>
      </c>
      <c r="RV35" t="str">
        <f>IF(COUNTIF('Final Calculation Sheet'!$AL35:$AS35,0)+COUNTIF('Final Calculation Sheet'!$AU35:$BS35,0)&gt;0,0,1)</f>
      </c>
      <c r="RW35" t="str">
        <f>IF($BC$35="",FALSE,SUMPRODUCT(('Final Calculation Sheet'!$I$4:$I$40=$BC$35)*($RV$4:$RV$40=1))&gt;0)</f>
      </c>
      <c r="RX35" t="str">
        <f>=$RX34+--($RW35)</f>
      </c>
      <c r="RY35" t="str">
        <f>IF(ROW()-3&gt;MAX($RX$4:$RX$40),"",INDEX($BC$4:$BC$40,MATCH(ROW()-3,$RX$4:$RX$40,0)))</f>
      </c>
      <c r="RZ35" t="str">
        <f>IF(COUNTIF('Final Calculation Sheet'!$AL35:$AT35,0)+COUNTIF('Final Calculation Sheet'!$AV35:$BS35,0)&gt;0,0,1)</f>
      </c>
      <c r="SA35" t="str">
        <f>IF($BH$35="",FALSE,SUMPRODUCT(('Final Calculation Sheet'!$J$4:$J$40=$BH$35)*($RZ$4:$RZ$40=1))&gt;0)</f>
      </c>
      <c r="SB35" t="str">
        <f>=$SB34+--($SA35)</f>
      </c>
      <c r="SC35" t="str">
        <f>IF(ROW()-3&gt;MAX($SB$4:$SB$40),"",INDEX($BH$4:$BH$40,MATCH(ROW()-3,$SB$4:$SB$40,0)))</f>
      </c>
      <c r="SD35" t="str">
        <f>IF(COUNTIF('Final Calculation Sheet'!$AL35:$AU35,0)+COUNTIF('Final Calculation Sheet'!$AW35:$BS35,0)&gt;0,0,1)</f>
      </c>
      <c r="SE35" t="str">
        <f>IF($BM$35="",FALSE,SUMPRODUCT(('Final Calculation Sheet'!$K$4:$K$40=$BM$35)*($SD$4:$SD$40=1))&gt;0)</f>
      </c>
      <c r="SF35" t="str">
        <f>=$SF34+--($SE35)</f>
      </c>
      <c r="SG35" t="str">
        <f>IF(ROW()-3&gt;MAX($SF$4:$SF$40),"",INDEX($BM$4:$BM$40,MATCH(ROW()-3,$SF$4:$SF$40,0)))</f>
      </c>
      <c r="SH35" t="str">
        <f>IF(COUNTIF('Final Calculation Sheet'!$AL35:$AV35,0)+COUNTIF('Final Calculation Sheet'!$AX35:$BS35,0)&gt;0,0,1)</f>
      </c>
      <c r="SI35" t="str">
        <f>IF($BR$35="",FALSE,SUMPRODUCT(('Final Calculation Sheet'!$L$4:$L$40=$BR$35)*($SH$4:$SH$40=1))&gt;0)</f>
      </c>
      <c r="SJ35" t="str">
        <f>=$SJ34+--($SI35)</f>
      </c>
      <c r="SK35" t="str">
        <f>IF(ROW()-3&gt;MAX($SJ$4:$SJ$40),"",INDEX($BR$4:$BR$40,MATCH(ROW()-3,$SJ$4:$SJ$40,0)))</f>
      </c>
      <c r="SL35" t="str">
        <f>IF(COUNTIF('Final Calculation Sheet'!$AL35:$AW35,0)+COUNTIF('Final Calculation Sheet'!$AY35:$BS35,0)&gt;0,0,1)</f>
      </c>
      <c r="SM35" t="str">
        <f>IF($BW$35="",FALSE,SUMPRODUCT(('Final Calculation Sheet'!$M$4:$M$40=$BW$35)*($SL$4:$SL$40=1))&gt;0)</f>
      </c>
      <c r="SN35" t="str">
        <f>=$SN34+--($SM35)</f>
      </c>
      <c r="SO35" t="str">
        <f>IF(ROW()-3&gt;MAX($SN$4:$SN$40),"",INDEX($BW$4:$BW$40,MATCH(ROW()-3,$SN$4:$SN$40,0)))</f>
      </c>
      <c r="SP35" t="str">
        <f>IF(COUNTIF('Final Calculation Sheet'!$AL35:$AX35,0)+COUNTIF('Final Calculation Sheet'!$AZ35:$BS35,0)&gt;0,0,1)</f>
      </c>
      <c r="SQ35" t="str">
        <f>IF($CB$35="",FALSE,SUMPRODUCT(('Final Calculation Sheet'!$N$4:$N$40=$CB$35)*($SP$4:$SP$40=1))&gt;0)</f>
      </c>
      <c r="SR35" t="str">
        <f>=$SR34+--($SQ35)</f>
      </c>
      <c r="SS35" t="str">
        <f>IF(ROW()-3&gt;MAX($SR$4:$SR$40),"",INDEX($CB$4:$CB$40,MATCH(ROW()-3,$SR$4:$SR$40,0)))</f>
      </c>
      <c r="ST35" t="str">
        <f>IF(COUNTIF('Final Calculation Sheet'!$AL35:$AY35,0)+COUNTIF('Final Calculation Sheet'!$BA35:$BS35,0)&gt;0,0,1)</f>
      </c>
      <c r="SU35" t="str">
        <f>IF($CG$35="",FALSE,SUMPRODUCT(('Final Calculation Sheet'!$O$4:$O$40=$CG$35)*($ST$4:$ST$40=1))&gt;0)</f>
      </c>
      <c r="SV35" t="str">
        <f>=$SV34+--($SU35)</f>
      </c>
      <c r="SW35" t="str">
        <f>IF(ROW()-3&gt;MAX($SV$4:$SV$40),"",INDEX($CG$4:$CG$40,MATCH(ROW()-3,$SV$4:$SV$40,0)))</f>
      </c>
      <c r="SX35" t="str">
        <f>IF(COUNTIF('Final Calculation Sheet'!$AL35:$AZ35,0)+COUNTIF('Final Calculation Sheet'!$BB35:$BS35,0)&gt;0,0,1)</f>
      </c>
      <c r="SY35" t="str">
        <f>IF($CL$35="",FALSE,SUMPRODUCT(('Final Calculation Sheet'!$P$4:$P$40=$CL$35)*($SX$4:$SX$40=1))&gt;0)</f>
      </c>
      <c r="SZ35" t="str">
        <f>=$SZ34+--($SY35)</f>
      </c>
      <c r="TA35" t="str">
        <f>IF(ROW()-3&gt;MAX($SZ$4:$SZ$40),"",INDEX($CL$4:$CL$40,MATCH(ROW()-3,$SZ$4:$SZ$40,0)))</f>
      </c>
      <c r="TB35" t="str">
        <f>IF(COUNTIF('Final Calculation Sheet'!$AL35:$BA35,0)+COUNTIF('Final Calculation Sheet'!$BC35:$BS35,0)&gt;0,0,1)</f>
      </c>
      <c r="TC35" t="str">
        <f>IF($CQ$35="",FALSE,SUMPRODUCT(('Final Calculation Sheet'!$Q$4:$Q$40=$CQ$35)*($TB$4:$TB$40=1))&gt;0)</f>
      </c>
      <c r="TD35" t="str">
        <f>=$TD34+--($TC35)</f>
      </c>
      <c r="TE35" t="str">
        <f>IF(ROW()-3&gt;MAX($TD$4:$TD$40),"",INDEX($CQ$4:$CQ$40,MATCH(ROW()-3,$TD$4:$TD$40,0)))</f>
      </c>
      <c r="TF35" t="str">
        <f>IF(COUNTIF('Final Calculation Sheet'!$AL35:$BB35,0)+COUNTIF('Final Calculation Sheet'!$BD35:$BS35,0)&gt;0,0,1)</f>
      </c>
      <c r="TG35" t="str">
        <f>IF($CV$35="",FALSE,SUMPRODUCT(('Final Calculation Sheet'!$R$4:$R$40=$CV$35)*($TF$4:$TF$40=1))&gt;0)</f>
      </c>
      <c r="TH35" t="str">
        <f>=$TH34+--($TG35)</f>
      </c>
      <c r="TI35" t="str">
        <f>IF(ROW()-3&gt;MAX($TH$4:$TH$40),"",INDEX($CV$4:$CV$40,MATCH(ROW()-3,$TH$4:$TH$40,0)))</f>
      </c>
      <c r="TJ35" t="str">
        <f>IF(COUNTIF('Final Calculation Sheet'!$AL35:$BC35,0)+COUNTIF('Final Calculation Sheet'!$BE35:$BS35,0)&gt;0,0,1)</f>
      </c>
      <c r="TK35" t="str">
        <f>IF($DA$35="",FALSE,SUMPRODUCT(('Final Calculation Sheet'!$S$4:$S$40=$DA$35)*($TJ$4:$TJ$40=1))&gt;0)</f>
      </c>
      <c r="TL35" t="str">
        <f>=$TL34+--($TK35)</f>
      </c>
      <c r="TM35" t="str">
        <f>IF(ROW()-3&gt;MAX($TL$4:$TL$40),"",INDEX($DA$4:$DA$40,MATCH(ROW()-3,$TL$4:$TL$40,0)))</f>
      </c>
      <c r="TN35" t="str">
        <f>IF(COUNTIF('Final Calculation Sheet'!$AL35:$BD35,0)+COUNTIF('Final Calculation Sheet'!$BF35:$BS35,0)&gt;0,0,1)</f>
      </c>
      <c r="TO35" t="str">
        <f>IF($DF$35="",FALSE,SUMPRODUCT(('Final Calculation Sheet'!$T$4:$T$40=$DF$35)*($TN$4:$TN$40=1))&gt;0)</f>
      </c>
      <c r="TP35" t="str">
        <f>=$TP34+--($TO35)</f>
      </c>
      <c r="TQ35" t="str">
        <f>IF(ROW()-3&gt;MAX($TP$4:$TP$40),"",INDEX($DF$4:$DF$40,MATCH(ROW()-3,$TP$4:$TP$40,0)))</f>
      </c>
      <c r="TR35" t="str">
        <f>IF(COUNTIF('Final Calculation Sheet'!$AL35:$BE35,0)+COUNTIF('Final Calculation Sheet'!$BG35:$BS35,0)&gt;0,0,1)</f>
      </c>
      <c r="TS35" t="str">
        <f>IF($DK$35="",FALSE,SUMPRODUCT(('Final Calculation Sheet'!$U$4:$U$40=$DK$35)*($TR$4:$TR$40=1))&gt;0)</f>
      </c>
      <c r="TT35" t="str">
        <f>=$TT34+--($TS35)</f>
      </c>
      <c r="TU35" t="str">
        <f>IF(ROW()-3&gt;MAX($TT$4:$TT$40),"",INDEX($DK$4:$DK$40,MATCH(ROW()-3,$TT$4:$TT$40,0)))</f>
      </c>
      <c r="TV35" t="str">
        <f>IF(COUNTIF('Final Calculation Sheet'!$AL35:$BF35,0)+COUNTIF('Final Calculation Sheet'!$BH35:$BS35,0)&gt;0,0,1)</f>
      </c>
      <c r="TW35" t="str">
        <f>IF($DP$35="",FALSE,SUMPRODUCT(('Final Calculation Sheet'!$V$4:$V$40=$DP$35)*($TV$4:$TV$40=1))&gt;0)</f>
      </c>
      <c r="TX35" t="str">
        <f>=$TX34+--($TW35)</f>
      </c>
      <c r="TY35" t="str">
        <f>IF(ROW()-3&gt;MAX($TX$4:$TX$40),"",INDEX($DP$4:$DP$40,MATCH(ROW()-3,$TX$4:$TX$40,0)))</f>
      </c>
      <c r="TZ35" t="str">
        <f>IF(COUNTIF('Final Calculation Sheet'!$AL35:$BG35,0)+COUNTIF('Final Calculation Sheet'!$BI35:$BS35,0)&gt;0,0,1)</f>
      </c>
      <c r="UA35" t="str">
        <f>IF($DU$35="",FALSE,SUMPRODUCT(('Final Calculation Sheet'!$W$4:$W$40=$DU$35)*($TZ$4:$TZ$40=1))&gt;0)</f>
      </c>
      <c r="UB35" t="str">
        <f>=$UB34+--($UA35)</f>
      </c>
      <c r="UC35" t="str">
        <f>IF(ROW()-3&gt;MAX($UB$4:$UB$40),"",INDEX($DU$4:$DU$40,MATCH(ROW()-3,$UB$4:$UB$40,0)))</f>
      </c>
      <c r="UD35" t="str">
        <f>IF(COUNTIF('Final Calculation Sheet'!$AL35:$BH35,0)+COUNTIF('Final Calculation Sheet'!$BJ35:$BS35,0)&gt;0,0,1)</f>
      </c>
      <c r="UE35" t="str">
        <f>IF($DZ$35="",FALSE,SUMPRODUCT(('Final Calculation Sheet'!$X$4:$X$40=$DZ$35)*($UD$4:$UD$40=1))&gt;0)</f>
      </c>
      <c r="UF35" t="str">
        <f>=$UF34+--($UE35)</f>
      </c>
      <c r="UG35" t="str">
        <f>IF(ROW()-3&gt;MAX($UF$4:$UF$40),"",INDEX($DZ$4:$DZ$40,MATCH(ROW()-3,$UF$4:$UF$40,0)))</f>
      </c>
      <c r="UH35" t="str">
        <f>IF(COUNTIF('Final Calculation Sheet'!$AL35:$BI35,0)+COUNTIF('Final Calculation Sheet'!$BK35:$BS35,0)&gt;0,0,1)</f>
      </c>
      <c r="UI35" t="str">
        <f>IF($EE$35="",FALSE,SUMPRODUCT(('Final Calculation Sheet'!$Y$4:$Y$40=$EE$35)*($UH$4:$UH$40=1))&gt;0)</f>
      </c>
      <c r="UJ35" t="str">
        <f>=$UJ34+--($UI35)</f>
      </c>
      <c r="UK35" t="str">
        <f>IF(ROW()-3&gt;MAX($UJ$4:$UJ$40),"",INDEX($EE$4:$EE$40,MATCH(ROW()-3,$UJ$4:$UJ$40,0)))</f>
      </c>
      <c r="UL35" t="str">
        <f>IF(COUNTIF('Final Calculation Sheet'!$AL35:$BJ35,0)+COUNTIF('Final Calculation Sheet'!$BL35:$BS35,0)&gt;0,0,1)</f>
      </c>
      <c r="UM35" t="str">
        <f>IF($EJ$35="",FALSE,SUMPRODUCT(('Final Calculation Sheet'!$Z$4:$Z$40=$EJ$35)*($UL$4:$UL$40=1))&gt;0)</f>
      </c>
      <c r="UN35" t="str">
        <f>=$UN34+--($UM35)</f>
      </c>
      <c r="UO35" t="str">
        <f>IF(ROW()-3&gt;MAX($UN$4:$UN$40),"",INDEX($EJ$4:$EJ$40,MATCH(ROW()-3,$UN$4:$UN$40,0)))</f>
      </c>
      <c r="UP35" t="str">
        <f>IF(COUNTIF('Final Calculation Sheet'!$AL35:$BK35,0)+COUNTIF('Final Calculation Sheet'!$BM35:$BS35,0)&gt;0,0,1)</f>
      </c>
      <c r="UQ35" t="str">
        <f>IF($EO$35="",FALSE,SUMPRODUCT(('Final Calculation Sheet'!$AA$4:$AA$40=$EO$35)*($UP$4:$UP$40=1))&gt;0)</f>
      </c>
      <c r="UR35" t="str">
        <f>=$UR34+--($UQ35)</f>
      </c>
      <c r="US35" t="str">
        <f>IF(ROW()-3&gt;MAX($UR$4:$UR$40),"",INDEX($EO$4:$EO$40,MATCH(ROW()-3,$UR$4:$UR$40,0)))</f>
      </c>
      <c r="UT35" t="str">
        <f>IF(COUNTIF('Final Calculation Sheet'!$AL35:$BL35,0)+COUNTIF('Final Calculation Sheet'!$BN35:$BS35,0)&gt;0,0,1)</f>
      </c>
      <c r="UU35" t="str">
        <f>IF($ET$35="",FALSE,SUMPRODUCT(('Final Calculation Sheet'!$AB$4:$AB$40=$ET$35)*($UT$4:$UT$40=1))&gt;0)</f>
      </c>
      <c r="UV35" t="str">
        <f>=$UV34+--($UU35)</f>
      </c>
      <c r="UW35" t="str">
        <f>IF(ROW()-3&gt;MAX($UV$4:$UV$40),"",INDEX($ET$4:$ET$40,MATCH(ROW()-3,$UV$4:$UV$40,0)))</f>
      </c>
      <c r="UX35" t="str">
        <f>IF(COUNTIF('Final Calculation Sheet'!$AL35:$BM35,0)+COUNTIF('Final Calculation Sheet'!$BO35:$BS35,0)&gt;0,0,1)</f>
      </c>
      <c r="UY35" t="str">
        <f>IF($EY$35="",FALSE,SUMPRODUCT(('Final Calculation Sheet'!$AC$4:$AC$40=$EY$35)*($UX$4:$UX$40=1))&gt;0)</f>
      </c>
      <c r="UZ35" t="str">
        <f>=$UZ34+--($UY35)</f>
      </c>
      <c r="VA35" t="str">
        <f>IF(ROW()-3&gt;MAX($UZ$4:$UZ$40),"",INDEX($EY$4:$EY$40,MATCH(ROW()-3,$UZ$4:$UZ$40,0)))</f>
      </c>
      <c r="VB35" t="str">
        <f>IF(COUNTIF('Final Calculation Sheet'!$AL35:$BN35,0)+COUNTIF('Final Calculation Sheet'!$BP35:$BS35,0)&gt;0,0,1)</f>
      </c>
      <c r="VC35" t="str">
        <f>IF($FD$35="",FALSE,SUMPRODUCT(('Final Calculation Sheet'!$AD$4:$AD$40=$FD$35)*($VB$4:$VB$40=1))&gt;0)</f>
      </c>
      <c r="VD35" t="str">
        <f>=$VD34+--($VC35)</f>
      </c>
      <c r="VE35" t="str">
        <f>IF(ROW()-3&gt;MAX($VD$4:$VD$40),"",INDEX($FD$4:$FD$40,MATCH(ROW()-3,$VD$4:$VD$40,0)))</f>
      </c>
      <c r="VF35" t="str">
        <f>IF(COUNTIF('Final Calculation Sheet'!$AL35:$BO35,0)+COUNTIF('Final Calculation Sheet'!$BQ35:$BS35,0)&gt;0,0,1)</f>
      </c>
      <c r="VG35" t="str">
        <f>IF($FI$35="",FALSE,SUMPRODUCT(('Final Calculation Sheet'!$AE$4:$AE$40=$FI$35)*($VF$4:$VF$40=1))&gt;0)</f>
      </c>
      <c r="VH35" t="str">
        <f>=$VH34+--($VG35)</f>
      </c>
      <c r="VI35" t="str">
        <f>IF(ROW()-3&gt;MAX($VH$4:$VH$40),"",INDEX($FI$4:$FI$40,MATCH(ROW()-3,$VH$4:$VH$40,0)))</f>
      </c>
      <c r="VJ35" t="str">
        <f>IF(COUNTIF('Final Calculation Sheet'!$AL35:$BP35,0)+COUNTIF('Final Calculation Sheet'!$BR35:$BS35,0)&gt;0,0,1)</f>
      </c>
      <c r="VK35" t="str">
        <f>IF($FN$35="",FALSE,SUMPRODUCT(('Final Calculation Sheet'!$AF$4:$AF$40=$FN$35)*($VJ$4:$VJ$40=1))&gt;0)</f>
      </c>
      <c r="VL35" t="str">
        <f>=$VL34+--($VK35)</f>
      </c>
      <c r="VM35" t="str">
        <f>IF(ROW()-3&gt;MAX($VL$4:$VL$40),"",INDEX($FN$4:$FN$40,MATCH(ROW()-3,$VL$4:$VL$40,0)))</f>
      </c>
      <c r="VN35" t="str">
        <f>IF(COUNTIF('Final Calculation Sheet'!$AL35:$BQ35,0)+COUNTIF('Final Calculation Sheet'!$BS35:$BS35,0)&gt;0,0,1)</f>
      </c>
      <c r="VO35" t="str">
        <f>IF($FS$35="",FALSE,SUMPRODUCT(('Final Calculation Sheet'!$AG$4:$AG$40=$FS$35)*($VN$4:$VN$40=1))&gt;0)</f>
      </c>
      <c r="VP35" t="str">
        <f>=$VP34+--($VO35)</f>
      </c>
      <c r="VQ35" t="str">
        <f>IF(ROW()-3&gt;MAX($VP$4:$VP$40),"",INDEX($FS$4:$FS$40,MATCH(ROW()-3,$VP$4:$VP$40,0)))</f>
      </c>
      <c r="VR35" t="str">
        <f>IF(COUNTIF('Final Calculation Sheet'!$AL35:$BR35,0)&gt;0,0,1)</f>
      </c>
      <c r="VS35" t="str">
        <f>IF($QO$35="",FALSE,SUMPRODUCT(('Final Calculation Sheet'!$AH$4:$AH$40=$QO$35)*($VR$4:$VR$40=1))&gt;0)</f>
      </c>
      <c r="VT35" t="str">
        <f>=$VT34+--($VS35)</f>
      </c>
      <c r="VU35" t="str">
        <f>IF(ROW()-3&gt;MAX($VT$4:$VT$40),"",INDEX($QO$4:$QO$40,MATCH(ROW()-3,$VT$4:$VT$40,0)))</f>
      </c>
    </row>
    <row r="36">
      <c r="A36">
        <f>IF('Final Calculation Sheet'!$F$36="","",'Final Calculation Sheet'!$F$36)</f>
        <v/>
      </c>
      <c r="B36">
        <f>IF(A36="","",COUNTIFS(A$4:A$114,"&lt;"&amp;A36,A$4:A$114,"&lt;&gt;"&amp;"")+COUNTIF(A$4:A36,A36))</f>
        <v/>
      </c>
      <c r="C36">
        <f>IF(ROW()-3&gt;COUNTIF(A$4:A$114,"&lt;&gt;"&amp;""),"",INDEX(A$4:A$114,MATCH(ROW()-3,B$4:B$114,0)))</f>
        <v/>
      </c>
      <c r="D36">
        <f>D35+IF(AND(C36&lt;&gt;"",COUNTIF(C$4:C36,C36)=1),1,0)</f>
        <v/>
      </c>
      <c r="E36">
        <f>IF(ROW()-3&gt;MAX(D$4:D$114),"",INDEX(C$4:C$114,MATCH(ROW()-3,D$4:D$114,0)))</f>
        <v/>
      </c>
      <c r="F36">
        <f>ROW()-3</f>
        <v/>
      </c>
      <c r="G36">
        <f>IF(F36="","",COUNTIFS(F$4:F$40,"&lt;"&amp;F36,F$4:F$40,"&lt;&gt;"&amp;"")+COUNTIF(F$4:F36,F36))</f>
        <v/>
      </c>
      <c r="H36">
        <f>IF(ROW()-3&gt;COUNTIF(F$4:F$40,"&lt;&gt;"&amp;""),"",INDEX(F$4:F$40,MATCH(ROW()-3,G$4:G$40,0)))</f>
        <v/>
      </c>
      <c r="I36">
        <f>I35+IF(AND(H36&lt;&gt;"",COUNTIF(H$4:H36,H36)=1),1,0)</f>
        <v/>
      </c>
      <c r="J36">
        <f>IF(ROW()-3&gt;MAX(I$4:I$40),"",INDEX(H$4:H$40,MATCH(ROW()-3,I$4:I$40,0)))</f>
        <v/>
      </c>
      <c r="K36">
        <f>IF('Final Calculation Sheet'!$F$36="","",'Final Calculation Sheet'!$F$36)</f>
        <v/>
      </c>
      <c r="L36">
        <f>IF(K36="","",COUNTIFS(K$4:K$40,"&lt;"&amp;K36,K$4:K$40,"&lt;&gt;"&amp;"")+COUNTIF(K$4:K36,K36))</f>
        <v/>
      </c>
      <c r="M36">
        <f>IF(ROW()-3&gt;COUNTIF(K$4:K$40,"&lt;&gt;"&amp;""),"",INDEX(K$4:K$40,MATCH(ROW()-3,L$4:L$40,0)))</f>
        <v/>
      </c>
      <c r="N36">
        <f>N35+IF(AND(M36&lt;&gt;"",COUNTIF(M$4:M36,M36)=1),1,0)</f>
        <v/>
      </c>
      <c r="O36">
        <f>IF(ROW()-3&gt;MAX(N$4:N$40),"",INDEX(M$4:M$40,MATCH(ROW()-3,N$4:N$40,0)))</f>
        <v/>
      </c>
      <c r="P36">
        <f>IF('Final Calculation Sheet'!$G$36="","",'Final Calculation Sheet'!$G$36)</f>
        <v/>
      </c>
      <c r="Q36">
        <f>IF(P36="","",COUNTIFS(P$4:P$40,"&lt;"&amp;P36,P$4:P$40,"&lt;&gt;"&amp;"")+COUNTIF(P$4:P36,P36))</f>
        <v/>
      </c>
      <c r="R36">
        <f>IF(ROW()-3&gt;COUNTIF(P$4:P$40,"&lt;&gt;"&amp;""),"",INDEX(P$4:P$40,MATCH(ROW()-3,Q$4:Q$40,0)))</f>
        <v/>
      </c>
      <c r="S36">
        <f>S35+IF(AND(R36&lt;&gt;"",COUNTIF(R$4:R36,R36)=1),1,0)</f>
        <v/>
      </c>
      <c r="T36">
        <f>IF(ROW()-3&gt;MAX(S$4:S$40),"",INDEX(R$4:R$40,MATCH(ROW()-3,S$4:S$40,0)))</f>
        <v/>
      </c>
      <c r="U36">
        <f>IF('Final Calculation Sheet'!$B$36="","",'Final Calculation Sheet'!$B$36)</f>
        <v/>
      </c>
      <c r="V36">
        <f>IF(U36="","",COUNTIFS(U$4:U$40,"&lt;"&amp;U36,U$4:U$40,"&lt;&gt;"&amp;"")+COUNTIF(U$4:U36,U36))</f>
        <v/>
      </c>
      <c r="W36">
        <f>IF(ROW()-3&gt;COUNTIF(U$4:U$40,"&lt;&gt;"&amp;""),"",INDEX(U$4:U$40,MATCH(ROW()-3,V$4:V$40,0)))</f>
        <v/>
      </c>
      <c r="X36">
        <f>X35+IF(AND(W36&lt;&gt;"",COUNTIF(W$4:W36,W36)=1),1,0)</f>
        <v/>
      </c>
      <c r="Y36">
        <f>IF(ROW()-3&gt;MAX(X$4:X$40),"",INDEX(W$4:W$40,MATCH(ROW()-3,X$4:X$40,0)))</f>
        <v/>
      </c>
      <c r="Z36">
        <f>IF('Final Calculation Sheet'!$D$36="","",'Final Calculation Sheet'!$D$36)</f>
        <v/>
      </c>
      <c r="AA36">
        <f>IF(Z36="","",COUNTIFS(Z$4:Z$40,"&lt;"&amp;Z36,Z$4:Z$40,"&lt;&gt;"&amp;"")+COUNTIF(Z$4:Z36,Z36))</f>
        <v/>
      </c>
      <c r="AB36">
        <f>IF(ROW()-3&gt;COUNTIF(Z$4:Z$40,"&lt;&gt;"&amp;""),"",INDEX(Z$4:Z$40,MATCH(ROW()-3,AA$4:AA$40,0)))</f>
        <v/>
      </c>
      <c r="AC36">
        <f>AC35+IF(AND(AB36&lt;&gt;"",COUNTIF(AB$4:AB36,AB36)=1),1,0)</f>
        <v/>
      </c>
      <c r="AD36">
        <f>IF(ROW()-3&gt;MAX(AC$4:AC$40),"",INDEX(AB$4:AB$40,MATCH(ROW()-3,AC$4:AC$40,0)))</f>
        <v/>
      </c>
      <c r="AE36">
        <f>IF('Final Calculation Sheet'!$A$36="","",'Final Calculation Sheet'!$A$36)</f>
        <v/>
      </c>
      <c r="AF36">
        <f>IF(AE36="","",COUNTIFS(AE$4:AE$40,"&lt;"&amp;AE36,AE$4:AE$40,"&lt;&gt;"&amp;"")+COUNTIF(AE$4:AE36,AE36))</f>
        <v/>
      </c>
      <c r="AG36">
        <f>IF(ROW()-3&gt;COUNTIF(AE$4:AE$40,"&lt;&gt;"&amp;""),"",INDEX(AE$4:AE$40,MATCH(ROW()-3,AF$4:AF$40,0)))</f>
        <v/>
      </c>
      <c r="AH36">
        <f>AH35+IF(AND(AG36&lt;&gt;"",COUNTIF(AG$4:AG36,AG36)=1),1,0)</f>
        <v/>
      </c>
      <c r="AI36">
        <f>IF(ROW()-3&gt;MAX(AH$4:AH$40),"",INDEX(AG$4:AG$40,MATCH(ROW()-3,AH$4:AH$40,0)))</f>
        <v/>
      </c>
      <c r="AJ36">
        <f>IF('Final Calculation Sheet'!$E$36="","",'Final Calculation Sheet'!$E$36)</f>
        <v/>
      </c>
      <c r="AK36">
        <f>IF(AJ36="","",COUNTIFS(AJ$4:AJ$40,"&lt;"&amp;AJ36,AJ$4:AJ$40,"&lt;&gt;"&amp;"")+COUNTIF(AJ$4:AJ36,AJ36))</f>
        <v/>
      </c>
      <c r="AL36">
        <f>IF(ROW()-3&gt;COUNTIF(AJ$4:AJ$40,"&lt;&gt;"&amp;""),"",INDEX(AJ$4:AJ$40,MATCH(ROW()-3,AK$4:AK$40,0)))</f>
        <v/>
      </c>
      <c r="AM36">
        <f>AM35+IF(AND(AL36&lt;&gt;"",COUNTIF(AL$4:AL36,AL36)=1),1,0)</f>
        <v/>
      </c>
      <c r="AN36">
        <f>IF(ROW()-3&gt;MAX(AM$4:AM$40),"",INDEX(AL$4:AL$40,MATCH(ROW()-3,AM$4:AM$40,0)))</f>
        <v/>
      </c>
      <c r="AO36" s="55">
        <f>IF('Final Calculation Sheet'!$C$36="","",'Final Calculation Sheet'!$C$36)</f>
        <v/>
      </c>
      <c r="AP36">
        <f>IF(AO36="","",COUNTIFS(AO$4:AO$40,"&lt;"&amp;AO36,AO$4:AO$40,"&lt;&gt;"&amp;"")+COUNTIF(AO$4:AO36,AO36))</f>
        <v/>
      </c>
      <c r="AQ36" s="55">
        <f>IF(ROW()-3&gt;COUNTIF(AO$4:AO$40,"&lt;&gt;"&amp;""),"",INDEX(AO$4:AO$40,MATCH(ROW()-3,AP$4:AP$40,0)))</f>
        <v/>
      </c>
      <c r="AR36">
        <f>AR35+IF(AND(AQ36&lt;&gt;"",COUNTIF(AQ$4:AQ36,AQ36)=1),1,0)</f>
        <v/>
      </c>
      <c r="AS36" s="55">
        <f>IF(ROW()-3&gt;MAX(AR$4:AR$40),"",INDEX(AQ$4:AQ$40,MATCH(ROW()-3,AR$4:AR$40,0)))</f>
        <v/>
      </c>
      <c r="AT36" s="55">
        <f>IF('Final Calculation Sheet'!$H$36="","",'Final Calculation Sheet'!$H$36)</f>
        <v/>
      </c>
      <c r="AU36">
        <f>IF(AT36="","",COUNTIFS(AT$4:AT$40,"&lt;"&amp;AT36,AT$4:AT$40,"&lt;&gt;"&amp;"")+COUNTIF(AT$4:AT36,AT36))</f>
        <v/>
      </c>
      <c r="AV36" s="55">
        <f>IF(ROW()-3&gt;COUNTIF(AT$4:AT$40,"&lt;&gt;"&amp;""),"",INDEX(AT$4:AT$40,MATCH(ROW()-3,AU$4:AU$40,0)))</f>
        <v/>
      </c>
      <c r="AW36">
        <f>AW35+IF(AND(AV36&lt;&gt;"",COUNTIF(AV$4:AV36,AV36)=1),1,0)</f>
        <v/>
      </c>
      <c r="AX36" s="55">
        <f>IF(ROW()-3&gt;MAX(AW$4:AW$40),"",INDEX(AV$4:AV$40,MATCH(ROW()-3,AW$4:AW$40,0)))</f>
        <v/>
      </c>
      <c r="AY36" s="55">
        <f>IF('Final Calculation Sheet'!$I$36="","",'Final Calculation Sheet'!$I$36)</f>
        <v/>
      </c>
      <c r="AZ36">
        <f>IF(AY36="","",COUNTIFS(AY$4:AY$40,"&lt;"&amp;AY36,AY$4:AY$40,"&lt;&gt;"&amp;"")+COUNTIF(AY$4:AY36,AY36))</f>
        <v/>
      </c>
      <c r="BA36" s="55">
        <f>IF(ROW()-3&gt;COUNTIF(AY$4:AY$40,"&lt;&gt;"&amp;""),"",INDEX(AY$4:AY$40,MATCH(ROW()-3,AZ$4:AZ$40,0)))</f>
        <v/>
      </c>
      <c r="BB36">
        <f>BB35+IF(AND(BA36&lt;&gt;"",COUNTIF(BA$4:BA36,BA36)=1),1,0)</f>
        <v/>
      </c>
      <c r="BC36" s="55">
        <f>IF(ROW()-3&gt;MAX(BB$4:BB$40),"",INDEX(BA$4:BA$40,MATCH(ROW()-3,BB$4:BB$40,0)))</f>
        <v/>
      </c>
      <c r="BD36" s="55">
        <f>IF('Final Calculation Sheet'!$J$36="","",'Final Calculation Sheet'!$J$36)</f>
        <v/>
      </c>
      <c r="BE36">
        <f>IF(BD36="","",COUNTIFS(BD$4:BD$40,"&lt;"&amp;BD36,BD$4:BD$40,"&lt;&gt;"&amp;"")+COUNTIF(BD$4:BD36,BD36))</f>
        <v/>
      </c>
      <c r="BF36" s="55">
        <f>IF(ROW()-3&gt;COUNTIF(BD$4:BD$40,"&lt;&gt;"&amp;""),"",INDEX(BD$4:BD$40,MATCH(ROW()-3,BE$4:BE$40,0)))</f>
        <v/>
      </c>
      <c r="BG36">
        <f>BG35+IF(AND(BF36&lt;&gt;"",COUNTIF(BF$4:BF36,BF36)=1),1,0)</f>
        <v/>
      </c>
      <c r="BH36" s="55">
        <f>IF(ROW()-3&gt;MAX(BG$4:BG$40),"",INDEX(BF$4:BF$40,MATCH(ROW()-3,BG$4:BG$40,0)))</f>
        <v/>
      </c>
      <c r="BI36" s="55">
        <f>IF('Final Calculation Sheet'!$K$36="","",'Final Calculation Sheet'!$K$36)</f>
        <v/>
      </c>
      <c r="BJ36">
        <f>IF(BI36="","",COUNTIFS(BI$4:BI$40,"&lt;"&amp;BI36,BI$4:BI$40,"&lt;&gt;"&amp;"")+COUNTIF(BI$4:BI36,BI36))</f>
        <v/>
      </c>
      <c r="BK36" s="55">
        <f>IF(ROW()-3&gt;COUNTIF(BI$4:BI$40,"&lt;&gt;"&amp;""),"",INDEX(BI$4:BI$40,MATCH(ROW()-3,BJ$4:BJ$40,0)))</f>
        <v/>
      </c>
      <c r="BL36">
        <f>BL35+IF(AND(BK36&lt;&gt;"",COUNTIF(BK$4:BK36,BK36)=1),1,0)</f>
        <v/>
      </c>
      <c r="BM36" s="55">
        <f>IF(ROW()-3&gt;MAX(BL$4:BL$40),"",INDEX(BK$4:BK$40,MATCH(ROW()-3,BL$4:BL$40,0)))</f>
        <v/>
      </c>
      <c r="BN36" s="55">
        <f>IF('Final Calculation Sheet'!$L$36="","",'Final Calculation Sheet'!$L$36)</f>
        <v/>
      </c>
      <c r="BO36">
        <f>IF(BN36="","",COUNTIFS(BN$4:BN$40,"&lt;"&amp;BN36,BN$4:BN$40,"&lt;&gt;"&amp;"")+COUNTIF(BN$4:BN36,BN36))</f>
        <v/>
      </c>
      <c r="BP36" s="55">
        <f>IF(ROW()-3&gt;COUNTIF(BN$4:BN$40,"&lt;&gt;"&amp;""),"",INDEX(BN$4:BN$40,MATCH(ROW()-3,BO$4:BO$40,0)))</f>
        <v/>
      </c>
      <c r="BQ36">
        <f>BQ35+IF(AND(BP36&lt;&gt;"",COUNTIF(BP$4:BP36,BP36)=1),1,0)</f>
        <v/>
      </c>
      <c r="BR36" s="55">
        <f>IF(ROW()-3&gt;MAX(BQ$4:BQ$40),"",INDEX(BP$4:BP$40,MATCH(ROW()-3,BQ$4:BQ$40,0)))</f>
        <v/>
      </c>
      <c r="BS36" s="55">
        <f>IF('Final Calculation Sheet'!$M$36="","",'Final Calculation Sheet'!$M$36)</f>
        <v/>
      </c>
      <c r="BT36">
        <f>IF(BS36="","",COUNTIFS(BS$4:BS$40,"&lt;"&amp;BS36,BS$4:BS$40,"&lt;&gt;"&amp;"")+COUNTIF(BS$4:BS36,BS36))</f>
        <v/>
      </c>
      <c r="BU36" s="55">
        <f>IF(ROW()-3&gt;COUNTIF(BS$4:BS$40,"&lt;&gt;"&amp;""),"",INDEX(BS$4:BS$40,MATCH(ROW()-3,BT$4:BT$40,0)))</f>
        <v/>
      </c>
      <c r="BV36">
        <f>BV35+IF(AND(BU36&lt;&gt;"",COUNTIF(BU$4:BU36,BU36)=1),1,0)</f>
        <v/>
      </c>
      <c r="BW36" s="55">
        <f>IF(ROW()-3&gt;MAX(BV$4:BV$40),"",INDEX(BU$4:BU$40,MATCH(ROW()-3,BV$4:BV$40,0)))</f>
        <v/>
      </c>
      <c r="BX36" s="138">
        <f>IF('Final Calculation Sheet'!$N$36="","",'Final Calculation Sheet'!$N$36)</f>
        <v/>
      </c>
      <c r="BY36">
        <f>IF(BX36="","",COUNTIFS(BX$4:BX$40,"&lt;"&amp;BX36,BX$4:BX$40,"&lt;&gt;"&amp;"")+COUNTIF(BX$4:BX36,BX36))</f>
        <v/>
      </c>
      <c r="BZ36" s="138">
        <f>IF(ROW()-3&gt;COUNTIF(BX$4:BX$40,"&lt;&gt;"&amp;""),"",INDEX(BX$4:BX$40,MATCH(ROW()-3,BY$4:BY$40,0)))</f>
        <v/>
      </c>
      <c r="CA36">
        <f>CA35+IF(AND(BZ36&lt;&gt;"",COUNTIF(BZ$4:BZ36,BZ36)=1),1,0)</f>
        <v/>
      </c>
      <c r="CB36" s="138">
        <f>IF(ROW()-3&gt;MAX(CA$4:CA$40),"",INDEX(BZ$4:BZ$40,MATCH(ROW()-3,CA$4:CA$40,0)))</f>
        <v/>
      </c>
      <c r="CC36" s="55">
        <f>IF('Final Calculation Sheet'!$O$36="","",'Final Calculation Sheet'!$O$36)</f>
        <v/>
      </c>
      <c r="CD36">
        <f>IF(CC36="","",COUNTIFS(CC$4:CC$40,"&lt;"&amp;CC36,CC$4:CC$40,"&lt;&gt;"&amp;"")+COUNTIF(CC$4:CC36,CC36))</f>
        <v/>
      </c>
      <c r="CE36" s="55">
        <f>IF(ROW()-3&gt;COUNTIF(CC$4:CC$40,"&lt;&gt;"&amp;""),"",INDEX(CC$4:CC$40,MATCH(ROW()-3,CD$4:CD$40,0)))</f>
        <v/>
      </c>
      <c r="CF36">
        <f>CF35+IF(AND(CE36&lt;&gt;"",COUNTIF(CE$4:CE36,CE36)=1),1,0)</f>
        <v/>
      </c>
      <c r="CG36" s="55">
        <f>IF(ROW()-3&gt;MAX(CF$4:CF$40),"",INDEX(CE$4:CE$40,MATCH(ROW()-3,CF$4:CF$40,0)))</f>
        <v/>
      </c>
      <c r="CH36" s="55">
        <f>IF('Final Calculation Sheet'!$P$36="","",'Final Calculation Sheet'!$P$36)</f>
        <v/>
      </c>
      <c r="CI36">
        <f>IF(CH36="","",COUNTIFS(CH$4:CH$40,"&lt;"&amp;CH36,CH$4:CH$40,"&lt;&gt;"&amp;"")+COUNTIF(CH$4:CH36,CH36))</f>
        <v/>
      </c>
      <c r="CJ36" s="55">
        <f>IF(ROW()-3&gt;COUNTIF(CH$4:CH$40,"&lt;&gt;"&amp;""),"",INDEX(CH$4:CH$40,MATCH(ROW()-3,CI$4:CI$40,0)))</f>
        <v/>
      </c>
      <c r="CK36">
        <f>CK35+IF(AND(CJ36&lt;&gt;"",COUNTIF(CJ$4:CJ36,CJ36)=1),1,0)</f>
        <v/>
      </c>
      <c r="CL36" s="55">
        <f>IF(ROW()-3&gt;MAX(CK$4:CK$40),"",INDEX(CJ$4:CJ$40,MATCH(ROW()-3,CK$4:CK$40,0)))</f>
        <v/>
      </c>
      <c r="CM36" s="139">
        <f>IF('Final Calculation Sheet'!$Q$36="","",'Final Calculation Sheet'!$Q$36)</f>
        <v/>
      </c>
      <c r="CN36">
        <f>IF(CM36="","",COUNTIFS(CM$4:CM$40,"&lt;"&amp;CM36,CM$4:CM$40,"&lt;&gt;"&amp;"")+COUNTIF(CM$4:CM36,CM36))</f>
        <v/>
      </c>
      <c r="CO36" s="139">
        <f>IF(ROW()-3&gt;COUNTIF(CM$4:CM$40,"&lt;&gt;"&amp;""),"",INDEX(CM$4:CM$40,MATCH(ROW()-3,CN$4:CN$40,0)))</f>
        <v/>
      </c>
      <c r="CP36">
        <f>CP35+IF(AND(CO36&lt;&gt;"",COUNTIF(CO$4:CO36,CO36)=1),1,0)</f>
        <v/>
      </c>
      <c r="CQ36">
        <f>IF(ROW()-3&gt;MAX(CP$4:CP$40),"",INDEX(CO$4:CO$40,MATCH(ROW()-3,CP$4:CP$40,0)))</f>
        <v/>
      </c>
      <c r="CR36" s="55">
        <f>IF('Final Calculation Sheet'!$R$36="","",'Final Calculation Sheet'!$R$36)</f>
        <v/>
      </c>
      <c r="CS36">
        <f>IF(CR36="","",COUNTIFS(CR$4:CR$40,"&lt;"&amp;CR36,CR$4:CR$40,"&lt;&gt;"&amp;"")+COUNTIF(CR$4:CR36,CR36))</f>
        <v/>
      </c>
      <c r="CT36" s="55">
        <f>IF(ROW()-3&gt;COUNTIF(CR$4:CR$40,"&lt;&gt;"&amp;""),"",INDEX(CR$4:CR$40,MATCH(ROW()-3,CS$4:CS$40,0)))</f>
        <v/>
      </c>
      <c r="CU36">
        <f>CU35+IF(AND(CT36&lt;&gt;"",COUNTIF(CT$4:CT36,CT36)=1),1,0)</f>
        <v/>
      </c>
      <c r="CV36">
        <f>IF(ROW()-3&gt;MAX(CU$4:CU$40),"",INDEX(CT$4:CT$40,MATCH(ROW()-3,CU$4:CU$40,0)))</f>
        <v/>
      </c>
      <c r="CW36" s="55">
        <f>IF('Final Calculation Sheet'!$S$36="","",'Final Calculation Sheet'!$S$36)</f>
        <v/>
      </c>
      <c r="CX36">
        <f>IF(CW36="","",COUNTIFS(CW$4:CW$40,"&lt;"&amp;CW36,CW$4:CW$40,"&lt;&gt;"&amp;"")+COUNTIF(CW$4:CW36,CW36))</f>
        <v/>
      </c>
      <c r="CY36" s="55">
        <f>IF(ROW()-3&gt;COUNTIF(CW$4:CW$40,"&lt;&gt;"&amp;""),"",INDEX(CW$4:CW$40,MATCH(ROW()-3,CX$4:CX$40,0)))</f>
        <v/>
      </c>
      <c r="CZ36">
        <f>CZ35+IF(AND(CY36&lt;&gt;"",COUNTIF(CY$4:CY36,CY36)=1),1,0)</f>
        <v/>
      </c>
      <c r="DA36" s="55">
        <f>IF(ROW()-3&gt;MAX(CZ$4:CZ$40),"",INDEX(CY$4:CY$40,MATCH(ROW()-3,CZ$4:CZ$40,0)))</f>
        <v/>
      </c>
      <c r="DB36" s="55">
        <f>IF('Final Calculation Sheet'!$T$36="","",'Final Calculation Sheet'!$T$36)</f>
        <v/>
      </c>
      <c r="DC36">
        <f>IF(DB36="","",COUNTIFS(DB$4:DB$40,"&lt;"&amp;DB36,DB$4:DB$40,"&lt;&gt;"&amp;"")+COUNTIF(DB$4:DB36,DB36))</f>
        <v/>
      </c>
      <c r="DD36" s="55">
        <f>IF(ROW()-3&gt;COUNTIF(DB$4:DB$40,"&lt;&gt;"&amp;""),"",INDEX(DB$4:DB$40,MATCH(ROW()-3,DC$4:DC$40,0)))</f>
        <v/>
      </c>
      <c r="DE36">
        <f>DE35+IF(AND(DD36&lt;&gt;"",COUNTIF(DD$4:DD36,DD36)=1),1,0)</f>
        <v/>
      </c>
      <c r="DF36" s="55">
        <f>IF(ROW()-3&gt;MAX(DE$4:DE$40),"",INDEX(DD$4:DD$40,MATCH(ROW()-3,DE$4:DE$40,0)))</f>
        <v/>
      </c>
      <c r="DG36" s="140">
        <f>IF('Final Calculation Sheet'!$U$36="","",'Final Calculation Sheet'!$U$36)</f>
        <v/>
      </c>
      <c r="DH36">
        <f>IF(DG36="","",COUNTIFS(DG$4:DG$40,"&lt;"&amp;DG36,DG$4:DG$40,"&lt;&gt;"&amp;"")+COUNTIF(DG$4:DG36,DG36))</f>
        <v/>
      </c>
      <c r="DI36" s="140">
        <f>IF(ROW()-3&gt;COUNTIF(DG$4:DG$40,"&lt;&gt;"&amp;""),"",INDEX(DG$4:DG$40,MATCH(ROW()-3,DH$4:DH$40,0)))</f>
        <v/>
      </c>
      <c r="DJ36">
        <f>DJ35+IF(AND(DI36&lt;&gt;"",COUNTIF(DI$4:DI36,DI36)=1),1,0)</f>
        <v/>
      </c>
      <c r="DK36" s="140">
        <f>IF(ROW()-3&gt;MAX(DJ$4:DJ$40),"",INDEX(DI$4:DI$40,MATCH(ROW()-3,DJ$4:DJ$40,0)))</f>
        <v/>
      </c>
      <c r="DL36">
        <f>IF('Final Calculation Sheet'!$V$36="","",'Final Calculation Sheet'!$V$36)</f>
        <v/>
      </c>
      <c r="DM36">
        <f>IF(DL36="","",COUNTIFS(DL$4:DL$40,"&lt;"&amp;DL36,DL$4:DL$40,"&lt;&gt;"&amp;"")+COUNTIF(DL$4:DL36,DL36))</f>
        <v/>
      </c>
      <c r="DN36">
        <f>IF(ROW()-3&gt;COUNTIF(DL$4:DL$40,"&lt;&gt;"&amp;""),"",INDEX(DL$4:DL$40,MATCH(ROW()-3,DM$4:DM$40,0)))</f>
        <v/>
      </c>
      <c r="DO36">
        <f>DO35+IF(AND(DN36&lt;&gt;"",COUNTIF(DN$4:DN36,DN36)=1),1,0)</f>
        <v/>
      </c>
      <c r="DP36">
        <f>IF(ROW()-3&gt;MAX(DO$4:DO$40),"",INDEX(DN$4:DN$40,MATCH(ROW()-3,DO$4:DO$40,0)))</f>
        <v/>
      </c>
      <c r="DQ36" s="55">
        <f>IF('Final Calculation Sheet'!$W$36="","",'Final Calculation Sheet'!$W$36)</f>
        <v/>
      </c>
      <c r="DR36">
        <f>IF(DQ36="","",COUNTIFS(DQ$4:DQ$40,"&lt;"&amp;DQ36,DQ$4:DQ$40,"&lt;&gt;"&amp;"")+COUNTIF(DQ$4:DQ36,DQ36))</f>
        <v/>
      </c>
      <c r="DS36" s="55">
        <f>IF(ROW()-3&gt;COUNTIF(DQ$4:DQ$40,"&lt;&gt;"&amp;""),"",INDEX(DQ$4:DQ$40,MATCH(ROW()-3,DR$4:DR$40,0)))</f>
        <v/>
      </c>
      <c r="DT36">
        <f>DT35+IF(AND(DS36&lt;&gt;"",COUNTIF(DS$4:DS36,DS36)=1),1,0)</f>
        <v/>
      </c>
      <c r="DU36" s="55">
        <f>IF(ROW()-3&gt;MAX(DT$4:DT$40),"",INDEX(DS$4:DS$40,MATCH(ROW()-3,DT$4:DT$40,0)))</f>
        <v/>
      </c>
      <c r="DV36">
        <f>IF('Final Calculation Sheet'!$X$36="","",'Final Calculation Sheet'!$X$36)</f>
        <v/>
      </c>
      <c r="DW36">
        <f>IF(DV36="","",COUNTIFS(DV$4:DV$40,"&lt;"&amp;DV36,DV$4:DV$40,"&lt;&gt;"&amp;"")+COUNTIF(DV$4:DV36,DV36))</f>
        <v/>
      </c>
      <c r="DX36" s="55">
        <f>IF(ROW()-3&gt;COUNTIF(DV$4:DV$40,"&lt;&gt;"&amp;""),"",INDEX(DV$4:DV$40,MATCH(ROW()-3,DW$4:DW$40,0)))</f>
        <v/>
      </c>
      <c r="DY36">
        <f>DY35+IF(AND(DX36&lt;&gt;"",COUNTIF(DX$4:DX36,DX36)=1),1,0)</f>
        <v/>
      </c>
      <c r="DZ36">
        <f>IF(ROW()-3&gt;MAX(DY$4:DY$40),"",INDEX(DX$4:DX$40,MATCH(ROW()-3,DY$4:DY$40,0)))</f>
        <v/>
      </c>
      <c r="EA36" s="55">
        <f>IF('Final Calculation Sheet'!$Y$36="","",'Final Calculation Sheet'!$Y$36)</f>
        <v/>
      </c>
      <c r="EB36">
        <f>IF(EA36="","",COUNTIFS(EA$4:EA$40,"&lt;"&amp;EA36,EA$4:EA$40,"&lt;&gt;"&amp;"")+COUNTIF(EA$4:EA36,EA36))</f>
        <v/>
      </c>
      <c r="EC36">
        <f>IF(ROW()-3&gt;COUNTIF(EA$4:EA$40,"&lt;&gt;"&amp;""),"",INDEX(EA$4:EA$40,MATCH(ROW()-3,EB$4:EB$40,0)))</f>
        <v/>
      </c>
      <c r="ED36">
        <f>ED35+IF(AND(EC36&lt;&gt;"",COUNTIF(EC$4:EC36,EC36)=1),1,0)</f>
        <v/>
      </c>
      <c r="EE36">
        <f>IF(ROW()-3&gt;MAX(ED$4:ED$40),"",INDEX(EC$4:EC$40,MATCH(ROW()-3,ED$4:ED$40,0)))</f>
        <v/>
      </c>
      <c r="EF36" s="55">
        <f>IF('Final Calculation Sheet'!$Z$36="","",'Final Calculation Sheet'!$Z$36)</f>
        <v/>
      </c>
      <c r="EG36">
        <f>IF(EF36="","",COUNTIFS(EF$4:EF$40,"&lt;"&amp;EF36,EF$4:EF$40,"&lt;&gt;"&amp;"")+COUNTIF(EF$4:EF36,EF36))</f>
        <v/>
      </c>
      <c r="EH36" s="55">
        <f>IF(ROW()-3&gt;COUNTIF(EF$4:EF$40,"&lt;&gt;"&amp;""),"",INDEX(EF$4:EF$40,MATCH(ROW()-3,EG$4:EG$40,0)))</f>
        <v/>
      </c>
      <c r="EI36">
        <f>EI35+IF(AND(EH36&lt;&gt;"",COUNTIF(EH$4:EH36,EH36)=1),1,0)</f>
        <v/>
      </c>
      <c r="EJ36">
        <f>IF(ROW()-3&gt;MAX(EI$4:EI$40),"",INDEX(EH$4:EH$40,MATCH(ROW()-3,EI$4:EI$40,0)))</f>
        <v/>
      </c>
      <c r="EK36">
        <f>IF('Final Calculation Sheet'!$AA$36="","",'Final Calculation Sheet'!$AA$36)</f>
        <v/>
      </c>
      <c r="EL36">
        <f>IF(EK36="","",COUNTIFS(EK$4:EK$40,"&lt;"&amp;EK36,EK$4:EK$40,"&lt;&gt;"&amp;"")+COUNTIF(EK$4:EK36,EK36))</f>
        <v/>
      </c>
      <c r="EM36">
        <f>IF(ROW()-3&gt;COUNTIF(EK$4:EK$40,"&lt;&gt;"&amp;""),"",INDEX(EK$4:EK$40,MATCH(ROW()-3,EL$4:EL$40,0)))</f>
        <v/>
      </c>
      <c r="EN36">
        <f>EN35+IF(AND(EM36&lt;&gt;"",COUNTIF(EM$4:EM36,EM36)=1),1,0)</f>
        <v/>
      </c>
      <c r="EO36">
        <f>IF(ROW()-3&gt;MAX(EN$4:EN$40),"",INDEX(EM$4:EM$40,MATCH(ROW()-3,EN$4:EN$40,0)))</f>
        <v/>
      </c>
      <c r="EP36">
        <f>IF('Final Calculation Sheet'!$AB$36="","",'Final Calculation Sheet'!$AB$36)</f>
        <v/>
      </c>
      <c r="EQ36">
        <f>IF(EP36="","",COUNTIFS(EP$4:EP$40,"&lt;"&amp;EP36,EP$4:EP$40,"&lt;&gt;"&amp;"")+COUNTIF(EP$4:EP36,EP36))</f>
        <v/>
      </c>
      <c r="ER36">
        <f>IF(ROW()-3&gt;COUNTIF(EP$4:EP$40,"&lt;&gt;"&amp;""),"",INDEX(EP$4:EP$40,MATCH(ROW()-3,EQ$4:EQ$40,0)))</f>
        <v/>
      </c>
      <c r="ES36">
        <f>ES35+IF(AND(ER36&lt;&gt;"",COUNTIF(ER$4:ER36,ER36)=1),1,0)</f>
        <v/>
      </c>
      <c r="ET36">
        <f>IF(ROW()-3&gt;MAX(ES$4:ES$40),"",INDEX(ER$4:ER$40,MATCH(ROW()-3,ES$4:ES$40,0)))</f>
        <v/>
      </c>
      <c r="EU36" s="55">
        <f>IF('Final Calculation Sheet'!$AC$36="","",'Final Calculation Sheet'!$AC$36)</f>
        <v/>
      </c>
      <c r="EV36">
        <f>IF(EU36="","",COUNTIFS(EU$4:EU$40,"&lt;"&amp;EU36,EU$4:EU$40,"&lt;&gt;"&amp;"")+COUNTIF(EU$4:EU36,EU36))</f>
        <v/>
      </c>
      <c r="EW36" s="55">
        <f>IF(ROW()-3&gt;COUNTIF(EU$4:EU$40,"&lt;&gt;"&amp;""),"",INDEX(EU$4:EU$40,MATCH(ROW()-3,EV$4:EV$40,0)))</f>
        <v/>
      </c>
      <c r="EX36">
        <f>EX35+IF(AND(EW36&lt;&gt;"",COUNTIF(EW$4:EW36,EW36)=1),1,0)</f>
        <v/>
      </c>
      <c r="EY36" s="55">
        <f>IF(ROW()-3&gt;MAX(EX$4:EX$40),"",INDEX(EW$4:EW$40,MATCH(ROW()-3,EX$4:EX$40,0)))</f>
        <v/>
      </c>
      <c r="EZ36" s="55">
        <f>IF('Final Calculation Sheet'!$AD$36="","",'Final Calculation Sheet'!$AD$36)</f>
        <v/>
      </c>
      <c r="FA36">
        <f>IF(EZ36="","",COUNTIFS(EZ$4:EZ$40,"&lt;"&amp;EZ36,EZ$4:EZ$40,"&lt;&gt;"&amp;"")+COUNTIF(EZ$4:EZ36,EZ36))</f>
        <v/>
      </c>
      <c r="FB36" s="55">
        <f>IF(ROW()-3&gt;COUNTIF(EZ$4:EZ$40,"&lt;&gt;"&amp;""),"",INDEX(EZ$4:EZ$40,MATCH(ROW()-3,FA$4:FA$40,0)))</f>
        <v/>
      </c>
      <c r="FC36">
        <f>FC35+IF(AND(FB36&lt;&gt;"",COUNTIF(FB$4:FB36,FB36)=1),1,0)</f>
        <v/>
      </c>
      <c r="FD36">
        <f>IF(ROW()-3&gt;MAX(FC$4:FC$40),"",INDEX(FB$4:FB$40,MATCH(ROW()-3,FC$4:FC$40,0)))</f>
        <v/>
      </c>
      <c r="FE36">
        <f>IF('Final Calculation Sheet'!$AF$36="","",'Final Calculation Sheet'!$AF$36)</f>
        <v/>
      </c>
      <c r="FF36">
        <f>IF(FE36="","",COUNTIFS(FE$4:FE$40,"&lt;"&amp;FE36,FE$4:FE$40,"&lt;&gt;"&amp;"")+COUNTIF(FE$4:FE36,FE36))</f>
        <v/>
      </c>
      <c r="FG36">
        <f>IF(ROW()-3&gt;COUNTIF(FE$4:FE$40,"&lt;&gt;"&amp;""),"",INDEX(FE$4:FE$40,MATCH(ROW()-3,FF$4:FF$40,0)))</f>
        <v/>
      </c>
      <c r="FH36">
        <f>FH35+IF(AND(FG36&lt;&gt;"",COUNTIF(FG$4:FG36,FG36)=1),1,0)</f>
        <v/>
      </c>
      <c r="FI36">
        <f>IF(ROW()-3&gt;MAX(FH$4:FH$40),"",INDEX(FG$4:FG$40,MATCH(ROW()-3,FH$4:FH$40,0)))</f>
        <v/>
      </c>
      <c r="FJ36">
        <f>IF('Final Calculation Sheet'!$AG$36="","",'Final Calculation Sheet'!$AG$36)</f>
        <v/>
      </c>
      <c r="FK36">
        <f>IF(FJ36="","",COUNTIFS(FJ$4:FJ$40,"&lt;"&amp;FJ36,FJ$4:FJ$40,"&lt;&gt;"&amp;"")+COUNTIF(FJ$4:FJ36,FJ36))</f>
        <v/>
      </c>
      <c r="FL36">
        <f>IF(ROW()-3&gt;COUNTIF(FJ$4:FJ$40,"&lt;&gt;"&amp;""),"",INDEX(FJ$4:FJ$40,MATCH(ROW()-3,FK$4:FK$40,0)))</f>
        <v/>
      </c>
      <c r="FM36">
        <f>FM35+IF(AND(FL36&lt;&gt;"",COUNTIF(FL$4:FL36,FL36)=1),1,0)</f>
        <v/>
      </c>
      <c r="FN36">
        <f>IF(ROW()-3&gt;MAX(FM$4:FM$40),"",INDEX(FL$4:FL$40,MATCH(ROW()-3,FM$4:FM$40,0)))</f>
        <v/>
      </c>
      <c r="FO36">
        <f>IF('Final Calculation Sheet'!$AH$36="","",'Final Calculation Sheet'!$AH$36)</f>
        <v/>
      </c>
      <c r="FP36">
        <f>IF(FO36="","",COUNTIFS(FO$4:FO$40,"&lt;"&amp;FO36,FO$4:FO$40,"&lt;&gt;"&amp;"")+COUNTIF(FO$4:FO36,FO36))</f>
        <v/>
      </c>
      <c r="FQ36">
        <f>IF(ROW()-3&gt;COUNTIF(FO$4:FO$40,"&lt;&gt;"&amp;""),"",INDEX(FO$4:FO$40,MATCH(ROW()-3,FP$4:FP$40,0)))</f>
        <v/>
      </c>
      <c r="FR36">
        <f>FR35+IF(AND(FQ36&lt;&gt;"",COUNTIF(FQ$4:FQ36,FQ36)=1),1,0)</f>
        <v/>
      </c>
      <c r="FS36">
        <f>IF(ROW()-3&gt;MAX(FR$4:FR$40),"",INDEX(FQ$4:FQ$40,MATCH(ROW()-3,FR$4:FR$40,0)))</f>
        <v/>
      </c>
      <c r="FU36">
        <f>IF(FT36="","",COUNTIFS(FT$4:FT$40,"&lt;"&amp;FT36,FT$4:FT$40,"&lt;&gt;"&amp;"")+COUNTIF(FT$4:FT36,FT36))</f>
        <v/>
      </c>
      <c r="FV36">
        <f>IF(ROW()-3&gt;COUNTIF(FT$4:FT$40,"&lt;&gt;"&amp;""),"",INDEX(FT$4:FT$40,MATCH(ROW()-3,FU$4:FU$40,0)))</f>
        <v/>
      </c>
      <c r="FW36">
        <f>FW35+IF(AND(FV36&lt;&gt;"",COUNTIF(FV$4:FV36,FV36)=1),1,0)</f>
        <v/>
      </c>
      <c r="FX36">
        <f>IF(ROW()-3&gt;MAX(FW$4:FW$40),"",INDEX(FV$4:FV$40,MATCH(ROW()-3,FW$4:FW$40,0)))</f>
        <v/>
      </c>
      <c r="FY36">
        <f>IF(COUNTIF('Live Search'!BM$35:BO$35,0)+COUNTIF('Live Search'!BQ$35:CU$35,0)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6">
        <f>IF($Y$36="",FALSE,SUMPRODUCT(('Final Calculation Sheet'!$B$4:$B$40=$Y$36)*($FY$6:$FY$42=1))&gt;0)</f>
        <v/>
      </c>
      <c r="GA36">
        <f>$GA$35+--($FZ$36)</f>
        <v/>
      </c>
      <c r="GB36">
        <f>IF(ROW()-3&gt;MAX($GA$4:$GA$40),"",INDEX($Y$4:$Y$40,MATCH(ROW()-3,$GA$4:$GA$40,0)))</f>
        <v/>
      </c>
      <c r="GC36">
        <f>IF(COUNTIF('Live Search'!BM$35:BM$35,0)+COUNTIF('Live Search'!BO$35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GD36">
        <f>IF($O$36="",FALSE,SUMPRODUCT(('Final Calculation Sheet'!$F$4:$F$40=$O$36)*($GC$6:$GC$42=1))&gt;0)</f>
        <v/>
      </c>
      <c r="GE36">
        <f>$GE$35+--($GD36)</f>
        <v/>
      </c>
      <c r="GF36">
        <f>IF(ROW()-3&gt;MAX($GE$4:$GE$40),"",INDEX($O$4:$O$40,MATCH(ROW()-3,$GE$4:$GE$40,0)))</f>
        <v/>
      </c>
      <c r="GG36">
        <f>IF(COUNTIF('Live Search'!BM$35:BN$35,0)+COUNTIF('Live Search'!BP$35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GH36">
        <f>IF($T$36="",FALSE,SUMPRODUCT(('Final Calculation Sheet'!$G$4:$G$40=$T$36)*($GG$6:$GG$42=1))&gt;0)</f>
        <v/>
      </c>
      <c r="GI36">
        <f>$GI$35+--($GH36)</f>
        <v/>
      </c>
      <c r="GJ36">
        <f>IF(ROW()-3&gt;MAX($GI$4:$GI$40),"",INDEX($T$4:$T$40,MATCH(ROW()-3,$GI$4:$GI$40,0)))</f>
        <v/>
      </c>
      <c r="GK36">
        <f>IF(COUNTIF('Live Search'!BM$35:BP$35,0)+COUNTIF('Live Search'!BR$35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GL36">
        <f>IF($AD$36="",FALSE,SUMPRODUCT(('Final Calculation Sheet'!$D$4:$D$40=$AD$36)*($GK$6:$GK$42=1))&gt;0)</f>
        <v/>
      </c>
      <c r="GM36">
        <f>$GM$35+--($GL36)</f>
        <v/>
      </c>
      <c r="GN36">
        <f>IF(ROW()-3&gt;MAX($GM$4:$GM$40),"",INDEX($AD$4:$AD$40,MATCH(ROW()-3,$GM$4:$GM$40,0)))</f>
        <v/>
      </c>
      <c r="GO36">
        <f>IF(COUNTIF('Live Search'!BM$35:BQ$35,0)+COUNTIF('Live Search'!BS$35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GP36">
        <f>IF($AI$36="",FALSE,SUMPRODUCT(('Final Calculation Sheet'!$A$4:$A$40=$AI$36)*($GO$6:$GO$42=1))&gt;0)</f>
        <v/>
      </c>
      <c r="GQ36">
        <f>$GQ$35+--($GP36)</f>
        <v/>
      </c>
      <c r="GR36">
        <f>IF(ROW()-3&gt;MAX($GQ$4:$GQ$40),"",INDEX($AI$4:$AI$40,MATCH(ROW()-3,$GQ$4:$GQ$40,0)))</f>
        <v/>
      </c>
      <c r="GS36">
        <f>IF(COUNTIF('Live Search'!BM$35:BR$35,0)+COUNTIF('Live Search'!BT$35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GT36">
        <f>IF($AN$36="",FALSE,SUMPRODUCT(('Final Calculation Sheet'!$E$4:$E$40=$AN$36)*($GS$6:$GS$42=1))&gt;0)</f>
        <v/>
      </c>
      <c r="GU36">
        <f>$GU$35+--($GT36)</f>
        <v/>
      </c>
      <c r="GV36">
        <f>IF(ROW()-3&gt;MAX($GU$4:$GU$40),"",INDEX($AN$4:$AN$40,MATCH(ROW()-3,$GU$4:$GU$40,0)))</f>
        <v/>
      </c>
      <c r="GW36">
        <f>IF(COUNTIF('Live Search'!BM$35:BS$35,0)+COUNTIF('Live Search'!BU$35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GX36">
        <f>IF($AS$36="",FALSE,SUMPRODUCT(('Final Calculation Sheet'!$C$4:$C$40=$AS$36)*($GW$6:$GW$42=1))&gt;0)</f>
        <v/>
      </c>
      <c r="GY36">
        <f>$GY$35+--($GX36)</f>
        <v/>
      </c>
      <c r="GZ36">
        <f>IF(ROW()-3&gt;MAX($GY$4:$GY$40),"",INDEX($AS$4:$AS$40,MATCH(ROW()-3,$GY$4:$GY$40,0)))</f>
        <v/>
      </c>
      <c r="HA36">
        <f>IF(COUNTIF('Live Search'!BM$35:BT$35,0)+COUNTIF('Live Search'!BV$35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HB36">
        <f>IF($AX$36="",FALSE,SUMPRODUCT(('Final Calculation Sheet'!$H$4:$H$40=$AX$36)*($HA$6:$HA$42=1))&gt;0)</f>
        <v/>
      </c>
      <c r="HC36">
        <f>$HC$35+--($HB36)</f>
        <v/>
      </c>
      <c r="HD36">
        <f>IF(ROW()-3&gt;MAX($HC$4:$HC$40),"",INDEX($AX$4:$AX$40,MATCH(ROW()-3,$HC$4:$HC$40,0)))</f>
        <v/>
      </c>
      <c r="HE36">
        <f>IF(COUNTIF('Live Search'!BM$35:BU$35,0)+COUNTIF('Live Search'!BW$35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HF36">
        <f>IF($BC$36="",FALSE,SUMPRODUCT(('Final Calculation Sheet'!$I$4:$I$40=$BC$36)*($HE$6:$HE$42=1))&gt;0)</f>
        <v/>
      </c>
      <c r="HG36">
        <f>$HG$35+--($HF36)</f>
        <v/>
      </c>
      <c r="HH36">
        <f>IF(ROW()-3&gt;MAX($HG$4:$HG$40),"",INDEX($BC$4:$BC$40,MATCH(ROW()-3,$HG$4:$HG$40,0)))</f>
        <v/>
      </c>
      <c r="HI36">
        <f>IF(COUNTIF('Live Search'!BM$35:BV$35,0)+COUNTIF('Live Search'!BX$35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HJ36">
        <f>IF($BH$36="",FALSE,SUMPRODUCT(('Final Calculation Sheet'!$J$4:$J$40=$BH$36)*($HI$6:$HI$42=1))&gt;0)</f>
        <v/>
      </c>
      <c r="HK36">
        <f>$HK$35+--($HJ36)</f>
        <v/>
      </c>
      <c r="HL36">
        <f>IF(ROW()-3&gt;MAX($HK$4:$HK$40),"",INDEX($BH$4:$BH$40,MATCH(ROW()-3,$HK$4:$HK$40,0)))</f>
        <v/>
      </c>
      <c r="HM36">
        <f>IF(COUNTIF('Live Search'!BM$35:BW$35,0)+COUNTIF('Live Search'!BY$35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HN36">
        <f>IF($BM$36="",FALSE,SUMPRODUCT(('Final Calculation Sheet'!$K$4:$K$40=$BM$36)*($HM$6:$HM$42=1))&gt;0)</f>
        <v/>
      </c>
      <c r="HO36">
        <f>$HO$35+--($HN36)</f>
        <v/>
      </c>
      <c r="HP36">
        <f>IF(ROW()-3&gt;MAX($HO$4:$HO$40),"",INDEX($BM$4:$BM$40,MATCH(ROW()-3,$HO$4:$HO$40,0)))</f>
        <v/>
      </c>
      <c r="HQ36">
        <f>IF(COUNTIF('Live Search'!BM$35:BX$35,0)+COUNTIF('Live Search'!BZ$35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HR36">
        <f>IF($BR$36="",FALSE,SUMPRODUCT(('Final Calculation Sheet'!$L$4:$L$40=$BR$36)*($HQ$6:$HQ$42=1))&gt;0)</f>
        <v/>
      </c>
      <c r="HS36">
        <f>$HS$35+--($HR36)</f>
        <v/>
      </c>
      <c r="HT36">
        <f>IF(ROW()-3&gt;MAX($HS$4:$HS$40),"",INDEX($BR$4:$BR$40,MATCH(ROW()-3,$HS$4:$HS$40,0)))</f>
        <v/>
      </c>
      <c r="HU36">
        <f>IF(COUNTIF('Live Search'!BM$35:BY$35,0)+COUNTIF('Live Search'!CA$35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HV36">
        <f>IF($BW$36="",FALSE,SUMPRODUCT(('Final Calculation Sheet'!$M$4:$M$40=$BW$36)*($HU$6:$HU$42=1))&gt;0)</f>
        <v/>
      </c>
      <c r="HW36">
        <f>$HW$35+--($HV36)</f>
        <v/>
      </c>
      <c r="HX36">
        <f>IF(ROW()-3&gt;MAX($HW$4:$HW$40),"",INDEX($BW$4:$BW$40,MATCH(ROW()-3,$HW$4:$HW$40,0)))</f>
        <v/>
      </c>
      <c r="HY36">
        <f>IF(COUNTIF('Live Search'!BM$35:BZ$35,0)+COUNTIF('Live Search'!CB$35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HZ36">
        <f>IF($CB$36="",FALSE,SUMPRODUCT(('Final Calculation Sheet'!$N$4:$N$40=$CB$36)*($HY$6:$HY$42=1))&gt;0)</f>
        <v/>
      </c>
      <c r="IA36">
        <f>$IA$35+--($HZ36)</f>
        <v/>
      </c>
      <c r="IB36">
        <f>IF(ROW()-3&gt;MAX($IA$4:$IA$40),"",INDEX($CB$4:$CB$40,MATCH(ROW()-3,$IA$4:$IA$40,0)))</f>
        <v/>
      </c>
      <c r="IC36">
        <f>IF(COUNTIF('Live Search'!BM$35:CA$35,0)+COUNTIF('Live Search'!CC$35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ID36">
        <f>IF($CG$36="",FALSE,SUMPRODUCT(('Final Calculation Sheet'!$O$4:$O$40=$CG$36)*($IC$6:$IC$42=1))&gt;0)</f>
        <v/>
      </c>
      <c r="IE36">
        <f>$IE$35+--($ID36)</f>
        <v/>
      </c>
      <c r="IF36">
        <f>IF(ROW()-3&gt;MAX($IE$4:$IE$40),"",INDEX($CG$4:$CG$40,MATCH(ROW()-3,$IE$4:$IE$40,0)))</f>
        <v/>
      </c>
      <c r="IG36">
        <f>IF(COUNTIF('Live Search'!BM$35:CB$35,0)+COUNTIF('Live Search'!CD$35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IH36">
        <f>IF($CL$36="",FALSE,SUMPRODUCT(('Final Calculation Sheet'!$P$4:$P$40=$CL$36)*($IG$6:$IG$42=1))&gt;0)</f>
        <v/>
      </c>
      <c r="II36">
        <f>$II$35+--($IH36)</f>
        <v/>
      </c>
      <c r="IJ36">
        <f>IF(ROW()-3&gt;MAX($II$4:$II$40),"",INDEX($CL$4:$CL$40,MATCH(ROW()-3,$II$4:$II$40,0)))</f>
        <v/>
      </c>
      <c r="IK36">
        <f>IF(COUNTIF('Live Search'!BM$35:CC$35,0)+COUNTIF('Live Search'!CE$35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IL36">
        <f>IF($CQ$36="",FALSE,SUMPRODUCT(('Final Calculation Sheet'!$Q$4:$Q$40=$CQ$36)*($IK$6:$IK$42=1))&gt;0)</f>
        <v/>
      </c>
      <c r="IM36">
        <f>$IM$35+--($IL36)</f>
        <v/>
      </c>
      <c r="IN36">
        <f>IF(ROW()-3&gt;MAX($IM$4:$IM$40),"",INDEX($CQ$4:$CQ$40,MATCH(ROW()-3,$IM$4:$IM$40,0)))</f>
        <v/>
      </c>
      <c r="IO36">
        <f>IF(COUNTIF('Live Search'!BM$35:CD$35,0)+COUNTIF('Live Search'!CF$35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IP36">
        <f>IF($CV$36="",FALSE,SUMPRODUCT(('Final Calculation Sheet'!$R$4:$R$40=$CV$36)*($IO$6:$IO$42=1))&gt;0)</f>
        <v/>
      </c>
      <c r="IQ36">
        <f>$IQ$35+--($IP36)</f>
        <v/>
      </c>
      <c r="IR36">
        <f>IF(ROW()-3&gt;MAX($IQ$4:$IQ$40),"",INDEX($CV$4:$CV$40,MATCH(ROW()-3,$IQ$4:$IQ$40,0)))</f>
        <v/>
      </c>
      <c r="IS36">
        <f>IF(COUNTIF('Live Search'!BM$35:CE$35,0)+COUNTIF('Live Search'!CG$35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IT36">
        <f>IF($DA$36="",FALSE,SUMPRODUCT(('Final Calculation Sheet'!$S$4:$S$40=$DA$36)*($IS$6:$IS$42=1))&gt;0)</f>
        <v/>
      </c>
      <c r="IU36">
        <f>$IU$35+--($IT36)</f>
        <v/>
      </c>
      <c r="IV36">
        <f>IF(ROW()-3&gt;MAX($IU$4:$IU$40),"",INDEX($DA$4:$DA$40,MATCH(ROW()-3,$IU$4:$IU$40,0)))</f>
        <v/>
      </c>
      <c r="IW36">
        <f>IF(COUNTIF('Live Search'!BM$35:CF$35,0)+COUNTIF('Live Search'!CH$35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IX36">
        <f>IF($DF$36="",FALSE,SUMPRODUCT(('Final Calculation Sheet'!$T$4:$T$40=$DF$36)*($IW$6:$IW$42=1))&gt;0)</f>
        <v/>
      </c>
      <c r="IY36">
        <f>$IY$35+--($IX36)</f>
        <v/>
      </c>
      <c r="IZ36">
        <f>IF(ROW()-3&gt;MAX($IY$4:$IY$40),"",INDEX($DF$4:$DF$40,MATCH(ROW()-3,$IY$4:$IY$40,0)))</f>
        <v/>
      </c>
      <c r="JA36">
        <f>IF(COUNTIF('Live Search'!BM$35:CG$35,0)+COUNTIF('Live Search'!CI$35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JB36">
        <f>IF($DK$36="",FALSE,SUMPRODUCT(('Final Calculation Sheet'!$U$4:$U$40=$DK$36)*($JA$6:$JA$42=1))&gt;0)</f>
        <v/>
      </c>
      <c r="JC36">
        <f>$JC$35+--($JB36)</f>
        <v/>
      </c>
      <c r="JD36">
        <f>IF(ROW()-3&gt;MAX($JC$4:$JC$40),"",INDEX($DK$4:$DK$40,MATCH(ROW()-3,$JC$4:$JC$40,0)))</f>
        <v/>
      </c>
      <c r="JE36">
        <f>IF(COUNTIF('Live Search'!BM$35:CH$35,0)+COUNTIF('Live Search'!CJ$35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JF36">
        <f>IF($DP$36="",FALSE,SUMPRODUCT(('Final Calculation Sheet'!$V$4:$V$40=$DP$36)*($JE$6:$JE$42=1))&gt;0)</f>
        <v/>
      </c>
      <c r="JG36">
        <f>$JG$35+--($JF36)</f>
        <v/>
      </c>
      <c r="JH36">
        <f>IF(ROW()-3&gt;MAX($JG$4:$JG$40),"",INDEX($DP$4:$DP$40,MATCH(ROW()-3,$JG$4:$JG$40,0)))</f>
        <v/>
      </c>
      <c r="JI36">
        <f>IF(COUNTIF('Live Search'!BM$35:CI$35,0)+COUNTIF('Live Search'!CK$35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JJ36">
        <f>IF($DU$36="",FALSE,SUMPRODUCT(('Final Calculation Sheet'!$W$4:$W$40=$DU$36)*($JI$6:$JI$42=1))&gt;0)</f>
        <v/>
      </c>
      <c r="JK36">
        <f>$JK$35+--($JJ36)</f>
        <v/>
      </c>
      <c r="JL36">
        <f>IF(ROW()-3&gt;MAX($JK$4:$JK$40),"",INDEX($DU$4:$DU$40,MATCH(ROW()-3,$JK$4:$JK$40,0)))</f>
        <v/>
      </c>
      <c r="JM36">
        <f>IF(COUNTIF('Live Search'!BM$35:CJ$35,0)+COUNTIF('Live Search'!CL$35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JN36">
        <f>IF($DZ$36="",FALSE,SUMPRODUCT(('Final Calculation Sheet'!$X$4:$X$40=$DZ$36)*($JM$6:$JM$42=1))&gt;0)</f>
        <v/>
      </c>
      <c r="JO36">
        <f>$JO$35+--($JN36)</f>
        <v/>
      </c>
      <c r="JP36">
        <f>IF(ROW()-3&gt;MAX($JO$4:$JO$40),"",INDEX($DZ$4:$DZ$40,MATCH(ROW()-3,$JO$4:$JO$40,0)))</f>
        <v/>
      </c>
      <c r="JQ36">
        <f>IF(COUNTIF('Live Search'!BM$35:CK$35,0)+COUNTIF('Live Search'!CM$35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JR36">
        <f>IF($EE$36="",FALSE,SUMPRODUCT(('Final Calculation Sheet'!$Y$4:$Y$40=$EE$36)*($JQ$6:$JQ$42=1))&gt;0)</f>
        <v/>
      </c>
      <c r="JS36">
        <f>$JS$35+--($JR36)</f>
        <v/>
      </c>
      <c r="JT36">
        <f>IF(ROW()-3&gt;MAX($JS$4:$JS$40),"",INDEX($EE$4:$EE$40,MATCH(ROW()-3,$JS$4:$JS$40,0)))</f>
        <v/>
      </c>
      <c r="JU36">
        <f>IF(COUNTIF('Live Search'!BM$35:CL$35,0)+COUNTIF('Live Search'!CN$35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JV36">
        <f>IF($EJ$36="",FALSE,SUMPRODUCT(('Final Calculation Sheet'!$Z$4:$Z$40=$EJ$36)*($JU$6:$JU$42=1))&gt;0)</f>
        <v/>
      </c>
      <c r="JW36">
        <f>$JW$35+--($JV36)</f>
        <v/>
      </c>
      <c r="JX36">
        <f>IF(ROW()-3&gt;MAX($JW$4:$JW$40),"",INDEX($EJ$4:$EJ$40,MATCH(ROW()-3,$JW$4:$JW$40,0)))</f>
        <v/>
      </c>
      <c r="JY36">
        <f>IF(COUNTIF('Live Search'!BM$35:CM$35,0)+COUNTIF('Live Search'!CO$35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JZ36">
        <f>IF($EO$36="",FALSE,SUMPRODUCT(('Final Calculation Sheet'!$AA$4:$AA$40=$EO$36)*($JY$6:$JY$42=1))&gt;0)</f>
        <v/>
      </c>
      <c r="KA36">
        <f>$KA$35+--($JZ36)</f>
        <v/>
      </c>
      <c r="KB36">
        <f>IF(ROW()-3&gt;MAX($KA$4:$KA$40),"",INDEX($EO$4:$EO$40,MATCH(ROW()-3,$KA$4:$KA$40,0)))</f>
        <v/>
      </c>
      <c r="KC36">
        <f>IF(COUNTIF('Live Search'!BM$35:CN$35,0)+COUNTIF('Live Search'!CP$35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KD36">
        <f>IF($ET$36="",FALSE,SUMPRODUCT(('Final Calculation Sheet'!$AB$4:$AB$40=$ET$36)*($KC$6:$KC$42=1))&gt;0)</f>
        <v/>
      </c>
      <c r="KE36">
        <f>$KE$35+--($KD36)</f>
        <v/>
      </c>
      <c r="KF36">
        <f>IF(ROW()-3&gt;MAX($KE$4:$KE$40),"",INDEX($ET$4:$ET$40,MATCH(ROW()-3,$KE$4:$KE$40,0)))</f>
        <v/>
      </c>
      <c r="KG36">
        <f>IF(COUNTIF('Live Search'!BM$35:CO$35,0)+COUNTIF('Live Search'!CQ$35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KH36">
        <f>IF($EY$36="",FALSE,SUMPRODUCT(('Final Calculation Sheet'!$AC$4:$AC$40=$EY$36)*($KG$6:$KG$42=1))&gt;0)</f>
        <v/>
      </c>
      <c r="KI36">
        <f>$KI$35+--($KH36)</f>
        <v/>
      </c>
      <c r="KJ36">
        <f>IF(ROW()-3&gt;MAX($KI$4:$KI$40),"",INDEX($EY$4:$EY$40,MATCH(ROW()-3,$KI$4:$KI$40,0)))</f>
        <v/>
      </c>
      <c r="KK36">
        <f>IF(COUNTIF('Live Search'!BM$35:CP$35,0)+COUNTIF('Live Search'!CR$35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KL36">
        <f>IF($FD$36="",FALSE,SUMPRODUCT(('Final Calculation Sheet'!$AD$4:$AD$40=$FD$36)*($KK$6:$KK$42=1))&gt;0)</f>
        <v/>
      </c>
      <c r="KM36">
        <f>$KM$35+--($KL36)</f>
        <v/>
      </c>
      <c r="KN36">
        <f>IF(ROW()-3&gt;MAX($KM$4:$KM$40),"",INDEX($FD$4:$FD$40,MATCH(ROW()-3,$KM$4:$KM$40,0)))</f>
        <v/>
      </c>
      <c r="KO36">
        <f>IF(COUNTIF('Live Search'!BM$35:CT$35,0)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KP36">
        <f>IF($FX$36="",FALSE,SUMPRODUCT((IF('Final Calculation Sheet'!$AD$4:$AD$40&lt;=5,"SETTLED","OUTSTANDING")=$FX$36)*($KO$6:$KO$42=1))&gt;0)</f>
        <v/>
      </c>
      <c r="KQ36">
        <f>$KQ$35+--($KP36)</f>
        <v/>
      </c>
      <c r="KR36">
        <f>IF(ROW()-3&gt;MAX($KQ$4:$KQ$40),"",INDEX($FX$4:$FX$40,MATCH(ROW()-3,$KQ$4:$KQ$40,0)))</f>
        <v/>
      </c>
      <c r="KS36">
        <f>IF(COUNTIF('Live Search'!BM$35:CQ$35,0)+COUNTIF('Live Search'!CS$35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KT36">
        <f>IF($FI$36="",FALSE,SUMPRODUCT(('Final Calculation Sheet'!$AF$4:$AF$40=$FI$36)*($KS$6:$KS$42=1))&gt;0)</f>
        <v/>
      </c>
      <c r="KU36">
        <f>$KU$35+--($KT36)</f>
        <v/>
      </c>
      <c r="KV36">
        <f>IF(ROW()-3&gt;MAX($KU$4:$KU$40),"",INDEX($FI$4:$FI$40,MATCH(ROW()-3,$KU$4:$KU$40,0)))</f>
        <v/>
      </c>
      <c r="KW36">
        <f>IF(COUNTIF('Live Search'!BM$35:CR$35,0)+COUNTIF('Live Search'!CT$35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KX36">
        <f>IF($FN$36="",FALSE,SUMPRODUCT(('Final Calculation Sheet'!$AG$4:$AG$40=$FN$36)*($KW$6:$KW$42=1))&gt;0)</f>
        <v/>
      </c>
      <c r="KY36">
        <f>$KY$35+--($KX36)</f>
        <v/>
      </c>
      <c r="KZ36">
        <f>IF(ROW()-3&gt;MAX($KY$4:$KY$40),"",INDEX($FN$4:$FN$40,MATCH(ROW()-3,$KY$4:$KY$40,0)))</f>
        <v/>
      </c>
      <c r="LA36">
        <f>IF(COUNTIF('Live Search'!BM$35:CS$35,0)+COUNTIF('Live Search'!CU$35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LB36">
        <f>IF($FS$36="",FALSE,SUMPRODUCT(('Final Calculation Sheet'!$AH$4:$AH$40=$FS$36)*($LA$6:$LA$42=1))&gt;0)</f>
        <v/>
      </c>
      <c r="LC36">
        <f>$LC$35+--($LB36)</f>
        <v/>
      </c>
      <c r="LD36">
        <f>IF(ROW()-3&gt;MAX($LC$4:$LC$40),"",INDEX($FS$4:$FS$40,MATCH(ROW()-3,$LC$4:$LC$40,0)))</f>
        <v/>
      </c>
      <c r="LE36">
        <f>IF(COUNTIF('Buyer Groups'!DH89:EN89,0)&gt;0,0,1)</f>
        <v/>
      </c>
      <c r="LF36">
        <f>IF($O$36="",FALSE,SUMPRODUCT(('Final Calculation Sheet'!$F$4:$F$40=$O$36)*($LE$6:$LE$42=1))&gt;0)</f>
        <v/>
      </c>
      <c r="LG36">
        <f>$LG$35+--($LF36)</f>
        <v/>
      </c>
      <c r="LH36">
        <f>IF(ROW()-3&gt;MAX($LG$4:$LG$40),"",INDEX($O$4:$O$40,MATCH(ROW()-3,$LG$4:$LG$40,0)))</f>
        <v/>
      </c>
      <c r="LI36">
        <f>IF(COUNTIF('Buyer Groups'!DG89:DG89,0)+COUNTIF('Buyer Groups'!DI89:EN89,0)&gt;0,0,1)</f>
        <v/>
      </c>
      <c r="LJ36">
        <f>IF($T$36="",FALSE,SUMPRODUCT(('Final Calculation Sheet'!$G$4:$G$40=$T$36)*($LI$6:$LI$42=1))&gt;0)</f>
        <v/>
      </c>
      <c r="LK36">
        <f>$LK$35+--($LJ36)</f>
        <v/>
      </c>
      <c r="LL36">
        <f>IF(ROW()-3&gt;MAX($LK$4:$LK$40),"",INDEX($T$4:$T$40,MATCH(ROW()-3,$LK$4:$LK$40,0)))</f>
        <v/>
      </c>
      <c r="LM36">
        <f>IF(COUNTIF('Buyer Groups'!DG89:DH89,0)+COUNTIF('Buyer Groups'!DJ89:EN89,0)&gt;0,0,1)</f>
        <v/>
      </c>
      <c r="LN36">
        <f>IF($Y$36="",FALSE,SUMPRODUCT(('Final Calculation Sheet'!$B$4:$B$40=$Y$36)*($LM$6:$LM$42=1))&gt;0)</f>
        <v/>
      </c>
      <c r="LO36">
        <f>$LO$35+--($LN36)</f>
        <v/>
      </c>
      <c r="LP36">
        <f>IF(ROW()-3&gt;MAX($LO$4:$LO$40),"",INDEX($Y$4:$Y$40,MATCH(ROW()-3,$LO$4:$LO$40,0)))</f>
        <v/>
      </c>
      <c r="LQ36">
        <f>IF(COUNTIF('Buyer Groups'!DG89:DI89,0)+COUNTIF('Buyer Groups'!DK89:EN89,0)&gt;0,0,1)</f>
        <v/>
      </c>
      <c r="LR36">
        <f>IF($AD$36="",FALSE,SUMPRODUCT(('Final Calculation Sheet'!$D$4:$D$40=$AD$36)*($LQ$6:$LQ$42=1))&gt;0)</f>
        <v/>
      </c>
      <c r="LS36">
        <f>$LS$35+--($LR36)</f>
        <v/>
      </c>
      <c r="LT36">
        <f>IF(ROW()-3&gt;MAX($LS$4:$LS$40),"",INDEX($AD$4:$AD$40,MATCH(ROW()-3,$LS$4:$LS$40,0)))</f>
        <v/>
      </c>
      <c r="LU36">
        <f>IF(COUNTIF('Buyer Groups'!DG89:DJ89,0)+COUNTIF('Buyer Groups'!DL89:EN89,0)&gt;0,0,1)</f>
        <v/>
      </c>
      <c r="LV36">
        <f>IF($AI$36="",FALSE,SUMPRODUCT(('Final Calculation Sheet'!$A$4:$A$40=$AI$36)*($LU$6:$LU$42=1))&gt;0)</f>
        <v/>
      </c>
      <c r="LW36">
        <f>$LW$35+--($LV36)</f>
        <v/>
      </c>
      <c r="LX36">
        <f>IF(ROW()-3&gt;MAX($LW$4:$LW$40),"",INDEX($AI$4:$AI$40,MATCH(ROW()-3,$LW$4:$LW$40,0)))</f>
        <v/>
      </c>
      <c r="LY36">
        <f>IF(COUNTIF('Buyer Groups'!DG89:DK89,0)+COUNTIF('Buyer Groups'!DM89:EN89,0)&gt;0,0,1)</f>
        <v/>
      </c>
      <c r="LZ36">
        <f>IF($AN$36="",FALSE,SUMPRODUCT(('Final Calculation Sheet'!$E$4:$E$40=$AN$36)*($LY$6:$LY$42=1))&gt;0)</f>
        <v/>
      </c>
      <c r="MA36">
        <f>$MA$35+--($LZ36)</f>
        <v/>
      </c>
      <c r="MB36">
        <f>IF(ROW()-3&gt;MAX($MA$4:$MA$40),"",INDEX($AN$4:$AN$40,MATCH(ROW()-3,$MA$4:$MA$40,0)))</f>
        <v/>
      </c>
      <c r="MC36">
        <f>IF(COUNTIF('Buyer Groups'!DG89:DL89,0)+COUNTIF('Buyer Groups'!DN89:EN89,0)&gt;0,0,1)</f>
        <v/>
      </c>
      <c r="MD36">
        <f>IF($AS$36="",FALSE,SUMPRODUCT(('Final Calculation Sheet'!$C$4:$C$40=$AS$36)*($MC$6:$MC$42=1))&gt;0)</f>
        <v/>
      </c>
      <c r="ME36">
        <f>$ME$35+--($MD36)</f>
        <v/>
      </c>
      <c r="MF36">
        <f>IF(ROW()-3&gt;MAX($ME$4:$ME$40),"",INDEX($AS$4:$AS$40,MATCH(ROW()-3,$ME$4:$ME$40,0)))</f>
        <v/>
      </c>
      <c r="MG36">
        <f>IF(COUNTIF('Buyer Groups'!DG89:DM89,0)+COUNTIF('Buyer Groups'!DO89:EN89,0)&gt;0,0,1)</f>
        <v/>
      </c>
      <c r="MH36">
        <f>IF($AX$36="",FALSE,SUMPRODUCT(('Final Calculation Sheet'!$H$4:$H$40=$AX$36)*($MG$6:$MG$42=1))&gt;0)</f>
        <v/>
      </c>
      <c r="MI36">
        <f>$MI$35+--($MH36)</f>
        <v/>
      </c>
      <c r="MJ36">
        <f>IF(ROW()-3&gt;MAX($MI$4:$MI$40),"",INDEX($AX$4:$AX$40,MATCH(ROW()-3,$MI$4:$MI$40,0)))</f>
        <v/>
      </c>
      <c r="MK36">
        <f>IF(COUNTIF('Buyer Groups'!DG89:DN89,0)+COUNTIF('Buyer Groups'!DP89:EN89,0)&gt;0,0,1)</f>
        <v/>
      </c>
      <c r="ML36">
        <f>IF($BC$36="",FALSE,SUMPRODUCT(('Final Calculation Sheet'!$I$4:$I$40=$BC$36)*($MK$6:$MK$42=1))&gt;0)</f>
        <v/>
      </c>
      <c r="MM36">
        <f>$MM$35+--($ML36)</f>
        <v/>
      </c>
      <c r="MN36">
        <f>IF(ROW()-3&gt;MAX($MM$4:$MM$40),"",INDEX($BC$4:$BC$40,MATCH(ROW()-3,$MM$4:$MM$40,0)))</f>
        <v/>
      </c>
      <c r="MO36">
        <f>IF(COUNTIF('Buyer Groups'!DG89:DO89,0)+COUNTIF('Buyer Groups'!DQ89:EN89,0)&gt;0,0,1)</f>
        <v/>
      </c>
      <c r="MP36">
        <f>IF($BH$36="",FALSE,SUMPRODUCT(('Final Calculation Sheet'!$J$4:$J$40=$BH$36)*($MO$6:$MO$42=1))&gt;0)</f>
        <v/>
      </c>
      <c r="MQ36">
        <f>$MQ$35+--($MP36)</f>
        <v/>
      </c>
      <c r="MR36">
        <f>IF(ROW()-3&gt;MAX($MQ$4:$MQ$40),"",INDEX($BH$4:$BH$40,MATCH(ROW()-3,$MQ$4:$MQ$40,0)))</f>
        <v/>
      </c>
      <c r="MS36">
        <f>IF(COUNTIF('Buyer Groups'!DG89:DP89,0)+COUNTIF('Buyer Groups'!DR89:EN89,0)&gt;0,0,1)</f>
        <v/>
      </c>
      <c r="MT36">
        <f>IF($BM$36="",FALSE,SUMPRODUCT(('Final Calculation Sheet'!$K$4:$K$40=$BM$36)*($MS$6:$MS$42=1))&gt;0)</f>
        <v/>
      </c>
      <c r="MU36">
        <f>$MU$35+--($MT36)</f>
        <v/>
      </c>
      <c r="MV36">
        <f>IF(ROW()-3&gt;MAX($MU$4:$MU$40),"",INDEX($BM$4:$BM$40,MATCH(ROW()-3,$MU$4:$MU$40,0)))</f>
        <v/>
      </c>
      <c r="MW36">
        <f>IF(COUNTIF('Buyer Groups'!DG89:DQ89,0)+COUNTIF('Buyer Groups'!DS89:EN89,0)&gt;0,0,1)</f>
        <v/>
      </c>
      <c r="MX36">
        <f>IF($BR$36="",FALSE,SUMPRODUCT(('Final Calculation Sheet'!$L$4:$L$40=$BR$36)*($MW$6:$MW$42=1))&gt;0)</f>
        <v/>
      </c>
      <c r="MY36">
        <f>$MY$35+--($MX36)</f>
        <v/>
      </c>
      <c r="MZ36">
        <f>IF(ROW()-3&gt;MAX($MY$4:$MY$40),"",INDEX($BR$4:$BR$40,MATCH(ROW()-3,$MY$4:$MY$40,0)))</f>
        <v/>
      </c>
      <c r="NA36">
        <f>IF(COUNTIF('Buyer Groups'!DG89:DR89,0)+COUNTIF('Buyer Groups'!DT89:EN89,0)&gt;0,0,1)</f>
        <v/>
      </c>
      <c r="NB36">
        <f>IF($BW$36="",FALSE,SUMPRODUCT(('Final Calculation Sheet'!$M$4:$M$40=$BW$36)*($NA$6:$NA$42=1))&gt;0)</f>
        <v/>
      </c>
      <c r="NC36">
        <f>$NC$35+--($NB36)</f>
        <v/>
      </c>
      <c r="ND36">
        <f>IF(ROW()-3&gt;MAX($NC$4:$NC$40),"",INDEX($BW$4:$BW$40,MATCH(ROW()-3,$NC$4:$NC$40,0)))</f>
        <v/>
      </c>
      <c r="NE36">
        <f>IF(COUNTIF('Buyer Groups'!DG89:DS89,0)+COUNTIF('Buyer Groups'!DU89:EN89,0)&gt;0,0,1)</f>
        <v/>
      </c>
      <c r="NF36">
        <f>IF($CB$36="",FALSE,SUMPRODUCT(('Final Calculation Sheet'!$N$4:$N$40=$CB$36)*($NE$6:$NE$42=1))&gt;0)</f>
        <v/>
      </c>
      <c r="NG36">
        <f>$NG$35+--($NF36)</f>
        <v/>
      </c>
      <c r="NH36">
        <f>IF(ROW()-3&gt;MAX($NG$4:$NG$40),"",INDEX($CB$4:$CB$40,MATCH(ROW()-3,$NG$4:$NG$40,0)))</f>
        <v/>
      </c>
      <c r="NI36">
        <f>IF(COUNTIF('Buyer Groups'!DG89:DT89,0)+COUNTIF('Buyer Groups'!DV89:EN89,0)&gt;0,0,1)</f>
        <v/>
      </c>
      <c r="NJ36">
        <f>IF($CG$36="",FALSE,SUMPRODUCT(('Final Calculation Sheet'!$O$4:$O$40=$CG$36)*($NI$6:$NI$42=1))&gt;0)</f>
        <v/>
      </c>
      <c r="NK36">
        <f>$NK$35+--($NJ36)</f>
        <v/>
      </c>
      <c r="NL36">
        <f>IF(ROW()-3&gt;MAX($NK$4:$NK$40),"",INDEX($CG$4:$CG$40,MATCH(ROW()-3,$NK$4:$NK$40,0)))</f>
        <v/>
      </c>
      <c r="NM36">
        <f>IF(COUNTIF('Buyer Groups'!DG89:DU89,0)+COUNTIF('Buyer Groups'!DW89:EN89,0)&gt;0,0,1)</f>
        <v/>
      </c>
      <c r="NN36">
        <f>IF($CL$36="",FALSE,SUMPRODUCT(('Final Calculation Sheet'!$P$4:$P$40=$CL$36)*($NM$6:$NM$42=1))&gt;0)</f>
        <v/>
      </c>
      <c r="NO36">
        <f>$NO$35+--($NN36)</f>
        <v/>
      </c>
      <c r="NP36">
        <f>IF(ROW()-3&gt;MAX($NO$4:$NO$40),"",INDEX($CL$4:$CL$40,MATCH(ROW()-3,$NO$4:$NO$40,0)))</f>
        <v/>
      </c>
      <c r="NQ36">
        <f>IF(COUNTIF('Buyer Groups'!DG89:DV89,0)+COUNTIF('Buyer Groups'!DX89:EN89,0)&gt;0,0,1)</f>
        <v/>
      </c>
      <c r="NR36">
        <f>IF($CQ$36="",FALSE,SUMPRODUCT(('Final Calculation Sheet'!$Q$4:$Q$40=$CQ$36)*($NQ$6:$NQ$42=1))&gt;0)</f>
        <v/>
      </c>
      <c r="NS36">
        <f>$NS$35+--($NR36)</f>
        <v/>
      </c>
      <c r="NT36">
        <f>IF(ROW()-3&gt;MAX($NS$4:$NS$40),"",INDEX($CQ$4:$CQ$40,MATCH(ROW()-3,$NS$4:$NS$40,0)))</f>
        <v/>
      </c>
      <c r="NU36">
        <f>IF(COUNTIF('Buyer Groups'!DG89:DW89,0)+COUNTIF('Buyer Groups'!DY89:EN89,0)&gt;0,0,1)</f>
        <v/>
      </c>
      <c r="NV36">
        <f>IF($CV$36="",FALSE,SUMPRODUCT(('Final Calculation Sheet'!$R$4:$R$40=$CV$36)*($NU$6:$NU$42=1))&gt;0)</f>
        <v/>
      </c>
      <c r="NW36">
        <f>$NW$35+--($NV36)</f>
        <v/>
      </c>
      <c r="NX36">
        <f>IF(ROW()-3&gt;MAX($NW$4:$NW$40),"",INDEX($CV$4:$CV$40,MATCH(ROW()-3,$NW$4:$NW$40,0)))</f>
        <v/>
      </c>
      <c r="NY36">
        <f>IF(COUNTIF('Buyer Groups'!DG89:DX89,0)+COUNTIF('Buyer Groups'!DZ89:EN89,0)&gt;0,0,1)</f>
        <v/>
      </c>
      <c r="NZ36">
        <f>IF($DA$36="",FALSE,SUMPRODUCT(('Final Calculation Sheet'!$S$4:$S$40=$DA$36)*($NY$6:$NY$42=1))&gt;0)</f>
        <v/>
      </c>
      <c r="OA36">
        <f>$OA$35+--($NZ36)</f>
        <v/>
      </c>
      <c r="OB36">
        <f>IF(ROW()-3&gt;MAX($OA$4:$OA$40),"",INDEX($DA$4:$DA$40,MATCH(ROW()-3,$OA$4:$OA$40,0)))</f>
        <v/>
      </c>
      <c r="OC36">
        <f>IF(COUNTIF('Buyer Groups'!DG89:DY89,0)+COUNTIF('Buyer Groups'!EA89:EN89,0)&gt;0,0,1)</f>
        <v/>
      </c>
      <c r="OD36">
        <f>IF($DF$36="",FALSE,SUMPRODUCT(('Final Calculation Sheet'!$T$4:$T$40=$DF$36)*($OC$6:$OC$42=1))&gt;0)</f>
        <v/>
      </c>
      <c r="OE36">
        <f>$OE$35+--($OD36)</f>
        <v/>
      </c>
      <c r="OF36">
        <f>IF(ROW()-3&gt;MAX($OE$4:$OE$40),"",INDEX($DF$4:$DF$40,MATCH(ROW()-3,$OE$4:$OE$40,0)))</f>
        <v/>
      </c>
      <c r="OG36">
        <f>IF(COUNTIF('Buyer Groups'!DG89:DZ89,0)+COUNTIF('Buyer Groups'!EB89:EN89,0)&gt;0,0,1)</f>
        <v/>
      </c>
      <c r="OH36">
        <f>IF($DK$36="",FALSE,SUMPRODUCT(('Final Calculation Sheet'!$U$4:$U$40=$DK$36)*($OG$6:$OG$42=1))&gt;0)</f>
        <v/>
      </c>
      <c r="OI36">
        <f>$OI$35+--($OH36)</f>
        <v/>
      </c>
      <c r="OJ36">
        <f>IF(ROW()-3&gt;MAX($OI$4:$OI$40),"",INDEX($DK$4:$DK$40,MATCH(ROW()-3,$OI$4:$OI$40,0)))</f>
        <v/>
      </c>
      <c r="OK36">
        <f>IF(COUNTIF('Buyer Groups'!DG89:EA89,0)+COUNTIF('Buyer Groups'!EC89:EN89,0)&gt;0,0,1)</f>
        <v/>
      </c>
      <c r="OL36">
        <f>IF($DP$36="",FALSE,SUMPRODUCT(('Final Calculation Sheet'!$V$4:$V$40=$DP$36)*($OK$6:$OK$42=1))&gt;0)</f>
        <v/>
      </c>
      <c r="OM36">
        <f>$OM$35+--($OL36)</f>
        <v/>
      </c>
      <c r="ON36">
        <f>IF(ROW()-3&gt;MAX($OM$4:$OM$40),"",INDEX($DP$4:$DP$40,MATCH(ROW()-3,$OM$4:$OM$40,0)))</f>
        <v/>
      </c>
      <c r="OO36">
        <f>IF(COUNTIF('Buyer Groups'!DG89:EB89,0)+COUNTIF('Buyer Groups'!ED89:EN89,0)&gt;0,0,1)</f>
        <v/>
      </c>
      <c r="OP36">
        <f>IF($DU$36="",FALSE,SUMPRODUCT(('Final Calculation Sheet'!$W$4:$W$40=$DU$36)*($OO$6:$OO$42=1))&gt;0)</f>
        <v/>
      </c>
      <c r="OQ36">
        <f>$OQ$35+--($OP36)</f>
        <v/>
      </c>
      <c r="OR36">
        <f>IF(ROW()-3&gt;MAX($OQ$4:$OQ$40),"",INDEX($DU$4:$DU$40,MATCH(ROW()-3,$OQ$4:$OQ$40,0)))</f>
        <v/>
      </c>
      <c r="OS36">
        <f>IF(COUNTIF('Buyer Groups'!DG89:EC89,0)+COUNTIF('Buyer Groups'!EE89:EN89,0)&gt;0,0,1)</f>
        <v/>
      </c>
      <c r="OT36">
        <f>IF($DZ$36="",FALSE,SUMPRODUCT(('Final Calculation Sheet'!$X$4:$X$40=$DZ$36)*($OS$6:$OS$42=1))&gt;0)</f>
        <v/>
      </c>
      <c r="OU36">
        <f>$OU$35+--($OT36)</f>
        <v/>
      </c>
      <c r="OV36">
        <f>IF(ROW()-3&gt;MAX($OU$4:$OU$40),"",INDEX($DZ$4:$DZ$40,MATCH(ROW()-3,$OU$4:$OU$40,0)))</f>
        <v/>
      </c>
      <c r="OW36">
        <f>IF(COUNTIF('Buyer Groups'!DG89:ED89,0)+COUNTIF('Buyer Groups'!EF89:EN89,0)&gt;0,0,1)</f>
        <v/>
      </c>
      <c r="OX36">
        <f>IF($EE$36="",FALSE,SUMPRODUCT(('Final Calculation Sheet'!$Y$4:$Y$40=$EE$36)*($OW$6:$OW$42=1))&gt;0)</f>
        <v/>
      </c>
      <c r="OY36">
        <f>$OY$35+--($OX36)</f>
        <v/>
      </c>
      <c r="OZ36">
        <f>IF(ROW()-3&gt;MAX($OY$4:$OY$40),"",INDEX($EE$4:$EE$40,MATCH(ROW()-3,$OY$4:$OY$40,0)))</f>
        <v/>
      </c>
      <c r="PA36">
        <f>IF(COUNTIF('Buyer Groups'!DG89:EE89,0)+COUNTIF('Buyer Groups'!EG89:EN89,0)&gt;0,0,1)</f>
        <v/>
      </c>
      <c r="PB36">
        <f>IF($EJ$36="",FALSE,SUMPRODUCT(('Final Calculation Sheet'!$Z$4:$Z$40=$EJ$36)*($PA$6:$PA$42=1))&gt;0)</f>
        <v/>
      </c>
      <c r="PC36">
        <f>$PC$35+--($PB36)</f>
        <v/>
      </c>
      <c r="PD36">
        <f>IF(ROW()-3&gt;MAX($PC$4:$PC$40),"",INDEX($EJ$4:$EJ$40,MATCH(ROW()-3,$PC$4:$PC$40,0)))</f>
        <v/>
      </c>
      <c r="PE36">
        <f>IF(COUNTIF('Buyer Groups'!DG89:EF89,0)+COUNTIF('Buyer Groups'!EH89:EN89,0)&gt;0,0,1)</f>
        <v/>
      </c>
      <c r="PF36">
        <f>IF($EO$36="",FALSE,SUMPRODUCT(('Final Calculation Sheet'!$AA$4:$AA$40=$EO$36)*($PE$6:$PE$42=1))&gt;0)</f>
        <v/>
      </c>
      <c r="PG36">
        <f>$PG$35+--($PF36)</f>
        <v/>
      </c>
      <c r="PH36">
        <f>IF(ROW()-3&gt;MAX($PG$4:$PG$40),"",INDEX($EO$4:$EO$40,MATCH(ROW()-3,$PG$4:$PG$40,0)))</f>
        <v/>
      </c>
      <c r="PI36">
        <f>IF(COUNTIF('Buyer Groups'!DG89:EG89,0)+COUNTIF('Buyer Groups'!EI89:EN89,0)&gt;0,0,1)</f>
        <v/>
      </c>
      <c r="PJ36">
        <f>IF($ET$36="",FALSE,SUMPRODUCT(('Final Calculation Sheet'!$AB$4:$AB$40=$ET$36)*($PI$6:$PI$42=1))&gt;0)</f>
        <v/>
      </c>
      <c r="PK36">
        <f>$PK$35+--($PJ36)</f>
        <v/>
      </c>
      <c r="PL36">
        <f>IF(ROW()-3&gt;MAX($PK$4:$PK$40),"",INDEX($ET$4:$ET$40,MATCH(ROW()-3,$PK$4:$PK$40,0)))</f>
        <v/>
      </c>
      <c r="PM36">
        <f>IF(COUNTIF('Buyer Groups'!DG89:EH89,0)+COUNTIF('Buyer Groups'!EJ89:EN89,0)&gt;0,0,1)</f>
        <v/>
      </c>
      <c r="PN36">
        <f>IF($EY$36="",FALSE,SUMPRODUCT(('Final Calculation Sheet'!$AC$4:$AC$40=$EY$36)*($PM$6:$PM$42=1))&gt;0)</f>
        <v/>
      </c>
      <c r="PO36">
        <f>$PO$35+--($PN36)</f>
        <v/>
      </c>
      <c r="PP36">
        <f>IF(ROW()-3&gt;MAX($PO$4:$PO$40),"",INDEX($EY$4:$EY$40,MATCH(ROW()-3,$PO$4:$PO$40,0)))</f>
        <v/>
      </c>
      <c r="PQ36">
        <f>IF(COUNTIF('Buyer Groups'!DG89:EI89,0)+COUNTIF('Buyer Groups'!EK89:EN89,0)&gt;0,0,1)</f>
        <v/>
      </c>
      <c r="PR36">
        <f>IF($FD$36="",FALSE,SUMPRODUCT(('Final Calculation Sheet'!$AD$4:$AD$40=$FD$36)*($PQ$6:$PQ$42=1))&gt;0)</f>
        <v/>
      </c>
      <c r="PS36">
        <f>$PS$35+--($PR36)</f>
        <v/>
      </c>
      <c r="PT36">
        <f>IF(ROW()-3&gt;MAX($PS$4:$PS$40),"",INDEX($FD$4:$FD$40,MATCH(ROW()-3,$PS$4:$PS$40,0)))</f>
        <v/>
      </c>
      <c r="PU36">
        <f>IF(COUNTIF('Buyer Groups'!DG89:EJ89,0)+COUNTIF('Buyer Groups'!EL89:EN89,0)&gt;0,0,1)</f>
        <v/>
      </c>
      <c r="PV36">
        <f>IF($FX$36="",FALSE,SUMPRODUCT((IF('Final Calculation Sheet'!$AD$4:$AD$40&lt;=5,"SETTLED","OUTSTANDING")=$FX$36)*($PU$6:$PU$42=1))&gt;0)</f>
        <v/>
      </c>
      <c r="PW36">
        <f>$PW$35+--($PV36)</f>
        <v/>
      </c>
      <c r="PX36">
        <f>IF(ROW()-3&gt;MAX($PW$4:$PW$40),"",INDEX($FX$4:$FX$40,MATCH(ROW()-3,$PW$4:$PW$40,0)))</f>
        <v/>
      </c>
      <c r="PY36">
        <f>IF(COUNTIF('Buyer Groups'!DG89:EK89,0)+COUNTIF('Buyer Groups'!EM89:EN89,0)&gt;0,0,1)</f>
        <v/>
      </c>
      <c r="PZ36">
        <f>IF($FI$36="",FALSE,SUMPRODUCT(('Final Calculation Sheet'!$AF$4:$AF$40=$FI$36)*($PY$6:$PY$42=1))&gt;0)</f>
        <v/>
      </c>
      <c r="QA36">
        <f>$QA$35+--($PZ36)</f>
        <v/>
      </c>
      <c r="QB36">
        <f>IF(ROW()-3&gt;MAX($QA$4:$QA$40),"",INDEX($FI$4:$FI$40,MATCH(ROW()-3,$QA$4:$QA$40,0)))</f>
        <v/>
      </c>
      <c r="QC36">
        <f>IF(COUNTIF('Buyer Groups'!DG89:EL89,0)+COUNTIF('Buyer Groups'!EN89:EN89,0)&gt;0,0,1)</f>
        <v/>
      </c>
      <c r="QD36">
        <f>IF($FN$36="",FALSE,SUMPRODUCT(('Final Calculation Sheet'!$AG$4:$AG$40=$FN$36)*($QC$6:$QC$42=1))&gt;0)</f>
        <v/>
      </c>
      <c r="QE36">
        <f>$QE$35+--($QD36)</f>
        <v/>
      </c>
      <c r="QF36">
        <f>IF(ROW()-3&gt;MAX($QE$4:$QE$40),"",INDEX($FN$4:$FN$40,MATCH(ROW()-3,$QE$4:$QE$40,0)))</f>
        <v/>
      </c>
      <c r="QG36">
        <f>IF(COUNTIF('Buyer Groups'!DG89:EM89,0)&gt;0,0,1)</f>
        <v/>
      </c>
      <c r="QH36">
        <f>IF($FS$36="",FALSE,SUMPRODUCT(('Final Calculation Sheet'!$AH$4:$AH$40=$FS$36)*($QG$6:$QG$42=1))&gt;0)</f>
        <v/>
      </c>
      <c r="QI36">
        <f>$QI$35+--($QH36)</f>
        <v/>
      </c>
      <c r="QJ36">
        <f>IF(ROW()-3&gt;MAX($QI$4:$QI$40),"",INDEX($FS$4:$FS$40,MATCH(ROW()-3,$QI$4:$QI$40,0)))</f>
        <v/>
      </c>
      <c r="QK36" t="str">
        <f>IF('Final Calculation Sheet'!$AH$36="","",'Final Calculation Sheet'!$AH$36)</f>
      </c>
      <c r="QL36" t="str">
        <f>IF(QK36="","",COUNTIFS(QK$4:QK$40,"&lt;"&amp;QK36,QK$4:QK$40,"&lt;&gt;"&amp;"")+COUNTIF(QK$4:QK36,QK36))</f>
      </c>
      <c r="QM36" t="str">
        <f>IF(ROW()-3&gt;COUNTIF(QK$4:QK$40,"&lt;&gt;"&amp;""),"",INDEX(QK$4:QK$40,MATCH(ROW()-3,QL$4:QL$40,0)))</f>
      </c>
      <c r="QN36" t="str">
        <f>=QN35+F(AND(QM36&lt;&gt;"",COUNTIF(QM$4:QM36,QM36)=1),1,0)</f>
      </c>
      <c r="QO36" t="str">
        <f>IF(ROW()-3&gt;MAX(QN$4:QN$40),"",INDEX(QM$4:QM$40,MATCH(ROW()-3,QN$4:QN$40,0)))</f>
      </c>
      <c r="QP36" t="str">
        <f>IF(COUNTIF('Final Calculation Sheet'!$AM36:$BS36,0)&gt;0,0,1)</f>
      </c>
      <c r="QQ36" t="str">
        <f>IF($AI$36="",FALSE,SUMPRODUCT(('Final Calculation Sheet'!$A$4:$A$40=$AI$36)*($QP$4:$QP$40=1))&gt;0)</f>
      </c>
      <c r="QR36" t="str">
        <f>=$QR35+--($QQ36)</f>
      </c>
      <c r="QS36" t="str">
        <f>IF(ROW()-3&gt;MAX($QR$4:$QR$40),"",INDEX($AI$4:$AI$40,MATCH(ROW()-3,$QR$4:$QR$40,0)))</f>
      </c>
      <c r="QT36" t="str">
        <f>IF(COUNTIF('Final Calculation Sheet'!$AL36:$AL36,0)+COUNTIF('Final Calculation Sheet'!$AN36:$BS36,0)&gt;0,0,1)</f>
      </c>
      <c r="QU36" t="str">
        <f>IF($Y$36="",FALSE,SUMPRODUCT(('Final Calculation Sheet'!$B$4:$B$40=$Y$36)*($QT$4:$QT$40=1))&gt;0)</f>
      </c>
      <c r="QV36" t="str">
        <f>=$QV35+--($QU36)</f>
      </c>
      <c r="QW36" t="str">
        <f>IF(ROW()-3&gt;MAX($QV$4:$QV$40),"",INDEX($Y$4:$Y$40,MATCH(ROW()-3,$QV$4:$QV$40,0)))</f>
      </c>
      <c r="QX36" t="str">
        <f>IF(COUNTIF('Final Calculation Sheet'!$AL36:$AM36,0)+COUNTIF('Final Calculation Sheet'!$AO36:$BS36,0)&gt;0,0,1)</f>
      </c>
      <c r="QY36" t="str">
        <f>IF($AS$36="",FALSE,SUMPRODUCT(('Final Calculation Sheet'!$C$4:$C$40=$AS$36)*($QX$4:$QX$40=1))&gt;0)</f>
      </c>
      <c r="QZ36" t="str">
        <f>=$QZ35+--($QY36)</f>
      </c>
      <c r="RA36" t="str">
        <f>IF(ROW()-3&gt;MAX($QZ$4:$QZ$40),"",INDEX($AS$4:$AS$40,MATCH(ROW()-3,$QZ$4:$QZ$40,0)))</f>
      </c>
      <c r="RB36" t="str">
        <f>IF(COUNTIF('Final Calculation Sheet'!$AL36:$AN36,0)+COUNTIF('Final Calculation Sheet'!$AP36:$BS36,0)&gt;0,0,1)</f>
      </c>
      <c r="RC36" t="str">
        <f>IF($AD$36="",FALSE,SUMPRODUCT(('Final Calculation Sheet'!$D$4:$D$40=$AD$36)*($RB$4:$RB$40=1))&gt;0)</f>
      </c>
      <c r="RD36" t="str">
        <f>=$RD35+--($RC36)</f>
      </c>
      <c r="RE36" t="str">
        <f>IF(ROW()-3&gt;MAX($RD$4:$RD$40),"",INDEX($AD$4:$AD$40,MATCH(ROW()-3,$RD$4:$RD$40,0)))</f>
      </c>
      <c r="RF36" t="str">
        <f>IF(COUNTIF('Final Calculation Sheet'!$AL36:$AO36,0)+COUNTIF('Final Calculation Sheet'!$AQ36:$BS36,0)&gt;0,0,1)</f>
      </c>
      <c r="RG36" t="str">
        <f>IF($AN$36="",FALSE,SUMPRODUCT(('Final Calculation Sheet'!$E$4:$E$40=$AN$36)*($RF$4:$RF$40=1))&gt;0)</f>
      </c>
      <c r="RH36" t="str">
        <f>=$RH35+--($RG36)</f>
      </c>
      <c r="RI36" t="str">
        <f>IF(ROW()-3&gt;MAX($RH$4:$RH$40),"",INDEX($AN$4:$AN$40,MATCH(ROW()-3,$RH$4:$RH$40,0)))</f>
      </c>
      <c r="RJ36" t="str">
        <f>IF(COUNTIF('Final Calculation Sheet'!$AL36:$AP36,0)+COUNTIF('Final Calculation Sheet'!$AR36:$BS36,0)&gt;0,0,1)</f>
      </c>
      <c r="RK36" t="str">
        <f>IF($O$36="",FALSE,SUMPRODUCT(('Final Calculation Sheet'!$F$4:$F$40=$O$36)*($RJ$4:$RJ$40=1))&gt;0)</f>
      </c>
      <c r="RL36" t="str">
        <f>=$RL35+--($RK36)</f>
      </c>
      <c r="RM36" t="str">
        <f>IF(ROW()-3&gt;MAX($RL$4:$RL$40),"",INDEX($O$4:$O$40,MATCH(ROW()-3,$RL$4:$RL$40,0)))</f>
      </c>
      <c r="RN36" t="str">
        <f>IF(COUNTIF('Final Calculation Sheet'!$AL36:$AQ36,0)+COUNTIF('Final Calculation Sheet'!$AS36:$BS36,0)&gt;0,0,1)</f>
      </c>
      <c r="RO36" t="str">
        <f>IF($T$36="",FALSE,SUMPRODUCT(('Final Calculation Sheet'!$G$4:$G$40=$T$36)*($RN$4:$RN$40=1))&gt;0)</f>
      </c>
      <c r="RP36" t="str">
        <f>=$RP35+--($RO36)</f>
      </c>
      <c r="RQ36" t="str">
        <f>IF(ROW()-3&gt;MAX($RP$4:$RP$40),"",INDEX($T$4:$T$40,MATCH(ROW()-3,$RP$4:$RP$40,0)))</f>
      </c>
      <c r="RR36" t="str">
        <f>IF(COUNTIF('Final Calculation Sheet'!$AL36:$AR36,0)+COUNTIF('Final Calculation Sheet'!$AT36:$BS36,0)&gt;0,0,1)</f>
      </c>
      <c r="RS36" t="str">
        <f>IF($AX$36="",FALSE,SUMPRODUCT(('Final Calculation Sheet'!$H$4:$H$40=$AX$36)*($RR$4:$RR$40=1))&gt;0)</f>
      </c>
      <c r="RT36" t="str">
        <f>=$RT35+--($RS36)</f>
      </c>
      <c r="RU36" t="str">
        <f>IF(ROW()-3&gt;MAX($RT$4:$RT$40),"",INDEX($AX$4:$AX$40,MATCH(ROW()-3,$RT$4:$RT$40,0)))</f>
      </c>
      <c r="RV36" t="str">
        <f>IF(COUNTIF('Final Calculation Sheet'!$AL36:$AS36,0)+COUNTIF('Final Calculation Sheet'!$AU36:$BS36,0)&gt;0,0,1)</f>
      </c>
      <c r="RW36" t="str">
        <f>IF($BC$36="",FALSE,SUMPRODUCT(('Final Calculation Sheet'!$I$4:$I$40=$BC$36)*($RV$4:$RV$40=1))&gt;0)</f>
      </c>
      <c r="RX36" t="str">
        <f>=$RX35+--($RW36)</f>
      </c>
      <c r="RY36" t="str">
        <f>IF(ROW()-3&gt;MAX($RX$4:$RX$40),"",INDEX($BC$4:$BC$40,MATCH(ROW()-3,$RX$4:$RX$40,0)))</f>
      </c>
      <c r="RZ36" t="str">
        <f>IF(COUNTIF('Final Calculation Sheet'!$AL36:$AT36,0)+COUNTIF('Final Calculation Sheet'!$AV36:$BS36,0)&gt;0,0,1)</f>
      </c>
      <c r="SA36" t="str">
        <f>IF($BH$36="",FALSE,SUMPRODUCT(('Final Calculation Sheet'!$J$4:$J$40=$BH$36)*($RZ$4:$RZ$40=1))&gt;0)</f>
      </c>
      <c r="SB36" t="str">
        <f>=$SB35+--($SA36)</f>
      </c>
      <c r="SC36" t="str">
        <f>IF(ROW()-3&gt;MAX($SB$4:$SB$40),"",INDEX($BH$4:$BH$40,MATCH(ROW()-3,$SB$4:$SB$40,0)))</f>
      </c>
      <c r="SD36" t="str">
        <f>IF(COUNTIF('Final Calculation Sheet'!$AL36:$AU36,0)+COUNTIF('Final Calculation Sheet'!$AW36:$BS36,0)&gt;0,0,1)</f>
      </c>
      <c r="SE36" t="str">
        <f>IF($BM$36="",FALSE,SUMPRODUCT(('Final Calculation Sheet'!$K$4:$K$40=$BM$36)*($SD$4:$SD$40=1))&gt;0)</f>
      </c>
      <c r="SF36" t="str">
        <f>=$SF35+--($SE36)</f>
      </c>
      <c r="SG36" t="str">
        <f>IF(ROW()-3&gt;MAX($SF$4:$SF$40),"",INDEX($BM$4:$BM$40,MATCH(ROW()-3,$SF$4:$SF$40,0)))</f>
      </c>
      <c r="SH36" t="str">
        <f>IF(COUNTIF('Final Calculation Sheet'!$AL36:$AV36,0)+COUNTIF('Final Calculation Sheet'!$AX36:$BS36,0)&gt;0,0,1)</f>
      </c>
      <c r="SI36" t="str">
        <f>IF($BR$36="",FALSE,SUMPRODUCT(('Final Calculation Sheet'!$L$4:$L$40=$BR$36)*($SH$4:$SH$40=1))&gt;0)</f>
      </c>
      <c r="SJ36" t="str">
        <f>=$SJ35+--($SI36)</f>
      </c>
      <c r="SK36" t="str">
        <f>IF(ROW()-3&gt;MAX($SJ$4:$SJ$40),"",INDEX($BR$4:$BR$40,MATCH(ROW()-3,$SJ$4:$SJ$40,0)))</f>
      </c>
      <c r="SL36" t="str">
        <f>IF(COUNTIF('Final Calculation Sheet'!$AL36:$AW36,0)+COUNTIF('Final Calculation Sheet'!$AY36:$BS36,0)&gt;0,0,1)</f>
      </c>
      <c r="SM36" t="str">
        <f>IF($BW$36="",FALSE,SUMPRODUCT(('Final Calculation Sheet'!$M$4:$M$40=$BW$36)*($SL$4:$SL$40=1))&gt;0)</f>
      </c>
      <c r="SN36" t="str">
        <f>=$SN35+--($SM36)</f>
      </c>
      <c r="SO36" t="str">
        <f>IF(ROW()-3&gt;MAX($SN$4:$SN$40),"",INDEX($BW$4:$BW$40,MATCH(ROW()-3,$SN$4:$SN$40,0)))</f>
      </c>
      <c r="SP36" t="str">
        <f>IF(COUNTIF('Final Calculation Sheet'!$AL36:$AX36,0)+COUNTIF('Final Calculation Sheet'!$AZ36:$BS36,0)&gt;0,0,1)</f>
      </c>
      <c r="SQ36" t="str">
        <f>IF($CB$36="",FALSE,SUMPRODUCT(('Final Calculation Sheet'!$N$4:$N$40=$CB$36)*($SP$4:$SP$40=1))&gt;0)</f>
      </c>
      <c r="SR36" t="str">
        <f>=$SR35+--($SQ36)</f>
      </c>
      <c r="SS36" t="str">
        <f>IF(ROW()-3&gt;MAX($SR$4:$SR$40),"",INDEX($CB$4:$CB$40,MATCH(ROW()-3,$SR$4:$SR$40,0)))</f>
      </c>
      <c r="ST36" t="str">
        <f>IF(COUNTIF('Final Calculation Sheet'!$AL36:$AY36,0)+COUNTIF('Final Calculation Sheet'!$BA36:$BS36,0)&gt;0,0,1)</f>
      </c>
      <c r="SU36" t="str">
        <f>IF($CG$36="",FALSE,SUMPRODUCT(('Final Calculation Sheet'!$O$4:$O$40=$CG$36)*($ST$4:$ST$40=1))&gt;0)</f>
      </c>
      <c r="SV36" t="str">
        <f>=$SV35+--($SU36)</f>
      </c>
      <c r="SW36" t="str">
        <f>IF(ROW()-3&gt;MAX($SV$4:$SV$40),"",INDEX($CG$4:$CG$40,MATCH(ROW()-3,$SV$4:$SV$40,0)))</f>
      </c>
      <c r="SX36" t="str">
        <f>IF(COUNTIF('Final Calculation Sheet'!$AL36:$AZ36,0)+COUNTIF('Final Calculation Sheet'!$BB36:$BS36,0)&gt;0,0,1)</f>
      </c>
      <c r="SY36" t="str">
        <f>IF($CL$36="",FALSE,SUMPRODUCT(('Final Calculation Sheet'!$P$4:$P$40=$CL$36)*($SX$4:$SX$40=1))&gt;0)</f>
      </c>
      <c r="SZ36" t="str">
        <f>=$SZ35+--($SY36)</f>
      </c>
      <c r="TA36" t="str">
        <f>IF(ROW()-3&gt;MAX($SZ$4:$SZ$40),"",INDEX($CL$4:$CL$40,MATCH(ROW()-3,$SZ$4:$SZ$40,0)))</f>
      </c>
      <c r="TB36" t="str">
        <f>IF(COUNTIF('Final Calculation Sheet'!$AL36:$BA36,0)+COUNTIF('Final Calculation Sheet'!$BC36:$BS36,0)&gt;0,0,1)</f>
      </c>
      <c r="TC36" t="str">
        <f>IF($CQ$36="",FALSE,SUMPRODUCT(('Final Calculation Sheet'!$Q$4:$Q$40=$CQ$36)*($TB$4:$TB$40=1))&gt;0)</f>
      </c>
      <c r="TD36" t="str">
        <f>=$TD35+--($TC36)</f>
      </c>
      <c r="TE36" t="str">
        <f>IF(ROW()-3&gt;MAX($TD$4:$TD$40),"",INDEX($CQ$4:$CQ$40,MATCH(ROW()-3,$TD$4:$TD$40,0)))</f>
      </c>
      <c r="TF36" t="str">
        <f>IF(COUNTIF('Final Calculation Sheet'!$AL36:$BB36,0)+COUNTIF('Final Calculation Sheet'!$BD36:$BS36,0)&gt;0,0,1)</f>
      </c>
      <c r="TG36" t="str">
        <f>IF($CV$36="",FALSE,SUMPRODUCT(('Final Calculation Sheet'!$R$4:$R$40=$CV$36)*($TF$4:$TF$40=1))&gt;0)</f>
      </c>
      <c r="TH36" t="str">
        <f>=$TH35+--($TG36)</f>
      </c>
      <c r="TI36" t="str">
        <f>IF(ROW()-3&gt;MAX($TH$4:$TH$40),"",INDEX($CV$4:$CV$40,MATCH(ROW()-3,$TH$4:$TH$40,0)))</f>
      </c>
      <c r="TJ36" t="str">
        <f>IF(COUNTIF('Final Calculation Sheet'!$AL36:$BC36,0)+COUNTIF('Final Calculation Sheet'!$BE36:$BS36,0)&gt;0,0,1)</f>
      </c>
      <c r="TK36" t="str">
        <f>IF($DA$36="",FALSE,SUMPRODUCT(('Final Calculation Sheet'!$S$4:$S$40=$DA$36)*($TJ$4:$TJ$40=1))&gt;0)</f>
      </c>
      <c r="TL36" t="str">
        <f>=$TL35+--($TK36)</f>
      </c>
      <c r="TM36" t="str">
        <f>IF(ROW()-3&gt;MAX($TL$4:$TL$40),"",INDEX($DA$4:$DA$40,MATCH(ROW()-3,$TL$4:$TL$40,0)))</f>
      </c>
      <c r="TN36" t="str">
        <f>IF(COUNTIF('Final Calculation Sheet'!$AL36:$BD36,0)+COUNTIF('Final Calculation Sheet'!$BF36:$BS36,0)&gt;0,0,1)</f>
      </c>
      <c r="TO36" t="str">
        <f>IF($DF$36="",FALSE,SUMPRODUCT(('Final Calculation Sheet'!$T$4:$T$40=$DF$36)*($TN$4:$TN$40=1))&gt;0)</f>
      </c>
      <c r="TP36" t="str">
        <f>=$TP35+--($TO36)</f>
      </c>
      <c r="TQ36" t="str">
        <f>IF(ROW()-3&gt;MAX($TP$4:$TP$40),"",INDEX($DF$4:$DF$40,MATCH(ROW()-3,$TP$4:$TP$40,0)))</f>
      </c>
      <c r="TR36" t="str">
        <f>IF(COUNTIF('Final Calculation Sheet'!$AL36:$BE36,0)+COUNTIF('Final Calculation Sheet'!$BG36:$BS36,0)&gt;0,0,1)</f>
      </c>
      <c r="TS36" t="str">
        <f>IF($DK$36="",FALSE,SUMPRODUCT(('Final Calculation Sheet'!$U$4:$U$40=$DK$36)*($TR$4:$TR$40=1))&gt;0)</f>
      </c>
      <c r="TT36" t="str">
        <f>=$TT35+--($TS36)</f>
      </c>
      <c r="TU36" t="str">
        <f>IF(ROW()-3&gt;MAX($TT$4:$TT$40),"",INDEX($DK$4:$DK$40,MATCH(ROW()-3,$TT$4:$TT$40,0)))</f>
      </c>
      <c r="TV36" t="str">
        <f>IF(COUNTIF('Final Calculation Sheet'!$AL36:$BF36,0)+COUNTIF('Final Calculation Sheet'!$BH36:$BS36,0)&gt;0,0,1)</f>
      </c>
      <c r="TW36" t="str">
        <f>IF($DP$36="",FALSE,SUMPRODUCT(('Final Calculation Sheet'!$V$4:$V$40=$DP$36)*($TV$4:$TV$40=1))&gt;0)</f>
      </c>
      <c r="TX36" t="str">
        <f>=$TX35+--($TW36)</f>
      </c>
      <c r="TY36" t="str">
        <f>IF(ROW()-3&gt;MAX($TX$4:$TX$40),"",INDEX($DP$4:$DP$40,MATCH(ROW()-3,$TX$4:$TX$40,0)))</f>
      </c>
      <c r="TZ36" t="str">
        <f>IF(COUNTIF('Final Calculation Sheet'!$AL36:$BG36,0)+COUNTIF('Final Calculation Sheet'!$BI36:$BS36,0)&gt;0,0,1)</f>
      </c>
      <c r="UA36" t="str">
        <f>IF($DU$36="",FALSE,SUMPRODUCT(('Final Calculation Sheet'!$W$4:$W$40=$DU$36)*($TZ$4:$TZ$40=1))&gt;0)</f>
      </c>
      <c r="UB36" t="str">
        <f>=$UB35+--($UA36)</f>
      </c>
      <c r="UC36" t="str">
        <f>IF(ROW()-3&gt;MAX($UB$4:$UB$40),"",INDEX($DU$4:$DU$40,MATCH(ROW()-3,$UB$4:$UB$40,0)))</f>
      </c>
      <c r="UD36" t="str">
        <f>IF(COUNTIF('Final Calculation Sheet'!$AL36:$BH36,0)+COUNTIF('Final Calculation Sheet'!$BJ36:$BS36,0)&gt;0,0,1)</f>
      </c>
      <c r="UE36" t="str">
        <f>IF($DZ$36="",FALSE,SUMPRODUCT(('Final Calculation Sheet'!$X$4:$X$40=$DZ$36)*($UD$4:$UD$40=1))&gt;0)</f>
      </c>
      <c r="UF36" t="str">
        <f>=$UF35+--($UE36)</f>
      </c>
      <c r="UG36" t="str">
        <f>IF(ROW()-3&gt;MAX($UF$4:$UF$40),"",INDEX($DZ$4:$DZ$40,MATCH(ROW()-3,$UF$4:$UF$40,0)))</f>
      </c>
      <c r="UH36" t="str">
        <f>IF(COUNTIF('Final Calculation Sheet'!$AL36:$BI36,0)+COUNTIF('Final Calculation Sheet'!$BK36:$BS36,0)&gt;0,0,1)</f>
      </c>
      <c r="UI36" t="str">
        <f>IF($EE$36="",FALSE,SUMPRODUCT(('Final Calculation Sheet'!$Y$4:$Y$40=$EE$36)*($UH$4:$UH$40=1))&gt;0)</f>
      </c>
      <c r="UJ36" t="str">
        <f>=$UJ35+--($UI36)</f>
      </c>
      <c r="UK36" t="str">
        <f>IF(ROW()-3&gt;MAX($UJ$4:$UJ$40),"",INDEX($EE$4:$EE$40,MATCH(ROW()-3,$UJ$4:$UJ$40,0)))</f>
      </c>
      <c r="UL36" t="str">
        <f>IF(COUNTIF('Final Calculation Sheet'!$AL36:$BJ36,0)+COUNTIF('Final Calculation Sheet'!$BL36:$BS36,0)&gt;0,0,1)</f>
      </c>
      <c r="UM36" t="str">
        <f>IF($EJ$36="",FALSE,SUMPRODUCT(('Final Calculation Sheet'!$Z$4:$Z$40=$EJ$36)*($UL$4:$UL$40=1))&gt;0)</f>
      </c>
      <c r="UN36" t="str">
        <f>=$UN35+--($UM36)</f>
      </c>
      <c r="UO36" t="str">
        <f>IF(ROW()-3&gt;MAX($UN$4:$UN$40),"",INDEX($EJ$4:$EJ$40,MATCH(ROW()-3,$UN$4:$UN$40,0)))</f>
      </c>
      <c r="UP36" t="str">
        <f>IF(COUNTIF('Final Calculation Sheet'!$AL36:$BK36,0)+COUNTIF('Final Calculation Sheet'!$BM36:$BS36,0)&gt;0,0,1)</f>
      </c>
      <c r="UQ36" t="str">
        <f>IF($EO$36="",FALSE,SUMPRODUCT(('Final Calculation Sheet'!$AA$4:$AA$40=$EO$36)*($UP$4:$UP$40=1))&gt;0)</f>
      </c>
      <c r="UR36" t="str">
        <f>=$UR35+--($UQ36)</f>
      </c>
      <c r="US36" t="str">
        <f>IF(ROW()-3&gt;MAX($UR$4:$UR$40),"",INDEX($EO$4:$EO$40,MATCH(ROW()-3,$UR$4:$UR$40,0)))</f>
      </c>
      <c r="UT36" t="str">
        <f>IF(COUNTIF('Final Calculation Sheet'!$AL36:$BL36,0)+COUNTIF('Final Calculation Sheet'!$BN36:$BS36,0)&gt;0,0,1)</f>
      </c>
      <c r="UU36" t="str">
        <f>IF($ET$36="",FALSE,SUMPRODUCT(('Final Calculation Sheet'!$AB$4:$AB$40=$ET$36)*($UT$4:$UT$40=1))&gt;0)</f>
      </c>
      <c r="UV36" t="str">
        <f>=$UV35+--($UU36)</f>
      </c>
      <c r="UW36" t="str">
        <f>IF(ROW()-3&gt;MAX($UV$4:$UV$40),"",INDEX($ET$4:$ET$40,MATCH(ROW()-3,$UV$4:$UV$40,0)))</f>
      </c>
      <c r="UX36" t="str">
        <f>IF(COUNTIF('Final Calculation Sheet'!$AL36:$BM36,0)+COUNTIF('Final Calculation Sheet'!$BO36:$BS36,0)&gt;0,0,1)</f>
      </c>
      <c r="UY36" t="str">
        <f>IF($EY$36="",FALSE,SUMPRODUCT(('Final Calculation Sheet'!$AC$4:$AC$40=$EY$36)*($UX$4:$UX$40=1))&gt;0)</f>
      </c>
      <c r="UZ36" t="str">
        <f>=$UZ35+--($UY36)</f>
      </c>
      <c r="VA36" t="str">
        <f>IF(ROW()-3&gt;MAX($UZ$4:$UZ$40),"",INDEX($EY$4:$EY$40,MATCH(ROW()-3,$UZ$4:$UZ$40,0)))</f>
      </c>
      <c r="VB36" t="str">
        <f>IF(COUNTIF('Final Calculation Sheet'!$AL36:$BN36,0)+COUNTIF('Final Calculation Sheet'!$BP36:$BS36,0)&gt;0,0,1)</f>
      </c>
      <c r="VC36" t="str">
        <f>IF($FD$36="",FALSE,SUMPRODUCT(('Final Calculation Sheet'!$AD$4:$AD$40=$FD$36)*($VB$4:$VB$40=1))&gt;0)</f>
      </c>
      <c r="VD36" t="str">
        <f>=$VD35+--($VC36)</f>
      </c>
      <c r="VE36" t="str">
        <f>IF(ROW()-3&gt;MAX($VD$4:$VD$40),"",INDEX($FD$4:$FD$40,MATCH(ROW()-3,$VD$4:$VD$40,0)))</f>
      </c>
      <c r="VF36" t="str">
        <f>IF(COUNTIF('Final Calculation Sheet'!$AL36:$BO36,0)+COUNTIF('Final Calculation Sheet'!$BQ36:$BS36,0)&gt;0,0,1)</f>
      </c>
      <c r="VG36" t="str">
        <f>IF($FI$36="",FALSE,SUMPRODUCT(('Final Calculation Sheet'!$AE$4:$AE$40=$FI$36)*($VF$4:$VF$40=1))&gt;0)</f>
      </c>
      <c r="VH36" t="str">
        <f>=$VH35+--($VG36)</f>
      </c>
      <c r="VI36" t="str">
        <f>IF(ROW()-3&gt;MAX($VH$4:$VH$40),"",INDEX($FI$4:$FI$40,MATCH(ROW()-3,$VH$4:$VH$40,0)))</f>
      </c>
      <c r="VJ36" t="str">
        <f>IF(COUNTIF('Final Calculation Sheet'!$AL36:$BP36,0)+COUNTIF('Final Calculation Sheet'!$BR36:$BS36,0)&gt;0,0,1)</f>
      </c>
      <c r="VK36" t="str">
        <f>IF($FN$36="",FALSE,SUMPRODUCT(('Final Calculation Sheet'!$AF$4:$AF$40=$FN$36)*($VJ$4:$VJ$40=1))&gt;0)</f>
      </c>
      <c r="VL36" t="str">
        <f>=$VL35+--($VK36)</f>
      </c>
      <c r="VM36" t="str">
        <f>IF(ROW()-3&gt;MAX($VL$4:$VL$40),"",INDEX($FN$4:$FN$40,MATCH(ROW()-3,$VL$4:$VL$40,0)))</f>
      </c>
      <c r="VN36" t="str">
        <f>IF(COUNTIF('Final Calculation Sheet'!$AL36:$BQ36,0)+COUNTIF('Final Calculation Sheet'!$BS36:$BS36,0)&gt;0,0,1)</f>
      </c>
      <c r="VO36" t="str">
        <f>IF($FS$36="",FALSE,SUMPRODUCT(('Final Calculation Sheet'!$AG$4:$AG$40=$FS$36)*($VN$4:$VN$40=1))&gt;0)</f>
      </c>
      <c r="VP36" t="str">
        <f>=$VP35+--($VO36)</f>
      </c>
      <c r="VQ36" t="str">
        <f>IF(ROW()-3&gt;MAX($VP$4:$VP$40),"",INDEX($FS$4:$FS$40,MATCH(ROW()-3,$VP$4:$VP$40,0)))</f>
      </c>
      <c r="VR36" t="str">
        <f>IF(COUNTIF('Final Calculation Sheet'!$AL36:$BR36,0)&gt;0,0,1)</f>
      </c>
      <c r="VS36" t="str">
        <f>IF($QO$36="",FALSE,SUMPRODUCT(('Final Calculation Sheet'!$AH$4:$AH$40=$QO$36)*($VR$4:$VR$40=1))&gt;0)</f>
      </c>
      <c r="VT36" t="str">
        <f>=$VT35+--($VS36)</f>
      </c>
      <c r="VU36" t="str">
        <f>IF(ROW()-3&gt;MAX($VT$4:$VT$40),"",INDEX($QO$4:$QO$40,MATCH(ROW()-3,$VT$4:$VT$40,0)))</f>
      </c>
    </row>
    <row r="37">
      <c r="A37">
        <f>IF('Final Calculation Sheet'!$F$37="","",'Final Calculation Sheet'!$F$37)</f>
        <v/>
      </c>
      <c r="B37">
        <f>IF(A37="","",COUNTIFS(A$4:A$114,"&lt;"&amp;A37,A$4:A$114,"&lt;&gt;"&amp;"")+COUNTIF(A$4:A37,A37))</f>
        <v/>
      </c>
      <c r="C37">
        <f>IF(ROW()-3&gt;COUNTIF(A$4:A$114,"&lt;&gt;"&amp;""),"",INDEX(A$4:A$114,MATCH(ROW()-3,B$4:B$114,0)))</f>
        <v/>
      </c>
      <c r="D37">
        <f>D36+IF(AND(C37&lt;&gt;"",COUNTIF(C$4:C37,C37)=1),1,0)</f>
        <v/>
      </c>
      <c r="E37">
        <f>IF(ROW()-3&gt;MAX(D$4:D$114),"",INDEX(C$4:C$114,MATCH(ROW()-3,D$4:D$114,0)))</f>
        <v/>
      </c>
      <c r="F37">
        <f>ROW()-3</f>
        <v/>
      </c>
      <c r="G37">
        <f>IF(F37="","",COUNTIFS(F$4:F$40,"&lt;"&amp;F37,F$4:F$40,"&lt;&gt;"&amp;"")+COUNTIF(F$4:F37,F37))</f>
        <v/>
      </c>
      <c r="H37">
        <f>IF(ROW()-3&gt;COUNTIF(F$4:F$40,"&lt;&gt;"&amp;""),"",INDEX(F$4:F$40,MATCH(ROW()-3,G$4:G$40,0)))</f>
        <v/>
      </c>
      <c r="I37">
        <f>I36+IF(AND(H37&lt;&gt;"",COUNTIF(H$4:H37,H37)=1),1,0)</f>
        <v/>
      </c>
      <c r="J37">
        <f>IF(ROW()-3&gt;MAX(I$4:I$40),"",INDEX(H$4:H$40,MATCH(ROW()-3,I$4:I$40,0)))</f>
        <v/>
      </c>
      <c r="K37">
        <f>IF('Final Calculation Sheet'!$F$37="","",'Final Calculation Sheet'!$F$37)</f>
        <v/>
      </c>
      <c r="L37">
        <f>IF(K37="","",COUNTIFS(K$4:K$40,"&lt;"&amp;K37,K$4:K$40,"&lt;&gt;"&amp;"")+COUNTIF(K$4:K37,K37))</f>
        <v/>
      </c>
      <c r="M37">
        <f>IF(ROW()-3&gt;COUNTIF(K$4:K$40,"&lt;&gt;"&amp;""),"",INDEX(K$4:K$40,MATCH(ROW()-3,L$4:L$40,0)))</f>
        <v/>
      </c>
      <c r="N37">
        <f>N36+IF(AND(M37&lt;&gt;"",COUNTIF(M$4:M37,M37)=1),1,0)</f>
        <v/>
      </c>
      <c r="O37">
        <f>IF(ROW()-3&gt;MAX(N$4:N$40),"",INDEX(M$4:M$40,MATCH(ROW()-3,N$4:N$40,0)))</f>
        <v/>
      </c>
      <c r="P37">
        <f>IF('Final Calculation Sheet'!$G$37="","",'Final Calculation Sheet'!$G$37)</f>
        <v/>
      </c>
      <c r="Q37">
        <f>IF(P37="","",COUNTIFS(P$4:P$40,"&lt;"&amp;P37,P$4:P$40,"&lt;&gt;"&amp;"")+COUNTIF(P$4:P37,P37))</f>
        <v/>
      </c>
      <c r="R37">
        <f>IF(ROW()-3&gt;COUNTIF(P$4:P$40,"&lt;&gt;"&amp;""),"",INDEX(P$4:P$40,MATCH(ROW()-3,Q$4:Q$40,0)))</f>
        <v/>
      </c>
      <c r="S37">
        <f>S36+IF(AND(R37&lt;&gt;"",COUNTIF(R$4:R37,R37)=1),1,0)</f>
        <v/>
      </c>
      <c r="T37">
        <f>IF(ROW()-3&gt;MAX(S$4:S$40),"",INDEX(R$4:R$40,MATCH(ROW()-3,S$4:S$40,0)))</f>
        <v/>
      </c>
      <c r="U37">
        <f>IF('Final Calculation Sheet'!$B$37="","",'Final Calculation Sheet'!$B$37)</f>
        <v/>
      </c>
      <c r="V37">
        <f>IF(U37="","",COUNTIFS(U$4:U$40,"&lt;"&amp;U37,U$4:U$40,"&lt;&gt;"&amp;"")+COUNTIF(U$4:U37,U37))</f>
        <v/>
      </c>
      <c r="W37">
        <f>IF(ROW()-3&gt;COUNTIF(U$4:U$40,"&lt;&gt;"&amp;""),"",INDEX(U$4:U$40,MATCH(ROW()-3,V$4:V$40,0)))</f>
        <v/>
      </c>
      <c r="X37">
        <f>X36+IF(AND(W37&lt;&gt;"",COUNTIF(W$4:W37,W37)=1),1,0)</f>
        <v/>
      </c>
      <c r="Y37">
        <f>IF(ROW()-3&gt;MAX(X$4:X$40),"",INDEX(W$4:W$40,MATCH(ROW()-3,X$4:X$40,0)))</f>
        <v/>
      </c>
      <c r="Z37">
        <f>IF('Final Calculation Sheet'!$D$37="","",'Final Calculation Sheet'!$D$37)</f>
        <v/>
      </c>
      <c r="AA37">
        <f>IF(Z37="","",COUNTIFS(Z$4:Z$40,"&lt;"&amp;Z37,Z$4:Z$40,"&lt;&gt;"&amp;"")+COUNTIF(Z$4:Z37,Z37))</f>
        <v/>
      </c>
      <c r="AB37">
        <f>IF(ROW()-3&gt;COUNTIF(Z$4:Z$40,"&lt;&gt;"&amp;""),"",INDEX(Z$4:Z$40,MATCH(ROW()-3,AA$4:AA$40,0)))</f>
        <v/>
      </c>
      <c r="AC37">
        <f>AC36+IF(AND(AB37&lt;&gt;"",COUNTIF(AB$4:AB37,AB37)=1),1,0)</f>
        <v/>
      </c>
      <c r="AD37">
        <f>IF(ROW()-3&gt;MAX(AC$4:AC$40),"",INDEX(AB$4:AB$40,MATCH(ROW()-3,AC$4:AC$40,0)))</f>
        <v/>
      </c>
      <c r="AE37">
        <f>IF('Final Calculation Sheet'!$A$37="","",'Final Calculation Sheet'!$A$37)</f>
        <v/>
      </c>
      <c r="AF37">
        <f>IF(AE37="","",COUNTIFS(AE$4:AE$40,"&lt;"&amp;AE37,AE$4:AE$40,"&lt;&gt;"&amp;"")+COUNTIF(AE$4:AE37,AE37))</f>
        <v/>
      </c>
      <c r="AG37">
        <f>IF(ROW()-3&gt;COUNTIF(AE$4:AE$40,"&lt;&gt;"&amp;""),"",INDEX(AE$4:AE$40,MATCH(ROW()-3,AF$4:AF$40,0)))</f>
        <v/>
      </c>
      <c r="AH37">
        <f>AH36+IF(AND(AG37&lt;&gt;"",COUNTIF(AG$4:AG37,AG37)=1),1,0)</f>
        <v/>
      </c>
      <c r="AI37">
        <f>IF(ROW()-3&gt;MAX(AH$4:AH$40),"",INDEX(AG$4:AG$40,MATCH(ROW()-3,AH$4:AH$40,0)))</f>
        <v/>
      </c>
      <c r="AJ37">
        <f>IF('Final Calculation Sheet'!$E$37="","",'Final Calculation Sheet'!$E$37)</f>
        <v/>
      </c>
      <c r="AK37">
        <f>IF(AJ37="","",COUNTIFS(AJ$4:AJ$40,"&lt;"&amp;AJ37,AJ$4:AJ$40,"&lt;&gt;"&amp;"")+COUNTIF(AJ$4:AJ37,AJ37))</f>
        <v/>
      </c>
      <c r="AL37">
        <f>IF(ROW()-3&gt;COUNTIF(AJ$4:AJ$40,"&lt;&gt;"&amp;""),"",INDEX(AJ$4:AJ$40,MATCH(ROW()-3,AK$4:AK$40,0)))</f>
        <v/>
      </c>
      <c r="AM37">
        <f>AM36+IF(AND(AL37&lt;&gt;"",COUNTIF(AL$4:AL37,AL37)=1),1,0)</f>
        <v/>
      </c>
      <c r="AN37">
        <f>IF(ROW()-3&gt;MAX(AM$4:AM$40),"",INDEX(AL$4:AL$40,MATCH(ROW()-3,AM$4:AM$40,0)))</f>
        <v/>
      </c>
      <c r="AO37" s="55">
        <f>IF('Final Calculation Sheet'!$C$37="","",'Final Calculation Sheet'!$C$37)</f>
        <v/>
      </c>
      <c r="AP37">
        <f>IF(AO37="","",COUNTIFS(AO$4:AO$40,"&lt;"&amp;AO37,AO$4:AO$40,"&lt;&gt;"&amp;"")+COUNTIF(AO$4:AO37,AO37))</f>
        <v/>
      </c>
      <c r="AQ37" s="55">
        <f>IF(ROW()-3&gt;COUNTIF(AO$4:AO$40,"&lt;&gt;"&amp;""),"",INDEX(AO$4:AO$40,MATCH(ROW()-3,AP$4:AP$40,0)))</f>
        <v/>
      </c>
      <c r="AR37">
        <f>AR36+IF(AND(AQ37&lt;&gt;"",COUNTIF(AQ$4:AQ37,AQ37)=1),1,0)</f>
        <v/>
      </c>
      <c r="AS37" s="55">
        <f>IF(ROW()-3&gt;MAX(AR$4:AR$40),"",INDEX(AQ$4:AQ$40,MATCH(ROW()-3,AR$4:AR$40,0)))</f>
        <v/>
      </c>
      <c r="AT37" s="55">
        <f>IF('Final Calculation Sheet'!$H$37="","",'Final Calculation Sheet'!$H$37)</f>
        <v/>
      </c>
      <c r="AU37">
        <f>IF(AT37="","",COUNTIFS(AT$4:AT$40,"&lt;"&amp;AT37,AT$4:AT$40,"&lt;&gt;"&amp;"")+COUNTIF(AT$4:AT37,AT37))</f>
        <v/>
      </c>
      <c r="AV37" s="55">
        <f>IF(ROW()-3&gt;COUNTIF(AT$4:AT$40,"&lt;&gt;"&amp;""),"",INDEX(AT$4:AT$40,MATCH(ROW()-3,AU$4:AU$40,0)))</f>
        <v/>
      </c>
      <c r="AW37">
        <f>AW36+IF(AND(AV37&lt;&gt;"",COUNTIF(AV$4:AV37,AV37)=1),1,0)</f>
        <v/>
      </c>
      <c r="AX37" s="55">
        <f>IF(ROW()-3&gt;MAX(AW$4:AW$40),"",INDEX(AV$4:AV$40,MATCH(ROW()-3,AW$4:AW$40,0)))</f>
        <v/>
      </c>
      <c r="AY37" s="55">
        <f>IF('Final Calculation Sheet'!$I$37="","",'Final Calculation Sheet'!$I$37)</f>
        <v/>
      </c>
      <c r="AZ37">
        <f>IF(AY37="","",COUNTIFS(AY$4:AY$40,"&lt;"&amp;AY37,AY$4:AY$40,"&lt;&gt;"&amp;"")+COUNTIF(AY$4:AY37,AY37))</f>
        <v/>
      </c>
      <c r="BA37" s="55">
        <f>IF(ROW()-3&gt;COUNTIF(AY$4:AY$40,"&lt;&gt;"&amp;""),"",INDEX(AY$4:AY$40,MATCH(ROW()-3,AZ$4:AZ$40,0)))</f>
        <v/>
      </c>
      <c r="BB37">
        <f>BB36+IF(AND(BA37&lt;&gt;"",COUNTIF(BA$4:BA37,BA37)=1),1,0)</f>
        <v/>
      </c>
      <c r="BC37" s="55">
        <f>IF(ROW()-3&gt;MAX(BB$4:BB$40),"",INDEX(BA$4:BA$40,MATCH(ROW()-3,BB$4:BB$40,0)))</f>
        <v/>
      </c>
      <c r="BD37" s="55">
        <f>IF('Final Calculation Sheet'!$J$37="","",'Final Calculation Sheet'!$J$37)</f>
        <v/>
      </c>
      <c r="BE37">
        <f>IF(BD37="","",COUNTIFS(BD$4:BD$40,"&lt;"&amp;BD37,BD$4:BD$40,"&lt;&gt;"&amp;"")+COUNTIF(BD$4:BD37,BD37))</f>
        <v/>
      </c>
      <c r="BF37" s="55">
        <f>IF(ROW()-3&gt;COUNTIF(BD$4:BD$40,"&lt;&gt;"&amp;""),"",INDEX(BD$4:BD$40,MATCH(ROW()-3,BE$4:BE$40,0)))</f>
        <v/>
      </c>
      <c r="BG37">
        <f>BG36+IF(AND(BF37&lt;&gt;"",COUNTIF(BF$4:BF37,BF37)=1),1,0)</f>
        <v/>
      </c>
      <c r="BH37" s="55">
        <f>IF(ROW()-3&gt;MAX(BG$4:BG$40),"",INDEX(BF$4:BF$40,MATCH(ROW()-3,BG$4:BG$40,0)))</f>
        <v/>
      </c>
      <c r="BI37" s="55">
        <f>IF('Final Calculation Sheet'!$K$37="","",'Final Calculation Sheet'!$K$37)</f>
        <v/>
      </c>
      <c r="BJ37">
        <f>IF(BI37="","",COUNTIFS(BI$4:BI$40,"&lt;"&amp;BI37,BI$4:BI$40,"&lt;&gt;"&amp;"")+COUNTIF(BI$4:BI37,BI37))</f>
        <v/>
      </c>
      <c r="BK37" s="55">
        <f>IF(ROW()-3&gt;COUNTIF(BI$4:BI$40,"&lt;&gt;"&amp;""),"",INDEX(BI$4:BI$40,MATCH(ROW()-3,BJ$4:BJ$40,0)))</f>
        <v/>
      </c>
      <c r="BL37">
        <f>BL36+IF(AND(BK37&lt;&gt;"",COUNTIF(BK$4:BK37,BK37)=1),1,0)</f>
        <v/>
      </c>
      <c r="BM37" s="55">
        <f>IF(ROW()-3&gt;MAX(BL$4:BL$40),"",INDEX(BK$4:BK$40,MATCH(ROW()-3,BL$4:BL$40,0)))</f>
        <v/>
      </c>
      <c r="BN37" s="55">
        <f>IF('Final Calculation Sheet'!$L$37="","",'Final Calculation Sheet'!$L$37)</f>
        <v/>
      </c>
      <c r="BO37">
        <f>IF(BN37="","",COUNTIFS(BN$4:BN$40,"&lt;"&amp;BN37,BN$4:BN$40,"&lt;&gt;"&amp;"")+COUNTIF(BN$4:BN37,BN37))</f>
        <v/>
      </c>
      <c r="BP37" s="55">
        <f>IF(ROW()-3&gt;COUNTIF(BN$4:BN$40,"&lt;&gt;"&amp;""),"",INDEX(BN$4:BN$40,MATCH(ROW()-3,BO$4:BO$40,0)))</f>
        <v/>
      </c>
      <c r="BQ37">
        <f>BQ36+IF(AND(BP37&lt;&gt;"",COUNTIF(BP$4:BP37,BP37)=1),1,0)</f>
        <v/>
      </c>
      <c r="BR37" s="55">
        <f>IF(ROW()-3&gt;MAX(BQ$4:BQ$40),"",INDEX(BP$4:BP$40,MATCH(ROW()-3,BQ$4:BQ$40,0)))</f>
        <v/>
      </c>
      <c r="BS37" s="55">
        <f>IF('Final Calculation Sheet'!$M$37="","",'Final Calculation Sheet'!$M$37)</f>
        <v/>
      </c>
      <c r="BT37">
        <f>IF(BS37="","",COUNTIFS(BS$4:BS$40,"&lt;"&amp;BS37,BS$4:BS$40,"&lt;&gt;"&amp;"")+COUNTIF(BS$4:BS37,BS37))</f>
        <v/>
      </c>
      <c r="BU37" s="55">
        <f>IF(ROW()-3&gt;COUNTIF(BS$4:BS$40,"&lt;&gt;"&amp;""),"",INDEX(BS$4:BS$40,MATCH(ROW()-3,BT$4:BT$40,0)))</f>
        <v/>
      </c>
      <c r="BV37">
        <f>BV36+IF(AND(BU37&lt;&gt;"",COUNTIF(BU$4:BU37,BU37)=1),1,0)</f>
        <v/>
      </c>
      <c r="BW37" s="55">
        <f>IF(ROW()-3&gt;MAX(BV$4:BV$40),"",INDEX(BU$4:BU$40,MATCH(ROW()-3,BV$4:BV$40,0)))</f>
        <v/>
      </c>
      <c r="BX37" s="138">
        <f>IF('Final Calculation Sheet'!$N$37="","",'Final Calculation Sheet'!$N$37)</f>
        <v/>
      </c>
      <c r="BY37">
        <f>IF(BX37="","",COUNTIFS(BX$4:BX$40,"&lt;"&amp;BX37,BX$4:BX$40,"&lt;&gt;"&amp;"")+COUNTIF(BX$4:BX37,BX37))</f>
        <v/>
      </c>
      <c r="BZ37" s="138">
        <f>IF(ROW()-3&gt;COUNTIF(BX$4:BX$40,"&lt;&gt;"&amp;""),"",INDEX(BX$4:BX$40,MATCH(ROW()-3,BY$4:BY$40,0)))</f>
        <v/>
      </c>
      <c r="CA37">
        <f>CA36+IF(AND(BZ37&lt;&gt;"",COUNTIF(BZ$4:BZ37,BZ37)=1),1,0)</f>
        <v/>
      </c>
      <c r="CB37" s="138">
        <f>IF(ROW()-3&gt;MAX(CA$4:CA$40),"",INDEX(BZ$4:BZ$40,MATCH(ROW()-3,CA$4:CA$40,0)))</f>
        <v/>
      </c>
      <c r="CC37" s="55">
        <f>IF('Final Calculation Sheet'!$O$37="","",'Final Calculation Sheet'!$O$37)</f>
        <v/>
      </c>
      <c r="CD37">
        <f>IF(CC37="","",COUNTIFS(CC$4:CC$40,"&lt;"&amp;CC37,CC$4:CC$40,"&lt;&gt;"&amp;"")+COUNTIF(CC$4:CC37,CC37))</f>
        <v/>
      </c>
      <c r="CE37" s="55">
        <f>IF(ROW()-3&gt;COUNTIF(CC$4:CC$40,"&lt;&gt;"&amp;""),"",INDEX(CC$4:CC$40,MATCH(ROW()-3,CD$4:CD$40,0)))</f>
        <v/>
      </c>
      <c r="CF37">
        <f>CF36+IF(AND(CE37&lt;&gt;"",COUNTIF(CE$4:CE37,CE37)=1),1,0)</f>
        <v/>
      </c>
      <c r="CG37" s="55">
        <f>IF(ROW()-3&gt;MAX(CF$4:CF$40),"",INDEX(CE$4:CE$40,MATCH(ROW()-3,CF$4:CF$40,0)))</f>
        <v/>
      </c>
      <c r="CH37" s="55">
        <f>IF('Final Calculation Sheet'!$P$37="","",'Final Calculation Sheet'!$P$37)</f>
        <v/>
      </c>
      <c r="CI37">
        <f>IF(CH37="","",COUNTIFS(CH$4:CH$40,"&lt;"&amp;CH37,CH$4:CH$40,"&lt;&gt;"&amp;"")+COUNTIF(CH$4:CH37,CH37))</f>
        <v/>
      </c>
      <c r="CJ37" s="55">
        <f>IF(ROW()-3&gt;COUNTIF(CH$4:CH$40,"&lt;&gt;"&amp;""),"",INDEX(CH$4:CH$40,MATCH(ROW()-3,CI$4:CI$40,0)))</f>
        <v/>
      </c>
      <c r="CK37">
        <f>CK36+IF(AND(CJ37&lt;&gt;"",COUNTIF(CJ$4:CJ37,CJ37)=1),1,0)</f>
        <v/>
      </c>
      <c r="CL37" s="55">
        <f>IF(ROW()-3&gt;MAX(CK$4:CK$40),"",INDEX(CJ$4:CJ$40,MATCH(ROW()-3,CK$4:CK$40,0)))</f>
        <v/>
      </c>
      <c r="CM37" s="139">
        <f>IF('Final Calculation Sheet'!$Q$37="","",'Final Calculation Sheet'!$Q$37)</f>
        <v/>
      </c>
      <c r="CN37">
        <f>IF(CM37="","",COUNTIFS(CM$4:CM$40,"&lt;"&amp;CM37,CM$4:CM$40,"&lt;&gt;"&amp;"")+COUNTIF(CM$4:CM37,CM37))</f>
        <v/>
      </c>
      <c r="CO37" s="139">
        <f>IF(ROW()-3&gt;COUNTIF(CM$4:CM$40,"&lt;&gt;"&amp;""),"",INDEX(CM$4:CM$40,MATCH(ROW()-3,CN$4:CN$40,0)))</f>
        <v/>
      </c>
      <c r="CP37">
        <f>CP36+IF(AND(CO37&lt;&gt;"",COUNTIF(CO$4:CO37,CO37)=1),1,0)</f>
        <v/>
      </c>
      <c r="CQ37">
        <f>IF(ROW()-3&gt;MAX(CP$4:CP$40),"",INDEX(CO$4:CO$40,MATCH(ROW()-3,CP$4:CP$40,0)))</f>
        <v/>
      </c>
      <c r="CR37" s="55">
        <f>IF('Final Calculation Sheet'!$R$37="","",'Final Calculation Sheet'!$R$37)</f>
        <v/>
      </c>
      <c r="CS37">
        <f>IF(CR37="","",COUNTIFS(CR$4:CR$40,"&lt;"&amp;CR37,CR$4:CR$40,"&lt;&gt;"&amp;"")+COUNTIF(CR$4:CR37,CR37))</f>
        <v/>
      </c>
      <c r="CT37" s="55">
        <f>IF(ROW()-3&gt;COUNTIF(CR$4:CR$40,"&lt;&gt;"&amp;""),"",INDEX(CR$4:CR$40,MATCH(ROW()-3,CS$4:CS$40,0)))</f>
        <v/>
      </c>
      <c r="CU37">
        <f>CU36+IF(AND(CT37&lt;&gt;"",COUNTIF(CT$4:CT37,CT37)=1),1,0)</f>
        <v/>
      </c>
      <c r="CV37">
        <f>IF(ROW()-3&gt;MAX(CU$4:CU$40),"",INDEX(CT$4:CT$40,MATCH(ROW()-3,CU$4:CU$40,0)))</f>
        <v/>
      </c>
      <c r="CW37" s="55">
        <f>IF('Final Calculation Sheet'!$S$37="","",'Final Calculation Sheet'!$S$37)</f>
        <v/>
      </c>
      <c r="CX37">
        <f>IF(CW37="","",COUNTIFS(CW$4:CW$40,"&lt;"&amp;CW37,CW$4:CW$40,"&lt;&gt;"&amp;"")+COUNTIF(CW$4:CW37,CW37))</f>
        <v/>
      </c>
      <c r="CY37" s="55">
        <f>IF(ROW()-3&gt;COUNTIF(CW$4:CW$40,"&lt;&gt;"&amp;""),"",INDEX(CW$4:CW$40,MATCH(ROW()-3,CX$4:CX$40,0)))</f>
        <v/>
      </c>
      <c r="CZ37">
        <f>CZ36+IF(AND(CY37&lt;&gt;"",COUNTIF(CY$4:CY37,CY37)=1),1,0)</f>
        <v/>
      </c>
      <c r="DA37" s="55">
        <f>IF(ROW()-3&gt;MAX(CZ$4:CZ$40),"",INDEX(CY$4:CY$40,MATCH(ROW()-3,CZ$4:CZ$40,0)))</f>
        <v/>
      </c>
      <c r="DB37" s="55">
        <f>IF('Final Calculation Sheet'!$T$37="","",'Final Calculation Sheet'!$T$37)</f>
        <v/>
      </c>
      <c r="DC37">
        <f>IF(DB37="","",COUNTIFS(DB$4:DB$40,"&lt;"&amp;DB37,DB$4:DB$40,"&lt;&gt;"&amp;"")+COUNTIF(DB$4:DB37,DB37))</f>
        <v/>
      </c>
      <c r="DD37" s="55">
        <f>IF(ROW()-3&gt;COUNTIF(DB$4:DB$40,"&lt;&gt;"&amp;""),"",INDEX(DB$4:DB$40,MATCH(ROW()-3,DC$4:DC$40,0)))</f>
        <v/>
      </c>
      <c r="DE37">
        <f>DE36+IF(AND(DD37&lt;&gt;"",COUNTIF(DD$4:DD37,DD37)=1),1,0)</f>
        <v/>
      </c>
      <c r="DF37" s="55">
        <f>IF(ROW()-3&gt;MAX(DE$4:DE$40),"",INDEX(DD$4:DD$40,MATCH(ROW()-3,DE$4:DE$40,0)))</f>
        <v/>
      </c>
      <c r="DG37" s="140">
        <f>IF('Final Calculation Sheet'!$U$37="","",'Final Calculation Sheet'!$U$37)</f>
        <v/>
      </c>
      <c r="DH37">
        <f>IF(DG37="","",COUNTIFS(DG$4:DG$40,"&lt;"&amp;DG37,DG$4:DG$40,"&lt;&gt;"&amp;"")+COUNTIF(DG$4:DG37,DG37))</f>
        <v/>
      </c>
      <c r="DI37" s="140">
        <f>IF(ROW()-3&gt;COUNTIF(DG$4:DG$40,"&lt;&gt;"&amp;""),"",INDEX(DG$4:DG$40,MATCH(ROW()-3,DH$4:DH$40,0)))</f>
        <v/>
      </c>
      <c r="DJ37">
        <f>DJ36+IF(AND(DI37&lt;&gt;"",COUNTIF(DI$4:DI37,DI37)=1),1,0)</f>
        <v/>
      </c>
      <c r="DK37" s="140">
        <f>IF(ROW()-3&gt;MAX(DJ$4:DJ$40),"",INDEX(DI$4:DI$40,MATCH(ROW()-3,DJ$4:DJ$40,0)))</f>
        <v/>
      </c>
      <c r="DL37">
        <f>IF('Final Calculation Sheet'!$V$37="","",'Final Calculation Sheet'!$V$37)</f>
        <v/>
      </c>
      <c r="DM37">
        <f>IF(DL37="","",COUNTIFS(DL$4:DL$40,"&lt;"&amp;DL37,DL$4:DL$40,"&lt;&gt;"&amp;"")+COUNTIF(DL$4:DL37,DL37))</f>
        <v/>
      </c>
      <c r="DN37">
        <f>IF(ROW()-3&gt;COUNTIF(DL$4:DL$40,"&lt;&gt;"&amp;""),"",INDEX(DL$4:DL$40,MATCH(ROW()-3,DM$4:DM$40,0)))</f>
        <v/>
      </c>
      <c r="DO37">
        <f>DO36+IF(AND(DN37&lt;&gt;"",COUNTIF(DN$4:DN37,DN37)=1),1,0)</f>
        <v/>
      </c>
      <c r="DP37">
        <f>IF(ROW()-3&gt;MAX(DO$4:DO$40),"",INDEX(DN$4:DN$40,MATCH(ROW()-3,DO$4:DO$40,0)))</f>
        <v/>
      </c>
      <c r="DQ37" s="55">
        <f>IF('Final Calculation Sheet'!$W$37="","",'Final Calculation Sheet'!$W$37)</f>
        <v/>
      </c>
      <c r="DR37">
        <f>IF(DQ37="","",COUNTIFS(DQ$4:DQ$40,"&lt;"&amp;DQ37,DQ$4:DQ$40,"&lt;&gt;"&amp;"")+COUNTIF(DQ$4:DQ37,DQ37))</f>
        <v/>
      </c>
      <c r="DS37" s="55">
        <f>IF(ROW()-3&gt;COUNTIF(DQ$4:DQ$40,"&lt;&gt;"&amp;""),"",INDEX(DQ$4:DQ$40,MATCH(ROW()-3,DR$4:DR$40,0)))</f>
        <v/>
      </c>
      <c r="DT37">
        <f>DT36+IF(AND(DS37&lt;&gt;"",COUNTIF(DS$4:DS37,DS37)=1),1,0)</f>
        <v/>
      </c>
      <c r="DU37" s="55">
        <f>IF(ROW()-3&gt;MAX(DT$4:DT$40),"",INDEX(DS$4:DS$40,MATCH(ROW()-3,DT$4:DT$40,0)))</f>
        <v/>
      </c>
      <c r="DV37" s="55">
        <f>IF('Final Calculation Sheet'!$X$37="","",'Final Calculation Sheet'!$X$37)</f>
        <v/>
      </c>
      <c r="DW37">
        <f>IF(DV37="","",COUNTIFS(DV$4:DV$40,"&lt;"&amp;DV37,DV$4:DV$40,"&lt;&gt;"&amp;"")+COUNTIF(DV$4:DV37,DV37))</f>
        <v/>
      </c>
      <c r="DX37" s="55">
        <f>IF(ROW()-3&gt;COUNTIF(DV$4:DV$40,"&lt;&gt;"&amp;""),"",INDEX(DV$4:DV$40,MATCH(ROW()-3,DW$4:DW$40,0)))</f>
        <v/>
      </c>
      <c r="DY37">
        <f>DY36+IF(AND(DX37&lt;&gt;"",COUNTIF(DX$4:DX37,DX37)=1),1,0)</f>
        <v/>
      </c>
      <c r="DZ37">
        <f>IF(ROW()-3&gt;MAX(DY$4:DY$40),"",INDEX(DX$4:DX$40,MATCH(ROW()-3,DY$4:DY$40,0)))</f>
        <v/>
      </c>
      <c r="EA37">
        <f>IF('Final Calculation Sheet'!$Y$37="","",'Final Calculation Sheet'!$Y$37)</f>
        <v/>
      </c>
      <c r="EB37">
        <f>IF(EA37="","",COUNTIFS(EA$4:EA$40,"&lt;"&amp;EA37,EA$4:EA$40,"&lt;&gt;"&amp;"")+COUNTIF(EA$4:EA37,EA37))</f>
        <v/>
      </c>
      <c r="EC37">
        <f>IF(ROW()-3&gt;COUNTIF(EA$4:EA$40,"&lt;&gt;"&amp;""),"",INDEX(EA$4:EA$40,MATCH(ROW()-3,EB$4:EB$40,0)))</f>
        <v/>
      </c>
      <c r="ED37">
        <f>ED36+IF(AND(EC37&lt;&gt;"",COUNTIF(EC$4:EC37,EC37)=1),1,0)</f>
        <v/>
      </c>
      <c r="EE37">
        <f>IF(ROW()-3&gt;MAX(ED$4:ED$40),"",INDEX(EC$4:EC$40,MATCH(ROW()-3,ED$4:ED$40,0)))</f>
        <v/>
      </c>
      <c r="EF37" s="55">
        <f>IF('Final Calculation Sheet'!$Z$37="","",'Final Calculation Sheet'!$Z$37)</f>
        <v/>
      </c>
      <c r="EG37">
        <f>IF(EF37="","",COUNTIFS(EF$4:EF$40,"&lt;"&amp;EF37,EF$4:EF$40,"&lt;&gt;"&amp;"")+COUNTIF(EF$4:EF37,EF37))</f>
        <v/>
      </c>
      <c r="EH37" s="55">
        <f>IF(ROW()-3&gt;COUNTIF(EF$4:EF$40,"&lt;&gt;"&amp;""),"",INDEX(EF$4:EF$40,MATCH(ROW()-3,EG$4:EG$40,0)))</f>
        <v/>
      </c>
      <c r="EI37">
        <f>EI36+IF(AND(EH37&lt;&gt;"",COUNTIF(EH$4:EH37,EH37)=1),1,0)</f>
        <v/>
      </c>
      <c r="EJ37">
        <f>IF(ROW()-3&gt;MAX(EI$4:EI$40),"",INDEX(EH$4:EH$40,MATCH(ROW()-3,EI$4:EI$40,0)))</f>
        <v/>
      </c>
      <c r="EK37">
        <f>IF('Final Calculation Sheet'!$AA$37="","",'Final Calculation Sheet'!$AA$37)</f>
        <v/>
      </c>
      <c r="EL37">
        <f>IF(EK37="","",COUNTIFS(EK$4:EK$40,"&lt;"&amp;EK37,EK$4:EK$40,"&lt;&gt;"&amp;"")+COUNTIF(EK$4:EK37,EK37))</f>
        <v/>
      </c>
      <c r="EM37">
        <f>IF(ROW()-3&gt;COUNTIF(EK$4:EK$40,"&lt;&gt;"&amp;""),"",INDEX(EK$4:EK$40,MATCH(ROW()-3,EL$4:EL$40,0)))</f>
        <v/>
      </c>
      <c r="EN37">
        <f>EN36+IF(AND(EM37&lt;&gt;"",COUNTIF(EM$4:EM37,EM37)=1),1,0)</f>
        <v/>
      </c>
      <c r="EO37">
        <f>IF(ROW()-3&gt;MAX(EN$4:EN$40),"",INDEX(EM$4:EM$40,MATCH(ROW()-3,EN$4:EN$40,0)))</f>
        <v/>
      </c>
      <c r="EP37">
        <f>IF('Final Calculation Sheet'!$AB$37="","",'Final Calculation Sheet'!$AB$37)</f>
        <v/>
      </c>
      <c r="EQ37">
        <f>IF(EP37="","",COUNTIFS(EP$4:EP$40,"&lt;"&amp;EP37,EP$4:EP$40,"&lt;&gt;"&amp;"")+COUNTIF(EP$4:EP37,EP37))</f>
        <v/>
      </c>
      <c r="ER37">
        <f>IF(ROW()-3&gt;COUNTIF(EP$4:EP$40,"&lt;&gt;"&amp;""),"",INDEX(EP$4:EP$40,MATCH(ROW()-3,EQ$4:EQ$40,0)))</f>
        <v/>
      </c>
      <c r="ES37">
        <f>ES36+IF(AND(ER37&lt;&gt;"",COUNTIF(ER$4:ER37,ER37)=1),1,0)</f>
        <v/>
      </c>
      <c r="ET37">
        <f>IF(ROW()-3&gt;MAX(ES$4:ES$40),"",INDEX(ER$4:ER$40,MATCH(ROW()-3,ES$4:ES$40,0)))</f>
        <v/>
      </c>
      <c r="EU37" s="55">
        <f>IF('Final Calculation Sheet'!$AC$37="","",'Final Calculation Sheet'!$AC$37)</f>
        <v/>
      </c>
      <c r="EV37">
        <f>IF(EU37="","",COUNTIFS(EU$4:EU$40,"&lt;"&amp;EU37,EU$4:EU$40,"&lt;&gt;"&amp;"")+COUNTIF(EU$4:EU37,EU37))</f>
        <v/>
      </c>
      <c r="EW37" s="55">
        <f>IF(ROW()-3&gt;COUNTIF(EU$4:EU$40,"&lt;&gt;"&amp;""),"",INDEX(EU$4:EU$40,MATCH(ROW()-3,EV$4:EV$40,0)))</f>
        <v/>
      </c>
      <c r="EX37">
        <f>EX36+IF(AND(EW37&lt;&gt;"",COUNTIF(EW$4:EW37,EW37)=1),1,0)</f>
        <v/>
      </c>
      <c r="EY37" s="55">
        <f>IF(ROW()-3&gt;MAX(EX$4:EX$40),"",INDEX(EW$4:EW$40,MATCH(ROW()-3,EX$4:EX$40,0)))</f>
        <v/>
      </c>
      <c r="EZ37" s="55">
        <f>IF('Final Calculation Sheet'!$AD$37="","",'Final Calculation Sheet'!$AD$37)</f>
        <v/>
      </c>
      <c r="FA37">
        <f>IF(EZ37="","",COUNTIFS(EZ$4:EZ$40,"&lt;"&amp;EZ37,EZ$4:EZ$40,"&lt;&gt;"&amp;"")+COUNTIF(EZ$4:EZ37,EZ37))</f>
        <v/>
      </c>
      <c r="FB37" s="55">
        <f>IF(ROW()-3&gt;COUNTIF(EZ$4:EZ$40,"&lt;&gt;"&amp;""),"",INDEX(EZ$4:EZ$40,MATCH(ROW()-3,FA$4:FA$40,0)))</f>
        <v/>
      </c>
      <c r="FC37">
        <f>FC36+IF(AND(FB37&lt;&gt;"",COUNTIF(FB$4:FB37,FB37)=1),1,0)</f>
        <v/>
      </c>
      <c r="FD37">
        <f>IF(ROW()-3&gt;MAX(FC$4:FC$40),"",INDEX(FB$4:FB$40,MATCH(ROW()-3,FC$4:FC$40,0)))</f>
        <v/>
      </c>
      <c r="FE37">
        <f>IF('Final Calculation Sheet'!$AF$37="","",'Final Calculation Sheet'!$AF$37)</f>
        <v/>
      </c>
      <c r="FF37">
        <f>IF(FE37="","",COUNTIFS(FE$4:FE$40,"&lt;"&amp;FE37,FE$4:FE$40,"&lt;&gt;"&amp;"")+COUNTIF(FE$4:FE37,FE37))</f>
        <v/>
      </c>
      <c r="FG37">
        <f>IF(ROW()-3&gt;COUNTIF(FE$4:FE$40,"&lt;&gt;"&amp;""),"",INDEX(FE$4:FE$40,MATCH(ROW()-3,FF$4:FF$40,0)))</f>
        <v/>
      </c>
      <c r="FH37">
        <f>FH36+IF(AND(FG37&lt;&gt;"",COUNTIF(FG$4:FG37,FG37)=1),1,0)</f>
        <v/>
      </c>
      <c r="FI37">
        <f>IF(ROW()-3&gt;MAX(FH$4:FH$40),"",INDEX(FG$4:FG$40,MATCH(ROW()-3,FH$4:FH$40,0)))</f>
        <v/>
      </c>
      <c r="FJ37" s="141">
        <f>IF('Final Calculation Sheet'!$AG$37="","",'Final Calculation Sheet'!$AG$37)</f>
        <v/>
      </c>
      <c r="FK37">
        <f>IF(FJ37="","",COUNTIFS(FJ$4:FJ$40,"&lt;"&amp;FJ37,FJ$4:FJ$40,"&lt;&gt;"&amp;"")+COUNTIF(FJ$4:FJ37,FJ37))</f>
        <v/>
      </c>
      <c r="FL37">
        <f>IF(ROW()-3&gt;COUNTIF(FJ$4:FJ$40,"&lt;&gt;"&amp;""),"",INDEX(FJ$4:FJ$40,MATCH(ROW()-3,FK$4:FK$40,0)))</f>
        <v/>
      </c>
      <c r="FM37">
        <f>FM36+IF(AND(FL37&lt;&gt;"",COUNTIF(FL$4:FL37,FL37)=1),1,0)</f>
        <v/>
      </c>
      <c r="FN37">
        <f>IF(ROW()-3&gt;MAX(FM$4:FM$40),"",INDEX(FL$4:FL$40,MATCH(ROW()-3,FM$4:FM$40,0)))</f>
        <v/>
      </c>
      <c r="FO37">
        <f>IF('Final Calculation Sheet'!$AH$37="","",'Final Calculation Sheet'!$AH$37)</f>
        <v/>
      </c>
      <c r="FP37">
        <f>IF(FO37="","",COUNTIFS(FO$4:FO$40,"&lt;"&amp;FO37,FO$4:FO$40,"&lt;&gt;"&amp;"")+COUNTIF(FO$4:FO37,FO37))</f>
        <v/>
      </c>
      <c r="FQ37">
        <f>IF(ROW()-3&gt;COUNTIF(FO$4:FO$40,"&lt;&gt;"&amp;""),"",INDEX(FO$4:FO$40,MATCH(ROW()-3,FP$4:FP$40,0)))</f>
        <v/>
      </c>
      <c r="FR37">
        <f>FR36+IF(AND(FQ37&lt;&gt;"",COUNTIF(FQ$4:FQ37,FQ37)=1),1,0)</f>
        <v/>
      </c>
      <c r="FS37">
        <f>IF(ROW()-3&gt;MAX(FR$4:FR$40),"",INDEX(FQ$4:FQ$40,MATCH(ROW()-3,FR$4:FR$40,0)))</f>
        <v/>
      </c>
      <c r="FU37">
        <f>IF(FT37="","",COUNTIFS(FT$4:FT$40,"&lt;"&amp;FT37,FT$4:FT$40,"&lt;&gt;"&amp;"")+COUNTIF(FT$4:FT37,FT37))</f>
        <v/>
      </c>
      <c r="FV37">
        <f>IF(ROW()-3&gt;COUNTIF(FT$4:FT$40,"&lt;&gt;"&amp;""),"",INDEX(FT$4:FT$40,MATCH(ROW()-3,FU$4:FU$40,0)))</f>
        <v/>
      </c>
      <c r="FW37">
        <f>FW36+IF(AND(FV37&lt;&gt;"",COUNTIF(FV$4:FV37,FV37)=1),1,0)</f>
        <v/>
      </c>
      <c r="FX37">
        <f>IF(ROW()-3&gt;MAX(FW$4:FW$40),"",INDEX(FV$4:FV$40,MATCH(ROW()-3,FW$4:FW$40,0)))</f>
        <v/>
      </c>
      <c r="FY37">
        <f>IF(COUNTIF('Live Search'!BM$36:BO$36,0)+COUNTIF('Live Search'!BQ$36:CU$36,0)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7">
        <f>IF($Y$37="",FALSE,SUMPRODUCT(('Final Calculation Sheet'!$B$4:$B$40=$Y$37)*($FY$6:$FY$42=1))&gt;0)</f>
        <v/>
      </c>
      <c r="GA37">
        <f>$GA$36+--($FZ$37)</f>
        <v/>
      </c>
      <c r="GB37">
        <f>IF(ROW()-3&gt;MAX($GA$4:$GA$40),"",INDEX($Y$4:$Y$40,MATCH(ROW()-3,$GA$4:$GA$40,0)))</f>
        <v/>
      </c>
      <c r="GC37">
        <f>IF(COUNTIF('Live Search'!BM$36:BM$36,0)+COUNTIF('Live Search'!BO$36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GD37">
        <f>IF($O$37="",FALSE,SUMPRODUCT(('Final Calculation Sheet'!$F$4:$F$40=$O$37)*($GC$6:$GC$42=1))&gt;0)</f>
        <v/>
      </c>
      <c r="GE37">
        <f>$GE$36+--($GD37)</f>
        <v/>
      </c>
      <c r="GF37">
        <f>IF(ROW()-3&gt;MAX($GE$4:$GE$40),"",INDEX($O$4:$O$40,MATCH(ROW()-3,$GE$4:$GE$40,0)))</f>
        <v/>
      </c>
      <c r="GG37">
        <f>IF(COUNTIF('Live Search'!BM$36:BN$36,0)+COUNTIF('Live Search'!BP$36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GH37">
        <f>IF($T$37="",FALSE,SUMPRODUCT(('Final Calculation Sheet'!$G$4:$G$40=$T$37)*($GG$6:$GG$42=1))&gt;0)</f>
        <v/>
      </c>
      <c r="GI37">
        <f>$GI$36+--($GH37)</f>
        <v/>
      </c>
      <c r="GJ37">
        <f>IF(ROW()-3&gt;MAX($GI$4:$GI$40),"",INDEX($T$4:$T$40,MATCH(ROW()-3,$GI$4:$GI$40,0)))</f>
        <v/>
      </c>
      <c r="GK37">
        <f>IF(COUNTIF('Live Search'!BM$36:BP$36,0)+COUNTIF('Live Search'!BR$36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GL37">
        <f>IF($AD$37="",FALSE,SUMPRODUCT(('Final Calculation Sheet'!$D$4:$D$40=$AD$37)*($GK$6:$GK$42=1))&gt;0)</f>
        <v/>
      </c>
      <c r="GM37">
        <f>$GM$36+--($GL37)</f>
        <v/>
      </c>
      <c r="GN37">
        <f>IF(ROW()-3&gt;MAX($GM$4:$GM$40),"",INDEX($AD$4:$AD$40,MATCH(ROW()-3,$GM$4:$GM$40,0)))</f>
        <v/>
      </c>
      <c r="GO37">
        <f>IF(COUNTIF('Live Search'!BM$36:BQ$36,0)+COUNTIF('Live Search'!BS$36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GP37">
        <f>IF($AI$37="",FALSE,SUMPRODUCT(('Final Calculation Sheet'!$A$4:$A$40=$AI$37)*($GO$6:$GO$42=1))&gt;0)</f>
        <v/>
      </c>
      <c r="GQ37">
        <f>$GQ$36+--($GP37)</f>
        <v/>
      </c>
      <c r="GR37">
        <f>IF(ROW()-3&gt;MAX($GQ$4:$GQ$40),"",INDEX($AI$4:$AI$40,MATCH(ROW()-3,$GQ$4:$GQ$40,0)))</f>
        <v/>
      </c>
      <c r="GS37">
        <f>IF(COUNTIF('Live Search'!BM$36:BR$36,0)+COUNTIF('Live Search'!BT$36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GT37">
        <f>IF($AN$37="",FALSE,SUMPRODUCT(('Final Calculation Sheet'!$E$4:$E$40=$AN$37)*($GS$6:$GS$42=1))&gt;0)</f>
        <v/>
      </c>
      <c r="GU37">
        <f>$GU$36+--($GT37)</f>
        <v/>
      </c>
      <c r="GV37">
        <f>IF(ROW()-3&gt;MAX($GU$4:$GU$40),"",INDEX($AN$4:$AN$40,MATCH(ROW()-3,$GU$4:$GU$40,0)))</f>
        <v/>
      </c>
      <c r="GW37">
        <f>IF(COUNTIF('Live Search'!BM$36:BS$36,0)+COUNTIF('Live Search'!BU$36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GX37">
        <f>IF($AS$37="",FALSE,SUMPRODUCT(('Final Calculation Sheet'!$C$4:$C$40=$AS$37)*($GW$6:$GW$42=1))&gt;0)</f>
        <v/>
      </c>
      <c r="GY37">
        <f>$GY$36+--($GX37)</f>
        <v/>
      </c>
      <c r="GZ37">
        <f>IF(ROW()-3&gt;MAX($GY$4:$GY$40),"",INDEX($AS$4:$AS$40,MATCH(ROW()-3,$GY$4:$GY$40,0)))</f>
        <v/>
      </c>
      <c r="HA37">
        <f>IF(COUNTIF('Live Search'!BM$36:BT$36,0)+COUNTIF('Live Search'!BV$36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HB37">
        <f>IF($AX$37="",FALSE,SUMPRODUCT(('Final Calculation Sheet'!$H$4:$H$40=$AX$37)*($HA$6:$HA$42=1))&gt;0)</f>
        <v/>
      </c>
      <c r="HC37">
        <f>$HC$36+--($HB37)</f>
        <v/>
      </c>
      <c r="HD37">
        <f>IF(ROW()-3&gt;MAX($HC$4:$HC$40),"",INDEX($AX$4:$AX$40,MATCH(ROW()-3,$HC$4:$HC$40,0)))</f>
        <v/>
      </c>
      <c r="HE37">
        <f>IF(COUNTIF('Live Search'!BM$36:BU$36,0)+COUNTIF('Live Search'!BW$36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HF37">
        <f>IF($BC$37="",FALSE,SUMPRODUCT(('Final Calculation Sheet'!$I$4:$I$40=$BC$37)*($HE$6:$HE$42=1))&gt;0)</f>
        <v/>
      </c>
      <c r="HG37">
        <f>$HG$36+--($HF37)</f>
        <v/>
      </c>
      <c r="HH37">
        <f>IF(ROW()-3&gt;MAX($HG$4:$HG$40),"",INDEX($BC$4:$BC$40,MATCH(ROW()-3,$HG$4:$HG$40,0)))</f>
        <v/>
      </c>
      <c r="HI37">
        <f>IF(COUNTIF('Live Search'!BM$36:BV$36,0)+COUNTIF('Live Search'!BX$36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HJ37">
        <f>IF($BH$37="",FALSE,SUMPRODUCT(('Final Calculation Sheet'!$J$4:$J$40=$BH$37)*($HI$6:$HI$42=1))&gt;0)</f>
        <v/>
      </c>
      <c r="HK37">
        <f>$HK$36+--($HJ37)</f>
        <v/>
      </c>
      <c r="HL37">
        <f>IF(ROW()-3&gt;MAX($HK$4:$HK$40),"",INDEX($BH$4:$BH$40,MATCH(ROW()-3,$HK$4:$HK$40,0)))</f>
        <v/>
      </c>
      <c r="HM37">
        <f>IF(COUNTIF('Live Search'!BM$36:BW$36,0)+COUNTIF('Live Search'!BY$36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HN37">
        <f>IF($BM$37="",FALSE,SUMPRODUCT(('Final Calculation Sheet'!$K$4:$K$40=$BM$37)*($HM$6:$HM$42=1))&gt;0)</f>
        <v/>
      </c>
      <c r="HO37">
        <f>$HO$36+--($HN37)</f>
        <v/>
      </c>
      <c r="HP37">
        <f>IF(ROW()-3&gt;MAX($HO$4:$HO$40),"",INDEX($BM$4:$BM$40,MATCH(ROW()-3,$HO$4:$HO$40,0)))</f>
        <v/>
      </c>
      <c r="HQ37">
        <f>IF(COUNTIF('Live Search'!BM$36:BX$36,0)+COUNTIF('Live Search'!BZ$36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HR37">
        <f>IF($BR$37="",FALSE,SUMPRODUCT(('Final Calculation Sheet'!$L$4:$L$40=$BR$37)*($HQ$6:$HQ$42=1))&gt;0)</f>
        <v/>
      </c>
      <c r="HS37">
        <f>$HS$36+--($HR37)</f>
        <v/>
      </c>
      <c r="HT37">
        <f>IF(ROW()-3&gt;MAX($HS$4:$HS$40),"",INDEX($BR$4:$BR$40,MATCH(ROW()-3,$HS$4:$HS$40,0)))</f>
        <v/>
      </c>
      <c r="HU37">
        <f>IF(COUNTIF('Live Search'!BM$36:BY$36,0)+COUNTIF('Live Search'!CA$36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HV37">
        <f>IF($BW$37="",FALSE,SUMPRODUCT(('Final Calculation Sheet'!$M$4:$M$40=$BW$37)*($HU$6:$HU$42=1))&gt;0)</f>
        <v/>
      </c>
      <c r="HW37">
        <f>$HW$36+--($HV37)</f>
        <v/>
      </c>
      <c r="HX37">
        <f>IF(ROW()-3&gt;MAX($HW$4:$HW$40),"",INDEX($BW$4:$BW$40,MATCH(ROW()-3,$HW$4:$HW$40,0)))</f>
        <v/>
      </c>
      <c r="HY37">
        <f>IF(COUNTIF('Live Search'!BM$36:BZ$36,0)+COUNTIF('Live Search'!CB$36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HZ37">
        <f>IF($CB$37="",FALSE,SUMPRODUCT(('Final Calculation Sheet'!$N$4:$N$40=$CB$37)*($HY$6:$HY$42=1))&gt;0)</f>
        <v/>
      </c>
      <c r="IA37">
        <f>$IA$36+--($HZ37)</f>
        <v/>
      </c>
      <c r="IB37">
        <f>IF(ROW()-3&gt;MAX($IA$4:$IA$40),"",INDEX($CB$4:$CB$40,MATCH(ROW()-3,$IA$4:$IA$40,0)))</f>
        <v/>
      </c>
      <c r="IC37">
        <f>IF(COUNTIF('Live Search'!BM$36:CA$36,0)+COUNTIF('Live Search'!CC$36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ID37">
        <f>IF($CG$37="",FALSE,SUMPRODUCT(('Final Calculation Sheet'!$O$4:$O$40=$CG$37)*($IC$6:$IC$42=1))&gt;0)</f>
        <v/>
      </c>
      <c r="IE37">
        <f>$IE$36+--($ID37)</f>
        <v/>
      </c>
      <c r="IF37">
        <f>IF(ROW()-3&gt;MAX($IE$4:$IE$40),"",INDEX($CG$4:$CG$40,MATCH(ROW()-3,$IE$4:$IE$40,0)))</f>
        <v/>
      </c>
      <c r="IG37">
        <f>IF(COUNTIF('Live Search'!BM$36:CB$36,0)+COUNTIF('Live Search'!CD$36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IH37">
        <f>IF($CL$37="",FALSE,SUMPRODUCT(('Final Calculation Sheet'!$P$4:$P$40=$CL$37)*($IG$6:$IG$42=1))&gt;0)</f>
        <v/>
      </c>
      <c r="II37">
        <f>$II$36+--($IH37)</f>
        <v/>
      </c>
      <c r="IJ37">
        <f>IF(ROW()-3&gt;MAX($II$4:$II$40),"",INDEX($CL$4:$CL$40,MATCH(ROW()-3,$II$4:$II$40,0)))</f>
        <v/>
      </c>
      <c r="IK37">
        <f>IF(COUNTIF('Live Search'!BM$36:CC$36,0)+COUNTIF('Live Search'!CE$36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IL37">
        <f>IF($CQ$37="",FALSE,SUMPRODUCT(('Final Calculation Sheet'!$Q$4:$Q$40=$CQ$37)*($IK$6:$IK$42=1))&gt;0)</f>
        <v/>
      </c>
      <c r="IM37">
        <f>$IM$36+--($IL37)</f>
        <v/>
      </c>
      <c r="IN37">
        <f>IF(ROW()-3&gt;MAX($IM$4:$IM$40),"",INDEX($CQ$4:$CQ$40,MATCH(ROW()-3,$IM$4:$IM$40,0)))</f>
        <v/>
      </c>
      <c r="IO37">
        <f>IF(COUNTIF('Live Search'!BM$36:CD$36,0)+COUNTIF('Live Search'!CF$36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IP37">
        <f>IF($CV$37="",FALSE,SUMPRODUCT(('Final Calculation Sheet'!$R$4:$R$40=$CV$37)*($IO$6:$IO$42=1))&gt;0)</f>
        <v/>
      </c>
      <c r="IQ37">
        <f>$IQ$36+--($IP37)</f>
        <v/>
      </c>
      <c r="IR37">
        <f>IF(ROW()-3&gt;MAX($IQ$4:$IQ$40),"",INDEX($CV$4:$CV$40,MATCH(ROW()-3,$IQ$4:$IQ$40,0)))</f>
        <v/>
      </c>
      <c r="IS37">
        <f>IF(COUNTIF('Live Search'!BM$36:CE$36,0)+COUNTIF('Live Search'!CG$36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IT37">
        <f>IF($DA$37="",FALSE,SUMPRODUCT(('Final Calculation Sheet'!$S$4:$S$40=$DA$37)*($IS$6:$IS$42=1))&gt;0)</f>
        <v/>
      </c>
      <c r="IU37">
        <f>$IU$36+--($IT37)</f>
        <v/>
      </c>
      <c r="IV37">
        <f>IF(ROW()-3&gt;MAX($IU$4:$IU$40),"",INDEX($DA$4:$DA$40,MATCH(ROW()-3,$IU$4:$IU$40,0)))</f>
        <v/>
      </c>
      <c r="IW37">
        <f>IF(COUNTIF('Live Search'!BM$36:CF$36,0)+COUNTIF('Live Search'!CH$36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IX37">
        <f>IF($DF$37="",FALSE,SUMPRODUCT(('Final Calculation Sheet'!$T$4:$T$40=$DF$37)*($IW$6:$IW$42=1))&gt;0)</f>
        <v/>
      </c>
      <c r="IY37">
        <f>$IY$36+--($IX37)</f>
        <v/>
      </c>
      <c r="IZ37">
        <f>IF(ROW()-3&gt;MAX($IY$4:$IY$40),"",INDEX($DF$4:$DF$40,MATCH(ROW()-3,$IY$4:$IY$40,0)))</f>
        <v/>
      </c>
      <c r="JA37">
        <f>IF(COUNTIF('Live Search'!BM$36:CG$36,0)+COUNTIF('Live Search'!CI$36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JB37">
        <f>IF($DK$37="",FALSE,SUMPRODUCT(('Final Calculation Sheet'!$U$4:$U$40=$DK$37)*($JA$6:$JA$42=1))&gt;0)</f>
        <v/>
      </c>
      <c r="JC37">
        <f>$JC$36+--($JB37)</f>
        <v/>
      </c>
      <c r="JD37">
        <f>IF(ROW()-3&gt;MAX($JC$4:$JC$40),"",INDEX($DK$4:$DK$40,MATCH(ROW()-3,$JC$4:$JC$40,0)))</f>
        <v/>
      </c>
      <c r="JE37">
        <f>IF(COUNTIF('Live Search'!BM$36:CH$36,0)+COUNTIF('Live Search'!CJ$36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JF37">
        <f>IF($DP$37="",FALSE,SUMPRODUCT(('Final Calculation Sheet'!$V$4:$V$40=$DP$37)*($JE$6:$JE$42=1))&gt;0)</f>
        <v/>
      </c>
      <c r="JG37">
        <f>$JG$36+--($JF37)</f>
        <v/>
      </c>
      <c r="JH37">
        <f>IF(ROW()-3&gt;MAX($JG$4:$JG$40),"",INDEX($DP$4:$DP$40,MATCH(ROW()-3,$JG$4:$JG$40,0)))</f>
        <v/>
      </c>
      <c r="JI37">
        <f>IF(COUNTIF('Live Search'!BM$36:CI$36,0)+COUNTIF('Live Search'!CK$36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JJ37">
        <f>IF($DU$37="",FALSE,SUMPRODUCT(('Final Calculation Sheet'!$W$4:$W$40=$DU$37)*($JI$6:$JI$42=1))&gt;0)</f>
        <v/>
      </c>
      <c r="JK37">
        <f>$JK$36+--($JJ37)</f>
        <v/>
      </c>
      <c r="JL37">
        <f>IF(ROW()-3&gt;MAX($JK$4:$JK$40),"",INDEX($DU$4:$DU$40,MATCH(ROW()-3,$JK$4:$JK$40,0)))</f>
        <v/>
      </c>
      <c r="JM37">
        <f>IF(COUNTIF('Live Search'!BM$36:CJ$36,0)+COUNTIF('Live Search'!CL$36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JN37">
        <f>IF($DZ$37="",FALSE,SUMPRODUCT(('Final Calculation Sheet'!$X$4:$X$40=$DZ$37)*($JM$6:$JM$42=1))&gt;0)</f>
        <v/>
      </c>
      <c r="JO37">
        <f>$JO$36+--($JN37)</f>
        <v/>
      </c>
      <c r="JP37">
        <f>IF(ROW()-3&gt;MAX($JO$4:$JO$40),"",INDEX($DZ$4:$DZ$40,MATCH(ROW()-3,$JO$4:$JO$40,0)))</f>
        <v/>
      </c>
      <c r="JQ37">
        <f>IF(COUNTIF('Live Search'!BM$36:CK$36,0)+COUNTIF('Live Search'!CM$36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JR37">
        <f>IF($EE$37="",FALSE,SUMPRODUCT(('Final Calculation Sheet'!$Y$4:$Y$40=$EE$37)*($JQ$6:$JQ$42=1))&gt;0)</f>
        <v/>
      </c>
      <c r="JS37">
        <f>$JS$36+--($JR37)</f>
        <v/>
      </c>
      <c r="JT37">
        <f>IF(ROW()-3&gt;MAX($JS$4:$JS$40),"",INDEX($EE$4:$EE$40,MATCH(ROW()-3,$JS$4:$JS$40,0)))</f>
        <v/>
      </c>
      <c r="JU37">
        <f>IF(COUNTIF('Live Search'!BM$36:CL$36,0)+COUNTIF('Live Search'!CN$36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JV37">
        <f>IF($EJ$37="",FALSE,SUMPRODUCT(('Final Calculation Sheet'!$Z$4:$Z$40=$EJ$37)*($JU$6:$JU$42=1))&gt;0)</f>
        <v/>
      </c>
      <c r="JW37">
        <f>$JW$36+--($JV37)</f>
        <v/>
      </c>
      <c r="JX37">
        <f>IF(ROW()-3&gt;MAX($JW$4:$JW$40),"",INDEX($EJ$4:$EJ$40,MATCH(ROW()-3,$JW$4:$JW$40,0)))</f>
        <v/>
      </c>
      <c r="JY37">
        <f>IF(COUNTIF('Live Search'!BM$36:CM$36,0)+COUNTIF('Live Search'!CO$36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JZ37">
        <f>IF($EO$37="",FALSE,SUMPRODUCT(('Final Calculation Sheet'!$AA$4:$AA$40=$EO$37)*($JY$6:$JY$42=1))&gt;0)</f>
        <v/>
      </c>
      <c r="KA37">
        <f>$KA$36+--($JZ37)</f>
        <v/>
      </c>
      <c r="KB37">
        <f>IF(ROW()-3&gt;MAX($KA$4:$KA$40),"",INDEX($EO$4:$EO$40,MATCH(ROW()-3,$KA$4:$KA$40,0)))</f>
        <v/>
      </c>
      <c r="KC37">
        <f>IF(COUNTIF('Live Search'!BM$36:CN$36,0)+COUNTIF('Live Search'!CP$36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KD37">
        <f>IF($ET$37="",FALSE,SUMPRODUCT(('Final Calculation Sheet'!$AB$4:$AB$40=$ET$37)*($KC$6:$KC$42=1))&gt;0)</f>
        <v/>
      </c>
      <c r="KE37">
        <f>$KE$36+--($KD37)</f>
        <v/>
      </c>
      <c r="KF37">
        <f>IF(ROW()-3&gt;MAX($KE$4:$KE$40),"",INDEX($ET$4:$ET$40,MATCH(ROW()-3,$KE$4:$KE$40,0)))</f>
        <v/>
      </c>
      <c r="KG37">
        <f>IF(COUNTIF('Live Search'!BM$36:CO$36,0)+COUNTIF('Live Search'!CQ$36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KH37">
        <f>IF($EY$37="",FALSE,SUMPRODUCT(('Final Calculation Sheet'!$AC$4:$AC$40=$EY$37)*($KG$6:$KG$42=1))&gt;0)</f>
        <v/>
      </c>
      <c r="KI37">
        <f>$KI$36+--($KH37)</f>
        <v/>
      </c>
      <c r="KJ37">
        <f>IF(ROW()-3&gt;MAX($KI$4:$KI$40),"",INDEX($EY$4:$EY$40,MATCH(ROW()-3,$KI$4:$KI$40,0)))</f>
        <v/>
      </c>
      <c r="KK37">
        <f>IF(COUNTIF('Live Search'!BM$36:CP$36,0)+COUNTIF('Live Search'!CR$36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KL37">
        <f>IF($FD$37="",FALSE,SUMPRODUCT(('Final Calculation Sheet'!$AD$4:$AD$40=$FD$37)*($KK$6:$KK$42=1))&gt;0)</f>
        <v/>
      </c>
      <c r="KM37">
        <f>$KM$36+--($KL37)</f>
        <v/>
      </c>
      <c r="KN37">
        <f>IF(ROW()-3&gt;MAX($KM$4:$KM$40),"",INDEX($FD$4:$FD$40,MATCH(ROW()-3,$KM$4:$KM$40,0)))</f>
        <v/>
      </c>
      <c r="KO37">
        <f>IF(COUNTIF('Live Search'!BM$36:CT$36,0)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KP37">
        <f>IF($FX$37="",FALSE,SUMPRODUCT((IF('Final Calculation Sheet'!$AD$4:$AD$40&lt;=5,"SETTLED","OUTSTANDING")=$FX$37)*($KO$6:$KO$42=1))&gt;0)</f>
        <v/>
      </c>
      <c r="KQ37">
        <f>$KQ$36+--($KP37)</f>
        <v/>
      </c>
      <c r="KR37">
        <f>IF(ROW()-3&gt;MAX($KQ$4:$KQ$40),"",INDEX($FX$4:$FX$40,MATCH(ROW()-3,$KQ$4:$KQ$40,0)))</f>
        <v/>
      </c>
      <c r="KS37">
        <f>IF(COUNTIF('Live Search'!BM$36:CQ$36,0)+COUNTIF('Live Search'!CS$36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KT37">
        <f>IF($FI$37="",FALSE,SUMPRODUCT(('Final Calculation Sheet'!$AF$4:$AF$40=$FI$37)*($KS$6:$KS$42=1))&gt;0)</f>
        <v/>
      </c>
      <c r="KU37">
        <f>$KU$36+--($KT37)</f>
        <v/>
      </c>
      <c r="KV37">
        <f>IF(ROW()-3&gt;MAX($KU$4:$KU$40),"",INDEX($FI$4:$FI$40,MATCH(ROW()-3,$KU$4:$KU$40,0)))</f>
        <v/>
      </c>
      <c r="KW37">
        <f>IF(COUNTIF('Live Search'!BM$36:CR$36,0)+COUNTIF('Live Search'!CT$36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KX37">
        <f>IF($FN$37="",FALSE,SUMPRODUCT(('Final Calculation Sheet'!$AG$4:$AG$40=$FN$37)*($KW$6:$KW$42=1))&gt;0)</f>
        <v/>
      </c>
      <c r="KY37">
        <f>$KY$36+--($KX37)</f>
        <v/>
      </c>
      <c r="KZ37">
        <f>IF(ROW()-3&gt;MAX($KY$4:$KY$40),"",INDEX($FN$4:$FN$40,MATCH(ROW()-3,$KY$4:$KY$40,0)))</f>
        <v/>
      </c>
      <c r="LA37">
        <f>IF(COUNTIF('Live Search'!BM$36:CS$36,0)+COUNTIF('Live Search'!CU$36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LB37">
        <f>IF($FS$37="",FALSE,SUMPRODUCT(('Final Calculation Sheet'!$AH$4:$AH$40=$FS$37)*($LA$6:$LA$42=1))&gt;0)</f>
        <v/>
      </c>
      <c r="LC37">
        <f>$LC$36+--($LB37)</f>
        <v/>
      </c>
      <c r="LD37">
        <f>IF(ROW()-3&gt;MAX($LC$4:$LC$40),"",INDEX($FS$4:$FS$40,MATCH(ROW()-3,$LC$4:$LC$40,0)))</f>
        <v/>
      </c>
      <c r="LE37">
        <f>IF(COUNTIF('Buyer Groups'!DH90:EN90,0)&gt;0,0,1)</f>
        <v/>
      </c>
      <c r="LF37">
        <f>IF($O$37="",FALSE,SUMPRODUCT(('Final Calculation Sheet'!$F$4:$F$40=$O$37)*($LE$6:$LE$42=1))&gt;0)</f>
        <v/>
      </c>
      <c r="LG37">
        <f>$LG$36+--($LF37)</f>
        <v/>
      </c>
      <c r="LH37">
        <f>IF(ROW()-3&gt;MAX($LG$4:$LG$40),"",INDEX($O$4:$O$40,MATCH(ROW()-3,$LG$4:$LG$40,0)))</f>
        <v/>
      </c>
      <c r="LI37">
        <f>IF(COUNTIF('Buyer Groups'!DG90:DG90,0)+COUNTIF('Buyer Groups'!DI90:EN90,0)&gt;0,0,1)</f>
        <v/>
      </c>
      <c r="LJ37">
        <f>IF($T$37="",FALSE,SUMPRODUCT(('Final Calculation Sheet'!$G$4:$G$40=$T$37)*($LI$6:$LI$42=1))&gt;0)</f>
        <v/>
      </c>
      <c r="LK37">
        <f>$LK$36+--($LJ37)</f>
        <v/>
      </c>
      <c r="LL37">
        <f>IF(ROW()-3&gt;MAX($LK$4:$LK$40),"",INDEX($T$4:$T$40,MATCH(ROW()-3,$LK$4:$LK$40,0)))</f>
        <v/>
      </c>
      <c r="LM37">
        <f>IF(COUNTIF('Buyer Groups'!DG90:DH90,0)+COUNTIF('Buyer Groups'!DJ90:EN90,0)&gt;0,0,1)</f>
        <v/>
      </c>
      <c r="LN37">
        <f>IF($Y$37="",FALSE,SUMPRODUCT(('Final Calculation Sheet'!$B$4:$B$40=$Y$37)*($LM$6:$LM$42=1))&gt;0)</f>
        <v/>
      </c>
      <c r="LO37">
        <f>$LO$36+--($LN37)</f>
        <v/>
      </c>
      <c r="LP37">
        <f>IF(ROW()-3&gt;MAX($LO$4:$LO$40),"",INDEX($Y$4:$Y$40,MATCH(ROW()-3,$LO$4:$LO$40,0)))</f>
        <v/>
      </c>
      <c r="LQ37">
        <f>IF(COUNTIF('Buyer Groups'!DG90:DI90,0)+COUNTIF('Buyer Groups'!DK90:EN90,0)&gt;0,0,1)</f>
        <v/>
      </c>
      <c r="LR37">
        <f>IF($AD$37="",FALSE,SUMPRODUCT(('Final Calculation Sheet'!$D$4:$D$40=$AD$37)*($LQ$6:$LQ$42=1))&gt;0)</f>
        <v/>
      </c>
      <c r="LS37">
        <f>$LS$36+--($LR37)</f>
        <v/>
      </c>
      <c r="LT37">
        <f>IF(ROW()-3&gt;MAX($LS$4:$LS$40),"",INDEX($AD$4:$AD$40,MATCH(ROW()-3,$LS$4:$LS$40,0)))</f>
        <v/>
      </c>
      <c r="LU37">
        <f>IF(COUNTIF('Buyer Groups'!DG90:DJ90,0)+COUNTIF('Buyer Groups'!DL90:EN90,0)&gt;0,0,1)</f>
        <v/>
      </c>
      <c r="LV37">
        <f>IF($AI$37="",FALSE,SUMPRODUCT(('Final Calculation Sheet'!$A$4:$A$40=$AI$37)*($LU$6:$LU$42=1))&gt;0)</f>
        <v/>
      </c>
      <c r="LW37">
        <f>$LW$36+--($LV37)</f>
        <v/>
      </c>
      <c r="LX37">
        <f>IF(ROW()-3&gt;MAX($LW$4:$LW$40),"",INDEX($AI$4:$AI$40,MATCH(ROW()-3,$LW$4:$LW$40,0)))</f>
        <v/>
      </c>
      <c r="LY37">
        <f>IF(COUNTIF('Buyer Groups'!DG90:DK90,0)+COUNTIF('Buyer Groups'!DM90:EN90,0)&gt;0,0,1)</f>
        <v/>
      </c>
      <c r="LZ37">
        <f>IF($AN$37="",FALSE,SUMPRODUCT(('Final Calculation Sheet'!$E$4:$E$40=$AN$37)*($LY$6:$LY$42=1))&gt;0)</f>
        <v/>
      </c>
      <c r="MA37">
        <f>$MA$36+--($LZ37)</f>
        <v/>
      </c>
      <c r="MB37">
        <f>IF(ROW()-3&gt;MAX($MA$4:$MA$40),"",INDEX($AN$4:$AN$40,MATCH(ROW()-3,$MA$4:$MA$40,0)))</f>
        <v/>
      </c>
      <c r="MC37">
        <f>IF(COUNTIF('Buyer Groups'!DG90:DL90,0)+COUNTIF('Buyer Groups'!DN90:EN90,0)&gt;0,0,1)</f>
        <v/>
      </c>
      <c r="MD37">
        <f>IF($AS$37="",FALSE,SUMPRODUCT(('Final Calculation Sheet'!$C$4:$C$40=$AS$37)*($MC$6:$MC$42=1))&gt;0)</f>
        <v/>
      </c>
      <c r="ME37">
        <f>$ME$36+--($MD37)</f>
        <v/>
      </c>
      <c r="MF37">
        <f>IF(ROW()-3&gt;MAX($ME$4:$ME$40),"",INDEX($AS$4:$AS$40,MATCH(ROW()-3,$ME$4:$ME$40,0)))</f>
        <v/>
      </c>
      <c r="MG37">
        <f>IF(COUNTIF('Buyer Groups'!DG90:DM90,0)+COUNTIF('Buyer Groups'!DO90:EN90,0)&gt;0,0,1)</f>
        <v/>
      </c>
      <c r="MH37">
        <f>IF($AX$37="",FALSE,SUMPRODUCT(('Final Calculation Sheet'!$H$4:$H$40=$AX$37)*($MG$6:$MG$42=1))&gt;0)</f>
        <v/>
      </c>
      <c r="MI37">
        <f>$MI$36+--($MH37)</f>
        <v/>
      </c>
      <c r="MJ37">
        <f>IF(ROW()-3&gt;MAX($MI$4:$MI$40),"",INDEX($AX$4:$AX$40,MATCH(ROW()-3,$MI$4:$MI$40,0)))</f>
        <v/>
      </c>
      <c r="MK37">
        <f>IF(COUNTIF('Buyer Groups'!DG90:DN90,0)+COUNTIF('Buyer Groups'!DP90:EN90,0)&gt;0,0,1)</f>
        <v/>
      </c>
      <c r="ML37">
        <f>IF($BC$37="",FALSE,SUMPRODUCT(('Final Calculation Sheet'!$I$4:$I$40=$BC$37)*($MK$6:$MK$42=1))&gt;0)</f>
        <v/>
      </c>
      <c r="MM37">
        <f>$MM$36+--($ML37)</f>
        <v/>
      </c>
      <c r="MN37">
        <f>IF(ROW()-3&gt;MAX($MM$4:$MM$40),"",INDEX($BC$4:$BC$40,MATCH(ROW()-3,$MM$4:$MM$40,0)))</f>
        <v/>
      </c>
      <c r="MO37">
        <f>IF(COUNTIF('Buyer Groups'!DG90:DO90,0)+COUNTIF('Buyer Groups'!DQ90:EN90,0)&gt;0,0,1)</f>
        <v/>
      </c>
      <c r="MP37">
        <f>IF($BH$37="",FALSE,SUMPRODUCT(('Final Calculation Sheet'!$J$4:$J$40=$BH$37)*($MO$6:$MO$42=1))&gt;0)</f>
        <v/>
      </c>
      <c r="MQ37">
        <f>$MQ$36+--($MP37)</f>
        <v/>
      </c>
      <c r="MR37">
        <f>IF(ROW()-3&gt;MAX($MQ$4:$MQ$40),"",INDEX($BH$4:$BH$40,MATCH(ROW()-3,$MQ$4:$MQ$40,0)))</f>
        <v/>
      </c>
      <c r="MS37">
        <f>IF(COUNTIF('Buyer Groups'!DG90:DP90,0)+COUNTIF('Buyer Groups'!DR90:EN90,0)&gt;0,0,1)</f>
        <v/>
      </c>
      <c r="MT37">
        <f>IF($BM$37="",FALSE,SUMPRODUCT(('Final Calculation Sheet'!$K$4:$K$40=$BM$37)*($MS$6:$MS$42=1))&gt;0)</f>
        <v/>
      </c>
      <c r="MU37">
        <f>$MU$36+--($MT37)</f>
        <v/>
      </c>
      <c r="MV37">
        <f>IF(ROW()-3&gt;MAX($MU$4:$MU$40),"",INDEX($BM$4:$BM$40,MATCH(ROW()-3,$MU$4:$MU$40,0)))</f>
        <v/>
      </c>
      <c r="MW37">
        <f>IF(COUNTIF('Buyer Groups'!DG90:DQ90,0)+COUNTIF('Buyer Groups'!DS90:EN90,0)&gt;0,0,1)</f>
        <v/>
      </c>
      <c r="MX37">
        <f>IF($BR$37="",FALSE,SUMPRODUCT(('Final Calculation Sheet'!$L$4:$L$40=$BR$37)*($MW$6:$MW$42=1))&gt;0)</f>
        <v/>
      </c>
      <c r="MY37">
        <f>$MY$36+--($MX37)</f>
        <v/>
      </c>
      <c r="MZ37">
        <f>IF(ROW()-3&gt;MAX($MY$4:$MY$40),"",INDEX($BR$4:$BR$40,MATCH(ROW()-3,$MY$4:$MY$40,0)))</f>
        <v/>
      </c>
      <c r="NA37">
        <f>IF(COUNTIF('Buyer Groups'!DG90:DR90,0)+COUNTIF('Buyer Groups'!DT90:EN90,0)&gt;0,0,1)</f>
        <v/>
      </c>
      <c r="NB37">
        <f>IF($BW$37="",FALSE,SUMPRODUCT(('Final Calculation Sheet'!$M$4:$M$40=$BW$37)*($NA$6:$NA$42=1))&gt;0)</f>
        <v/>
      </c>
      <c r="NC37">
        <f>$NC$36+--($NB37)</f>
        <v/>
      </c>
      <c r="ND37">
        <f>IF(ROW()-3&gt;MAX($NC$4:$NC$40),"",INDEX($BW$4:$BW$40,MATCH(ROW()-3,$NC$4:$NC$40,0)))</f>
        <v/>
      </c>
      <c r="NE37">
        <f>IF(COUNTIF('Buyer Groups'!DG90:DS90,0)+COUNTIF('Buyer Groups'!DU90:EN90,0)&gt;0,0,1)</f>
        <v/>
      </c>
      <c r="NF37">
        <f>IF($CB$37="",FALSE,SUMPRODUCT(('Final Calculation Sheet'!$N$4:$N$40=$CB$37)*($NE$6:$NE$42=1))&gt;0)</f>
        <v/>
      </c>
      <c r="NG37">
        <f>$NG$36+--($NF37)</f>
        <v/>
      </c>
      <c r="NH37">
        <f>IF(ROW()-3&gt;MAX($NG$4:$NG$40),"",INDEX($CB$4:$CB$40,MATCH(ROW()-3,$NG$4:$NG$40,0)))</f>
        <v/>
      </c>
      <c r="NI37">
        <f>IF(COUNTIF('Buyer Groups'!DG90:DT90,0)+COUNTIF('Buyer Groups'!DV90:EN90,0)&gt;0,0,1)</f>
        <v/>
      </c>
      <c r="NJ37">
        <f>IF($CG$37="",FALSE,SUMPRODUCT(('Final Calculation Sheet'!$O$4:$O$40=$CG$37)*($NI$6:$NI$42=1))&gt;0)</f>
        <v/>
      </c>
      <c r="NK37">
        <f>$NK$36+--($NJ37)</f>
        <v/>
      </c>
      <c r="NL37">
        <f>IF(ROW()-3&gt;MAX($NK$4:$NK$40),"",INDEX($CG$4:$CG$40,MATCH(ROW()-3,$NK$4:$NK$40,0)))</f>
        <v/>
      </c>
      <c r="NM37">
        <f>IF(COUNTIF('Buyer Groups'!DG90:DU90,0)+COUNTIF('Buyer Groups'!DW90:EN90,0)&gt;0,0,1)</f>
        <v/>
      </c>
      <c r="NN37">
        <f>IF($CL$37="",FALSE,SUMPRODUCT(('Final Calculation Sheet'!$P$4:$P$40=$CL$37)*($NM$6:$NM$42=1))&gt;0)</f>
        <v/>
      </c>
      <c r="NO37">
        <f>$NO$36+--($NN37)</f>
        <v/>
      </c>
      <c r="NP37">
        <f>IF(ROW()-3&gt;MAX($NO$4:$NO$40),"",INDEX($CL$4:$CL$40,MATCH(ROW()-3,$NO$4:$NO$40,0)))</f>
        <v/>
      </c>
      <c r="NQ37">
        <f>IF(COUNTIF('Buyer Groups'!DG90:DV90,0)+COUNTIF('Buyer Groups'!DX90:EN90,0)&gt;0,0,1)</f>
        <v/>
      </c>
      <c r="NR37">
        <f>IF($CQ$37="",FALSE,SUMPRODUCT(('Final Calculation Sheet'!$Q$4:$Q$40=$CQ$37)*($NQ$6:$NQ$42=1))&gt;0)</f>
        <v/>
      </c>
      <c r="NS37">
        <f>$NS$36+--($NR37)</f>
        <v/>
      </c>
      <c r="NT37">
        <f>IF(ROW()-3&gt;MAX($NS$4:$NS$40),"",INDEX($CQ$4:$CQ$40,MATCH(ROW()-3,$NS$4:$NS$40,0)))</f>
        <v/>
      </c>
      <c r="NU37">
        <f>IF(COUNTIF('Buyer Groups'!DG90:DW90,0)+COUNTIF('Buyer Groups'!DY90:EN90,0)&gt;0,0,1)</f>
        <v/>
      </c>
      <c r="NV37">
        <f>IF($CV$37="",FALSE,SUMPRODUCT(('Final Calculation Sheet'!$R$4:$R$40=$CV$37)*($NU$6:$NU$42=1))&gt;0)</f>
        <v/>
      </c>
      <c r="NW37">
        <f>$NW$36+--($NV37)</f>
        <v/>
      </c>
      <c r="NX37">
        <f>IF(ROW()-3&gt;MAX($NW$4:$NW$40),"",INDEX($CV$4:$CV$40,MATCH(ROW()-3,$NW$4:$NW$40,0)))</f>
        <v/>
      </c>
      <c r="NY37">
        <f>IF(COUNTIF('Buyer Groups'!DG90:DX90,0)+COUNTIF('Buyer Groups'!DZ90:EN90,0)&gt;0,0,1)</f>
        <v/>
      </c>
      <c r="NZ37">
        <f>IF($DA$37="",FALSE,SUMPRODUCT(('Final Calculation Sheet'!$S$4:$S$40=$DA$37)*($NY$6:$NY$42=1))&gt;0)</f>
        <v/>
      </c>
      <c r="OA37">
        <f>$OA$36+--($NZ37)</f>
        <v/>
      </c>
      <c r="OB37">
        <f>IF(ROW()-3&gt;MAX($OA$4:$OA$40),"",INDEX($DA$4:$DA$40,MATCH(ROW()-3,$OA$4:$OA$40,0)))</f>
        <v/>
      </c>
      <c r="OC37">
        <f>IF(COUNTIF('Buyer Groups'!DG90:DY90,0)+COUNTIF('Buyer Groups'!EA90:EN90,0)&gt;0,0,1)</f>
        <v/>
      </c>
      <c r="OD37">
        <f>IF($DF$37="",FALSE,SUMPRODUCT(('Final Calculation Sheet'!$T$4:$T$40=$DF$37)*($OC$6:$OC$42=1))&gt;0)</f>
        <v/>
      </c>
      <c r="OE37">
        <f>$OE$36+--($OD37)</f>
        <v/>
      </c>
      <c r="OF37">
        <f>IF(ROW()-3&gt;MAX($OE$4:$OE$40),"",INDEX($DF$4:$DF$40,MATCH(ROW()-3,$OE$4:$OE$40,0)))</f>
        <v/>
      </c>
      <c r="OG37">
        <f>IF(COUNTIF('Buyer Groups'!DG90:DZ90,0)+COUNTIF('Buyer Groups'!EB90:EN90,0)&gt;0,0,1)</f>
        <v/>
      </c>
      <c r="OH37">
        <f>IF($DK$37="",FALSE,SUMPRODUCT(('Final Calculation Sheet'!$U$4:$U$40=$DK$37)*($OG$6:$OG$42=1))&gt;0)</f>
        <v/>
      </c>
      <c r="OI37">
        <f>$OI$36+--($OH37)</f>
        <v/>
      </c>
      <c r="OJ37">
        <f>IF(ROW()-3&gt;MAX($OI$4:$OI$40),"",INDEX($DK$4:$DK$40,MATCH(ROW()-3,$OI$4:$OI$40,0)))</f>
        <v/>
      </c>
      <c r="OK37">
        <f>IF(COUNTIF('Buyer Groups'!DG90:EA90,0)+COUNTIF('Buyer Groups'!EC90:EN90,0)&gt;0,0,1)</f>
        <v/>
      </c>
      <c r="OL37">
        <f>IF($DP$37="",FALSE,SUMPRODUCT(('Final Calculation Sheet'!$V$4:$V$40=$DP$37)*($OK$6:$OK$42=1))&gt;0)</f>
        <v/>
      </c>
      <c r="OM37">
        <f>$OM$36+--($OL37)</f>
        <v/>
      </c>
      <c r="ON37">
        <f>IF(ROW()-3&gt;MAX($OM$4:$OM$40),"",INDEX($DP$4:$DP$40,MATCH(ROW()-3,$OM$4:$OM$40,0)))</f>
        <v/>
      </c>
      <c r="OO37">
        <f>IF(COUNTIF('Buyer Groups'!DG90:EB90,0)+COUNTIF('Buyer Groups'!ED90:EN90,0)&gt;0,0,1)</f>
        <v/>
      </c>
      <c r="OP37">
        <f>IF($DU$37="",FALSE,SUMPRODUCT(('Final Calculation Sheet'!$W$4:$W$40=$DU$37)*($OO$6:$OO$42=1))&gt;0)</f>
        <v/>
      </c>
      <c r="OQ37">
        <f>$OQ$36+--($OP37)</f>
        <v/>
      </c>
      <c r="OR37">
        <f>IF(ROW()-3&gt;MAX($OQ$4:$OQ$40),"",INDEX($DU$4:$DU$40,MATCH(ROW()-3,$OQ$4:$OQ$40,0)))</f>
        <v/>
      </c>
      <c r="OS37">
        <f>IF(COUNTIF('Buyer Groups'!DG90:EC90,0)+COUNTIF('Buyer Groups'!EE90:EN90,0)&gt;0,0,1)</f>
        <v/>
      </c>
      <c r="OT37">
        <f>IF($DZ$37="",FALSE,SUMPRODUCT(('Final Calculation Sheet'!$X$4:$X$40=$DZ$37)*($OS$6:$OS$42=1))&gt;0)</f>
        <v/>
      </c>
      <c r="OU37">
        <f>$OU$36+--($OT37)</f>
        <v/>
      </c>
      <c r="OV37">
        <f>IF(ROW()-3&gt;MAX($OU$4:$OU$40),"",INDEX($DZ$4:$DZ$40,MATCH(ROW()-3,$OU$4:$OU$40,0)))</f>
        <v/>
      </c>
      <c r="OW37">
        <f>IF(COUNTIF('Buyer Groups'!DG90:ED90,0)+COUNTIF('Buyer Groups'!EF90:EN90,0)&gt;0,0,1)</f>
        <v/>
      </c>
      <c r="OX37">
        <f>IF($EE$37="",FALSE,SUMPRODUCT(('Final Calculation Sheet'!$Y$4:$Y$40=$EE$37)*($OW$6:$OW$42=1))&gt;0)</f>
        <v/>
      </c>
      <c r="OY37">
        <f>$OY$36+--($OX37)</f>
        <v/>
      </c>
      <c r="OZ37">
        <f>IF(ROW()-3&gt;MAX($OY$4:$OY$40),"",INDEX($EE$4:$EE$40,MATCH(ROW()-3,$OY$4:$OY$40,0)))</f>
        <v/>
      </c>
      <c r="PA37">
        <f>IF(COUNTIF('Buyer Groups'!DG90:EE90,0)+COUNTIF('Buyer Groups'!EG90:EN90,0)&gt;0,0,1)</f>
        <v/>
      </c>
      <c r="PB37">
        <f>IF($EJ$37="",FALSE,SUMPRODUCT(('Final Calculation Sheet'!$Z$4:$Z$40=$EJ$37)*($PA$6:$PA$42=1))&gt;0)</f>
        <v/>
      </c>
      <c r="PC37">
        <f>$PC$36+--($PB37)</f>
        <v/>
      </c>
      <c r="PD37">
        <f>IF(ROW()-3&gt;MAX($PC$4:$PC$40),"",INDEX($EJ$4:$EJ$40,MATCH(ROW()-3,$PC$4:$PC$40,0)))</f>
        <v/>
      </c>
      <c r="PE37">
        <f>IF(COUNTIF('Buyer Groups'!DG90:EF90,0)+COUNTIF('Buyer Groups'!EH90:EN90,0)&gt;0,0,1)</f>
        <v/>
      </c>
      <c r="PF37">
        <f>IF($EO$37="",FALSE,SUMPRODUCT(('Final Calculation Sheet'!$AA$4:$AA$40=$EO$37)*($PE$6:$PE$42=1))&gt;0)</f>
        <v/>
      </c>
      <c r="PG37">
        <f>$PG$36+--($PF37)</f>
        <v/>
      </c>
      <c r="PH37">
        <f>IF(ROW()-3&gt;MAX($PG$4:$PG$40),"",INDEX($EO$4:$EO$40,MATCH(ROW()-3,$PG$4:$PG$40,0)))</f>
        <v/>
      </c>
      <c r="PI37">
        <f>IF(COUNTIF('Buyer Groups'!DG90:EG90,0)+COUNTIF('Buyer Groups'!EI90:EN90,0)&gt;0,0,1)</f>
        <v/>
      </c>
      <c r="PJ37">
        <f>IF($ET$37="",FALSE,SUMPRODUCT(('Final Calculation Sheet'!$AB$4:$AB$40=$ET$37)*($PI$6:$PI$42=1))&gt;0)</f>
        <v/>
      </c>
      <c r="PK37">
        <f>$PK$36+--($PJ37)</f>
        <v/>
      </c>
      <c r="PL37">
        <f>IF(ROW()-3&gt;MAX($PK$4:$PK$40),"",INDEX($ET$4:$ET$40,MATCH(ROW()-3,$PK$4:$PK$40,0)))</f>
        <v/>
      </c>
      <c r="PM37">
        <f>IF(COUNTIF('Buyer Groups'!DG90:EH90,0)+COUNTIF('Buyer Groups'!EJ90:EN90,0)&gt;0,0,1)</f>
        <v/>
      </c>
      <c r="PN37">
        <f>IF($EY$37="",FALSE,SUMPRODUCT(('Final Calculation Sheet'!$AC$4:$AC$40=$EY$37)*($PM$6:$PM$42=1))&gt;0)</f>
        <v/>
      </c>
      <c r="PO37">
        <f>$PO$36+--($PN37)</f>
        <v/>
      </c>
      <c r="PP37">
        <f>IF(ROW()-3&gt;MAX($PO$4:$PO$40),"",INDEX($EY$4:$EY$40,MATCH(ROW()-3,$PO$4:$PO$40,0)))</f>
        <v/>
      </c>
      <c r="PQ37">
        <f>IF(COUNTIF('Buyer Groups'!DG90:EI90,0)+COUNTIF('Buyer Groups'!EK90:EN90,0)&gt;0,0,1)</f>
        <v/>
      </c>
      <c r="PR37">
        <f>IF($FD$37="",FALSE,SUMPRODUCT(('Final Calculation Sheet'!$AD$4:$AD$40=$FD$37)*($PQ$6:$PQ$42=1))&gt;0)</f>
        <v/>
      </c>
      <c r="PS37">
        <f>$PS$36+--($PR37)</f>
        <v/>
      </c>
      <c r="PT37">
        <f>IF(ROW()-3&gt;MAX($PS$4:$PS$40),"",INDEX($FD$4:$FD$40,MATCH(ROW()-3,$PS$4:$PS$40,0)))</f>
        <v/>
      </c>
      <c r="PU37">
        <f>IF(COUNTIF('Buyer Groups'!DG90:EJ90,0)+COUNTIF('Buyer Groups'!EL90:EN90,0)&gt;0,0,1)</f>
        <v/>
      </c>
      <c r="PV37">
        <f>IF($FX$37="",FALSE,SUMPRODUCT((IF('Final Calculation Sheet'!$AD$4:$AD$40&lt;=5,"SETTLED","OUTSTANDING")=$FX$37)*($PU$6:$PU$42=1))&gt;0)</f>
        <v/>
      </c>
      <c r="PW37">
        <f>$PW$36+--($PV37)</f>
        <v/>
      </c>
      <c r="PX37">
        <f>IF(ROW()-3&gt;MAX($PW$4:$PW$40),"",INDEX($FX$4:$FX$40,MATCH(ROW()-3,$PW$4:$PW$40,0)))</f>
        <v/>
      </c>
      <c r="PY37">
        <f>IF(COUNTIF('Buyer Groups'!DG90:EK90,0)+COUNTIF('Buyer Groups'!EM90:EN90,0)&gt;0,0,1)</f>
        <v/>
      </c>
      <c r="PZ37">
        <f>IF($FI$37="",FALSE,SUMPRODUCT(('Final Calculation Sheet'!$AF$4:$AF$40=$FI$37)*($PY$6:$PY$42=1))&gt;0)</f>
        <v/>
      </c>
      <c r="QA37">
        <f>$QA$36+--($PZ37)</f>
        <v/>
      </c>
      <c r="QB37">
        <f>IF(ROW()-3&gt;MAX($QA$4:$QA$40),"",INDEX($FI$4:$FI$40,MATCH(ROW()-3,$QA$4:$QA$40,0)))</f>
        <v/>
      </c>
      <c r="QC37">
        <f>IF(COUNTIF('Buyer Groups'!DG90:EL90,0)+COUNTIF('Buyer Groups'!EN90:EN90,0)&gt;0,0,1)</f>
        <v/>
      </c>
      <c r="QD37">
        <f>IF($FN$37="",FALSE,SUMPRODUCT(('Final Calculation Sheet'!$AG$4:$AG$40=$FN$37)*($QC$6:$QC$42=1))&gt;0)</f>
        <v/>
      </c>
      <c r="QE37">
        <f>$QE$36+--($QD37)</f>
        <v/>
      </c>
      <c r="QF37">
        <f>IF(ROW()-3&gt;MAX($QE$4:$QE$40),"",INDEX($FN$4:$FN$40,MATCH(ROW()-3,$QE$4:$QE$40,0)))</f>
        <v/>
      </c>
      <c r="QG37">
        <f>IF(COUNTIF('Buyer Groups'!DG90:EM90,0)&gt;0,0,1)</f>
        <v/>
      </c>
      <c r="QH37">
        <f>IF($FS$37="",FALSE,SUMPRODUCT(('Final Calculation Sheet'!$AH$4:$AH$40=$FS$37)*($QG$6:$QG$42=1))&gt;0)</f>
        <v/>
      </c>
      <c r="QI37">
        <f>$QI$36+--($QH37)</f>
        <v/>
      </c>
      <c r="QJ37">
        <f>IF(ROW()-3&gt;MAX($QI$4:$QI$40),"",INDEX($FS$4:$FS$40,MATCH(ROW()-3,$QI$4:$QI$40,0)))</f>
        <v/>
      </c>
      <c r="QK37" t="str">
        <f>IF('Final Calculation Sheet'!$AH$37="","",'Final Calculation Sheet'!$AH$37)</f>
      </c>
      <c r="QL37" t="str">
        <f>IF(QK37="","",COUNTIFS(QK$4:QK$40,"&lt;"&amp;QK37,QK$4:QK$40,"&lt;&gt;"&amp;"")+COUNTIF(QK$4:QK37,QK37))</f>
      </c>
      <c r="QM37" t="str">
        <f>IF(ROW()-3&gt;COUNTIF(QK$4:QK$40,"&lt;&gt;"&amp;""),"",INDEX(QK$4:QK$40,MATCH(ROW()-3,QL$4:QL$40,0)))</f>
      </c>
      <c r="QN37" t="str">
        <f>=QN36+F(AND(QM37&lt;&gt;"",COUNTIF(QM$4:QM37,QM37)=1),1,0)</f>
      </c>
      <c r="QO37" t="str">
        <f>IF(ROW()-3&gt;MAX(QN$4:QN$40),"",INDEX(QM$4:QM$40,MATCH(ROW()-3,QN$4:QN$40,0)))</f>
      </c>
      <c r="QP37" t="str">
        <f>IF(COUNTIF('Final Calculation Sheet'!$AM37:$BS37,0)&gt;0,0,1)</f>
      </c>
      <c r="QQ37" t="str">
        <f>IF($AI$37="",FALSE,SUMPRODUCT(('Final Calculation Sheet'!$A$4:$A$40=$AI$37)*($QP$4:$QP$40=1))&gt;0)</f>
      </c>
      <c r="QR37" t="str">
        <f>=$QR36+--($QQ37)</f>
      </c>
      <c r="QS37" t="str">
        <f>IF(ROW()-3&gt;MAX($QR$4:$QR$40),"",INDEX($AI$4:$AI$40,MATCH(ROW()-3,$QR$4:$QR$40,0)))</f>
      </c>
      <c r="QT37" t="str">
        <f>IF(COUNTIF('Final Calculation Sheet'!$AL37:$AL37,0)+COUNTIF('Final Calculation Sheet'!$AN37:$BS37,0)&gt;0,0,1)</f>
      </c>
      <c r="QU37" t="str">
        <f>IF($Y$37="",FALSE,SUMPRODUCT(('Final Calculation Sheet'!$B$4:$B$40=$Y$37)*($QT$4:$QT$40=1))&gt;0)</f>
      </c>
      <c r="QV37" t="str">
        <f>=$QV36+--($QU37)</f>
      </c>
      <c r="QW37" t="str">
        <f>IF(ROW()-3&gt;MAX($QV$4:$QV$40),"",INDEX($Y$4:$Y$40,MATCH(ROW()-3,$QV$4:$QV$40,0)))</f>
      </c>
      <c r="QX37" t="str">
        <f>IF(COUNTIF('Final Calculation Sheet'!$AL37:$AM37,0)+COUNTIF('Final Calculation Sheet'!$AO37:$BS37,0)&gt;0,0,1)</f>
      </c>
      <c r="QY37" t="str">
        <f>IF($AS$37="",FALSE,SUMPRODUCT(('Final Calculation Sheet'!$C$4:$C$40=$AS$37)*($QX$4:$QX$40=1))&gt;0)</f>
      </c>
      <c r="QZ37" t="str">
        <f>=$QZ36+--($QY37)</f>
      </c>
      <c r="RA37" t="str">
        <f>IF(ROW()-3&gt;MAX($QZ$4:$QZ$40),"",INDEX($AS$4:$AS$40,MATCH(ROW()-3,$QZ$4:$QZ$40,0)))</f>
      </c>
      <c r="RB37" t="str">
        <f>IF(COUNTIF('Final Calculation Sheet'!$AL37:$AN37,0)+COUNTIF('Final Calculation Sheet'!$AP37:$BS37,0)&gt;0,0,1)</f>
      </c>
      <c r="RC37" t="str">
        <f>IF($AD$37="",FALSE,SUMPRODUCT(('Final Calculation Sheet'!$D$4:$D$40=$AD$37)*($RB$4:$RB$40=1))&gt;0)</f>
      </c>
      <c r="RD37" t="str">
        <f>=$RD36+--($RC37)</f>
      </c>
      <c r="RE37" t="str">
        <f>IF(ROW()-3&gt;MAX($RD$4:$RD$40),"",INDEX($AD$4:$AD$40,MATCH(ROW()-3,$RD$4:$RD$40,0)))</f>
      </c>
      <c r="RF37" t="str">
        <f>IF(COUNTIF('Final Calculation Sheet'!$AL37:$AO37,0)+COUNTIF('Final Calculation Sheet'!$AQ37:$BS37,0)&gt;0,0,1)</f>
      </c>
      <c r="RG37" t="str">
        <f>IF($AN$37="",FALSE,SUMPRODUCT(('Final Calculation Sheet'!$E$4:$E$40=$AN$37)*($RF$4:$RF$40=1))&gt;0)</f>
      </c>
      <c r="RH37" t="str">
        <f>=$RH36+--($RG37)</f>
      </c>
      <c r="RI37" t="str">
        <f>IF(ROW()-3&gt;MAX($RH$4:$RH$40),"",INDEX($AN$4:$AN$40,MATCH(ROW()-3,$RH$4:$RH$40,0)))</f>
      </c>
      <c r="RJ37" t="str">
        <f>IF(COUNTIF('Final Calculation Sheet'!$AL37:$AP37,0)+COUNTIF('Final Calculation Sheet'!$AR37:$BS37,0)&gt;0,0,1)</f>
      </c>
      <c r="RK37" t="str">
        <f>IF($O$37="",FALSE,SUMPRODUCT(('Final Calculation Sheet'!$F$4:$F$40=$O$37)*($RJ$4:$RJ$40=1))&gt;0)</f>
      </c>
      <c r="RL37" t="str">
        <f>=$RL36+--($RK37)</f>
      </c>
      <c r="RM37" t="str">
        <f>IF(ROW()-3&gt;MAX($RL$4:$RL$40),"",INDEX($O$4:$O$40,MATCH(ROW()-3,$RL$4:$RL$40,0)))</f>
      </c>
      <c r="RN37" t="str">
        <f>IF(COUNTIF('Final Calculation Sheet'!$AL37:$AQ37,0)+COUNTIF('Final Calculation Sheet'!$AS37:$BS37,0)&gt;0,0,1)</f>
      </c>
      <c r="RO37" t="str">
        <f>IF($T$37="",FALSE,SUMPRODUCT(('Final Calculation Sheet'!$G$4:$G$40=$T$37)*($RN$4:$RN$40=1))&gt;0)</f>
      </c>
      <c r="RP37" t="str">
        <f>=$RP36+--($RO37)</f>
      </c>
      <c r="RQ37" t="str">
        <f>IF(ROW()-3&gt;MAX($RP$4:$RP$40),"",INDEX($T$4:$T$40,MATCH(ROW()-3,$RP$4:$RP$40,0)))</f>
      </c>
      <c r="RR37" t="str">
        <f>IF(COUNTIF('Final Calculation Sheet'!$AL37:$AR37,0)+COUNTIF('Final Calculation Sheet'!$AT37:$BS37,0)&gt;0,0,1)</f>
      </c>
      <c r="RS37" t="str">
        <f>IF($AX$37="",FALSE,SUMPRODUCT(('Final Calculation Sheet'!$H$4:$H$40=$AX$37)*($RR$4:$RR$40=1))&gt;0)</f>
      </c>
      <c r="RT37" t="str">
        <f>=$RT36+--($RS37)</f>
      </c>
      <c r="RU37" t="str">
        <f>IF(ROW()-3&gt;MAX($RT$4:$RT$40),"",INDEX($AX$4:$AX$40,MATCH(ROW()-3,$RT$4:$RT$40,0)))</f>
      </c>
      <c r="RV37" t="str">
        <f>IF(COUNTIF('Final Calculation Sheet'!$AL37:$AS37,0)+COUNTIF('Final Calculation Sheet'!$AU37:$BS37,0)&gt;0,0,1)</f>
      </c>
      <c r="RW37" t="str">
        <f>IF($BC$37="",FALSE,SUMPRODUCT(('Final Calculation Sheet'!$I$4:$I$40=$BC$37)*($RV$4:$RV$40=1))&gt;0)</f>
      </c>
      <c r="RX37" t="str">
        <f>=$RX36+--($RW37)</f>
      </c>
      <c r="RY37" t="str">
        <f>IF(ROW()-3&gt;MAX($RX$4:$RX$40),"",INDEX($BC$4:$BC$40,MATCH(ROW()-3,$RX$4:$RX$40,0)))</f>
      </c>
      <c r="RZ37" t="str">
        <f>IF(COUNTIF('Final Calculation Sheet'!$AL37:$AT37,0)+COUNTIF('Final Calculation Sheet'!$AV37:$BS37,0)&gt;0,0,1)</f>
      </c>
      <c r="SA37" t="str">
        <f>IF($BH$37="",FALSE,SUMPRODUCT(('Final Calculation Sheet'!$J$4:$J$40=$BH$37)*($RZ$4:$RZ$40=1))&gt;0)</f>
      </c>
      <c r="SB37" t="str">
        <f>=$SB36+--($SA37)</f>
      </c>
      <c r="SC37" t="str">
        <f>IF(ROW()-3&gt;MAX($SB$4:$SB$40),"",INDEX($BH$4:$BH$40,MATCH(ROW()-3,$SB$4:$SB$40,0)))</f>
      </c>
      <c r="SD37" t="str">
        <f>IF(COUNTIF('Final Calculation Sheet'!$AL37:$AU37,0)+COUNTIF('Final Calculation Sheet'!$AW37:$BS37,0)&gt;0,0,1)</f>
      </c>
      <c r="SE37" t="str">
        <f>IF($BM$37="",FALSE,SUMPRODUCT(('Final Calculation Sheet'!$K$4:$K$40=$BM$37)*($SD$4:$SD$40=1))&gt;0)</f>
      </c>
      <c r="SF37" t="str">
        <f>=$SF36+--($SE37)</f>
      </c>
      <c r="SG37" t="str">
        <f>IF(ROW()-3&gt;MAX($SF$4:$SF$40),"",INDEX($BM$4:$BM$40,MATCH(ROW()-3,$SF$4:$SF$40,0)))</f>
      </c>
      <c r="SH37" t="str">
        <f>IF(COUNTIF('Final Calculation Sheet'!$AL37:$AV37,0)+COUNTIF('Final Calculation Sheet'!$AX37:$BS37,0)&gt;0,0,1)</f>
      </c>
      <c r="SI37" t="str">
        <f>IF($BR$37="",FALSE,SUMPRODUCT(('Final Calculation Sheet'!$L$4:$L$40=$BR$37)*($SH$4:$SH$40=1))&gt;0)</f>
      </c>
      <c r="SJ37" t="str">
        <f>=$SJ36+--($SI37)</f>
      </c>
      <c r="SK37" t="str">
        <f>IF(ROW()-3&gt;MAX($SJ$4:$SJ$40),"",INDEX($BR$4:$BR$40,MATCH(ROW()-3,$SJ$4:$SJ$40,0)))</f>
      </c>
      <c r="SL37" t="str">
        <f>IF(COUNTIF('Final Calculation Sheet'!$AL37:$AW37,0)+COUNTIF('Final Calculation Sheet'!$AY37:$BS37,0)&gt;0,0,1)</f>
      </c>
      <c r="SM37" t="str">
        <f>IF($BW$37="",FALSE,SUMPRODUCT(('Final Calculation Sheet'!$M$4:$M$40=$BW$37)*($SL$4:$SL$40=1))&gt;0)</f>
      </c>
      <c r="SN37" t="str">
        <f>=$SN36+--($SM37)</f>
      </c>
      <c r="SO37" t="str">
        <f>IF(ROW()-3&gt;MAX($SN$4:$SN$40),"",INDEX($BW$4:$BW$40,MATCH(ROW()-3,$SN$4:$SN$40,0)))</f>
      </c>
      <c r="SP37" t="str">
        <f>IF(COUNTIF('Final Calculation Sheet'!$AL37:$AX37,0)+COUNTIF('Final Calculation Sheet'!$AZ37:$BS37,0)&gt;0,0,1)</f>
      </c>
      <c r="SQ37" t="str">
        <f>IF($CB$37="",FALSE,SUMPRODUCT(('Final Calculation Sheet'!$N$4:$N$40=$CB$37)*($SP$4:$SP$40=1))&gt;0)</f>
      </c>
      <c r="SR37" t="str">
        <f>=$SR36+--($SQ37)</f>
      </c>
      <c r="SS37" t="str">
        <f>IF(ROW()-3&gt;MAX($SR$4:$SR$40),"",INDEX($CB$4:$CB$40,MATCH(ROW()-3,$SR$4:$SR$40,0)))</f>
      </c>
      <c r="ST37" t="str">
        <f>IF(COUNTIF('Final Calculation Sheet'!$AL37:$AY37,0)+COUNTIF('Final Calculation Sheet'!$BA37:$BS37,0)&gt;0,0,1)</f>
      </c>
      <c r="SU37" t="str">
        <f>IF($CG$37="",FALSE,SUMPRODUCT(('Final Calculation Sheet'!$O$4:$O$40=$CG$37)*($ST$4:$ST$40=1))&gt;0)</f>
      </c>
      <c r="SV37" t="str">
        <f>=$SV36+--($SU37)</f>
      </c>
      <c r="SW37" t="str">
        <f>IF(ROW()-3&gt;MAX($SV$4:$SV$40),"",INDEX($CG$4:$CG$40,MATCH(ROW()-3,$SV$4:$SV$40,0)))</f>
      </c>
      <c r="SX37" t="str">
        <f>IF(COUNTIF('Final Calculation Sheet'!$AL37:$AZ37,0)+COUNTIF('Final Calculation Sheet'!$BB37:$BS37,0)&gt;0,0,1)</f>
      </c>
      <c r="SY37" t="str">
        <f>IF($CL$37="",FALSE,SUMPRODUCT(('Final Calculation Sheet'!$P$4:$P$40=$CL$37)*($SX$4:$SX$40=1))&gt;0)</f>
      </c>
      <c r="SZ37" t="str">
        <f>=$SZ36+--($SY37)</f>
      </c>
      <c r="TA37" t="str">
        <f>IF(ROW()-3&gt;MAX($SZ$4:$SZ$40),"",INDEX($CL$4:$CL$40,MATCH(ROW()-3,$SZ$4:$SZ$40,0)))</f>
      </c>
      <c r="TB37" t="str">
        <f>IF(COUNTIF('Final Calculation Sheet'!$AL37:$BA37,0)+COUNTIF('Final Calculation Sheet'!$BC37:$BS37,0)&gt;0,0,1)</f>
      </c>
      <c r="TC37" t="str">
        <f>IF($CQ$37="",FALSE,SUMPRODUCT(('Final Calculation Sheet'!$Q$4:$Q$40=$CQ$37)*($TB$4:$TB$40=1))&gt;0)</f>
      </c>
      <c r="TD37" t="str">
        <f>=$TD36+--($TC37)</f>
      </c>
      <c r="TE37" t="str">
        <f>IF(ROW()-3&gt;MAX($TD$4:$TD$40),"",INDEX($CQ$4:$CQ$40,MATCH(ROW()-3,$TD$4:$TD$40,0)))</f>
      </c>
      <c r="TF37" t="str">
        <f>IF(COUNTIF('Final Calculation Sheet'!$AL37:$BB37,0)+COUNTIF('Final Calculation Sheet'!$BD37:$BS37,0)&gt;0,0,1)</f>
      </c>
      <c r="TG37" t="str">
        <f>IF($CV$37="",FALSE,SUMPRODUCT(('Final Calculation Sheet'!$R$4:$R$40=$CV$37)*($TF$4:$TF$40=1))&gt;0)</f>
      </c>
      <c r="TH37" t="str">
        <f>=$TH36+--($TG37)</f>
      </c>
      <c r="TI37" t="str">
        <f>IF(ROW()-3&gt;MAX($TH$4:$TH$40),"",INDEX($CV$4:$CV$40,MATCH(ROW()-3,$TH$4:$TH$40,0)))</f>
      </c>
      <c r="TJ37" t="str">
        <f>IF(COUNTIF('Final Calculation Sheet'!$AL37:$BC37,0)+COUNTIF('Final Calculation Sheet'!$BE37:$BS37,0)&gt;0,0,1)</f>
      </c>
      <c r="TK37" t="str">
        <f>IF($DA$37="",FALSE,SUMPRODUCT(('Final Calculation Sheet'!$S$4:$S$40=$DA$37)*($TJ$4:$TJ$40=1))&gt;0)</f>
      </c>
      <c r="TL37" t="str">
        <f>=$TL36+--($TK37)</f>
      </c>
      <c r="TM37" t="str">
        <f>IF(ROW()-3&gt;MAX($TL$4:$TL$40),"",INDEX($DA$4:$DA$40,MATCH(ROW()-3,$TL$4:$TL$40,0)))</f>
      </c>
      <c r="TN37" t="str">
        <f>IF(COUNTIF('Final Calculation Sheet'!$AL37:$BD37,0)+COUNTIF('Final Calculation Sheet'!$BF37:$BS37,0)&gt;0,0,1)</f>
      </c>
      <c r="TO37" t="str">
        <f>IF($DF$37="",FALSE,SUMPRODUCT(('Final Calculation Sheet'!$T$4:$T$40=$DF$37)*($TN$4:$TN$40=1))&gt;0)</f>
      </c>
      <c r="TP37" t="str">
        <f>=$TP36+--($TO37)</f>
      </c>
      <c r="TQ37" t="str">
        <f>IF(ROW()-3&gt;MAX($TP$4:$TP$40),"",INDEX($DF$4:$DF$40,MATCH(ROW()-3,$TP$4:$TP$40,0)))</f>
      </c>
      <c r="TR37" t="str">
        <f>IF(COUNTIF('Final Calculation Sheet'!$AL37:$BE37,0)+COUNTIF('Final Calculation Sheet'!$BG37:$BS37,0)&gt;0,0,1)</f>
      </c>
      <c r="TS37" t="str">
        <f>IF($DK$37="",FALSE,SUMPRODUCT(('Final Calculation Sheet'!$U$4:$U$40=$DK$37)*($TR$4:$TR$40=1))&gt;0)</f>
      </c>
      <c r="TT37" t="str">
        <f>=$TT36+--($TS37)</f>
      </c>
      <c r="TU37" t="str">
        <f>IF(ROW()-3&gt;MAX($TT$4:$TT$40),"",INDEX($DK$4:$DK$40,MATCH(ROW()-3,$TT$4:$TT$40,0)))</f>
      </c>
      <c r="TV37" t="str">
        <f>IF(COUNTIF('Final Calculation Sheet'!$AL37:$BF37,0)+COUNTIF('Final Calculation Sheet'!$BH37:$BS37,0)&gt;0,0,1)</f>
      </c>
      <c r="TW37" t="str">
        <f>IF($DP$37="",FALSE,SUMPRODUCT(('Final Calculation Sheet'!$V$4:$V$40=$DP$37)*($TV$4:$TV$40=1))&gt;0)</f>
      </c>
      <c r="TX37" t="str">
        <f>=$TX36+--($TW37)</f>
      </c>
      <c r="TY37" t="str">
        <f>IF(ROW()-3&gt;MAX($TX$4:$TX$40),"",INDEX($DP$4:$DP$40,MATCH(ROW()-3,$TX$4:$TX$40,0)))</f>
      </c>
      <c r="TZ37" t="str">
        <f>IF(COUNTIF('Final Calculation Sheet'!$AL37:$BG37,0)+COUNTIF('Final Calculation Sheet'!$BI37:$BS37,0)&gt;0,0,1)</f>
      </c>
      <c r="UA37" t="str">
        <f>IF($DU$37="",FALSE,SUMPRODUCT(('Final Calculation Sheet'!$W$4:$W$40=$DU$37)*($TZ$4:$TZ$40=1))&gt;0)</f>
      </c>
      <c r="UB37" t="str">
        <f>=$UB36+--($UA37)</f>
      </c>
      <c r="UC37" t="str">
        <f>IF(ROW()-3&gt;MAX($UB$4:$UB$40),"",INDEX($DU$4:$DU$40,MATCH(ROW()-3,$UB$4:$UB$40,0)))</f>
      </c>
      <c r="UD37" t="str">
        <f>IF(COUNTIF('Final Calculation Sheet'!$AL37:$BH37,0)+COUNTIF('Final Calculation Sheet'!$BJ37:$BS37,0)&gt;0,0,1)</f>
      </c>
      <c r="UE37" t="str">
        <f>IF($DZ$37="",FALSE,SUMPRODUCT(('Final Calculation Sheet'!$X$4:$X$40=$DZ$37)*($UD$4:$UD$40=1))&gt;0)</f>
      </c>
      <c r="UF37" t="str">
        <f>=$UF36+--($UE37)</f>
      </c>
      <c r="UG37" t="str">
        <f>IF(ROW()-3&gt;MAX($UF$4:$UF$40),"",INDEX($DZ$4:$DZ$40,MATCH(ROW()-3,$UF$4:$UF$40,0)))</f>
      </c>
      <c r="UH37" t="str">
        <f>IF(COUNTIF('Final Calculation Sheet'!$AL37:$BI37,0)+COUNTIF('Final Calculation Sheet'!$BK37:$BS37,0)&gt;0,0,1)</f>
      </c>
      <c r="UI37" t="str">
        <f>IF($EE$37="",FALSE,SUMPRODUCT(('Final Calculation Sheet'!$Y$4:$Y$40=$EE$37)*($UH$4:$UH$40=1))&gt;0)</f>
      </c>
      <c r="UJ37" t="str">
        <f>=$UJ36+--($UI37)</f>
      </c>
      <c r="UK37" t="str">
        <f>IF(ROW()-3&gt;MAX($UJ$4:$UJ$40),"",INDEX($EE$4:$EE$40,MATCH(ROW()-3,$UJ$4:$UJ$40,0)))</f>
      </c>
      <c r="UL37" t="str">
        <f>IF(COUNTIF('Final Calculation Sheet'!$AL37:$BJ37,0)+COUNTIF('Final Calculation Sheet'!$BL37:$BS37,0)&gt;0,0,1)</f>
      </c>
      <c r="UM37" t="str">
        <f>IF($EJ$37="",FALSE,SUMPRODUCT(('Final Calculation Sheet'!$Z$4:$Z$40=$EJ$37)*($UL$4:$UL$40=1))&gt;0)</f>
      </c>
      <c r="UN37" t="str">
        <f>=$UN36+--($UM37)</f>
      </c>
      <c r="UO37" t="str">
        <f>IF(ROW()-3&gt;MAX($UN$4:$UN$40),"",INDEX($EJ$4:$EJ$40,MATCH(ROW()-3,$UN$4:$UN$40,0)))</f>
      </c>
      <c r="UP37" t="str">
        <f>IF(COUNTIF('Final Calculation Sheet'!$AL37:$BK37,0)+COUNTIF('Final Calculation Sheet'!$BM37:$BS37,0)&gt;0,0,1)</f>
      </c>
      <c r="UQ37" t="str">
        <f>IF($EO$37="",FALSE,SUMPRODUCT(('Final Calculation Sheet'!$AA$4:$AA$40=$EO$37)*($UP$4:$UP$40=1))&gt;0)</f>
      </c>
      <c r="UR37" t="str">
        <f>=$UR36+--($UQ37)</f>
      </c>
      <c r="US37" t="str">
        <f>IF(ROW()-3&gt;MAX($UR$4:$UR$40),"",INDEX($EO$4:$EO$40,MATCH(ROW()-3,$UR$4:$UR$40,0)))</f>
      </c>
      <c r="UT37" t="str">
        <f>IF(COUNTIF('Final Calculation Sheet'!$AL37:$BL37,0)+COUNTIF('Final Calculation Sheet'!$BN37:$BS37,0)&gt;0,0,1)</f>
      </c>
      <c r="UU37" t="str">
        <f>IF($ET$37="",FALSE,SUMPRODUCT(('Final Calculation Sheet'!$AB$4:$AB$40=$ET$37)*($UT$4:$UT$40=1))&gt;0)</f>
      </c>
      <c r="UV37" t="str">
        <f>=$UV36+--($UU37)</f>
      </c>
      <c r="UW37" t="str">
        <f>IF(ROW()-3&gt;MAX($UV$4:$UV$40),"",INDEX($ET$4:$ET$40,MATCH(ROW()-3,$UV$4:$UV$40,0)))</f>
      </c>
      <c r="UX37" t="str">
        <f>IF(COUNTIF('Final Calculation Sheet'!$AL37:$BM37,0)+COUNTIF('Final Calculation Sheet'!$BO37:$BS37,0)&gt;0,0,1)</f>
      </c>
      <c r="UY37" t="str">
        <f>IF($EY$37="",FALSE,SUMPRODUCT(('Final Calculation Sheet'!$AC$4:$AC$40=$EY$37)*($UX$4:$UX$40=1))&gt;0)</f>
      </c>
      <c r="UZ37" t="str">
        <f>=$UZ36+--($UY37)</f>
      </c>
      <c r="VA37" t="str">
        <f>IF(ROW()-3&gt;MAX($UZ$4:$UZ$40),"",INDEX($EY$4:$EY$40,MATCH(ROW()-3,$UZ$4:$UZ$40,0)))</f>
      </c>
      <c r="VB37" t="str">
        <f>IF(COUNTIF('Final Calculation Sheet'!$AL37:$BN37,0)+COUNTIF('Final Calculation Sheet'!$BP37:$BS37,0)&gt;0,0,1)</f>
      </c>
      <c r="VC37" t="str">
        <f>IF($FD$37="",FALSE,SUMPRODUCT(('Final Calculation Sheet'!$AD$4:$AD$40=$FD$37)*($VB$4:$VB$40=1))&gt;0)</f>
      </c>
      <c r="VD37" t="str">
        <f>=$VD36+--($VC37)</f>
      </c>
      <c r="VE37" t="str">
        <f>IF(ROW()-3&gt;MAX($VD$4:$VD$40),"",INDEX($FD$4:$FD$40,MATCH(ROW()-3,$VD$4:$VD$40,0)))</f>
      </c>
      <c r="VF37" t="str">
        <f>IF(COUNTIF('Final Calculation Sheet'!$AL37:$BO37,0)+COUNTIF('Final Calculation Sheet'!$BQ37:$BS37,0)&gt;0,0,1)</f>
      </c>
      <c r="VG37" t="str">
        <f>IF($FI$37="",FALSE,SUMPRODUCT(('Final Calculation Sheet'!$AE$4:$AE$40=$FI$37)*($VF$4:$VF$40=1))&gt;0)</f>
      </c>
      <c r="VH37" t="str">
        <f>=$VH36+--($VG37)</f>
      </c>
      <c r="VI37" t="str">
        <f>IF(ROW()-3&gt;MAX($VH$4:$VH$40),"",INDEX($FI$4:$FI$40,MATCH(ROW()-3,$VH$4:$VH$40,0)))</f>
      </c>
      <c r="VJ37" t="str">
        <f>IF(COUNTIF('Final Calculation Sheet'!$AL37:$BP37,0)+COUNTIF('Final Calculation Sheet'!$BR37:$BS37,0)&gt;0,0,1)</f>
      </c>
      <c r="VK37" t="str">
        <f>IF($FN$37="",FALSE,SUMPRODUCT(('Final Calculation Sheet'!$AF$4:$AF$40=$FN$37)*($VJ$4:$VJ$40=1))&gt;0)</f>
      </c>
      <c r="VL37" t="str">
        <f>=$VL36+--($VK37)</f>
      </c>
      <c r="VM37" t="str">
        <f>IF(ROW()-3&gt;MAX($VL$4:$VL$40),"",INDEX($FN$4:$FN$40,MATCH(ROW()-3,$VL$4:$VL$40,0)))</f>
      </c>
      <c r="VN37" t="str">
        <f>IF(COUNTIF('Final Calculation Sheet'!$AL37:$BQ37,0)+COUNTIF('Final Calculation Sheet'!$BS37:$BS37,0)&gt;0,0,1)</f>
      </c>
      <c r="VO37" t="str">
        <f>IF($FS$37="",FALSE,SUMPRODUCT(('Final Calculation Sheet'!$AG$4:$AG$40=$FS$37)*($VN$4:$VN$40=1))&gt;0)</f>
      </c>
      <c r="VP37" t="str">
        <f>=$VP36+--($VO37)</f>
      </c>
      <c r="VQ37" t="str">
        <f>IF(ROW()-3&gt;MAX($VP$4:$VP$40),"",INDEX($FS$4:$FS$40,MATCH(ROW()-3,$VP$4:$VP$40,0)))</f>
      </c>
      <c r="VR37" t="str">
        <f>IF(COUNTIF('Final Calculation Sheet'!$AL37:$BR37,0)&gt;0,0,1)</f>
      </c>
      <c r="VS37" t="str">
        <f>IF($QO$37="",FALSE,SUMPRODUCT(('Final Calculation Sheet'!$AH$4:$AH$40=$QO$37)*($VR$4:$VR$40=1))&gt;0)</f>
      </c>
      <c r="VT37" t="str">
        <f>=$VT36+--($VS37)</f>
      </c>
      <c r="VU37" t="str">
        <f>IF(ROW()-3&gt;MAX($VT$4:$VT$40),"",INDEX($QO$4:$QO$40,MATCH(ROW()-3,$VT$4:$VT$40,0)))</f>
      </c>
    </row>
    <row r="38">
      <c r="A38">
        <f>IF('Final Calculation Sheet'!$F$38="","",'Final Calculation Sheet'!$F$38)</f>
        <v/>
      </c>
      <c r="B38">
        <f>IF(A38="","",COUNTIFS(A$4:A$114,"&lt;"&amp;A38,A$4:A$114,"&lt;&gt;"&amp;"")+COUNTIF(A$4:A38,A38))</f>
        <v/>
      </c>
      <c r="C38">
        <f>IF(ROW()-3&gt;COUNTIF(A$4:A$114,"&lt;&gt;"&amp;""),"",INDEX(A$4:A$114,MATCH(ROW()-3,B$4:B$114,0)))</f>
        <v/>
      </c>
      <c r="D38">
        <f>D37+IF(AND(C38&lt;&gt;"",COUNTIF(C$4:C38,C38)=1),1,0)</f>
        <v/>
      </c>
      <c r="E38">
        <f>IF(ROW()-3&gt;MAX(D$4:D$114),"",INDEX(C$4:C$114,MATCH(ROW()-3,D$4:D$114,0)))</f>
        <v/>
      </c>
      <c r="F38">
        <f>ROW()-3</f>
        <v/>
      </c>
      <c r="G38">
        <f>IF(F38="","",COUNTIFS(F$4:F$40,"&lt;"&amp;F38,F$4:F$40,"&lt;&gt;"&amp;"")+COUNTIF(F$4:F38,F38))</f>
        <v/>
      </c>
      <c r="H38">
        <f>IF(ROW()-3&gt;COUNTIF(F$4:F$40,"&lt;&gt;"&amp;""),"",INDEX(F$4:F$40,MATCH(ROW()-3,G$4:G$40,0)))</f>
        <v/>
      </c>
      <c r="I38">
        <f>I37+IF(AND(H38&lt;&gt;"",COUNTIF(H$4:H38,H38)=1),1,0)</f>
        <v/>
      </c>
      <c r="J38">
        <f>IF(ROW()-3&gt;MAX(I$4:I$40),"",INDEX(H$4:H$40,MATCH(ROW()-3,I$4:I$40,0)))</f>
        <v/>
      </c>
      <c r="K38">
        <f>IF('Final Calculation Sheet'!$F$38="","",'Final Calculation Sheet'!$F$38)</f>
        <v/>
      </c>
      <c r="L38">
        <f>IF(K38="","",COUNTIFS(K$4:K$40,"&lt;"&amp;K38,K$4:K$40,"&lt;&gt;"&amp;"")+COUNTIF(K$4:K38,K38))</f>
        <v/>
      </c>
      <c r="M38">
        <f>IF(ROW()-3&gt;COUNTIF(K$4:K$40,"&lt;&gt;"&amp;""),"",INDEX(K$4:K$40,MATCH(ROW()-3,L$4:L$40,0)))</f>
        <v/>
      </c>
      <c r="N38">
        <f>N37+IF(AND(M38&lt;&gt;"",COUNTIF(M$4:M38,M38)=1),1,0)</f>
        <v/>
      </c>
      <c r="O38">
        <f>IF(ROW()-3&gt;MAX(N$4:N$40),"",INDEX(M$4:M$40,MATCH(ROW()-3,N$4:N$40,0)))</f>
        <v/>
      </c>
      <c r="P38">
        <f>IF('Final Calculation Sheet'!$G$38="","",'Final Calculation Sheet'!$G$38)</f>
        <v/>
      </c>
      <c r="Q38">
        <f>IF(P38="","",COUNTIFS(P$4:P$40,"&lt;"&amp;P38,P$4:P$40,"&lt;&gt;"&amp;"")+COUNTIF(P$4:P38,P38))</f>
        <v/>
      </c>
      <c r="R38">
        <f>IF(ROW()-3&gt;COUNTIF(P$4:P$40,"&lt;&gt;"&amp;""),"",INDEX(P$4:P$40,MATCH(ROW()-3,Q$4:Q$40,0)))</f>
        <v/>
      </c>
      <c r="S38">
        <f>S37+IF(AND(R38&lt;&gt;"",COUNTIF(R$4:R38,R38)=1),1,0)</f>
        <v/>
      </c>
      <c r="T38">
        <f>IF(ROW()-3&gt;MAX(S$4:S$40),"",INDEX(R$4:R$40,MATCH(ROW()-3,S$4:S$40,0)))</f>
        <v/>
      </c>
      <c r="U38">
        <f>IF('Final Calculation Sheet'!$B$38="","",'Final Calculation Sheet'!$B$38)</f>
        <v/>
      </c>
      <c r="V38">
        <f>IF(U38="","",COUNTIFS(U$4:U$40,"&lt;"&amp;U38,U$4:U$40,"&lt;&gt;"&amp;"")+COUNTIF(U$4:U38,U38))</f>
        <v/>
      </c>
      <c r="W38">
        <f>IF(ROW()-3&gt;COUNTIF(U$4:U$40,"&lt;&gt;"&amp;""),"",INDEX(U$4:U$40,MATCH(ROW()-3,V$4:V$40,0)))</f>
        <v/>
      </c>
      <c r="X38">
        <f>X37+IF(AND(W38&lt;&gt;"",COUNTIF(W$4:W38,W38)=1),1,0)</f>
        <v/>
      </c>
      <c r="Y38">
        <f>IF(ROW()-3&gt;MAX(X$4:X$40),"",INDEX(W$4:W$40,MATCH(ROW()-3,X$4:X$40,0)))</f>
        <v/>
      </c>
      <c r="Z38">
        <f>IF('Final Calculation Sheet'!$D$38="","",'Final Calculation Sheet'!$D$38)</f>
        <v/>
      </c>
      <c r="AA38">
        <f>IF(Z38="","",COUNTIFS(Z$4:Z$40,"&lt;"&amp;Z38,Z$4:Z$40,"&lt;&gt;"&amp;"")+COUNTIF(Z$4:Z38,Z38))</f>
        <v/>
      </c>
      <c r="AB38">
        <f>IF(ROW()-3&gt;COUNTIF(Z$4:Z$40,"&lt;&gt;"&amp;""),"",INDEX(Z$4:Z$40,MATCH(ROW()-3,AA$4:AA$40,0)))</f>
        <v/>
      </c>
      <c r="AC38">
        <f>AC37+IF(AND(AB38&lt;&gt;"",COUNTIF(AB$4:AB38,AB38)=1),1,0)</f>
        <v/>
      </c>
      <c r="AD38">
        <f>IF(ROW()-3&gt;MAX(AC$4:AC$40),"",INDEX(AB$4:AB$40,MATCH(ROW()-3,AC$4:AC$40,0)))</f>
        <v/>
      </c>
      <c r="AE38">
        <f>IF('Final Calculation Sheet'!$A$38="","",'Final Calculation Sheet'!$A$38)</f>
        <v/>
      </c>
      <c r="AF38">
        <f>IF(AE38="","",COUNTIFS(AE$4:AE$40,"&lt;"&amp;AE38,AE$4:AE$40,"&lt;&gt;"&amp;"")+COUNTIF(AE$4:AE38,AE38))</f>
        <v/>
      </c>
      <c r="AG38">
        <f>IF(ROW()-3&gt;COUNTIF(AE$4:AE$40,"&lt;&gt;"&amp;""),"",INDEX(AE$4:AE$40,MATCH(ROW()-3,AF$4:AF$40,0)))</f>
        <v/>
      </c>
      <c r="AH38">
        <f>AH37+IF(AND(AG38&lt;&gt;"",COUNTIF(AG$4:AG38,AG38)=1),1,0)</f>
        <v/>
      </c>
      <c r="AI38">
        <f>IF(ROW()-3&gt;MAX(AH$4:AH$40),"",INDEX(AG$4:AG$40,MATCH(ROW()-3,AH$4:AH$40,0)))</f>
        <v/>
      </c>
      <c r="AJ38">
        <f>IF('Final Calculation Sheet'!$E$38="","",'Final Calculation Sheet'!$E$38)</f>
        <v/>
      </c>
      <c r="AK38">
        <f>IF(AJ38="","",COUNTIFS(AJ$4:AJ$40,"&lt;"&amp;AJ38,AJ$4:AJ$40,"&lt;&gt;"&amp;"")+COUNTIF(AJ$4:AJ38,AJ38))</f>
        <v/>
      </c>
      <c r="AL38">
        <f>IF(ROW()-3&gt;COUNTIF(AJ$4:AJ$40,"&lt;&gt;"&amp;""),"",INDEX(AJ$4:AJ$40,MATCH(ROW()-3,AK$4:AK$40,0)))</f>
        <v/>
      </c>
      <c r="AM38">
        <f>AM37+IF(AND(AL38&lt;&gt;"",COUNTIF(AL$4:AL38,AL38)=1),1,0)</f>
        <v/>
      </c>
      <c r="AN38">
        <f>IF(ROW()-3&gt;MAX(AM$4:AM$40),"",INDEX(AL$4:AL$40,MATCH(ROW()-3,AM$4:AM$40,0)))</f>
        <v/>
      </c>
      <c r="AO38" s="55">
        <f>IF('Final Calculation Sheet'!$C$38="","",'Final Calculation Sheet'!$C$38)</f>
        <v/>
      </c>
      <c r="AP38">
        <f>IF(AO38="","",COUNTIFS(AO$4:AO$40,"&lt;"&amp;AO38,AO$4:AO$40,"&lt;&gt;"&amp;"")+COUNTIF(AO$4:AO38,AO38))</f>
        <v/>
      </c>
      <c r="AQ38" s="55">
        <f>IF(ROW()-3&gt;COUNTIF(AO$4:AO$40,"&lt;&gt;"&amp;""),"",INDEX(AO$4:AO$40,MATCH(ROW()-3,AP$4:AP$40,0)))</f>
        <v/>
      </c>
      <c r="AR38">
        <f>AR37+IF(AND(AQ38&lt;&gt;"",COUNTIF(AQ$4:AQ38,AQ38)=1),1,0)</f>
        <v/>
      </c>
      <c r="AS38" s="55">
        <f>IF(ROW()-3&gt;MAX(AR$4:AR$40),"",INDEX(AQ$4:AQ$40,MATCH(ROW()-3,AR$4:AR$40,0)))</f>
        <v/>
      </c>
      <c r="AT38" s="55">
        <f>IF('Final Calculation Sheet'!$H$38="","",'Final Calculation Sheet'!$H$38)</f>
        <v/>
      </c>
      <c r="AU38">
        <f>IF(AT38="","",COUNTIFS(AT$4:AT$40,"&lt;"&amp;AT38,AT$4:AT$40,"&lt;&gt;"&amp;"")+COUNTIF(AT$4:AT38,AT38))</f>
        <v/>
      </c>
      <c r="AV38" s="55">
        <f>IF(ROW()-3&gt;COUNTIF(AT$4:AT$40,"&lt;&gt;"&amp;""),"",INDEX(AT$4:AT$40,MATCH(ROW()-3,AU$4:AU$40,0)))</f>
        <v/>
      </c>
      <c r="AW38">
        <f>AW37+IF(AND(AV38&lt;&gt;"",COUNTIF(AV$4:AV38,AV38)=1),1,0)</f>
        <v/>
      </c>
      <c r="AX38" s="55">
        <f>IF(ROW()-3&gt;MAX(AW$4:AW$40),"",INDEX(AV$4:AV$40,MATCH(ROW()-3,AW$4:AW$40,0)))</f>
        <v/>
      </c>
      <c r="AY38" s="55">
        <f>IF('Final Calculation Sheet'!$I$38="","",'Final Calculation Sheet'!$I$38)</f>
        <v/>
      </c>
      <c r="AZ38">
        <f>IF(AY38="","",COUNTIFS(AY$4:AY$40,"&lt;"&amp;AY38,AY$4:AY$40,"&lt;&gt;"&amp;"")+COUNTIF(AY$4:AY38,AY38))</f>
        <v/>
      </c>
      <c r="BA38" s="55">
        <f>IF(ROW()-3&gt;COUNTIF(AY$4:AY$40,"&lt;&gt;"&amp;""),"",INDEX(AY$4:AY$40,MATCH(ROW()-3,AZ$4:AZ$40,0)))</f>
        <v/>
      </c>
      <c r="BB38">
        <f>BB37+IF(AND(BA38&lt;&gt;"",COUNTIF(BA$4:BA38,BA38)=1),1,0)</f>
        <v/>
      </c>
      <c r="BC38" s="55">
        <f>IF(ROW()-3&gt;MAX(BB$4:BB$40),"",INDEX(BA$4:BA$40,MATCH(ROW()-3,BB$4:BB$40,0)))</f>
        <v/>
      </c>
      <c r="BD38" s="55">
        <f>IF('Final Calculation Sheet'!$J$38="","",'Final Calculation Sheet'!$J$38)</f>
        <v/>
      </c>
      <c r="BE38">
        <f>IF(BD38="","",COUNTIFS(BD$4:BD$40,"&lt;"&amp;BD38,BD$4:BD$40,"&lt;&gt;"&amp;"")+COUNTIF(BD$4:BD38,BD38))</f>
        <v/>
      </c>
      <c r="BF38" s="55">
        <f>IF(ROW()-3&gt;COUNTIF(BD$4:BD$40,"&lt;&gt;"&amp;""),"",INDEX(BD$4:BD$40,MATCH(ROW()-3,BE$4:BE$40,0)))</f>
        <v/>
      </c>
      <c r="BG38">
        <f>BG37+IF(AND(BF38&lt;&gt;"",COUNTIF(BF$4:BF38,BF38)=1),1,0)</f>
        <v/>
      </c>
      <c r="BH38" s="55">
        <f>IF(ROW()-3&gt;MAX(BG$4:BG$40),"",INDEX(BF$4:BF$40,MATCH(ROW()-3,BG$4:BG$40,0)))</f>
        <v/>
      </c>
      <c r="BI38" s="55">
        <f>IF('Final Calculation Sheet'!$K$38="","",'Final Calculation Sheet'!$K$38)</f>
        <v/>
      </c>
      <c r="BJ38">
        <f>IF(BI38="","",COUNTIFS(BI$4:BI$40,"&lt;"&amp;BI38,BI$4:BI$40,"&lt;&gt;"&amp;"")+COUNTIF(BI$4:BI38,BI38))</f>
        <v/>
      </c>
      <c r="BK38" s="55">
        <f>IF(ROW()-3&gt;COUNTIF(BI$4:BI$40,"&lt;&gt;"&amp;""),"",INDEX(BI$4:BI$40,MATCH(ROW()-3,BJ$4:BJ$40,0)))</f>
        <v/>
      </c>
      <c r="BL38">
        <f>BL37+IF(AND(BK38&lt;&gt;"",COUNTIF(BK$4:BK38,BK38)=1),1,0)</f>
        <v/>
      </c>
      <c r="BM38" s="55">
        <f>IF(ROW()-3&gt;MAX(BL$4:BL$40),"",INDEX(BK$4:BK$40,MATCH(ROW()-3,BL$4:BL$40,0)))</f>
        <v/>
      </c>
      <c r="BN38" s="55">
        <f>IF('Final Calculation Sheet'!$L$38="","",'Final Calculation Sheet'!$L$38)</f>
        <v/>
      </c>
      <c r="BO38">
        <f>IF(BN38="","",COUNTIFS(BN$4:BN$40,"&lt;"&amp;BN38,BN$4:BN$40,"&lt;&gt;"&amp;"")+COUNTIF(BN$4:BN38,BN38))</f>
        <v/>
      </c>
      <c r="BP38" s="55">
        <f>IF(ROW()-3&gt;COUNTIF(BN$4:BN$40,"&lt;&gt;"&amp;""),"",INDEX(BN$4:BN$40,MATCH(ROW()-3,BO$4:BO$40,0)))</f>
        <v/>
      </c>
      <c r="BQ38">
        <f>BQ37+IF(AND(BP38&lt;&gt;"",COUNTIF(BP$4:BP38,BP38)=1),1,0)</f>
        <v/>
      </c>
      <c r="BR38" s="55">
        <f>IF(ROW()-3&gt;MAX(BQ$4:BQ$40),"",INDEX(BP$4:BP$40,MATCH(ROW()-3,BQ$4:BQ$40,0)))</f>
        <v/>
      </c>
      <c r="BS38" s="55">
        <f>IF('Final Calculation Sheet'!$M$38="","",'Final Calculation Sheet'!$M$38)</f>
        <v/>
      </c>
      <c r="BT38">
        <f>IF(BS38="","",COUNTIFS(BS$4:BS$40,"&lt;"&amp;BS38,BS$4:BS$40,"&lt;&gt;"&amp;"")+COUNTIF(BS$4:BS38,BS38))</f>
        <v/>
      </c>
      <c r="BU38" s="55">
        <f>IF(ROW()-3&gt;COUNTIF(BS$4:BS$40,"&lt;&gt;"&amp;""),"",INDEX(BS$4:BS$40,MATCH(ROW()-3,BT$4:BT$40,0)))</f>
        <v/>
      </c>
      <c r="BV38">
        <f>BV37+IF(AND(BU38&lt;&gt;"",COUNTIF(BU$4:BU38,BU38)=1),1,0)</f>
        <v/>
      </c>
      <c r="BW38" s="55">
        <f>IF(ROW()-3&gt;MAX(BV$4:BV$40),"",INDEX(BU$4:BU$40,MATCH(ROW()-3,BV$4:BV$40,0)))</f>
        <v/>
      </c>
      <c r="BX38" s="138">
        <f>IF('Final Calculation Sheet'!$N$38="","",'Final Calculation Sheet'!$N$38)</f>
        <v/>
      </c>
      <c r="BY38">
        <f>IF(BX38="","",COUNTIFS(BX$4:BX$40,"&lt;"&amp;BX38,BX$4:BX$40,"&lt;&gt;"&amp;"")+COUNTIF(BX$4:BX38,BX38))</f>
        <v/>
      </c>
      <c r="BZ38" s="138">
        <f>IF(ROW()-3&gt;COUNTIF(BX$4:BX$40,"&lt;&gt;"&amp;""),"",INDEX(BX$4:BX$40,MATCH(ROW()-3,BY$4:BY$40,0)))</f>
        <v/>
      </c>
      <c r="CA38">
        <f>CA37+IF(AND(BZ38&lt;&gt;"",COUNTIF(BZ$4:BZ38,BZ38)=1),1,0)</f>
        <v/>
      </c>
      <c r="CB38" s="138">
        <f>IF(ROW()-3&gt;MAX(CA$4:CA$40),"",INDEX(BZ$4:BZ$40,MATCH(ROW()-3,CA$4:CA$40,0)))</f>
        <v/>
      </c>
      <c r="CC38" s="55">
        <f>IF('Final Calculation Sheet'!$O$38="","",'Final Calculation Sheet'!$O$38)</f>
        <v/>
      </c>
      <c r="CD38">
        <f>IF(CC38="","",COUNTIFS(CC$4:CC$40,"&lt;"&amp;CC38,CC$4:CC$40,"&lt;&gt;"&amp;"")+COUNTIF(CC$4:CC38,CC38))</f>
        <v/>
      </c>
      <c r="CE38" s="55">
        <f>IF(ROW()-3&gt;COUNTIF(CC$4:CC$40,"&lt;&gt;"&amp;""),"",INDEX(CC$4:CC$40,MATCH(ROW()-3,CD$4:CD$40,0)))</f>
        <v/>
      </c>
      <c r="CF38">
        <f>CF37+IF(AND(CE38&lt;&gt;"",COUNTIF(CE$4:CE38,CE38)=1),1,0)</f>
        <v/>
      </c>
      <c r="CG38" s="55">
        <f>IF(ROW()-3&gt;MAX(CF$4:CF$40),"",INDEX(CE$4:CE$40,MATCH(ROW()-3,CF$4:CF$40,0)))</f>
        <v/>
      </c>
      <c r="CH38" s="55">
        <f>IF('Final Calculation Sheet'!$P$38="","",'Final Calculation Sheet'!$P$38)</f>
        <v/>
      </c>
      <c r="CI38">
        <f>IF(CH38="","",COUNTIFS(CH$4:CH$40,"&lt;"&amp;CH38,CH$4:CH$40,"&lt;&gt;"&amp;"")+COUNTIF(CH$4:CH38,CH38))</f>
        <v/>
      </c>
      <c r="CJ38" s="55">
        <f>IF(ROW()-3&gt;COUNTIF(CH$4:CH$40,"&lt;&gt;"&amp;""),"",INDEX(CH$4:CH$40,MATCH(ROW()-3,CI$4:CI$40,0)))</f>
        <v/>
      </c>
      <c r="CK38">
        <f>CK37+IF(AND(CJ38&lt;&gt;"",COUNTIF(CJ$4:CJ38,CJ38)=1),1,0)</f>
        <v/>
      </c>
      <c r="CL38" s="55">
        <f>IF(ROW()-3&gt;MAX(CK$4:CK$40),"",INDEX(CJ$4:CJ$40,MATCH(ROW()-3,CK$4:CK$40,0)))</f>
        <v/>
      </c>
      <c r="CM38" s="139">
        <f>IF('Final Calculation Sheet'!$Q$38="","",'Final Calculation Sheet'!$Q$38)</f>
        <v/>
      </c>
      <c r="CN38">
        <f>IF(CM38="","",COUNTIFS(CM$4:CM$40,"&lt;"&amp;CM38,CM$4:CM$40,"&lt;&gt;"&amp;"")+COUNTIF(CM$4:CM38,CM38))</f>
        <v/>
      </c>
      <c r="CO38" s="139">
        <f>IF(ROW()-3&gt;COUNTIF(CM$4:CM$40,"&lt;&gt;"&amp;""),"",INDEX(CM$4:CM$40,MATCH(ROW()-3,CN$4:CN$40,0)))</f>
        <v/>
      </c>
      <c r="CP38">
        <f>CP37+IF(AND(CO38&lt;&gt;"",COUNTIF(CO$4:CO38,CO38)=1),1,0)</f>
        <v/>
      </c>
      <c r="CQ38">
        <f>IF(ROW()-3&gt;MAX(CP$4:CP$40),"",INDEX(CO$4:CO$40,MATCH(ROW()-3,CP$4:CP$40,0)))</f>
        <v/>
      </c>
      <c r="CR38" s="55">
        <f>IF('Final Calculation Sheet'!$R$38="","",'Final Calculation Sheet'!$R$38)</f>
        <v/>
      </c>
      <c r="CS38">
        <f>IF(CR38="","",COUNTIFS(CR$4:CR$40,"&lt;"&amp;CR38,CR$4:CR$40,"&lt;&gt;"&amp;"")+COUNTIF(CR$4:CR38,CR38))</f>
        <v/>
      </c>
      <c r="CT38" s="55">
        <f>IF(ROW()-3&gt;COUNTIF(CR$4:CR$40,"&lt;&gt;"&amp;""),"",INDEX(CR$4:CR$40,MATCH(ROW()-3,CS$4:CS$40,0)))</f>
        <v/>
      </c>
      <c r="CU38">
        <f>CU37+IF(AND(CT38&lt;&gt;"",COUNTIF(CT$4:CT38,CT38)=1),1,0)</f>
        <v/>
      </c>
      <c r="CV38">
        <f>IF(ROW()-3&gt;MAX(CU$4:CU$40),"",INDEX(CT$4:CT$40,MATCH(ROW()-3,CU$4:CU$40,0)))</f>
        <v/>
      </c>
      <c r="CW38" s="55">
        <f>IF('Final Calculation Sheet'!$S$38="","",'Final Calculation Sheet'!$S$38)</f>
        <v/>
      </c>
      <c r="CX38">
        <f>IF(CW38="","",COUNTIFS(CW$4:CW$40,"&lt;"&amp;CW38,CW$4:CW$40,"&lt;&gt;"&amp;"")+COUNTIF(CW$4:CW38,CW38))</f>
        <v/>
      </c>
      <c r="CY38" s="55">
        <f>IF(ROW()-3&gt;COUNTIF(CW$4:CW$40,"&lt;&gt;"&amp;""),"",INDEX(CW$4:CW$40,MATCH(ROW()-3,CX$4:CX$40,0)))</f>
        <v/>
      </c>
      <c r="CZ38">
        <f>CZ37+IF(AND(CY38&lt;&gt;"",COUNTIF(CY$4:CY38,CY38)=1),1,0)</f>
        <v/>
      </c>
      <c r="DA38" s="55">
        <f>IF(ROW()-3&gt;MAX(CZ$4:CZ$40),"",INDEX(CY$4:CY$40,MATCH(ROW()-3,CZ$4:CZ$40,0)))</f>
        <v/>
      </c>
      <c r="DB38" s="55">
        <f>IF('Final Calculation Sheet'!$T$38="","",'Final Calculation Sheet'!$T$38)</f>
        <v/>
      </c>
      <c r="DC38">
        <f>IF(DB38="","",COUNTIFS(DB$4:DB$40,"&lt;"&amp;DB38,DB$4:DB$40,"&lt;&gt;"&amp;"")+COUNTIF(DB$4:DB38,DB38))</f>
        <v/>
      </c>
      <c r="DD38" s="55">
        <f>IF(ROW()-3&gt;COUNTIF(DB$4:DB$40,"&lt;&gt;"&amp;""),"",INDEX(DB$4:DB$40,MATCH(ROW()-3,DC$4:DC$40,0)))</f>
        <v/>
      </c>
      <c r="DE38">
        <f>DE37+IF(AND(DD38&lt;&gt;"",COUNTIF(DD$4:DD38,DD38)=1),1,0)</f>
        <v/>
      </c>
      <c r="DF38" s="55">
        <f>IF(ROW()-3&gt;MAX(DE$4:DE$40),"",INDEX(DD$4:DD$40,MATCH(ROW()-3,DE$4:DE$40,0)))</f>
        <v/>
      </c>
      <c r="DG38" s="140">
        <f>IF('Final Calculation Sheet'!$U$38="","",'Final Calculation Sheet'!$U$38)</f>
        <v/>
      </c>
      <c r="DH38">
        <f>IF(DG38="","",COUNTIFS(DG$4:DG$40,"&lt;"&amp;DG38,DG$4:DG$40,"&lt;&gt;"&amp;"")+COUNTIF(DG$4:DG38,DG38))</f>
        <v/>
      </c>
      <c r="DI38" s="140">
        <f>IF(ROW()-3&gt;COUNTIF(DG$4:DG$40,"&lt;&gt;"&amp;""),"",INDEX(DG$4:DG$40,MATCH(ROW()-3,DH$4:DH$40,0)))</f>
        <v/>
      </c>
      <c r="DJ38">
        <f>DJ37+IF(AND(DI38&lt;&gt;"",COUNTIF(DI$4:DI38,DI38)=1),1,0)</f>
        <v/>
      </c>
      <c r="DK38" s="140">
        <f>IF(ROW()-3&gt;MAX(DJ$4:DJ$40),"",INDEX(DI$4:DI$40,MATCH(ROW()-3,DJ$4:DJ$40,0)))</f>
        <v/>
      </c>
      <c r="DL38">
        <f>IF('Final Calculation Sheet'!$V$38="","",'Final Calculation Sheet'!$V$38)</f>
        <v/>
      </c>
      <c r="DM38">
        <f>IF(DL38="","",COUNTIFS(DL$4:DL$40,"&lt;"&amp;DL38,DL$4:DL$40,"&lt;&gt;"&amp;"")+COUNTIF(DL$4:DL38,DL38))</f>
        <v/>
      </c>
      <c r="DN38">
        <f>IF(ROW()-3&gt;COUNTIF(DL$4:DL$40,"&lt;&gt;"&amp;""),"",INDEX(DL$4:DL$40,MATCH(ROW()-3,DM$4:DM$40,0)))</f>
        <v/>
      </c>
      <c r="DO38">
        <f>DO37+IF(AND(DN38&lt;&gt;"",COUNTIF(DN$4:DN38,DN38)=1),1,0)</f>
        <v/>
      </c>
      <c r="DP38">
        <f>IF(ROW()-3&gt;MAX(DO$4:DO$40),"",INDEX(DN$4:DN$40,MATCH(ROW()-3,DO$4:DO$40,0)))</f>
        <v/>
      </c>
      <c r="DQ38" s="55">
        <f>IF('Final Calculation Sheet'!$W$38="","",'Final Calculation Sheet'!$W$38)</f>
        <v/>
      </c>
      <c r="DR38">
        <f>IF(DQ38="","",COUNTIFS(DQ$4:DQ$40,"&lt;"&amp;DQ38,DQ$4:DQ$40,"&lt;&gt;"&amp;"")+COUNTIF(DQ$4:DQ38,DQ38))</f>
        <v/>
      </c>
      <c r="DS38" s="55">
        <f>IF(ROW()-3&gt;COUNTIF(DQ$4:DQ$40,"&lt;&gt;"&amp;""),"",INDEX(DQ$4:DQ$40,MATCH(ROW()-3,DR$4:DR$40,0)))</f>
        <v/>
      </c>
      <c r="DT38">
        <f>DT37+IF(AND(DS38&lt;&gt;"",COUNTIF(DS$4:DS38,DS38)=1),1,0)</f>
        <v/>
      </c>
      <c r="DU38" s="55">
        <f>IF(ROW()-3&gt;MAX(DT$4:DT$40),"",INDEX(DS$4:DS$40,MATCH(ROW()-3,DT$4:DT$40,0)))</f>
        <v/>
      </c>
      <c r="DV38" s="55">
        <f>IF('Final Calculation Sheet'!$X$38="","",'Final Calculation Sheet'!$X$38)</f>
        <v/>
      </c>
      <c r="DW38">
        <f>IF(DV38="","",COUNTIFS(DV$4:DV$40,"&lt;"&amp;DV38,DV$4:DV$40,"&lt;&gt;"&amp;"")+COUNTIF(DV$4:DV38,DV38))</f>
        <v/>
      </c>
      <c r="DX38">
        <f>IF(ROW()-3&gt;COUNTIF(DV$4:DV$40,"&lt;&gt;"&amp;""),"",INDEX(DV$4:DV$40,MATCH(ROW()-3,DW$4:DW$40,0)))</f>
        <v/>
      </c>
      <c r="DY38">
        <f>DY37+IF(AND(DX38&lt;&gt;"",COUNTIF(DX$4:DX38,DX38)=1),1,0)</f>
        <v/>
      </c>
      <c r="DZ38">
        <f>IF(ROW()-3&gt;MAX(DY$4:DY$40),"",INDEX(DX$4:DX$40,MATCH(ROW()-3,DY$4:DY$40,0)))</f>
        <v/>
      </c>
      <c r="EA38">
        <f>IF('Final Calculation Sheet'!$Y$38="","",'Final Calculation Sheet'!$Y$38)</f>
        <v/>
      </c>
      <c r="EB38">
        <f>IF(EA38="","",COUNTIFS(EA$4:EA$40,"&lt;"&amp;EA38,EA$4:EA$40,"&lt;&gt;"&amp;"")+COUNTIF(EA$4:EA38,EA38))</f>
        <v/>
      </c>
      <c r="EC38">
        <f>IF(ROW()-3&gt;COUNTIF(EA$4:EA$40,"&lt;&gt;"&amp;""),"",INDEX(EA$4:EA$40,MATCH(ROW()-3,EB$4:EB$40,0)))</f>
        <v/>
      </c>
      <c r="ED38">
        <f>ED37+IF(AND(EC38&lt;&gt;"",COUNTIF(EC$4:EC38,EC38)=1),1,0)</f>
        <v/>
      </c>
      <c r="EE38">
        <f>IF(ROW()-3&gt;MAX(ED$4:ED$40),"",INDEX(EC$4:EC$40,MATCH(ROW()-3,ED$4:ED$40,0)))</f>
        <v/>
      </c>
      <c r="EF38" s="55">
        <f>IF('Final Calculation Sheet'!$Z$38="","",'Final Calculation Sheet'!$Z$38)</f>
        <v/>
      </c>
      <c r="EG38">
        <f>IF(EF38="","",COUNTIFS(EF$4:EF$40,"&lt;"&amp;EF38,EF$4:EF$40,"&lt;&gt;"&amp;"")+COUNTIF(EF$4:EF38,EF38))</f>
        <v/>
      </c>
      <c r="EH38" s="55">
        <f>IF(ROW()-3&gt;COUNTIF(EF$4:EF$40,"&lt;&gt;"&amp;""),"",INDEX(EF$4:EF$40,MATCH(ROW()-3,EG$4:EG$40,0)))</f>
        <v/>
      </c>
      <c r="EI38">
        <f>EI37+IF(AND(EH38&lt;&gt;"",COUNTIF(EH$4:EH38,EH38)=1),1,0)</f>
        <v/>
      </c>
      <c r="EJ38">
        <f>IF(ROW()-3&gt;MAX(EI$4:EI$40),"",INDEX(EH$4:EH$40,MATCH(ROW()-3,EI$4:EI$40,0)))</f>
        <v/>
      </c>
      <c r="EK38">
        <f>IF('Final Calculation Sheet'!$AA$38="","",'Final Calculation Sheet'!$AA$38)</f>
        <v/>
      </c>
      <c r="EL38">
        <f>IF(EK38="","",COUNTIFS(EK$4:EK$40,"&lt;"&amp;EK38,EK$4:EK$40,"&lt;&gt;"&amp;"")+COUNTIF(EK$4:EK38,EK38))</f>
        <v/>
      </c>
      <c r="EM38">
        <f>IF(ROW()-3&gt;COUNTIF(EK$4:EK$40,"&lt;&gt;"&amp;""),"",INDEX(EK$4:EK$40,MATCH(ROW()-3,EL$4:EL$40,0)))</f>
        <v/>
      </c>
      <c r="EN38">
        <f>EN37+IF(AND(EM38&lt;&gt;"",COUNTIF(EM$4:EM38,EM38)=1),1,0)</f>
        <v/>
      </c>
      <c r="EO38">
        <f>IF(ROW()-3&gt;MAX(EN$4:EN$40),"",INDEX(EM$4:EM$40,MATCH(ROW()-3,EN$4:EN$40,0)))</f>
        <v/>
      </c>
      <c r="EP38">
        <f>IF('Final Calculation Sheet'!$AB$38="","",'Final Calculation Sheet'!$AB$38)</f>
        <v/>
      </c>
      <c r="EQ38">
        <f>IF(EP38="","",COUNTIFS(EP$4:EP$40,"&lt;"&amp;EP38,EP$4:EP$40,"&lt;&gt;"&amp;"")+COUNTIF(EP$4:EP38,EP38))</f>
        <v/>
      </c>
      <c r="ER38">
        <f>IF(ROW()-3&gt;COUNTIF(EP$4:EP$40,"&lt;&gt;"&amp;""),"",INDEX(EP$4:EP$40,MATCH(ROW()-3,EQ$4:EQ$40,0)))</f>
        <v/>
      </c>
      <c r="ES38">
        <f>ES37+IF(AND(ER38&lt;&gt;"",COUNTIF(ER$4:ER38,ER38)=1),1,0)</f>
        <v/>
      </c>
      <c r="ET38">
        <f>IF(ROW()-3&gt;MAX(ES$4:ES$40),"",INDEX(ER$4:ER$40,MATCH(ROW()-3,ES$4:ES$40,0)))</f>
        <v/>
      </c>
      <c r="EU38" s="55">
        <f>IF('Final Calculation Sheet'!$AC$38="","",'Final Calculation Sheet'!$AC$38)</f>
        <v/>
      </c>
      <c r="EV38">
        <f>IF(EU38="","",COUNTIFS(EU$4:EU$40,"&lt;"&amp;EU38,EU$4:EU$40,"&lt;&gt;"&amp;"")+COUNTIF(EU$4:EU38,EU38))</f>
        <v/>
      </c>
      <c r="EW38" s="55">
        <f>IF(ROW()-3&gt;COUNTIF(EU$4:EU$40,"&lt;&gt;"&amp;""),"",INDEX(EU$4:EU$40,MATCH(ROW()-3,EV$4:EV$40,0)))</f>
        <v/>
      </c>
      <c r="EX38">
        <f>EX37+IF(AND(EW38&lt;&gt;"",COUNTIF(EW$4:EW38,EW38)=1),1,0)</f>
        <v/>
      </c>
      <c r="EY38" s="55">
        <f>IF(ROW()-3&gt;MAX(EX$4:EX$40),"",INDEX(EW$4:EW$40,MATCH(ROW()-3,EX$4:EX$40,0)))</f>
        <v/>
      </c>
      <c r="EZ38" s="55">
        <f>IF('Final Calculation Sheet'!$AD$38="","",'Final Calculation Sheet'!$AD$38)</f>
        <v/>
      </c>
      <c r="FA38">
        <f>IF(EZ38="","",COUNTIFS(EZ$4:EZ$40,"&lt;"&amp;EZ38,EZ$4:EZ$40,"&lt;&gt;"&amp;"")+COUNTIF(EZ$4:EZ38,EZ38))</f>
        <v/>
      </c>
      <c r="FB38" s="55">
        <f>IF(ROW()-3&gt;COUNTIF(EZ$4:EZ$40,"&lt;&gt;"&amp;""),"",INDEX(EZ$4:EZ$40,MATCH(ROW()-3,FA$4:FA$40,0)))</f>
        <v/>
      </c>
      <c r="FC38">
        <f>FC37+IF(AND(FB38&lt;&gt;"",COUNTIF(FB$4:FB38,FB38)=1),1,0)</f>
        <v/>
      </c>
      <c r="FD38">
        <f>IF(ROW()-3&gt;MAX(FC$4:FC$40),"",INDEX(FB$4:FB$40,MATCH(ROW()-3,FC$4:FC$40,0)))</f>
        <v/>
      </c>
      <c r="FE38">
        <f>IF('Final Calculation Sheet'!$AF$38="","",'Final Calculation Sheet'!$AF$38)</f>
        <v/>
      </c>
      <c r="FF38">
        <f>IF(FE38="","",COUNTIFS(FE$4:FE$40,"&lt;"&amp;FE38,FE$4:FE$40,"&lt;&gt;"&amp;"")+COUNTIF(FE$4:FE38,FE38))</f>
        <v/>
      </c>
      <c r="FG38">
        <f>IF(ROW()-3&gt;COUNTIF(FE$4:FE$40,"&lt;&gt;"&amp;""),"",INDEX(FE$4:FE$40,MATCH(ROW()-3,FF$4:FF$40,0)))</f>
        <v/>
      </c>
      <c r="FH38">
        <f>FH37+IF(AND(FG38&lt;&gt;"",COUNTIF(FG$4:FG38,FG38)=1),1,0)</f>
        <v/>
      </c>
      <c r="FI38">
        <f>IF(ROW()-3&gt;MAX(FH$4:FH$40),"",INDEX(FG$4:FG$40,MATCH(ROW()-3,FH$4:FH$40,0)))</f>
        <v/>
      </c>
      <c r="FJ38" s="141">
        <f>IF('Final Calculation Sheet'!$AG$38="","",'Final Calculation Sheet'!$AG$38)</f>
        <v/>
      </c>
      <c r="FK38">
        <f>IF(FJ38="","",COUNTIFS(FJ$4:FJ$40,"&lt;"&amp;FJ38,FJ$4:FJ$40,"&lt;&gt;"&amp;"")+COUNTIF(FJ$4:FJ38,FJ38))</f>
        <v/>
      </c>
      <c r="FL38">
        <f>IF(ROW()-3&gt;COUNTIF(FJ$4:FJ$40,"&lt;&gt;"&amp;""),"",INDEX(FJ$4:FJ$40,MATCH(ROW()-3,FK$4:FK$40,0)))</f>
        <v/>
      </c>
      <c r="FM38">
        <f>FM37+IF(AND(FL38&lt;&gt;"",COUNTIF(FL$4:FL38,FL38)=1),1,0)</f>
        <v/>
      </c>
      <c r="FN38">
        <f>IF(ROW()-3&gt;MAX(FM$4:FM$40),"",INDEX(FL$4:FL$40,MATCH(ROW()-3,FM$4:FM$40,0)))</f>
        <v/>
      </c>
      <c r="FO38">
        <f>IF('Final Calculation Sheet'!$AH$38="","",'Final Calculation Sheet'!$AH$38)</f>
        <v/>
      </c>
      <c r="FP38">
        <f>IF(FO38="","",COUNTIFS(FO$4:FO$40,"&lt;"&amp;FO38,FO$4:FO$40,"&lt;&gt;"&amp;"")+COUNTIF(FO$4:FO38,FO38))</f>
        <v/>
      </c>
      <c r="FQ38">
        <f>IF(ROW()-3&gt;COUNTIF(FO$4:FO$40,"&lt;&gt;"&amp;""),"",INDEX(FO$4:FO$40,MATCH(ROW()-3,FP$4:FP$40,0)))</f>
        <v/>
      </c>
      <c r="FR38">
        <f>FR37+IF(AND(FQ38&lt;&gt;"",COUNTIF(FQ$4:FQ38,FQ38)=1),1,0)</f>
        <v/>
      </c>
      <c r="FS38">
        <f>IF(ROW()-3&gt;MAX(FR$4:FR$40),"",INDEX(FQ$4:FQ$40,MATCH(ROW()-3,FR$4:FR$40,0)))</f>
        <v/>
      </c>
      <c r="FU38">
        <f>IF(FT38="","",COUNTIFS(FT$4:FT$40,"&lt;"&amp;FT38,FT$4:FT$40,"&lt;&gt;"&amp;"")+COUNTIF(FT$4:FT38,FT38))</f>
        <v/>
      </c>
      <c r="FV38">
        <f>IF(ROW()-3&gt;COUNTIF(FT$4:FT$40,"&lt;&gt;"&amp;""),"",INDEX(FT$4:FT$40,MATCH(ROW()-3,FU$4:FU$40,0)))</f>
        <v/>
      </c>
      <c r="FW38">
        <f>FW37+IF(AND(FV38&lt;&gt;"",COUNTIF(FV$4:FV38,FV38)=1),1,0)</f>
        <v/>
      </c>
      <c r="FX38">
        <f>IF(ROW()-3&gt;MAX(FW$4:FW$40),"",INDEX(FV$4:FV$40,MATCH(ROW()-3,FW$4:FW$40,0)))</f>
        <v/>
      </c>
      <c r="FY38">
        <f>IF(COUNTIF('Live Search'!BM$37:BO$37,0)+COUNTIF('Live Search'!BQ$37:CU$37,0)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8">
        <f>IF($Y$38="",FALSE,SUMPRODUCT(('Final Calculation Sheet'!$B$4:$B$40=$Y$38)*($FY$6:$FY$42=1))&gt;0)</f>
        <v/>
      </c>
      <c r="GA38">
        <f>$GA$37+--($FZ$38)</f>
        <v/>
      </c>
      <c r="GB38">
        <f>IF(ROW()-3&gt;MAX($GA$4:$GA$40),"",INDEX($Y$4:$Y$40,MATCH(ROW()-3,$GA$4:$GA$40,0)))</f>
        <v/>
      </c>
      <c r="GC38">
        <f>IF(COUNTIF('Live Search'!BM$37:BM$37,0)+COUNTIF('Live Search'!BO$37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GD38">
        <f>IF($O$38="",FALSE,SUMPRODUCT(('Final Calculation Sheet'!$F$4:$F$40=$O$38)*($GC$6:$GC$42=1))&gt;0)</f>
        <v/>
      </c>
      <c r="GE38">
        <f>$GE$37+--($GD38)</f>
        <v/>
      </c>
      <c r="GF38">
        <f>IF(ROW()-3&gt;MAX($GE$4:$GE$40),"",INDEX($O$4:$O$40,MATCH(ROW()-3,$GE$4:$GE$40,0)))</f>
        <v/>
      </c>
      <c r="GG38">
        <f>IF(COUNTIF('Live Search'!BM$37:BN$37,0)+COUNTIF('Live Search'!BP$37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GH38">
        <f>IF($T$38="",FALSE,SUMPRODUCT(('Final Calculation Sheet'!$G$4:$G$40=$T$38)*($GG$6:$GG$42=1))&gt;0)</f>
        <v/>
      </c>
      <c r="GI38">
        <f>$GI$37+--($GH38)</f>
        <v/>
      </c>
      <c r="GJ38">
        <f>IF(ROW()-3&gt;MAX($GI$4:$GI$40),"",INDEX($T$4:$T$40,MATCH(ROW()-3,$GI$4:$GI$40,0)))</f>
        <v/>
      </c>
      <c r="GK38">
        <f>IF(COUNTIF('Live Search'!BM$37:BP$37,0)+COUNTIF('Live Search'!BR$37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GL38">
        <f>IF($AD$38="",FALSE,SUMPRODUCT(('Final Calculation Sheet'!$D$4:$D$40=$AD$38)*($GK$6:$GK$42=1))&gt;0)</f>
        <v/>
      </c>
      <c r="GM38">
        <f>$GM$37+--($GL38)</f>
        <v/>
      </c>
      <c r="GN38">
        <f>IF(ROW()-3&gt;MAX($GM$4:$GM$40),"",INDEX($AD$4:$AD$40,MATCH(ROW()-3,$GM$4:$GM$40,0)))</f>
        <v/>
      </c>
      <c r="GO38">
        <f>IF(COUNTIF('Live Search'!BM$37:BQ$37,0)+COUNTIF('Live Search'!BS$37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GP38">
        <f>IF($AI$38="",FALSE,SUMPRODUCT(('Final Calculation Sheet'!$A$4:$A$40=$AI$38)*($GO$6:$GO$42=1))&gt;0)</f>
        <v/>
      </c>
      <c r="GQ38">
        <f>$GQ$37+--($GP38)</f>
        <v/>
      </c>
      <c r="GR38">
        <f>IF(ROW()-3&gt;MAX($GQ$4:$GQ$40),"",INDEX($AI$4:$AI$40,MATCH(ROW()-3,$GQ$4:$GQ$40,0)))</f>
        <v/>
      </c>
      <c r="GS38">
        <f>IF(COUNTIF('Live Search'!BM$37:BR$37,0)+COUNTIF('Live Search'!BT$37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GT38">
        <f>IF($AN$38="",FALSE,SUMPRODUCT(('Final Calculation Sheet'!$E$4:$E$40=$AN$38)*($GS$6:$GS$42=1))&gt;0)</f>
        <v/>
      </c>
      <c r="GU38">
        <f>$GU$37+--($GT38)</f>
        <v/>
      </c>
      <c r="GV38">
        <f>IF(ROW()-3&gt;MAX($GU$4:$GU$40),"",INDEX($AN$4:$AN$40,MATCH(ROW()-3,$GU$4:$GU$40,0)))</f>
        <v/>
      </c>
      <c r="GW38">
        <f>IF(COUNTIF('Live Search'!BM$37:BS$37,0)+COUNTIF('Live Search'!BU$37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GX38">
        <f>IF($AS$38="",FALSE,SUMPRODUCT(('Final Calculation Sheet'!$C$4:$C$40=$AS$38)*($GW$6:$GW$42=1))&gt;0)</f>
        <v/>
      </c>
      <c r="GY38">
        <f>$GY$37+--($GX38)</f>
        <v/>
      </c>
      <c r="GZ38">
        <f>IF(ROW()-3&gt;MAX($GY$4:$GY$40),"",INDEX($AS$4:$AS$40,MATCH(ROW()-3,$GY$4:$GY$40,0)))</f>
        <v/>
      </c>
      <c r="HA38">
        <f>IF(COUNTIF('Live Search'!BM$37:BT$37,0)+COUNTIF('Live Search'!BV$37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HB38">
        <f>IF($AX$38="",FALSE,SUMPRODUCT(('Final Calculation Sheet'!$H$4:$H$40=$AX$38)*($HA$6:$HA$42=1))&gt;0)</f>
        <v/>
      </c>
      <c r="HC38">
        <f>$HC$37+--($HB38)</f>
        <v/>
      </c>
      <c r="HD38">
        <f>IF(ROW()-3&gt;MAX($HC$4:$HC$40),"",INDEX($AX$4:$AX$40,MATCH(ROW()-3,$HC$4:$HC$40,0)))</f>
        <v/>
      </c>
      <c r="HE38">
        <f>IF(COUNTIF('Live Search'!BM$37:BU$37,0)+COUNTIF('Live Search'!BW$37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HF38">
        <f>IF($BC$38="",FALSE,SUMPRODUCT(('Final Calculation Sheet'!$I$4:$I$40=$BC$38)*($HE$6:$HE$42=1))&gt;0)</f>
        <v/>
      </c>
      <c r="HG38">
        <f>$HG$37+--($HF38)</f>
        <v/>
      </c>
      <c r="HH38">
        <f>IF(ROW()-3&gt;MAX($HG$4:$HG$40),"",INDEX($BC$4:$BC$40,MATCH(ROW()-3,$HG$4:$HG$40,0)))</f>
        <v/>
      </c>
      <c r="HI38">
        <f>IF(COUNTIF('Live Search'!BM$37:BV$37,0)+COUNTIF('Live Search'!BX$37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HJ38">
        <f>IF($BH$38="",FALSE,SUMPRODUCT(('Final Calculation Sheet'!$J$4:$J$40=$BH$38)*($HI$6:$HI$42=1))&gt;0)</f>
        <v/>
      </c>
      <c r="HK38">
        <f>$HK$37+--($HJ38)</f>
        <v/>
      </c>
      <c r="HL38">
        <f>IF(ROW()-3&gt;MAX($HK$4:$HK$40),"",INDEX($BH$4:$BH$40,MATCH(ROW()-3,$HK$4:$HK$40,0)))</f>
        <v/>
      </c>
      <c r="HM38">
        <f>IF(COUNTIF('Live Search'!BM$37:BW$37,0)+COUNTIF('Live Search'!BY$37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HN38">
        <f>IF($BM$38="",FALSE,SUMPRODUCT(('Final Calculation Sheet'!$K$4:$K$40=$BM$38)*($HM$6:$HM$42=1))&gt;0)</f>
        <v/>
      </c>
      <c r="HO38">
        <f>$HO$37+--($HN38)</f>
        <v/>
      </c>
      <c r="HP38">
        <f>IF(ROW()-3&gt;MAX($HO$4:$HO$40),"",INDEX($BM$4:$BM$40,MATCH(ROW()-3,$HO$4:$HO$40,0)))</f>
        <v/>
      </c>
      <c r="HQ38">
        <f>IF(COUNTIF('Live Search'!BM$37:BX$37,0)+COUNTIF('Live Search'!BZ$37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HR38">
        <f>IF($BR$38="",FALSE,SUMPRODUCT(('Final Calculation Sheet'!$L$4:$L$40=$BR$38)*($HQ$6:$HQ$42=1))&gt;0)</f>
        <v/>
      </c>
      <c r="HS38">
        <f>$HS$37+--($HR38)</f>
        <v/>
      </c>
      <c r="HT38">
        <f>IF(ROW()-3&gt;MAX($HS$4:$HS$40),"",INDEX($BR$4:$BR$40,MATCH(ROW()-3,$HS$4:$HS$40,0)))</f>
        <v/>
      </c>
      <c r="HU38">
        <f>IF(COUNTIF('Live Search'!BM$37:BY$37,0)+COUNTIF('Live Search'!CA$37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HV38">
        <f>IF($BW$38="",FALSE,SUMPRODUCT(('Final Calculation Sheet'!$M$4:$M$40=$BW$38)*($HU$6:$HU$42=1))&gt;0)</f>
        <v/>
      </c>
      <c r="HW38">
        <f>$HW$37+--($HV38)</f>
        <v/>
      </c>
      <c r="HX38">
        <f>IF(ROW()-3&gt;MAX($HW$4:$HW$40),"",INDEX($BW$4:$BW$40,MATCH(ROW()-3,$HW$4:$HW$40,0)))</f>
        <v/>
      </c>
      <c r="HY38">
        <f>IF(COUNTIF('Live Search'!BM$37:BZ$37,0)+COUNTIF('Live Search'!CB$37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HZ38">
        <f>IF($CB$38="",FALSE,SUMPRODUCT(('Final Calculation Sheet'!$N$4:$N$40=$CB$38)*($HY$6:$HY$42=1))&gt;0)</f>
        <v/>
      </c>
      <c r="IA38">
        <f>$IA$37+--($HZ38)</f>
        <v/>
      </c>
      <c r="IB38">
        <f>IF(ROW()-3&gt;MAX($IA$4:$IA$40),"",INDEX($CB$4:$CB$40,MATCH(ROW()-3,$IA$4:$IA$40,0)))</f>
        <v/>
      </c>
      <c r="IC38">
        <f>IF(COUNTIF('Live Search'!BM$37:CA$37,0)+COUNTIF('Live Search'!CC$37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ID38">
        <f>IF($CG$38="",FALSE,SUMPRODUCT(('Final Calculation Sheet'!$O$4:$O$40=$CG$38)*($IC$6:$IC$42=1))&gt;0)</f>
        <v/>
      </c>
      <c r="IE38">
        <f>$IE$37+--($ID38)</f>
        <v/>
      </c>
      <c r="IF38">
        <f>IF(ROW()-3&gt;MAX($IE$4:$IE$40),"",INDEX($CG$4:$CG$40,MATCH(ROW()-3,$IE$4:$IE$40,0)))</f>
        <v/>
      </c>
      <c r="IG38">
        <f>IF(COUNTIF('Live Search'!BM$37:CB$37,0)+COUNTIF('Live Search'!CD$37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IH38">
        <f>IF($CL$38="",FALSE,SUMPRODUCT(('Final Calculation Sheet'!$P$4:$P$40=$CL$38)*($IG$6:$IG$42=1))&gt;0)</f>
        <v/>
      </c>
      <c r="II38">
        <f>$II$37+--($IH38)</f>
        <v/>
      </c>
      <c r="IJ38">
        <f>IF(ROW()-3&gt;MAX($II$4:$II$40),"",INDEX($CL$4:$CL$40,MATCH(ROW()-3,$II$4:$II$40,0)))</f>
        <v/>
      </c>
      <c r="IK38">
        <f>IF(COUNTIF('Live Search'!BM$37:CC$37,0)+COUNTIF('Live Search'!CE$37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IL38">
        <f>IF($CQ$38="",FALSE,SUMPRODUCT(('Final Calculation Sheet'!$Q$4:$Q$40=$CQ$38)*($IK$6:$IK$42=1))&gt;0)</f>
        <v/>
      </c>
      <c r="IM38">
        <f>$IM$37+--($IL38)</f>
        <v/>
      </c>
      <c r="IN38">
        <f>IF(ROW()-3&gt;MAX($IM$4:$IM$40),"",INDEX($CQ$4:$CQ$40,MATCH(ROW()-3,$IM$4:$IM$40,0)))</f>
        <v/>
      </c>
      <c r="IO38">
        <f>IF(COUNTIF('Live Search'!BM$37:CD$37,0)+COUNTIF('Live Search'!CF$37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IP38">
        <f>IF($CV$38="",FALSE,SUMPRODUCT(('Final Calculation Sheet'!$R$4:$R$40=$CV$38)*($IO$6:$IO$42=1))&gt;0)</f>
        <v/>
      </c>
      <c r="IQ38">
        <f>$IQ$37+--($IP38)</f>
        <v/>
      </c>
      <c r="IR38">
        <f>IF(ROW()-3&gt;MAX($IQ$4:$IQ$40),"",INDEX($CV$4:$CV$40,MATCH(ROW()-3,$IQ$4:$IQ$40,0)))</f>
        <v/>
      </c>
      <c r="IS38">
        <f>IF(COUNTIF('Live Search'!BM$37:CE$37,0)+COUNTIF('Live Search'!CG$37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IT38">
        <f>IF($DA$38="",FALSE,SUMPRODUCT(('Final Calculation Sheet'!$S$4:$S$40=$DA$38)*($IS$6:$IS$42=1))&gt;0)</f>
        <v/>
      </c>
      <c r="IU38">
        <f>$IU$37+--($IT38)</f>
        <v/>
      </c>
      <c r="IV38">
        <f>IF(ROW()-3&gt;MAX($IU$4:$IU$40),"",INDEX($DA$4:$DA$40,MATCH(ROW()-3,$IU$4:$IU$40,0)))</f>
        <v/>
      </c>
      <c r="IW38">
        <f>IF(COUNTIF('Live Search'!BM$37:CF$37,0)+COUNTIF('Live Search'!CH$37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IX38">
        <f>IF($DF$38="",FALSE,SUMPRODUCT(('Final Calculation Sheet'!$T$4:$T$40=$DF$38)*($IW$6:$IW$42=1))&gt;0)</f>
        <v/>
      </c>
      <c r="IY38">
        <f>$IY$37+--($IX38)</f>
        <v/>
      </c>
      <c r="IZ38">
        <f>IF(ROW()-3&gt;MAX($IY$4:$IY$40),"",INDEX($DF$4:$DF$40,MATCH(ROW()-3,$IY$4:$IY$40,0)))</f>
        <v/>
      </c>
      <c r="JA38">
        <f>IF(COUNTIF('Live Search'!BM$37:CG$37,0)+COUNTIF('Live Search'!CI$37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JB38">
        <f>IF($DK$38="",FALSE,SUMPRODUCT(('Final Calculation Sheet'!$U$4:$U$40=$DK$38)*($JA$6:$JA$42=1))&gt;0)</f>
        <v/>
      </c>
      <c r="JC38">
        <f>$JC$37+--($JB38)</f>
        <v/>
      </c>
      <c r="JD38">
        <f>IF(ROW()-3&gt;MAX($JC$4:$JC$40),"",INDEX($DK$4:$DK$40,MATCH(ROW()-3,$JC$4:$JC$40,0)))</f>
        <v/>
      </c>
      <c r="JE38">
        <f>IF(COUNTIF('Live Search'!BM$37:CH$37,0)+COUNTIF('Live Search'!CJ$37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JF38">
        <f>IF($DP$38="",FALSE,SUMPRODUCT(('Final Calculation Sheet'!$V$4:$V$40=$DP$38)*($JE$6:$JE$42=1))&gt;0)</f>
        <v/>
      </c>
      <c r="JG38">
        <f>$JG$37+--($JF38)</f>
        <v/>
      </c>
      <c r="JH38">
        <f>IF(ROW()-3&gt;MAX($JG$4:$JG$40),"",INDEX($DP$4:$DP$40,MATCH(ROW()-3,$JG$4:$JG$40,0)))</f>
        <v/>
      </c>
      <c r="JI38">
        <f>IF(COUNTIF('Live Search'!BM$37:CI$37,0)+COUNTIF('Live Search'!CK$37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JJ38">
        <f>IF($DU$38="",FALSE,SUMPRODUCT(('Final Calculation Sheet'!$W$4:$W$40=$DU$38)*($JI$6:$JI$42=1))&gt;0)</f>
        <v/>
      </c>
      <c r="JK38">
        <f>$JK$37+--($JJ38)</f>
        <v/>
      </c>
      <c r="JL38">
        <f>IF(ROW()-3&gt;MAX($JK$4:$JK$40),"",INDEX($DU$4:$DU$40,MATCH(ROW()-3,$JK$4:$JK$40,0)))</f>
        <v/>
      </c>
      <c r="JM38">
        <f>IF(COUNTIF('Live Search'!BM$37:CJ$37,0)+COUNTIF('Live Search'!CL$37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JN38">
        <f>IF($DZ$38="",FALSE,SUMPRODUCT(('Final Calculation Sheet'!$X$4:$X$40=$DZ$38)*($JM$6:$JM$42=1))&gt;0)</f>
        <v/>
      </c>
      <c r="JO38">
        <f>$JO$37+--($JN38)</f>
        <v/>
      </c>
      <c r="JP38">
        <f>IF(ROW()-3&gt;MAX($JO$4:$JO$40),"",INDEX($DZ$4:$DZ$40,MATCH(ROW()-3,$JO$4:$JO$40,0)))</f>
        <v/>
      </c>
      <c r="JQ38">
        <f>IF(COUNTIF('Live Search'!BM$37:CK$37,0)+COUNTIF('Live Search'!CM$37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JR38">
        <f>IF($EE$38="",FALSE,SUMPRODUCT(('Final Calculation Sheet'!$Y$4:$Y$40=$EE$38)*($JQ$6:$JQ$42=1))&gt;0)</f>
        <v/>
      </c>
      <c r="JS38">
        <f>$JS$37+--($JR38)</f>
        <v/>
      </c>
      <c r="JT38">
        <f>IF(ROW()-3&gt;MAX($JS$4:$JS$40),"",INDEX($EE$4:$EE$40,MATCH(ROW()-3,$JS$4:$JS$40,0)))</f>
        <v/>
      </c>
      <c r="JU38">
        <f>IF(COUNTIF('Live Search'!BM$37:CL$37,0)+COUNTIF('Live Search'!CN$37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JV38">
        <f>IF($EJ$38="",FALSE,SUMPRODUCT(('Final Calculation Sheet'!$Z$4:$Z$40=$EJ$38)*($JU$6:$JU$42=1))&gt;0)</f>
        <v/>
      </c>
      <c r="JW38">
        <f>$JW$37+--($JV38)</f>
        <v/>
      </c>
      <c r="JX38">
        <f>IF(ROW()-3&gt;MAX($JW$4:$JW$40),"",INDEX($EJ$4:$EJ$40,MATCH(ROW()-3,$JW$4:$JW$40,0)))</f>
        <v/>
      </c>
      <c r="JY38">
        <f>IF(COUNTIF('Live Search'!BM$37:CM$37,0)+COUNTIF('Live Search'!CO$37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JZ38">
        <f>IF($EO$38="",FALSE,SUMPRODUCT(('Final Calculation Sheet'!$AA$4:$AA$40=$EO$38)*($JY$6:$JY$42=1))&gt;0)</f>
        <v/>
      </c>
      <c r="KA38">
        <f>$KA$37+--($JZ38)</f>
        <v/>
      </c>
      <c r="KB38">
        <f>IF(ROW()-3&gt;MAX($KA$4:$KA$40),"",INDEX($EO$4:$EO$40,MATCH(ROW()-3,$KA$4:$KA$40,0)))</f>
        <v/>
      </c>
      <c r="KC38">
        <f>IF(COUNTIF('Live Search'!BM$37:CN$37,0)+COUNTIF('Live Search'!CP$37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KD38">
        <f>IF($ET$38="",FALSE,SUMPRODUCT(('Final Calculation Sheet'!$AB$4:$AB$40=$ET$38)*($KC$6:$KC$42=1))&gt;0)</f>
        <v/>
      </c>
      <c r="KE38">
        <f>$KE$37+--($KD38)</f>
        <v/>
      </c>
      <c r="KF38">
        <f>IF(ROW()-3&gt;MAX($KE$4:$KE$40),"",INDEX($ET$4:$ET$40,MATCH(ROW()-3,$KE$4:$KE$40,0)))</f>
        <v/>
      </c>
      <c r="KG38">
        <f>IF(COUNTIF('Live Search'!BM$37:CO$37,0)+COUNTIF('Live Search'!CQ$37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KH38">
        <f>IF($EY$38="",FALSE,SUMPRODUCT(('Final Calculation Sheet'!$AC$4:$AC$40=$EY$38)*($KG$6:$KG$42=1))&gt;0)</f>
        <v/>
      </c>
      <c r="KI38">
        <f>$KI$37+--($KH38)</f>
        <v/>
      </c>
      <c r="KJ38">
        <f>IF(ROW()-3&gt;MAX($KI$4:$KI$40),"",INDEX($EY$4:$EY$40,MATCH(ROW()-3,$KI$4:$KI$40,0)))</f>
        <v/>
      </c>
      <c r="KK38">
        <f>IF(COUNTIF('Live Search'!BM$37:CP$37,0)+COUNTIF('Live Search'!CR$37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KL38">
        <f>IF($FD$38="",FALSE,SUMPRODUCT(('Final Calculation Sheet'!$AD$4:$AD$40=$FD$38)*($KK$6:$KK$42=1))&gt;0)</f>
        <v/>
      </c>
      <c r="KM38">
        <f>$KM$37+--($KL38)</f>
        <v/>
      </c>
      <c r="KN38">
        <f>IF(ROW()-3&gt;MAX($KM$4:$KM$40),"",INDEX($FD$4:$FD$40,MATCH(ROW()-3,$KM$4:$KM$40,0)))</f>
        <v/>
      </c>
      <c r="KO38">
        <f>IF(COUNTIF('Live Search'!BM$37:CT$37,0)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KP38">
        <f>IF($FX$38="",FALSE,SUMPRODUCT((IF('Final Calculation Sheet'!$AD$4:$AD$40&lt;=5,"SETTLED","OUTSTANDING")=$FX$38)*($KO$6:$KO$42=1))&gt;0)</f>
        <v/>
      </c>
      <c r="KQ38">
        <f>$KQ$37+--($KP38)</f>
        <v/>
      </c>
      <c r="KR38">
        <f>IF(ROW()-3&gt;MAX($KQ$4:$KQ$40),"",INDEX($FX$4:$FX$40,MATCH(ROW()-3,$KQ$4:$KQ$40,0)))</f>
        <v/>
      </c>
      <c r="KS38">
        <f>IF(COUNTIF('Live Search'!BM$37:CQ$37,0)+COUNTIF('Live Search'!CS$37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KT38">
        <f>IF($FI$38="",FALSE,SUMPRODUCT(('Final Calculation Sheet'!$AF$4:$AF$40=$FI$38)*($KS$6:$KS$42=1))&gt;0)</f>
        <v/>
      </c>
      <c r="KU38">
        <f>$KU$37+--($KT38)</f>
        <v/>
      </c>
      <c r="KV38">
        <f>IF(ROW()-3&gt;MAX($KU$4:$KU$40),"",INDEX($FI$4:$FI$40,MATCH(ROW()-3,$KU$4:$KU$40,0)))</f>
        <v/>
      </c>
      <c r="KW38">
        <f>IF(COUNTIF('Live Search'!BM$37:CR$37,0)+COUNTIF('Live Search'!CT$37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KX38">
        <f>IF($FN$38="",FALSE,SUMPRODUCT(('Final Calculation Sheet'!$AG$4:$AG$40=$FN$38)*($KW$6:$KW$42=1))&gt;0)</f>
        <v/>
      </c>
      <c r="KY38">
        <f>$KY$37+--($KX38)</f>
        <v/>
      </c>
      <c r="KZ38">
        <f>IF(ROW()-3&gt;MAX($KY$4:$KY$40),"",INDEX($FN$4:$FN$40,MATCH(ROW()-3,$KY$4:$KY$40,0)))</f>
        <v/>
      </c>
      <c r="LA38">
        <f>IF(COUNTIF('Live Search'!BM$37:CS$37,0)+COUNTIF('Live Search'!CU$37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LB38">
        <f>IF($FS$38="",FALSE,SUMPRODUCT(('Final Calculation Sheet'!$AH$4:$AH$40=$FS$38)*($LA$6:$LA$42=1))&gt;0)</f>
        <v/>
      </c>
      <c r="LC38">
        <f>$LC$37+--($LB38)</f>
        <v/>
      </c>
      <c r="LD38">
        <f>IF(ROW()-3&gt;MAX($LC$4:$LC$40),"",INDEX($FS$4:$FS$40,MATCH(ROW()-3,$LC$4:$LC$40,0)))</f>
        <v/>
      </c>
      <c r="LE38">
        <f>IF(COUNTIF('Buyer Groups'!DH91:EN91,0)&gt;0,0,1)</f>
        <v/>
      </c>
      <c r="LF38">
        <f>IF($O$38="",FALSE,SUMPRODUCT(('Final Calculation Sheet'!$F$4:$F$40=$O$38)*($LE$6:$LE$42=1))&gt;0)</f>
        <v/>
      </c>
      <c r="LG38">
        <f>$LG$37+--($LF38)</f>
        <v/>
      </c>
      <c r="LH38">
        <f>IF(ROW()-3&gt;MAX($LG$4:$LG$40),"",INDEX($O$4:$O$40,MATCH(ROW()-3,$LG$4:$LG$40,0)))</f>
        <v/>
      </c>
      <c r="LI38">
        <f>IF(COUNTIF('Buyer Groups'!DG91:DG91,0)+COUNTIF('Buyer Groups'!DI91:EN91,0)&gt;0,0,1)</f>
        <v/>
      </c>
      <c r="LJ38">
        <f>IF($T$38="",FALSE,SUMPRODUCT(('Final Calculation Sheet'!$G$4:$G$40=$T$38)*($LI$6:$LI$42=1))&gt;0)</f>
        <v/>
      </c>
      <c r="LK38">
        <f>$LK$37+--($LJ38)</f>
        <v/>
      </c>
      <c r="LL38">
        <f>IF(ROW()-3&gt;MAX($LK$4:$LK$40),"",INDEX($T$4:$T$40,MATCH(ROW()-3,$LK$4:$LK$40,0)))</f>
        <v/>
      </c>
      <c r="LM38">
        <f>IF(COUNTIF('Buyer Groups'!DG91:DH91,0)+COUNTIF('Buyer Groups'!DJ91:EN91,0)&gt;0,0,1)</f>
        <v/>
      </c>
      <c r="LN38">
        <f>IF($Y$38="",FALSE,SUMPRODUCT(('Final Calculation Sheet'!$B$4:$B$40=$Y$38)*($LM$6:$LM$42=1))&gt;0)</f>
        <v/>
      </c>
      <c r="LO38">
        <f>$LO$37+--($LN38)</f>
        <v/>
      </c>
      <c r="LP38">
        <f>IF(ROW()-3&gt;MAX($LO$4:$LO$40),"",INDEX($Y$4:$Y$40,MATCH(ROW()-3,$LO$4:$LO$40,0)))</f>
        <v/>
      </c>
      <c r="LQ38">
        <f>IF(COUNTIF('Buyer Groups'!DG91:DI91,0)+COUNTIF('Buyer Groups'!DK91:EN91,0)&gt;0,0,1)</f>
        <v/>
      </c>
      <c r="LR38">
        <f>IF($AD$38="",FALSE,SUMPRODUCT(('Final Calculation Sheet'!$D$4:$D$40=$AD$38)*($LQ$6:$LQ$42=1))&gt;0)</f>
        <v/>
      </c>
      <c r="LS38">
        <f>$LS$37+--($LR38)</f>
        <v/>
      </c>
      <c r="LT38">
        <f>IF(ROW()-3&gt;MAX($LS$4:$LS$40),"",INDEX($AD$4:$AD$40,MATCH(ROW()-3,$LS$4:$LS$40,0)))</f>
        <v/>
      </c>
      <c r="LU38">
        <f>IF(COUNTIF('Buyer Groups'!DG91:DJ91,0)+COUNTIF('Buyer Groups'!DL91:EN91,0)&gt;0,0,1)</f>
        <v/>
      </c>
      <c r="LV38">
        <f>IF($AI$38="",FALSE,SUMPRODUCT(('Final Calculation Sheet'!$A$4:$A$40=$AI$38)*($LU$6:$LU$42=1))&gt;0)</f>
        <v/>
      </c>
      <c r="LW38">
        <f>$LW$37+--($LV38)</f>
        <v/>
      </c>
      <c r="LX38">
        <f>IF(ROW()-3&gt;MAX($LW$4:$LW$40),"",INDEX($AI$4:$AI$40,MATCH(ROW()-3,$LW$4:$LW$40,0)))</f>
        <v/>
      </c>
      <c r="LY38">
        <f>IF(COUNTIF('Buyer Groups'!DG91:DK91,0)+COUNTIF('Buyer Groups'!DM91:EN91,0)&gt;0,0,1)</f>
        <v/>
      </c>
      <c r="LZ38">
        <f>IF($AN$38="",FALSE,SUMPRODUCT(('Final Calculation Sheet'!$E$4:$E$40=$AN$38)*($LY$6:$LY$42=1))&gt;0)</f>
        <v/>
      </c>
      <c r="MA38">
        <f>$MA$37+--($LZ38)</f>
        <v/>
      </c>
      <c r="MB38">
        <f>IF(ROW()-3&gt;MAX($MA$4:$MA$40),"",INDEX($AN$4:$AN$40,MATCH(ROW()-3,$MA$4:$MA$40,0)))</f>
        <v/>
      </c>
      <c r="MC38">
        <f>IF(COUNTIF('Buyer Groups'!DG91:DL91,0)+COUNTIF('Buyer Groups'!DN91:EN91,0)&gt;0,0,1)</f>
        <v/>
      </c>
      <c r="MD38">
        <f>IF($AS$38="",FALSE,SUMPRODUCT(('Final Calculation Sheet'!$C$4:$C$40=$AS$38)*($MC$6:$MC$42=1))&gt;0)</f>
        <v/>
      </c>
      <c r="ME38">
        <f>$ME$37+--($MD38)</f>
        <v/>
      </c>
      <c r="MF38">
        <f>IF(ROW()-3&gt;MAX($ME$4:$ME$40),"",INDEX($AS$4:$AS$40,MATCH(ROW()-3,$ME$4:$ME$40,0)))</f>
        <v/>
      </c>
      <c r="MG38">
        <f>IF(COUNTIF('Buyer Groups'!DG91:DM91,0)+COUNTIF('Buyer Groups'!DO91:EN91,0)&gt;0,0,1)</f>
        <v/>
      </c>
      <c r="MH38">
        <f>IF($AX$38="",FALSE,SUMPRODUCT(('Final Calculation Sheet'!$H$4:$H$40=$AX$38)*($MG$6:$MG$42=1))&gt;0)</f>
        <v/>
      </c>
      <c r="MI38">
        <f>$MI$37+--($MH38)</f>
        <v/>
      </c>
      <c r="MJ38">
        <f>IF(ROW()-3&gt;MAX($MI$4:$MI$40),"",INDEX($AX$4:$AX$40,MATCH(ROW()-3,$MI$4:$MI$40,0)))</f>
        <v/>
      </c>
      <c r="MK38">
        <f>IF(COUNTIF('Buyer Groups'!DG91:DN91,0)+COUNTIF('Buyer Groups'!DP91:EN91,0)&gt;0,0,1)</f>
        <v/>
      </c>
      <c r="ML38">
        <f>IF($BC$38="",FALSE,SUMPRODUCT(('Final Calculation Sheet'!$I$4:$I$40=$BC$38)*($MK$6:$MK$42=1))&gt;0)</f>
        <v/>
      </c>
      <c r="MM38">
        <f>$MM$37+--($ML38)</f>
        <v/>
      </c>
      <c r="MN38">
        <f>IF(ROW()-3&gt;MAX($MM$4:$MM$40),"",INDEX($BC$4:$BC$40,MATCH(ROW()-3,$MM$4:$MM$40,0)))</f>
        <v/>
      </c>
      <c r="MO38">
        <f>IF(COUNTIF('Buyer Groups'!DG91:DO91,0)+COUNTIF('Buyer Groups'!DQ91:EN91,0)&gt;0,0,1)</f>
        <v/>
      </c>
      <c r="MP38">
        <f>IF($BH$38="",FALSE,SUMPRODUCT(('Final Calculation Sheet'!$J$4:$J$40=$BH$38)*($MO$6:$MO$42=1))&gt;0)</f>
        <v/>
      </c>
      <c r="MQ38">
        <f>$MQ$37+--($MP38)</f>
        <v/>
      </c>
      <c r="MR38">
        <f>IF(ROW()-3&gt;MAX($MQ$4:$MQ$40),"",INDEX($BH$4:$BH$40,MATCH(ROW()-3,$MQ$4:$MQ$40,0)))</f>
        <v/>
      </c>
      <c r="MS38">
        <f>IF(COUNTIF('Buyer Groups'!DG91:DP91,0)+COUNTIF('Buyer Groups'!DR91:EN91,0)&gt;0,0,1)</f>
        <v/>
      </c>
      <c r="MT38">
        <f>IF($BM$38="",FALSE,SUMPRODUCT(('Final Calculation Sheet'!$K$4:$K$40=$BM$38)*($MS$6:$MS$42=1))&gt;0)</f>
        <v/>
      </c>
      <c r="MU38">
        <f>$MU$37+--($MT38)</f>
        <v/>
      </c>
      <c r="MV38">
        <f>IF(ROW()-3&gt;MAX($MU$4:$MU$40),"",INDEX($BM$4:$BM$40,MATCH(ROW()-3,$MU$4:$MU$40,0)))</f>
        <v/>
      </c>
      <c r="MW38">
        <f>IF(COUNTIF('Buyer Groups'!DG91:DQ91,0)+COUNTIF('Buyer Groups'!DS91:EN91,0)&gt;0,0,1)</f>
        <v/>
      </c>
      <c r="MX38">
        <f>IF($BR$38="",FALSE,SUMPRODUCT(('Final Calculation Sheet'!$L$4:$L$40=$BR$38)*($MW$6:$MW$42=1))&gt;0)</f>
        <v/>
      </c>
      <c r="MY38">
        <f>$MY$37+--($MX38)</f>
        <v/>
      </c>
      <c r="MZ38">
        <f>IF(ROW()-3&gt;MAX($MY$4:$MY$40),"",INDEX($BR$4:$BR$40,MATCH(ROW()-3,$MY$4:$MY$40,0)))</f>
        <v/>
      </c>
      <c r="NA38">
        <f>IF(COUNTIF('Buyer Groups'!DG91:DR91,0)+COUNTIF('Buyer Groups'!DT91:EN91,0)&gt;0,0,1)</f>
        <v/>
      </c>
      <c r="NB38">
        <f>IF($BW$38="",FALSE,SUMPRODUCT(('Final Calculation Sheet'!$M$4:$M$40=$BW$38)*($NA$6:$NA$42=1))&gt;0)</f>
        <v/>
      </c>
      <c r="NC38">
        <f>$NC$37+--($NB38)</f>
        <v/>
      </c>
      <c r="ND38">
        <f>IF(ROW()-3&gt;MAX($NC$4:$NC$40),"",INDEX($BW$4:$BW$40,MATCH(ROW()-3,$NC$4:$NC$40,0)))</f>
        <v/>
      </c>
      <c r="NE38">
        <f>IF(COUNTIF('Buyer Groups'!DG91:DS91,0)+COUNTIF('Buyer Groups'!DU91:EN91,0)&gt;0,0,1)</f>
        <v/>
      </c>
      <c r="NF38">
        <f>IF($CB$38="",FALSE,SUMPRODUCT(('Final Calculation Sheet'!$N$4:$N$40=$CB$38)*($NE$6:$NE$42=1))&gt;0)</f>
        <v/>
      </c>
      <c r="NG38">
        <f>$NG$37+--($NF38)</f>
        <v/>
      </c>
      <c r="NH38">
        <f>IF(ROW()-3&gt;MAX($NG$4:$NG$40),"",INDEX($CB$4:$CB$40,MATCH(ROW()-3,$NG$4:$NG$40,0)))</f>
        <v/>
      </c>
      <c r="NI38">
        <f>IF(COUNTIF('Buyer Groups'!DG91:DT91,0)+COUNTIF('Buyer Groups'!DV91:EN91,0)&gt;0,0,1)</f>
        <v/>
      </c>
      <c r="NJ38">
        <f>IF($CG$38="",FALSE,SUMPRODUCT(('Final Calculation Sheet'!$O$4:$O$40=$CG$38)*($NI$6:$NI$42=1))&gt;0)</f>
        <v/>
      </c>
      <c r="NK38">
        <f>$NK$37+--($NJ38)</f>
        <v/>
      </c>
      <c r="NL38">
        <f>IF(ROW()-3&gt;MAX($NK$4:$NK$40),"",INDEX($CG$4:$CG$40,MATCH(ROW()-3,$NK$4:$NK$40,0)))</f>
        <v/>
      </c>
      <c r="NM38">
        <f>IF(COUNTIF('Buyer Groups'!DG91:DU91,0)+COUNTIF('Buyer Groups'!DW91:EN91,0)&gt;0,0,1)</f>
        <v/>
      </c>
      <c r="NN38">
        <f>IF($CL$38="",FALSE,SUMPRODUCT(('Final Calculation Sheet'!$P$4:$P$40=$CL$38)*($NM$6:$NM$42=1))&gt;0)</f>
        <v/>
      </c>
      <c r="NO38">
        <f>$NO$37+--($NN38)</f>
        <v/>
      </c>
      <c r="NP38">
        <f>IF(ROW()-3&gt;MAX($NO$4:$NO$40),"",INDEX($CL$4:$CL$40,MATCH(ROW()-3,$NO$4:$NO$40,0)))</f>
        <v/>
      </c>
      <c r="NQ38">
        <f>IF(COUNTIF('Buyer Groups'!DG91:DV91,0)+COUNTIF('Buyer Groups'!DX91:EN91,0)&gt;0,0,1)</f>
        <v/>
      </c>
      <c r="NR38">
        <f>IF($CQ$38="",FALSE,SUMPRODUCT(('Final Calculation Sheet'!$Q$4:$Q$40=$CQ$38)*($NQ$6:$NQ$42=1))&gt;0)</f>
        <v/>
      </c>
      <c r="NS38">
        <f>$NS$37+--($NR38)</f>
        <v/>
      </c>
      <c r="NT38">
        <f>IF(ROW()-3&gt;MAX($NS$4:$NS$40),"",INDEX($CQ$4:$CQ$40,MATCH(ROW()-3,$NS$4:$NS$40,0)))</f>
        <v/>
      </c>
      <c r="NU38">
        <f>IF(COUNTIF('Buyer Groups'!DG91:DW91,0)+COUNTIF('Buyer Groups'!DY91:EN91,0)&gt;0,0,1)</f>
        <v/>
      </c>
      <c r="NV38">
        <f>IF($CV$38="",FALSE,SUMPRODUCT(('Final Calculation Sheet'!$R$4:$R$40=$CV$38)*($NU$6:$NU$42=1))&gt;0)</f>
        <v/>
      </c>
      <c r="NW38">
        <f>$NW$37+--($NV38)</f>
        <v/>
      </c>
      <c r="NX38">
        <f>IF(ROW()-3&gt;MAX($NW$4:$NW$40),"",INDEX($CV$4:$CV$40,MATCH(ROW()-3,$NW$4:$NW$40,0)))</f>
        <v/>
      </c>
      <c r="NY38">
        <f>IF(COUNTIF('Buyer Groups'!DG91:DX91,0)+COUNTIF('Buyer Groups'!DZ91:EN91,0)&gt;0,0,1)</f>
        <v/>
      </c>
      <c r="NZ38">
        <f>IF($DA$38="",FALSE,SUMPRODUCT(('Final Calculation Sheet'!$S$4:$S$40=$DA$38)*($NY$6:$NY$42=1))&gt;0)</f>
        <v/>
      </c>
      <c r="OA38">
        <f>$OA$37+--($NZ38)</f>
        <v/>
      </c>
      <c r="OB38">
        <f>IF(ROW()-3&gt;MAX($OA$4:$OA$40),"",INDEX($DA$4:$DA$40,MATCH(ROW()-3,$OA$4:$OA$40,0)))</f>
        <v/>
      </c>
      <c r="OC38">
        <f>IF(COUNTIF('Buyer Groups'!DG91:DY91,0)+COUNTIF('Buyer Groups'!EA91:EN91,0)&gt;0,0,1)</f>
        <v/>
      </c>
      <c r="OD38">
        <f>IF($DF$38="",FALSE,SUMPRODUCT(('Final Calculation Sheet'!$T$4:$T$40=$DF$38)*($OC$6:$OC$42=1))&gt;0)</f>
        <v/>
      </c>
      <c r="OE38">
        <f>$OE$37+--($OD38)</f>
        <v/>
      </c>
      <c r="OF38">
        <f>IF(ROW()-3&gt;MAX($OE$4:$OE$40),"",INDEX($DF$4:$DF$40,MATCH(ROW()-3,$OE$4:$OE$40,0)))</f>
        <v/>
      </c>
      <c r="OG38">
        <f>IF(COUNTIF('Buyer Groups'!DG91:DZ91,0)+COUNTIF('Buyer Groups'!EB91:EN91,0)&gt;0,0,1)</f>
        <v/>
      </c>
      <c r="OH38">
        <f>IF($DK$38="",FALSE,SUMPRODUCT(('Final Calculation Sheet'!$U$4:$U$40=$DK$38)*($OG$6:$OG$42=1))&gt;0)</f>
        <v/>
      </c>
      <c r="OI38">
        <f>$OI$37+--($OH38)</f>
        <v/>
      </c>
      <c r="OJ38">
        <f>IF(ROW()-3&gt;MAX($OI$4:$OI$40),"",INDEX($DK$4:$DK$40,MATCH(ROW()-3,$OI$4:$OI$40,0)))</f>
        <v/>
      </c>
      <c r="OK38">
        <f>IF(COUNTIF('Buyer Groups'!DG91:EA91,0)+COUNTIF('Buyer Groups'!EC91:EN91,0)&gt;0,0,1)</f>
        <v/>
      </c>
      <c r="OL38">
        <f>IF($DP$38="",FALSE,SUMPRODUCT(('Final Calculation Sheet'!$V$4:$V$40=$DP$38)*($OK$6:$OK$42=1))&gt;0)</f>
        <v/>
      </c>
      <c r="OM38">
        <f>$OM$37+--($OL38)</f>
        <v/>
      </c>
      <c r="ON38">
        <f>IF(ROW()-3&gt;MAX($OM$4:$OM$40),"",INDEX($DP$4:$DP$40,MATCH(ROW()-3,$OM$4:$OM$40,0)))</f>
        <v/>
      </c>
      <c r="OO38">
        <f>IF(COUNTIF('Buyer Groups'!DG91:EB91,0)+COUNTIF('Buyer Groups'!ED91:EN91,0)&gt;0,0,1)</f>
        <v/>
      </c>
      <c r="OP38">
        <f>IF($DU$38="",FALSE,SUMPRODUCT(('Final Calculation Sheet'!$W$4:$W$40=$DU$38)*($OO$6:$OO$42=1))&gt;0)</f>
        <v/>
      </c>
      <c r="OQ38">
        <f>$OQ$37+--($OP38)</f>
        <v/>
      </c>
      <c r="OR38">
        <f>IF(ROW()-3&gt;MAX($OQ$4:$OQ$40),"",INDEX($DU$4:$DU$40,MATCH(ROW()-3,$OQ$4:$OQ$40,0)))</f>
        <v/>
      </c>
      <c r="OS38">
        <f>IF(COUNTIF('Buyer Groups'!DG91:EC91,0)+COUNTIF('Buyer Groups'!EE91:EN91,0)&gt;0,0,1)</f>
        <v/>
      </c>
      <c r="OT38">
        <f>IF($DZ$38="",FALSE,SUMPRODUCT(('Final Calculation Sheet'!$X$4:$X$40=$DZ$38)*($OS$6:$OS$42=1))&gt;0)</f>
        <v/>
      </c>
      <c r="OU38">
        <f>$OU$37+--($OT38)</f>
        <v/>
      </c>
      <c r="OV38">
        <f>IF(ROW()-3&gt;MAX($OU$4:$OU$40),"",INDEX($DZ$4:$DZ$40,MATCH(ROW()-3,$OU$4:$OU$40,0)))</f>
        <v/>
      </c>
      <c r="OW38">
        <f>IF(COUNTIF('Buyer Groups'!DG91:ED91,0)+COUNTIF('Buyer Groups'!EF91:EN91,0)&gt;0,0,1)</f>
        <v/>
      </c>
      <c r="OX38">
        <f>IF($EE$38="",FALSE,SUMPRODUCT(('Final Calculation Sheet'!$Y$4:$Y$40=$EE$38)*($OW$6:$OW$42=1))&gt;0)</f>
        <v/>
      </c>
      <c r="OY38">
        <f>$OY$37+--($OX38)</f>
        <v/>
      </c>
      <c r="OZ38">
        <f>IF(ROW()-3&gt;MAX($OY$4:$OY$40),"",INDEX($EE$4:$EE$40,MATCH(ROW()-3,$OY$4:$OY$40,0)))</f>
        <v/>
      </c>
      <c r="PA38">
        <f>IF(COUNTIF('Buyer Groups'!DG91:EE91,0)+COUNTIF('Buyer Groups'!EG91:EN91,0)&gt;0,0,1)</f>
        <v/>
      </c>
      <c r="PB38">
        <f>IF($EJ$38="",FALSE,SUMPRODUCT(('Final Calculation Sheet'!$Z$4:$Z$40=$EJ$38)*($PA$6:$PA$42=1))&gt;0)</f>
        <v/>
      </c>
      <c r="PC38">
        <f>$PC$37+--($PB38)</f>
        <v/>
      </c>
      <c r="PD38">
        <f>IF(ROW()-3&gt;MAX($PC$4:$PC$40),"",INDEX($EJ$4:$EJ$40,MATCH(ROW()-3,$PC$4:$PC$40,0)))</f>
        <v/>
      </c>
      <c r="PE38">
        <f>IF(COUNTIF('Buyer Groups'!DG91:EF91,0)+COUNTIF('Buyer Groups'!EH91:EN91,0)&gt;0,0,1)</f>
        <v/>
      </c>
      <c r="PF38">
        <f>IF($EO$38="",FALSE,SUMPRODUCT(('Final Calculation Sheet'!$AA$4:$AA$40=$EO$38)*($PE$6:$PE$42=1))&gt;0)</f>
        <v/>
      </c>
      <c r="PG38">
        <f>$PG$37+--($PF38)</f>
        <v/>
      </c>
      <c r="PH38">
        <f>IF(ROW()-3&gt;MAX($PG$4:$PG$40),"",INDEX($EO$4:$EO$40,MATCH(ROW()-3,$PG$4:$PG$40,0)))</f>
        <v/>
      </c>
      <c r="PI38">
        <f>IF(COUNTIF('Buyer Groups'!DG91:EG91,0)+COUNTIF('Buyer Groups'!EI91:EN91,0)&gt;0,0,1)</f>
        <v/>
      </c>
      <c r="PJ38">
        <f>IF($ET$38="",FALSE,SUMPRODUCT(('Final Calculation Sheet'!$AB$4:$AB$40=$ET$38)*($PI$6:$PI$42=1))&gt;0)</f>
        <v/>
      </c>
      <c r="PK38">
        <f>$PK$37+--($PJ38)</f>
        <v/>
      </c>
      <c r="PL38">
        <f>IF(ROW()-3&gt;MAX($PK$4:$PK$40),"",INDEX($ET$4:$ET$40,MATCH(ROW()-3,$PK$4:$PK$40,0)))</f>
        <v/>
      </c>
      <c r="PM38">
        <f>IF(COUNTIF('Buyer Groups'!DG91:EH91,0)+COUNTIF('Buyer Groups'!EJ91:EN91,0)&gt;0,0,1)</f>
        <v/>
      </c>
      <c r="PN38">
        <f>IF($EY$38="",FALSE,SUMPRODUCT(('Final Calculation Sheet'!$AC$4:$AC$40=$EY$38)*($PM$6:$PM$42=1))&gt;0)</f>
        <v/>
      </c>
      <c r="PO38">
        <f>$PO$37+--($PN38)</f>
        <v/>
      </c>
      <c r="PP38">
        <f>IF(ROW()-3&gt;MAX($PO$4:$PO$40),"",INDEX($EY$4:$EY$40,MATCH(ROW()-3,$PO$4:$PO$40,0)))</f>
        <v/>
      </c>
      <c r="PQ38">
        <f>IF(COUNTIF('Buyer Groups'!DG91:EI91,0)+COUNTIF('Buyer Groups'!EK91:EN91,0)&gt;0,0,1)</f>
        <v/>
      </c>
      <c r="PR38">
        <f>IF($FD$38="",FALSE,SUMPRODUCT(('Final Calculation Sheet'!$AD$4:$AD$40=$FD$38)*($PQ$6:$PQ$42=1))&gt;0)</f>
        <v/>
      </c>
      <c r="PS38">
        <f>$PS$37+--($PR38)</f>
        <v/>
      </c>
      <c r="PT38">
        <f>IF(ROW()-3&gt;MAX($PS$4:$PS$40),"",INDEX($FD$4:$FD$40,MATCH(ROW()-3,$PS$4:$PS$40,0)))</f>
        <v/>
      </c>
      <c r="PU38">
        <f>IF(COUNTIF('Buyer Groups'!DG91:EJ91,0)+COUNTIF('Buyer Groups'!EL91:EN91,0)&gt;0,0,1)</f>
        <v/>
      </c>
      <c r="PV38">
        <f>IF($FX$38="",FALSE,SUMPRODUCT((IF('Final Calculation Sheet'!$AD$4:$AD$40&lt;=5,"SETTLED","OUTSTANDING")=$FX$38)*($PU$6:$PU$42=1))&gt;0)</f>
        <v/>
      </c>
      <c r="PW38">
        <f>$PW$37+--($PV38)</f>
        <v/>
      </c>
      <c r="PX38">
        <f>IF(ROW()-3&gt;MAX($PW$4:$PW$40),"",INDEX($FX$4:$FX$40,MATCH(ROW()-3,$PW$4:$PW$40,0)))</f>
        <v/>
      </c>
      <c r="PY38">
        <f>IF(COUNTIF('Buyer Groups'!DG91:EK91,0)+COUNTIF('Buyer Groups'!EM91:EN91,0)&gt;0,0,1)</f>
        <v/>
      </c>
      <c r="PZ38">
        <f>IF($FI$38="",FALSE,SUMPRODUCT(('Final Calculation Sheet'!$AF$4:$AF$40=$FI$38)*($PY$6:$PY$42=1))&gt;0)</f>
        <v/>
      </c>
      <c r="QA38">
        <f>$QA$37+--($PZ38)</f>
        <v/>
      </c>
      <c r="QB38">
        <f>IF(ROW()-3&gt;MAX($QA$4:$QA$40),"",INDEX($FI$4:$FI$40,MATCH(ROW()-3,$QA$4:$QA$40,0)))</f>
        <v/>
      </c>
      <c r="QC38">
        <f>IF(COUNTIF('Buyer Groups'!DG91:EL91,0)+COUNTIF('Buyer Groups'!EN91:EN91,0)&gt;0,0,1)</f>
        <v/>
      </c>
      <c r="QD38">
        <f>IF($FN$38="",FALSE,SUMPRODUCT(('Final Calculation Sheet'!$AG$4:$AG$40=$FN$38)*($QC$6:$QC$42=1))&gt;0)</f>
        <v/>
      </c>
      <c r="QE38">
        <f>$QE$37+--($QD38)</f>
        <v/>
      </c>
      <c r="QF38">
        <f>IF(ROW()-3&gt;MAX($QE$4:$QE$40),"",INDEX($FN$4:$FN$40,MATCH(ROW()-3,$QE$4:$QE$40,0)))</f>
        <v/>
      </c>
      <c r="QG38">
        <f>IF(COUNTIF('Buyer Groups'!DG91:EM91,0)&gt;0,0,1)</f>
        <v/>
      </c>
      <c r="QH38">
        <f>IF($FS$38="",FALSE,SUMPRODUCT(('Final Calculation Sheet'!$AH$4:$AH$40=$FS$38)*($QG$6:$QG$42=1))&gt;0)</f>
        <v/>
      </c>
      <c r="QI38">
        <f>$QI$37+--($QH38)</f>
        <v/>
      </c>
      <c r="QJ38">
        <f>IF(ROW()-3&gt;MAX($QI$4:$QI$40),"",INDEX($FS$4:$FS$40,MATCH(ROW()-3,$QI$4:$QI$40,0)))</f>
        <v/>
      </c>
      <c r="QK38" t="str">
        <f>IF('Final Calculation Sheet'!$AH$38="","",'Final Calculation Sheet'!$AH$38)</f>
      </c>
      <c r="QL38" t="str">
        <f>IF(QK38="","",COUNTIFS(QK$4:QK$40,"&lt;"&amp;QK38,QK$4:QK$40,"&lt;&gt;"&amp;"")+COUNTIF(QK$4:QK38,QK38))</f>
      </c>
      <c r="QM38" t="str">
        <f>IF(ROW()-3&gt;COUNTIF(QK$4:QK$40,"&lt;&gt;"&amp;""),"",INDEX(QK$4:QK$40,MATCH(ROW()-3,QL$4:QL$40,0)))</f>
      </c>
      <c r="QN38" t="str">
        <f>=QN37+F(AND(QM38&lt;&gt;"",COUNTIF(QM$4:QM38,QM38)=1),1,0)</f>
      </c>
      <c r="QO38" t="str">
        <f>IF(ROW()-3&gt;MAX(QN$4:QN$40),"",INDEX(QM$4:QM$40,MATCH(ROW()-3,QN$4:QN$40,0)))</f>
      </c>
      <c r="QP38" t="str">
        <f>IF(COUNTIF('Final Calculation Sheet'!$AM38:$BS38,0)&gt;0,0,1)</f>
      </c>
      <c r="QQ38" t="str">
        <f>IF($AI$38="",FALSE,SUMPRODUCT(('Final Calculation Sheet'!$A$4:$A$40=$AI$38)*($QP$4:$QP$40=1))&gt;0)</f>
      </c>
      <c r="QR38" t="str">
        <f>=$QR37+--($QQ38)</f>
      </c>
      <c r="QS38" t="str">
        <f>IF(ROW()-3&gt;MAX($QR$4:$QR$40),"",INDEX($AI$4:$AI$40,MATCH(ROW()-3,$QR$4:$QR$40,0)))</f>
      </c>
      <c r="QT38" t="str">
        <f>IF(COUNTIF('Final Calculation Sheet'!$AL38:$AL38,0)+COUNTIF('Final Calculation Sheet'!$AN38:$BS38,0)&gt;0,0,1)</f>
      </c>
      <c r="QU38" t="str">
        <f>IF($Y$38="",FALSE,SUMPRODUCT(('Final Calculation Sheet'!$B$4:$B$40=$Y$38)*($QT$4:$QT$40=1))&gt;0)</f>
      </c>
      <c r="QV38" t="str">
        <f>=$QV37+--($QU38)</f>
      </c>
      <c r="QW38" t="str">
        <f>IF(ROW()-3&gt;MAX($QV$4:$QV$40),"",INDEX($Y$4:$Y$40,MATCH(ROW()-3,$QV$4:$QV$40,0)))</f>
      </c>
      <c r="QX38" t="str">
        <f>IF(COUNTIF('Final Calculation Sheet'!$AL38:$AM38,0)+COUNTIF('Final Calculation Sheet'!$AO38:$BS38,0)&gt;0,0,1)</f>
      </c>
      <c r="QY38" t="str">
        <f>IF($AS$38="",FALSE,SUMPRODUCT(('Final Calculation Sheet'!$C$4:$C$40=$AS$38)*($QX$4:$QX$40=1))&gt;0)</f>
      </c>
      <c r="QZ38" t="str">
        <f>=$QZ37+--($QY38)</f>
      </c>
      <c r="RA38" t="str">
        <f>IF(ROW()-3&gt;MAX($QZ$4:$QZ$40),"",INDEX($AS$4:$AS$40,MATCH(ROW()-3,$QZ$4:$QZ$40,0)))</f>
      </c>
      <c r="RB38" t="str">
        <f>IF(COUNTIF('Final Calculation Sheet'!$AL38:$AN38,0)+COUNTIF('Final Calculation Sheet'!$AP38:$BS38,0)&gt;0,0,1)</f>
      </c>
      <c r="RC38" t="str">
        <f>IF($AD$38="",FALSE,SUMPRODUCT(('Final Calculation Sheet'!$D$4:$D$40=$AD$38)*($RB$4:$RB$40=1))&gt;0)</f>
      </c>
      <c r="RD38" t="str">
        <f>=$RD37+--($RC38)</f>
      </c>
      <c r="RE38" t="str">
        <f>IF(ROW()-3&gt;MAX($RD$4:$RD$40),"",INDEX($AD$4:$AD$40,MATCH(ROW()-3,$RD$4:$RD$40,0)))</f>
      </c>
      <c r="RF38" t="str">
        <f>IF(COUNTIF('Final Calculation Sheet'!$AL38:$AO38,0)+COUNTIF('Final Calculation Sheet'!$AQ38:$BS38,0)&gt;0,0,1)</f>
      </c>
      <c r="RG38" t="str">
        <f>IF($AN$38="",FALSE,SUMPRODUCT(('Final Calculation Sheet'!$E$4:$E$40=$AN$38)*($RF$4:$RF$40=1))&gt;0)</f>
      </c>
      <c r="RH38" t="str">
        <f>=$RH37+--($RG38)</f>
      </c>
      <c r="RI38" t="str">
        <f>IF(ROW()-3&gt;MAX($RH$4:$RH$40),"",INDEX($AN$4:$AN$40,MATCH(ROW()-3,$RH$4:$RH$40,0)))</f>
      </c>
      <c r="RJ38" t="str">
        <f>IF(COUNTIF('Final Calculation Sheet'!$AL38:$AP38,0)+COUNTIF('Final Calculation Sheet'!$AR38:$BS38,0)&gt;0,0,1)</f>
      </c>
      <c r="RK38" t="str">
        <f>IF($O$38="",FALSE,SUMPRODUCT(('Final Calculation Sheet'!$F$4:$F$40=$O$38)*($RJ$4:$RJ$40=1))&gt;0)</f>
      </c>
      <c r="RL38" t="str">
        <f>=$RL37+--($RK38)</f>
      </c>
      <c r="RM38" t="str">
        <f>IF(ROW()-3&gt;MAX($RL$4:$RL$40),"",INDEX($O$4:$O$40,MATCH(ROW()-3,$RL$4:$RL$40,0)))</f>
      </c>
      <c r="RN38" t="str">
        <f>IF(COUNTIF('Final Calculation Sheet'!$AL38:$AQ38,0)+COUNTIF('Final Calculation Sheet'!$AS38:$BS38,0)&gt;0,0,1)</f>
      </c>
      <c r="RO38" t="str">
        <f>IF($T$38="",FALSE,SUMPRODUCT(('Final Calculation Sheet'!$G$4:$G$40=$T$38)*($RN$4:$RN$40=1))&gt;0)</f>
      </c>
      <c r="RP38" t="str">
        <f>=$RP37+--($RO38)</f>
      </c>
      <c r="RQ38" t="str">
        <f>IF(ROW()-3&gt;MAX($RP$4:$RP$40),"",INDEX($T$4:$T$40,MATCH(ROW()-3,$RP$4:$RP$40,0)))</f>
      </c>
      <c r="RR38" t="str">
        <f>IF(COUNTIF('Final Calculation Sheet'!$AL38:$AR38,0)+COUNTIF('Final Calculation Sheet'!$AT38:$BS38,0)&gt;0,0,1)</f>
      </c>
      <c r="RS38" t="str">
        <f>IF($AX$38="",FALSE,SUMPRODUCT(('Final Calculation Sheet'!$H$4:$H$40=$AX$38)*($RR$4:$RR$40=1))&gt;0)</f>
      </c>
      <c r="RT38" t="str">
        <f>=$RT37+--($RS38)</f>
      </c>
      <c r="RU38" t="str">
        <f>IF(ROW()-3&gt;MAX($RT$4:$RT$40),"",INDEX($AX$4:$AX$40,MATCH(ROW()-3,$RT$4:$RT$40,0)))</f>
      </c>
      <c r="RV38" t="str">
        <f>IF(COUNTIF('Final Calculation Sheet'!$AL38:$AS38,0)+COUNTIF('Final Calculation Sheet'!$AU38:$BS38,0)&gt;0,0,1)</f>
      </c>
      <c r="RW38" t="str">
        <f>IF($BC$38="",FALSE,SUMPRODUCT(('Final Calculation Sheet'!$I$4:$I$40=$BC$38)*($RV$4:$RV$40=1))&gt;0)</f>
      </c>
      <c r="RX38" t="str">
        <f>=$RX37+--($RW38)</f>
      </c>
      <c r="RY38" t="str">
        <f>IF(ROW()-3&gt;MAX($RX$4:$RX$40),"",INDEX($BC$4:$BC$40,MATCH(ROW()-3,$RX$4:$RX$40,0)))</f>
      </c>
      <c r="RZ38" t="str">
        <f>IF(COUNTIF('Final Calculation Sheet'!$AL38:$AT38,0)+COUNTIF('Final Calculation Sheet'!$AV38:$BS38,0)&gt;0,0,1)</f>
      </c>
      <c r="SA38" t="str">
        <f>IF($BH$38="",FALSE,SUMPRODUCT(('Final Calculation Sheet'!$J$4:$J$40=$BH$38)*($RZ$4:$RZ$40=1))&gt;0)</f>
      </c>
      <c r="SB38" t="str">
        <f>=$SB37+--($SA38)</f>
      </c>
      <c r="SC38" t="str">
        <f>IF(ROW()-3&gt;MAX($SB$4:$SB$40),"",INDEX($BH$4:$BH$40,MATCH(ROW()-3,$SB$4:$SB$40,0)))</f>
      </c>
      <c r="SD38" t="str">
        <f>IF(COUNTIF('Final Calculation Sheet'!$AL38:$AU38,0)+COUNTIF('Final Calculation Sheet'!$AW38:$BS38,0)&gt;0,0,1)</f>
      </c>
      <c r="SE38" t="str">
        <f>IF($BM$38="",FALSE,SUMPRODUCT(('Final Calculation Sheet'!$K$4:$K$40=$BM$38)*($SD$4:$SD$40=1))&gt;0)</f>
      </c>
      <c r="SF38" t="str">
        <f>=$SF37+--($SE38)</f>
      </c>
      <c r="SG38" t="str">
        <f>IF(ROW()-3&gt;MAX($SF$4:$SF$40),"",INDEX($BM$4:$BM$40,MATCH(ROW()-3,$SF$4:$SF$40,0)))</f>
      </c>
      <c r="SH38" t="str">
        <f>IF(COUNTIF('Final Calculation Sheet'!$AL38:$AV38,0)+COUNTIF('Final Calculation Sheet'!$AX38:$BS38,0)&gt;0,0,1)</f>
      </c>
      <c r="SI38" t="str">
        <f>IF($BR$38="",FALSE,SUMPRODUCT(('Final Calculation Sheet'!$L$4:$L$40=$BR$38)*($SH$4:$SH$40=1))&gt;0)</f>
      </c>
      <c r="SJ38" t="str">
        <f>=$SJ37+--($SI38)</f>
      </c>
      <c r="SK38" t="str">
        <f>IF(ROW()-3&gt;MAX($SJ$4:$SJ$40),"",INDEX($BR$4:$BR$40,MATCH(ROW()-3,$SJ$4:$SJ$40,0)))</f>
      </c>
      <c r="SL38" t="str">
        <f>IF(COUNTIF('Final Calculation Sheet'!$AL38:$AW38,0)+COUNTIF('Final Calculation Sheet'!$AY38:$BS38,0)&gt;0,0,1)</f>
      </c>
      <c r="SM38" t="str">
        <f>IF($BW$38="",FALSE,SUMPRODUCT(('Final Calculation Sheet'!$M$4:$M$40=$BW$38)*($SL$4:$SL$40=1))&gt;0)</f>
      </c>
      <c r="SN38" t="str">
        <f>=$SN37+--($SM38)</f>
      </c>
      <c r="SO38" t="str">
        <f>IF(ROW()-3&gt;MAX($SN$4:$SN$40),"",INDEX($BW$4:$BW$40,MATCH(ROW()-3,$SN$4:$SN$40,0)))</f>
      </c>
      <c r="SP38" t="str">
        <f>IF(COUNTIF('Final Calculation Sheet'!$AL38:$AX38,0)+COUNTIF('Final Calculation Sheet'!$AZ38:$BS38,0)&gt;0,0,1)</f>
      </c>
      <c r="SQ38" t="str">
        <f>IF($CB$38="",FALSE,SUMPRODUCT(('Final Calculation Sheet'!$N$4:$N$40=$CB$38)*($SP$4:$SP$40=1))&gt;0)</f>
      </c>
      <c r="SR38" t="str">
        <f>=$SR37+--($SQ38)</f>
      </c>
      <c r="SS38" t="str">
        <f>IF(ROW()-3&gt;MAX($SR$4:$SR$40),"",INDEX($CB$4:$CB$40,MATCH(ROW()-3,$SR$4:$SR$40,0)))</f>
      </c>
      <c r="ST38" t="str">
        <f>IF(COUNTIF('Final Calculation Sheet'!$AL38:$AY38,0)+COUNTIF('Final Calculation Sheet'!$BA38:$BS38,0)&gt;0,0,1)</f>
      </c>
      <c r="SU38" t="str">
        <f>IF($CG$38="",FALSE,SUMPRODUCT(('Final Calculation Sheet'!$O$4:$O$40=$CG$38)*($ST$4:$ST$40=1))&gt;0)</f>
      </c>
      <c r="SV38" t="str">
        <f>=$SV37+--($SU38)</f>
      </c>
      <c r="SW38" t="str">
        <f>IF(ROW()-3&gt;MAX($SV$4:$SV$40),"",INDEX($CG$4:$CG$40,MATCH(ROW()-3,$SV$4:$SV$40,0)))</f>
      </c>
      <c r="SX38" t="str">
        <f>IF(COUNTIF('Final Calculation Sheet'!$AL38:$AZ38,0)+COUNTIF('Final Calculation Sheet'!$BB38:$BS38,0)&gt;0,0,1)</f>
      </c>
      <c r="SY38" t="str">
        <f>IF($CL$38="",FALSE,SUMPRODUCT(('Final Calculation Sheet'!$P$4:$P$40=$CL$38)*($SX$4:$SX$40=1))&gt;0)</f>
      </c>
      <c r="SZ38" t="str">
        <f>=$SZ37+--($SY38)</f>
      </c>
      <c r="TA38" t="str">
        <f>IF(ROW()-3&gt;MAX($SZ$4:$SZ$40),"",INDEX($CL$4:$CL$40,MATCH(ROW()-3,$SZ$4:$SZ$40,0)))</f>
      </c>
      <c r="TB38" t="str">
        <f>IF(COUNTIF('Final Calculation Sheet'!$AL38:$BA38,0)+COUNTIF('Final Calculation Sheet'!$BC38:$BS38,0)&gt;0,0,1)</f>
      </c>
      <c r="TC38" t="str">
        <f>IF($CQ$38="",FALSE,SUMPRODUCT(('Final Calculation Sheet'!$Q$4:$Q$40=$CQ$38)*($TB$4:$TB$40=1))&gt;0)</f>
      </c>
      <c r="TD38" t="str">
        <f>=$TD37+--($TC38)</f>
      </c>
      <c r="TE38" t="str">
        <f>IF(ROW()-3&gt;MAX($TD$4:$TD$40),"",INDEX($CQ$4:$CQ$40,MATCH(ROW()-3,$TD$4:$TD$40,0)))</f>
      </c>
      <c r="TF38" t="str">
        <f>IF(COUNTIF('Final Calculation Sheet'!$AL38:$BB38,0)+COUNTIF('Final Calculation Sheet'!$BD38:$BS38,0)&gt;0,0,1)</f>
      </c>
      <c r="TG38" t="str">
        <f>IF($CV$38="",FALSE,SUMPRODUCT(('Final Calculation Sheet'!$R$4:$R$40=$CV$38)*($TF$4:$TF$40=1))&gt;0)</f>
      </c>
      <c r="TH38" t="str">
        <f>=$TH37+--($TG38)</f>
      </c>
      <c r="TI38" t="str">
        <f>IF(ROW()-3&gt;MAX($TH$4:$TH$40),"",INDEX($CV$4:$CV$40,MATCH(ROW()-3,$TH$4:$TH$40,0)))</f>
      </c>
      <c r="TJ38" t="str">
        <f>IF(COUNTIF('Final Calculation Sheet'!$AL38:$BC38,0)+COUNTIF('Final Calculation Sheet'!$BE38:$BS38,0)&gt;0,0,1)</f>
      </c>
      <c r="TK38" t="str">
        <f>IF($DA$38="",FALSE,SUMPRODUCT(('Final Calculation Sheet'!$S$4:$S$40=$DA$38)*($TJ$4:$TJ$40=1))&gt;0)</f>
      </c>
      <c r="TL38" t="str">
        <f>=$TL37+--($TK38)</f>
      </c>
      <c r="TM38" t="str">
        <f>IF(ROW()-3&gt;MAX($TL$4:$TL$40),"",INDEX($DA$4:$DA$40,MATCH(ROW()-3,$TL$4:$TL$40,0)))</f>
      </c>
      <c r="TN38" t="str">
        <f>IF(COUNTIF('Final Calculation Sheet'!$AL38:$BD38,0)+COUNTIF('Final Calculation Sheet'!$BF38:$BS38,0)&gt;0,0,1)</f>
      </c>
      <c r="TO38" t="str">
        <f>IF($DF$38="",FALSE,SUMPRODUCT(('Final Calculation Sheet'!$T$4:$T$40=$DF$38)*($TN$4:$TN$40=1))&gt;0)</f>
      </c>
      <c r="TP38" t="str">
        <f>=$TP37+--($TO38)</f>
      </c>
      <c r="TQ38" t="str">
        <f>IF(ROW()-3&gt;MAX($TP$4:$TP$40),"",INDEX($DF$4:$DF$40,MATCH(ROW()-3,$TP$4:$TP$40,0)))</f>
      </c>
      <c r="TR38" t="str">
        <f>IF(COUNTIF('Final Calculation Sheet'!$AL38:$BE38,0)+COUNTIF('Final Calculation Sheet'!$BG38:$BS38,0)&gt;0,0,1)</f>
      </c>
      <c r="TS38" t="str">
        <f>IF($DK$38="",FALSE,SUMPRODUCT(('Final Calculation Sheet'!$U$4:$U$40=$DK$38)*($TR$4:$TR$40=1))&gt;0)</f>
      </c>
      <c r="TT38" t="str">
        <f>=$TT37+--($TS38)</f>
      </c>
      <c r="TU38" t="str">
        <f>IF(ROW()-3&gt;MAX($TT$4:$TT$40),"",INDEX($DK$4:$DK$40,MATCH(ROW()-3,$TT$4:$TT$40,0)))</f>
      </c>
      <c r="TV38" t="str">
        <f>IF(COUNTIF('Final Calculation Sheet'!$AL38:$BF38,0)+COUNTIF('Final Calculation Sheet'!$BH38:$BS38,0)&gt;0,0,1)</f>
      </c>
      <c r="TW38" t="str">
        <f>IF($DP$38="",FALSE,SUMPRODUCT(('Final Calculation Sheet'!$V$4:$V$40=$DP$38)*($TV$4:$TV$40=1))&gt;0)</f>
      </c>
      <c r="TX38" t="str">
        <f>=$TX37+--($TW38)</f>
      </c>
      <c r="TY38" t="str">
        <f>IF(ROW()-3&gt;MAX($TX$4:$TX$40),"",INDEX($DP$4:$DP$40,MATCH(ROW()-3,$TX$4:$TX$40,0)))</f>
      </c>
      <c r="TZ38" t="str">
        <f>IF(COUNTIF('Final Calculation Sheet'!$AL38:$BG38,0)+COUNTIF('Final Calculation Sheet'!$BI38:$BS38,0)&gt;0,0,1)</f>
      </c>
      <c r="UA38" t="str">
        <f>IF($DU$38="",FALSE,SUMPRODUCT(('Final Calculation Sheet'!$W$4:$W$40=$DU$38)*($TZ$4:$TZ$40=1))&gt;0)</f>
      </c>
      <c r="UB38" t="str">
        <f>=$UB37+--($UA38)</f>
      </c>
      <c r="UC38" t="str">
        <f>IF(ROW()-3&gt;MAX($UB$4:$UB$40),"",INDEX($DU$4:$DU$40,MATCH(ROW()-3,$UB$4:$UB$40,0)))</f>
      </c>
      <c r="UD38" t="str">
        <f>IF(COUNTIF('Final Calculation Sheet'!$AL38:$BH38,0)+COUNTIF('Final Calculation Sheet'!$BJ38:$BS38,0)&gt;0,0,1)</f>
      </c>
      <c r="UE38" t="str">
        <f>IF($DZ$38="",FALSE,SUMPRODUCT(('Final Calculation Sheet'!$X$4:$X$40=$DZ$38)*($UD$4:$UD$40=1))&gt;0)</f>
      </c>
      <c r="UF38" t="str">
        <f>=$UF37+--($UE38)</f>
      </c>
      <c r="UG38" t="str">
        <f>IF(ROW()-3&gt;MAX($UF$4:$UF$40),"",INDEX($DZ$4:$DZ$40,MATCH(ROW()-3,$UF$4:$UF$40,0)))</f>
      </c>
      <c r="UH38" t="str">
        <f>IF(COUNTIF('Final Calculation Sheet'!$AL38:$BI38,0)+COUNTIF('Final Calculation Sheet'!$BK38:$BS38,0)&gt;0,0,1)</f>
      </c>
      <c r="UI38" t="str">
        <f>IF($EE$38="",FALSE,SUMPRODUCT(('Final Calculation Sheet'!$Y$4:$Y$40=$EE$38)*($UH$4:$UH$40=1))&gt;0)</f>
      </c>
      <c r="UJ38" t="str">
        <f>=$UJ37+--($UI38)</f>
      </c>
      <c r="UK38" t="str">
        <f>IF(ROW()-3&gt;MAX($UJ$4:$UJ$40),"",INDEX($EE$4:$EE$40,MATCH(ROW()-3,$UJ$4:$UJ$40,0)))</f>
      </c>
      <c r="UL38" t="str">
        <f>IF(COUNTIF('Final Calculation Sheet'!$AL38:$BJ38,0)+COUNTIF('Final Calculation Sheet'!$BL38:$BS38,0)&gt;0,0,1)</f>
      </c>
      <c r="UM38" t="str">
        <f>IF($EJ$38="",FALSE,SUMPRODUCT(('Final Calculation Sheet'!$Z$4:$Z$40=$EJ$38)*($UL$4:$UL$40=1))&gt;0)</f>
      </c>
      <c r="UN38" t="str">
        <f>=$UN37+--($UM38)</f>
      </c>
      <c r="UO38" t="str">
        <f>IF(ROW()-3&gt;MAX($UN$4:$UN$40),"",INDEX($EJ$4:$EJ$40,MATCH(ROW()-3,$UN$4:$UN$40,0)))</f>
      </c>
      <c r="UP38" t="str">
        <f>IF(COUNTIF('Final Calculation Sheet'!$AL38:$BK38,0)+COUNTIF('Final Calculation Sheet'!$BM38:$BS38,0)&gt;0,0,1)</f>
      </c>
      <c r="UQ38" t="str">
        <f>IF($EO$38="",FALSE,SUMPRODUCT(('Final Calculation Sheet'!$AA$4:$AA$40=$EO$38)*($UP$4:$UP$40=1))&gt;0)</f>
      </c>
      <c r="UR38" t="str">
        <f>=$UR37+--($UQ38)</f>
      </c>
      <c r="US38" t="str">
        <f>IF(ROW()-3&gt;MAX($UR$4:$UR$40),"",INDEX($EO$4:$EO$40,MATCH(ROW()-3,$UR$4:$UR$40,0)))</f>
      </c>
      <c r="UT38" t="str">
        <f>IF(COUNTIF('Final Calculation Sheet'!$AL38:$BL38,0)+COUNTIF('Final Calculation Sheet'!$BN38:$BS38,0)&gt;0,0,1)</f>
      </c>
      <c r="UU38" t="str">
        <f>IF($ET$38="",FALSE,SUMPRODUCT(('Final Calculation Sheet'!$AB$4:$AB$40=$ET$38)*($UT$4:$UT$40=1))&gt;0)</f>
      </c>
      <c r="UV38" t="str">
        <f>=$UV37+--($UU38)</f>
      </c>
      <c r="UW38" t="str">
        <f>IF(ROW()-3&gt;MAX($UV$4:$UV$40),"",INDEX($ET$4:$ET$40,MATCH(ROW()-3,$UV$4:$UV$40,0)))</f>
      </c>
      <c r="UX38" t="str">
        <f>IF(COUNTIF('Final Calculation Sheet'!$AL38:$BM38,0)+COUNTIF('Final Calculation Sheet'!$BO38:$BS38,0)&gt;0,0,1)</f>
      </c>
      <c r="UY38" t="str">
        <f>IF($EY$38="",FALSE,SUMPRODUCT(('Final Calculation Sheet'!$AC$4:$AC$40=$EY$38)*($UX$4:$UX$40=1))&gt;0)</f>
      </c>
      <c r="UZ38" t="str">
        <f>=$UZ37+--($UY38)</f>
      </c>
      <c r="VA38" t="str">
        <f>IF(ROW()-3&gt;MAX($UZ$4:$UZ$40),"",INDEX($EY$4:$EY$40,MATCH(ROW()-3,$UZ$4:$UZ$40,0)))</f>
      </c>
      <c r="VB38" t="str">
        <f>IF(COUNTIF('Final Calculation Sheet'!$AL38:$BN38,0)+COUNTIF('Final Calculation Sheet'!$BP38:$BS38,0)&gt;0,0,1)</f>
      </c>
      <c r="VC38" t="str">
        <f>IF($FD$38="",FALSE,SUMPRODUCT(('Final Calculation Sheet'!$AD$4:$AD$40=$FD$38)*($VB$4:$VB$40=1))&gt;0)</f>
      </c>
      <c r="VD38" t="str">
        <f>=$VD37+--($VC38)</f>
      </c>
      <c r="VE38" t="str">
        <f>IF(ROW()-3&gt;MAX($VD$4:$VD$40),"",INDEX($FD$4:$FD$40,MATCH(ROW()-3,$VD$4:$VD$40,0)))</f>
      </c>
      <c r="VF38" t="str">
        <f>IF(COUNTIF('Final Calculation Sheet'!$AL38:$BO38,0)+COUNTIF('Final Calculation Sheet'!$BQ38:$BS38,0)&gt;0,0,1)</f>
      </c>
      <c r="VG38" t="str">
        <f>IF($FI$38="",FALSE,SUMPRODUCT(('Final Calculation Sheet'!$AE$4:$AE$40=$FI$38)*($VF$4:$VF$40=1))&gt;0)</f>
      </c>
      <c r="VH38" t="str">
        <f>=$VH37+--($VG38)</f>
      </c>
      <c r="VI38" t="str">
        <f>IF(ROW()-3&gt;MAX($VH$4:$VH$40),"",INDEX($FI$4:$FI$40,MATCH(ROW()-3,$VH$4:$VH$40,0)))</f>
      </c>
      <c r="VJ38" t="str">
        <f>IF(COUNTIF('Final Calculation Sheet'!$AL38:$BP38,0)+COUNTIF('Final Calculation Sheet'!$BR38:$BS38,0)&gt;0,0,1)</f>
      </c>
      <c r="VK38" t="str">
        <f>IF($FN$38="",FALSE,SUMPRODUCT(('Final Calculation Sheet'!$AF$4:$AF$40=$FN$38)*($VJ$4:$VJ$40=1))&gt;0)</f>
      </c>
      <c r="VL38" t="str">
        <f>=$VL37+--($VK38)</f>
      </c>
      <c r="VM38" t="str">
        <f>IF(ROW()-3&gt;MAX($VL$4:$VL$40),"",INDEX($FN$4:$FN$40,MATCH(ROW()-3,$VL$4:$VL$40,0)))</f>
      </c>
      <c r="VN38" t="str">
        <f>IF(COUNTIF('Final Calculation Sheet'!$AL38:$BQ38,0)+COUNTIF('Final Calculation Sheet'!$BS38:$BS38,0)&gt;0,0,1)</f>
      </c>
      <c r="VO38" t="str">
        <f>IF($FS$38="",FALSE,SUMPRODUCT(('Final Calculation Sheet'!$AG$4:$AG$40=$FS$38)*($VN$4:$VN$40=1))&gt;0)</f>
      </c>
      <c r="VP38" t="str">
        <f>=$VP37+--($VO38)</f>
      </c>
      <c r="VQ38" t="str">
        <f>IF(ROW()-3&gt;MAX($VP$4:$VP$40),"",INDEX($FS$4:$FS$40,MATCH(ROW()-3,$VP$4:$VP$40,0)))</f>
      </c>
      <c r="VR38" t="str">
        <f>IF(COUNTIF('Final Calculation Sheet'!$AL38:$BR38,0)&gt;0,0,1)</f>
      </c>
      <c r="VS38" t="str">
        <f>IF($QO$38="",FALSE,SUMPRODUCT(('Final Calculation Sheet'!$AH$4:$AH$40=$QO$38)*($VR$4:$VR$40=1))&gt;0)</f>
      </c>
      <c r="VT38" t="str">
        <f>=$VT37+--($VS38)</f>
      </c>
      <c r="VU38" t="str">
        <f>IF(ROW()-3&gt;MAX($VT$4:$VT$40),"",INDEX($QO$4:$QO$40,MATCH(ROW()-3,$VT$4:$VT$40,0)))</f>
      </c>
    </row>
    <row r="39">
      <c r="A39">
        <f>IF('Final Calculation Sheet'!$F$39="","",'Final Calculation Sheet'!$F$39)</f>
        <v/>
      </c>
      <c r="B39">
        <f>IF(A39="","",COUNTIFS(A$4:A$114,"&lt;"&amp;A39,A$4:A$114,"&lt;&gt;"&amp;"")+COUNTIF(A$4:A39,A39))</f>
        <v/>
      </c>
      <c r="C39">
        <f>IF(ROW()-3&gt;COUNTIF(A$4:A$114,"&lt;&gt;"&amp;""),"",INDEX(A$4:A$114,MATCH(ROW()-3,B$4:B$114,0)))</f>
        <v/>
      </c>
      <c r="D39">
        <f>D38+IF(AND(C39&lt;&gt;"",COUNTIF(C$4:C39,C39)=1),1,0)</f>
        <v/>
      </c>
      <c r="E39">
        <f>IF(ROW()-3&gt;MAX(D$4:D$114),"",INDEX(C$4:C$114,MATCH(ROW()-3,D$4:D$114,0)))</f>
        <v/>
      </c>
      <c r="F39">
        <f>ROW()-3</f>
        <v/>
      </c>
      <c r="G39">
        <f>IF(F39="","",COUNTIFS(F$4:F$40,"&lt;"&amp;F39,F$4:F$40,"&lt;&gt;"&amp;"")+COUNTIF(F$4:F39,F39))</f>
        <v/>
      </c>
      <c r="H39">
        <f>IF(ROW()-3&gt;COUNTIF(F$4:F$40,"&lt;&gt;"&amp;""),"",INDEX(F$4:F$40,MATCH(ROW()-3,G$4:G$40,0)))</f>
        <v/>
      </c>
      <c r="I39">
        <f>I38+IF(AND(H39&lt;&gt;"",COUNTIF(H$4:H39,H39)=1),1,0)</f>
        <v/>
      </c>
      <c r="J39">
        <f>IF(ROW()-3&gt;MAX(I$4:I$40),"",INDEX(H$4:H$40,MATCH(ROW()-3,I$4:I$40,0)))</f>
        <v/>
      </c>
      <c r="K39">
        <f>IF('Final Calculation Sheet'!$F$39="","",'Final Calculation Sheet'!$F$39)</f>
        <v/>
      </c>
      <c r="L39">
        <f>IF(K39="","",COUNTIFS(K$4:K$40,"&lt;"&amp;K39,K$4:K$40,"&lt;&gt;"&amp;"")+COUNTIF(K$4:K39,K39))</f>
        <v/>
      </c>
      <c r="M39">
        <f>IF(ROW()-3&gt;COUNTIF(K$4:K$40,"&lt;&gt;"&amp;""),"",INDEX(K$4:K$40,MATCH(ROW()-3,L$4:L$40,0)))</f>
        <v/>
      </c>
      <c r="N39">
        <f>N38+IF(AND(M39&lt;&gt;"",COUNTIF(M$4:M39,M39)=1),1,0)</f>
        <v/>
      </c>
      <c r="O39">
        <f>IF(ROW()-3&gt;MAX(N$4:N$40),"",INDEX(M$4:M$40,MATCH(ROW()-3,N$4:N$40,0)))</f>
        <v/>
      </c>
      <c r="P39">
        <f>IF('Final Calculation Sheet'!$G$39="","",'Final Calculation Sheet'!$G$39)</f>
        <v/>
      </c>
      <c r="Q39">
        <f>IF(P39="","",COUNTIFS(P$4:P$40,"&lt;"&amp;P39,P$4:P$40,"&lt;&gt;"&amp;"")+COUNTIF(P$4:P39,P39))</f>
        <v/>
      </c>
      <c r="R39">
        <f>IF(ROW()-3&gt;COUNTIF(P$4:P$40,"&lt;&gt;"&amp;""),"",INDEX(P$4:P$40,MATCH(ROW()-3,Q$4:Q$40,0)))</f>
        <v/>
      </c>
      <c r="S39">
        <f>S38+IF(AND(R39&lt;&gt;"",COUNTIF(R$4:R39,R39)=1),1,0)</f>
        <v/>
      </c>
      <c r="T39">
        <f>IF(ROW()-3&gt;MAX(S$4:S$40),"",INDEX(R$4:R$40,MATCH(ROW()-3,S$4:S$40,0)))</f>
        <v/>
      </c>
      <c r="U39">
        <f>IF('Final Calculation Sheet'!$B$39="","",'Final Calculation Sheet'!$B$39)</f>
        <v/>
      </c>
      <c r="V39">
        <f>IF(U39="","",COUNTIFS(U$4:U$40,"&lt;"&amp;U39,U$4:U$40,"&lt;&gt;"&amp;"")+COUNTIF(U$4:U39,U39))</f>
        <v/>
      </c>
      <c r="W39">
        <f>IF(ROW()-3&gt;COUNTIF(U$4:U$40,"&lt;&gt;"&amp;""),"",INDEX(U$4:U$40,MATCH(ROW()-3,V$4:V$40,0)))</f>
        <v/>
      </c>
      <c r="X39">
        <f>X38+IF(AND(W39&lt;&gt;"",COUNTIF(W$4:W39,W39)=1),1,0)</f>
        <v/>
      </c>
      <c r="Y39">
        <f>IF(ROW()-3&gt;MAX(X$4:X$40),"",INDEX(W$4:W$40,MATCH(ROW()-3,X$4:X$40,0)))</f>
        <v/>
      </c>
      <c r="Z39">
        <f>IF('Final Calculation Sheet'!$D$39="","",'Final Calculation Sheet'!$D$39)</f>
        <v/>
      </c>
      <c r="AA39">
        <f>IF(Z39="","",COUNTIFS(Z$4:Z$40,"&lt;"&amp;Z39,Z$4:Z$40,"&lt;&gt;"&amp;"")+COUNTIF(Z$4:Z39,Z39))</f>
        <v/>
      </c>
      <c r="AB39">
        <f>IF(ROW()-3&gt;COUNTIF(Z$4:Z$40,"&lt;&gt;"&amp;""),"",INDEX(Z$4:Z$40,MATCH(ROW()-3,AA$4:AA$40,0)))</f>
        <v/>
      </c>
      <c r="AC39">
        <f>AC38+IF(AND(AB39&lt;&gt;"",COUNTIF(AB$4:AB39,AB39)=1),1,0)</f>
        <v/>
      </c>
      <c r="AD39">
        <f>IF(ROW()-3&gt;MAX(AC$4:AC$40),"",INDEX(AB$4:AB$40,MATCH(ROW()-3,AC$4:AC$40,0)))</f>
        <v/>
      </c>
      <c r="AE39">
        <f>IF('Final Calculation Sheet'!$A$39="","",'Final Calculation Sheet'!$A$39)</f>
        <v/>
      </c>
      <c r="AF39">
        <f>IF(AE39="","",COUNTIFS(AE$4:AE$40,"&lt;"&amp;AE39,AE$4:AE$40,"&lt;&gt;"&amp;"")+COUNTIF(AE$4:AE39,AE39))</f>
        <v/>
      </c>
      <c r="AG39">
        <f>IF(ROW()-3&gt;COUNTIF(AE$4:AE$40,"&lt;&gt;"&amp;""),"",INDEX(AE$4:AE$40,MATCH(ROW()-3,AF$4:AF$40,0)))</f>
        <v/>
      </c>
      <c r="AH39">
        <f>AH38+IF(AND(AG39&lt;&gt;"",COUNTIF(AG$4:AG39,AG39)=1),1,0)</f>
        <v/>
      </c>
      <c r="AI39">
        <f>IF(ROW()-3&gt;MAX(AH$4:AH$40),"",INDEX(AG$4:AG$40,MATCH(ROW()-3,AH$4:AH$40,0)))</f>
        <v/>
      </c>
      <c r="AJ39">
        <f>IF('Final Calculation Sheet'!$E$39="","",'Final Calculation Sheet'!$E$39)</f>
        <v/>
      </c>
      <c r="AK39">
        <f>IF(AJ39="","",COUNTIFS(AJ$4:AJ$40,"&lt;"&amp;AJ39,AJ$4:AJ$40,"&lt;&gt;"&amp;"")+COUNTIF(AJ$4:AJ39,AJ39))</f>
        <v/>
      </c>
      <c r="AL39">
        <f>IF(ROW()-3&gt;COUNTIF(AJ$4:AJ$40,"&lt;&gt;"&amp;""),"",INDEX(AJ$4:AJ$40,MATCH(ROW()-3,AK$4:AK$40,0)))</f>
        <v/>
      </c>
      <c r="AM39">
        <f>AM38+IF(AND(AL39&lt;&gt;"",COUNTIF(AL$4:AL39,AL39)=1),1,0)</f>
        <v/>
      </c>
      <c r="AN39">
        <f>IF(ROW()-3&gt;MAX(AM$4:AM$40),"",INDEX(AL$4:AL$40,MATCH(ROW()-3,AM$4:AM$40,0)))</f>
        <v/>
      </c>
      <c r="AO39" s="55">
        <f>IF('Final Calculation Sheet'!$C$39="","",'Final Calculation Sheet'!$C$39)</f>
        <v/>
      </c>
      <c r="AP39">
        <f>IF(AO39="","",COUNTIFS(AO$4:AO$40,"&lt;"&amp;AO39,AO$4:AO$40,"&lt;&gt;"&amp;"")+COUNTIF(AO$4:AO39,AO39))</f>
        <v/>
      </c>
      <c r="AQ39" s="55">
        <f>IF(ROW()-3&gt;COUNTIF(AO$4:AO$40,"&lt;&gt;"&amp;""),"",INDEX(AO$4:AO$40,MATCH(ROW()-3,AP$4:AP$40,0)))</f>
        <v/>
      </c>
      <c r="AR39">
        <f>AR38+IF(AND(AQ39&lt;&gt;"",COUNTIF(AQ$4:AQ39,AQ39)=1),1,0)</f>
        <v/>
      </c>
      <c r="AS39">
        <f>IF(ROW()-3&gt;MAX(AR$4:AR$40),"",INDEX(AQ$4:AQ$40,MATCH(ROW()-3,AR$4:AR$40,0)))</f>
        <v/>
      </c>
      <c r="AT39" s="55">
        <f>IF('Final Calculation Sheet'!$H$39="","",'Final Calculation Sheet'!$H$39)</f>
        <v/>
      </c>
      <c r="AU39">
        <f>IF(AT39="","",COUNTIFS(AT$4:AT$40,"&lt;"&amp;AT39,AT$4:AT$40,"&lt;&gt;"&amp;"")+COUNTIF(AT$4:AT39,AT39))</f>
        <v/>
      </c>
      <c r="AV39" s="55">
        <f>IF(ROW()-3&gt;COUNTIF(AT$4:AT$40,"&lt;&gt;"&amp;""),"",INDEX(AT$4:AT$40,MATCH(ROW()-3,AU$4:AU$40,0)))</f>
        <v/>
      </c>
      <c r="AW39">
        <f>AW38+IF(AND(AV39&lt;&gt;"",COUNTIF(AV$4:AV39,AV39)=1),1,0)</f>
        <v/>
      </c>
      <c r="AX39" s="55">
        <f>IF(ROW()-3&gt;MAX(AW$4:AW$40),"",INDEX(AV$4:AV$40,MATCH(ROW()-3,AW$4:AW$40,0)))</f>
        <v/>
      </c>
      <c r="AY39" s="55">
        <f>IF('Final Calculation Sheet'!$I$39="","",'Final Calculation Sheet'!$I$39)</f>
        <v/>
      </c>
      <c r="AZ39">
        <f>IF(AY39="","",COUNTIFS(AY$4:AY$40,"&lt;"&amp;AY39,AY$4:AY$40,"&lt;&gt;"&amp;"")+COUNTIF(AY$4:AY39,AY39))</f>
        <v/>
      </c>
      <c r="BA39" s="55">
        <f>IF(ROW()-3&gt;COUNTIF(AY$4:AY$40,"&lt;&gt;"&amp;""),"",INDEX(AY$4:AY$40,MATCH(ROW()-3,AZ$4:AZ$40,0)))</f>
        <v/>
      </c>
      <c r="BB39">
        <f>BB38+IF(AND(BA39&lt;&gt;"",COUNTIF(BA$4:BA39,BA39)=1),1,0)</f>
        <v/>
      </c>
      <c r="BC39" s="55">
        <f>IF(ROW()-3&gt;MAX(BB$4:BB$40),"",INDEX(BA$4:BA$40,MATCH(ROW()-3,BB$4:BB$40,0)))</f>
        <v/>
      </c>
      <c r="BD39" s="55">
        <f>IF('Final Calculation Sheet'!$J$39="","",'Final Calculation Sheet'!$J$39)</f>
        <v/>
      </c>
      <c r="BE39">
        <f>IF(BD39="","",COUNTIFS(BD$4:BD$40,"&lt;"&amp;BD39,BD$4:BD$40,"&lt;&gt;"&amp;"")+COUNTIF(BD$4:BD39,BD39))</f>
        <v/>
      </c>
      <c r="BF39" s="55">
        <f>IF(ROW()-3&gt;COUNTIF(BD$4:BD$40,"&lt;&gt;"&amp;""),"",INDEX(BD$4:BD$40,MATCH(ROW()-3,BE$4:BE$40,0)))</f>
        <v/>
      </c>
      <c r="BG39">
        <f>BG38+IF(AND(BF39&lt;&gt;"",COUNTIF(BF$4:BF39,BF39)=1),1,0)</f>
        <v/>
      </c>
      <c r="BH39" s="55">
        <f>IF(ROW()-3&gt;MAX(BG$4:BG$40),"",INDEX(BF$4:BF$40,MATCH(ROW()-3,BG$4:BG$40,0)))</f>
        <v/>
      </c>
      <c r="BI39" s="55">
        <f>IF('Final Calculation Sheet'!$K$39="","",'Final Calculation Sheet'!$K$39)</f>
        <v/>
      </c>
      <c r="BJ39">
        <f>IF(BI39="","",COUNTIFS(BI$4:BI$40,"&lt;"&amp;BI39,BI$4:BI$40,"&lt;&gt;"&amp;"")+COUNTIF(BI$4:BI39,BI39))</f>
        <v/>
      </c>
      <c r="BK39" s="55">
        <f>IF(ROW()-3&gt;COUNTIF(BI$4:BI$40,"&lt;&gt;"&amp;""),"",INDEX(BI$4:BI$40,MATCH(ROW()-3,BJ$4:BJ$40,0)))</f>
        <v/>
      </c>
      <c r="BL39">
        <f>BL38+IF(AND(BK39&lt;&gt;"",COUNTIF(BK$4:BK39,BK39)=1),1,0)</f>
        <v/>
      </c>
      <c r="BM39" s="55">
        <f>IF(ROW()-3&gt;MAX(BL$4:BL$40),"",INDEX(BK$4:BK$40,MATCH(ROW()-3,BL$4:BL$40,0)))</f>
        <v/>
      </c>
      <c r="BN39" s="55">
        <f>IF('Final Calculation Sheet'!$L$39="","",'Final Calculation Sheet'!$L$39)</f>
        <v/>
      </c>
      <c r="BO39">
        <f>IF(BN39="","",COUNTIFS(BN$4:BN$40,"&lt;"&amp;BN39,BN$4:BN$40,"&lt;&gt;"&amp;"")+COUNTIF(BN$4:BN39,BN39))</f>
        <v/>
      </c>
      <c r="BP39" s="55">
        <f>IF(ROW()-3&gt;COUNTIF(BN$4:BN$40,"&lt;&gt;"&amp;""),"",INDEX(BN$4:BN$40,MATCH(ROW()-3,BO$4:BO$40,0)))</f>
        <v/>
      </c>
      <c r="BQ39">
        <f>BQ38+IF(AND(BP39&lt;&gt;"",COUNTIF(BP$4:BP39,BP39)=1),1,0)</f>
        <v/>
      </c>
      <c r="BR39" s="55">
        <f>IF(ROW()-3&gt;MAX(BQ$4:BQ$40),"",INDEX(BP$4:BP$40,MATCH(ROW()-3,BQ$4:BQ$40,0)))</f>
        <v/>
      </c>
      <c r="BS39" s="55">
        <f>IF('Final Calculation Sheet'!$M$39="","",'Final Calculation Sheet'!$M$39)</f>
        <v/>
      </c>
      <c r="BT39">
        <f>IF(BS39="","",COUNTIFS(BS$4:BS$40,"&lt;"&amp;BS39,BS$4:BS$40,"&lt;&gt;"&amp;"")+COUNTIF(BS$4:BS39,BS39))</f>
        <v/>
      </c>
      <c r="BU39" s="55">
        <f>IF(ROW()-3&gt;COUNTIF(BS$4:BS$40,"&lt;&gt;"&amp;""),"",INDEX(BS$4:BS$40,MATCH(ROW()-3,BT$4:BT$40,0)))</f>
        <v/>
      </c>
      <c r="BV39">
        <f>BV38+IF(AND(BU39&lt;&gt;"",COUNTIF(BU$4:BU39,BU39)=1),1,0)</f>
        <v/>
      </c>
      <c r="BW39" s="55">
        <f>IF(ROW()-3&gt;MAX(BV$4:BV$40),"",INDEX(BU$4:BU$40,MATCH(ROW()-3,BV$4:BV$40,0)))</f>
        <v/>
      </c>
      <c r="BX39" s="138">
        <f>IF('Final Calculation Sheet'!$N$39="","",'Final Calculation Sheet'!$N$39)</f>
        <v/>
      </c>
      <c r="BY39">
        <f>IF(BX39="","",COUNTIFS(BX$4:BX$40,"&lt;"&amp;BX39,BX$4:BX$40,"&lt;&gt;"&amp;"")+COUNTIF(BX$4:BX39,BX39))</f>
        <v/>
      </c>
      <c r="BZ39" s="138">
        <f>IF(ROW()-3&gt;COUNTIF(BX$4:BX$40,"&lt;&gt;"&amp;""),"",INDEX(BX$4:BX$40,MATCH(ROW()-3,BY$4:BY$40,0)))</f>
        <v/>
      </c>
      <c r="CA39">
        <f>CA38+IF(AND(BZ39&lt;&gt;"",COUNTIF(BZ$4:BZ39,BZ39)=1),1,0)</f>
        <v/>
      </c>
      <c r="CB39" s="138">
        <f>IF(ROW()-3&gt;MAX(CA$4:CA$40),"",INDEX(BZ$4:BZ$40,MATCH(ROW()-3,CA$4:CA$40,0)))</f>
        <v/>
      </c>
      <c r="CC39" s="55">
        <f>IF('Final Calculation Sheet'!$O$39="","",'Final Calculation Sheet'!$O$39)</f>
        <v/>
      </c>
      <c r="CD39">
        <f>IF(CC39="","",COUNTIFS(CC$4:CC$40,"&lt;"&amp;CC39,CC$4:CC$40,"&lt;&gt;"&amp;"")+COUNTIF(CC$4:CC39,CC39))</f>
        <v/>
      </c>
      <c r="CE39" s="55">
        <f>IF(ROW()-3&gt;COUNTIF(CC$4:CC$40,"&lt;&gt;"&amp;""),"",INDEX(CC$4:CC$40,MATCH(ROW()-3,CD$4:CD$40,0)))</f>
        <v/>
      </c>
      <c r="CF39">
        <f>CF38+IF(AND(CE39&lt;&gt;"",COUNTIF(CE$4:CE39,CE39)=1),1,0)</f>
        <v/>
      </c>
      <c r="CG39" s="55">
        <f>IF(ROW()-3&gt;MAX(CF$4:CF$40),"",INDEX(CE$4:CE$40,MATCH(ROW()-3,CF$4:CF$40,0)))</f>
        <v/>
      </c>
      <c r="CH39" s="55">
        <f>IF('Final Calculation Sheet'!$P$39="","",'Final Calculation Sheet'!$P$39)</f>
        <v/>
      </c>
      <c r="CI39">
        <f>IF(CH39="","",COUNTIFS(CH$4:CH$40,"&lt;"&amp;CH39,CH$4:CH$40,"&lt;&gt;"&amp;"")+COUNTIF(CH$4:CH39,CH39))</f>
        <v/>
      </c>
      <c r="CJ39" s="55">
        <f>IF(ROW()-3&gt;COUNTIF(CH$4:CH$40,"&lt;&gt;"&amp;""),"",INDEX(CH$4:CH$40,MATCH(ROW()-3,CI$4:CI$40,0)))</f>
        <v/>
      </c>
      <c r="CK39">
        <f>CK38+IF(AND(CJ39&lt;&gt;"",COUNTIF(CJ$4:CJ39,CJ39)=1),1,0)</f>
        <v/>
      </c>
      <c r="CL39" s="55">
        <f>IF(ROW()-3&gt;MAX(CK$4:CK$40),"",INDEX(CJ$4:CJ$40,MATCH(ROW()-3,CK$4:CK$40,0)))</f>
        <v/>
      </c>
      <c r="CM39" s="139">
        <f>IF('Final Calculation Sheet'!$Q$39="","",'Final Calculation Sheet'!$Q$39)</f>
        <v/>
      </c>
      <c r="CN39">
        <f>IF(CM39="","",COUNTIFS(CM$4:CM$40,"&lt;"&amp;CM39,CM$4:CM$40,"&lt;&gt;"&amp;"")+COUNTIF(CM$4:CM39,CM39))</f>
        <v/>
      </c>
      <c r="CO39" s="139">
        <f>IF(ROW()-3&gt;COUNTIF(CM$4:CM$40,"&lt;&gt;"&amp;""),"",INDEX(CM$4:CM$40,MATCH(ROW()-3,CN$4:CN$40,0)))</f>
        <v/>
      </c>
      <c r="CP39">
        <f>CP38+IF(AND(CO39&lt;&gt;"",COUNTIF(CO$4:CO39,CO39)=1),1,0)</f>
        <v/>
      </c>
      <c r="CQ39">
        <f>IF(ROW()-3&gt;MAX(CP$4:CP$40),"",INDEX(CO$4:CO$40,MATCH(ROW()-3,CP$4:CP$40,0)))</f>
        <v/>
      </c>
      <c r="CR39" s="55">
        <f>IF('Final Calculation Sheet'!$R$39="","",'Final Calculation Sheet'!$R$39)</f>
        <v/>
      </c>
      <c r="CS39">
        <f>IF(CR39="","",COUNTIFS(CR$4:CR$40,"&lt;"&amp;CR39,CR$4:CR$40,"&lt;&gt;"&amp;"")+COUNTIF(CR$4:CR39,CR39))</f>
        <v/>
      </c>
      <c r="CT39" s="55">
        <f>IF(ROW()-3&gt;COUNTIF(CR$4:CR$40,"&lt;&gt;"&amp;""),"",INDEX(CR$4:CR$40,MATCH(ROW()-3,CS$4:CS$40,0)))</f>
        <v/>
      </c>
      <c r="CU39">
        <f>CU38+IF(AND(CT39&lt;&gt;"",COUNTIF(CT$4:CT39,CT39)=1),1,0)</f>
        <v/>
      </c>
      <c r="CV39">
        <f>IF(ROW()-3&gt;MAX(CU$4:CU$40),"",INDEX(CT$4:CT$40,MATCH(ROW()-3,CU$4:CU$40,0)))</f>
        <v/>
      </c>
      <c r="CW39" s="55">
        <f>IF('Final Calculation Sheet'!$S$39="","",'Final Calculation Sheet'!$S$39)</f>
        <v/>
      </c>
      <c r="CX39">
        <f>IF(CW39="","",COUNTIFS(CW$4:CW$40,"&lt;"&amp;CW39,CW$4:CW$40,"&lt;&gt;"&amp;"")+COUNTIF(CW$4:CW39,CW39))</f>
        <v/>
      </c>
      <c r="CY39" s="55">
        <f>IF(ROW()-3&gt;COUNTIF(CW$4:CW$40,"&lt;&gt;"&amp;""),"",INDEX(CW$4:CW$40,MATCH(ROW()-3,CX$4:CX$40,0)))</f>
        <v/>
      </c>
      <c r="CZ39">
        <f>CZ38+IF(AND(CY39&lt;&gt;"",COUNTIF(CY$4:CY39,CY39)=1),1,0)</f>
        <v/>
      </c>
      <c r="DA39" s="55">
        <f>IF(ROW()-3&gt;MAX(CZ$4:CZ$40),"",INDEX(CY$4:CY$40,MATCH(ROW()-3,CZ$4:CZ$40,0)))</f>
        <v/>
      </c>
      <c r="DB39" s="55">
        <f>IF('Final Calculation Sheet'!$T$39="","",'Final Calculation Sheet'!$T$39)</f>
        <v/>
      </c>
      <c r="DC39">
        <f>IF(DB39="","",COUNTIFS(DB$4:DB$40,"&lt;"&amp;DB39,DB$4:DB$40,"&lt;&gt;"&amp;"")+COUNTIF(DB$4:DB39,DB39))</f>
        <v/>
      </c>
      <c r="DD39" s="55">
        <f>IF(ROW()-3&gt;COUNTIF(DB$4:DB$40,"&lt;&gt;"&amp;""),"",INDEX(DB$4:DB$40,MATCH(ROW()-3,DC$4:DC$40,0)))</f>
        <v/>
      </c>
      <c r="DE39">
        <f>DE38+IF(AND(DD39&lt;&gt;"",COUNTIF(DD$4:DD39,DD39)=1),1,0)</f>
        <v/>
      </c>
      <c r="DF39" s="55">
        <f>IF(ROW()-3&gt;MAX(DE$4:DE$40),"",INDEX(DD$4:DD$40,MATCH(ROW()-3,DE$4:DE$40,0)))</f>
        <v/>
      </c>
      <c r="DG39" s="140">
        <f>IF('Final Calculation Sheet'!$U$39="","",'Final Calculation Sheet'!$U$39)</f>
        <v/>
      </c>
      <c r="DH39">
        <f>IF(DG39="","",COUNTIFS(DG$4:DG$40,"&lt;"&amp;DG39,DG$4:DG$40,"&lt;&gt;"&amp;"")+COUNTIF(DG$4:DG39,DG39))</f>
        <v/>
      </c>
      <c r="DI39" s="140">
        <f>IF(ROW()-3&gt;COUNTIF(DG$4:DG$40,"&lt;&gt;"&amp;""),"",INDEX(DG$4:DG$40,MATCH(ROW()-3,DH$4:DH$40,0)))</f>
        <v/>
      </c>
      <c r="DJ39">
        <f>DJ38+IF(AND(DI39&lt;&gt;"",COUNTIF(DI$4:DI39,DI39)=1),1,0)</f>
        <v/>
      </c>
      <c r="DK39" s="140">
        <f>IF(ROW()-3&gt;MAX(DJ$4:DJ$40),"",INDEX(DI$4:DI$40,MATCH(ROW()-3,DJ$4:DJ$40,0)))</f>
        <v/>
      </c>
      <c r="DL39">
        <f>IF('Final Calculation Sheet'!$V$39="","",'Final Calculation Sheet'!$V$39)</f>
        <v/>
      </c>
      <c r="DM39">
        <f>IF(DL39="","",COUNTIFS(DL$4:DL$40,"&lt;"&amp;DL39,DL$4:DL$40,"&lt;&gt;"&amp;"")+COUNTIF(DL$4:DL39,DL39))</f>
        <v/>
      </c>
      <c r="DN39">
        <f>IF(ROW()-3&gt;COUNTIF(DL$4:DL$40,"&lt;&gt;"&amp;""),"",INDEX(DL$4:DL$40,MATCH(ROW()-3,DM$4:DM$40,0)))</f>
        <v/>
      </c>
      <c r="DO39">
        <f>DO38+IF(AND(DN39&lt;&gt;"",COUNTIF(DN$4:DN39,DN39)=1),1,0)</f>
        <v/>
      </c>
      <c r="DP39">
        <f>IF(ROW()-3&gt;MAX(DO$4:DO$40),"",INDEX(DN$4:DN$40,MATCH(ROW()-3,DO$4:DO$40,0)))</f>
        <v/>
      </c>
      <c r="DQ39" s="55">
        <f>IF('Final Calculation Sheet'!$W$39="","",'Final Calculation Sheet'!$W$39)</f>
        <v/>
      </c>
      <c r="DR39">
        <f>IF(DQ39="","",COUNTIFS(DQ$4:DQ$40,"&lt;"&amp;DQ39,DQ$4:DQ$40,"&lt;&gt;"&amp;"")+COUNTIF(DQ$4:DQ39,DQ39))</f>
        <v/>
      </c>
      <c r="DS39" s="55">
        <f>IF(ROW()-3&gt;COUNTIF(DQ$4:DQ$40,"&lt;&gt;"&amp;""),"",INDEX(DQ$4:DQ$40,MATCH(ROW()-3,DR$4:DR$40,0)))</f>
        <v/>
      </c>
      <c r="DT39">
        <f>DT38+IF(AND(DS39&lt;&gt;"",COUNTIF(DS$4:DS39,DS39)=1),1,0)</f>
        <v/>
      </c>
      <c r="DU39" s="55">
        <f>IF(ROW()-3&gt;MAX(DT$4:DT$40),"",INDEX(DS$4:DS$40,MATCH(ROW()-3,DT$4:DT$40,0)))</f>
        <v/>
      </c>
      <c r="DV39" s="55">
        <f>IF('Final Calculation Sheet'!$X$39="","",'Final Calculation Sheet'!$X$39)</f>
        <v/>
      </c>
      <c r="DW39">
        <f>IF(DV39="","",COUNTIFS(DV$4:DV$40,"&lt;"&amp;DV39,DV$4:DV$40,"&lt;&gt;"&amp;"")+COUNTIF(DV$4:DV39,DV39))</f>
        <v/>
      </c>
      <c r="DX39">
        <f>IF(ROW()-3&gt;COUNTIF(DV$4:DV$40,"&lt;&gt;"&amp;""),"",INDEX(DV$4:DV$40,MATCH(ROW()-3,DW$4:DW$40,0)))</f>
        <v/>
      </c>
      <c r="DY39">
        <f>DY38+IF(AND(DX39&lt;&gt;"",COUNTIF(DX$4:DX39,DX39)=1),1,0)</f>
        <v/>
      </c>
      <c r="DZ39">
        <f>IF(ROW()-3&gt;MAX(DY$4:DY$40),"",INDEX(DX$4:DX$40,MATCH(ROW()-3,DY$4:DY$40,0)))</f>
        <v/>
      </c>
      <c r="EA39">
        <f>IF('Final Calculation Sheet'!$Y$39="","",'Final Calculation Sheet'!$Y$39)</f>
        <v/>
      </c>
      <c r="EB39">
        <f>IF(EA39="","",COUNTIFS(EA$4:EA$40,"&lt;"&amp;EA39,EA$4:EA$40,"&lt;&gt;"&amp;"")+COUNTIF(EA$4:EA39,EA39))</f>
        <v/>
      </c>
      <c r="EC39">
        <f>IF(ROW()-3&gt;COUNTIF(EA$4:EA$40,"&lt;&gt;"&amp;""),"",INDEX(EA$4:EA$40,MATCH(ROW()-3,EB$4:EB$40,0)))</f>
        <v/>
      </c>
      <c r="ED39">
        <f>ED38+IF(AND(EC39&lt;&gt;"",COUNTIF(EC$4:EC39,EC39)=1),1,0)</f>
        <v/>
      </c>
      <c r="EE39">
        <f>IF(ROW()-3&gt;MAX(ED$4:ED$40),"",INDEX(EC$4:EC$40,MATCH(ROW()-3,ED$4:ED$40,0)))</f>
        <v/>
      </c>
      <c r="EF39" s="55">
        <f>IF('Final Calculation Sheet'!$Z$39="","",'Final Calculation Sheet'!$Z$39)</f>
        <v/>
      </c>
      <c r="EG39">
        <f>IF(EF39="","",COUNTIFS(EF$4:EF$40,"&lt;"&amp;EF39,EF$4:EF$40,"&lt;&gt;"&amp;"")+COUNTIF(EF$4:EF39,EF39))</f>
        <v/>
      </c>
      <c r="EH39" s="55">
        <f>IF(ROW()-3&gt;COUNTIF(EF$4:EF$40,"&lt;&gt;"&amp;""),"",INDEX(EF$4:EF$40,MATCH(ROW()-3,EG$4:EG$40,0)))</f>
        <v/>
      </c>
      <c r="EI39">
        <f>EI38+IF(AND(EH39&lt;&gt;"",COUNTIF(EH$4:EH39,EH39)=1),1,0)</f>
        <v/>
      </c>
      <c r="EJ39">
        <f>IF(ROW()-3&gt;MAX(EI$4:EI$40),"",INDEX(EH$4:EH$40,MATCH(ROW()-3,EI$4:EI$40,0)))</f>
        <v/>
      </c>
      <c r="EK39" s="55">
        <f>IF('Final Calculation Sheet'!$AA$39="","",'Final Calculation Sheet'!$AA$39)</f>
        <v/>
      </c>
      <c r="EL39">
        <f>IF(EK39="","",COUNTIFS(EK$4:EK$40,"&lt;"&amp;EK39,EK$4:EK$40,"&lt;&gt;"&amp;"")+COUNTIF(EK$4:EK39,EK39))</f>
        <v/>
      </c>
      <c r="EM39">
        <f>IF(ROW()-3&gt;COUNTIF(EK$4:EK$40,"&lt;&gt;"&amp;""),"",INDEX(EK$4:EK$40,MATCH(ROW()-3,EL$4:EL$40,0)))</f>
        <v/>
      </c>
      <c r="EN39">
        <f>EN38+IF(AND(EM39&lt;&gt;"",COUNTIF(EM$4:EM39,EM39)=1),1,0)</f>
        <v/>
      </c>
      <c r="EO39">
        <f>IF(ROW()-3&gt;MAX(EN$4:EN$40),"",INDEX(EM$4:EM$40,MATCH(ROW()-3,EN$4:EN$40,0)))</f>
        <v/>
      </c>
      <c r="EP39">
        <f>IF('Final Calculation Sheet'!$AB$39="","",'Final Calculation Sheet'!$AB$39)</f>
        <v/>
      </c>
      <c r="EQ39">
        <f>IF(EP39="","",COUNTIFS(EP$4:EP$40,"&lt;"&amp;EP39,EP$4:EP$40,"&lt;&gt;"&amp;"")+COUNTIF(EP$4:EP39,EP39))</f>
        <v/>
      </c>
      <c r="ER39">
        <f>IF(ROW()-3&gt;COUNTIF(EP$4:EP$40,"&lt;&gt;"&amp;""),"",INDEX(EP$4:EP$40,MATCH(ROW()-3,EQ$4:EQ$40,0)))</f>
        <v/>
      </c>
      <c r="ES39">
        <f>ES38+IF(AND(ER39&lt;&gt;"",COUNTIF(ER$4:ER39,ER39)=1),1,0)</f>
        <v/>
      </c>
      <c r="ET39">
        <f>IF(ROW()-3&gt;MAX(ES$4:ES$40),"",INDEX(ER$4:ER$40,MATCH(ROW()-3,ES$4:ES$40,0)))</f>
        <v/>
      </c>
      <c r="EU39" s="55">
        <f>IF('Final Calculation Sheet'!$AC$39="","",'Final Calculation Sheet'!$AC$39)</f>
        <v/>
      </c>
      <c r="EV39">
        <f>IF(EU39="","",COUNTIFS(EU$4:EU$40,"&lt;"&amp;EU39,EU$4:EU$40,"&lt;&gt;"&amp;"")+COUNTIF(EU$4:EU39,EU39))</f>
        <v/>
      </c>
      <c r="EW39" s="55">
        <f>IF(ROW()-3&gt;COUNTIF(EU$4:EU$40,"&lt;&gt;"&amp;""),"",INDEX(EU$4:EU$40,MATCH(ROW()-3,EV$4:EV$40,0)))</f>
        <v/>
      </c>
      <c r="EX39">
        <f>EX38+IF(AND(EW39&lt;&gt;"",COUNTIF(EW$4:EW39,EW39)=1),1,0)</f>
        <v/>
      </c>
      <c r="EY39" s="55">
        <f>IF(ROW()-3&gt;MAX(EX$4:EX$40),"",INDEX(EW$4:EW$40,MATCH(ROW()-3,EX$4:EX$40,0)))</f>
        <v/>
      </c>
      <c r="EZ39" s="55">
        <f>IF('Final Calculation Sheet'!$AD$39="","",'Final Calculation Sheet'!$AD$39)</f>
        <v/>
      </c>
      <c r="FA39">
        <f>IF(EZ39="","",COUNTIFS(EZ$4:EZ$40,"&lt;"&amp;EZ39,EZ$4:EZ$40,"&lt;&gt;"&amp;"")+COUNTIF(EZ$4:EZ39,EZ39))</f>
        <v/>
      </c>
      <c r="FB39" s="55">
        <f>IF(ROW()-3&gt;COUNTIF(EZ$4:EZ$40,"&lt;&gt;"&amp;""),"",INDEX(EZ$4:EZ$40,MATCH(ROW()-3,FA$4:FA$40,0)))</f>
        <v/>
      </c>
      <c r="FC39">
        <f>FC38+IF(AND(FB39&lt;&gt;"",COUNTIF(FB$4:FB39,FB39)=1),1,0)</f>
        <v/>
      </c>
      <c r="FD39">
        <f>IF(ROW()-3&gt;MAX(FC$4:FC$40),"",INDEX(FB$4:FB$40,MATCH(ROW()-3,FC$4:FC$40,0)))</f>
        <v/>
      </c>
      <c r="FE39">
        <f>IF('Final Calculation Sheet'!$AF$39="","",'Final Calculation Sheet'!$AF$39)</f>
        <v/>
      </c>
      <c r="FF39">
        <f>IF(FE39="","",COUNTIFS(FE$4:FE$40,"&lt;"&amp;FE39,FE$4:FE$40,"&lt;&gt;"&amp;"")+COUNTIF(FE$4:FE39,FE39))</f>
        <v/>
      </c>
      <c r="FG39">
        <f>IF(ROW()-3&gt;COUNTIF(FE$4:FE$40,"&lt;&gt;"&amp;""),"",INDEX(FE$4:FE$40,MATCH(ROW()-3,FF$4:FF$40,0)))</f>
        <v/>
      </c>
      <c r="FH39">
        <f>FH38+IF(AND(FG39&lt;&gt;"",COUNTIF(FG$4:FG39,FG39)=1),1,0)</f>
        <v/>
      </c>
      <c r="FI39">
        <f>IF(ROW()-3&gt;MAX(FH$4:FH$40),"",INDEX(FG$4:FG$40,MATCH(ROW()-3,FH$4:FH$40,0)))</f>
        <v/>
      </c>
      <c r="FJ39">
        <f>IF('Final Calculation Sheet'!$AG$39="","",'Final Calculation Sheet'!$AG$39)</f>
        <v/>
      </c>
      <c r="FK39">
        <f>IF(FJ39="","",COUNTIFS(FJ$4:FJ$40,"&lt;"&amp;FJ39,FJ$4:FJ$40,"&lt;&gt;"&amp;"")+COUNTIF(FJ$4:FJ39,FJ39))</f>
        <v/>
      </c>
      <c r="FL39">
        <f>IF(ROW()-3&gt;COUNTIF(FJ$4:FJ$40,"&lt;&gt;"&amp;""),"",INDEX(FJ$4:FJ$40,MATCH(ROW()-3,FK$4:FK$40,0)))</f>
        <v/>
      </c>
      <c r="FM39">
        <f>FM38+IF(AND(FL39&lt;&gt;"",COUNTIF(FL$4:FL39,FL39)=1),1,0)</f>
        <v/>
      </c>
      <c r="FN39">
        <f>IF(ROW()-3&gt;MAX(FM$4:FM$40),"",INDEX(FL$4:FL$40,MATCH(ROW()-3,FM$4:FM$40,0)))</f>
        <v/>
      </c>
      <c r="FO39">
        <f>IF('Final Calculation Sheet'!$AH$39="","",'Final Calculation Sheet'!$AH$39)</f>
        <v/>
      </c>
      <c r="FP39">
        <f>IF(FO39="","",COUNTIFS(FO$4:FO$40,"&lt;"&amp;FO39,FO$4:FO$40,"&lt;&gt;"&amp;"")+COUNTIF(FO$4:FO39,FO39))</f>
        <v/>
      </c>
      <c r="FQ39">
        <f>IF(ROW()-3&gt;COUNTIF(FO$4:FO$40,"&lt;&gt;"&amp;""),"",INDEX(FO$4:FO$40,MATCH(ROW()-3,FP$4:FP$40,0)))</f>
        <v/>
      </c>
      <c r="FR39">
        <f>FR38+IF(AND(FQ39&lt;&gt;"",COUNTIF(FQ$4:FQ39,FQ39)=1),1,0)</f>
        <v/>
      </c>
      <c r="FS39">
        <f>IF(ROW()-3&gt;MAX(FR$4:FR$40),"",INDEX(FQ$4:FQ$40,MATCH(ROW()-3,FR$4:FR$40,0)))</f>
        <v/>
      </c>
      <c r="FU39">
        <f>IF(FT39="","",COUNTIFS(FT$4:FT$40,"&lt;"&amp;FT39,FT$4:FT$40,"&lt;&gt;"&amp;"")+COUNTIF(FT$4:FT39,FT39))</f>
        <v/>
      </c>
      <c r="FV39">
        <f>IF(ROW()-3&gt;COUNTIF(FT$4:FT$40,"&lt;&gt;"&amp;""),"",INDEX(FT$4:FT$40,MATCH(ROW()-3,FU$4:FU$40,0)))</f>
        <v/>
      </c>
      <c r="FW39">
        <f>FW38+IF(AND(FV39&lt;&gt;"",COUNTIF(FV$4:FV39,FV39)=1),1,0)</f>
        <v/>
      </c>
      <c r="FX39">
        <f>IF(ROW()-3&gt;MAX(FW$4:FW$40),"",INDEX(FV$4:FV$40,MATCH(ROW()-3,FW$4:FW$40,0)))</f>
        <v/>
      </c>
      <c r="FY39">
        <f>IF(COUNTIF('Live Search'!BM$38:BO$38,0)+COUNTIF('Live Search'!BQ$38:CU$38,0)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39">
        <f>IF($Y$39="",FALSE,SUMPRODUCT(('Final Calculation Sheet'!$B$4:$B$40=$Y$39)*($FY$6:$FY$42=1))&gt;0)</f>
        <v/>
      </c>
      <c r="GA39">
        <f>$GA$38+--($FZ$39)</f>
        <v/>
      </c>
      <c r="GB39">
        <f>IF(ROW()-3&gt;MAX($GA$4:$GA$40),"",INDEX($Y$4:$Y$40,MATCH(ROW()-3,$GA$4:$GA$40,0)))</f>
        <v/>
      </c>
      <c r="GC39">
        <f>IF(COUNTIF('Live Search'!BM$38:BM$38,0)+COUNTIF('Live Search'!BO$38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GD39">
        <f>IF($O$39="",FALSE,SUMPRODUCT(('Final Calculation Sheet'!$F$4:$F$40=$O$39)*($GC$6:$GC$42=1))&gt;0)</f>
        <v/>
      </c>
      <c r="GE39">
        <f>$GE$38+--($GD39)</f>
        <v/>
      </c>
      <c r="GF39">
        <f>IF(ROW()-3&gt;MAX($GE$4:$GE$40),"",INDEX($O$4:$O$40,MATCH(ROW()-3,$GE$4:$GE$40,0)))</f>
        <v/>
      </c>
      <c r="GG39">
        <f>IF(COUNTIF('Live Search'!BM$38:BN$38,0)+COUNTIF('Live Search'!BP$38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GH39">
        <f>IF($T$39="",FALSE,SUMPRODUCT(('Final Calculation Sheet'!$G$4:$G$40=$T$39)*($GG$6:$GG$42=1))&gt;0)</f>
        <v/>
      </c>
      <c r="GI39">
        <f>$GI$38+--($GH39)</f>
        <v/>
      </c>
      <c r="GJ39">
        <f>IF(ROW()-3&gt;MAX($GI$4:$GI$40),"",INDEX($T$4:$T$40,MATCH(ROW()-3,$GI$4:$GI$40,0)))</f>
        <v/>
      </c>
      <c r="GK39">
        <f>IF(COUNTIF('Live Search'!BM$38:BP$38,0)+COUNTIF('Live Search'!BR$38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GL39">
        <f>IF($AD$39="",FALSE,SUMPRODUCT(('Final Calculation Sheet'!$D$4:$D$40=$AD$39)*($GK$6:$GK$42=1))&gt;0)</f>
        <v/>
      </c>
      <c r="GM39">
        <f>$GM$38+--($GL39)</f>
        <v/>
      </c>
      <c r="GN39">
        <f>IF(ROW()-3&gt;MAX($GM$4:$GM$40),"",INDEX($AD$4:$AD$40,MATCH(ROW()-3,$GM$4:$GM$40,0)))</f>
        <v/>
      </c>
      <c r="GO39">
        <f>IF(COUNTIF('Live Search'!BM$38:BQ$38,0)+COUNTIF('Live Search'!BS$38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GP39">
        <f>IF($AI$39="",FALSE,SUMPRODUCT(('Final Calculation Sheet'!$A$4:$A$40=$AI$39)*($GO$6:$GO$42=1))&gt;0)</f>
        <v/>
      </c>
      <c r="GQ39">
        <f>$GQ$38+--($GP39)</f>
        <v/>
      </c>
      <c r="GR39">
        <f>IF(ROW()-3&gt;MAX($GQ$4:$GQ$40),"",INDEX($AI$4:$AI$40,MATCH(ROW()-3,$GQ$4:$GQ$40,0)))</f>
        <v/>
      </c>
      <c r="GS39">
        <f>IF(COUNTIF('Live Search'!BM$38:BR$38,0)+COUNTIF('Live Search'!BT$38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GT39">
        <f>IF($AN$39="",FALSE,SUMPRODUCT(('Final Calculation Sheet'!$E$4:$E$40=$AN$39)*($GS$6:$GS$42=1))&gt;0)</f>
        <v/>
      </c>
      <c r="GU39">
        <f>$GU$38+--($GT39)</f>
        <v/>
      </c>
      <c r="GV39">
        <f>IF(ROW()-3&gt;MAX($GU$4:$GU$40),"",INDEX($AN$4:$AN$40,MATCH(ROW()-3,$GU$4:$GU$40,0)))</f>
        <v/>
      </c>
      <c r="GW39">
        <f>IF(COUNTIF('Live Search'!BM$38:BS$38,0)+COUNTIF('Live Search'!BU$38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GX39">
        <f>IF($AS$39="",FALSE,SUMPRODUCT(('Final Calculation Sheet'!$C$4:$C$40=$AS$39)*($GW$6:$GW$42=1))&gt;0)</f>
        <v/>
      </c>
      <c r="GY39">
        <f>$GY$38+--($GX39)</f>
        <v/>
      </c>
      <c r="GZ39">
        <f>IF(ROW()-3&gt;MAX($GY$4:$GY$40),"",INDEX($AS$4:$AS$40,MATCH(ROW()-3,$GY$4:$GY$40,0)))</f>
        <v/>
      </c>
      <c r="HA39">
        <f>IF(COUNTIF('Live Search'!BM$38:BT$38,0)+COUNTIF('Live Search'!BV$38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HB39">
        <f>IF($AX$39="",FALSE,SUMPRODUCT(('Final Calculation Sheet'!$H$4:$H$40=$AX$39)*($HA$6:$HA$42=1))&gt;0)</f>
        <v/>
      </c>
      <c r="HC39">
        <f>$HC$38+--($HB39)</f>
        <v/>
      </c>
      <c r="HD39">
        <f>IF(ROW()-3&gt;MAX($HC$4:$HC$40),"",INDEX($AX$4:$AX$40,MATCH(ROW()-3,$HC$4:$HC$40,0)))</f>
        <v/>
      </c>
      <c r="HE39">
        <f>IF(COUNTIF('Live Search'!BM$38:BU$38,0)+COUNTIF('Live Search'!BW$38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HF39">
        <f>IF($BC$39="",FALSE,SUMPRODUCT(('Final Calculation Sheet'!$I$4:$I$40=$BC$39)*($HE$6:$HE$42=1))&gt;0)</f>
        <v/>
      </c>
      <c r="HG39">
        <f>$HG$38+--($HF39)</f>
        <v/>
      </c>
      <c r="HH39">
        <f>IF(ROW()-3&gt;MAX($HG$4:$HG$40),"",INDEX($BC$4:$BC$40,MATCH(ROW()-3,$HG$4:$HG$40,0)))</f>
        <v/>
      </c>
      <c r="HI39">
        <f>IF(COUNTIF('Live Search'!BM$38:BV$38,0)+COUNTIF('Live Search'!BX$38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HJ39">
        <f>IF($BH$39="",FALSE,SUMPRODUCT(('Final Calculation Sheet'!$J$4:$J$40=$BH$39)*($HI$6:$HI$42=1))&gt;0)</f>
        <v/>
      </c>
      <c r="HK39">
        <f>$HK$38+--($HJ39)</f>
        <v/>
      </c>
      <c r="HL39">
        <f>IF(ROW()-3&gt;MAX($HK$4:$HK$40),"",INDEX($BH$4:$BH$40,MATCH(ROW()-3,$HK$4:$HK$40,0)))</f>
        <v/>
      </c>
      <c r="HM39">
        <f>IF(COUNTIF('Live Search'!BM$38:BW$38,0)+COUNTIF('Live Search'!BY$38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HN39">
        <f>IF($BM$39="",FALSE,SUMPRODUCT(('Final Calculation Sheet'!$K$4:$K$40=$BM$39)*($HM$6:$HM$42=1))&gt;0)</f>
        <v/>
      </c>
      <c r="HO39">
        <f>$HO$38+--($HN39)</f>
        <v/>
      </c>
      <c r="HP39">
        <f>IF(ROW()-3&gt;MAX($HO$4:$HO$40),"",INDEX($BM$4:$BM$40,MATCH(ROW()-3,$HO$4:$HO$40,0)))</f>
        <v/>
      </c>
      <c r="HQ39">
        <f>IF(COUNTIF('Live Search'!BM$38:BX$38,0)+COUNTIF('Live Search'!BZ$38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HR39">
        <f>IF($BR$39="",FALSE,SUMPRODUCT(('Final Calculation Sheet'!$L$4:$L$40=$BR$39)*($HQ$6:$HQ$42=1))&gt;0)</f>
        <v/>
      </c>
      <c r="HS39">
        <f>$HS$38+--($HR39)</f>
        <v/>
      </c>
      <c r="HT39">
        <f>IF(ROW()-3&gt;MAX($HS$4:$HS$40),"",INDEX($BR$4:$BR$40,MATCH(ROW()-3,$HS$4:$HS$40,0)))</f>
        <v/>
      </c>
      <c r="HU39">
        <f>IF(COUNTIF('Live Search'!BM$38:BY$38,0)+COUNTIF('Live Search'!CA$38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HV39">
        <f>IF($BW$39="",FALSE,SUMPRODUCT(('Final Calculation Sheet'!$M$4:$M$40=$BW$39)*($HU$6:$HU$42=1))&gt;0)</f>
        <v/>
      </c>
      <c r="HW39">
        <f>$HW$38+--($HV39)</f>
        <v/>
      </c>
      <c r="HX39">
        <f>IF(ROW()-3&gt;MAX($HW$4:$HW$40),"",INDEX($BW$4:$BW$40,MATCH(ROW()-3,$HW$4:$HW$40,0)))</f>
        <v/>
      </c>
      <c r="HY39">
        <f>IF(COUNTIF('Live Search'!BM$38:BZ$38,0)+COUNTIF('Live Search'!CB$38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HZ39">
        <f>IF($CB$39="",FALSE,SUMPRODUCT(('Final Calculation Sheet'!$N$4:$N$40=$CB$39)*($HY$6:$HY$42=1))&gt;0)</f>
        <v/>
      </c>
      <c r="IA39">
        <f>$IA$38+--($HZ39)</f>
        <v/>
      </c>
      <c r="IB39">
        <f>IF(ROW()-3&gt;MAX($IA$4:$IA$40),"",INDEX($CB$4:$CB$40,MATCH(ROW()-3,$IA$4:$IA$40,0)))</f>
        <v/>
      </c>
      <c r="IC39">
        <f>IF(COUNTIF('Live Search'!BM$38:CA$38,0)+COUNTIF('Live Search'!CC$38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ID39">
        <f>IF($CG$39="",FALSE,SUMPRODUCT(('Final Calculation Sheet'!$O$4:$O$40=$CG$39)*($IC$6:$IC$42=1))&gt;0)</f>
        <v/>
      </c>
      <c r="IE39">
        <f>$IE$38+--($ID39)</f>
        <v/>
      </c>
      <c r="IF39">
        <f>IF(ROW()-3&gt;MAX($IE$4:$IE$40),"",INDEX($CG$4:$CG$40,MATCH(ROW()-3,$IE$4:$IE$40,0)))</f>
        <v/>
      </c>
      <c r="IG39">
        <f>IF(COUNTIF('Live Search'!BM$38:CB$38,0)+COUNTIF('Live Search'!CD$38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IH39">
        <f>IF($CL$39="",FALSE,SUMPRODUCT(('Final Calculation Sheet'!$P$4:$P$40=$CL$39)*($IG$6:$IG$42=1))&gt;0)</f>
        <v/>
      </c>
      <c r="II39">
        <f>$II$38+--($IH39)</f>
        <v/>
      </c>
      <c r="IJ39">
        <f>IF(ROW()-3&gt;MAX($II$4:$II$40),"",INDEX($CL$4:$CL$40,MATCH(ROW()-3,$II$4:$II$40,0)))</f>
        <v/>
      </c>
      <c r="IK39">
        <f>IF(COUNTIF('Live Search'!BM$38:CC$38,0)+COUNTIF('Live Search'!CE$38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IL39">
        <f>IF($CQ$39="",FALSE,SUMPRODUCT(('Final Calculation Sheet'!$Q$4:$Q$40=$CQ$39)*($IK$6:$IK$42=1))&gt;0)</f>
        <v/>
      </c>
      <c r="IM39">
        <f>$IM$38+--($IL39)</f>
        <v/>
      </c>
      <c r="IN39">
        <f>IF(ROW()-3&gt;MAX($IM$4:$IM$40),"",INDEX($CQ$4:$CQ$40,MATCH(ROW()-3,$IM$4:$IM$40,0)))</f>
        <v/>
      </c>
      <c r="IO39">
        <f>IF(COUNTIF('Live Search'!BM$38:CD$38,0)+COUNTIF('Live Search'!CF$38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IP39">
        <f>IF($CV$39="",FALSE,SUMPRODUCT(('Final Calculation Sheet'!$R$4:$R$40=$CV$39)*($IO$6:$IO$42=1))&gt;0)</f>
        <v/>
      </c>
      <c r="IQ39">
        <f>$IQ$38+--($IP39)</f>
        <v/>
      </c>
      <c r="IR39">
        <f>IF(ROW()-3&gt;MAX($IQ$4:$IQ$40),"",INDEX($CV$4:$CV$40,MATCH(ROW()-3,$IQ$4:$IQ$40,0)))</f>
        <v/>
      </c>
      <c r="IS39">
        <f>IF(COUNTIF('Live Search'!BM$38:CE$38,0)+COUNTIF('Live Search'!CG$38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IT39">
        <f>IF($DA$39="",FALSE,SUMPRODUCT(('Final Calculation Sheet'!$S$4:$S$40=$DA$39)*($IS$6:$IS$42=1))&gt;0)</f>
        <v/>
      </c>
      <c r="IU39">
        <f>$IU$38+--($IT39)</f>
        <v/>
      </c>
      <c r="IV39">
        <f>IF(ROW()-3&gt;MAX($IU$4:$IU$40),"",INDEX($DA$4:$DA$40,MATCH(ROW()-3,$IU$4:$IU$40,0)))</f>
        <v/>
      </c>
      <c r="IW39">
        <f>IF(COUNTIF('Live Search'!BM$38:CF$38,0)+COUNTIF('Live Search'!CH$38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IX39">
        <f>IF($DF$39="",FALSE,SUMPRODUCT(('Final Calculation Sheet'!$T$4:$T$40=$DF$39)*($IW$6:$IW$42=1))&gt;0)</f>
        <v/>
      </c>
      <c r="IY39">
        <f>$IY$38+--($IX39)</f>
        <v/>
      </c>
      <c r="IZ39">
        <f>IF(ROW()-3&gt;MAX($IY$4:$IY$40),"",INDEX($DF$4:$DF$40,MATCH(ROW()-3,$IY$4:$IY$40,0)))</f>
        <v/>
      </c>
      <c r="JA39">
        <f>IF(COUNTIF('Live Search'!BM$38:CG$38,0)+COUNTIF('Live Search'!CI$38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JB39">
        <f>IF($DK$39="",FALSE,SUMPRODUCT(('Final Calculation Sheet'!$U$4:$U$40=$DK$39)*($JA$6:$JA$42=1))&gt;0)</f>
        <v/>
      </c>
      <c r="JC39">
        <f>$JC$38+--($JB39)</f>
        <v/>
      </c>
      <c r="JD39">
        <f>IF(ROW()-3&gt;MAX($JC$4:$JC$40),"",INDEX($DK$4:$DK$40,MATCH(ROW()-3,$JC$4:$JC$40,0)))</f>
        <v/>
      </c>
      <c r="JE39">
        <f>IF(COUNTIF('Live Search'!BM$38:CH$38,0)+COUNTIF('Live Search'!CJ$38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JF39">
        <f>IF($DP$39="",FALSE,SUMPRODUCT(('Final Calculation Sheet'!$V$4:$V$40=$DP$39)*($JE$6:$JE$42=1))&gt;0)</f>
        <v/>
      </c>
      <c r="JG39">
        <f>$JG$38+--($JF39)</f>
        <v/>
      </c>
      <c r="JH39">
        <f>IF(ROW()-3&gt;MAX($JG$4:$JG$40),"",INDEX($DP$4:$DP$40,MATCH(ROW()-3,$JG$4:$JG$40,0)))</f>
        <v/>
      </c>
      <c r="JI39">
        <f>IF(COUNTIF('Live Search'!BM$38:CI$38,0)+COUNTIF('Live Search'!CK$38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JJ39">
        <f>IF($DU$39="",FALSE,SUMPRODUCT(('Final Calculation Sheet'!$W$4:$W$40=$DU$39)*($JI$6:$JI$42=1))&gt;0)</f>
        <v/>
      </c>
      <c r="JK39">
        <f>$JK$38+--($JJ39)</f>
        <v/>
      </c>
      <c r="JL39">
        <f>IF(ROW()-3&gt;MAX($JK$4:$JK$40),"",INDEX($DU$4:$DU$40,MATCH(ROW()-3,$JK$4:$JK$40,0)))</f>
        <v/>
      </c>
      <c r="JM39">
        <f>IF(COUNTIF('Live Search'!BM$38:CJ$38,0)+COUNTIF('Live Search'!CL$38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JN39">
        <f>IF($DZ$39="",FALSE,SUMPRODUCT(('Final Calculation Sheet'!$X$4:$X$40=$DZ$39)*($JM$6:$JM$42=1))&gt;0)</f>
        <v/>
      </c>
      <c r="JO39">
        <f>$JO$38+--($JN39)</f>
        <v/>
      </c>
      <c r="JP39">
        <f>IF(ROW()-3&gt;MAX($JO$4:$JO$40),"",INDEX($DZ$4:$DZ$40,MATCH(ROW()-3,$JO$4:$JO$40,0)))</f>
        <v/>
      </c>
      <c r="JQ39">
        <f>IF(COUNTIF('Live Search'!BM$38:CK$38,0)+COUNTIF('Live Search'!CM$38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JR39">
        <f>IF($EE$39="",FALSE,SUMPRODUCT(('Final Calculation Sheet'!$Y$4:$Y$40=$EE$39)*($JQ$6:$JQ$42=1))&gt;0)</f>
        <v/>
      </c>
      <c r="JS39">
        <f>$JS$38+--($JR39)</f>
        <v/>
      </c>
      <c r="JT39">
        <f>IF(ROW()-3&gt;MAX($JS$4:$JS$40),"",INDEX($EE$4:$EE$40,MATCH(ROW()-3,$JS$4:$JS$40,0)))</f>
        <v/>
      </c>
      <c r="JU39">
        <f>IF(COUNTIF('Live Search'!BM$38:CL$38,0)+COUNTIF('Live Search'!CN$38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JV39">
        <f>IF($EJ$39="",FALSE,SUMPRODUCT(('Final Calculation Sheet'!$Z$4:$Z$40=$EJ$39)*($JU$6:$JU$42=1))&gt;0)</f>
        <v/>
      </c>
      <c r="JW39">
        <f>$JW$38+--($JV39)</f>
        <v/>
      </c>
      <c r="JX39">
        <f>IF(ROW()-3&gt;MAX($JW$4:$JW$40),"",INDEX($EJ$4:$EJ$40,MATCH(ROW()-3,$JW$4:$JW$40,0)))</f>
        <v/>
      </c>
      <c r="JY39">
        <f>IF(COUNTIF('Live Search'!BM$38:CM$38,0)+COUNTIF('Live Search'!CO$38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JZ39">
        <f>IF($EO$39="",FALSE,SUMPRODUCT(('Final Calculation Sheet'!$AA$4:$AA$40=$EO$39)*($JY$6:$JY$42=1))&gt;0)</f>
        <v/>
      </c>
      <c r="KA39">
        <f>$KA$38+--($JZ39)</f>
        <v/>
      </c>
      <c r="KB39">
        <f>IF(ROW()-3&gt;MAX($KA$4:$KA$40),"",INDEX($EO$4:$EO$40,MATCH(ROW()-3,$KA$4:$KA$40,0)))</f>
        <v/>
      </c>
      <c r="KC39">
        <f>IF(COUNTIF('Live Search'!BM$38:CN$38,0)+COUNTIF('Live Search'!CP$38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KD39">
        <f>IF($ET$39="",FALSE,SUMPRODUCT(('Final Calculation Sheet'!$AB$4:$AB$40=$ET$39)*($KC$6:$KC$42=1))&gt;0)</f>
        <v/>
      </c>
      <c r="KE39">
        <f>$KE$38+--($KD39)</f>
        <v/>
      </c>
      <c r="KF39">
        <f>IF(ROW()-3&gt;MAX($KE$4:$KE$40),"",INDEX($ET$4:$ET$40,MATCH(ROW()-3,$KE$4:$KE$40,0)))</f>
        <v/>
      </c>
      <c r="KG39">
        <f>IF(COUNTIF('Live Search'!BM$38:CO$38,0)+COUNTIF('Live Search'!CQ$38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KH39">
        <f>IF($EY$39="",FALSE,SUMPRODUCT(('Final Calculation Sheet'!$AC$4:$AC$40=$EY$39)*($KG$6:$KG$42=1))&gt;0)</f>
        <v/>
      </c>
      <c r="KI39">
        <f>$KI$38+--($KH39)</f>
        <v/>
      </c>
      <c r="KJ39">
        <f>IF(ROW()-3&gt;MAX($KI$4:$KI$40),"",INDEX($EY$4:$EY$40,MATCH(ROW()-3,$KI$4:$KI$40,0)))</f>
        <v/>
      </c>
      <c r="KK39">
        <f>IF(COUNTIF('Live Search'!BM$38:CP$38,0)+COUNTIF('Live Search'!CR$38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KL39">
        <f>IF($FD$39="",FALSE,SUMPRODUCT(('Final Calculation Sheet'!$AD$4:$AD$40=$FD$39)*($KK$6:$KK$42=1))&gt;0)</f>
        <v/>
      </c>
      <c r="KM39">
        <f>$KM$38+--($KL39)</f>
        <v/>
      </c>
      <c r="KN39">
        <f>IF(ROW()-3&gt;MAX($KM$4:$KM$40),"",INDEX($FD$4:$FD$40,MATCH(ROW()-3,$KM$4:$KM$40,0)))</f>
        <v/>
      </c>
      <c r="KO39">
        <f>IF(COUNTIF('Live Search'!BM$38:CT$38,0)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KP39">
        <f>IF($FX$39="",FALSE,SUMPRODUCT((IF('Final Calculation Sheet'!$AD$4:$AD$40&lt;=5,"SETTLED","OUTSTANDING")=$FX$39)*($KO$6:$KO$42=1))&gt;0)</f>
        <v/>
      </c>
      <c r="KQ39">
        <f>$KQ$38+--($KP39)</f>
        <v/>
      </c>
      <c r="KR39">
        <f>IF(ROW()-3&gt;MAX($KQ$4:$KQ$40),"",INDEX($FX$4:$FX$40,MATCH(ROW()-3,$KQ$4:$KQ$40,0)))</f>
        <v/>
      </c>
      <c r="KS39">
        <f>IF(COUNTIF('Live Search'!BM$38:CQ$38,0)+COUNTIF('Live Search'!CS$38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KT39">
        <f>IF($FI$39="",FALSE,SUMPRODUCT(('Final Calculation Sheet'!$AF$4:$AF$40=$FI$39)*($KS$6:$KS$42=1))&gt;0)</f>
        <v/>
      </c>
      <c r="KU39">
        <f>$KU$38+--($KT39)</f>
        <v/>
      </c>
      <c r="KV39">
        <f>IF(ROW()-3&gt;MAX($KU$4:$KU$40),"",INDEX($FI$4:$FI$40,MATCH(ROW()-3,$KU$4:$KU$40,0)))</f>
        <v/>
      </c>
      <c r="KW39">
        <f>IF(COUNTIF('Live Search'!BM$38:CR$38,0)+COUNTIF('Live Search'!CT$38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KX39">
        <f>IF($FN$39="",FALSE,SUMPRODUCT(('Final Calculation Sheet'!$AG$4:$AG$40=$FN$39)*($KW$6:$KW$42=1))&gt;0)</f>
        <v/>
      </c>
      <c r="KY39">
        <f>$KY$38+--($KX39)</f>
        <v/>
      </c>
      <c r="KZ39">
        <f>IF(ROW()-3&gt;MAX($KY$4:$KY$40),"",INDEX($FN$4:$FN$40,MATCH(ROW()-3,$KY$4:$KY$40,0)))</f>
        <v/>
      </c>
      <c r="LA39">
        <f>IF(COUNTIF('Live Search'!BM$38:CS$38,0)+COUNTIF('Live Search'!CU$38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LB39">
        <f>IF($FS$39="",FALSE,SUMPRODUCT(('Final Calculation Sheet'!$AH$4:$AH$40=$FS$39)*($LA$6:$LA$42=1))&gt;0)</f>
        <v/>
      </c>
      <c r="LC39">
        <f>$LC$38+--($LB39)</f>
        <v/>
      </c>
      <c r="LD39">
        <f>IF(ROW()-3&gt;MAX($LC$4:$LC$40),"",INDEX($FS$4:$FS$40,MATCH(ROW()-3,$LC$4:$LC$40,0)))</f>
        <v/>
      </c>
      <c r="LE39">
        <f>IF(COUNTIF('Buyer Groups'!DH92:EN92,0)&gt;0,0,1)</f>
        <v/>
      </c>
      <c r="LF39">
        <f>IF($O$39="",FALSE,SUMPRODUCT(('Final Calculation Sheet'!$F$4:$F$40=$O$39)*($LE$6:$LE$42=1))&gt;0)</f>
        <v/>
      </c>
      <c r="LG39">
        <f>$LG$38+--($LF39)</f>
        <v/>
      </c>
      <c r="LH39">
        <f>IF(ROW()-3&gt;MAX($LG$4:$LG$40),"",INDEX($O$4:$O$40,MATCH(ROW()-3,$LG$4:$LG$40,0)))</f>
        <v/>
      </c>
      <c r="LI39">
        <f>IF(COUNTIF('Buyer Groups'!DG92:DG92,0)+COUNTIF('Buyer Groups'!DI92:EN92,0)&gt;0,0,1)</f>
        <v/>
      </c>
      <c r="LJ39">
        <f>IF($T$39="",FALSE,SUMPRODUCT(('Final Calculation Sheet'!$G$4:$G$40=$T$39)*($LI$6:$LI$42=1))&gt;0)</f>
        <v/>
      </c>
      <c r="LK39">
        <f>$LK$38+--($LJ39)</f>
        <v/>
      </c>
      <c r="LL39">
        <f>IF(ROW()-3&gt;MAX($LK$4:$LK$40),"",INDEX($T$4:$T$40,MATCH(ROW()-3,$LK$4:$LK$40,0)))</f>
        <v/>
      </c>
      <c r="LM39">
        <f>IF(COUNTIF('Buyer Groups'!DG92:DH92,0)+COUNTIF('Buyer Groups'!DJ92:EN92,0)&gt;0,0,1)</f>
        <v/>
      </c>
      <c r="LN39">
        <f>IF($Y$39="",FALSE,SUMPRODUCT(('Final Calculation Sheet'!$B$4:$B$40=$Y$39)*($LM$6:$LM$42=1))&gt;0)</f>
        <v/>
      </c>
      <c r="LO39">
        <f>$LO$38+--($LN39)</f>
        <v/>
      </c>
      <c r="LP39">
        <f>IF(ROW()-3&gt;MAX($LO$4:$LO$40),"",INDEX($Y$4:$Y$40,MATCH(ROW()-3,$LO$4:$LO$40,0)))</f>
        <v/>
      </c>
      <c r="LQ39">
        <f>IF(COUNTIF('Buyer Groups'!DG92:DI92,0)+COUNTIF('Buyer Groups'!DK92:EN92,0)&gt;0,0,1)</f>
        <v/>
      </c>
      <c r="LR39">
        <f>IF($AD$39="",FALSE,SUMPRODUCT(('Final Calculation Sheet'!$D$4:$D$40=$AD$39)*($LQ$6:$LQ$42=1))&gt;0)</f>
        <v/>
      </c>
      <c r="LS39">
        <f>$LS$38+--($LR39)</f>
        <v/>
      </c>
      <c r="LT39">
        <f>IF(ROW()-3&gt;MAX($LS$4:$LS$40),"",INDEX($AD$4:$AD$40,MATCH(ROW()-3,$LS$4:$LS$40,0)))</f>
        <v/>
      </c>
      <c r="LU39">
        <f>IF(COUNTIF('Buyer Groups'!DG92:DJ92,0)+COUNTIF('Buyer Groups'!DL92:EN92,0)&gt;0,0,1)</f>
        <v/>
      </c>
      <c r="LV39">
        <f>IF($AI$39="",FALSE,SUMPRODUCT(('Final Calculation Sheet'!$A$4:$A$40=$AI$39)*($LU$6:$LU$42=1))&gt;0)</f>
        <v/>
      </c>
      <c r="LW39">
        <f>$LW$38+--($LV39)</f>
        <v/>
      </c>
      <c r="LX39">
        <f>IF(ROW()-3&gt;MAX($LW$4:$LW$40),"",INDEX($AI$4:$AI$40,MATCH(ROW()-3,$LW$4:$LW$40,0)))</f>
        <v/>
      </c>
      <c r="LY39">
        <f>IF(COUNTIF('Buyer Groups'!DG92:DK92,0)+COUNTIF('Buyer Groups'!DM92:EN92,0)&gt;0,0,1)</f>
        <v/>
      </c>
      <c r="LZ39">
        <f>IF($AN$39="",FALSE,SUMPRODUCT(('Final Calculation Sheet'!$E$4:$E$40=$AN$39)*($LY$6:$LY$42=1))&gt;0)</f>
        <v/>
      </c>
      <c r="MA39">
        <f>$MA$38+--($LZ39)</f>
        <v/>
      </c>
      <c r="MB39">
        <f>IF(ROW()-3&gt;MAX($MA$4:$MA$40),"",INDEX($AN$4:$AN$40,MATCH(ROW()-3,$MA$4:$MA$40,0)))</f>
        <v/>
      </c>
      <c r="MC39">
        <f>IF(COUNTIF('Buyer Groups'!DG92:DL92,0)+COUNTIF('Buyer Groups'!DN92:EN92,0)&gt;0,0,1)</f>
        <v/>
      </c>
      <c r="MD39">
        <f>IF($AS$39="",FALSE,SUMPRODUCT(('Final Calculation Sheet'!$C$4:$C$40=$AS$39)*($MC$6:$MC$42=1))&gt;0)</f>
        <v/>
      </c>
      <c r="ME39">
        <f>$ME$38+--($MD39)</f>
        <v/>
      </c>
      <c r="MF39">
        <f>IF(ROW()-3&gt;MAX($ME$4:$ME$40),"",INDEX($AS$4:$AS$40,MATCH(ROW()-3,$ME$4:$ME$40,0)))</f>
        <v/>
      </c>
      <c r="MG39">
        <f>IF(COUNTIF('Buyer Groups'!DG92:DM92,0)+COUNTIF('Buyer Groups'!DO92:EN92,0)&gt;0,0,1)</f>
        <v/>
      </c>
      <c r="MH39">
        <f>IF($AX$39="",FALSE,SUMPRODUCT(('Final Calculation Sheet'!$H$4:$H$40=$AX$39)*($MG$6:$MG$42=1))&gt;0)</f>
        <v/>
      </c>
      <c r="MI39">
        <f>$MI$38+--($MH39)</f>
        <v/>
      </c>
      <c r="MJ39">
        <f>IF(ROW()-3&gt;MAX($MI$4:$MI$40),"",INDEX($AX$4:$AX$40,MATCH(ROW()-3,$MI$4:$MI$40,0)))</f>
        <v/>
      </c>
      <c r="MK39">
        <f>IF(COUNTIF('Buyer Groups'!DG92:DN92,0)+COUNTIF('Buyer Groups'!DP92:EN92,0)&gt;0,0,1)</f>
        <v/>
      </c>
      <c r="ML39">
        <f>IF($BC$39="",FALSE,SUMPRODUCT(('Final Calculation Sheet'!$I$4:$I$40=$BC$39)*($MK$6:$MK$42=1))&gt;0)</f>
        <v/>
      </c>
      <c r="MM39">
        <f>$MM$38+--($ML39)</f>
        <v/>
      </c>
      <c r="MN39">
        <f>IF(ROW()-3&gt;MAX($MM$4:$MM$40),"",INDEX($BC$4:$BC$40,MATCH(ROW()-3,$MM$4:$MM$40,0)))</f>
        <v/>
      </c>
      <c r="MO39">
        <f>IF(COUNTIF('Buyer Groups'!DG92:DO92,0)+COUNTIF('Buyer Groups'!DQ92:EN92,0)&gt;0,0,1)</f>
        <v/>
      </c>
      <c r="MP39">
        <f>IF($BH$39="",FALSE,SUMPRODUCT(('Final Calculation Sheet'!$J$4:$J$40=$BH$39)*($MO$6:$MO$42=1))&gt;0)</f>
        <v/>
      </c>
      <c r="MQ39">
        <f>$MQ$38+--($MP39)</f>
        <v/>
      </c>
      <c r="MR39">
        <f>IF(ROW()-3&gt;MAX($MQ$4:$MQ$40),"",INDEX($BH$4:$BH$40,MATCH(ROW()-3,$MQ$4:$MQ$40,0)))</f>
        <v/>
      </c>
      <c r="MS39">
        <f>IF(COUNTIF('Buyer Groups'!DG92:DP92,0)+COUNTIF('Buyer Groups'!DR92:EN92,0)&gt;0,0,1)</f>
        <v/>
      </c>
      <c r="MT39">
        <f>IF($BM$39="",FALSE,SUMPRODUCT(('Final Calculation Sheet'!$K$4:$K$40=$BM$39)*($MS$6:$MS$42=1))&gt;0)</f>
        <v/>
      </c>
      <c r="MU39">
        <f>$MU$38+--($MT39)</f>
        <v/>
      </c>
      <c r="MV39">
        <f>IF(ROW()-3&gt;MAX($MU$4:$MU$40),"",INDEX($BM$4:$BM$40,MATCH(ROW()-3,$MU$4:$MU$40,0)))</f>
        <v/>
      </c>
      <c r="MW39">
        <f>IF(COUNTIF('Buyer Groups'!DG92:DQ92,0)+COUNTIF('Buyer Groups'!DS92:EN92,0)&gt;0,0,1)</f>
        <v/>
      </c>
      <c r="MX39">
        <f>IF($BR$39="",FALSE,SUMPRODUCT(('Final Calculation Sheet'!$L$4:$L$40=$BR$39)*($MW$6:$MW$42=1))&gt;0)</f>
        <v/>
      </c>
      <c r="MY39">
        <f>$MY$38+--($MX39)</f>
        <v/>
      </c>
      <c r="MZ39">
        <f>IF(ROW()-3&gt;MAX($MY$4:$MY$40),"",INDEX($BR$4:$BR$40,MATCH(ROW()-3,$MY$4:$MY$40,0)))</f>
        <v/>
      </c>
      <c r="NA39">
        <f>IF(COUNTIF('Buyer Groups'!DG92:DR92,0)+COUNTIF('Buyer Groups'!DT92:EN92,0)&gt;0,0,1)</f>
        <v/>
      </c>
      <c r="NB39">
        <f>IF($BW$39="",FALSE,SUMPRODUCT(('Final Calculation Sheet'!$M$4:$M$40=$BW$39)*($NA$6:$NA$42=1))&gt;0)</f>
        <v/>
      </c>
      <c r="NC39">
        <f>$NC$38+--($NB39)</f>
        <v/>
      </c>
      <c r="ND39">
        <f>IF(ROW()-3&gt;MAX($NC$4:$NC$40),"",INDEX($BW$4:$BW$40,MATCH(ROW()-3,$NC$4:$NC$40,0)))</f>
        <v/>
      </c>
      <c r="NE39">
        <f>IF(COUNTIF('Buyer Groups'!DG92:DS92,0)+COUNTIF('Buyer Groups'!DU92:EN92,0)&gt;0,0,1)</f>
        <v/>
      </c>
      <c r="NF39">
        <f>IF($CB$39="",FALSE,SUMPRODUCT(('Final Calculation Sheet'!$N$4:$N$40=$CB$39)*($NE$6:$NE$42=1))&gt;0)</f>
        <v/>
      </c>
      <c r="NG39">
        <f>$NG$38+--($NF39)</f>
        <v/>
      </c>
      <c r="NH39">
        <f>IF(ROW()-3&gt;MAX($NG$4:$NG$40),"",INDEX($CB$4:$CB$40,MATCH(ROW()-3,$NG$4:$NG$40,0)))</f>
        <v/>
      </c>
      <c r="NI39">
        <f>IF(COUNTIF('Buyer Groups'!DG92:DT92,0)+COUNTIF('Buyer Groups'!DV92:EN92,0)&gt;0,0,1)</f>
        <v/>
      </c>
      <c r="NJ39">
        <f>IF($CG$39="",FALSE,SUMPRODUCT(('Final Calculation Sheet'!$O$4:$O$40=$CG$39)*($NI$6:$NI$42=1))&gt;0)</f>
        <v/>
      </c>
      <c r="NK39">
        <f>$NK$38+--($NJ39)</f>
        <v/>
      </c>
      <c r="NL39">
        <f>IF(ROW()-3&gt;MAX($NK$4:$NK$40),"",INDEX($CG$4:$CG$40,MATCH(ROW()-3,$NK$4:$NK$40,0)))</f>
        <v/>
      </c>
      <c r="NM39">
        <f>IF(COUNTIF('Buyer Groups'!DG92:DU92,0)+COUNTIF('Buyer Groups'!DW92:EN92,0)&gt;0,0,1)</f>
        <v/>
      </c>
      <c r="NN39">
        <f>IF($CL$39="",FALSE,SUMPRODUCT(('Final Calculation Sheet'!$P$4:$P$40=$CL$39)*($NM$6:$NM$42=1))&gt;0)</f>
        <v/>
      </c>
      <c r="NO39">
        <f>$NO$38+--($NN39)</f>
        <v/>
      </c>
      <c r="NP39">
        <f>IF(ROW()-3&gt;MAX($NO$4:$NO$40),"",INDEX($CL$4:$CL$40,MATCH(ROW()-3,$NO$4:$NO$40,0)))</f>
        <v/>
      </c>
      <c r="NQ39">
        <f>IF(COUNTIF('Buyer Groups'!DG92:DV92,0)+COUNTIF('Buyer Groups'!DX92:EN92,0)&gt;0,0,1)</f>
        <v/>
      </c>
      <c r="NR39">
        <f>IF($CQ$39="",FALSE,SUMPRODUCT(('Final Calculation Sheet'!$Q$4:$Q$40=$CQ$39)*($NQ$6:$NQ$42=1))&gt;0)</f>
        <v/>
      </c>
      <c r="NS39">
        <f>$NS$38+--($NR39)</f>
        <v/>
      </c>
      <c r="NT39">
        <f>IF(ROW()-3&gt;MAX($NS$4:$NS$40),"",INDEX($CQ$4:$CQ$40,MATCH(ROW()-3,$NS$4:$NS$40,0)))</f>
        <v/>
      </c>
      <c r="NU39">
        <f>IF(COUNTIF('Buyer Groups'!DG92:DW92,0)+COUNTIF('Buyer Groups'!DY92:EN92,0)&gt;0,0,1)</f>
        <v/>
      </c>
      <c r="NV39">
        <f>IF($CV$39="",FALSE,SUMPRODUCT(('Final Calculation Sheet'!$R$4:$R$40=$CV$39)*($NU$6:$NU$42=1))&gt;0)</f>
        <v/>
      </c>
      <c r="NW39">
        <f>$NW$38+--($NV39)</f>
        <v/>
      </c>
      <c r="NX39">
        <f>IF(ROW()-3&gt;MAX($NW$4:$NW$40),"",INDEX($CV$4:$CV$40,MATCH(ROW()-3,$NW$4:$NW$40,0)))</f>
        <v/>
      </c>
      <c r="NY39">
        <f>IF(COUNTIF('Buyer Groups'!DG92:DX92,0)+COUNTIF('Buyer Groups'!DZ92:EN92,0)&gt;0,0,1)</f>
        <v/>
      </c>
      <c r="NZ39">
        <f>IF($DA$39="",FALSE,SUMPRODUCT(('Final Calculation Sheet'!$S$4:$S$40=$DA$39)*($NY$6:$NY$42=1))&gt;0)</f>
        <v/>
      </c>
      <c r="OA39">
        <f>$OA$38+--($NZ39)</f>
        <v/>
      </c>
      <c r="OB39">
        <f>IF(ROW()-3&gt;MAX($OA$4:$OA$40),"",INDEX($DA$4:$DA$40,MATCH(ROW()-3,$OA$4:$OA$40,0)))</f>
        <v/>
      </c>
      <c r="OC39">
        <f>IF(COUNTIF('Buyer Groups'!DG92:DY92,0)+COUNTIF('Buyer Groups'!EA92:EN92,0)&gt;0,0,1)</f>
        <v/>
      </c>
      <c r="OD39">
        <f>IF($DF$39="",FALSE,SUMPRODUCT(('Final Calculation Sheet'!$T$4:$T$40=$DF$39)*($OC$6:$OC$42=1))&gt;0)</f>
        <v/>
      </c>
      <c r="OE39">
        <f>$OE$38+--($OD39)</f>
        <v/>
      </c>
      <c r="OF39">
        <f>IF(ROW()-3&gt;MAX($OE$4:$OE$40),"",INDEX($DF$4:$DF$40,MATCH(ROW()-3,$OE$4:$OE$40,0)))</f>
        <v/>
      </c>
      <c r="OG39">
        <f>IF(COUNTIF('Buyer Groups'!DG92:DZ92,0)+COUNTIF('Buyer Groups'!EB92:EN92,0)&gt;0,0,1)</f>
        <v/>
      </c>
      <c r="OH39">
        <f>IF($DK$39="",FALSE,SUMPRODUCT(('Final Calculation Sheet'!$U$4:$U$40=$DK$39)*($OG$6:$OG$42=1))&gt;0)</f>
        <v/>
      </c>
      <c r="OI39">
        <f>$OI$38+--($OH39)</f>
        <v/>
      </c>
      <c r="OJ39">
        <f>IF(ROW()-3&gt;MAX($OI$4:$OI$40),"",INDEX($DK$4:$DK$40,MATCH(ROW()-3,$OI$4:$OI$40,0)))</f>
        <v/>
      </c>
      <c r="OK39">
        <f>IF(COUNTIF('Buyer Groups'!DG92:EA92,0)+COUNTIF('Buyer Groups'!EC92:EN92,0)&gt;0,0,1)</f>
        <v/>
      </c>
      <c r="OL39">
        <f>IF($DP$39="",FALSE,SUMPRODUCT(('Final Calculation Sheet'!$V$4:$V$40=$DP$39)*($OK$6:$OK$42=1))&gt;0)</f>
        <v/>
      </c>
      <c r="OM39">
        <f>$OM$38+--($OL39)</f>
        <v/>
      </c>
      <c r="ON39">
        <f>IF(ROW()-3&gt;MAX($OM$4:$OM$40),"",INDEX($DP$4:$DP$40,MATCH(ROW()-3,$OM$4:$OM$40,0)))</f>
        <v/>
      </c>
      <c r="OO39">
        <f>IF(COUNTIF('Buyer Groups'!DG92:EB92,0)+COUNTIF('Buyer Groups'!ED92:EN92,0)&gt;0,0,1)</f>
        <v/>
      </c>
      <c r="OP39">
        <f>IF($DU$39="",FALSE,SUMPRODUCT(('Final Calculation Sheet'!$W$4:$W$40=$DU$39)*($OO$6:$OO$42=1))&gt;0)</f>
        <v/>
      </c>
      <c r="OQ39">
        <f>$OQ$38+--($OP39)</f>
        <v/>
      </c>
      <c r="OR39">
        <f>IF(ROW()-3&gt;MAX($OQ$4:$OQ$40),"",INDEX($DU$4:$DU$40,MATCH(ROW()-3,$OQ$4:$OQ$40,0)))</f>
        <v/>
      </c>
      <c r="OS39">
        <f>IF(COUNTIF('Buyer Groups'!DG92:EC92,0)+COUNTIF('Buyer Groups'!EE92:EN92,0)&gt;0,0,1)</f>
        <v/>
      </c>
      <c r="OT39">
        <f>IF($DZ$39="",FALSE,SUMPRODUCT(('Final Calculation Sheet'!$X$4:$X$40=$DZ$39)*($OS$6:$OS$42=1))&gt;0)</f>
        <v/>
      </c>
      <c r="OU39">
        <f>$OU$38+--($OT39)</f>
        <v/>
      </c>
      <c r="OV39">
        <f>IF(ROW()-3&gt;MAX($OU$4:$OU$40),"",INDEX($DZ$4:$DZ$40,MATCH(ROW()-3,$OU$4:$OU$40,0)))</f>
        <v/>
      </c>
      <c r="OW39">
        <f>IF(COUNTIF('Buyer Groups'!DG92:ED92,0)+COUNTIF('Buyer Groups'!EF92:EN92,0)&gt;0,0,1)</f>
        <v/>
      </c>
      <c r="OX39">
        <f>IF($EE$39="",FALSE,SUMPRODUCT(('Final Calculation Sheet'!$Y$4:$Y$40=$EE$39)*($OW$6:$OW$42=1))&gt;0)</f>
        <v/>
      </c>
      <c r="OY39">
        <f>$OY$38+--($OX39)</f>
        <v/>
      </c>
      <c r="OZ39">
        <f>IF(ROW()-3&gt;MAX($OY$4:$OY$40),"",INDEX($EE$4:$EE$40,MATCH(ROW()-3,$OY$4:$OY$40,0)))</f>
        <v/>
      </c>
      <c r="PA39">
        <f>IF(COUNTIF('Buyer Groups'!DG92:EE92,0)+COUNTIF('Buyer Groups'!EG92:EN92,0)&gt;0,0,1)</f>
        <v/>
      </c>
      <c r="PB39">
        <f>IF($EJ$39="",FALSE,SUMPRODUCT(('Final Calculation Sheet'!$Z$4:$Z$40=$EJ$39)*($PA$6:$PA$42=1))&gt;0)</f>
        <v/>
      </c>
      <c r="PC39">
        <f>$PC$38+--($PB39)</f>
        <v/>
      </c>
      <c r="PD39">
        <f>IF(ROW()-3&gt;MAX($PC$4:$PC$40),"",INDEX($EJ$4:$EJ$40,MATCH(ROW()-3,$PC$4:$PC$40,0)))</f>
        <v/>
      </c>
      <c r="PE39">
        <f>IF(COUNTIF('Buyer Groups'!DG92:EF92,0)+COUNTIF('Buyer Groups'!EH92:EN92,0)&gt;0,0,1)</f>
        <v/>
      </c>
      <c r="PF39">
        <f>IF($EO$39="",FALSE,SUMPRODUCT(('Final Calculation Sheet'!$AA$4:$AA$40=$EO$39)*($PE$6:$PE$42=1))&gt;0)</f>
        <v/>
      </c>
      <c r="PG39">
        <f>$PG$38+--($PF39)</f>
        <v/>
      </c>
      <c r="PH39">
        <f>IF(ROW()-3&gt;MAX($PG$4:$PG$40),"",INDEX($EO$4:$EO$40,MATCH(ROW()-3,$PG$4:$PG$40,0)))</f>
        <v/>
      </c>
      <c r="PI39">
        <f>IF(COUNTIF('Buyer Groups'!DG92:EG92,0)+COUNTIF('Buyer Groups'!EI92:EN92,0)&gt;0,0,1)</f>
        <v/>
      </c>
      <c r="PJ39">
        <f>IF($ET$39="",FALSE,SUMPRODUCT(('Final Calculation Sheet'!$AB$4:$AB$40=$ET$39)*($PI$6:$PI$42=1))&gt;0)</f>
        <v/>
      </c>
      <c r="PK39">
        <f>$PK$38+--($PJ39)</f>
        <v/>
      </c>
      <c r="PL39">
        <f>IF(ROW()-3&gt;MAX($PK$4:$PK$40),"",INDEX($ET$4:$ET$40,MATCH(ROW()-3,$PK$4:$PK$40,0)))</f>
        <v/>
      </c>
      <c r="PM39">
        <f>IF(COUNTIF('Buyer Groups'!DG92:EH92,0)+COUNTIF('Buyer Groups'!EJ92:EN92,0)&gt;0,0,1)</f>
        <v/>
      </c>
      <c r="PN39">
        <f>IF($EY$39="",FALSE,SUMPRODUCT(('Final Calculation Sheet'!$AC$4:$AC$40=$EY$39)*($PM$6:$PM$42=1))&gt;0)</f>
        <v/>
      </c>
      <c r="PO39">
        <f>$PO$38+--($PN39)</f>
        <v/>
      </c>
      <c r="PP39">
        <f>IF(ROW()-3&gt;MAX($PO$4:$PO$40),"",INDEX($EY$4:$EY$40,MATCH(ROW()-3,$PO$4:$PO$40,0)))</f>
        <v/>
      </c>
      <c r="PQ39">
        <f>IF(COUNTIF('Buyer Groups'!DG92:EI92,0)+COUNTIF('Buyer Groups'!EK92:EN92,0)&gt;0,0,1)</f>
        <v/>
      </c>
      <c r="PR39">
        <f>IF($FD$39="",FALSE,SUMPRODUCT(('Final Calculation Sheet'!$AD$4:$AD$40=$FD$39)*($PQ$6:$PQ$42=1))&gt;0)</f>
        <v/>
      </c>
      <c r="PS39">
        <f>$PS$38+--($PR39)</f>
        <v/>
      </c>
      <c r="PT39">
        <f>IF(ROW()-3&gt;MAX($PS$4:$PS$40),"",INDEX($FD$4:$FD$40,MATCH(ROW()-3,$PS$4:$PS$40,0)))</f>
        <v/>
      </c>
      <c r="PU39">
        <f>IF(COUNTIF('Buyer Groups'!DG92:EJ92,0)+COUNTIF('Buyer Groups'!EL92:EN92,0)&gt;0,0,1)</f>
        <v/>
      </c>
      <c r="PV39">
        <f>IF($FX$39="",FALSE,SUMPRODUCT((IF('Final Calculation Sheet'!$AD$4:$AD$40&lt;=5,"SETTLED","OUTSTANDING")=$FX$39)*($PU$6:$PU$42=1))&gt;0)</f>
        <v/>
      </c>
      <c r="PW39">
        <f>$PW$38+--($PV39)</f>
        <v/>
      </c>
      <c r="PX39">
        <f>IF(ROW()-3&gt;MAX($PW$4:$PW$40),"",INDEX($FX$4:$FX$40,MATCH(ROW()-3,$PW$4:$PW$40,0)))</f>
        <v/>
      </c>
      <c r="PY39">
        <f>IF(COUNTIF('Buyer Groups'!DG92:EK92,0)+COUNTIF('Buyer Groups'!EM92:EN92,0)&gt;0,0,1)</f>
        <v/>
      </c>
      <c r="PZ39">
        <f>IF($FI$39="",FALSE,SUMPRODUCT(('Final Calculation Sheet'!$AF$4:$AF$40=$FI$39)*($PY$6:$PY$42=1))&gt;0)</f>
        <v/>
      </c>
      <c r="QA39">
        <f>$QA$38+--($PZ39)</f>
        <v/>
      </c>
      <c r="QB39">
        <f>IF(ROW()-3&gt;MAX($QA$4:$QA$40),"",INDEX($FI$4:$FI$40,MATCH(ROW()-3,$QA$4:$QA$40,0)))</f>
        <v/>
      </c>
      <c r="QC39">
        <f>IF(COUNTIF('Buyer Groups'!DG92:EL92,0)+COUNTIF('Buyer Groups'!EN92:EN92,0)&gt;0,0,1)</f>
        <v/>
      </c>
      <c r="QD39">
        <f>IF($FN$39="",FALSE,SUMPRODUCT(('Final Calculation Sheet'!$AG$4:$AG$40=$FN$39)*($QC$6:$QC$42=1))&gt;0)</f>
        <v/>
      </c>
      <c r="QE39">
        <f>$QE$38+--($QD39)</f>
        <v/>
      </c>
      <c r="QF39">
        <f>IF(ROW()-3&gt;MAX($QE$4:$QE$40),"",INDEX($FN$4:$FN$40,MATCH(ROW()-3,$QE$4:$QE$40,0)))</f>
        <v/>
      </c>
      <c r="QG39">
        <f>IF(COUNTIF('Buyer Groups'!DG92:EM92,0)&gt;0,0,1)</f>
        <v/>
      </c>
      <c r="QH39">
        <f>IF($FS$39="",FALSE,SUMPRODUCT(('Final Calculation Sheet'!$AH$4:$AH$40=$FS$39)*($QG$6:$QG$42=1))&gt;0)</f>
        <v/>
      </c>
      <c r="QI39">
        <f>$QI$38+--($QH39)</f>
        <v/>
      </c>
      <c r="QJ39">
        <f>IF(ROW()-3&gt;MAX($QI$4:$QI$40),"",INDEX($FS$4:$FS$40,MATCH(ROW()-3,$QI$4:$QI$40,0)))</f>
        <v/>
      </c>
      <c r="QK39" t="str">
        <f>IF('Final Calculation Sheet'!$AH$39="","",'Final Calculation Sheet'!$AH$39)</f>
      </c>
      <c r="QL39" t="str">
        <f>IF(QK39="","",COUNTIFS(QK$4:QK$40,"&lt;"&amp;QK39,QK$4:QK$40,"&lt;&gt;"&amp;"")+COUNTIF(QK$4:QK39,QK39))</f>
      </c>
      <c r="QM39" t="str">
        <f>IF(ROW()-3&gt;COUNTIF(QK$4:QK$40,"&lt;&gt;"&amp;""),"",INDEX(QK$4:QK$40,MATCH(ROW()-3,QL$4:QL$40,0)))</f>
      </c>
      <c r="QN39" t="str">
        <f>=QN38+F(AND(QM39&lt;&gt;"",COUNTIF(QM$4:QM39,QM39)=1),1,0)</f>
      </c>
      <c r="QO39" t="str">
        <f>IF(ROW()-3&gt;MAX(QN$4:QN$40),"",INDEX(QM$4:QM$40,MATCH(ROW()-3,QN$4:QN$40,0)))</f>
      </c>
      <c r="QP39" t="str">
        <f>IF(COUNTIF('Final Calculation Sheet'!$AM39:$BS39,0)&gt;0,0,1)</f>
      </c>
      <c r="QQ39" t="str">
        <f>IF($AI$39="",FALSE,SUMPRODUCT(('Final Calculation Sheet'!$A$4:$A$40=$AI$39)*($QP$4:$QP$40=1))&gt;0)</f>
      </c>
      <c r="QR39" t="str">
        <f>=$QR38+--($QQ39)</f>
      </c>
      <c r="QS39" t="str">
        <f>IF(ROW()-3&gt;MAX($QR$4:$QR$40),"",INDEX($AI$4:$AI$40,MATCH(ROW()-3,$QR$4:$QR$40,0)))</f>
      </c>
      <c r="QT39" t="str">
        <f>IF(COUNTIF('Final Calculation Sheet'!$AL39:$AL39,0)+COUNTIF('Final Calculation Sheet'!$AN39:$BS39,0)&gt;0,0,1)</f>
      </c>
      <c r="QU39" t="str">
        <f>IF($Y$39="",FALSE,SUMPRODUCT(('Final Calculation Sheet'!$B$4:$B$40=$Y$39)*($QT$4:$QT$40=1))&gt;0)</f>
      </c>
      <c r="QV39" t="str">
        <f>=$QV38+--($QU39)</f>
      </c>
      <c r="QW39" t="str">
        <f>IF(ROW()-3&gt;MAX($QV$4:$QV$40),"",INDEX($Y$4:$Y$40,MATCH(ROW()-3,$QV$4:$QV$40,0)))</f>
      </c>
      <c r="QX39" t="str">
        <f>IF(COUNTIF('Final Calculation Sheet'!$AL39:$AM39,0)+COUNTIF('Final Calculation Sheet'!$AO39:$BS39,0)&gt;0,0,1)</f>
      </c>
      <c r="QY39" t="str">
        <f>IF($AS$39="",FALSE,SUMPRODUCT(('Final Calculation Sheet'!$C$4:$C$40=$AS$39)*($QX$4:$QX$40=1))&gt;0)</f>
      </c>
      <c r="QZ39" t="str">
        <f>=$QZ38+--($QY39)</f>
      </c>
      <c r="RA39" t="str">
        <f>IF(ROW()-3&gt;MAX($QZ$4:$QZ$40),"",INDEX($AS$4:$AS$40,MATCH(ROW()-3,$QZ$4:$QZ$40,0)))</f>
      </c>
      <c r="RB39" t="str">
        <f>IF(COUNTIF('Final Calculation Sheet'!$AL39:$AN39,0)+COUNTIF('Final Calculation Sheet'!$AP39:$BS39,0)&gt;0,0,1)</f>
      </c>
      <c r="RC39" t="str">
        <f>IF($AD$39="",FALSE,SUMPRODUCT(('Final Calculation Sheet'!$D$4:$D$40=$AD$39)*($RB$4:$RB$40=1))&gt;0)</f>
      </c>
      <c r="RD39" t="str">
        <f>=$RD38+--($RC39)</f>
      </c>
      <c r="RE39" t="str">
        <f>IF(ROW()-3&gt;MAX($RD$4:$RD$40),"",INDEX($AD$4:$AD$40,MATCH(ROW()-3,$RD$4:$RD$40,0)))</f>
      </c>
      <c r="RF39" t="str">
        <f>IF(COUNTIF('Final Calculation Sheet'!$AL39:$AO39,0)+COUNTIF('Final Calculation Sheet'!$AQ39:$BS39,0)&gt;0,0,1)</f>
      </c>
      <c r="RG39" t="str">
        <f>IF($AN$39="",FALSE,SUMPRODUCT(('Final Calculation Sheet'!$E$4:$E$40=$AN$39)*($RF$4:$RF$40=1))&gt;0)</f>
      </c>
      <c r="RH39" t="str">
        <f>=$RH38+--($RG39)</f>
      </c>
      <c r="RI39" t="str">
        <f>IF(ROW()-3&gt;MAX($RH$4:$RH$40),"",INDEX($AN$4:$AN$40,MATCH(ROW()-3,$RH$4:$RH$40,0)))</f>
      </c>
      <c r="RJ39" t="str">
        <f>IF(COUNTIF('Final Calculation Sheet'!$AL39:$AP39,0)+COUNTIF('Final Calculation Sheet'!$AR39:$BS39,0)&gt;0,0,1)</f>
      </c>
      <c r="RK39" t="str">
        <f>IF($O$39="",FALSE,SUMPRODUCT(('Final Calculation Sheet'!$F$4:$F$40=$O$39)*($RJ$4:$RJ$40=1))&gt;0)</f>
      </c>
      <c r="RL39" t="str">
        <f>=$RL38+--($RK39)</f>
      </c>
      <c r="RM39" t="str">
        <f>IF(ROW()-3&gt;MAX($RL$4:$RL$40),"",INDEX($O$4:$O$40,MATCH(ROW()-3,$RL$4:$RL$40,0)))</f>
      </c>
      <c r="RN39" t="str">
        <f>IF(COUNTIF('Final Calculation Sheet'!$AL39:$AQ39,0)+COUNTIF('Final Calculation Sheet'!$AS39:$BS39,0)&gt;0,0,1)</f>
      </c>
      <c r="RO39" t="str">
        <f>IF($T$39="",FALSE,SUMPRODUCT(('Final Calculation Sheet'!$G$4:$G$40=$T$39)*($RN$4:$RN$40=1))&gt;0)</f>
      </c>
      <c r="RP39" t="str">
        <f>=$RP38+--($RO39)</f>
      </c>
      <c r="RQ39" t="str">
        <f>IF(ROW()-3&gt;MAX($RP$4:$RP$40),"",INDEX($T$4:$T$40,MATCH(ROW()-3,$RP$4:$RP$40,0)))</f>
      </c>
      <c r="RR39" t="str">
        <f>IF(COUNTIF('Final Calculation Sheet'!$AL39:$AR39,0)+COUNTIF('Final Calculation Sheet'!$AT39:$BS39,0)&gt;0,0,1)</f>
      </c>
      <c r="RS39" t="str">
        <f>IF($AX$39="",FALSE,SUMPRODUCT(('Final Calculation Sheet'!$H$4:$H$40=$AX$39)*($RR$4:$RR$40=1))&gt;0)</f>
      </c>
      <c r="RT39" t="str">
        <f>=$RT38+--($RS39)</f>
      </c>
      <c r="RU39" t="str">
        <f>IF(ROW()-3&gt;MAX($RT$4:$RT$40),"",INDEX($AX$4:$AX$40,MATCH(ROW()-3,$RT$4:$RT$40,0)))</f>
      </c>
      <c r="RV39" t="str">
        <f>IF(COUNTIF('Final Calculation Sheet'!$AL39:$AS39,0)+COUNTIF('Final Calculation Sheet'!$AU39:$BS39,0)&gt;0,0,1)</f>
      </c>
      <c r="RW39" t="str">
        <f>IF($BC$39="",FALSE,SUMPRODUCT(('Final Calculation Sheet'!$I$4:$I$40=$BC$39)*($RV$4:$RV$40=1))&gt;0)</f>
      </c>
      <c r="RX39" t="str">
        <f>=$RX38+--($RW39)</f>
      </c>
      <c r="RY39" t="str">
        <f>IF(ROW()-3&gt;MAX($RX$4:$RX$40),"",INDEX($BC$4:$BC$40,MATCH(ROW()-3,$RX$4:$RX$40,0)))</f>
      </c>
      <c r="RZ39" t="str">
        <f>IF(COUNTIF('Final Calculation Sheet'!$AL39:$AT39,0)+COUNTIF('Final Calculation Sheet'!$AV39:$BS39,0)&gt;0,0,1)</f>
      </c>
      <c r="SA39" t="str">
        <f>IF($BH$39="",FALSE,SUMPRODUCT(('Final Calculation Sheet'!$J$4:$J$40=$BH$39)*($RZ$4:$RZ$40=1))&gt;0)</f>
      </c>
      <c r="SB39" t="str">
        <f>=$SB38+--($SA39)</f>
      </c>
      <c r="SC39" t="str">
        <f>IF(ROW()-3&gt;MAX($SB$4:$SB$40),"",INDEX($BH$4:$BH$40,MATCH(ROW()-3,$SB$4:$SB$40,0)))</f>
      </c>
      <c r="SD39" t="str">
        <f>IF(COUNTIF('Final Calculation Sheet'!$AL39:$AU39,0)+COUNTIF('Final Calculation Sheet'!$AW39:$BS39,0)&gt;0,0,1)</f>
      </c>
      <c r="SE39" t="str">
        <f>IF($BM$39="",FALSE,SUMPRODUCT(('Final Calculation Sheet'!$K$4:$K$40=$BM$39)*($SD$4:$SD$40=1))&gt;0)</f>
      </c>
      <c r="SF39" t="str">
        <f>=$SF38+--($SE39)</f>
      </c>
      <c r="SG39" t="str">
        <f>IF(ROW()-3&gt;MAX($SF$4:$SF$40),"",INDEX($BM$4:$BM$40,MATCH(ROW()-3,$SF$4:$SF$40,0)))</f>
      </c>
      <c r="SH39" t="str">
        <f>IF(COUNTIF('Final Calculation Sheet'!$AL39:$AV39,0)+COUNTIF('Final Calculation Sheet'!$AX39:$BS39,0)&gt;0,0,1)</f>
      </c>
      <c r="SI39" t="str">
        <f>IF($BR$39="",FALSE,SUMPRODUCT(('Final Calculation Sheet'!$L$4:$L$40=$BR$39)*($SH$4:$SH$40=1))&gt;0)</f>
      </c>
      <c r="SJ39" t="str">
        <f>=$SJ38+--($SI39)</f>
      </c>
      <c r="SK39" t="str">
        <f>IF(ROW()-3&gt;MAX($SJ$4:$SJ$40),"",INDEX($BR$4:$BR$40,MATCH(ROW()-3,$SJ$4:$SJ$40,0)))</f>
      </c>
      <c r="SL39" t="str">
        <f>IF(COUNTIF('Final Calculation Sheet'!$AL39:$AW39,0)+COUNTIF('Final Calculation Sheet'!$AY39:$BS39,0)&gt;0,0,1)</f>
      </c>
      <c r="SM39" t="str">
        <f>IF($BW$39="",FALSE,SUMPRODUCT(('Final Calculation Sheet'!$M$4:$M$40=$BW$39)*($SL$4:$SL$40=1))&gt;0)</f>
      </c>
      <c r="SN39" t="str">
        <f>=$SN38+--($SM39)</f>
      </c>
      <c r="SO39" t="str">
        <f>IF(ROW()-3&gt;MAX($SN$4:$SN$40),"",INDEX($BW$4:$BW$40,MATCH(ROW()-3,$SN$4:$SN$40,0)))</f>
      </c>
      <c r="SP39" t="str">
        <f>IF(COUNTIF('Final Calculation Sheet'!$AL39:$AX39,0)+COUNTIF('Final Calculation Sheet'!$AZ39:$BS39,0)&gt;0,0,1)</f>
      </c>
      <c r="SQ39" t="str">
        <f>IF($CB$39="",FALSE,SUMPRODUCT(('Final Calculation Sheet'!$N$4:$N$40=$CB$39)*($SP$4:$SP$40=1))&gt;0)</f>
      </c>
      <c r="SR39" t="str">
        <f>=$SR38+--($SQ39)</f>
      </c>
      <c r="SS39" t="str">
        <f>IF(ROW()-3&gt;MAX($SR$4:$SR$40),"",INDEX($CB$4:$CB$40,MATCH(ROW()-3,$SR$4:$SR$40,0)))</f>
      </c>
      <c r="ST39" t="str">
        <f>IF(COUNTIF('Final Calculation Sheet'!$AL39:$AY39,0)+COUNTIF('Final Calculation Sheet'!$BA39:$BS39,0)&gt;0,0,1)</f>
      </c>
      <c r="SU39" t="str">
        <f>IF($CG$39="",FALSE,SUMPRODUCT(('Final Calculation Sheet'!$O$4:$O$40=$CG$39)*($ST$4:$ST$40=1))&gt;0)</f>
      </c>
      <c r="SV39" t="str">
        <f>=$SV38+--($SU39)</f>
      </c>
      <c r="SW39" t="str">
        <f>IF(ROW()-3&gt;MAX($SV$4:$SV$40),"",INDEX($CG$4:$CG$40,MATCH(ROW()-3,$SV$4:$SV$40,0)))</f>
      </c>
      <c r="SX39" t="str">
        <f>IF(COUNTIF('Final Calculation Sheet'!$AL39:$AZ39,0)+COUNTIF('Final Calculation Sheet'!$BB39:$BS39,0)&gt;0,0,1)</f>
      </c>
      <c r="SY39" t="str">
        <f>IF($CL$39="",FALSE,SUMPRODUCT(('Final Calculation Sheet'!$P$4:$P$40=$CL$39)*($SX$4:$SX$40=1))&gt;0)</f>
      </c>
      <c r="SZ39" t="str">
        <f>=$SZ38+--($SY39)</f>
      </c>
      <c r="TA39" t="str">
        <f>IF(ROW()-3&gt;MAX($SZ$4:$SZ$40),"",INDEX($CL$4:$CL$40,MATCH(ROW()-3,$SZ$4:$SZ$40,0)))</f>
      </c>
      <c r="TB39" t="str">
        <f>IF(COUNTIF('Final Calculation Sheet'!$AL39:$BA39,0)+COUNTIF('Final Calculation Sheet'!$BC39:$BS39,0)&gt;0,0,1)</f>
      </c>
      <c r="TC39" t="str">
        <f>IF($CQ$39="",FALSE,SUMPRODUCT(('Final Calculation Sheet'!$Q$4:$Q$40=$CQ$39)*($TB$4:$TB$40=1))&gt;0)</f>
      </c>
      <c r="TD39" t="str">
        <f>=$TD38+--($TC39)</f>
      </c>
      <c r="TE39" t="str">
        <f>IF(ROW()-3&gt;MAX($TD$4:$TD$40),"",INDEX($CQ$4:$CQ$40,MATCH(ROW()-3,$TD$4:$TD$40,0)))</f>
      </c>
      <c r="TF39" t="str">
        <f>IF(COUNTIF('Final Calculation Sheet'!$AL39:$BB39,0)+COUNTIF('Final Calculation Sheet'!$BD39:$BS39,0)&gt;0,0,1)</f>
      </c>
      <c r="TG39" t="str">
        <f>IF($CV$39="",FALSE,SUMPRODUCT(('Final Calculation Sheet'!$R$4:$R$40=$CV$39)*($TF$4:$TF$40=1))&gt;0)</f>
      </c>
      <c r="TH39" t="str">
        <f>=$TH38+--($TG39)</f>
      </c>
      <c r="TI39" t="str">
        <f>IF(ROW()-3&gt;MAX($TH$4:$TH$40),"",INDEX($CV$4:$CV$40,MATCH(ROW()-3,$TH$4:$TH$40,0)))</f>
      </c>
      <c r="TJ39" t="str">
        <f>IF(COUNTIF('Final Calculation Sheet'!$AL39:$BC39,0)+COUNTIF('Final Calculation Sheet'!$BE39:$BS39,0)&gt;0,0,1)</f>
      </c>
      <c r="TK39" t="str">
        <f>IF($DA$39="",FALSE,SUMPRODUCT(('Final Calculation Sheet'!$S$4:$S$40=$DA$39)*($TJ$4:$TJ$40=1))&gt;0)</f>
      </c>
      <c r="TL39" t="str">
        <f>=$TL38+--($TK39)</f>
      </c>
      <c r="TM39" t="str">
        <f>IF(ROW()-3&gt;MAX($TL$4:$TL$40),"",INDEX($DA$4:$DA$40,MATCH(ROW()-3,$TL$4:$TL$40,0)))</f>
      </c>
      <c r="TN39" t="str">
        <f>IF(COUNTIF('Final Calculation Sheet'!$AL39:$BD39,0)+COUNTIF('Final Calculation Sheet'!$BF39:$BS39,0)&gt;0,0,1)</f>
      </c>
      <c r="TO39" t="str">
        <f>IF($DF$39="",FALSE,SUMPRODUCT(('Final Calculation Sheet'!$T$4:$T$40=$DF$39)*($TN$4:$TN$40=1))&gt;0)</f>
      </c>
      <c r="TP39" t="str">
        <f>=$TP38+--($TO39)</f>
      </c>
      <c r="TQ39" t="str">
        <f>IF(ROW()-3&gt;MAX($TP$4:$TP$40),"",INDEX($DF$4:$DF$40,MATCH(ROW()-3,$TP$4:$TP$40,0)))</f>
      </c>
      <c r="TR39" t="str">
        <f>IF(COUNTIF('Final Calculation Sheet'!$AL39:$BE39,0)+COUNTIF('Final Calculation Sheet'!$BG39:$BS39,0)&gt;0,0,1)</f>
      </c>
      <c r="TS39" t="str">
        <f>IF($DK$39="",FALSE,SUMPRODUCT(('Final Calculation Sheet'!$U$4:$U$40=$DK$39)*($TR$4:$TR$40=1))&gt;0)</f>
      </c>
      <c r="TT39" t="str">
        <f>=$TT38+--($TS39)</f>
      </c>
      <c r="TU39" t="str">
        <f>IF(ROW()-3&gt;MAX($TT$4:$TT$40),"",INDEX($DK$4:$DK$40,MATCH(ROW()-3,$TT$4:$TT$40,0)))</f>
      </c>
      <c r="TV39" t="str">
        <f>IF(COUNTIF('Final Calculation Sheet'!$AL39:$BF39,0)+COUNTIF('Final Calculation Sheet'!$BH39:$BS39,0)&gt;0,0,1)</f>
      </c>
      <c r="TW39" t="str">
        <f>IF($DP$39="",FALSE,SUMPRODUCT(('Final Calculation Sheet'!$V$4:$V$40=$DP$39)*($TV$4:$TV$40=1))&gt;0)</f>
      </c>
      <c r="TX39" t="str">
        <f>=$TX38+--($TW39)</f>
      </c>
      <c r="TY39" t="str">
        <f>IF(ROW()-3&gt;MAX($TX$4:$TX$40),"",INDEX($DP$4:$DP$40,MATCH(ROW()-3,$TX$4:$TX$40,0)))</f>
      </c>
      <c r="TZ39" t="str">
        <f>IF(COUNTIF('Final Calculation Sheet'!$AL39:$BG39,0)+COUNTIF('Final Calculation Sheet'!$BI39:$BS39,0)&gt;0,0,1)</f>
      </c>
      <c r="UA39" t="str">
        <f>IF($DU$39="",FALSE,SUMPRODUCT(('Final Calculation Sheet'!$W$4:$W$40=$DU$39)*($TZ$4:$TZ$40=1))&gt;0)</f>
      </c>
      <c r="UB39" t="str">
        <f>=$UB38+--($UA39)</f>
      </c>
      <c r="UC39" t="str">
        <f>IF(ROW()-3&gt;MAX($UB$4:$UB$40),"",INDEX($DU$4:$DU$40,MATCH(ROW()-3,$UB$4:$UB$40,0)))</f>
      </c>
      <c r="UD39" t="str">
        <f>IF(COUNTIF('Final Calculation Sheet'!$AL39:$BH39,0)+COUNTIF('Final Calculation Sheet'!$BJ39:$BS39,0)&gt;0,0,1)</f>
      </c>
      <c r="UE39" t="str">
        <f>IF($DZ$39="",FALSE,SUMPRODUCT(('Final Calculation Sheet'!$X$4:$X$40=$DZ$39)*($UD$4:$UD$40=1))&gt;0)</f>
      </c>
      <c r="UF39" t="str">
        <f>=$UF38+--($UE39)</f>
      </c>
      <c r="UG39" t="str">
        <f>IF(ROW()-3&gt;MAX($UF$4:$UF$40),"",INDEX($DZ$4:$DZ$40,MATCH(ROW()-3,$UF$4:$UF$40,0)))</f>
      </c>
      <c r="UH39" t="str">
        <f>IF(COUNTIF('Final Calculation Sheet'!$AL39:$BI39,0)+COUNTIF('Final Calculation Sheet'!$BK39:$BS39,0)&gt;0,0,1)</f>
      </c>
      <c r="UI39" t="str">
        <f>IF($EE$39="",FALSE,SUMPRODUCT(('Final Calculation Sheet'!$Y$4:$Y$40=$EE$39)*($UH$4:$UH$40=1))&gt;0)</f>
      </c>
      <c r="UJ39" t="str">
        <f>=$UJ38+--($UI39)</f>
      </c>
      <c r="UK39" t="str">
        <f>IF(ROW()-3&gt;MAX($UJ$4:$UJ$40),"",INDEX($EE$4:$EE$40,MATCH(ROW()-3,$UJ$4:$UJ$40,0)))</f>
      </c>
      <c r="UL39" t="str">
        <f>IF(COUNTIF('Final Calculation Sheet'!$AL39:$BJ39,0)+COUNTIF('Final Calculation Sheet'!$BL39:$BS39,0)&gt;0,0,1)</f>
      </c>
      <c r="UM39" t="str">
        <f>IF($EJ$39="",FALSE,SUMPRODUCT(('Final Calculation Sheet'!$Z$4:$Z$40=$EJ$39)*($UL$4:$UL$40=1))&gt;0)</f>
      </c>
      <c r="UN39" t="str">
        <f>=$UN38+--($UM39)</f>
      </c>
      <c r="UO39" t="str">
        <f>IF(ROW()-3&gt;MAX($UN$4:$UN$40),"",INDEX($EJ$4:$EJ$40,MATCH(ROW()-3,$UN$4:$UN$40,0)))</f>
      </c>
      <c r="UP39" t="str">
        <f>IF(COUNTIF('Final Calculation Sheet'!$AL39:$BK39,0)+COUNTIF('Final Calculation Sheet'!$BM39:$BS39,0)&gt;0,0,1)</f>
      </c>
      <c r="UQ39" t="str">
        <f>IF($EO$39="",FALSE,SUMPRODUCT(('Final Calculation Sheet'!$AA$4:$AA$40=$EO$39)*($UP$4:$UP$40=1))&gt;0)</f>
      </c>
      <c r="UR39" t="str">
        <f>=$UR38+--($UQ39)</f>
      </c>
      <c r="US39" t="str">
        <f>IF(ROW()-3&gt;MAX($UR$4:$UR$40),"",INDEX($EO$4:$EO$40,MATCH(ROW()-3,$UR$4:$UR$40,0)))</f>
      </c>
      <c r="UT39" t="str">
        <f>IF(COUNTIF('Final Calculation Sheet'!$AL39:$BL39,0)+COUNTIF('Final Calculation Sheet'!$BN39:$BS39,0)&gt;0,0,1)</f>
      </c>
      <c r="UU39" t="str">
        <f>IF($ET$39="",FALSE,SUMPRODUCT(('Final Calculation Sheet'!$AB$4:$AB$40=$ET$39)*($UT$4:$UT$40=1))&gt;0)</f>
      </c>
      <c r="UV39" t="str">
        <f>=$UV38+--($UU39)</f>
      </c>
      <c r="UW39" t="str">
        <f>IF(ROW()-3&gt;MAX($UV$4:$UV$40),"",INDEX($ET$4:$ET$40,MATCH(ROW()-3,$UV$4:$UV$40,0)))</f>
      </c>
      <c r="UX39" t="str">
        <f>IF(COUNTIF('Final Calculation Sheet'!$AL39:$BM39,0)+COUNTIF('Final Calculation Sheet'!$BO39:$BS39,0)&gt;0,0,1)</f>
      </c>
      <c r="UY39" t="str">
        <f>IF($EY$39="",FALSE,SUMPRODUCT(('Final Calculation Sheet'!$AC$4:$AC$40=$EY$39)*($UX$4:$UX$40=1))&gt;0)</f>
      </c>
      <c r="UZ39" t="str">
        <f>=$UZ38+--($UY39)</f>
      </c>
      <c r="VA39" t="str">
        <f>IF(ROW()-3&gt;MAX($UZ$4:$UZ$40),"",INDEX($EY$4:$EY$40,MATCH(ROW()-3,$UZ$4:$UZ$40,0)))</f>
      </c>
      <c r="VB39" t="str">
        <f>IF(COUNTIF('Final Calculation Sheet'!$AL39:$BN39,0)+COUNTIF('Final Calculation Sheet'!$BP39:$BS39,0)&gt;0,0,1)</f>
      </c>
      <c r="VC39" t="str">
        <f>IF($FD$39="",FALSE,SUMPRODUCT(('Final Calculation Sheet'!$AD$4:$AD$40=$FD$39)*($VB$4:$VB$40=1))&gt;0)</f>
      </c>
      <c r="VD39" t="str">
        <f>=$VD38+--($VC39)</f>
      </c>
      <c r="VE39" t="str">
        <f>IF(ROW()-3&gt;MAX($VD$4:$VD$40),"",INDEX($FD$4:$FD$40,MATCH(ROW()-3,$VD$4:$VD$40,0)))</f>
      </c>
      <c r="VF39" t="str">
        <f>IF(COUNTIF('Final Calculation Sheet'!$AL39:$BO39,0)+COUNTIF('Final Calculation Sheet'!$BQ39:$BS39,0)&gt;0,0,1)</f>
      </c>
      <c r="VG39" t="str">
        <f>IF($FI$39="",FALSE,SUMPRODUCT(('Final Calculation Sheet'!$AE$4:$AE$40=$FI$39)*($VF$4:$VF$40=1))&gt;0)</f>
      </c>
      <c r="VH39" t="str">
        <f>=$VH38+--($VG39)</f>
      </c>
      <c r="VI39" t="str">
        <f>IF(ROW()-3&gt;MAX($VH$4:$VH$40),"",INDEX($FI$4:$FI$40,MATCH(ROW()-3,$VH$4:$VH$40,0)))</f>
      </c>
      <c r="VJ39" t="str">
        <f>IF(COUNTIF('Final Calculation Sheet'!$AL39:$BP39,0)+COUNTIF('Final Calculation Sheet'!$BR39:$BS39,0)&gt;0,0,1)</f>
      </c>
      <c r="VK39" t="str">
        <f>IF($FN$39="",FALSE,SUMPRODUCT(('Final Calculation Sheet'!$AF$4:$AF$40=$FN$39)*($VJ$4:$VJ$40=1))&gt;0)</f>
      </c>
      <c r="VL39" t="str">
        <f>=$VL38+--($VK39)</f>
      </c>
      <c r="VM39" t="str">
        <f>IF(ROW()-3&gt;MAX($VL$4:$VL$40),"",INDEX($FN$4:$FN$40,MATCH(ROW()-3,$VL$4:$VL$40,0)))</f>
      </c>
      <c r="VN39" t="str">
        <f>IF(COUNTIF('Final Calculation Sheet'!$AL39:$BQ39,0)+COUNTIF('Final Calculation Sheet'!$BS39:$BS39,0)&gt;0,0,1)</f>
      </c>
      <c r="VO39" t="str">
        <f>IF($FS$39="",FALSE,SUMPRODUCT(('Final Calculation Sheet'!$AG$4:$AG$40=$FS$39)*($VN$4:$VN$40=1))&gt;0)</f>
      </c>
      <c r="VP39" t="str">
        <f>=$VP38+--($VO39)</f>
      </c>
      <c r="VQ39" t="str">
        <f>IF(ROW()-3&gt;MAX($VP$4:$VP$40),"",INDEX($FS$4:$FS$40,MATCH(ROW()-3,$VP$4:$VP$40,0)))</f>
      </c>
      <c r="VR39" t="str">
        <f>IF(COUNTIF('Final Calculation Sheet'!$AL39:$BR39,0)&gt;0,0,1)</f>
      </c>
      <c r="VS39" t="str">
        <f>IF($QO$39="",FALSE,SUMPRODUCT(('Final Calculation Sheet'!$AH$4:$AH$40=$QO$39)*($VR$4:$VR$40=1))&gt;0)</f>
      </c>
      <c r="VT39" t="str">
        <f>=$VT38+--($VS39)</f>
      </c>
      <c r="VU39" t="str">
        <f>IF(ROW()-3&gt;MAX($VT$4:$VT$40),"",INDEX($QO$4:$QO$40,MATCH(ROW()-3,$VT$4:$VT$40,0)))</f>
      </c>
    </row>
    <row r="40">
      <c r="A40">
        <f>IF('Final Calculation Sheet'!$F$40="","",'Final Calculation Sheet'!$F$40)</f>
        <v/>
      </c>
      <c r="B40">
        <f>IF(A40="","",COUNTIFS(A$4:A$114,"&lt;"&amp;A40,A$4:A$114,"&lt;&gt;"&amp;"")+COUNTIF(A$4:A40,A40))</f>
        <v/>
      </c>
      <c r="C40">
        <f>IF(ROW()-3&gt;COUNTIF(A$4:A$114,"&lt;&gt;"&amp;""),"",INDEX(A$4:A$114,MATCH(ROW()-3,B$4:B$114,0)))</f>
        <v/>
      </c>
      <c r="D40">
        <f>D39+IF(AND(C40&lt;&gt;"",COUNTIF(C$4:C40,C40)=1),1,0)</f>
        <v/>
      </c>
      <c r="E40">
        <f>IF(ROW()-3&gt;MAX(D$4:D$114),"",INDEX(C$4:C$114,MATCH(ROW()-3,D$4:D$114,0)))</f>
        <v/>
      </c>
      <c r="F40">
        <f>ROW()-3</f>
        <v/>
      </c>
      <c r="G40">
        <f>IF(F40="","",COUNTIFS(F$4:F$40,"&lt;"&amp;F40,F$4:F$40,"&lt;&gt;"&amp;"")+COUNTIF(F$4:F40,F40))</f>
        <v/>
      </c>
      <c r="H40">
        <f>IF(ROW()-3&gt;COUNTIF(F$4:F$40,"&lt;&gt;"&amp;""),"",INDEX(F$4:F$40,MATCH(ROW()-3,G$4:G$40,0)))</f>
        <v/>
      </c>
      <c r="I40">
        <f>I39+IF(AND(H40&lt;&gt;"",COUNTIF(H$4:H40,H40)=1),1,0)</f>
        <v/>
      </c>
      <c r="J40">
        <f>IF(ROW()-3&gt;MAX(I$4:I$40),"",INDEX(H$4:H$40,MATCH(ROW()-3,I$4:I$40,0)))</f>
        <v/>
      </c>
      <c r="K40">
        <f>IF('Final Calculation Sheet'!$F$40="","",'Final Calculation Sheet'!$F$40)</f>
        <v/>
      </c>
      <c r="L40">
        <f>IF(K40="","",COUNTIFS(K$4:K$40,"&lt;"&amp;K40,K$4:K$40,"&lt;&gt;"&amp;"")+COUNTIF(K$4:K40,K40))</f>
        <v/>
      </c>
      <c r="M40">
        <f>IF(ROW()-3&gt;COUNTIF(K$4:K$40,"&lt;&gt;"&amp;""),"",INDEX(K$4:K$40,MATCH(ROW()-3,L$4:L$40,0)))</f>
        <v/>
      </c>
      <c r="N40">
        <f>N39+IF(AND(M40&lt;&gt;"",COUNTIF(M$4:M40,M40)=1),1,0)</f>
        <v/>
      </c>
      <c r="O40">
        <f>IF(ROW()-3&gt;MAX(N$4:N$40),"",INDEX(M$4:M$40,MATCH(ROW()-3,N$4:N$40,0)))</f>
        <v/>
      </c>
      <c r="P40">
        <f>IF('Final Calculation Sheet'!$G$40="","",'Final Calculation Sheet'!$G$40)</f>
        <v/>
      </c>
      <c r="Q40">
        <f>IF(P40="","",COUNTIFS(P$4:P$40,"&lt;"&amp;P40,P$4:P$40,"&lt;&gt;"&amp;"")+COUNTIF(P$4:P40,P40))</f>
        <v/>
      </c>
      <c r="R40">
        <f>IF(ROW()-3&gt;COUNTIF(P$4:P$40,"&lt;&gt;"&amp;""),"",INDEX(P$4:P$40,MATCH(ROW()-3,Q$4:Q$40,0)))</f>
        <v/>
      </c>
      <c r="S40">
        <f>S39+IF(AND(R40&lt;&gt;"",COUNTIF(R$4:R40,R40)=1),1,0)</f>
        <v/>
      </c>
      <c r="T40">
        <f>IF(ROW()-3&gt;MAX(S$4:S$40),"",INDEX(R$4:R$40,MATCH(ROW()-3,S$4:S$40,0)))</f>
        <v/>
      </c>
      <c r="U40">
        <f>IF('Final Calculation Sheet'!$B$40="","",'Final Calculation Sheet'!$B$40)</f>
        <v/>
      </c>
      <c r="V40">
        <f>IF(U40="","",COUNTIFS(U$4:U$40,"&lt;"&amp;U40,U$4:U$40,"&lt;&gt;"&amp;"")+COUNTIF(U$4:U40,U40))</f>
        <v/>
      </c>
      <c r="W40">
        <f>IF(ROW()-3&gt;COUNTIF(U$4:U$40,"&lt;&gt;"&amp;""),"",INDEX(U$4:U$40,MATCH(ROW()-3,V$4:V$40,0)))</f>
        <v/>
      </c>
      <c r="X40">
        <f>X39+IF(AND(W40&lt;&gt;"",COUNTIF(W$4:W40,W40)=1),1,0)</f>
        <v/>
      </c>
      <c r="Y40">
        <f>IF(ROW()-3&gt;MAX(X$4:X$40),"",INDEX(W$4:W$40,MATCH(ROW()-3,X$4:X$40,0)))</f>
        <v/>
      </c>
      <c r="Z40">
        <f>IF('Final Calculation Sheet'!$D$40="","",'Final Calculation Sheet'!$D$40)</f>
        <v/>
      </c>
      <c r="AA40">
        <f>IF(Z40="","",COUNTIFS(Z$4:Z$40,"&lt;"&amp;Z40,Z$4:Z$40,"&lt;&gt;"&amp;"")+COUNTIF(Z$4:Z40,Z40))</f>
        <v/>
      </c>
      <c r="AB40">
        <f>IF(ROW()-3&gt;COUNTIF(Z$4:Z$40,"&lt;&gt;"&amp;""),"",INDEX(Z$4:Z$40,MATCH(ROW()-3,AA$4:AA$40,0)))</f>
        <v/>
      </c>
      <c r="AC40">
        <f>AC39+IF(AND(AB40&lt;&gt;"",COUNTIF(AB$4:AB40,AB40)=1),1,0)</f>
        <v/>
      </c>
      <c r="AD40">
        <f>IF(ROW()-3&gt;MAX(AC$4:AC$40),"",INDEX(AB$4:AB$40,MATCH(ROW()-3,AC$4:AC$40,0)))</f>
        <v/>
      </c>
      <c r="AE40">
        <f>IF('Final Calculation Sheet'!$A$40="","",'Final Calculation Sheet'!$A$40)</f>
        <v/>
      </c>
      <c r="AF40">
        <f>IF(AE40="","",COUNTIFS(AE$4:AE$40,"&lt;"&amp;AE40,AE$4:AE$40,"&lt;&gt;"&amp;"")+COUNTIF(AE$4:AE40,AE40))</f>
        <v/>
      </c>
      <c r="AG40">
        <f>IF(ROW()-3&gt;COUNTIF(AE$4:AE$40,"&lt;&gt;"&amp;""),"",INDEX(AE$4:AE$40,MATCH(ROW()-3,AF$4:AF$40,0)))</f>
        <v/>
      </c>
      <c r="AH40">
        <f>AH39+IF(AND(AG40&lt;&gt;"",COUNTIF(AG$4:AG40,AG40)=1),1,0)</f>
        <v/>
      </c>
      <c r="AI40">
        <f>IF(ROW()-3&gt;MAX(AH$4:AH$40),"",INDEX(AG$4:AG$40,MATCH(ROW()-3,AH$4:AH$40,0)))</f>
        <v/>
      </c>
      <c r="AJ40">
        <f>IF('Final Calculation Sheet'!$E$40="","",'Final Calculation Sheet'!$E$40)</f>
        <v/>
      </c>
      <c r="AK40">
        <f>IF(AJ40="","",COUNTIFS(AJ$4:AJ$40,"&lt;"&amp;AJ40,AJ$4:AJ$40,"&lt;&gt;"&amp;"")+COUNTIF(AJ$4:AJ40,AJ40))</f>
        <v/>
      </c>
      <c r="AL40">
        <f>IF(ROW()-3&gt;COUNTIF(AJ$4:AJ$40,"&lt;&gt;"&amp;""),"",INDEX(AJ$4:AJ$40,MATCH(ROW()-3,AK$4:AK$40,0)))</f>
        <v/>
      </c>
      <c r="AM40">
        <f>AM39+IF(AND(AL40&lt;&gt;"",COUNTIF(AL$4:AL40,AL40)=1),1,0)</f>
        <v/>
      </c>
      <c r="AN40">
        <f>IF(ROW()-3&gt;MAX(AM$4:AM$40),"",INDEX(AL$4:AL$40,MATCH(ROW()-3,AM$4:AM$40,0)))</f>
        <v/>
      </c>
      <c r="AO40" s="55">
        <f>IF('Final Calculation Sheet'!$C$40="","",'Final Calculation Sheet'!$C$40)</f>
        <v/>
      </c>
      <c r="AP40">
        <f>IF(AO40="","",COUNTIFS(AO$4:AO$40,"&lt;"&amp;AO40,AO$4:AO$40,"&lt;&gt;"&amp;"")+COUNTIF(AO$4:AO40,AO40))</f>
        <v/>
      </c>
      <c r="AQ40" s="55">
        <f>IF(ROW()-3&gt;COUNTIF(AO$4:AO$40,"&lt;&gt;"&amp;""),"",INDEX(AO$4:AO$40,MATCH(ROW()-3,AP$4:AP$40,0)))</f>
        <v/>
      </c>
      <c r="AR40">
        <f>AR39+IF(AND(AQ40&lt;&gt;"",COUNTIF(AQ$4:AQ40,AQ40)=1),1,0)</f>
        <v/>
      </c>
      <c r="AS40">
        <f>IF(ROW()-3&gt;MAX(AR$4:AR$40),"",INDEX(AQ$4:AQ$40,MATCH(ROW()-3,AR$4:AR$40,0)))</f>
        <v/>
      </c>
      <c r="AT40" s="55">
        <f>IF('Final Calculation Sheet'!$H$40="","",'Final Calculation Sheet'!$H$40)</f>
        <v/>
      </c>
      <c r="AU40">
        <f>IF(AT40="","",COUNTIFS(AT$4:AT$40,"&lt;"&amp;AT40,AT$4:AT$40,"&lt;&gt;"&amp;"")+COUNTIF(AT$4:AT40,AT40))</f>
        <v/>
      </c>
      <c r="AV40" s="55">
        <f>IF(ROW()-3&gt;COUNTIF(AT$4:AT$40,"&lt;&gt;"&amp;""),"",INDEX(AT$4:AT$40,MATCH(ROW()-3,AU$4:AU$40,0)))</f>
        <v/>
      </c>
      <c r="AW40">
        <f>AW39+IF(AND(AV40&lt;&gt;"",COUNTIF(AV$4:AV40,AV40)=1),1,0)</f>
        <v/>
      </c>
      <c r="AX40" s="55">
        <f>IF(ROW()-3&gt;MAX(AW$4:AW$40),"",INDEX(AV$4:AV$40,MATCH(ROW()-3,AW$4:AW$40,0)))</f>
        <v/>
      </c>
      <c r="AY40" s="55">
        <f>IF('Final Calculation Sheet'!$I$40="","",'Final Calculation Sheet'!$I$40)</f>
        <v/>
      </c>
      <c r="AZ40">
        <f>IF(AY40="","",COUNTIFS(AY$4:AY$40,"&lt;"&amp;AY40,AY$4:AY$40,"&lt;&gt;"&amp;"")+COUNTIF(AY$4:AY40,AY40))</f>
        <v/>
      </c>
      <c r="BA40" s="55">
        <f>IF(ROW()-3&gt;COUNTIF(AY$4:AY$40,"&lt;&gt;"&amp;""),"",INDEX(AY$4:AY$40,MATCH(ROW()-3,AZ$4:AZ$40,0)))</f>
        <v/>
      </c>
      <c r="BB40">
        <f>BB39+IF(AND(BA40&lt;&gt;"",COUNTIF(BA$4:BA40,BA40)=1),1,0)</f>
        <v/>
      </c>
      <c r="BC40" s="55">
        <f>IF(ROW()-3&gt;MAX(BB$4:BB$40),"",INDEX(BA$4:BA$40,MATCH(ROW()-3,BB$4:BB$40,0)))</f>
        <v/>
      </c>
      <c r="BD40" s="55">
        <f>IF('Final Calculation Sheet'!$J$40="","",'Final Calculation Sheet'!$J$40)</f>
        <v/>
      </c>
      <c r="BE40">
        <f>IF(BD40="","",COUNTIFS(BD$4:BD$40,"&lt;"&amp;BD40,BD$4:BD$40,"&lt;&gt;"&amp;"")+COUNTIF(BD$4:BD40,BD40))</f>
        <v/>
      </c>
      <c r="BF40" s="55">
        <f>IF(ROW()-3&gt;COUNTIF(BD$4:BD$40,"&lt;&gt;"&amp;""),"",INDEX(BD$4:BD$40,MATCH(ROW()-3,BE$4:BE$40,0)))</f>
        <v/>
      </c>
      <c r="BG40">
        <f>BG39+IF(AND(BF40&lt;&gt;"",COUNTIF(BF$4:BF40,BF40)=1),1,0)</f>
        <v/>
      </c>
      <c r="BH40" s="55">
        <f>IF(ROW()-3&gt;MAX(BG$4:BG$40),"",INDEX(BF$4:BF$40,MATCH(ROW()-3,BG$4:BG$40,0)))</f>
        <v/>
      </c>
      <c r="BI40" s="55">
        <f>IF('Final Calculation Sheet'!$K$40="","",'Final Calculation Sheet'!$K$40)</f>
        <v/>
      </c>
      <c r="BJ40">
        <f>IF(BI40="","",COUNTIFS(BI$4:BI$40,"&lt;"&amp;BI40,BI$4:BI$40,"&lt;&gt;"&amp;"")+COUNTIF(BI$4:BI40,BI40))</f>
        <v/>
      </c>
      <c r="BK40" s="55">
        <f>IF(ROW()-3&gt;COUNTIF(BI$4:BI$40,"&lt;&gt;"&amp;""),"",INDEX(BI$4:BI$40,MATCH(ROW()-3,BJ$4:BJ$40,0)))</f>
        <v/>
      </c>
      <c r="BL40">
        <f>BL39+IF(AND(BK40&lt;&gt;"",COUNTIF(BK$4:BK40,BK40)=1),1,0)</f>
        <v/>
      </c>
      <c r="BM40">
        <f>IF(ROW()-3&gt;MAX(BL$4:BL$40),"",INDEX(BK$4:BK$40,MATCH(ROW()-3,BL$4:BL$40,0)))</f>
        <v/>
      </c>
      <c r="BN40" s="55">
        <f>IF('Final Calculation Sheet'!$L$40="","",'Final Calculation Sheet'!$L$40)</f>
        <v/>
      </c>
      <c r="BO40">
        <f>IF(BN40="","",COUNTIFS(BN$4:BN$40,"&lt;"&amp;BN40,BN$4:BN$40,"&lt;&gt;"&amp;"")+COUNTIF(BN$4:BN40,BN40))</f>
        <v/>
      </c>
      <c r="BP40" s="55">
        <f>IF(ROW()-3&gt;COUNTIF(BN$4:BN$40,"&lt;&gt;"&amp;""),"",INDEX(BN$4:BN$40,MATCH(ROW()-3,BO$4:BO$40,0)))</f>
        <v/>
      </c>
      <c r="BQ40">
        <f>BQ39+IF(AND(BP40&lt;&gt;"",COUNTIF(BP$4:BP40,BP40)=1),1,0)</f>
        <v/>
      </c>
      <c r="BR40" s="55">
        <f>IF(ROW()-3&gt;MAX(BQ$4:BQ$40),"",INDEX(BP$4:BP$40,MATCH(ROW()-3,BQ$4:BQ$40,0)))</f>
        <v/>
      </c>
      <c r="BS40" s="55">
        <f>IF('Final Calculation Sheet'!$M$40="","",'Final Calculation Sheet'!$M$40)</f>
        <v/>
      </c>
      <c r="BT40">
        <f>IF(BS40="","",COUNTIFS(BS$4:BS$40,"&lt;"&amp;BS40,BS$4:BS$40,"&lt;&gt;"&amp;"")+COUNTIF(BS$4:BS40,BS40))</f>
        <v/>
      </c>
      <c r="BU40" s="55">
        <f>IF(ROW()-3&gt;COUNTIF(BS$4:BS$40,"&lt;&gt;"&amp;""),"",INDEX(BS$4:BS$40,MATCH(ROW()-3,BT$4:BT$40,0)))</f>
        <v/>
      </c>
      <c r="BV40">
        <f>BV39+IF(AND(BU40&lt;&gt;"",COUNTIF(BU$4:BU40,BU40)=1),1,0)</f>
        <v/>
      </c>
      <c r="BW40" s="55">
        <f>IF(ROW()-3&gt;MAX(BV$4:BV$40),"",INDEX(BU$4:BU$40,MATCH(ROW()-3,BV$4:BV$40,0)))</f>
        <v/>
      </c>
      <c r="BX40" s="138">
        <f>IF('Final Calculation Sheet'!$N$40="","",'Final Calculation Sheet'!$N$40)</f>
        <v/>
      </c>
      <c r="BY40">
        <f>IF(BX40="","",COUNTIFS(BX$4:BX$40,"&lt;"&amp;BX40,BX$4:BX$40,"&lt;&gt;"&amp;"")+COUNTIF(BX$4:BX40,BX40))</f>
        <v/>
      </c>
      <c r="BZ40" s="138">
        <f>IF(ROW()-3&gt;COUNTIF(BX$4:BX$40,"&lt;&gt;"&amp;""),"",INDEX(BX$4:BX$40,MATCH(ROW()-3,BY$4:BY$40,0)))</f>
        <v/>
      </c>
      <c r="CA40">
        <f>CA39+IF(AND(BZ40&lt;&gt;"",COUNTIF(BZ$4:BZ40,BZ40)=1),1,0)</f>
        <v/>
      </c>
      <c r="CB40" s="138">
        <f>IF(ROW()-3&gt;MAX(CA$4:CA$40),"",INDEX(BZ$4:BZ$40,MATCH(ROW()-3,CA$4:CA$40,0)))</f>
        <v/>
      </c>
      <c r="CC40" s="55">
        <f>IF('Final Calculation Sheet'!$O$40="","",'Final Calculation Sheet'!$O$40)</f>
        <v/>
      </c>
      <c r="CD40">
        <f>IF(CC40="","",COUNTIFS(CC$4:CC$40,"&lt;"&amp;CC40,CC$4:CC$40,"&lt;&gt;"&amp;"")+COUNTIF(CC$4:CC40,CC40))</f>
        <v/>
      </c>
      <c r="CE40" s="55">
        <f>IF(ROW()-3&gt;COUNTIF(CC$4:CC$40,"&lt;&gt;"&amp;""),"",INDEX(CC$4:CC$40,MATCH(ROW()-3,CD$4:CD$40,0)))</f>
        <v/>
      </c>
      <c r="CF40">
        <f>CF39+IF(AND(CE40&lt;&gt;"",COUNTIF(CE$4:CE40,CE40)=1),1,0)</f>
        <v/>
      </c>
      <c r="CG40" s="55">
        <f>IF(ROW()-3&gt;MAX(CF$4:CF$40),"",INDEX(CE$4:CE$40,MATCH(ROW()-3,CF$4:CF$40,0)))</f>
        <v/>
      </c>
      <c r="CH40" s="55">
        <f>IF('Final Calculation Sheet'!$P$40="","",'Final Calculation Sheet'!$P$40)</f>
        <v/>
      </c>
      <c r="CI40">
        <f>IF(CH40="","",COUNTIFS(CH$4:CH$40,"&lt;"&amp;CH40,CH$4:CH$40,"&lt;&gt;"&amp;"")+COUNTIF(CH$4:CH40,CH40))</f>
        <v/>
      </c>
      <c r="CJ40" s="55">
        <f>IF(ROW()-3&gt;COUNTIF(CH$4:CH$40,"&lt;&gt;"&amp;""),"",INDEX(CH$4:CH$40,MATCH(ROW()-3,CI$4:CI$40,0)))</f>
        <v/>
      </c>
      <c r="CK40">
        <f>CK39+IF(AND(CJ40&lt;&gt;"",COUNTIF(CJ$4:CJ40,CJ40)=1),1,0)</f>
        <v/>
      </c>
      <c r="CL40">
        <f>IF(ROW()-3&gt;MAX(CK$4:CK$40),"",INDEX(CJ$4:CJ$40,MATCH(ROW()-3,CK$4:CK$40,0)))</f>
        <v/>
      </c>
      <c r="CM40" s="139">
        <f>IF('Final Calculation Sheet'!$Q$40="","",'Final Calculation Sheet'!$Q$40)</f>
        <v/>
      </c>
      <c r="CN40">
        <f>IF(CM40="","",COUNTIFS(CM$4:CM$40,"&lt;"&amp;CM40,CM$4:CM$40,"&lt;&gt;"&amp;"")+COUNTIF(CM$4:CM40,CM40))</f>
        <v/>
      </c>
      <c r="CO40" s="139">
        <f>IF(ROW()-3&gt;COUNTIF(CM$4:CM$40,"&lt;&gt;"&amp;""),"",INDEX(CM$4:CM$40,MATCH(ROW()-3,CN$4:CN$40,0)))</f>
        <v/>
      </c>
      <c r="CP40">
        <f>CP39+IF(AND(CO40&lt;&gt;"",COUNTIF(CO$4:CO40,CO40)=1),1,0)</f>
        <v/>
      </c>
      <c r="CQ40">
        <f>IF(ROW()-3&gt;MAX(CP$4:CP$40),"",INDEX(CO$4:CO$40,MATCH(ROW()-3,CP$4:CP$40,0)))</f>
        <v/>
      </c>
      <c r="CR40" s="55">
        <f>IF('Final Calculation Sheet'!$R$40="","",'Final Calculation Sheet'!$R$40)</f>
        <v/>
      </c>
      <c r="CS40">
        <f>IF(CR40="","",COUNTIFS(CR$4:CR$40,"&lt;"&amp;CR40,CR$4:CR$40,"&lt;&gt;"&amp;"")+COUNTIF(CR$4:CR40,CR40))</f>
        <v/>
      </c>
      <c r="CT40" s="55">
        <f>IF(ROW()-3&gt;COUNTIF(CR$4:CR$40,"&lt;&gt;"&amp;""),"",INDEX(CR$4:CR$40,MATCH(ROW()-3,CS$4:CS$40,0)))</f>
        <v/>
      </c>
      <c r="CU40">
        <f>CU39+IF(AND(CT40&lt;&gt;"",COUNTIF(CT$4:CT40,CT40)=1),1,0)</f>
        <v/>
      </c>
      <c r="CV40">
        <f>IF(ROW()-3&gt;MAX(CU$4:CU$40),"",INDEX(CT$4:CT$40,MATCH(ROW()-3,CU$4:CU$40,0)))</f>
        <v/>
      </c>
      <c r="CW40" s="55">
        <f>IF('Final Calculation Sheet'!$S$40="","",'Final Calculation Sheet'!$S$40)</f>
        <v/>
      </c>
      <c r="CX40">
        <f>IF(CW40="","",COUNTIFS(CW$4:CW$40,"&lt;"&amp;CW40,CW$4:CW$40,"&lt;&gt;"&amp;"")+COUNTIF(CW$4:CW40,CW40))</f>
        <v/>
      </c>
      <c r="CY40" s="55">
        <f>IF(ROW()-3&gt;COUNTIF(CW$4:CW$40,"&lt;&gt;"&amp;""),"",INDEX(CW$4:CW$40,MATCH(ROW()-3,CX$4:CX$40,0)))</f>
        <v/>
      </c>
      <c r="CZ40">
        <f>CZ39+IF(AND(CY40&lt;&gt;"",COUNTIF(CY$4:CY40,CY40)=1),1,0)</f>
        <v/>
      </c>
      <c r="DA40" s="55">
        <f>IF(ROW()-3&gt;MAX(CZ$4:CZ$40),"",INDEX(CY$4:CY$40,MATCH(ROW()-3,CZ$4:CZ$40,0)))</f>
        <v/>
      </c>
      <c r="DB40" s="55">
        <f>IF('Final Calculation Sheet'!$T$40="","",'Final Calculation Sheet'!$T$40)</f>
        <v/>
      </c>
      <c r="DC40">
        <f>IF(DB40="","",COUNTIFS(DB$4:DB$40,"&lt;"&amp;DB40,DB$4:DB$40,"&lt;&gt;"&amp;"")+COUNTIF(DB$4:DB40,DB40))</f>
        <v/>
      </c>
      <c r="DD40" s="55">
        <f>IF(ROW()-3&gt;COUNTIF(DB$4:DB$40,"&lt;&gt;"&amp;""),"",INDEX(DB$4:DB$40,MATCH(ROW()-3,DC$4:DC$40,0)))</f>
        <v/>
      </c>
      <c r="DE40">
        <f>DE39+IF(AND(DD40&lt;&gt;"",COUNTIF(DD$4:DD40,DD40)=1),1,0)</f>
        <v/>
      </c>
      <c r="DF40" s="55">
        <f>IF(ROW()-3&gt;MAX(DE$4:DE$40),"",INDEX(DD$4:DD$40,MATCH(ROW()-3,DE$4:DE$40,0)))</f>
        <v/>
      </c>
      <c r="DG40" s="140">
        <f>IF('Final Calculation Sheet'!$U$40="","",'Final Calculation Sheet'!$U$40)</f>
        <v/>
      </c>
      <c r="DH40">
        <f>IF(DG40="","",COUNTIFS(DG$4:DG$40,"&lt;"&amp;DG40,DG$4:DG$40,"&lt;&gt;"&amp;"")+COUNTIF(DG$4:DG40,DG40))</f>
        <v/>
      </c>
      <c r="DI40" s="140">
        <f>IF(ROW()-3&gt;COUNTIF(DG$4:DG$40,"&lt;&gt;"&amp;""),"",INDEX(DG$4:DG$40,MATCH(ROW()-3,DH$4:DH$40,0)))</f>
        <v/>
      </c>
      <c r="DJ40">
        <f>DJ39+IF(AND(DI40&lt;&gt;"",COUNTIF(DI$4:DI40,DI40)=1),1,0)</f>
        <v/>
      </c>
      <c r="DK40" s="140">
        <f>IF(ROW()-3&gt;MAX(DJ$4:DJ$40),"",INDEX(DI$4:DI$40,MATCH(ROW()-3,DJ$4:DJ$40,0)))</f>
        <v/>
      </c>
      <c r="DL40">
        <f>IF('Final Calculation Sheet'!$V$40="","",'Final Calculation Sheet'!$V$40)</f>
        <v/>
      </c>
      <c r="DM40">
        <f>IF(DL40="","",COUNTIFS(DL$4:DL$40,"&lt;"&amp;DL40,DL$4:DL$40,"&lt;&gt;"&amp;"")+COUNTIF(DL$4:DL40,DL40))</f>
        <v/>
      </c>
      <c r="DN40">
        <f>IF(ROW()-3&gt;COUNTIF(DL$4:DL$40,"&lt;&gt;"&amp;""),"",INDEX(DL$4:DL$40,MATCH(ROW()-3,DM$4:DM$40,0)))</f>
        <v/>
      </c>
      <c r="DO40">
        <f>DO39+IF(AND(DN40&lt;&gt;"",COUNTIF(DN$4:DN40,DN40)=1),1,0)</f>
        <v/>
      </c>
      <c r="DP40">
        <f>IF(ROW()-3&gt;MAX(DO$4:DO$40),"",INDEX(DN$4:DN$40,MATCH(ROW()-3,DO$4:DO$40,0)))</f>
        <v/>
      </c>
      <c r="DQ40" s="55">
        <f>IF('Final Calculation Sheet'!$W$40="","",'Final Calculation Sheet'!$W$40)</f>
        <v/>
      </c>
      <c r="DR40">
        <f>IF(DQ40="","",COUNTIFS(DQ$4:DQ$40,"&lt;"&amp;DQ40,DQ$4:DQ$40,"&lt;&gt;"&amp;"")+COUNTIF(DQ$4:DQ40,DQ40))</f>
        <v/>
      </c>
      <c r="DS40" s="55">
        <f>IF(ROW()-3&gt;COUNTIF(DQ$4:DQ$40,"&lt;&gt;"&amp;""),"",INDEX(DQ$4:DQ$40,MATCH(ROW()-3,DR$4:DR$40,0)))</f>
        <v/>
      </c>
      <c r="DT40">
        <f>DT39+IF(AND(DS40&lt;&gt;"",COUNTIF(DS$4:DS40,DS40)=1),1,0)</f>
        <v/>
      </c>
      <c r="DU40" s="55">
        <f>IF(ROW()-3&gt;MAX(DT$4:DT$40),"",INDEX(DS$4:DS$40,MATCH(ROW()-3,DT$4:DT$40,0)))</f>
        <v/>
      </c>
      <c r="DV40" s="55">
        <f>IF('Final Calculation Sheet'!$X$40="","",'Final Calculation Sheet'!$X$40)</f>
        <v/>
      </c>
      <c r="DW40">
        <f>IF(DV40="","",COUNTIFS(DV$4:DV$40,"&lt;"&amp;DV40,DV$4:DV$40,"&lt;&gt;"&amp;"")+COUNTIF(DV$4:DV40,DV40))</f>
        <v/>
      </c>
      <c r="DX40">
        <f>IF(ROW()-3&gt;COUNTIF(DV$4:DV$40,"&lt;&gt;"&amp;""),"",INDEX(DV$4:DV$40,MATCH(ROW()-3,DW$4:DW$40,0)))</f>
        <v/>
      </c>
      <c r="DY40">
        <f>DY39+IF(AND(DX40&lt;&gt;"",COUNTIF(DX$4:DX40,DX40)=1),1,0)</f>
        <v/>
      </c>
      <c r="DZ40">
        <f>IF(ROW()-3&gt;MAX(DY$4:DY$40),"",INDEX(DX$4:DX$40,MATCH(ROW()-3,DY$4:DY$40,0)))</f>
        <v/>
      </c>
      <c r="EA40">
        <f>IF('Final Calculation Sheet'!$Y$40="","",'Final Calculation Sheet'!$Y$40)</f>
        <v/>
      </c>
      <c r="EB40">
        <f>IF(EA40="","",COUNTIFS(EA$4:EA$40,"&lt;"&amp;EA40,EA$4:EA$40,"&lt;&gt;"&amp;"")+COUNTIF(EA$4:EA40,EA40))</f>
        <v/>
      </c>
      <c r="EC40">
        <f>IF(ROW()-3&gt;COUNTIF(EA$4:EA$40,"&lt;&gt;"&amp;""),"",INDEX(EA$4:EA$40,MATCH(ROW()-3,EB$4:EB$40,0)))</f>
        <v/>
      </c>
      <c r="ED40">
        <f>ED39+IF(AND(EC40&lt;&gt;"",COUNTIF(EC$4:EC40,EC40)=1),1,0)</f>
        <v/>
      </c>
      <c r="EE40">
        <f>IF(ROW()-3&gt;MAX(ED$4:ED$40),"",INDEX(EC$4:EC$40,MATCH(ROW()-3,ED$4:ED$40,0)))</f>
        <v/>
      </c>
      <c r="EF40" s="55">
        <f>IF('Final Calculation Sheet'!$Z$40="","",'Final Calculation Sheet'!$Z$40)</f>
        <v/>
      </c>
      <c r="EG40">
        <f>IF(EF40="","",COUNTIFS(EF$4:EF$40,"&lt;"&amp;EF40,EF$4:EF$40,"&lt;&gt;"&amp;"")+COUNTIF(EF$4:EF40,EF40))</f>
        <v/>
      </c>
      <c r="EH40" s="55">
        <f>IF(ROW()-3&gt;COUNTIF(EF$4:EF$40,"&lt;&gt;"&amp;""),"",INDEX(EF$4:EF$40,MATCH(ROW()-3,EG$4:EG$40,0)))</f>
        <v/>
      </c>
      <c r="EI40">
        <f>EI39+IF(AND(EH40&lt;&gt;"",COUNTIF(EH$4:EH40,EH40)=1),1,0)</f>
        <v/>
      </c>
      <c r="EJ40">
        <f>IF(ROW()-3&gt;MAX(EI$4:EI$40),"",INDEX(EH$4:EH$40,MATCH(ROW()-3,EI$4:EI$40,0)))</f>
        <v/>
      </c>
      <c r="EK40" s="55">
        <f>IF('Final Calculation Sheet'!$AA$40="","",'Final Calculation Sheet'!$AA$40)</f>
        <v/>
      </c>
      <c r="EL40">
        <f>IF(EK40="","",COUNTIFS(EK$4:EK$40,"&lt;"&amp;EK40,EK$4:EK$40,"&lt;&gt;"&amp;"")+COUNTIF(EK$4:EK40,EK40))</f>
        <v/>
      </c>
      <c r="EM40">
        <f>IF(ROW()-3&gt;COUNTIF(EK$4:EK$40,"&lt;&gt;"&amp;""),"",INDEX(EK$4:EK$40,MATCH(ROW()-3,EL$4:EL$40,0)))</f>
        <v/>
      </c>
      <c r="EN40">
        <f>EN39+IF(AND(EM40&lt;&gt;"",COUNTIF(EM$4:EM40,EM40)=1),1,0)</f>
        <v/>
      </c>
      <c r="EO40">
        <f>IF(ROW()-3&gt;MAX(EN$4:EN$40),"",INDEX(EM$4:EM$40,MATCH(ROW()-3,EN$4:EN$40,0)))</f>
        <v/>
      </c>
      <c r="EP40">
        <f>IF('Final Calculation Sheet'!$AB$40="","",'Final Calculation Sheet'!$AB$40)</f>
        <v/>
      </c>
      <c r="EQ40">
        <f>IF(EP40="","",COUNTIFS(EP$4:EP$40,"&lt;"&amp;EP40,EP$4:EP$40,"&lt;&gt;"&amp;"")+COUNTIF(EP$4:EP40,EP40))</f>
        <v/>
      </c>
      <c r="ER40">
        <f>IF(ROW()-3&gt;COUNTIF(EP$4:EP$40,"&lt;&gt;"&amp;""),"",INDEX(EP$4:EP$40,MATCH(ROW()-3,EQ$4:EQ$40,0)))</f>
        <v/>
      </c>
      <c r="ES40">
        <f>ES39+IF(AND(ER40&lt;&gt;"",COUNTIF(ER$4:ER40,ER40)=1),1,0)</f>
        <v/>
      </c>
      <c r="ET40">
        <f>IF(ROW()-3&gt;MAX(ES$4:ES$40),"",INDEX(ER$4:ER$40,MATCH(ROW()-3,ES$4:ES$40,0)))</f>
        <v/>
      </c>
      <c r="EU40" s="55">
        <f>IF('Final Calculation Sheet'!$AC$40="","",'Final Calculation Sheet'!$AC$40)</f>
        <v/>
      </c>
      <c r="EV40">
        <f>IF(EU40="","",COUNTIFS(EU$4:EU$40,"&lt;"&amp;EU40,EU$4:EU$40,"&lt;&gt;"&amp;"")+COUNTIF(EU$4:EU40,EU40))</f>
        <v/>
      </c>
      <c r="EW40" s="55">
        <f>IF(ROW()-3&gt;COUNTIF(EU$4:EU$40,"&lt;&gt;"&amp;""),"",INDEX(EU$4:EU$40,MATCH(ROW()-3,EV$4:EV$40,0)))</f>
        <v/>
      </c>
      <c r="EX40">
        <f>EX39+IF(AND(EW40&lt;&gt;"",COUNTIF(EW$4:EW40,EW40)=1),1,0)</f>
        <v/>
      </c>
      <c r="EY40" s="55">
        <f>IF(ROW()-3&gt;MAX(EX$4:EX$40),"",INDEX(EW$4:EW$40,MATCH(ROW()-3,EX$4:EX$40,0)))</f>
        <v/>
      </c>
      <c r="EZ40" s="55">
        <f>IF('Final Calculation Sheet'!$AD$40="","",'Final Calculation Sheet'!$AD$40)</f>
        <v/>
      </c>
      <c r="FA40">
        <f>IF(EZ40="","",COUNTIFS(EZ$4:EZ$40,"&lt;"&amp;EZ40,EZ$4:EZ$40,"&lt;&gt;"&amp;"")+COUNTIF(EZ$4:EZ40,EZ40))</f>
        <v/>
      </c>
      <c r="FB40" s="55">
        <f>IF(ROW()-3&gt;COUNTIF(EZ$4:EZ$40,"&lt;&gt;"&amp;""),"",INDEX(EZ$4:EZ$40,MATCH(ROW()-3,FA$4:FA$40,0)))</f>
        <v/>
      </c>
      <c r="FC40">
        <f>FC39+IF(AND(FB40&lt;&gt;"",COUNTIF(FB$4:FB40,FB40)=1),1,0)</f>
        <v/>
      </c>
      <c r="FD40">
        <f>IF(ROW()-3&gt;MAX(FC$4:FC$40),"",INDEX(FB$4:FB$40,MATCH(ROW()-3,FC$4:FC$40,0)))</f>
        <v/>
      </c>
      <c r="FE40">
        <f>IF('Final Calculation Sheet'!$AF$40="","",'Final Calculation Sheet'!$AF$40)</f>
        <v/>
      </c>
      <c r="FF40">
        <f>IF(FE40="","",COUNTIFS(FE$4:FE$40,"&lt;"&amp;FE40,FE$4:FE$40,"&lt;&gt;"&amp;"")+COUNTIF(FE$4:FE40,FE40))</f>
        <v/>
      </c>
      <c r="FG40">
        <f>IF(ROW()-3&gt;COUNTIF(FE$4:FE$40,"&lt;&gt;"&amp;""),"",INDEX(FE$4:FE$40,MATCH(ROW()-3,FF$4:FF$40,0)))</f>
        <v/>
      </c>
      <c r="FH40">
        <f>FH39+IF(AND(FG40&lt;&gt;"",COUNTIF(FG$4:FG40,FG40)=1),1,0)</f>
        <v/>
      </c>
      <c r="FI40">
        <f>IF(ROW()-3&gt;MAX(FH$4:FH$40),"",INDEX(FG$4:FG$40,MATCH(ROW()-3,FH$4:FH$40,0)))</f>
        <v/>
      </c>
      <c r="FJ40">
        <f>IF('Final Calculation Sheet'!$AG$40="","",'Final Calculation Sheet'!$AG$40)</f>
        <v/>
      </c>
      <c r="FK40">
        <f>IF(FJ40="","",COUNTIFS(FJ$4:FJ$40,"&lt;"&amp;FJ40,FJ$4:FJ$40,"&lt;&gt;"&amp;"")+COUNTIF(FJ$4:FJ40,FJ40))</f>
        <v/>
      </c>
      <c r="FL40">
        <f>IF(ROW()-3&gt;COUNTIF(FJ$4:FJ$40,"&lt;&gt;"&amp;""),"",INDEX(FJ$4:FJ$40,MATCH(ROW()-3,FK$4:FK$40,0)))</f>
        <v/>
      </c>
      <c r="FM40">
        <f>FM39+IF(AND(FL40&lt;&gt;"",COUNTIF(FL$4:FL40,FL40)=1),1,0)</f>
        <v/>
      </c>
      <c r="FN40">
        <f>IF(ROW()-3&gt;MAX(FM$4:FM$40),"",INDEX(FL$4:FL$40,MATCH(ROW()-3,FM$4:FM$40,0)))</f>
        <v/>
      </c>
      <c r="FO40">
        <f>IF('Final Calculation Sheet'!$AH$40="","",'Final Calculation Sheet'!$AH$40)</f>
        <v/>
      </c>
      <c r="FP40">
        <f>IF(FO40="","",COUNTIFS(FO$4:FO$40,"&lt;"&amp;FO40,FO$4:FO$40,"&lt;&gt;"&amp;"")+COUNTIF(FO$4:FO40,FO40))</f>
        <v/>
      </c>
      <c r="FQ40">
        <f>IF(ROW()-3&gt;COUNTIF(FO$4:FO$40,"&lt;&gt;"&amp;""),"",INDEX(FO$4:FO$40,MATCH(ROW()-3,FP$4:FP$40,0)))</f>
        <v/>
      </c>
      <c r="FR40">
        <f>FR39+IF(AND(FQ40&lt;&gt;"",COUNTIF(FQ$4:FQ40,FQ40)=1),1,0)</f>
        <v/>
      </c>
      <c r="FS40">
        <f>IF(ROW()-3&gt;MAX(FR$4:FR$40),"",INDEX(FQ$4:FQ$40,MATCH(ROW()-3,FR$4:FR$40,0)))</f>
        <v/>
      </c>
      <c r="FU40">
        <f>IF(FT40="","",COUNTIFS(FT$4:FT$40,"&lt;"&amp;FT40,FT$4:FT$40,"&lt;&gt;"&amp;"")+COUNTIF(FT$4:FT40,FT40))</f>
        <v/>
      </c>
      <c r="FV40">
        <f>IF(ROW()-3&gt;COUNTIF(FT$4:FT$40,"&lt;&gt;"&amp;""),"",INDEX(FT$4:FT$40,MATCH(ROW()-3,FU$4:FU$40,0)))</f>
        <v/>
      </c>
      <c r="FW40">
        <f>FW39+IF(AND(FV40&lt;&gt;"",COUNTIF(FV$4:FV40,FV40)=1),1,0)</f>
        <v/>
      </c>
      <c r="FX40">
        <f>IF(ROW()-3&gt;MAX(FW$4:FW$40),"",INDEX(FV$4:FV$40,MATCH(ROW()-3,FW$4:FW$40,0)))</f>
        <v/>
      </c>
      <c r="FY40">
        <f>IF(COUNTIF('Live Search'!BM$39:BO$39,0)+COUNTIF('Live Search'!BQ$39:CU$39,0)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FZ40">
        <f>IF($Y$40="",FALSE,SUMPRODUCT(('Final Calculation Sheet'!$B$4:$B$40=$Y$40)*($FY$6:$FY$42=1))&gt;0)</f>
        <v/>
      </c>
      <c r="GA40">
        <f>$GA$39+--($FZ$40)</f>
        <v/>
      </c>
      <c r="GB40">
        <f>IF(ROW()-3&gt;MAX($GA$4:$GA$40),"",INDEX($Y$4:$Y$40,MATCH(ROW()-3,$GA$4:$GA$40,0)))</f>
        <v/>
      </c>
      <c r="GC40">
        <f>IF(COUNTIF('Live Search'!BM$39:BM$39,0)+COUNTIF('Live Search'!BO$39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GD40">
        <f>IF($O$40="",FALSE,SUMPRODUCT(('Final Calculation Sheet'!$F$4:$F$40=$O$40)*($GC$6:$GC$42=1))&gt;0)</f>
        <v/>
      </c>
      <c r="GE40">
        <f>$GE$39+--($GD40)</f>
        <v/>
      </c>
      <c r="GF40">
        <f>IF(ROW()-3&gt;MAX($GE$4:$GE$40),"",INDEX($O$4:$O$40,MATCH(ROW()-3,$GE$4:$GE$40,0)))</f>
        <v/>
      </c>
      <c r="GG40">
        <f>IF(COUNTIF('Live Search'!BM$39:BN$39,0)+COUNTIF('Live Search'!BP$39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GH40">
        <f>IF($T$40="",FALSE,SUMPRODUCT(('Final Calculation Sheet'!$G$4:$G$40=$T$40)*($GG$6:$GG$42=1))&gt;0)</f>
        <v/>
      </c>
      <c r="GI40">
        <f>$GI$39+--($GH40)</f>
        <v/>
      </c>
      <c r="GJ40">
        <f>IF(ROW()-3&gt;MAX($GI$4:$GI$40),"",INDEX($T$4:$T$40,MATCH(ROW()-3,$GI$4:$GI$40,0)))</f>
        <v/>
      </c>
      <c r="GK40">
        <f>IF(COUNTIF('Live Search'!BM$39:BP$39,0)+COUNTIF('Live Search'!BR$39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GL40">
        <f>IF($AD$40="",FALSE,SUMPRODUCT(('Final Calculation Sheet'!$D$4:$D$40=$AD$40)*($GK$6:$GK$42=1))&gt;0)</f>
        <v/>
      </c>
      <c r="GM40">
        <f>$GM$39+--($GL40)</f>
        <v/>
      </c>
      <c r="GN40">
        <f>IF(ROW()-3&gt;MAX($GM$4:$GM$40),"",INDEX($AD$4:$AD$40,MATCH(ROW()-3,$GM$4:$GM$40,0)))</f>
        <v/>
      </c>
      <c r="GO40">
        <f>IF(COUNTIF('Live Search'!BM$39:BQ$39,0)+COUNTIF('Live Search'!BS$39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GP40">
        <f>IF($AI$40="",FALSE,SUMPRODUCT(('Final Calculation Sheet'!$A$4:$A$40=$AI$40)*($GO$6:$GO$42=1))&gt;0)</f>
        <v/>
      </c>
      <c r="GQ40">
        <f>$GQ$39+--($GP40)</f>
        <v/>
      </c>
      <c r="GR40">
        <f>IF(ROW()-3&gt;MAX($GQ$4:$GQ$40),"",INDEX($AI$4:$AI$40,MATCH(ROW()-3,$GQ$4:$GQ$40,0)))</f>
        <v/>
      </c>
      <c r="GS40">
        <f>IF(COUNTIF('Live Search'!BM$39:BR$39,0)+COUNTIF('Live Search'!BT$39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GT40">
        <f>IF($AN$40="",FALSE,SUMPRODUCT(('Final Calculation Sheet'!$E$4:$E$40=$AN$40)*($GS$6:$GS$42=1))&gt;0)</f>
        <v/>
      </c>
      <c r="GU40">
        <f>$GU$39+--($GT40)</f>
        <v/>
      </c>
      <c r="GV40">
        <f>IF(ROW()-3&gt;MAX($GU$4:$GU$40),"",INDEX($AN$4:$AN$40,MATCH(ROW()-3,$GU$4:$GU$40,0)))</f>
        <v/>
      </c>
      <c r="GW40">
        <f>IF(COUNTIF('Live Search'!BM$39:BS$39,0)+COUNTIF('Live Search'!BU$39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GX40">
        <f>IF($AS$40="",FALSE,SUMPRODUCT(('Final Calculation Sheet'!$C$4:$C$40=$AS$40)*($GW$6:$GW$42=1))&gt;0)</f>
        <v/>
      </c>
      <c r="GY40">
        <f>$GY$39+--($GX40)</f>
        <v/>
      </c>
      <c r="GZ40">
        <f>IF(ROW()-3&gt;MAX($GY$4:$GY$40),"",INDEX($AS$4:$AS$40,MATCH(ROW()-3,$GY$4:$GY$40,0)))</f>
        <v/>
      </c>
      <c r="HA40">
        <f>IF(COUNTIF('Live Search'!BM$39:BT$39,0)+COUNTIF('Live Search'!BV$39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HB40">
        <f>IF($AX$40="",FALSE,SUMPRODUCT(('Final Calculation Sheet'!$H$4:$H$40=$AX$40)*($HA$6:$HA$42=1))&gt;0)</f>
        <v/>
      </c>
      <c r="HC40">
        <f>$HC$39+--($HB40)</f>
        <v/>
      </c>
      <c r="HD40">
        <f>IF(ROW()-3&gt;MAX($HC$4:$HC$40),"",INDEX($AX$4:$AX$40,MATCH(ROW()-3,$HC$4:$HC$40,0)))</f>
        <v/>
      </c>
      <c r="HE40">
        <f>IF(COUNTIF('Live Search'!BM$39:BU$39,0)+COUNTIF('Live Search'!BW$39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HF40">
        <f>IF($BC$40="",FALSE,SUMPRODUCT(('Final Calculation Sheet'!$I$4:$I$40=$BC$40)*($HE$6:$HE$42=1))&gt;0)</f>
        <v/>
      </c>
      <c r="HG40">
        <f>$HG$39+--($HF40)</f>
        <v/>
      </c>
      <c r="HH40">
        <f>IF(ROW()-3&gt;MAX($HG$4:$HG$40),"",INDEX($BC$4:$BC$40,MATCH(ROW()-3,$HG$4:$HG$40,0)))</f>
        <v/>
      </c>
      <c r="HI40">
        <f>IF(COUNTIF('Live Search'!BM$39:BV$39,0)+COUNTIF('Live Search'!BX$39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HJ40">
        <f>IF($BH$40="",FALSE,SUMPRODUCT(('Final Calculation Sheet'!$J$4:$J$40=$BH$40)*($HI$6:$HI$42=1))&gt;0)</f>
        <v/>
      </c>
      <c r="HK40">
        <f>$HK$39+--($HJ40)</f>
        <v/>
      </c>
      <c r="HL40">
        <f>IF(ROW()-3&gt;MAX($HK$4:$HK$40),"",INDEX($BH$4:$BH$40,MATCH(ROW()-3,$HK$4:$HK$40,0)))</f>
        <v/>
      </c>
      <c r="HM40">
        <f>IF(COUNTIF('Live Search'!BM$39:BW$39,0)+COUNTIF('Live Search'!BY$39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HN40">
        <f>IF($BM$40="",FALSE,SUMPRODUCT(('Final Calculation Sheet'!$K$4:$K$40=$BM$40)*($HM$6:$HM$42=1))&gt;0)</f>
        <v/>
      </c>
      <c r="HO40">
        <f>$HO$39+--($HN40)</f>
        <v/>
      </c>
      <c r="HP40">
        <f>IF(ROW()-3&gt;MAX($HO$4:$HO$40),"",INDEX($BM$4:$BM$40,MATCH(ROW()-3,$HO$4:$HO$40,0)))</f>
        <v/>
      </c>
      <c r="HQ40">
        <f>IF(COUNTIF('Live Search'!BM$39:BX$39,0)+COUNTIF('Live Search'!BZ$39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HR40">
        <f>IF($BR$40="",FALSE,SUMPRODUCT(('Final Calculation Sheet'!$L$4:$L$40=$BR$40)*($HQ$6:$HQ$42=1))&gt;0)</f>
        <v/>
      </c>
      <c r="HS40">
        <f>$HS$39+--($HR40)</f>
        <v/>
      </c>
      <c r="HT40">
        <f>IF(ROW()-3&gt;MAX($HS$4:$HS$40),"",INDEX($BR$4:$BR$40,MATCH(ROW()-3,$HS$4:$HS$40,0)))</f>
        <v/>
      </c>
      <c r="HU40">
        <f>IF(COUNTIF('Live Search'!BM$39:BY$39,0)+COUNTIF('Live Search'!CA$39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HV40">
        <f>IF($BW$40="",FALSE,SUMPRODUCT(('Final Calculation Sheet'!$M$4:$M$40=$BW$40)*($HU$6:$HU$42=1))&gt;0)</f>
        <v/>
      </c>
      <c r="HW40">
        <f>$HW$39+--($HV40)</f>
        <v/>
      </c>
      <c r="HX40">
        <f>IF(ROW()-3&gt;MAX($HW$4:$HW$40),"",INDEX($BW$4:$BW$40,MATCH(ROW()-3,$HW$4:$HW$40,0)))</f>
        <v/>
      </c>
      <c r="HY40">
        <f>IF(COUNTIF('Live Search'!BM$39:BZ$39,0)+COUNTIF('Live Search'!CB$39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HZ40">
        <f>IF($CB$40="",FALSE,SUMPRODUCT(('Final Calculation Sheet'!$N$4:$N$40=$CB$40)*($HY$6:$HY$42=1))&gt;0)</f>
        <v/>
      </c>
      <c r="IA40">
        <f>$IA$39+--($HZ40)</f>
        <v/>
      </c>
      <c r="IB40">
        <f>IF(ROW()-3&gt;MAX($IA$4:$IA$40),"",INDEX($CB$4:$CB$40,MATCH(ROW()-3,$IA$4:$IA$40,0)))</f>
        <v/>
      </c>
      <c r="IC40">
        <f>IF(COUNTIF('Live Search'!BM$39:CA$39,0)+COUNTIF('Live Search'!CC$39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ID40">
        <f>IF($CG$40="",FALSE,SUMPRODUCT(('Final Calculation Sheet'!$O$4:$O$40=$CG$40)*($IC$6:$IC$42=1))&gt;0)</f>
        <v/>
      </c>
      <c r="IE40">
        <f>$IE$39+--($ID40)</f>
        <v/>
      </c>
      <c r="IF40">
        <f>IF(ROW()-3&gt;MAX($IE$4:$IE$40),"",INDEX($CG$4:$CG$40,MATCH(ROW()-3,$IE$4:$IE$40,0)))</f>
        <v/>
      </c>
      <c r="IG40">
        <f>IF(COUNTIF('Live Search'!BM$39:CB$39,0)+COUNTIF('Live Search'!CD$39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IH40">
        <f>IF($CL$40="",FALSE,SUMPRODUCT(('Final Calculation Sheet'!$P$4:$P$40=$CL$40)*($IG$6:$IG$42=1))&gt;0)</f>
        <v/>
      </c>
      <c r="II40">
        <f>$II$39+--($IH40)</f>
        <v/>
      </c>
      <c r="IJ40">
        <f>IF(ROW()-3&gt;MAX($II$4:$II$40),"",INDEX($CL$4:$CL$40,MATCH(ROW()-3,$II$4:$II$40,0)))</f>
        <v/>
      </c>
      <c r="IK40">
        <f>IF(COUNTIF('Live Search'!BM$39:CC$39,0)+COUNTIF('Live Search'!CE$39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IL40">
        <f>IF($CQ$40="",FALSE,SUMPRODUCT(('Final Calculation Sheet'!$Q$4:$Q$40=$CQ$40)*($IK$6:$IK$42=1))&gt;0)</f>
        <v/>
      </c>
      <c r="IM40">
        <f>$IM$39+--($IL40)</f>
        <v/>
      </c>
      <c r="IN40">
        <f>IF(ROW()-3&gt;MAX($IM$4:$IM$40),"",INDEX($CQ$4:$CQ$40,MATCH(ROW()-3,$IM$4:$IM$40,0)))</f>
        <v/>
      </c>
      <c r="IO40">
        <f>IF(COUNTIF('Live Search'!BM$39:CD$39,0)+COUNTIF('Live Search'!CF$39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IP40">
        <f>IF($CV$40="",FALSE,SUMPRODUCT(('Final Calculation Sheet'!$R$4:$R$40=$CV$40)*($IO$6:$IO$42=1))&gt;0)</f>
        <v/>
      </c>
      <c r="IQ40">
        <f>$IQ$39+--($IP40)</f>
        <v/>
      </c>
      <c r="IR40">
        <f>IF(ROW()-3&gt;MAX($IQ$4:$IQ$40),"",INDEX($CV$4:$CV$40,MATCH(ROW()-3,$IQ$4:$IQ$40,0)))</f>
        <v/>
      </c>
      <c r="IS40">
        <f>IF(COUNTIF('Live Search'!BM$39:CE$39,0)+COUNTIF('Live Search'!CG$39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IT40">
        <f>IF($DA$40="",FALSE,SUMPRODUCT(('Final Calculation Sheet'!$S$4:$S$40=$DA$40)*($IS$6:$IS$42=1))&gt;0)</f>
        <v/>
      </c>
      <c r="IU40">
        <f>$IU$39+--($IT40)</f>
        <v/>
      </c>
      <c r="IV40">
        <f>IF(ROW()-3&gt;MAX($IU$4:$IU$40),"",INDEX($DA$4:$DA$40,MATCH(ROW()-3,$IU$4:$IU$40,0)))</f>
        <v/>
      </c>
      <c r="IW40">
        <f>IF(COUNTIF('Live Search'!BM$39:CF$39,0)+COUNTIF('Live Search'!CH$39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IX40">
        <f>IF($DF$40="",FALSE,SUMPRODUCT(('Final Calculation Sheet'!$T$4:$T$40=$DF$40)*($IW$6:$IW$42=1))&gt;0)</f>
        <v/>
      </c>
      <c r="IY40">
        <f>$IY$39+--($IX40)</f>
        <v/>
      </c>
      <c r="IZ40">
        <f>IF(ROW()-3&gt;MAX($IY$4:$IY$40),"",INDEX($DF$4:$DF$40,MATCH(ROW()-3,$IY$4:$IY$40,0)))</f>
        <v/>
      </c>
      <c r="JA40">
        <f>IF(COUNTIF('Live Search'!BM$39:CG$39,0)+COUNTIF('Live Search'!CI$39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JB40">
        <f>IF($DK$40="",FALSE,SUMPRODUCT(('Final Calculation Sheet'!$U$4:$U$40=$DK$40)*($JA$6:$JA$42=1))&gt;0)</f>
        <v/>
      </c>
      <c r="JC40">
        <f>$JC$39+--($JB40)</f>
        <v/>
      </c>
      <c r="JD40">
        <f>IF(ROW()-3&gt;MAX($JC$4:$JC$40),"",INDEX($DK$4:$DK$40,MATCH(ROW()-3,$JC$4:$JC$40,0)))</f>
        <v/>
      </c>
      <c r="JE40">
        <f>IF(COUNTIF('Live Search'!BM$39:CH$39,0)+COUNTIF('Live Search'!CJ$39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JF40">
        <f>IF($DP$40="",FALSE,SUMPRODUCT(('Final Calculation Sheet'!$V$4:$V$40=$DP$40)*($JE$6:$JE$42=1))&gt;0)</f>
        <v/>
      </c>
      <c r="JG40">
        <f>$JG$39+--($JF40)</f>
        <v/>
      </c>
      <c r="JH40">
        <f>IF(ROW()-3&gt;MAX($JG$4:$JG$40),"",INDEX($DP$4:$DP$40,MATCH(ROW()-3,$JG$4:$JG$40,0)))</f>
        <v/>
      </c>
      <c r="JI40">
        <f>IF(COUNTIF('Live Search'!BM$39:CI$39,0)+COUNTIF('Live Search'!CK$39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JJ40">
        <f>IF($DU$40="",FALSE,SUMPRODUCT(('Final Calculation Sheet'!$W$4:$W$40=$DU$40)*($JI$6:$JI$42=1))&gt;0)</f>
        <v/>
      </c>
      <c r="JK40">
        <f>$JK$39+--($JJ40)</f>
        <v/>
      </c>
      <c r="JL40">
        <f>IF(ROW()-3&gt;MAX($JK$4:$JK$40),"",INDEX($DU$4:$DU$40,MATCH(ROW()-3,$JK$4:$JK$40,0)))</f>
        <v/>
      </c>
      <c r="JM40">
        <f>IF(COUNTIF('Live Search'!BM$39:CJ$39,0)+COUNTIF('Live Search'!CL$39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JN40">
        <f>IF($DZ$40="",FALSE,SUMPRODUCT(('Final Calculation Sheet'!$X$4:$X$40=$DZ$40)*($JM$6:$JM$42=1))&gt;0)</f>
        <v/>
      </c>
      <c r="JO40">
        <f>$JO$39+--($JN40)</f>
        <v/>
      </c>
      <c r="JP40">
        <f>IF(ROW()-3&gt;MAX($JO$4:$JO$40),"",INDEX($DZ$4:$DZ$40,MATCH(ROW()-3,$JO$4:$JO$40,0)))</f>
        <v/>
      </c>
      <c r="JQ40">
        <f>IF(COUNTIF('Live Search'!BM$39:CK$39,0)+COUNTIF('Live Search'!CM$39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JR40">
        <f>IF($EE$40="",FALSE,SUMPRODUCT(('Final Calculation Sheet'!$Y$4:$Y$40=$EE$40)*($JQ$6:$JQ$42=1))&gt;0)</f>
        <v/>
      </c>
      <c r="JS40">
        <f>$JS$39+--($JR40)</f>
        <v/>
      </c>
      <c r="JT40">
        <f>IF(ROW()-3&gt;MAX($JS$4:$JS$40),"",INDEX($EE$4:$EE$40,MATCH(ROW()-3,$JS$4:$JS$40,0)))</f>
        <v/>
      </c>
      <c r="JU40">
        <f>IF(COUNTIF('Live Search'!BM$39:CL$39,0)+COUNTIF('Live Search'!CN$39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JV40">
        <f>IF($EJ$40="",FALSE,SUMPRODUCT(('Final Calculation Sheet'!$Z$4:$Z$40=$EJ$40)*($JU$6:$JU$42=1))&gt;0)</f>
        <v/>
      </c>
      <c r="JW40">
        <f>$JW$39+--($JV40)</f>
        <v/>
      </c>
      <c r="JX40">
        <f>IF(ROW()-3&gt;MAX($JW$4:$JW$40),"",INDEX($EJ$4:$EJ$40,MATCH(ROW()-3,$JW$4:$JW$40,0)))</f>
        <v/>
      </c>
      <c r="JY40">
        <f>IF(COUNTIF('Live Search'!BM$39:CM$39,0)+COUNTIF('Live Search'!CO$39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JZ40">
        <f>IF($EO$40="",FALSE,SUMPRODUCT(('Final Calculation Sheet'!$AA$4:$AA$40=$EO$40)*($JY$6:$JY$42=1))&gt;0)</f>
        <v/>
      </c>
      <c r="KA40">
        <f>$KA$39+--($JZ40)</f>
        <v/>
      </c>
      <c r="KB40">
        <f>IF(ROW()-3&gt;MAX($KA$4:$KA$40),"",INDEX($EO$4:$EO$40,MATCH(ROW()-3,$KA$4:$KA$40,0)))</f>
        <v/>
      </c>
      <c r="KC40">
        <f>IF(COUNTIF('Live Search'!BM$39:CN$39,0)+COUNTIF('Live Search'!CP$39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KD40">
        <f>IF($ET$40="",FALSE,SUMPRODUCT(('Final Calculation Sheet'!$AB$4:$AB$40=$ET$40)*($KC$6:$KC$42=1))&gt;0)</f>
        <v/>
      </c>
      <c r="KE40">
        <f>$KE$39+--($KD40)</f>
        <v/>
      </c>
      <c r="KF40">
        <f>IF(ROW()-3&gt;MAX($KE$4:$KE$40),"",INDEX($ET$4:$ET$40,MATCH(ROW()-3,$KE$4:$KE$40,0)))</f>
        <v/>
      </c>
      <c r="KG40">
        <f>IF(COUNTIF('Live Search'!BM$39:CO$39,0)+COUNTIF('Live Search'!CQ$39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KH40">
        <f>IF($EY$40="",FALSE,SUMPRODUCT(('Final Calculation Sheet'!$AC$4:$AC$40=$EY$40)*($KG$6:$KG$42=1))&gt;0)</f>
        <v/>
      </c>
      <c r="KI40">
        <f>$KI$39+--($KH40)</f>
        <v/>
      </c>
      <c r="KJ40">
        <f>IF(ROW()-3&gt;MAX($KI$4:$KI$40),"",INDEX($EY$4:$EY$40,MATCH(ROW()-3,$KI$4:$KI$40,0)))</f>
        <v/>
      </c>
      <c r="KK40">
        <f>IF(COUNTIF('Live Search'!BM$39:CP$39,0)+COUNTIF('Live Search'!CR$39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KL40">
        <f>IF($FD$40="",FALSE,SUMPRODUCT(('Final Calculation Sheet'!$AD$4:$AD$40=$FD$40)*($KK$6:$KK$42=1))&gt;0)</f>
        <v/>
      </c>
      <c r="KM40">
        <f>$KM$39+--($KL40)</f>
        <v/>
      </c>
      <c r="KN40">
        <f>IF(ROW()-3&gt;MAX($KM$4:$KM$40),"",INDEX($FD$4:$FD$40,MATCH(ROW()-3,$KM$4:$KM$40,0)))</f>
        <v/>
      </c>
      <c r="KO40">
        <f>IF(COUNTIF('Live Search'!BM$39:CT$39,0)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KP40">
        <f>IF($FX$40="",FALSE,SUMPRODUCT((IF('Final Calculation Sheet'!$AD$4:$AD$40&lt;=5,"SETTLED","OUTSTANDING")=$FX$40)*($KO$6:$KO$42=1))&gt;0)</f>
        <v/>
      </c>
      <c r="KQ40">
        <f>$KQ$39+--($KP40)</f>
        <v/>
      </c>
      <c r="KR40">
        <f>IF(ROW()-3&gt;MAX($KQ$4:$KQ$40),"",INDEX($FX$4:$FX$40,MATCH(ROW()-3,$KQ$4:$KQ$40,0)))</f>
        <v/>
      </c>
      <c r="KS40">
        <f>IF(COUNTIF('Live Search'!BM$39:CQ$39,0)+COUNTIF('Live Search'!CS$39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KT40">
        <f>IF($FI$40="",FALSE,SUMPRODUCT(('Final Calculation Sheet'!$AF$4:$AF$40=$FI$40)*($KS$6:$KS$42=1))&gt;0)</f>
        <v/>
      </c>
      <c r="KU40">
        <f>$KU$39+--($KT40)</f>
        <v/>
      </c>
      <c r="KV40">
        <f>IF(ROW()-3&gt;MAX($KU$4:$KU$40),"",INDEX($FI$4:$FI$40,MATCH(ROW()-3,$KU$4:$KU$40,0)))</f>
        <v/>
      </c>
      <c r="KW40">
        <f>IF(COUNTIF('Live Search'!BM$39:CR$39,0)+COUNTIF('Live Search'!CT$39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KX40">
        <f>IF($FN$40="",FALSE,SUMPRODUCT(('Final Calculation Sheet'!$AG$4:$AG$40=$FN$40)*($KW$6:$KW$42=1))&gt;0)</f>
        <v/>
      </c>
      <c r="KY40">
        <f>$KY$39+--($KX40)</f>
        <v/>
      </c>
      <c r="KZ40">
        <f>IF(ROW()-3&gt;MAX($KY$4:$KY$40),"",INDEX($FN$4:$FN$40,MATCH(ROW()-3,$KY$4:$KY$40,0)))</f>
        <v/>
      </c>
      <c r="LA40">
        <f>IF(COUNTIF('Live Search'!BM$39:CS$39,0)+COUNTIF('Live Search'!CU$39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LB40">
        <f>IF($FS$40="",FALSE,SUMPRODUCT(('Final Calculation Sheet'!$AH$4:$AH$40=$FS$40)*($LA$6:$LA$42=1))&gt;0)</f>
        <v/>
      </c>
      <c r="LC40">
        <f>$LC$39+--($LB40)</f>
        <v/>
      </c>
      <c r="LD40">
        <f>IF(ROW()-3&gt;MAX($LC$4:$LC$40),"",INDEX($FS$4:$FS$40,MATCH(ROW()-3,$LC$4:$LC$40,0)))</f>
        <v/>
      </c>
      <c r="LE40">
        <f>IF(COUNTIF('Buyer Groups'!DH93:EN93,0)&gt;0,0,1)</f>
        <v/>
      </c>
      <c r="LF40">
        <f>IF($O$40="",FALSE,SUMPRODUCT(('Final Calculation Sheet'!$F$4:$F$40=$O$40)*($LE$6:$LE$42=1))&gt;0)</f>
        <v/>
      </c>
      <c r="LG40">
        <f>$LG$39+--($LF40)</f>
        <v/>
      </c>
      <c r="LH40">
        <f>IF(ROW()-3&gt;MAX($LG$4:$LG$40),"",INDEX($O$4:$O$40,MATCH(ROW()-3,$LG$4:$LG$40,0)))</f>
        <v/>
      </c>
      <c r="LI40">
        <f>IF(COUNTIF('Buyer Groups'!DG93:DG93,0)+COUNTIF('Buyer Groups'!DI93:EN93,0)&gt;0,0,1)</f>
        <v/>
      </c>
      <c r="LJ40">
        <f>IF($T$40="",FALSE,SUMPRODUCT(('Final Calculation Sheet'!$G$4:$G$40=$T$40)*($LI$6:$LI$42=1))&gt;0)</f>
        <v/>
      </c>
      <c r="LK40">
        <f>$LK$39+--($LJ40)</f>
        <v/>
      </c>
      <c r="LL40">
        <f>IF(ROW()-3&gt;MAX($LK$4:$LK$40),"",INDEX($T$4:$T$40,MATCH(ROW()-3,$LK$4:$LK$40,0)))</f>
        <v/>
      </c>
      <c r="LM40">
        <f>IF(COUNTIF('Buyer Groups'!DG93:DH93,0)+COUNTIF('Buyer Groups'!DJ93:EN93,0)&gt;0,0,1)</f>
        <v/>
      </c>
      <c r="LN40">
        <f>IF($Y$40="",FALSE,SUMPRODUCT(('Final Calculation Sheet'!$B$4:$B$40=$Y$40)*($LM$6:$LM$42=1))&gt;0)</f>
        <v/>
      </c>
      <c r="LO40">
        <f>$LO$39+--($LN40)</f>
        <v/>
      </c>
      <c r="LP40">
        <f>IF(ROW()-3&gt;MAX($LO$4:$LO$40),"",INDEX($Y$4:$Y$40,MATCH(ROW()-3,$LO$4:$LO$40,0)))</f>
        <v/>
      </c>
      <c r="LQ40">
        <f>IF(COUNTIF('Buyer Groups'!DG93:DI93,0)+COUNTIF('Buyer Groups'!DK93:EN93,0)&gt;0,0,1)</f>
        <v/>
      </c>
      <c r="LR40">
        <f>IF($AD$40="",FALSE,SUMPRODUCT(('Final Calculation Sheet'!$D$4:$D$40=$AD$40)*($LQ$6:$LQ$42=1))&gt;0)</f>
        <v/>
      </c>
      <c r="LS40">
        <f>$LS$39+--($LR40)</f>
        <v/>
      </c>
      <c r="LT40">
        <f>IF(ROW()-3&gt;MAX($LS$4:$LS$40),"",INDEX($AD$4:$AD$40,MATCH(ROW()-3,$LS$4:$LS$40,0)))</f>
        <v/>
      </c>
      <c r="LU40">
        <f>IF(COUNTIF('Buyer Groups'!DG93:DJ93,0)+COUNTIF('Buyer Groups'!DL93:EN93,0)&gt;0,0,1)</f>
        <v/>
      </c>
      <c r="LV40">
        <f>IF($AI$40="",FALSE,SUMPRODUCT(('Final Calculation Sheet'!$A$4:$A$40=$AI$40)*($LU$6:$LU$42=1))&gt;0)</f>
        <v/>
      </c>
      <c r="LW40">
        <f>$LW$39+--($LV40)</f>
        <v/>
      </c>
      <c r="LX40">
        <f>IF(ROW()-3&gt;MAX($LW$4:$LW$40),"",INDEX($AI$4:$AI$40,MATCH(ROW()-3,$LW$4:$LW$40,0)))</f>
        <v/>
      </c>
      <c r="LY40">
        <f>IF(COUNTIF('Buyer Groups'!DG93:DK93,0)+COUNTIF('Buyer Groups'!DM93:EN93,0)&gt;0,0,1)</f>
        <v/>
      </c>
      <c r="LZ40">
        <f>IF($AN$40="",FALSE,SUMPRODUCT(('Final Calculation Sheet'!$E$4:$E$40=$AN$40)*($LY$6:$LY$42=1))&gt;0)</f>
        <v/>
      </c>
      <c r="MA40">
        <f>$MA$39+--($LZ40)</f>
        <v/>
      </c>
      <c r="MB40">
        <f>IF(ROW()-3&gt;MAX($MA$4:$MA$40),"",INDEX($AN$4:$AN$40,MATCH(ROW()-3,$MA$4:$MA$40,0)))</f>
        <v/>
      </c>
      <c r="MC40">
        <f>IF(COUNTIF('Buyer Groups'!DG93:DL93,0)+COUNTIF('Buyer Groups'!DN93:EN93,0)&gt;0,0,1)</f>
        <v/>
      </c>
      <c r="MD40">
        <f>IF($AS$40="",FALSE,SUMPRODUCT(('Final Calculation Sheet'!$C$4:$C$40=$AS$40)*($MC$6:$MC$42=1))&gt;0)</f>
        <v/>
      </c>
      <c r="ME40">
        <f>$ME$39+--($MD40)</f>
        <v/>
      </c>
      <c r="MF40">
        <f>IF(ROW()-3&gt;MAX($ME$4:$ME$40),"",INDEX($AS$4:$AS$40,MATCH(ROW()-3,$ME$4:$ME$40,0)))</f>
        <v/>
      </c>
      <c r="MG40">
        <f>IF(COUNTIF('Buyer Groups'!DG93:DM93,0)+COUNTIF('Buyer Groups'!DO93:EN93,0)&gt;0,0,1)</f>
        <v/>
      </c>
      <c r="MH40">
        <f>IF($AX$40="",FALSE,SUMPRODUCT(('Final Calculation Sheet'!$H$4:$H$40=$AX$40)*($MG$6:$MG$42=1))&gt;0)</f>
        <v/>
      </c>
      <c r="MI40">
        <f>$MI$39+--($MH40)</f>
        <v/>
      </c>
      <c r="MJ40">
        <f>IF(ROW()-3&gt;MAX($MI$4:$MI$40),"",INDEX($AX$4:$AX$40,MATCH(ROW()-3,$MI$4:$MI$40,0)))</f>
        <v/>
      </c>
      <c r="MK40">
        <f>IF(COUNTIF('Buyer Groups'!DG93:DN93,0)+COUNTIF('Buyer Groups'!DP93:EN93,0)&gt;0,0,1)</f>
        <v/>
      </c>
      <c r="ML40">
        <f>IF($BC$40="",FALSE,SUMPRODUCT(('Final Calculation Sheet'!$I$4:$I$40=$BC$40)*($MK$6:$MK$42=1))&gt;0)</f>
        <v/>
      </c>
      <c r="MM40">
        <f>$MM$39+--($ML40)</f>
        <v/>
      </c>
      <c r="MN40">
        <f>IF(ROW()-3&gt;MAX($MM$4:$MM$40),"",INDEX($BC$4:$BC$40,MATCH(ROW()-3,$MM$4:$MM$40,0)))</f>
        <v/>
      </c>
      <c r="MO40">
        <f>IF(COUNTIF('Buyer Groups'!DG93:DO93,0)+COUNTIF('Buyer Groups'!DQ93:EN93,0)&gt;0,0,1)</f>
        <v/>
      </c>
      <c r="MP40">
        <f>IF($BH$40="",FALSE,SUMPRODUCT(('Final Calculation Sheet'!$J$4:$J$40=$BH$40)*($MO$6:$MO$42=1))&gt;0)</f>
        <v/>
      </c>
      <c r="MQ40">
        <f>$MQ$39+--($MP40)</f>
        <v/>
      </c>
      <c r="MR40">
        <f>IF(ROW()-3&gt;MAX($MQ$4:$MQ$40),"",INDEX($BH$4:$BH$40,MATCH(ROW()-3,$MQ$4:$MQ$40,0)))</f>
        <v/>
      </c>
      <c r="MS40">
        <f>IF(COUNTIF('Buyer Groups'!DG93:DP93,0)+COUNTIF('Buyer Groups'!DR93:EN93,0)&gt;0,0,1)</f>
        <v/>
      </c>
      <c r="MT40">
        <f>IF($BM$40="",FALSE,SUMPRODUCT(('Final Calculation Sheet'!$K$4:$K$40=$BM$40)*($MS$6:$MS$42=1))&gt;0)</f>
        <v/>
      </c>
      <c r="MU40">
        <f>$MU$39+--($MT40)</f>
        <v/>
      </c>
      <c r="MV40">
        <f>IF(ROW()-3&gt;MAX($MU$4:$MU$40),"",INDEX($BM$4:$BM$40,MATCH(ROW()-3,$MU$4:$MU$40,0)))</f>
        <v/>
      </c>
      <c r="MW40">
        <f>IF(COUNTIF('Buyer Groups'!DG93:DQ93,0)+COUNTIF('Buyer Groups'!DS93:EN93,0)&gt;0,0,1)</f>
        <v/>
      </c>
      <c r="MX40">
        <f>IF($BR$40="",FALSE,SUMPRODUCT(('Final Calculation Sheet'!$L$4:$L$40=$BR$40)*($MW$6:$MW$42=1))&gt;0)</f>
        <v/>
      </c>
      <c r="MY40">
        <f>$MY$39+--($MX40)</f>
        <v/>
      </c>
      <c r="MZ40">
        <f>IF(ROW()-3&gt;MAX($MY$4:$MY$40),"",INDEX($BR$4:$BR$40,MATCH(ROW()-3,$MY$4:$MY$40,0)))</f>
        <v/>
      </c>
      <c r="NA40">
        <f>IF(COUNTIF('Buyer Groups'!DG93:DR93,0)+COUNTIF('Buyer Groups'!DT93:EN93,0)&gt;0,0,1)</f>
        <v/>
      </c>
      <c r="NB40">
        <f>IF($BW$40="",FALSE,SUMPRODUCT(('Final Calculation Sheet'!$M$4:$M$40=$BW$40)*($NA$6:$NA$42=1))&gt;0)</f>
        <v/>
      </c>
      <c r="NC40">
        <f>$NC$39+--($NB40)</f>
        <v/>
      </c>
      <c r="ND40">
        <f>IF(ROW()-3&gt;MAX($NC$4:$NC$40),"",INDEX($BW$4:$BW$40,MATCH(ROW()-3,$NC$4:$NC$40,0)))</f>
        <v/>
      </c>
      <c r="NE40">
        <f>IF(COUNTIF('Buyer Groups'!DG93:DS93,0)+COUNTIF('Buyer Groups'!DU93:EN93,0)&gt;0,0,1)</f>
        <v/>
      </c>
      <c r="NF40">
        <f>IF($CB$40="",FALSE,SUMPRODUCT(('Final Calculation Sheet'!$N$4:$N$40=$CB$40)*($NE$6:$NE$42=1))&gt;0)</f>
        <v/>
      </c>
      <c r="NG40">
        <f>$NG$39+--($NF40)</f>
        <v/>
      </c>
      <c r="NH40">
        <f>IF(ROW()-3&gt;MAX($NG$4:$NG$40),"",INDEX($CB$4:$CB$40,MATCH(ROW()-3,$NG$4:$NG$40,0)))</f>
        <v/>
      </c>
      <c r="NI40">
        <f>IF(COUNTIF('Buyer Groups'!DG93:DT93,0)+COUNTIF('Buyer Groups'!DV93:EN93,0)&gt;0,0,1)</f>
        <v/>
      </c>
      <c r="NJ40">
        <f>IF($CG$40="",FALSE,SUMPRODUCT(('Final Calculation Sheet'!$O$4:$O$40=$CG$40)*($NI$6:$NI$42=1))&gt;0)</f>
        <v/>
      </c>
      <c r="NK40">
        <f>$NK$39+--($NJ40)</f>
        <v/>
      </c>
      <c r="NL40">
        <f>IF(ROW()-3&gt;MAX($NK$4:$NK$40),"",INDEX($CG$4:$CG$40,MATCH(ROW()-3,$NK$4:$NK$40,0)))</f>
        <v/>
      </c>
      <c r="NM40">
        <f>IF(COUNTIF('Buyer Groups'!DG93:DU93,0)+COUNTIF('Buyer Groups'!DW93:EN93,0)&gt;0,0,1)</f>
        <v/>
      </c>
      <c r="NN40">
        <f>IF($CL$40="",FALSE,SUMPRODUCT(('Final Calculation Sheet'!$P$4:$P$40=$CL$40)*($NM$6:$NM$42=1))&gt;0)</f>
        <v/>
      </c>
      <c r="NO40">
        <f>$NO$39+--($NN40)</f>
        <v/>
      </c>
      <c r="NP40">
        <f>IF(ROW()-3&gt;MAX($NO$4:$NO$40),"",INDEX($CL$4:$CL$40,MATCH(ROW()-3,$NO$4:$NO$40,0)))</f>
        <v/>
      </c>
      <c r="NQ40">
        <f>IF(COUNTIF('Buyer Groups'!DG93:DV93,0)+COUNTIF('Buyer Groups'!DX93:EN93,0)&gt;0,0,1)</f>
        <v/>
      </c>
      <c r="NR40">
        <f>IF($CQ$40="",FALSE,SUMPRODUCT(('Final Calculation Sheet'!$Q$4:$Q$40=$CQ$40)*($NQ$6:$NQ$42=1))&gt;0)</f>
        <v/>
      </c>
      <c r="NS40">
        <f>$NS$39+--($NR40)</f>
        <v/>
      </c>
      <c r="NT40">
        <f>IF(ROW()-3&gt;MAX($NS$4:$NS$40),"",INDEX($CQ$4:$CQ$40,MATCH(ROW()-3,$NS$4:$NS$40,0)))</f>
        <v/>
      </c>
      <c r="NU40">
        <f>IF(COUNTIF('Buyer Groups'!DG93:DW93,0)+COUNTIF('Buyer Groups'!DY93:EN93,0)&gt;0,0,1)</f>
        <v/>
      </c>
      <c r="NV40">
        <f>IF($CV$40="",FALSE,SUMPRODUCT(('Final Calculation Sheet'!$R$4:$R$40=$CV$40)*($NU$6:$NU$42=1))&gt;0)</f>
        <v/>
      </c>
      <c r="NW40">
        <f>$NW$39+--($NV40)</f>
        <v/>
      </c>
      <c r="NX40">
        <f>IF(ROW()-3&gt;MAX($NW$4:$NW$40),"",INDEX($CV$4:$CV$40,MATCH(ROW()-3,$NW$4:$NW$40,0)))</f>
        <v/>
      </c>
      <c r="NY40">
        <f>IF(COUNTIF('Buyer Groups'!DG93:DX93,0)+COUNTIF('Buyer Groups'!DZ93:EN93,0)&gt;0,0,1)</f>
        <v/>
      </c>
      <c r="NZ40">
        <f>IF($DA$40="",FALSE,SUMPRODUCT(('Final Calculation Sheet'!$S$4:$S$40=$DA$40)*($NY$6:$NY$42=1))&gt;0)</f>
        <v/>
      </c>
      <c r="OA40">
        <f>$OA$39+--($NZ40)</f>
        <v/>
      </c>
      <c r="OB40">
        <f>IF(ROW()-3&gt;MAX($OA$4:$OA$40),"",INDEX($DA$4:$DA$40,MATCH(ROW()-3,$OA$4:$OA$40,0)))</f>
        <v/>
      </c>
      <c r="OC40">
        <f>IF(COUNTIF('Buyer Groups'!DG93:DY93,0)+COUNTIF('Buyer Groups'!EA93:EN93,0)&gt;0,0,1)</f>
        <v/>
      </c>
      <c r="OD40">
        <f>IF($DF$40="",FALSE,SUMPRODUCT(('Final Calculation Sheet'!$T$4:$T$40=$DF$40)*($OC$6:$OC$42=1))&gt;0)</f>
        <v/>
      </c>
      <c r="OE40">
        <f>$OE$39+--($OD40)</f>
        <v/>
      </c>
      <c r="OF40">
        <f>IF(ROW()-3&gt;MAX($OE$4:$OE$40),"",INDEX($DF$4:$DF$40,MATCH(ROW()-3,$OE$4:$OE$40,0)))</f>
        <v/>
      </c>
      <c r="OG40">
        <f>IF(COUNTIF('Buyer Groups'!DG93:DZ93,0)+COUNTIF('Buyer Groups'!EB93:EN93,0)&gt;0,0,1)</f>
        <v/>
      </c>
      <c r="OH40">
        <f>IF($DK$40="",FALSE,SUMPRODUCT(('Final Calculation Sheet'!$U$4:$U$40=$DK$40)*($OG$6:$OG$42=1))&gt;0)</f>
        <v/>
      </c>
      <c r="OI40">
        <f>$OI$39+--($OH40)</f>
        <v/>
      </c>
      <c r="OJ40">
        <f>IF(ROW()-3&gt;MAX($OI$4:$OI$40),"",INDEX($DK$4:$DK$40,MATCH(ROW()-3,$OI$4:$OI$40,0)))</f>
        <v/>
      </c>
      <c r="OK40">
        <f>IF(COUNTIF('Buyer Groups'!DG93:EA93,0)+COUNTIF('Buyer Groups'!EC93:EN93,0)&gt;0,0,1)</f>
        <v/>
      </c>
      <c r="OL40">
        <f>IF($DP$40="",FALSE,SUMPRODUCT(('Final Calculation Sheet'!$V$4:$V$40=$DP$40)*($OK$6:$OK$42=1))&gt;0)</f>
        <v/>
      </c>
      <c r="OM40">
        <f>$OM$39+--($OL40)</f>
        <v/>
      </c>
      <c r="ON40">
        <f>IF(ROW()-3&gt;MAX($OM$4:$OM$40),"",INDEX($DP$4:$DP$40,MATCH(ROW()-3,$OM$4:$OM$40,0)))</f>
        <v/>
      </c>
      <c r="OO40">
        <f>IF(COUNTIF('Buyer Groups'!DG93:EB93,0)+COUNTIF('Buyer Groups'!ED93:EN93,0)&gt;0,0,1)</f>
        <v/>
      </c>
      <c r="OP40">
        <f>IF($DU$40="",FALSE,SUMPRODUCT(('Final Calculation Sheet'!$W$4:$W$40=$DU$40)*($OO$6:$OO$42=1))&gt;0)</f>
        <v/>
      </c>
      <c r="OQ40">
        <f>$OQ$39+--($OP40)</f>
        <v/>
      </c>
      <c r="OR40">
        <f>IF(ROW()-3&gt;MAX($OQ$4:$OQ$40),"",INDEX($DU$4:$DU$40,MATCH(ROW()-3,$OQ$4:$OQ$40,0)))</f>
        <v/>
      </c>
      <c r="OS40">
        <f>IF(COUNTIF('Buyer Groups'!DG93:EC93,0)+COUNTIF('Buyer Groups'!EE93:EN93,0)&gt;0,0,1)</f>
        <v/>
      </c>
      <c r="OT40">
        <f>IF($DZ$40="",FALSE,SUMPRODUCT(('Final Calculation Sheet'!$X$4:$X$40=$DZ$40)*($OS$6:$OS$42=1))&gt;0)</f>
        <v/>
      </c>
      <c r="OU40">
        <f>$OU$39+--($OT40)</f>
        <v/>
      </c>
      <c r="OV40">
        <f>IF(ROW()-3&gt;MAX($OU$4:$OU$40),"",INDEX($DZ$4:$DZ$40,MATCH(ROW()-3,$OU$4:$OU$40,0)))</f>
        <v/>
      </c>
      <c r="OW40">
        <f>IF(COUNTIF('Buyer Groups'!DG93:ED93,0)+COUNTIF('Buyer Groups'!EF93:EN93,0)&gt;0,0,1)</f>
        <v/>
      </c>
      <c r="OX40">
        <f>IF($EE$40="",FALSE,SUMPRODUCT(('Final Calculation Sheet'!$Y$4:$Y$40=$EE$40)*($OW$6:$OW$42=1))&gt;0)</f>
        <v/>
      </c>
      <c r="OY40">
        <f>$OY$39+--($OX40)</f>
        <v/>
      </c>
      <c r="OZ40">
        <f>IF(ROW()-3&gt;MAX($OY$4:$OY$40),"",INDEX($EE$4:$EE$40,MATCH(ROW()-3,$OY$4:$OY$40,0)))</f>
        <v/>
      </c>
      <c r="PA40">
        <f>IF(COUNTIF('Buyer Groups'!DG93:EE93,0)+COUNTIF('Buyer Groups'!EG93:EN93,0)&gt;0,0,1)</f>
        <v/>
      </c>
      <c r="PB40">
        <f>IF($EJ$40="",FALSE,SUMPRODUCT(('Final Calculation Sheet'!$Z$4:$Z$40=$EJ$40)*($PA$6:$PA$42=1))&gt;0)</f>
        <v/>
      </c>
      <c r="PC40">
        <f>$PC$39+--($PB40)</f>
        <v/>
      </c>
      <c r="PD40">
        <f>IF(ROW()-3&gt;MAX($PC$4:$PC$40),"",INDEX($EJ$4:$EJ$40,MATCH(ROW()-3,$PC$4:$PC$40,0)))</f>
        <v/>
      </c>
      <c r="PE40">
        <f>IF(COUNTIF('Buyer Groups'!DG93:EF93,0)+COUNTIF('Buyer Groups'!EH93:EN93,0)&gt;0,0,1)</f>
        <v/>
      </c>
      <c r="PF40">
        <f>IF($EO$40="",FALSE,SUMPRODUCT(('Final Calculation Sheet'!$AA$4:$AA$40=$EO$40)*($PE$6:$PE$42=1))&gt;0)</f>
        <v/>
      </c>
      <c r="PG40">
        <f>$PG$39+--($PF40)</f>
        <v/>
      </c>
      <c r="PH40">
        <f>IF(ROW()-3&gt;MAX($PG$4:$PG$40),"",INDEX($EO$4:$EO$40,MATCH(ROW()-3,$PG$4:$PG$40,0)))</f>
        <v/>
      </c>
      <c r="PI40">
        <f>IF(COUNTIF('Buyer Groups'!DG93:EG93,0)+COUNTIF('Buyer Groups'!EI93:EN93,0)&gt;0,0,1)</f>
        <v/>
      </c>
      <c r="PJ40">
        <f>IF($ET$40="",FALSE,SUMPRODUCT(('Final Calculation Sheet'!$AB$4:$AB$40=$ET$40)*($PI$6:$PI$42=1))&gt;0)</f>
        <v/>
      </c>
      <c r="PK40">
        <f>$PK$39+--($PJ40)</f>
        <v/>
      </c>
      <c r="PL40">
        <f>IF(ROW()-3&gt;MAX($PK$4:$PK$40),"",INDEX($ET$4:$ET$40,MATCH(ROW()-3,$PK$4:$PK$40,0)))</f>
        <v/>
      </c>
      <c r="PM40">
        <f>IF(COUNTIF('Buyer Groups'!DG93:EH93,0)+COUNTIF('Buyer Groups'!EJ93:EN93,0)&gt;0,0,1)</f>
        <v/>
      </c>
      <c r="PN40">
        <f>IF($EY$40="",FALSE,SUMPRODUCT(('Final Calculation Sheet'!$AC$4:$AC$40=$EY$40)*($PM$6:$PM$42=1))&gt;0)</f>
        <v/>
      </c>
      <c r="PO40">
        <f>$PO$39+--($PN40)</f>
        <v/>
      </c>
      <c r="PP40">
        <f>IF(ROW()-3&gt;MAX($PO$4:$PO$40),"",INDEX($EY$4:$EY$40,MATCH(ROW()-3,$PO$4:$PO$40,0)))</f>
        <v/>
      </c>
      <c r="PQ40">
        <f>IF(COUNTIF('Buyer Groups'!DG93:EI93,0)+COUNTIF('Buyer Groups'!EK93:EN93,0)&gt;0,0,1)</f>
        <v/>
      </c>
      <c r="PR40">
        <f>IF($FD$40="",FALSE,SUMPRODUCT(('Final Calculation Sheet'!$AD$4:$AD$40=$FD$40)*($PQ$6:$PQ$42=1))&gt;0)</f>
        <v/>
      </c>
      <c r="PS40">
        <f>$PS$39+--($PR40)</f>
        <v/>
      </c>
      <c r="PT40">
        <f>IF(ROW()-3&gt;MAX($PS$4:$PS$40),"",INDEX($FD$4:$FD$40,MATCH(ROW()-3,$PS$4:$PS$40,0)))</f>
        <v/>
      </c>
      <c r="PU40">
        <f>IF(COUNTIF('Buyer Groups'!DG93:EJ93,0)+COUNTIF('Buyer Groups'!EL93:EN93,0)&gt;0,0,1)</f>
        <v/>
      </c>
      <c r="PV40">
        <f>IF($FX$40="",FALSE,SUMPRODUCT((IF('Final Calculation Sheet'!$AD$4:$AD$40&lt;=5,"SETTLED","OUTSTANDING")=$FX$40)*($PU$6:$PU$42=1))&gt;0)</f>
        <v/>
      </c>
      <c r="PW40">
        <f>$PW$39+--($PV40)</f>
        <v/>
      </c>
      <c r="PX40">
        <f>IF(ROW()-3&gt;MAX($PW$4:$PW$40),"",INDEX($FX$4:$FX$40,MATCH(ROW()-3,$PW$4:$PW$40,0)))</f>
        <v/>
      </c>
      <c r="PY40">
        <f>IF(COUNTIF('Buyer Groups'!DG93:EK93,0)+COUNTIF('Buyer Groups'!EM93:EN93,0)&gt;0,0,1)</f>
        <v/>
      </c>
      <c r="PZ40">
        <f>IF($FI$40="",FALSE,SUMPRODUCT(('Final Calculation Sheet'!$AF$4:$AF$40=$FI$40)*($PY$6:$PY$42=1))&gt;0)</f>
        <v/>
      </c>
      <c r="QA40">
        <f>$QA$39+--($PZ40)</f>
        <v/>
      </c>
      <c r="QB40">
        <f>IF(ROW()-3&gt;MAX($QA$4:$QA$40),"",INDEX($FI$4:$FI$40,MATCH(ROW()-3,$QA$4:$QA$40,0)))</f>
        <v/>
      </c>
      <c r="QC40">
        <f>IF(COUNTIF('Buyer Groups'!DG93:EL93,0)+COUNTIF('Buyer Groups'!EN93:EN93,0)&gt;0,0,1)</f>
        <v/>
      </c>
      <c r="QD40">
        <f>IF($FN$40="",FALSE,SUMPRODUCT(('Final Calculation Sheet'!$AG$4:$AG$40=$FN$40)*($QC$6:$QC$42=1))&gt;0)</f>
        <v/>
      </c>
      <c r="QE40">
        <f>$QE$39+--($QD40)</f>
        <v/>
      </c>
      <c r="QF40">
        <f>IF(ROW()-3&gt;MAX($QE$4:$QE$40),"",INDEX($FN$4:$FN$40,MATCH(ROW()-3,$QE$4:$QE$40,0)))</f>
        <v/>
      </c>
      <c r="QG40">
        <f>IF(COUNTIF('Buyer Groups'!DG93:EM93,0)&gt;0,0,1)</f>
        <v/>
      </c>
      <c r="QH40">
        <f>IF($FS$40="",FALSE,SUMPRODUCT(('Final Calculation Sheet'!$AH$4:$AH$40=$FS$40)*($QG$6:$QG$42=1))&gt;0)</f>
        <v/>
      </c>
      <c r="QI40">
        <f>$QI$39+--($QH40)</f>
        <v/>
      </c>
      <c r="QJ40">
        <f>IF(ROW()-3&gt;MAX($QI$4:$QI$40),"",INDEX($FS$4:$FS$40,MATCH(ROW()-3,$QI$4:$QI$40,0)))</f>
        <v/>
      </c>
      <c r="QK40" t="str">
        <f>IF('Final Calculation Sheet'!$AH$40="","",'Final Calculation Sheet'!$AH$40)</f>
      </c>
      <c r="QL40" t="str">
        <f>IF(QK40="","",COUNTIFS(QK$4:QK$40,"&lt;"&amp;QK40,QK$4:QK$40,"&lt;&gt;"&amp;"")+COUNTIF(QK$4:QK40,QK40))</f>
      </c>
      <c r="QM40" t="str">
        <f>IF(ROW()-3&gt;COUNTIF(QK$4:QK$40,"&lt;&gt;"&amp;""),"",INDEX(QK$4:QK$40,MATCH(ROW()-3,QL$4:QL$40,0)))</f>
      </c>
      <c r="QN40" t="str">
        <f>=QN39+F(AND(QM40&lt;&gt;"",COUNTIF(QM$4:QM40,QM40)=1),1,0)</f>
      </c>
      <c r="QO40" t="str">
        <f>IF(ROW()-3&gt;MAX(QN$4:QN$40),"",INDEX(QM$4:QM$40,MATCH(ROW()-3,QN$4:QN$40,0)))</f>
      </c>
      <c r="QP40" t="str">
        <f>IF(COUNTIF('Final Calculation Sheet'!$AM40:$BS40,0)&gt;0,0,1)</f>
      </c>
      <c r="QQ40" t="str">
        <f>IF($AI$40="",FALSE,SUMPRODUCT(('Final Calculation Sheet'!$A$4:$A$40=$AI$40)*($QP$4:$QP$40=1))&gt;0)</f>
      </c>
      <c r="QR40" t="str">
        <f>=$QR39+--($QQ40)</f>
      </c>
      <c r="QS40" t="str">
        <f>IF(ROW()-3&gt;MAX($QR$4:$QR$40),"",INDEX($AI$4:$AI$40,MATCH(ROW()-3,$QR$4:$QR$40,0)))</f>
      </c>
      <c r="QT40" t="str">
        <f>IF(COUNTIF('Final Calculation Sheet'!$AL40:$AL40,0)+COUNTIF('Final Calculation Sheet'!$AN40:$BS40,0)&gt;0,0,1)</f>
      </c>
      <c r="QU40" t="str">
        <f>IF($Y$40="",FALSE,SUMPRODUCT(('Final Calculation Sheet'!$B$4:$B$40=$Y$40)*($QT$4:$QT$40=1))&gt;0)</f>
      </c>
      <c r="QV40" t="str">
        <f>=$QV39+--($QU40)</f>
      </c>
      <c r="QW40" t="str">
        <f>IF(ROW()-3&gt;MAX($QV$4:$QV$40),"",INDEX($Y$4:$Y$40,MATCH(ROW()-3,$QV$4:$QV$40,0)))</f>
      </c>
      <c r="QX40" t="str">
        <f>IF(COUNTIF('Final Calculation Sheet'!$AL40:$AM40,0)+COUNTIF('Final Calculation Sheet'!$AO40:$BS40,0)&gt;0,0,1)</f>
      </c>
      <c r="QY40" t="str">
        <f>IF($AS$40="",FALSE,SUMPRODUCT(('Final Calculation Sheet'!$C$4:$C$40=$AS$40)*($QX$4:$QX$40=1))&gt;0)</f>
      </c>
      <c r="QZ40" t="str">
        <f>=$QZ39+--($QY40)</f>
      </c>
      <c r="RA40" t="str">
        <f>IF(ROW()-3&gt;MAX($QZ$4:$QZ$40),"",INDEX($AS$4:$AS$40,MATCH(ROW()-3,$QZ$4:$QZ$40,0)))</f>
      </c>
      <c r="RB40" t="str">
        <f>IF(COUNTIF('Final Calculation Sheet'!$AL40:$AN40,0)+COUNTIF('Final Calculation Sheet'!$AP40:$BS40,0)&gt;0,0,1)</f>
      </c>
      <c r="RC40" t="str">
        <f>IF($AD$40="",FALSE,SUMPRODUCT(('Final Calculation Sheet'!$D$4:$D$40=$AD$40)*($RB$4:$RB$40=1))&gt;0)</f>
      </c>
      <c r="RD40" t="str">
        <f>=$RD39+--($RC40)</f>
      </c>
      <c r="RE40" t="str">
        <f>IF(ROW()-3&gt;MAX($RD$4:$RD$40),"",INDEX($AD$4:$AD$40,MATCH(ROW()-3,$RD$4:$RD$40,0)))</f>
      </c>
      <c r="RF40" t="str">
        <f>IF(COUNTIF('Final Calculation Sheet'!$AL40:$AO40,0)+COUNTIF('Final Calculation Sheet'!$AQ40:$BS40,0)&gt;0,0,1)</f>
      </c>
      <c r="RG40" t="str">
        <f>IF($AN$40="",FALSE,SUMPRODUCT(('Final Calculation Sheet'!$E$4:$E$40=$AN$40)*($RF$4:$RF$40=1))&gt;0)</f>
      </c>
      <c r="RH40" t="str">
        <f>=$RH39+--($RG40)</f>
      </c>
      <c r="RI40" t="str">
        <f>IF(ROW()-3&gt;MAX($RH$4:$RH$40),"",INDEX($AN$4:$AN$40,MATCH(ROW()-3,$RH$4:$RH$40,0)))</f>
      </c>
      <c r="RJ40" t="str">
        <f>IF(COUNTIF('Final Calculation Sheet'!$AL40:$AP40,0)+COUNTIF('Final Calculation Sheet'!$AR40:$BS40,0)&gt;0,0,1)</f>
      </c>
      <c r="RK40" t="str">
        <f>IF($O$40="",FALSE,SUMPRODUCT(('Final Calculation Sheet'!$F$4:$F$40=$O$40)*($RJ$4:$RJ$40=1))&gt;0)</f>
      </c>
      <c r="RL40" t="str">
        <f>=$RL39+--($RK40)</f>
      </c>
      <c r="RM40" t="str">
        <f>IF(ROW()-3&gt;MAX($RL$4:$RL$40),"",INDEX($O$4:$O$40,MATCH(ROW()-3,$RL$4:$RL$40,0)))</f>
      </c>
      <c r="RN40" t="str">
        <f>IF(COUNTIF('Final Calculation Sheet'!$AL40:$AQ40,0)+COUNTIF('Final Calculation Sheet'!$AS40:$BS40,0)&gt;0,0,1)</f>
      </c>
      <c r="RO40" t="str">
        <f>IF($T$40="",FALSE,SUMPRODUCT(('Final Calculation Sheet'!$G$4:$G$40=$T$40)*($RN$4:$RN$40=1))&gt;0)</f>
      </c>
      <c r="RP40" t="str">
        <f>=$RP39+--($RO40)</f>
      </c>
      <c r="RQ40" t="str">
        <f>IF(ROW()-3&gt;MAX($RP$4:$RP$40),"",INDEX($T$4:$T$40,MATCH(ROW()-3,$RP$4:$RP$40,0)))</f>
      </c>
      <c r="RR40" t="str">
        <f>IF(COUNTIF('Final Calculation Sheet'!$AL40:$AR40,0)+COUNTIF('Final Calculation Sheet'!$AT40:$BS40,0)&gt;0,0,1)</f>
      </c>
      <c r="RS40" t="str">
        <f>IF($AX$40="",FALSE,SUMPRODUCT(('Final Calculation Sheet'!$H$4:$H$40=$AX$40)*($RR$4:$RR$40=1))&gt;0)</f>
      </c>
      <c r="RT40" t="str">
        <f>=$RT39+--($RS40)</f>
      </c>
      <c r="RU40" t="str">
        <f>IF(ROW()-3&gt;MAX($RT$4:$RT$40),"",INDEX($AX$4:$AX$40,MATCH(ROW()-3,$RT$4:$RT$40,0)))</f>
      </c>
      <c r="RV40" t="str">
        <f>IF(COUNTIF('Final Calculation Sheet'!$AL40:$AS40,0)+COUNTIF('Final Calculation Sheet'!$AU40:$BS40,0)&gt;0,0,1)</f>
      </c>
      <c r="RW40" t="str">
        <f>IF($BC$40="",FALSE,SUMPRODUCT(('Final Calculation Sheet'!$I$4:$I$40=$BC$40)*($RV$4:$RV$40=1))&gt;0)</f>
      </c>
      <c r="RX40" t="str">
        <f>=$RX39+--($RW40)</f>
      </c>
      <c r="RY40" t="str">
        <f>IF(ROW()-3&gt;MAX($RX$4:$RX$40),"",INDEX($BC$4:$BC$40,MATCH(ROW()-3,$RX$4:$RX$40,0)))</f>
      </c>
      <c r="RZ40" t="str">
        <f>IF(COUNTIF('Final Calculation Sheet'!$AL40:$AT40,0)+COUNTIF('Final Calculation Sheet'!$AV40:$BS40,0)&gt;0,0,1)</f>
      </c>
      <c r="SA40" t="str">
        <f>IF($BH$40="",FALSE,SUMPRODUCT(('Final Calculation Sheet'!$J$4:$J$40=$BH$40)*($RZ$4:$RZ$40=1))&gt;0)</f>
      </c>
      <c r="SB40" t="str">
        <f>=$SB39+--($SA40)</f>
      </c>
      <c r="SC40" t="str">
        <f>IF(ROW()-3&gt;MAX($SB$4:$SB$40),"",INDEX($BH$4:$BH$40,MATCH(ROW()-3,$SB$4:$SB$40,0)))</f>
      </c>
      <c r="SD40" t="str">
        <f>IF(COUNTIF('Final Calculation Sheet'!$AL40:$AU40,0)+COUNTIF('Final Calculation Sheet'!$AW40:$BS40,0)&gt;0,0,1)</f>
      </c>
      <c r="SE40" t="str">
        <f>IF($BM$40="",FALSE,SUMPRODUCT(('Final Calculation Sheet'!$K$4:$K$40=$BM$40)*($SD$4:$SD$40=1))&gt;0)</f>
      </c>
      <c r="SF40" t="str">
        <f>=$SF39+--($SE40)</f>
      </c>
      <c r="SG40" t="str">
        <f>IF(ROW()-3&gt;MAX($SF$4:$SF$40),"",INDEX($BM$4:$BM$40,MATCH(ROW()-3,$SF$4:$SF$40,0)))</f>
      </c>
      <c r="SH40" t="str">
        <f>IF(COUNTIF('Final Calculation Sheet'!$AL40:$AV40,0)+COUNTIF('Final Calculation Sheet'!$AX40:$BS40,0)&gt;0,0,1)</f>
      </c>
      <c r="SI40" t="str">
        <f>IF($BR$40="",FALSE,SUMPRODUCT(('Final Calculation Sheet'!$L$4:$L$40=$BR$40)*($SH$4:$SH$40=1))&gt;0)</f>
      </c>
      <c r="SJ40" t="str">
        <f>=$SJ39+--($SI40)</f>
      </c>
      <c r="SK40" t="str">
        <f>IF(ROW()-3&gt;MAX($SJ$4:$SJ$40),"",INDEX($BR$4:$BR$40,MATCH(ROW()-3,$SJ$4:$SJ$40,0)))</f>
      </c>
      <c r="SL40" t="str">
        <f>IF(COUNTIF('Final Calculation Sheet'!$AL40:$AW40,0)+COUNTIF('Final Calculation Sheet'!$AY40:$BS40,0)&gt;0,0,1)</f>
      </c>
      <c r="SM40" t="str">
        <f>IF($BW$40="",FALSE,SUMPRODUCT(('Final Calculation Sheet'!$M$4:$M$40=$BW$40)*($SL$4:$SL$40=1))&gt;0)</f>
      </c>
      <c r="SN40" t="str">
        <f>=$SN39+--($SM40)</f>
      </c>
      <c r="SO40" t="str">
        <f>IF(ROW()-3&gt;MAX($SN$4:$SN$40),"",INDEX($BW$4:$BW$40,MATCH(ROW()-3,$SN$4:$SN$40,0)))</f>
      </c>
      <c r="SP40" t="str">
        <f>IF(COUNTIF('Final Calculation Sheet'!$AL40:$AX40,0)+COUNTIF('Final Calculation Sheet'!$AZ40:$BS40,0)&gt;0,0,1)</f>
      </c>
      <c r="SQ40" t="str">
        <f>IF($CB$40="",FALSE,SUMPRODUCT(('Final Calculation Sheet'!$N$4:$N$40=$CB$40)*($SP$4:$SP$40=1))&gt;0)</f>
      </c>
      <c r="SR40" t="str">
        <f>=$SR39+--($SQ40)</f>
      </c>
      <c r="SS40" t="str">
        <f>IF(ROW()-3&gt;MAX($SR$4:$SR$40),"",INDEX($CB$4:$CB$40,MATCH(ROW()-3,$SR$4:$SR$40,0)))</f>
      </c>
      <c r="ST40" t="str">
        <f>IF(COUNTIF('Final Calculation Sheet'!$AL40:$AY40,0)+COUNTIF('Final Calculation Sheet'!$BA40:$BS40,0)&gt;0,0,1)</f>
      </c>
      <c r="SU40" t="str">
        <f>IF($CG$40="",FALSE,SUMPRODUCT(('Final Calculation Sheet'!$O$4:$O$40=$CG$40)*($ST$4:$ST$40=1))&gt;0)</f>
      </c>
      <c r="SV40" t="str">
        <f>=$SV39+--($SU40)</f>
      </c>
      <c r="SW40" t="str">
        <f>IF(ROW()-3&gt;MAX($SV$4:$SV$40),"",INDEX($CG$4:$CG$40,MATCH(ROW()-3,$SV$4:$SV$40,0)))</f>
      </c>
      <c r="SX40" t="str">
        <f>IF(COUNTIF('Final Calculation Sheet'!$AL40:$AZ40,0)+COUNTIF('Final Calculation Sheet'!$BB40:$BS40,0)&gt;0,0,1)</f>
      </c>
      <c r="SY40" t="str">
        <f>IF($CL$40="",FALSE,SUMPRODUCT(('Final Calculation Sheet'!$P$4:$P$40=$CL$40)*($SX$4:$SX$40=1))&gt;0)</f>
      </c>
      <c r="SZ40" t="str">
        <f>=$SZ39+--($SY40)</f>
      </c>
      <c r="TA40" t="str">
        <f>IF(ROW()-3&gt;MAX($SZ$4:$SZ$40),"",INDEX($CL$4:$CL$40,MATCH(ROW()-3,$SZ$4:$SZ$40,0)))</f>
      </c>
      <c r="TB40" t="str">
        <f>IF(COUNTIF('Final Calculation Sheet'!$AL40:$BA40,0)+COUNTIF('Final Calculation Sheet'!$BC40:$BS40,0)&gt;0,0,1)</f>
      </c>
      <c r="TC40" t="str">
        <f>IF($CQ$40="",FALSE,SUMPRODUCT(('Final Calculation Sheet'!$Q$4:$Q$40=$CQ$40)*($TB$4:$TB$40=1))&gt;0)</f>
      </c>
      <c r="TD40" t="str">
        <f>=$TD39+--($TC40)</f>
      </c>
      <c r="TE40" t="str">
        <f>IF(ROW()-3&gt;MAX($TD$4:$TD$40),"",INDEX($CQ$4:$CQ$40,MATCH(ROW()-3,$TD$4:$TD$40,0)))</f>
      </c>
      <c r="TF40" t="str">
        <f>IF(COUNTIF('Final Calculation Sheet'!$AL40:$BB40,0)+COUNTIF('Final Calculation Sheet'!$BD40:$BS40,0)&gt;0,0,1)</f>
      </c>
      <c r="TG40" t="str">
        <f>IF($CV$40="",FALSE,SUMPRODUCT(('Final Calculation Sheet'!$R$4:$R$40=$CV$40)*($TF$4:$TF$40=1))&gt;0)</f>
      </c>
      <c r="TH40" t="str">
        <f>=$TH39+--($TG40)</f>
      </c>
      <c r="TI40" t="str">
        <f>IF(ROW()-3&gt;MAX($TH$4:$TH$40),"",INDEX($CV$4:$CV$40,MATCH(ROW()-3,$TH$4:$TH$40,0)))</f>
      </c>
      <c r="TJ40" t="str">
        <f>IF(COUNTIF('Final Calculation Sheet'!$AL40:$BC40,0)+COUNTIF('Final Calculation Sheet'!$BE40:$BS40,0)&gt;0,0,1)</f>
      </c>
      <c r="TK40" t="str">
        <f>IF($DA$40="",FALSE,SUMPRODUCT(('Final Calculation Sheet'!$S$4:$S$40=$DA$40)*($TJ$4:$TJ$40=1))&gt;0)</f>
      </c>
      <c r="TL40" t="str">
        <f>=$TL39+--($TK40)</f>
      </c>
      <c r="TM40" t="str">
        <f>IF(ROW()-3&gt;MAX($TL$4:$TL$40),"",INDEX($DA$4:$DA$40,MATCH(ROW()-3,$TL$4:$TL$40,0)))</f>
      </c>
      <c r="TN40" t="str">
        <f>IF(COUNTIF('Final Calculation Sheet'!$AL40:$BD40,0)+COUNTIF('Final Calculation Sheet'!$BF40:$BS40,0)&gt;0,0,1)</f>
      </c>
      <c r="TO40" t="str">
        <f>IF($DF$40="",FALSE,SUMPRODUCT(('Final Calculation Sheet'!$T$4:$T$40=$DF$40)*($TN$4:$TN$40=1))&gt;0)</f>
      </c>
      <c r="TP40" t="str">
        <f>=$TP39+--($TO40)</f>
      </c>
      <c r="TQ40" t="str">
        <f>IF(ROW()-3&gt;MAX($TP$4:$TP$40),"",INDEX($DF$4:$DF$40,MATCH(ROW()-3,$TP$4:$TP$40,0)))</f>
      </c>
      <c r="TR40" t="str">
        <f>IF(COUNTIF('Final Calculation Sheet'!$AL40:$BE40,0)+COUNTIF('Final Calculation Sheet'!$BG40:$BS40,0)&gt;0,0,1)</f>
      </c>
      <c r="TS40" t="str">
        <f>IF($DK$40="",FALSE,SUMPRODUCT(('Final Calculation Sheet'!$U$4:$U$40=$DK$40)*($TR$4:$TR$40=1))&gt;0)</f>
      </c>
      <c r="TT40" t="str">
        <f>=$TT39+--($TS40)</f>
      </c>
      <c r="TU40" t="str">
        <f>IF(ROW()-3&gt;MAX($TT$4:$TT$40),"",INDEX($DK$4:$DK$40,MATCH(ROW()-3,$TT$4:$TT$40,0)))</f>
      </c>
      <c r="TV40" t="str">
        <f>IF(COUNTIF('Final Calculation Sheet'!$AL40:$BF40,0)+COUNTIF('Final Calculation Sheet'!$BH40:$BS40,0)&gt;0,0,1)</f>
      </c>
      <c r="TW40" t="str">
        <f>IF($DP$40="",FALSE,SUMPRODUCT(('Final Calculation Sheet'!$V$4:$V$40=$DP$40)*($TV$4:$TV$40=1))&gt;0)</f>
      </c>
      <c r="TX40" t="str">
        <f>=$TX39+--($TW40)</f>
      </c>
      <c r="TY40" t="str">
        <f>IF(ROW()-3&gt;MAX($TX$4:$TX$40),"",INDEX($DP$4:$DP$40,MATCH(ROW()-3,$TX$4:$TX$40,0)))</f>
      </c>
      <c r="TZ40" t="str">
        <f>IF(COUNTIF('Final Calculation Sheet'!$AL40:$BG40,0)+COUNTIF('Final Calculation Sheet'!$BI40:$BS40,0)&gt;0,0,1)</f>
      </c>
      <c r="UA40" t="str">
        <f>IF($DU$40="",FALSE,SUMPRODUCT(('Final Calculation Sheet'!$W$4:$W$40=$DU$40)*($TZ$4:$TZ$40=1))&gt;0)</f>
      </c>
      <c r="UB40" t="str">
        <f>=$UB39+--($UA40)</f>
      </c>
      <c r="UC40" t="str">
        <f>IF(ROW()-3&gt;MAX($UB$4:$UB$40),"",INDEX($DU$4:$DU$40,MATCH(ROW()-3,$UB$4:$UB$40,0)))</f>
      </c>
      <c r="UD40" t="str">
        <f>IF(COUNTIF('Final Calculation Sheet'!$AL40:$BH40,0)+COUNTIF('Final Calculation Sheet'!$BJ40:$BS40,0)&gt;0,0,1)</f>
      </c>
      <c r="UE40" t="str">
        <f>IF($DZ$40="",FALSE,SUMPRODUCT(('Final Calculation Sheet'!$X$4:$X$40=$DZ$40)*($UD$4:$UD$40=1))&gt;0)</f>
      </c>
      <c r="UF40" t="str">
        <f>=$UF39+--($UE40)</f>
      </c>
      <c r="UG40" t="str">
        <f>IF(ROW()-3&gt;MAX($UF$4:$UF$40),"",INDEX($DZ$4:$DZ$40,MATCH(ROW()-3,$UF$4:$UF$40,0)))</f>
      </c>
      <c r="UH40" t="str">
        <f>IF(COUNTIF('Final Calculation Sheet'!$AL40:$BI40,0)+COUNTIF('Final Calculation Sheet'!$BK40:$BS40,0)&gt;0,0,1)</f>
      </c>
      <c r="UI40" t="str">
        <f>IF($EE$40="",FALSE,SUMPRODUCT(('Final Calculation Sheet'!$Y$4:$Y$40=$EE$40)*($UH$4:$UH$40=1))&gt;0)</f>
      </c>
      <c r="UJ40" t="str">
        <f>=$UJ39+--($UI40)</f>
      </c>
      <c r="UK40" t="str">
        <f>IF(ROW()-3&gt;MAX($UJ$4:$UJ$40),"",INDEX($EE$4:$EE$40,MATCH(ROW()-3,$UJ$4:$UJ$40,0)))</f>
      </c>
      <c r="UL40" t="str">
        <f>IF(COUNTIF('Final Calculation Sheet'!$AL40:$BJ40,0)+COUNTIF('Final Calculation Sheet'!$BL40:$BS40,0)&gt;0,0,1)</f>
      </c>
      <c r="UM40" t="str">
        <f>IF($EJ$40="",FALSE,SUMPRODUCT(('Final Calculation Sheet'!$Z$4:$Z$40=$EJ$40)*($UL$4:$UL$40=1))&gt;0)</f>
      </c>
      <c r="UN40" t="str">
        <f>=$UN39+--($UM40)</f>
      </c>
      <c r="UO40" t="str">
        <f>IF(ROW()-3&gt;MAX($UN$4:$UN$40),"",INDEX($EJ$4:$EJ$40,MATCH(ROW()-3,$UN$4:$UN$40,0)))</f>
      </c>
      <c r="UP40" t="str">
        <f>IF(COUNTIF('Final Calculation Sheet'!$AL40:$BK40,0)+COUNTIF('Final Calculation Sheet'!$BM40:$BS40,0)&gt;0,0,1)</f>
      </c>
      <c r="UQ40" t="str">
        <f>IF($EO$40="",FALSE,SUMPRODUCT(('Final Calculation Sheet'!$AA$4:$AA$40=$EO$40)*($UP$4:$UP$40=1))&gt;0)</f>
      </c>
      <c r="UR40" t="str">
        <f>=$UR39+--($UQ40)</f>
      </c>
      <c r="US40" t="str">
        <f>IF(ROW()-3&gt;MAX($UR$4:$UR$40),"",INDEX($EO$4:$EO$40,MATCH(ROW()-3,$UR$4:$UR$40,0)))</f>
      </c>
      <c r="UT40" t="str">
        <f>IF(COUNTIF('Final Calculation Sheet'!$AL40:$BL40,0)+COUNTIF('Final Calculation Sheet'!$BN40:$BS40,0)&gt;0,0,1)</f>
      </c>
      <c r="UU40" t="str">
        <f>IF($ET$40="",FALSE,SUMPRODUCT(('Final Calculation Sheet'!$AB$4:$AB$40=$ET$40)*($UT$4:$UT$40=1))&gt;0)</f>
      </c>
      <c r="UV40" t="str">
        <f>=$UV39+--($UU40)</f>
      </c>
      <c r="UW40" t="str">
        <f>IF(ROW()-3&gt;MAX($UV$4:$UV$40),"",INDEX($ET$4:$ET$40,MATCH(ROW()-3,$UV$4:$UV$40,0)))</f>
      </c>
      <c r="UX40" t="str">
        <f>IF(COUNTIF('Final Calculation Sheet'!$AL40:$BM40,0)+COUNTIF('Final Calculation Sheet'!$BO40:$BS40,0)&gt;0,0,1)</f>
      </c>
      <c r="UY40" t="str">
        <f>IF($EY$40="",FALSE,SUMPRODUCT(('Final Calculation Sheet'!$AC$4:$AC$40=$EY$40)*($UX$4:$UX$40=1))&gt;0)</f>
      </c>
      <c r="UZ40" t="str">
        <f>=$UZ39+--($UY40)</f>
      </c>
      <c r="VA40" t="str">
        <f>IF(ROW()-3&gt;MAX($UZ$4:$UZ$40),"",INDEX($EY$4:$EY$40,MATCH(ROW()-3,$UZ$4:$UZ$40,0)))</f>
      </c>
      <c r="VB40" t="str">
        <f>IF(COUNTIF('Final Calculation Sheet'!$AL40:$BN40,0)+COUNTIF('Final Calculation Sheet'!$BP40:$BS40,0)&gt;0,0,1)</f>
      </c>
      <c r="VC40" t="str">
        <f>IF($FD$40="",FALSE,SUMPRODUCT(('Final Calculation Sheet'!$AD$4:$AD$40=$FD$40)*($VB$4:$VB$40=1))&gt;0)</f>
      </c>
      <c r="VD40" t="str">
        <f>=$VD39+--($VC40)</f>
      </c>
      <c r="VE40" t="str">
        <f>IF(ROW()-3&gt;MAX($VD$4:$VD$40),"",INDEX($FD$4:$FD$40,MATCH(ROW()-3,$VD$4:$VD$40,0)))</f>
      </c>
      <c r="VF40" t="str">
        <f>IF(COUNTIF('Final Calculation Sheet'!$AL40:$BO40,0)+COUNTIF('Final Calculation Sheet'!$BQ40:$BS40,0)&gt;0,0,1)</f>
      </c>
      <c r="VG40" t="str">
        <f>IF($FI$40="",FALSE,SUMPRODUCT(('Final Calculation Sheet'!$AE$4:$AE$40=$FI$40)*($VF$4:$VF$40=1))&gt;0)</f>
      </c>
      <c r="VH40" t="str">
        <f>=$VH39+--($VG40)</f>
      </c>
      <c r="VI40" t="str">
        <f>IF(ROW()-3&gt;MAX($VH$4:$VH$40),"",INDEX($FI$4:$FI$40,MATCH(ROW()-3,$VH$4:$VH$40,0)))</f>
      </c>
      <c r="VJ40" t="str">
        <f>IF(COUNTIF('Final Calculation Sheet'!$AL40:$BP40,0)+COUNTIF('Final Calculation Sheet'!$BR40:$BS40,0)&gt;0,0,1)</f>
      </c>
      <c r="VK40" t="str">
        <f>IF($FN$40="",FALSE,SUMPRODUCT(('Final Calculation Sheet'!$AF$4:$AF$40=$FN$40)*($VJ$4:$VJ$40=1))&gt;0)</f>
      </c>
      <c r="VL40" t="str">
        <f>=$VL39+--($VK40)</f>
      </c>
      <c r="VM40" t="str">
        <f>IF(ROW()-3&gt;MAX($VL$4:$VL$40),"",INDEX($FN$4:$FN$40,MATCH(ROW()-3,$VL$4:$VL$40,0)))</f>
      </c>
      <c r="VN40" t="str">
        <f>IF(COUNTIF('Final Calculation Sheet'!$AL40:$BQ40,0)+COUNTIF('Final Calculation Sheet'!$BS40:$BS40,0)&gt;0,0,1)</f>
      </c>
      <c r="VO40" t="str">
        <f>IF($FS$40="",FALSE,SUMPRODUCT(('Final Calculation Sheet'!$AG$4:$AG$40=$FS$40)*($VN$4:$VN$40=1))&gt;0)</f>
      </c>
      <c r="VP40" t="str">
        <f>=$VP39+--($VO40)</f>
      </c>
      <c r="VQ40" t="str">
        <f>IF(ROW()-3&gt;MAX($VP$4:$VP$40),"",INDEX($FS$4:$FS$40,MATCH(ROW()-3,$VP$4:$VP$40,0)))</f>
      </c>
      <c r="VR40" t="str">
        <f>IF(COUNTIF('Final Calculation Sheet'!$AL40:$BR40,0)&gt;0,0,1)</f>
      </c>
      <c r="VS40" t="str">
        <f>IF($QO$40="",FALSE,SUMPRODUCT(('Final Calculation Sheet'!$AH$4:$AH$40=$QO$40)*($VR$4:$VR$40=1))&gt;0)</f>
      </c>
      <c r="VT40" t="str">
        <f>=$VT39+--($VS40)</f>
      </c>
      <c r="VU40" t="str">
        <f>IF(ROW()-3&gt;MAX($VT$4:$VT$40),"",INDEX($QO$4:$QO$40,MATCH(ROW()-3,$VT$4:$VT$40,0)))</f>
      </c>
    </row>
    <row r="41">
      <c r="A41">
        <f>IF(INDEX('Final Calculation Sheet'!$G$4:$G$40,ROW()-40)="","",INDEX('Final Calculation Sheet'!$G$4:$G$40,ROW()-40))</f>
        <v/>
      </c>
      <c r="B41">
        <f>IF(A41="","",COUNTIFS(A$4:A$114,"&lt;"&amp;A41,A$4:A$114,"&lt;&gt;"&amp;"")+COUNTIF(A$4:A41,A41))</f>
        <v/>
      </c>
      <c r="C41">
        <f>IF(ROW()-3&gt;COUNTIF(A$4:A$114,"&lt;&gt;"&amp;""),"",INDEX(A$4:A$114,MATCH(ROW()-3,B$4:B$114,0)))</f>
        <v/>
      </c>
      <c r="D41">
        <f>D40+IF(AND(C41&lt;&gt;"",COUNTIF(C$4:C41,C41)=1),1,0)</f>
        <v/>
      </c>
      <c r="E41">
        <f>IF(ROW()-3&gt;MAX(D$4:D$114),"",INDEX(C$4:C$114,MATCH(ROW()-3,D$4:D$114,0)))</f>
        <v/>
      </c>
      <c r="O41" t="inlineStr">
        <is>
          <t>(blank)</t>
        </is>
      </c>
      <c r="T41" t="inlineStr">
        <is>
          <t>(blank)</t>
        </is>
      </c>
      <c r="Y41" t="inlineStr">
        <is>
          <t>(blank)</t>
        </is>
      </c>
      <c r="AD41" t="inlineStr">
        <is>
          <t>(blank)</t>
        </is>
      </c>
      <c r="AI41" t="inlineStr">
        <is>
          <t>(blank)</t>
        </is>
      </c>
      <c r="AN41" t="inlineStr">
        <is>
          <t>(blank)</t>
        </is>
      </c>
      <c r="AS41" t="inlineStr">
        <is>
          <t>(blank)</t>
        </is>
      </c>
      <c r="AX41" t="inlineStr">
        <is>
          <t>(blank)</t>
        </is>
      </c>
      <c r="BC41" t="inlineStr">
        <is>
          <t>(blank)</t>
        </is>
      </c>
      <c r="BH41" t="inlineStr">
        <is>
          <t>(blank)</t>
        </is>
      </c>
      <c r="BM41" t="inlineStr">
        <is>
          <t>(blank)</t>
        </is>
      </c>
      <c r="BR41" t="inlineStr">
        <is>
          <t>(blank)</t>
        </is>
      </c>
      <c r="BW41" t="inlineStr">
        <is>
          <t>(blank)</t>
        </is>
      </c>
      <c r="CB41" t="inlineStr">
        <is>
          <t>(blank)</t>
        </is>
      </c>
      <c r="CG41" t="inlineStr">
        <is>
          <t>(blank)</t>
        </is>
      </c>
      <c r="CL41" t="inlineStr">
        <is>
          <t>(blank)</t>
        </is>
      </c>
      <c r="CQ41" t="inlineStr">
        <is>
          <t>(blank)</t>
        </is>
      </c>
      <c r="CV41" t="inlineStr">
        <is>
          <t>(blank)</t>
        </is>
      </c>
      <c r="DA41" t="inlineStr">
        <is>
          <t>(blank)</t>
        </is>
      </c>
      <c r="DF41" t="inlineStr">
        <is>
          <t>(blank)</t>
        </is>
      </c>
      <c r="DK41" t="inlineStr">
        <is>
          <t>(blank)</t>
        </is>
      </c>
      <c r="DP41" t="inlineStr">
        <is>
          <t>(blank)</t>
        </is>
      </c>
      <c r="DU41" t="inlineStr">
        <is>
          <t>(blank)</t>
        </is>
      </c>
      <c r="DZ41" t="inlineStr">
        <is>
          <t>(blank)</t>
        </is>
      </c>
      <c r="EE41" t="inlineStr">
        <is>
          <t>(blank)</t>
        </is>
      </c>
      <c r="EJ41" t="inlineStr">
        <is>
          <t>(blank)</t>
        </is>
      </c>
      <c r="EO41" t="inlineStr">
        <is>
          <t>(blank)</t>
        </is>
      </c>
      <c r="ET41" t="inlineStr">
        <is>
          <t>(blank)</t>
        </is>
      </c>
      <c r="EY41" t="inlineStr">
        <is>
          <t>(blank)</t>
        </is>
      </c>
      <c r="FD41" t="inlineStr">
        <is>
          <t>(blank)</t>
        </is>
      </c>
      <c r="FI41" t="inlineStr">
        <is>
          <t>(blank)</t>
        </is>
      </c>
      <c r="FN41" t="inlineStr">
        <is>
          <t>(blank)</t>
        </is>
      </c>
      <c r="FS41" t="inlineStr">
        <is>
          <t>(blank)</t>
        </is>
      </c>
      <c r="FY41">
        <f>IF(COUNTIF('Live Search'!BM$40:BO$40,0)+COUNTIF('Live Search'!BQ$40:CU$40,0)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GB41">
        <f>IF(ROW()-3&gt;MAX($GA$4:$GA$40),"",INDEX($Y$4:$Y$40,MATCH(ROW()-3,$GA$4:$GA$40,0)))</f>
        <v/>
      </c>
      <c r="GC41">
        <f>IF(COUNTIF('Live Search'!BM$40:BM$40,0)+COUNTIF('Live Search'!BO$40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GF41">
        <f>IF(ROW()-3&gt;MAX($GE$4:$GE$40),"",INDEX($O$4:$O$40,MATCH(ROW()-3,$GE$4:$GE$40,0)))</f>
        <v/>
      </c>
      <c r="GG41">
        <f>IF(COUNTIF('Live Search'!BM$40:BN$40,0)+COUNTIF('Live Search'!BP$40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GJ41">
        <f>IF(ROW()-3&gt;MAX($GI$4:$GI$40),"",INDEX($T$4:$T$40,MATCH(ROW()-3,$GI$4:$GI$40,0)))</f>
        <v/>
      </c>
      <c r="GK41">
        <f>IF(COUNTIF('Live Search'!BM$40:BP$40,0)+COUNTIF('Live Search'!BR$40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GN41">
        <f>IF(ROW()-3&gt;MAX($GM$4:$GM$40),"",INDEX($AD$4:$AD$40,MATCH(ROW()-3,$GM$4:$GM$40,0)))</f>
        <v/>
      </c>
      <c r="GO41">
        <f>IF(COUNTIF('Live Search'!BM$40:BQ$40,0)+COUNTIF('Live Search'!BS$40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GR41">
        <f>IF(ROW()-3&gt;MAX($GQ$4:$GQ$40),"",INDEX($AI$4:$AI$40,MATCH(ROW()-3,$GQ$4:$GQ$40,0)))</f>
        <v/>
      </c>
      <c r="GS41">
        <f>IF(COUNTIF('Live Search'!BM$40:BR$40,0)+COUNTIF('Live Search'!BT$40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GV41">
        <f>IF(ROW()-3&gt;MAX($GU$4:$GU$40),"",INDEX($AN$4:$AN$40,MATCH(ROW()-3,$GU$4:$GU$40,0)))</f>
        <v/>
      </c>
      <c r="GW41">
        <f>IF(COUNTIF('Live Search'!BM$40:BS$40,0)+COUNTIF('Live Search'!BU$40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GZ41">
        <f>IF(ROW()-3&gt;MAX($GY$4:$GY$40),"",INDEX($AS$4:$AS$40,MATCH(ROW()-3,$GY$4:$GY$40,0)))</f>
        <v/>
      </c>
      <c r="HA41">
        <f>IF(COUNTIF('Live Search'!BM$40:BT$40,0)+COUNTIF('Live Search'!BV$40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HD41">
        <f>IF(ROW()-3&gt;MAX($HC$4:$HC$40),"",INDEX($AX$4:$AX$40,MATCH(ROW()-3,$HC$4:$HC$40,0)))</f>
        <v/>
      </c>
      <c r="HE41">
        <f>IF(COUNTIF('Live Search'!BM$40:BU$40,0)+COUNTIF('Live Search'!BW$40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HH41">
        <f>IF(ROW()-3&gt;MAX($HG$4:$HG$40),"",INDEX($BC$4:$BC$40,MATCH(ROW()-3,$HG$4:$HG$40,0)))</f>
        <v/>
      </c>
      <c r="HI41">
        <f>IF(COUNTIF('Live Search'!BM$40:BV$40,0)+COUNTIF('Live Search'!BX$40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HL41">
        <f>IF(ROW()-3&gt;MAX($HK$4:$HK$40),"",INDEX($BH$4:$BH$40,MATCH(ROW()-3,$HK$4:$HK$40,0)))</f>
        <v/>
      </c>
      <c r="HM41">
        <f>IF(COUNTIF('Live Search'!BM$40:BW$40,0)+COUNTIF('Live Search'!BY$40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HP41">
        <f>IF(ROW()-3&gt;MAX($HO$4:$HO$40),"",INDEX($BM$4:$BM$40,MATCH(ROW()-3,$HO$4:$HO$40,0)))</f>
        <v/>
      </c>
      <c r="HQ41">
        <f>IF(COUNTIF('Live Search'!BM$40:BX$40,0)+COUNTIF('Live Search'!BZ$40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HT41">
        <f>IF(ROW()-3&gt;MAX($HS$4:$HS$40),"",INDEX($BR$4:$BR$40,MATCH(ROW()-3,$HS$4:$HS$40,0)))</f>
        <v/>
      </c>
      <c r="HU41">
        <f>IF(COUNTIF('Live Search'!BM$40:BY$40,0)+COUNTIF('Live Search'!CA$40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HX41">
        <f>IF(ROW()-3&gt;MAX($HW$4:$HW$40),"",INDEX($BW$4:$BW$40,MATCH(ROW()-3,$HW$4:$HW$40,0)))</f>
        <v/>
      </c>
      <c r="HY41">
        <f>IF(COUNTIF('Live Search'!BM$40:BZ$40,0)+COUNTIF('Live Search'!CB$40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IB41">
        <f>IF(ROW()-3&gt;MAX($IA$4:$IA$40),"",INDEX($CB$4:$CB$40,MATCH(ROW()-3,$IA$4:$IA$40,0)))</f>
        <v/>
      </c>
      <c r="IC41">
        <f>IF(COUNTIF('Live Search'!BM$40:CA$40,0)+COUNTIF('Live Search'!CC$40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IF41">
        <f>IF(ROW()-3&gt;MAX($IE$4:$IE$40),"",INDEX($CG$4:$CG$40,MATCH(ROW()-3,$IE$4:$IE$40,0)))</f>
        <v/>
      </c>
      <c r="IG41">
        <f>IF(COUNTIF('Live Search'!BM$40:CB$40,0)+COUNTIF('Live Search'!CD$40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IJ41">
        <f>IF(ROW()-3&gt;MAX($II$4:$II$40),"",INDEX($CL$4:$CL$40,MATCH(ROW()-3,$II$4:$II$40,0)))</f>
        <v/>
      </c>
      <c r="IK41">
        <f>IF(COUNTIF('Live Search'!BM$40:CC$40,0)+COUNTIF('Live Search'!CE$40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IN41">
        <f>IF(ROW()-3&gt;MAX($IM$4:$IM$40),"",INDEX($CQ$4:$CQ$40,MATCH(ROW()-3,$IM$4:$IM$40,0)))</f>
        <v/>
      </c>
      <c r="IO41">
        <f>IF(COUNTIF('Live Search'!BM$40:CD$40,0)+COUNTIF('Live Search'!CF$40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IR41">
        <f>IF(ROW()-3&gt;MAX($IQ$4:$IQ$40),"",INDEX($CV$4:$CV$40,MATCH(ROW()-3,$IQ$4:$IQ$40,0)))</f>
        <v/>
      </c>
      <c r="IS41">
        <f>IF(COUNTIF('Live Search'!BM$40:CE$40,0)+COUNTIF('Live Search'!CG$40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IV41">
        <f>IF(ROW()-3&gt;MAX($IU$4:$IU$40),"",INDEX($DA$4:$DA$40,MATCH(ROW()-3,$IU$4:$IU$40,0)))</f>
        <v/>
      </c>
      <c r="IW41">
        <f>IF(COUNTIF('Live Search'!BM$40:CF$40,0)+COUNTIF('Live Search'!CH$40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IZ41">
        <f>IF(ROW()-3&gt;MAX($IY$4:$IY$40),"",INDEX($DF$4:$DF$40,MATCH(ROW()-3,$IY$4:$IY$40,0)))</f>
        <v/>
      </c>
      <c r="JA41">
        <f>IF(COUNTIF('Live Search'!BM$40:CG$40,0)+COUNTIF('Live Search'!CI$40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JD41">
        <f>IF(ROW()-3&gt;MAX($JC$4:$JC$40),"",INDEX($DK$4:$DK$40,MATCH(ROW()-3,$JC$4:$JC$40,0)))</f>
        <v/>
      </c>
      <c r="JE41">
        <f>IF(COUNTIF('Live Search'!BM$40:CH$40,0)+COUNTIF('Live Search'!CJ$40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JH41">
        <f>IF(ROW()-3&gt;MAX($JG$4:$JG$40),"",INDEX($DP$4:$DP$40,MATCH(ROW()-3,$JG$4:$JG$40,0)))</f>
        <v/>
      </c>
      <c r="JI41">
        <f>IF(COUNTIF('Live Search'!BM$40:CI$40,0)+COUNTIF('Live Search'!CK$40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JL41">
        <f>IF(ROW()-3&gt;MAX($JK$4:$JK$40),"",INDEX($DU$4:$DU$40,MATCH(ROW()-3,$JK$4:$JK$40,0)))</f>
        <v/>
      </c>
      <c r="JM41">
        <f>IF(COUNTIF('Live Search'!BM$40:CJ$40,0)+COUNTIF('Live Search'!CL$40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JP41">
        <f>IF(ROW()-3&gt;MAX($JO$4:$JO$40),"",INDEX($DZ$4:$DZ$40,MATCH(ROW()-3,$JO$4:$JO$40,0)))</f>
        <v/>
      </c>
      <c r="JQ41">
        <f>IF(COUNTIF('Live Search'!BM$40:CK$40,0)+COUNTIF('Live Search'!CM$40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JT41">
        <f>IF(ROW()-3&gt;MAX($JS$4:$JS$40),"",INDEX($EE$4:$EE$40,MATCH(ROW()-3,$JS$4:$JS$40,0)))</f>
        <v/>
      </c>
      <c r="JU41">
        <f>IF(COUNTIF('Live Search'!BM$40:CL$40,0)+COUNTIF('Live Search'!CN$40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JX41">
        <f>IF(ROW()-3&gt;MAX($JW$4:$JW$40),"",INDEX($EJ$4:$EJ$40,MATCH(ROW()-3,$JW$4:$JW$40,0)))</f>
        <v/>
      </c>
      <c r="JY41">
        <f>IF(COUNTIF('Live Search'!BM$40:CM$40,0)+COUNTIF('Live Search'!CO$40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KB41">
        <f>IF(ROW()-3&gt;MAX($KA$4:$KA$40),"",INDEX($EO$4:$EO$40,MATCH(ROW()-3,$KA$4:$KA$40,0)))</f>
        <v/>
      </c>
      <c r="KC41">
        <f>IF(COUNTIF('Live Search'!BM$40:CN$40,0)+COUNTIF('Live Search'!CP$40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KF41">
        <f>IF(ROW()-3&gt;MAX($KE$4:$KE$40),"",INDEX($ET$4:$ET$40,MATCH(ROW()-3,$KE$4:$KE$40,0)))</f>
        <v/>
      </c>
      <c r="KG41">
        <f>IF(COUNTIF('Live Search'!BM$40:CO$40,0)+COUNTIF('Live Search'!CQ$40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KJ41">
        <f>IF(ROW()-3&gt;MAX($KI$4:$KI$40),"",INDEX($EY$4:$EY$40,MATCH(ROW()-3,$KI$4:$KI$40,0)))</f>
        <v/>
      </c>
      <c r="KK41">
        <f>IF(COUNTIF('Live Search'!BM$40:CP$40,0)+COUNTIF('Live Search'!CR$40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KN41">
        <f>IF(ROW()-3&gt;MAX($KM$4:$KM$40),"",INDEX($FD$4:$FD$40,MATCH(ROW()-3,$KM$4:$KM$40,0)))</f>
        <v/>
      </c>
      <c r="KO41">
        <f>IF(COUNTIF('Live Search'!BM$40:CT$40,0)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KR41">
        <f>IF(ROW()-3&gt;MAX($KQ$4:$KQ$40),"",INDEX($FX$4:$FX$40,MATCH(ROW()-3,$KQ$4:$KQ$40,0)))</f>
        <v/>
      </c>
      <c r="KS41">
        <f>IF(COUNTIF('Live Search'!BM$40:CQ$40,0)+COUNTIF('Live Search'!CS$40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KV41">
        <f>IF(ROW()-3&gt;MAX($KU$4:$KU$40),"",INDEX($FI$4:$FI$40,MATCH(ROW()-3,$KU$4:$KU$40,0)))</f>
        <v/>
      </c>
      <c r="KW41">
        <f>IF(COUNTIF('Live Search'!BM$40:CR$40,0)+COUNTIF('Live Search'!CT$40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KZ41">
        <f>IF(ROW()-3&gt;MAX($KY$4:$KY$40),"",INDEX($FN$4:$FN$40,MATCH(ROW()-3,$KY$4:$KY$40,0)))</f>
        <v/>
      </c>
      <c r="LA41">
        <f>IF(COUNTIF('Live Search'!BM$40:CS$40,0)+COUNTIF('Live Search'!CU$40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LD41">
        <f>IF(ROW()-3&gt;MAX($LC$4:$LC$40),"",INDEX($FS$4:$FS$40,MATCH(ROW()-3,$LC$4:$LC$40,0)))</f>
        <v/>
      </c>
      <c r="LE41">
        <f>IF(COUNTIF('Buyer Groups'!DH94:EN94,0)&gt;0,0,1)</f>
        <v/>
      </c>
      <c r="LH41">
        <f>IF(ROW()-3&gt;MAX($LG$4:$LG$40),"",INDEX($O$4:$O$40,MATCH(ROW()-3,$LG$4:$LG$40,0)))</f>
        <v/>
      </c>
      <c r="LI41">
        <f>IF(COUNTIF('Buyer Groups'!DG94:DG94,0)+COUNTIF('Buyer Groups'!DI94:EN94,0)&gt;0,0,1)</f>
        <v/>
      </c>
      <c r="LL41">
        <f>IF(ROW()-3&gt;MAX($LK$4:$LK$40),"",INDEX($T$4:$T$40,MATCH(ROW()-3,$LK$4:$LK$40,0)))</f>
        <v/>
      </c>
      <c r="LM41">
        <f>IF(COUNTIF('Buyer Groups'!DG94:DH94,0)+COUNTIF('Buyer Groups'!DJ94:EN94,0)&gt;0,0,1)</f>
        <v/>
      </c>
      <c r="LP41">
        <f>IF(ROW()-3&gt;MAX($LO$4:$LO$40),"",INDEX($Y$4:$Y$40,MATCH(ROW()-3,$LO$4:$LO$40,0)))</f>
        <v/>
      </c>
      <c r="LQ41">
        <f>IF(COUNTIF('Buyer Groups'!DG94:DI94,0)+COUNTIF('Buyer Groups'!DK94:EN94,0)&gt;0,0,1)</f>
        <v/>
      </c>
      <c r="LT41">
        <f>IF(ROW()-3&gt;MAX($LS$4:$LS$40),"",INDEX($AD$4:$AD$40,MATCH(ROW()-3,$LS$4:$LS$40,0)))</f>
        <v/>
      </c>
      <c r="LU41">
        <f>IF(COUNTIF('Buyer Groups'!DG94:DJ94,0)+COUNTIF('Buyer Groups'!DL94:EN94,0)&gt;0,0,1)</f>
        <v/>
      </c>
      <c r="LX41">
        <f>IF(ROW()-3&gt;MAX($LW$4:$LW$40),"",INDEX($AI$4:$AI$40,MATCH(ROW()-3,$LW$4:$LW$40,0)))</f>
        <v/>
      </c>
      <c r="LY41">
        <f>IF(COUNTIF('Buyer Groups'!DG94:DK94,0)+COUNTIF('Buyer Groups'!DM94:EN94,0)&gt;0,0,1)</f>
        <v/>
      </c>
      <c r="MB41">
        <f>IF(ROW()-3&gt;MAX($MA$4:$MA$40),"",INDEX($AN$4:$AN$40,MATCH(ROW()-3,$MA$4:$MA$40,0)))</f>
        <v/>
      </c>
      <c r="MC41">
        <f>IF(COUNTIF('Buyer Groups'!DG94:DL94,0)+COUNTIF('Buyer Groups'!DN94:EN94,0)&gt;0,0,1)</f>
        <v/>
      </c>
      <c r="MF41">
        <f>IF(ROW()-3&gt;MAX($ME$4:$ME$40),"",INDEX($AS$4:$AS$40,MATCH(ROW()-3,$ME$4:$ME$40,0)))</f>
        <v/>
      </c>
      <c r="MG41">
        <f>IF(COUNTIF('Buyer Groups'!DG94:DM94,0)+COUNTIF('Buyer Groups'!DO94:EN94,0)&gt;0,0,1)</f>
        <v/>
      </c>
      <c r="MJ41">
        <f>IF(ROW()-3&gt;MAX($MI$4:$MI$40),"",INDEX($AX$4:$AX$40,MATCH(ROW()-3,$MI$4:$MI$40,0)))</f>
        <v/>
      </c>
      <c r="MK41">
        <f>IF(COUNTIF('Buyer Groups'!DG94:DN94,0)+COUNTIF('Buyer Groups'!DP94:EN94,0)&gt;0,0,1)</f>
        <v/>
      </c>
      <c r="MN41">
        <f>IF(ROW()-3&gt;MAX($MM$4:$MM$40),"",INDEX($BC$4:$BC$40,MATCH(ROW()-3,$MM$4:$MM$40,0)))</f>
        <v/>
      </c>
      <c r="MO41">
        <f>IF(COUNTIF('Buyer Groups'!DG94:DO94,0)+COUNTIF('Buyer Groups'!DQ94:EN94,0)&gt;0,0,1)</f>
        <v/>
      </c>
      <c r="MR41">
        <f>IF(ROW()-3&gt;MAX($MQ$4:$MQ$40),"",INDEX($BH$4:$BH$40,MATCH(ROW()-3,$MQ$4:$MQ$40,0)))</f>
        <v/>
      </c>
      <c r="MS41">
        <f>IF(COUNTIF('Buyer Groups'!DG94:DP94,0)+COUNTIF('Buyer Groups'!DR94:EN94,0)&gt;0,0,1)</f>
        <v/>
      </c>
      <c r="MV41">
        <f>IF(ROW()-3&gt;MAX($MU$4:$MU$40),"",INDEX($BM$4:$BM$40,MATCH(ROW()-3,$MU$4:$MU$40,0)))</f>
        <v/>
      </c>
      <c r="MW41">
        <f>IF(COUNTIF('Buyer Groups'!DG94:DQ94,0)+COUNTIF('Buyer Groups'!DS94:EN94,0)&gt;0,0,1)</f>
        <v/>
      </c>
      <c r="MZ41">
        <f>IF(ROW()-3&gt;MAX($MY$4:$MY$40),"",INDEX($BR$4:$BR$40,MATCH(ROW()-3,$MY$4:$MY$40,0)))</f>
        <v/>
      </c>
      <c r="NA41">
        <f>IF(COUNTIF('Buyer Groups'!DG94:DR94,0)+COUNTIF('Buyer Groups'!DT94:EN94,0)&gt;0,0,1)</f>
        <v/>
      </c>
      <c r="ND41">
        <f>IF(ROW()-3&gt;MAX($NC$4:$NC$40),"",INDEX($BW$4:$BW$40,MATCH(ROW()-3,$NC$4:$NC$40,0)))</f>
        <v/>
      </c>
      <c r="NE41">
        <f>IF(COUNTIF('Buyer Groups'!DG94:DS94,0)+COUNTIF('Buyer Groups'!DU94:EN94,0)&gt;0,0,1)</f>
        <v/>
      </c>
      <c r="NH41">
        <f>IF(ROW()-3&gt;MAX($NG$4:$NG$40),"",INDEX($CB$4:$CB$40,MATCH(ROW()-3,$NG$4:$NG$40,0)))</f>
        <v/>
      </c>
      <c r="NI41">
        <f>IF(COUNTIF('Buyer Groups'!DG94:DT94,0)+COUNTIF('Buyer Groups'!DV94:EN94,0)&gt;0,0,1)</f>
        <v/>
      </c>
      <c r="NL41">
        <f>IF(ROW()-3&gt;MAX($NK$4:$NK$40),"",INDEX($CG$4:$CG$40,MATCH(ROW()-3,$NK$4:$NK$40,0)))</f>
        <v/>
      </c>
      <c r="NM41">
        <f>IF(COUNTIF('Buyer Groups'!DG94:DU94,0)+COUNTIF('Buyer Groups'!DW94:EN94,0)&gt;0,0,1)</f>
        <v/>
      </c>
      <c r="NP41">
        <f>IF(ROW()-3&gt;MAX($NO$4:$NO$40),"",INDEX($CL$4:$CL$40,MATCH(ROW()-3,$NO$4:$NO$40,0)))</f>
        <v/>
      </c>
      <c r="NQ41">
        <f>IF(COUNTIF('Buyer Groups'!DG94:DV94,0)+COUNTIF('Buyer Groups'!DX94:EN94,0)&gt;0,0,1)</f>
        <v/>
      </c>
      <c r="NT41">
        <f>IF(ROW()-3&gt;MAX($NS$4:$NS$40),"",INDEX($CQ$4:$CQ$40,MATCH(ROW()-3,$NS$4:$NS$40,0)))</f>
        <v/>
      </c>
      <c r="NU41">
        <f>IF(COUNTIF('Buyer Groups'!DG94:DW94,0)+COUNTIF('Buyer Groups'!DY94:EN94,0)&gt;0,0,1)</f>
        <v/>
      </c>
      <c r="NX41">
        <f>IF(ROW()-3&gt;MAX($NW$4:$NW$40),"",INDEX($CV$4:$CV$40,MATCH(ROW()-3,$NW$4:$NW$40,0)))</f>
        <v/>
      </c>
      <c r="NY41">
        <f>IF(COUNTIF('Buyer Groups'!DG94:DX94,0)+COUNTIF('Buyer Groups'!DZ94:EN94,0)&gt;0,0,1)</f>
        <v/>
      </c>
      <c r="OB41">
        <f>IF(ROW()-3&gt;MAX($OA$4:$OA$40),"",INDEX($DA$4:$DA$40,MATCH(ROW()-3,$OA$4:$OA$40,0)))</f>
        <v/>
      </c>
      <c r="OC41">
        <f>IF(COUNTIF('Buyer Groups'!DG94:DY94,0)+COUNTIF('Buyer Groups'!EA94:EN94,0)&gt;0,0,1)</f>
        <v/>
      </c>
      <c r="OF41">
        <f>IF(ROW()-3&gt;MAX($OE$4:$OE$40),"",INDEX($DF$4:$DF$40,MATCH(ROW()-3,$OE$4:$OE$40,0)))</f>
        <v/>
      </c>
      <c r="OG41">
        <f>IF(COUNTIF('Buyer Groups'!DG94:DZ94,0)+COUNTIF('Buyer Groups'!EB94:EN94,0)&gt;0,0,1)</f>
        <v/>
      </c>
      <c r="OJ41">
        <f>IF(ROW()-3&gt;MAX($OI$4:$OI$40),"",INDEX($DK$4:$DK$40,MATCH(ROW()-3,$OI$4:$OI$40,0)))</f>
        <v/>
      </c>
      <c r="OK41">
        <f>IF(COUNTIF('Buyer Groups'!DG94:EA94,0)+COUNTIF('Buyer Groups'!EC94:EN94,0)&gt;0,0,1)</f>
        <v/>
      </c>
      <c r="ON41">
        <f>IF(ROW()-3&gt;MAX($OM$4:$OM$40),"",INDEX($DP$4:$DP$40,MATCH(ROW()-3,$OM$4:$OM$40,0)))</f>
        <v/>
      </c>
      <c r="OO41">
        <f>IF(COUNTIF('Buyer Groups'!DG94:EB94,0)+COUNTIF('Buyer Groups'!ED94:EN94,0)&gt;0,0,1)</f>
        <v/>
      </c>
      <c r="OR41">
        <f>IF(ROW()-3&gt;MAX($OQ$4:$OQ$40),"",INDEX($DU$4:$DU$40,MATCH(ROW()-3,$OQ$4:$OQ$40,0)))</f>
        <v/>
      </c>
      <c r="OS41">
        <f>IF(COUNTIF('Buyer Groups'!DG94:EC94,0)+COUNTIF('Buyer Groups'!EE94:EN94,0)&gt;0,0,1)</f>
        <v/>
      </c>
      <c r="OV41">
        <f>IF(ROW()-3&gt;MAX($OU$4:$OU$40),"",INDEX($DZ$4:$DZ$40,MATCH(ROW()-3,$OU$4:$OU$40,0)))</f>
        <v/>
      </c>
      <c r="OW41">
        <f>IF(COUNTIF('Buyer Groups'!DG94:ED94,0)+COUNTIF('Buyer Groups'!EF94:EN94,0)&gt;0,0,1)</f>
        <v/>
      </c>
      <c r="OZ41">
        <f>IF(ROW()-3&gt;MAX($OY$4:$OY$40),"",INDEX($EE$4:$EE$40,MATCH(ROW()-3,$OY$4:$OY$40,0)))</f>
        <v/>
      </c>
      <c r="PA41">
        <f>IF(COUNTIF('Buyer Groups'!DG94:EE94,0)+COUNTIF('Buyer Groups'!EG94:EN94,0)&gt;0,0,1)</f>
        <v/>
      </c>
      <c r="PD41">
        <f>IF(ROW()-3&gt;MAX($PC$4:$PC$40),"",INDEX($EJ$4:$EJ$40,MATCH(ROW()-3,$PC$4:$PC$40,0)))</f>
        <v/>
      </c>
      <c r="PE41">
        <f>IF(COUNTIF('Buyer Groups'!DG94:EF94,0)+COUNTIF('Buyer Groups'!EH94:EN94,0)&gt;0,0,1)</f>
        <v/>
      </c>
      <c r="PH41">
        <f>IF(ROW()-3&gt;MAX($PG$4:$PG$40),"",INDEX($EO$4:$EO$40,MATCH(ROW()-3,$PG$4:$PG$40,0)))</f>
        <v/>
      </c>
      <c r="PI41">
        <f>IF(COUNTIF('Buyer Groups'!DG94:EG94,0)+COUNTIF('Buyer Groups'!EI94:EN94,0)&gt;0,0,1)</f>
        <v/>
      </c>
      <c r="PL41">
        <f>IF(ROW()-3&gt;MAX($PK$4:$PK$40),"",INDEX($ET$4:$ET$40,MATCH(ROW()-3,$PK$4:$PK$40,0)))</f>
        <v/>
      </c>
      <c r="PM41">
        <f>IF(COUNTIF('Buyer Groups'!DG94:EH94,0)+COUNTIF('Buyer Groups'!EJ94:EN94,0)&gt;0,0,1)</f>
        <v/>
      </c>
      <c r="PP41">
        <f>IF(ROW()-3&gt;MAX($PO$4:$PO$40),"",INDEX($EY$4:$EY$40,MATCH(ROW()-3,$PO$4:$PO$40,0)))</f>
        <v/>
      </c>
      <c r="PQ41">
        <f>IF(COUNTIF('Buyer Groups'!DG94:EI94,0)+COUNTIF('Buyer Groups'!EK94:EN94,0)&gt;0,0,1)</f>
        <v/>
      </c>
      <c r="PT41">
        <f>IF(ROW()-3&gt;MAX($PS$4:$PS$40),"",INDEX($FD$4:$FD$40,MATCH(ROW()-3,$PS$4:$PS$40,0)))</f>
        <v/>
      </c>
      <c r="PU41">
        <f>IF(COUNTIF('Buyer Groups'!DG94:EJ94,0)+COUNTIF('Buyer Groups'!EL94:EN94,0)&gt;0,0,1)</f>
        <v/>
      </c>
      <c r="PX41">
        <f>IF(ROW()-3&gt;MAX($PW$4:$PW$40),"",INDEX($FX$4:$FX$40,MATCH(ROW()-3,$PW$4:$PW$40,0)))</f>
        <v/>
      </c>
      <c r="PY41">
        <f>IF(COUNTIF('Buyer Groups'!DG94:EK94,0)+COUNTIF('Buyer Groups'!EM94:EN94,0)&gt;0,0,1)</f>
        <v/>
      </c>
      <c r="QB41">
        <f>IF(ROW()-3&gt;MAX($QA$4:$QA$40),"",INDEX($FI$4:$FI$40,MATCH(ROW()-3,$QA$4:$QA$40,0)))</f>
        <v/>
      </c>
      <c r="QC41">
        <f>IF(COUNTIF('Buyer Groups'!DG94:EL94,0)+COUNTIF('Buyer Groups'!EN94:EN94,0)&gt;0,0,1)</f>
        <v/>
      </c>
      <c r="QF41">
        <f>IF(ROW()-3&gt;MAX($QE$4:$QE$40),"",INDEX($FN$4:$FN$40,MATCH(ROW()-3,$QE$4:$QE$40,0)))</f>
        <v/>
      </c>
      <c r="QG41">
        <f>IF(COUNTIF('Buyer Groups'!DG94:EM94,0)&gt;0,0,1)</f>
        <v/>
      </c>
      <c r="QJ41">
        <f>IF(ROW()-3&gt;MAX($QI$4:$QI$40),"",INDEX($FS$4:$FS$40,MATCH(ROW()-3,$QI$4:$QI$40,0)))</f>
        <v/>
      </c>
    </row>
    <row r="42">
      <c r="A42">
        <f>IF(INDEX('Final Calculation Sheet'!$G$4:$G$40,ROW()-40)="","",INDEX('Final Calculation Sheet'!$G$4:$G$40,ROW()-40))</f>
        <v/>
      </c>
      <c r="B42">
        <f>IF(A42="","",COUNTIFS(A$4:A$114,"&lt;"&amp;A42,A$4:A$114,"&lt;&gt;"&amp;"")+COUNTIF(A$4:A42,A42))</f>
        <v/>
      </c>
      <c r="C42">
        <f>IF(ROW()-3&gt;COUNTIF(A$4:A$114,"&lt;&gt;"&amp;""),"",INDEX(A$4:A$114,MATCH(ROW()-3,B$4:B$114,0)))</f>
        <v/>
      </c>
      <c r="D42">
        <f>D41+IF(AND(C42&lt;&gt;"",COUNTIF(C$4:C42,C42)=1),1,0)</f>
        <v/>
      </c>
      <c r="E42">
        <f>IF(ROW()-3&gt;MAX(D$4:D$114),"",INDEX(C$4:C$114,MATCH(ROW()-3,D$4:D$114,0)))</f>
        <v/>
      </c>
      <c r="O42" t="inlineStr">
        <is>
          <t>(nonblank)</t>
        </is>
      </c>
      <c r="T42" t="inlineStr">
        <is>
          <t>(nonblank)</t>
        </is>
      </c>
      <c r="Y42" t="inlineStr">
        <is>
          <t>(nonblank)</t>
        </is>
      </c>
      <c r="AD42" t="inlineStr">
        <is>
          <t>(nonblank)</t>
        </is>
      </c>
      <c r="AI42" t="inlineStr">
        <is>
          <t>(nonblank)</t>
        </is>
      </c>
      <c r="AN42" t="inlineStr">
        <is>
          <t>(nonblank)</t>
        </is>
      </c>
      <c r="AS42" t="inlineStr">
        <is>
          <t>(nonblank)</t>
        </is>
      </c>
      <c r="AX42" t="inlineStr">
        <is>
          <t>(nonblank)</t>
        </is>
      </c>
      <c r="BC42" t="inlineStr">
        <is>
          <t>(nonblank)</t>
        </is>
      </c>
      <c r="BH42" t="inlineStr">
        <is>
          <t>(nonblank)</t>
        </is>
      </c>
      <c r="BM42" t="inlineStr">
        <is>
          <t>(nonblank)</t>
        </is>
      </c>
      <c r="BR42" t="inlineStr">
        <is>
          <t>(nonblank)</t>
        </is>
      </c>
      <c r="BW42" t="inlineStr">
        <is>
          <t>(nonblank)</t>
        </is>
      </c>
      <c r="CB42" t="inlineStr">
        <is>
          <t>(nonblank)</t>
        </is>
      </c>
      <c r="CG42" t="inlineStr">
        <is>
          <t>(nonblank)</t>
        </is>
      </c>
      <c r="CL42" t="inlineStr">
        <is>
          <t>(nonblank)</t>
        </is>
      </c>
      <c r="CQ42" t="inlineStr">
        <is>
          <t>(nonblank)</t>
        </is>
      </c>
      <c r="CV42" t="inlineStr">
        <is>
          <t>(nonblank)</t>
        </is>
      </c>
      <c r="DA42" t="inlineStr">
        <is>
          <t>(nonblank)</t>
        </is>
      </c>
      <c r="DF42" t="inlineStr">
        <is>
          <t>(nonblank)</t>
        </is>
      </c>
      <c r="DK42" t="inlineStr">
        <is>
          <t>(nonblank)</t>
        </is>
      </c>
      <c r="DP42" t="inlineStr">
        <is>
          <t>(nonblank)</t>
        </is>
      </c>
      <c r="DU42" t="inlineStr">
        <is>
          <t>(nonblank)</t>
        </is>
      </c>
      <c r="DZ42" t="inlineStr">
        <is>
          <t>(nonblank)</t>
        </is>
      </c>
      <c r="EE42" t="inlineStr">
        <is>
          <t>(nonblank)</t>
        </is>
      </c>
      <c r="EJ42" t="inlineStr">
        <is>
          <t>(nonblank)</t>
        </is>
      </c>
      <c r="EO42" t="inlineStr">
        <is>
          <t>(nonblank)</t>
        </is>
      </c>
      <c r="ET42" t="inlineStr">
        <is>
          <t>(nonblank)</t>
        </is>
      </c>
      <c r="EY42" t="inlineStr">
        <is>
          <t>(nonblank)</t>
        </is>
      </c>
      <c r="FD42" t="inlineStr">
        <is>
          <t>(nonblank)</t>
        </is>
      </c>
      <c r="FI42" t="inlineStr">
        <is>
          <t>(nonblank)</t>
        </is>
      </c>
      <c r="FN42" t="inlineStr">
        <is>
          <t>(nonblank)</t>
        </is>
      </c>
      <c r="FS42" t="inlineStr">
        <is>
          <t>(nonblank)</t>
        </is>
      </c>
      <c r="FY42">
        <f>IF(COUNTIF('Live Search'!BM$41:BO$41,0)+COUNTIF('Live Search'!BQ$41:CU$41,0)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GB42">
        <f>IF(ROW()-3&gt;MAX($GA$4:$GA$40),"",INDEX($Y$4:$Y$40,MATCH(ROW()-3,$GA$4:$GA$40,0)))</f>
        <v/>
      </c>
      <c r="GC42">
        <f>IF(COUNTIF('Live Search'!BM$41:BM$41,0)+COUNTIF('Live Search'!BO$41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GF42">
        <f>IF(ROW()-3&gt;MAX($GE$4:$GE$40),"",INDEX($O$4:$O$40,MATCH(ROW()-3,$GE$4:$GE$40,0)))</f>
        <v/>
      </c>
      <c r="GG42">
        <f>IF(COUNTIF('Live Search'!BM$41:BN$41,0)+COUNTIF('Live Search'!BP$41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GJ42">
        <f>IF(ROW()-3&gt;MAX($GI$4:$GI$40),"",INDEX($T$4:$T$40,MATCH(ROW()-3,$GI$4:$GI$40,0)))</f>
        <v/>
      </c>
      <c r="GK42">
        <f>IF(COUNTIF('Live Search'!BM$41:BP$41,0)+COUNTIF('Live Search'!BR$41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GN42">
        <f>IF(ROW()-3&gt;MAX($GM$4:$GM$40),"",INDEX($AD$4:$AD$40,MATCH(ROW()-3,$GM$4:$GM$40,0)))</f>
        <v/>
      </c>
      <c r="GO42">
        <f>IF(COUNTIF('Live Search'!BM$41:BQ$41,0)+COUNTIF('Live Search'!BS$41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GR42">
        <f>IF(ROW()-3&gt;MAX($GQ$4:$GQ$40),"",INDEX($AI$4:$AI$40,MATCH(ROW()-3,$GQ$4:$GQ$40,0)))</f>
        <v/>
      </c>
      <c r="GS42">
        <f>IF(COUNTIF('Live Search'!BM$41:BR$41,0)+COUNTIF('Live Search'!BT$41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GV42">
        <f>IF(ROW()-3&gt;MAX($GU$4:$GU$40),"",INDEX($AN$4:$AN$40,MATCH(ROW()-3,$GU$4:$GU$40,0)))</f>
        <v/>
      </c>
      <c r="GW42">
        <f>IF(COUNTIF('Live Search'!BM$41:BS$41,0)+COUNTIF('Live Search'!BU$41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GZ42">
        <f>IF(ROW()-3&gt;MAX($GY$4:$GY$40),"",INDEX($AS$4:$AS$40,MATCH(ROW()-3,$GY$4:$GY$40,0)))</f>
        <v/>
      </c>
      <c r="HA42">
        <f>IF(COUNTIF('Live Search'!BM$41:BT$41,0)+COUNTIF('Live Search'!BV$41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HD42">
        <f>IF(ROW()-3&gt;MAX($HC$4:$HC$40),"",INDEX($AX$4:$AX$40,MATCH(ROW()-3,$HC$4:$HC$40,0)))</f>
        <v/>
      </c>
      <c r="HE42">
        <f>IF(COUNTIF('Live Search'!BM$41:BU$41,0)+COUNTIF('Live Search'!BW$41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HH42">
        <f>IF(ROW()-3&gt;MAX($HG$4:$HG$40),"",INDEX($BC$4:$BC$40,MATCH(ROW()-3,$HG$4:$HG$40,0)))</f>
        <v/>
      </c>
      <c r="HI42">
        <f>IF(COUNTIF('Live Search'!BM$41:BV$41,0)+COUNTIF('Live Search'!BX$41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HL42">
        <f>IF(ROW()-3&gt;MAX($HK$4:$HK$40),"",INDEX($BH$4:$BH$40,MATCH(ROW()-3,$HK$4:$HK$40,0)))</f>
        <v/>
      </c>
      <c r="HM42">
        <f>IF(COUNTIF('Live Search'!BM$41:BW$41,0)+COUNTIF('Live Search'!BY$41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HP42">
        <f>IF(ROW()-3&gt;MAX($HO$4:$HO$40),"",INDEX($BM$4:$BM$40,MATCH(ROW()-3,$HO$4:$HO$40,0)))</f>
        <v/>
      </c>
      <c r="HQ42">
        <f>IF(COUNTIF('Live Search'!BM$41:BX$41,0)+COUNTIF('Live Search'!BZ$41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HT42">
        <f>IF(ROW()-3&gt;MAX($HS$4:$HS$40),"",INDEX($BR$4:$BR$40,MATCH(ROW()-3,$HS$4:$HS$40,0)))</f>
        <v/>
      </c>
      <c r="HU42">
        <f>IF(COUNTIF('Live Search'!BM$41:BY$41,0)+COUNTIF('Live Search'!CA$41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HX42">
        <f>IF(ROW()-3&gt;MAX($HW$4:$HW$40),"",INDEX($BW$4:$BW$40,MATCH(ROW()-3,$HW$4:$HW$40,0)))</f>
        <v/>
      </c>
      <c r="HY42">
        <f>IF(COUNTIF('Live Search'!BM$41:BZ$41,0)+COUNTIF('Live Search'!CB$41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IB42">
        <f>IF(ROW()-3&gt;MAX($IA$4:$IA$40),"",INDEX($CB$4:$CB$40,MATCH(ROW()-3,$IA$4:$IA$40,0)))</f>
        <v/>
      </c>
      <c r="IC42">
        <f>IF(COUNTIF('Live Search'!BM$41:CA$41,0)+COUNTIF('Live Search'!CC$41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IF42">
        <f>IF(ROW()-3&gt;MAX($IE$4:$IE$40),"",INDEX($CG$4:$CG$40,MATCH(ROW()-3,$IE$4:$IE$40,0)))</f>
        <v/>
      </c>
      <c r="IG42">
        <f>IF(COUNTIF('Live Search'!BM$41:CB$41,0)+COUNTIF('Live Search'!CD$41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IJ42">
        <f>IF(ROW()-3&gt;MAX($II$4:$II$40),"",INDEX($CL$4:$CL$40,MATCH(ROW()-3,$II$4:$II$40,0)))</f>
        <v/>
      </c>
      <c r="IK42">
        <f>IF(COUNTIF('Live Search'!BM$41:CC$41,0)+COUNTIF('Live Search'!CE$41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IN42">
        <f>IF(ROW()-3&gt;MAX($IM$4:$IM$40),"",INDEX($CQ$4:$CQ$40,MATCH(ROW()-3,$IM$4:$IM$40,0)))</f>
        <v/>
      </c>
      <c r="IO42">
        <f>IF(COUNTIF('Live Search'!BM$41:CD$41,0)+COUNTIF('Live Search'!CF$41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IR42">
        <f>IF(ROW()-3&gt;MAX($IQ$4:$IQ$40),"",INDEX($CV$4:$CV$40,MATCH(ROW()-3,$IQ$4:$IQ$40,0)))</f>
        <v/>
      </c>
      <c r="IS42">
        <f>IF(COUNTIF('Live Search'!BM$41:CE$41,0)+COUNTIF('Live Search'!CG$41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IV42">
        <f>IF(ROW()-3&gt;MAX($IU$4:$IU$40),"",INDEX($DA$4:$DA$40,MATCH(ROW()-3,$IU$4:$IU$40,0)))</f>
        <v/>
      </c>
      <c r="IW42">
        <f>IF(COUNTIF('Live Search'!BM$41:CF$41,0)+COUNTIF('Live Search'!CH$41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IZ42">
        <f>IF(ROW()-3&gt;MAX($IY$4:$IY$40),"",INDEX($DF$4:$DF$40,MATCH(ROW()-3,$IY$4:$IY$40,0)))</f>
        <v/>
      </c>
      <c r="JA42">
        <f>IF(COUNTIF('Live Search'!BM$41:CG$41,0)+COUNTIF('Live Search'!CI$41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JD42">
        <f>IF(ROW()-3&gt;MAX($JC$4:$JC$40),"",INDEX($DK$4:$DK$40,MATCH(ROW()-3,$JC$4:$JC$40,0)))</f>
        <v/>
      </c>
      <c r="JE42">
        <f>IF(COUNTIF('Live Search'!BM$41:CH$41,0)+COUNTIF('Live Search'!CJ$41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JH42">
        <f>IF(ROW()-3&gt;MAX($JG$4:$JG$40),"",INDEX($DP$4:$DP$40,MATCH(ROW()-3,$JG$4:$JG$40,0)))</f>
        <v/>
      </c>
      <c r="JI42">
        <f>IF(COUNTIF('Live Search'!BM$41:CI$41,0)+COUNTIF('Live Search'!CK$41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JL42">
        <f>IF(ROW()-3&gt;MAX($JK$4:$JK$40),"",INDEX($DU$4:$DU$40,MATCH(ROW()-3,$JK$4:$JK$40,0)))</f>
        <v/>
      </c>
      <c r="JM42">
        <f>IF(COUNTIF('Live Search'!BM$41:CJ$41,0)+COUNTIF('Live Search'!CL$41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JP42">
        <f>IF(ROW()-3&gt;MAX($JO$4:$JO$40),"",INDEX($DZ$4:$DZ$40,MATCH(ROW()-3,$JO$4:$JO$40,0)))</f>
        <v/>
      </c>
      <c r="JQ42">
        <f>IF(COUNTIF('Live Search'!BM$41:CK$41,0)+COUNTIF('Live Search'!CM$41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JT42">
        <f>IF(ROW()-3&gt;MAX($JS$4:$JS$40),"",INDEX($EE$4:$EE$40,MATCH(ROW()-3,$JS$4:$JS$40,0)))</f>
        <v/>
      </c>
      <c r="JU42">
        <f>IF(COUNTIF('Live Search'!BM$41:CL$41,0)+COUNTIF('Live Search'!CN$41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JX42">
        <f>IF(ROW()-3&gt;MAX($JW$4:$JW$40),"",INDEX($EJ$4:$EJ$40,MATCH(ROW()-3,$JW$4:$JW$40,0)))</f>
        <v/>
      </c>
      <c r="JY42">
        <f>IF(COUNTIF('Live Search'!BM$41:CM$41,0)+COUNTIF('Live Search'!CO$41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KB42">
        <f>IF(ROW()-3&gt;MAX($KA$4:$KA$40),"",INDEX($EO$4:$EO$40,MATCH(ROW()-3,$KA$4:$KA$40,0)))</f>
        <v/>
      </c>
      <c r="KC42">
        <f>IF(COUNTIF('Live Search'!BM$41:CN$41,0)+COUNTIF('Live Search'!CP$41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KF42">
        <f>IF(ROW()-3&gt;MAX($KE$4:$KE$40),"",INDEX($ET$4:$ET$40,MATCH(ROW()-3,$KE$4:$KE$40,0)))</f>
        <v/>
      </c>
      <c r="KG42">
        <f>IF(COUNTIF('Live Search'!BM$41:CO$41,0)+COUNTIF('Live Search'!CQ$41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KJ42">
        <f>IF(ROW()-3&gt;MAX($KI$4:$KI$40),"",INDEX($EY$4:$EY$40,MATCH(ROW()-3,$KI$4:$KI$40,0)))</f>
        <v/>
      </c>
      <c r="KK42">
        <f>IF(COUNTIF('Live Search'!BM$41:CP$41,0)+COUNTIF('Live Search'!CR$41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KN42">
        <f>IF(ROW()-3&gt;MAX($KM$4:$KM$40),"",INDEX($FD$4:$FD$40,MATCH(ROW()-3,$KM$4:$KM$40,0)))</f>
        <v/>
      </c>
      <c r="KO42">
        <f>IF(COUNTIF('Live Search'!BM$41:CT$41,0)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KR42">
        <f>IF(ROW()-3&gt;MAX($KQ$4:$KQ$40),"",INDEX($FX$4:$FX$40,MATCH(ROW()-3,$KQ$4:$KQ$40,0)))</f>
        <v/>
      </c>
      <c r="KS42">
        <f>IF(COUNTIF('Live Search'!BM$41:CQ$41,0)+COUNTIF('Live Search'!CS$41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KV42">
        <f>IF(ROW()-3&gt;MAX($KU$4:$KU$40),"",INDEX($FI$4:$FI$40,MATCH(ROW()-3,$KU$4:$KU$40,0)))</f>
        <v/>
      </c>
      <c r="KW42">
        <f>IF(COUNTIF('Live Search'!BM$41:CR$41,0)+COUNTIF('Live Search'!CT$41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KZ42">
        <f>IF(ROW()-3&gt;MAX($KY$4:$KY$40),"",INDEX($FN$4:$FN$40,MATCH(ROW()-3,$KY$4:$KY$40,0)))</f>
        <v/>
      </c>
      <c r="LA42">
        <f>IF(COUNTIF('Live Search'!BM$41:CS$41,0)+COUNTIF('Live Search'!CU$41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LD42">
        <f>IF(ROW()-3&gt;MAX($LC$4:$LC$40),"",INDEX($FS$4:$FS$40,MATCH(ROW()-3,$LC$4:$LC$40,0)))</f>
        <v/>
      </c>
      <c r="LE42">
        <f>IF(COUNTIF('Buyer Groups'!DH95:EN95,0)&gt;0,0,1)</f>
        <v/>
      </c>
      <c r="LH42">
        <f>IF(ROW()-3&gt;MAX($LG$4:$LG$40),"",INDEX($O$4:$O$40,MATCH(ROW()-3,$LG$4:$LG$40,0)))</f>
        <v/>
      </c>
      <c r="LI42">
        <f>IF(COUNTIF('Buyer Groups'!DG95:DG95,0)+COUNTIF('Buyer Groups'!DI95:EN95,0)&gt;0,0,1)</f>
        <v/>
      </c>
      <c r="LL42">
        <f>IF(ROW()-3&gt;MAX($LK$4:$LK$40),"",INDEX($T$4:$T$40,MATCH(ROW()-3,$LK$4:$LK$40,0)))</f>
        <v/>
      </c>
      <c r="LM42">
        <f>IF(COUNTIF('Buyer Groups'!DG95:DH95,0)+COUNTIF('Buyer Groups'!DJ95:EN95,0)&gt;0,0,1)</f>
        <v/>
      </c>
      <c r="LP42">
        <f>IF(ROW()-3&gt;MAX($LO$4:$LO$40),"",INDEX($Y$4:$Y$40,MATCH(ROW()-3,$LO$4:$LO$40,0)))</f>
        <v/>
      </c>
      <c r="LQ42">
        <f>IF(COUNTIF('Buyer Groups'!DG95:DI95,0)+COUNTIF('Buyer Groups'!DK95:EN95,0)&gt;0,0,1)</f>
        <v/>
      </c>
      <c r="LT42">
        <f>IF(ROW()-3&gt;MAX($LS$4:$LS$40),"",INDEX($AD$4:$AD$40,MATCH(ROW()-3,$LS$4:$LS$40,0)))</f>
        <v/>
      </c>
      <c r="LU42">
        <f>IF(COUNTIF('Buyer Groups'!DG95:DJ95,0)+COUNTIF('Buyer Groups'!DL95:EN95,0)&gt;0,0,1)</f>
        <v/>
      </c>
      <c r="LX42">
        <f>IF(ROW()-3&gt;MAX($LW$4:$LW$40),"",INDEX($AI$4:$AI$40,MATCH(ROW()-3,$LW$4:$LW$40,0)))</f>
        <v/>
      </c>
      <c r="LY42">
        <f>IF(COUNTIF('Buyer Groups'!DG95:DK95,0)+COUNTIF('Buyer Groups'!DM95:EN95,0)&gt;0,0,1)</f>
        <v/>
      </c>
      <c r="MB42">
        <f>IF(ROW()-3&gt;MAX($MA$4:$MA$40),"",INDEX($AN$4:$AN$40,MATCH(ROW()-3,$MA$4:$MA$40,0)))</f>
        <v/>
      </c>
      <c r="MC42">
        <f>IF(COUNTIF('Buyer Groups'!DG95:DL95,0)+COUNTIF('Buyer Groups'!DN95:EN95,0)&gt;0,0,1)</f>
        <v/>
      </c>
      <c r="MF42">
        <f>IF(ROW()-3&gt;MAX($ME$4:$ME$40),"",INDEX($AS$4:$AS$40,MATCH(ROW()-3,$ME$4:$ME$40,0)))</f>
        <v/>
      </c>
      <c r="MG42">
        <f>IF(COUNTIF('Buyer Groups'!DG95:DM95,0)+COUNTIF('Buyer Groups'!DO95:EN95,0)&gt;0,0,1)</f>
        <v/>
      </c>
      <c r="MJ42">
        <f>IF(ROW()-3&gt;MAX($MI$4:$MI$40),"",INDEX($AX$4:$AX$40,MATCH(ROW()-3,$MI$4:$MI$40,0)))</f>
        <v/>
      </c>
      <c r="MK42">
        <f>IF(COUNTIF('Buyer Groups'!DG95:DN95,0)+COUNTIF('Buyer Groups'!DP95:EN95,0)&gt;0,0,1)</f>
        <v/>
      </c>
      <c r="MN42">
        <f>IF(ROW()-3&gt;MAX($MM$4:$MM$40),"",INDEX($BC$4:$BC$40,MATCH(ROW()-3,$MM$4:$MM$40,0)))</f>
        <v/>
      </c>
      <c r="MO42">
        <f>IF(COUNTIF('Buyer Groups'!DG95:DO95,0)+COUNTIF('Buyer Groups'!DQ95:EN95,0)&gt;0,0,1)</f>
        <v/>
      </c>
      <c r="MR42">
        <f>IF(ROW()-3&gt;MAX($MQ$4:$MQ$40),"",INDEX($BH$4:$BH$40,MATCH(ROW()-3,$MQ$4:$MQ$40,0)))</f>
        <v/>
      </c>
      <c r="MS42">
        <f>IF(COUNTIF('Buyer Groups'!DG95:DP95,0)+COUNTIF('Buyer Groups'!DR95:EN95,0)&gt;0,0,1)</f>
        <v/>
      </c>
      <c r="MV42">
        <f>IF(ROW()-3&gt;MAX($MU$4:$MU$40),"",INDEX($BM$4:$BM$40,MATCH(ROW()-3,$MU$4:$MU$40,0)))</f>
        <v/>
      </c>
      <c r="MW42">
        <f>IF(COUNTIF('Buyer Groups'!DG95:DQ95,0)+COUNTIF('Buyer Groups'!DS95:EN95,0)&gt;0,0,1)</f>
        <v/>
      </c>
      <c r="MZ42">
        <f>IF(ROW()-3&gt;MAX($MY$4:$MY$40),"",INDEX($BR$4:$BR$40,MATCH(ROW()-3,$MY$4:$MY$40,0)))</f>
        <v/>
      </c>
      <c r="NA42">
        <f>IF(COUNTIF('Buyer Groups'!DG95:DR95,0)+COUNTIF('Buyer Groups'!DT95:EN95,0)&gt;0,0,1)</f>
        <v/>
      </c>
      <c r="ND42">
        <f>IF(ROW()-3&gt;MAX($NC$4:$NC$40),"",INDEX($BW$4:$BW$40,MATCH(ROW()-3,$NC$4:$NC$40,0)))</f>
        <v/>
      </c>
      <c r="NE42">
        <f>IF(COUNTIF('Buyer Groups'!DG95:DS95,0)+COUNTIF('Buyer Groups'!DU95:EN95,0)&gt;0,0,1)</f>
        <v/>
      </c>
      <c r="NH42">
        <f>IF(ROW()-3&gt;MAX($NG$4:$NG$40),"",INDEX($CB$4:$CB$40,MATCH(ROW()-3,$NG$4:$NG$40,0)))</f>
        <v/>
      </c>
      <c r="NI42">
        <f>IF(COUNTIF('Buyer Groups'!DG95:DT95,0)+COUNTIF('Buyer Groups'!DV95:EN95,0)&gt;0,0,1)</f>
        <v/>
      </c>
      <c r="NL42">
        <f>IF(ROW()-3&gt;MAX($NK$4:$NK$40),"",INDEX($CG$4:$CG$40,MATCH(ROW()-3,$NK$4:$NK$40,0)))</f>
        <v/>
      </c>
      <c r="NM42">
        <f>IF(COUNTIF('Buyer Groups'!DG95:DU95,0)+COUNTIF('Buyer Groups'!DW95:EN95,0)&gt;0,0,1)</f>
        <v/>
      </c>
      <c r="NP42">
        <f>IF(ROW()-3&gt;MAX($NO$4:$NO$40),"",INDEX($CL$4:$CL$40,MATCH(ROW()-3,$NO$4:$NO$40,0)))</f>
        <v/>
      </c>
      <c r="NQ42">
        <f>IF(COUNTIF('Buyer Groups'!DG95:DV95,0)+COUNTIF('Buyer Groups'!DX95:EN95,0)&gt;0,0,1)</f>
        <v/>
      </c>
      <c r="NT42">
        <f>IF(ROW()-3&gt;MAX($NS$4:$NS$40),"",INDEX($CQ$4:$CQ$40,MATCH(ROW()-3,$NS$4:$NS$40,0)))</f>
        <v/>
      </c>
      <c r="NU42">
        <f>IF(COUNTIF('Buyer Groups'!DG95:DW95,0)+COUNTIF('Buyer Groups'!DY95:EN95,0)&gt;0,0,1)</f>
        <v/>
      </c>
      <c r="NX42">
        <f>IF(ROW()-3&gt;MAX($NW$4:$NW$40),"",INDEX($CV$4:$CV$40,MATCH(ROW()-3,$NW$4:$NW$40,0)))</f>
        <v/>
      </c>
      <c r="NY42">
        <f>IF(COUNTIF('Buyer Groups'!DG95:DX95,0)+COUNTIF('Buyer Groups'!DZ95:EN95,0)&gt;0,0,1)</f>
        <v/>
      </c>
      <c r="OB42">
        <f>IF(ROW()-3&gt;MAX($OA$4:$OA$40),"",INDEX($DA$4:$DA$40,MATCH(ROW()-3,$OA$4:$OA$40,0)))</f>
        <v/>
      </c>
      <c r="OC42">
        <f>IF(COUNTIF('Buyer Groups'!DG95:DY95,0)+COUNTIF('Buyer Groups'!EA95:EN95,0)&gt;0,0,1)</f>
        <v/>
      </c>
      <c r="OF42">
        <f>IF(ROW()-3&gt;MAX($OE$4:$OE$40),"",INDEX($DF$4:$DF$40,MATCH(ROW()-3,$OE$4:$OE$40,0)))</f>
        <v/>
      </c>
      <c r="OG42">
        <f>IF(COUNTIF('Buyer Groups'!DG95:DZ95,0)+COUNTIF('Buyer Groups'!EB95:EN95,0)&gt;0,0,1)</f>
        <v/>
      </c>
      <c r="OJ42">
        <f>IF(ROW()-3&gt;MAX($OI$4:$OI$40),"",INDEX($DK$4:$DK$40,MATCH(ROW()-3,$OI$4:$OI$40,0)))</f>
        <v/>
      </c>
      <c r="OK42">
        <f>IF(COUNTIF('Buyer Groups'!DG95:EA95,0)+COUNTIF('Buyer Groups'!EC95:EN95,0)&gt;0,0,1)</f>
        <v/>
      </c>
      <c r="ON42">
        <f>IF(ROW()-3&gt;MAX($OM$4:$OM$40),"",INDEX($DP$4:$DP$40,MATCH(ROW()-3,$OM$4:$OM$40,0)))</f>
        <v/>
      </c>
      <c r="OO42">
        <f>IF(COUNTIF('Buyer Groups'!DG95:EB95,0)+COUNTIF('Buyer Groups'!ED95:EN95,0)&gt;0,0,1)</f>
        <v/>
      </c>
      <c r="OR42">
        <f>IF(ROW()-3&gt;MAX($OQ$4:$OQ$40),"",INDEX($DU$4:$DU$40,MATCH(ROW()-3,$OQ$4:$OQ$40,0)))</f>
        <v/>
      </c>
      <c r="OS42">
        <f>IF(COUNTIF('Buyer Groups'!DG95:EC95,0)+COUNTIF('Buyer Groups'!EE95:EN95,0)&gt;0,0,1)</f>
        <v/>
      </c>
      <c r="OV42">
        <f>IF(ROW()-3&gt;MAX($OU$4:$OU$40),"",INDEX($DZ$4:$DZ$40,MATCH(ROW()-3,$OU$4:$OU$40,0)))</f>
        <v/>
      </c>
      <c r="OW42">
        <f>IF(COUNTIF('Buyer Groups'!DG95:ED95,0)+COUNTIF('Buyer Groups'!EF95:EN95,0)&gt;0,0,1)</f>
        <v/>
      </c>
      <c r="OZ42">
        <f>IF(ROW()-3&gt;MAX($OY$4:$OY$40),"",INDEX($EE$4:$EE$40,MATCH(ROW()-3,$OY$4:$OY$40,0)))</f>
        <v/>
      </c>
      <c r="PA42">
        <f>IF(COUNTIF('Buyer Groups'!DG95:EE95,0)+COUNTIF('Buyer Groups'!EG95:EN95,0)&gt;0,0,1)</f>
        <v/>
      </c>
      <c r="PD42">
        <f>IF(ROW()-3&gt;MAX($PC$4:$PC$40),"",INDEX($EJ$4:$EJ$40,MATCH(ROW()-3,$PC$4:$PC$40,0)))</f>
        <v/>
      </c>
      <c r="PE42">
        <f>IF(COUNTIF('Buyer Groups'!DG95:EF95,0)+COUNTIF('Buyer Groups'!EH95:EN95,0)&gt;0,0,1)</f>
        <v/>
      </c>
      <c r="PH42">
        <f>IF(ROW()-3&gt;MAX($PG$4:$PG$40),"",INDEX($EO$4:$EO$40,MATCH(ROW()-3,$PG$4:$PG$40,0)))</f>
        <v/>
      </c>
      <c r="PI42">
        <f>IF(COUNTIF('Buyer Groups'!DG95:EG95,0)+COUNTIF('Buyer Groups'!EI95:EN95,0)&gt;0,0,1)</f>
        <v/>
      </c>
      <c r="PL42">
        <f>IF(ROW()-3&gt;MAX($PK$4:$PK$40),"",INDEX($ET$4:$ET$40,MATCH(ROW()-3,$PK$4:$PK$40,0)))</f>
        <v/>
      </c>
      <c r="PM42">
        <f>IF(COUNTIF('Buyer Groups'!DG95:EH95,0)+COUNTIF('Buyer Groups'!EJ95:EN95,0)&gt;0,0,1)</f>
        <v/>
      </c>
      <c r="PP42">
        <f>IF(ROW()-3&gt;MAX($PO$4:$PO$40),"",INDEX($EY$4:$EY$40,MATCH(ROW()-3,$PO$4:$PO$40,0)))</f>
        <v/>
      </c>
      <c r="PQ42">
        <f>IF(COUNTIF('Buyer Groups'!DG95:EI95,0)+COUNTIF('Buyer Groups'!EK95:EN95,0)&gt;0,0,1)</f>
        <v/>
      </c>
      <c r="PT42">
        <f>IF(ROW()-3&gt;MAX($PS$4:$PS$40),"",INDEX($FD$4:$FD$40,MATCH(ROW()-3,$PS$4:$PS$40,0)))</f>
        <v/>
      </c>
      <c r="PU42">
        <f>IF(COUNTIF('Buyer Groups'!DG95:EJ95,0)+COUNTIF('Buyer Groups'!EL95:EN95,0)&gt;0,0,1)</f>
        <v/>
      </c>
      <c r="PX42">
        <f>IF(ROW()-3&gt;MAX($PW$4:$PW$40),"",INDEX($FX$4:$FX$40,MATCH(ROW()-3,$PW$4:$PW$40,0)))</f>
        <v/>
      </c>
      <c r="PY42">
        <f>IF(COUNTIF('Buyer Groups'!DG95:EK95,0)+COUNTIF('Buyer Groups'!EM95:EN95,0)&gt;0,0,1)</f>
        <v/>
      </c>
      <c r="QB42">
        <f>IF(ROW()-3&gt;MAX($QA$4:$QA$40),"",INDEX($FI$4:$FI$40,MATCH(ROW()-3,$QA$4:$QA$40,0)))</f>
        <v/>
      </c>
      <c r="QC42">
        <f>IF(COUNTIF('Buyer Groups'!DG95:EL95,0)+COUNTIF('Buyer Groups'!EN95:EN95,0)&gt;0,0,1)</f>
        <v/>
      </c>
      <c r="QF42">
        <f>IF(ROW()-3&gt;MAX($QE$4:$QE$40),"",INDEX($FN$4:$FN$40,MATCH(ROW()-3,$QE$4:$QE$40,0)))</f>
        <v/>
      </c>
      <c r="QG42">
        <f>IF(COUNTIF('Buyer Groups'!DG95:EM95,0)&gt;0,0,1)</f>
        <v/>
      </c>
      <c r="QJ42">
        <f>IF(ROW()-3&gt;MAX($QI$4:$QI$40),"",INDEX($FS$4:$FS$40,MATCH(ROW()-3,$QI$4:$QI$40,0)))</f>
        <v/>
      </c>
    </row>
    <row r="43">
      <c r="A43">
        <f>IF(INDEX('Final Calculation Sheet'!$G$4:$G$40,ROW()-40)="","",INDEX('Final Calculation Sheet'!$G$4:$G$40,ROW()-40))</f>
        <v/>
      </c>
      <c r="B43">
        <f>IF(A43="","",COUNTIFS(A$4:A$114,"&lt;"&amp;A43,A$4:A$114,"&lt;&gt;"&amp;"")+COUNTIF(A$4:A43,A43))</f>
        <v/>
      </c>
      <c r="C43">
        <f>IF(ROW()-3&gt;COUNTIF(A$4:A$114,"&lt;&gt;"&amp;""),"",INDEX(A$4:A$114,MATCH(ROW()-3,B$4:B$114,0)))</f>
        <v/>
      </c>
      <c r="D43">
        <f>D42+IF(AND(C43&lt;&gt;"",COUNTIF(C$4:C43,C43)=1),1,0)</f>
        <v/>
      </c>
      <c r="E43">
        <f>IF(ROW()-3&gt;MAX(D$4:D$114),"",INDEX(C$4:C$114,MATCH(ROW()-3,D$4:D$114,0)))</f>
        <v/>
      </c>
    </row>
    <row r="44">
      <c r="A44">
        <f>IF(INDEX('Final Calculation Sheet'!$G$4:$G$40,ROW()-40)="","",INDEX('Final Calculation Sheet'!$G$4:$G$40,ROW()-40))</f>
        <v/>
      </c>
      <c r="B44">
        <f>IF(A44="","",COUNTIFS(A$4:A$114,"&lt;"&amp;A44,A$4:A$114,"&lt;&gt;"&amp;"")+COUNTIF(A$4:A44,A44))</f>
        <v/>
      </c>
      <c r="C44">
        <f>IF(ROW()-3&gt;COUNTIF(A$4:A$114,"&lt;&gt;"&amp;""),"",INDEX(A$4:A$114,MATCH(ROW()-3,B$4:B$114,0)))</f>
        <v/>
      </c>
      <c r="D44">
        <f>D43+IF(AND(C44&lt;&gt;"",COUNTIF(C$4:C44,C44)=1),1,0)</f>
        <v/>
      </c>
      <c r="E44">
        <f>IF(ROW()-3&gt;MAX(D$4:D$114),"",INDEX(C$4:C$114,MATCH(ROW()-3,D$4:D$114,0)))</f>
        <v/>
      </c>
    </row>
    <row r="45">
      <c r="A45">
        <f>IF(INDEX('Final Calculation Sheet'!$G$4:$G$40,ROW()-40)="","",INDEX('Final Calculation Sheet'!$G$4:$G$40,ROW()-40))</f>
        <v/>
      </c>
      <c r="B45">
        <f>IF(A45="","",COUNTIFS(A$4:A$114,"&lt;"&amp;A45,A$4:A$114,"&lt;&gt;"&amp;"")+COUNTIF(A$4:A45,A45))</f>
        <v/>
      </c>
      <c r="C45">
        <f>IF(ROW()-3&gt;COUNTIF(A$4:A$114,"&lt;&gt;"&amp;""),"",INDEX(A$4:A$114,MATCH(ROW()-3,B$4:B$114,0)))</f>
        <v/>
      </c>
      <c r="D45">
        <f>D44+IF(AND(C45&lt;&gt;"",COUNTIF(C$4:C45,C45)=1),1,0)</f>
        <v/>
      </c>
      <c r="E45">
        <f>IF(ROW()-3&gt;MAX(D$4:D$114),"",INDEX(C$4:C$114,MATCH(ROW()-3,D$4:D$114,0)))</f>
        <v/>
      </c>
    </row>
    <row r="46">
      <c r="A46">
        <f>IF(INDEX('Final Calculation Sheet'!$G$4:$G$40,ROW()-40)="","",INDEX('Final Calculation Sheet'!$G$4:$G$40,ROW()-40))</f>
        <v/>
      </c>
      <c r="B46">
        <f>IF(A46="","",COUNTIFS(A$4:A$114,"&lt;"&amp;A46,A$4:A$114,"&lt;&gt;"&amp;"")+COUNTIF(A$4:A46,A46))</f>
        <v/>
      </c>
      <c r="C46">
        <f>IF(ROW()-3&gt;COUNTIF(A$4:A$114,"&lt;&gt;"&amp;""),"",INDEX(A$4:A$114,MATCH(ROW()-3,B$4:B$114,0)))</f>
        <v/>
      </c>
      <c r="D46">
        <f>D45+IF(AND(C46&lt;&gt;"",COUNTIF(C$4:C46,C46)=1),1,0)</f>
        <v/>
      </c>
      <c r="E46">
        <f>IF(ROW()-3&gt;MAX(D$4:D$114),"",INDEX(C$4:C$114,MATCH(ROW()-3,D$4:D$114,0)))</f>
        <v/>
      </c>
    </row>
    <row r="47">
      <c r="A47">
        <f>IF(INDEX('Final Calculation Sheet'!$G$4:$G$40,ROW()-40)="","",INDEX('Final Calculation Sheet'!$G$4:$G$40,ROW()-40))</f>
        <v/>
      </c>
      <c r="B47">
        <f>IF(A47="","",COUNTIFS(A$4:A$114,"&lt;"&amp;A47,A$4:A$114,"&lt;&gt;"&amp;"")+COUNTIF(A$4:A47,A47))</f>
        <v/>
      </c>
      <c r="C47">
        <f>IF(ROW()-3&gt;COUNTIF(A$4:A$114,"&lt;&gt;"&amp;""),"",INDEX(A$4:A$114,MATCH(ROW()-3,B$4:B$114,0)))</f>
        <v/>
      </c>
      <c r="D47">
        <f>D46+IF(AND(C47&lt;&gt;"",COUNTIF(C$4:C47,C47)=1),1,0)</f>
        <v/>
      </c>
      <c r="E47">
        <f>IF(ROW()-3&gt;MAX(D$4:D$114),"",INDEX(C$4:C$114,MATCH(ROW()-3,D$4:D$114,0)))</f>
        <v/>
      </c>
    </row>
    <row r="48">
      <c r="A48">
        <f>IF(INDEX('Final Calculation Sheet'!$G$4:$G$40,ROW()-40)="","",INDEX('Final Calculation Sheet'!$G$4:$G$40,ROW()-40))</f>
        <v/>
      </c>
      <c r="B48">
        <f>IF(A48="","",COUNTIFS(A$4:A$114,"&lt;"&amp;A48,A$4:A$114,"&lt;&gt;"&amp;"")+COUNTIF(A$4:A48,A48))</f>
        <v/>
      </c>
      <c r="C48">
        <f>IF(ROW()-3&gt;COUNTIF(A$4:A$114,"&lt;&gt;"&amp;""),"",INDEX(A$4:A$114,MATCH(ROW()-3,B$4:B$114,0)))</f>
        <v/>
      </c>
      <c r="D48">
        <f>D47+IF(AND(C48&lt;&gt;"",COUNTIF(C$4:C48,C48)=1),1,0)</f>
        <v/>
      </c>
      <c r="E48">
        <f>IF(ROW()-3&gt;MAX(D$4:D$114),"",INDEX(C$4:C$114,MATCH(ROW()-3,D$4:D$114,0)))</f>
        <v/>
      </c>
    </row>
    <row r="49">
      <c r="A49">
        <f>IF(INDEX('Final Calculation Sheet'!$G$4:$G$40,ROW()-40)="","",INDEX('Final Calculation Sheet'!$G$4:$G$40,ROW()-40))</f>
        <v/>
      </c>
      <c r="B49">
        <f>IF(A49="","",COUNTIFS(A$4:A$114,"&lt;"&amp;A49,A$4:A$114,"&lt;&gt;"&amp;"")+COUNTIF(A$4:A49,A49))</f>
        <v/>
      </c>
      <c r="C49">
        <f>IF(ROW()-3&gt;COUNTIF(A$4:A$114,"&lt;&gt;"&amp;""),"",INDEX(A$4:A$114,MATCH(ROW()-3,B$4:B$114,0)))</f>
        <v/>
      </c>
      <c r="D49">
        <f>D48+IF(AND(C49&lt;&gt;"",COUNTIF(C$4:C49,C49)=1),1,0)</f>
        <v/>
      </c>
      <c r="E49">
        <f>IF(ROW()-3&gt;MAX(D$4:D$114),"",INDEX(C$4:C$114,MATCH(ROW()-3,D$4:D$114,0)))</f>
        <v/>
      </c>
    </row>
    <row r="50">
      <c r="A50">
        <f>IF(INDEX('Final Calculation Sheet'!$G$4:$G$40,ROW()-40)="","",INDEX('Final Calculation Sheet'!$G$4:$G$40,ROW()-40))</f>
        <v/>
      </c>
      <c r="B50">
        <f>IF(A50="","",COUNTIFS(A$4:A$114,"&lt;"&amp;A50,A$4:A$114,"&lt;&gt;"&amp;"")+COUNTIF(A$4:A50,A50))</f>
        <v/>
      </c>
      <c r="C50">
        <f>IF(ROW()-3&gt;COUNTIF(A$4:A$114,"&lt;&gt;"&amp;""),"",INDEX(A$4:A$114,MATCH(ROW()-3,B$4:B$114,0)))</f>
        <v/>
      </c>
      <c r="D50">
        <f>D49+IF(AND(C50&lt;&gt;"",COUNTIF(C$4:C50,C50)=1),1,0)</f>
        <v/>
      </c>
      <c r="E50">
        <f>IF(ROW()-3&gt;MAX(D$4:D$114),"",INDEX(C$4:C$114,MATCH(ROW()-3,D$4:D$114,0)))</f>
        <v/>
      </c>
    </row>
    <row r="51">
      <c r="A51">
        <f>IF(INDEX('Final Calculation Sheet'!$G$4:$G$40,ROW()-40)="","",INDEX('Final Calculation Sheet'!$G$4:$G$40,ROW()-40))</f>
        <v/>
      </c>
      <c r="B51">
        <f>IF(A51="","",COUNTIFS(A$4:A$114,"&lt;"&amp;A51,A$4:A$114,"&lt;&gt;"&amp;"")+COUNTIF(A$4:A51,A51))</f>
        <v/>
      </c>
      <c r="C51">
        <f>IF(ROW()-3&gt;COUNTIF(A$4:A$114,"&lt;&gt;"&amp;""),"",INDEX(A$4:A$114,MATCH(ROW()-3,B$4:B$114,0)))</f>
        <v/>
      </c>
      <c r="D51">
        <f>D50+IF(AND(C51&lt;&gt;"",COUNTIF(C$4:C51,C51)=1),1,0)</f>
        <v/>
      </c>
      <c r="E51">
        <f>IF(ROW()-3&gt;MAX(D$4:D$114),"",INDEX(C$4:C$114,MATCH(ROW()-3,D$4:D$114,0)))</f>
        <v/>
      </c>
    </row>
    <row r="52">
      <c r="A52">
        <f>IF(INDEX('Final Calculation Sheet'!$G$4:$G$40,ROW()-40)="","",INDEX('Final Calculation Sheet'!$G$4:$G$40,ROW()-40))</f>
        <v/>
      </c>
      <c r="B52">
        <f>IF(A52="","",COUNTIFS(A$4:A$114,"&lt;"&amp;A52,A$4:A$114,"&lt;&gt;"&amp;"")+COUNTIF(A$4:A52,A52))</f>
        <v/>
      </c>
      <c r="C52">
        <f>IF(ROW()-3&gt;COUNTIF(A$4:A$114,"&lt;&gt;"&amp;""),"",INDEX(A$4:A$114,MATCH(ROW()-3,B$4:B$114,0)))</f>
        <v/>
      </c>
      <c r="D52">
        <f>D51+IF(AND(C52&lt;&gt;"",COUNTIF(C$4:C52,C52)=1),1,0)</f>
        <v/>
      </c>
      <c r="E52">
        <f>IF(ROW()-3&gt;MAX(D$4:D$114),"",INDEX(C$4:C$114,MATCH(ROW()-3,D$4:D$114,0)))</f>
        <v/>
      </c>
    </row>
    <row r="53">
      <c r="A53">
        <f>IF(INDEX('Final Calculation Sheet'!$G$4:$G$40,ROW()-40)="","",INDEX('Final Calculation Sheet'!$G$4:$G$40,ROW()-40))</f>
        <v/>
      </c>
      <c r="B53">
        <f>IF(A53="","",COUNTIFS(A$4:A$114,"&lt;"&amp;A53,A$4:A$114,"&lt;&gt;"&amp;"")+COUNTIF(A$4:A53,A53))</f>
        <v/>
      </c>
      <c r="C53">
        <f>IF(ROW()-3&gt;COUNTIF(A$4:A$114,"&lt;&gt;"&amp;""),"",INDEX(A$4:A$114,MATCH(ROW()-3,B$4:B$114,0)))</f>
        <v/>
      </c>
      <c r="D53">
        <f>D52+IF(AND(C53&lt;&gt;"",COUNTIF(C$4:C53,C53)=1),1,0)</f>
        <v/>
      </c>
      <c r="E53">
        <f>IF(ROW()-3&gt;MAX(D$4:D$114),"",INDEX(C$4:C$114,MATCH(ROW()-3,D$4:D$114,0)))</f>
        <v/>
      </c>
    </row>
    <row r="54">
      <c r="A54">
        <f>IF(INDEX('Final Calculation Sheet'!$G$4:$G$40,ROW()-40)="","",INDEX('Final Calculation Sheet'!$G$4:$G$40,ROW()-40))</f>
        <v/>
      </c>
      <c r="B54">
        <f>IF(A54="","",COUNTIFS(A$4:A$114,"&lt;"&amp;A54,A$4:A$114,"&lt;&gt;"&amp;"")+COUNTIF(A$4:A54,A54))</f>
        <v/>
      </c>
      <c r="C54">
        <f>IF(ROW()-3&gt;COUNTIF(A$4:A$114,"&lt;&gt;"&amp;""),"",INDEX(A$4:A$114,MATCH(ROW()-3,B$4:B$114,0)))</f>
        <v/>
      </c>
      <c r="D54">
        <f>D53+IF(AND(C54&lt;&gt;"",COUNTIF(C$4:C54,C54)=1),1,0)</f>
        <v/>
      </c>
      <c r="E54">
        <f>IF(ROW()-3&gt;MAX(D$4:D$114),"",INDEX(C$4:C$114,MATCH(ROW()-3,D$4:D$114,0)))</f>
        <v/>
      </c>
    </row>
    <row r="55">
      <c r="A55">
        <f>IF(INDEX('Final Calculation Sheet'!$G$4:$G$40,ROW()-40)="","",INDEX('Final Calculation Sheet'!$G$4:$G$40,ROW()-40))</f>
        <v/>
      </c>
      <c r="B55">
        <f>IF(A55="","",COUNTIFS(A$4:A$114,"&lt;"&amp;A55,A$4:A$114,"&lt;&gt;"&amp;"")+COUNTIF(A$4:A55,A55))</f>
        <v/>
      </c>
      <c r="C55">
        <f>IF(ROW()-3&gt;COUNTIF(A$4:A$114,"&lt;&gt;"&amp;""),"",INDEX(A$4:A$114,MATCH(ROW()-3,B$4:B$114,0)))</f>
        <v/>
      </c>
      <c r="D55">
        <f>D54+IF(AND(C55&lt;&gt;"",COUNTIF(C$4:C55,C55)=1),1,0)</f>
        <v/>
      </c>
      <c r="E55">
        <f>IF(ROW()-3&gt;MAX(D$4:D$114),"",INDEX(C$4:C$114,MATCH(ROW()-3,D$4:D$114,0)))</f>
        <v/>
      </c>
    </row>
    <row r="56">
      <c r="A56">
        <f>IF(INDEX('Final Calculation Sheet'!$G$4:$G$40,ROW()-40)="","",INDEX('Final Calculation Sheet'!$G$4:$G$40,ROW()-40))</f>
        <v/>
      </c>
      <c r="B56">
        <f>IF(A56="","",COUNTIFS(A$4:A$114,"&lt;"&amp;A56,A$4:A$114,"&lt;&gt;"&amp;"")+COUNTIF(A$4:A56,A56))</f>
        <v/>
      </c>
      <c r="C56">
        <f>IF(ROW()-3&gt;COUNTIF(A$4:A$114,"&lt;&gt;"&amp;""),"",INDEX(A$4:A$114,MATCH(ROW()-3,B$4:B$114,0)))</f>
        <v/>
      </c>
      <c r="D56">
        <f>D55+IF(AND(C56&lt;&gt;"",COUNTIF(C$4:C56,C56)=1),1,0)</f>
        <v/>
      </c>
      <c r="E56">
        <f>IF(ROW()-3&gt;MAX(D$4:D$114),"",INDEX(C$4:C$114,MATCH(ROW()-3,D$4:D$114,0)))</f>
        <v/>
      </c>
    </row>
    <row r="57">
      <c r="A57">
        <f>IF(INDEX('Final Calculation Sheet'!$G$4:$G$40,ROW()-40)="","",INDEX('Final Calculation Sheet'!$G$4:$G$40,ROW()-40))</f>
        <v/>
      </c>
      <c r="B57">
        <f>IF(A57="","",COUNTIFS(A$4:A$114,"&lt;"&amp;A57,A$4:A$114,"&lt;&gt;"&amp;"")+COUNTIF(A$4:A57,A57))</f>
        <v/>
      </c>
      <c r="C57">
        <f>IF(ROW()-3&gt;COUNTIF(A$4:A$114,"&lt;&gt;"&amp;""),"",INDEX(A$4:A$114,MATCH(ROW()-3,B$4:B$114,0)))</f>
        <v/>
      </c>
      <c r="D57">
        <f>D56+IF(AND(C57&lt;&gt;"",COUNTIF(C$4:C57,C57)=1),1,0)</f>
        <v/>
      </c>
      <c r="E57">
        <f>IF(ROW()-3&gt;MAX(D$4:D$114),"",INDEX(C$4:C$114,MATCH(ROW()-3,D$4:D$114,0)))</f>
        <v/>
      </c>
    </row>
    <row r="58">
      <c r="A58">
        <f>IF(INDEX('Final Calculation Sheet'!$G$4:$G$40,ROW()-40)="","",INDEX('Final Calculation Sheet'!$G$4:$G$40,ROW()-40))</f>
        <v/>
      </c>
      <c r="B58">
        <f>IF(A58="","",COUNTIFS(A$4:A$114,"&lt;"&amp;A58,A$4:A$114,"&lt;&gt;"&amp;"")+COUNTIF(A$4:A58,A58))</f>
        <v/>
      </c>
      <c r="C58">
        <f>IF(ROW()-3&gt;COUNTIF(A$4:A$114,"&lt;&gt;"&amp;""),"",INDEX(A$4:A$114,MATCH(ROW()-3,B$4:B$114,0)))</f>
        <v/>
      </c>
      <c r="D58">
        <f>D57+IF(AND(C58&lt;&gt;"",COUNTIF(C$4:C58,C58)=1),1,0)</f>
        <v/>
      </c>
      <c r="E58">
        <f>IF(ROW()-3&gt;MAX(D$4:D$114),"",INDEX(C$4:C$114,MATCH(ROW()-3,D$4:D$114,0)))</f>
        <v/>
      </c>
    </row>
    <row r="59">
      <c r="A59">
        <f>IF(INDEX('Final Calculation Sheet'!$G$4:$G$40,ROW()-40)="","",INDEX('Final Calculation Sheet'!$G$4:$G$40,ROW()-40))</f>
        <v/>
      </c>
      <c r="B59">
        <f>IF(A59="","",COUNTIFS(A$4:A$114,"&lt;"&amp;A59,A$4:A$114,"&lt;&gt;"&amp;"")+COUNTIF(A$4:A59,A59))</f>
        <v/>
      </c>
      <c r="C59">
        <f>IF(ROW()-3&gt;COUNTIF(A$4:A$114,"&lt;&gt;"&amp;""),"",INDEX(A$4:A$114,MATCH(ROW()-3,B$4:B$114,0)))</f>
        <v/>
      </c>
      <c r="D59">
        <f>D58+IF(AND(C59&lt;&gt;"",COUNTIF(C$4:C59,C59)=1),1,0)</f>
        <v/>
      </c>
      <c r="E59">
        <f>IF(ROW()-3&gt;MAX(D$4:D$114),"",INDEX(C$4:C$114,MATCH(ROW()-3,D$4:D$114,0)))</f>
        <v/>
      </c>
    </row>
    <row r="60">
      <c r="A60">
        <f>IF(INDEX('Final Calculation Sheet'!$G$4:$G$40,ROW()-40)="","",INDEX('Final Calculation Sheet'!$G$4:$G$40,ROW()-40))</f>
        <v/>
      </c>
      <c r="B60">
        <f>IF(A60="","",COUNTIFS(A$4:A$114,"&lt;"&amp;A60,A$4:A$114,"&lt;&gt;"&amp;"")+COUNTIF(A$4:A60,A60))</f>
        <v/>
      </c>
      <c r="C60">
        <f>IF(ROW()-3&gt;COUNTIF(A$4:A$114,"&lt;&gt;"&amp;""),"",INDEX(A$4:A$114,MATCH(ROW()-3,B$4:B$114,0)))</f>
        <v/>
      </c>
      <c r="D60">
        <f>D59+IF(AND(C60&lt;&gt;"",COUNTIF(C$4:C60,C60)=1),1,0)</f>
        <v/>
      </c>
      <c r="E60">
        <f>IF(ROW()-3&gt;MAX(D$4:D$114),"",INDEX(C$4:C$114,MATCH(ROW()-3,D$4:D$114,0)))</f>
        <v/>
      </c>
    </row>
    <row r="61">
      <c r="A61">
        <f>IF(INDEX('Final Calculation Sheet'!$G$4:$G$40,ROW()-40)="","",INDEX('Final Calculation Sheet'!$G$4:$G$40,ROW()-40))</f>
        <v/>
      </c>
      <c r="B61">
        <f>IF(A61="","",COUNTIFS(A$4:A$114,"&lt;"&amp;A61,A$4:A$114,"&lt;&gt;"&amp;"")+COUNTIF(A$4:A61,A61))</f>
        <v/>
      </c>
      <c r="C61">
        <f>IF(ROW()-3&gt;COUNTIF(A$4:A$114,"&lt;&gt;"&amp;""),"",INDEX(A$4:A$114,MATCH(ROW()-3,B$4:B$114,0)))</f>
        <v/>
      </c>
      <c r="D61">
        <f>D60+IF(AND(C61&lt;&gt;"",COUNTIF(C$4:C61,C61)=1),1,0)</f>
        <v/>
      </c>
      <c r="E61">
        <f>IF(ROW()-3&gt;MAX(D$4:D$114),"",INDEX(C$4:C$114,MATCH(ROW()-3,D$4:D$114,0)))</f>
        <v/>
      </c>
    </row>
    <row r="62">
      <c r="A62">
        <f>IF(INDEX('Final Calculation Sheet'!$G$4:$G$40,ROW()-40)="","",INDEX('Final Calculation Sheet'!$G$4:$G$40,ROW()-40))</f>
        <v/>
      </c>
      <c r="B62">
        <f>IF(A62="","",COUNTIFS(A$4:A$114,"&lt;"&amp;A62,A$4:A$114,"&lt;&gt;"&amp;"")+COUNTIF(A$4:A62,A62))</f>
        <v/>
      </c>
      <c r="C62">
        <f>IF(ROW()-3&gt;COUNTIF(A$4:A$114,"&lt;&gt;"&amp;""),"",INDEX(A$4:A$114,MATCH(ROW()-3,B$4:B$114,0)))</f>
        <v/>
      </c>
      <c r="D62">
        <f>D61+IF(AND(C62&lt;&gt;"",COUNTIF(C$4:C62,C62)=1),1,0)</f>
        <v/>
      </c>
      <c r="E62">
        <f>IF(ROW()-3&gt;MAX(D$4:D$114),"",INDEX(C$4:C$114,MATCH(ROW()-3,D$4:D$114,0)))</f>
        <v/>
      </c>
    </row>
    <row r="63">
      <c r="A63">
        <f>IF(INDEX('Final Calculation Sheet'!$G$4:$G$40,ROW()-40)="","",INDEX('Final Calculation Sheet'!$G$4:$G$40,ROW()-40))</f>
        <v/>
      </c>
      <c r="B63">
        <f>IF(A63="","",COUNTIFS(A$4:A$114,"&lt;"&amp;A63,A$4:A$114,"&lt;&gt;"&amp;"")+COUNTIF(A$4:A63,A63))</f>
        <v/>
      </c>
      <c r="C63">
        <f>IF(ROW()-3&gt;COUNTIF(A$4:A$114,"&lt;&gt;"&amp;""),"",INDEX(A$4:A$114,MATCH(ROW()-3,B$4:B$114,0)))</f>
        <v/>
      </c>
      <c r="D63">
        <f>D62+IF(AND(C63&lt;&gt;"",COUNTIF(C$4:C63,C63)=1),1,0)</f>
        <v/>
      </c>
      <c r="E63">
        <f>IF(ROW()-3&gt;MAX(D$4:D$114),"",INDEX(C$4:C$114,MATCH(ROW()-3,D$4:D$114,0)))</f>
        <v/>
      </c>
    </row>
    <row r="64">
      <c r="A64">
        <f>IF(INDEX('Final Calculation Sheet'!$G$4:$G$40,ROW()-40)="","",INDEX('Final Calculation Sheet'!$G$4:$G$40,ROW()-40))</f>
        <v/>
      </c>
      <c r="B64">
        <f>IF(A64="","",COUNTIFS(A$4:A$114,"&lt;"&amp;A64,A$4:A$114,"&lt;&gt;"&amp;"")+COUNTIF(A$4:A64,A64))</f>
        <v/>
      </c>
      <c r="C64">
        <f>IF(ROW()-3&gt;COUNTIF(A$4:A$114,"&lt;&gt;"&amp;""),"",INDEX(A$4:A$114,MATCH(ROW()-3,B$4:B$114,0)))</f>
        <v/>
      </c>
      <c r="D64">
        <f>D63+IF(AND(C64&lt;&gt;"",COUNTIF(C$4:C64,C64)=1),1,0)</f>
        <v/>
      </c>
      <c r="E64">
        <f>IF(ROW()-3&gt;MAX(D$4:D$114),"",INDEX(C$4:C$114,MATCH(ROW()-3,D$4:D$114,0)))</f>
        <v/>
      </c>
    </row>
    <row r="65">
      <c r="A65">
        <f>IF(INDEX('Final Calculation Sheet'!$G$4:$G$40,ROW()-40)="","",INDEX('Final Calculation Sheet'!$G$4:$G$40,ROW()-40))</f>
        <v/>
      </c>
      <c r="B65">
        <f>IF(A65="","",COUNTIFS(A$4:A$114,"&lt;"&amp;A65,A$4:A$114,"&lt;&gt;"&amp;"")+COUNTIF(A$4:A65,A65))</f>
        <v/>
      </c>
      <c r="C65">
        <f>IF(ROW()-3&gt;COUNTIF(A$4:A$114,"&lt;&gt;"&amp;""),"",INDEX(A$4:A$114,MATCH(ROW()-3,B$4:B$114,0)))</f>
        <v/>
      </c>
      <c r="D65">
        <f>D64+IF(AND(C65&lt;&gt;"",COUNTIF(C$4:C65,C65)=1),1,0)</f>
        <v/>
      </c>
      <c r="E65">
        <f>IF(ROW()-3&gt;MAX(D$4:D$114),"",INDEX(C$4:C$114,MATCH(ROW()-3,D$4:D$114,0)))</f>
        <v/>
      </c>
    </row>
    <row r="66">
      <c r="A66">
        <f>IF(INDEX('Final Calculation Sheet'!$G$4:$G$40,ROW()-40)="","",INDEX('Final Calculation Sheet'!$G$4:$G$40,ROW()-40))</f>
        <v/>
      </c>
      <c r="B66">
        <f>IF(A66="","",COUNTIFS(A$4:A$114,"&lt;"&amp;A66,A$4:A$114,"&lt;&gt;"&amp;"")+COUNTIF(A$4:A66,A66))</f>
        <v/>
      </c>
      <c r="C66">
        <f>IF(ROW()-3&gt;COUNTIF(A$4:A$114,"&lt;&gt;"&amp;""),"",INDEX(A$4:A$114,MATCH(ROW()-3,B$4:B$114,0)))</f>
        <v/>
      </c>
      <c r="D66">
        <f>D65+IF(AND(C66&lt;&gt;"",COUNTIF(C$4:C66,C66)=1),1,0)</f>
        <v/>
      </c>
      <c r="E66">
        <f>IF(ROW()-3&gt;MAX(D$4:D$114),"",INDEX(C$4:C$114,MATCH(ROW()-3,D$4:D$114,0)))</f>
        <v/>
      </c>
    </row>
    <row r="67">
      <c r="A67">
        <f>IF(INDEX('Final Calculation Sheet'!$G$4:$G$40,ROW()-40)="","",INDEX('Final Calculation Sheet'!$G$4:$G$40,ROW()-40))</f>
        <v/>
      </c>
      <c r="B67">
        <f>IF(A67="","",COUNTIFS(A$4:A$114,"&lt;"&amp;A67,A$4:A$114,"&lt;&gt;"&amp;"")+COUNTIF(A$4:A67,A67))</f>
        <v/>
      </c>
      <c r="C67">
        <f>IF(ROW()-3&gt;COUNTIF(A$4:A$114,"&lt;&gt;"&amp;""),"",INDEX(A$4:A$114,MATCH(ROW()-3,B$4:B$114,0)))</f>
        <v/>
      </c>
      <c r="D67">
        <f>D66+IF(AND(C67&lt;&gt;"",COUNTIF(C$4:C67,C67)=1),1,0)</f>
        <v/>
      </c>
      <c r="E67">
        <f>IF(ROW()-3&gt;MAX(D$4:D$114),"",INDEX(C$4:C$114,MATCH(ROW()-3,D$4:D$114,0)))</f>
        <v/>
      </c>
    </row>
    <row r="68">
      <c r="A68">
        <f>IF(INDEX('Final Calculation Sheet'!$G$4:$G$40,ROW()-40)="","",INDEX('Final Calculation Sheet'!$G$4:$G$40,ROW()-40))</f>
        <v/>
      </c>
      <c r="B68">
        <f>IF(A68="","",COUNTIFS(A$4:A$114,"&lt;"&amp;A68,A$4:A$114,"&lt;&gt;"&amp;"")+COUNTIF(A$4:A68,A68))</f>
        <v/>
      </c>
      <c r="C68">
        <f>IF(ROW()-3&gt;COUNTIF(A$4:A$114,"&lt;&gt;"&amp;""),"",INDEX(A$4:A$114,MATCH(ROW()-3,B$4:B$114,0)))</f>
        <v/>
      </c>
      <c r="D68">
        <f>D67+IF(AND(C68&lt;&gt;"",COUNTIF(C$4:C68,C68)=1),1,0)</f>
        <v/>
      </c>
      <c r="E68">
        <f>IF(ROW()-3&gt;MAX(D$4:D$114),"",INDEX(C$4:C$114,MATCH(ROW()-3,D$4:D$114,0)))</f>
        <v/>
      </c>
    </row>
    <row r="69">
      <c r="A69">
        <f>IF(INDEX('Final Calculation Sheet'!$G$4:$G$40,ROW()-40)="","",INDEX('Final Calculation Sheet'!$G$4:$G$40,ROW()-40))</f>
        <v/>
      </c>
      <c r="B69">
        <f>IF(A69="","",COUNTIFS(A$4:A$114,"&lt;"&amp;A69,A$4:A$114,"&lt;&gt;"&amp;"")+COUNTIF(A$4:A69,A69))</f>
        <v/>
      </c>
      <c r="C69">
        <f>IF(ROW()-3&gt;COUNTIF(A$4:A$114,"&lt;&gt;"&amp;""),"",INDEX(A$4:A$114,MATCH(ROW()-3,B$4:B$114,0)))</f>
        <v/>
      </c>
      <c r="D69">
        <f>D68+IF(AND(C69&lt;&gt;"",COUNTIF(C$4:C69,C69)=1),1,0)</f>
        <v/>
      </c>
      <c r="E69">
        <f>IF(ROW()-3&gt;MAX(D$4:D$114),"",INDEX(C$4:C$114,MATCH(ROW()-3,D$4:D$114,0)))</f>
        <v/>
      </c>
    </row>
    <row r="70">
      <c r="A70">
        <f>IF(INDEX('Final Calculation Sheet'!$G$4:$G$40,ROW()-40)="","",INDEX('Final Calculation Sheet'!$G$4:$G$40,ROW()-40))</f>
        <v/>
      </c>
      <c r="B70">
        <f>IF(A70="","",COUNTIFS(A$4:A$114,"&lt;"&amp;A70,A$4:A$114,"&lt;&gt;"&amp;"")+COUNTIF(A$4:A70,A70))</f>
        <v/>
      </c>
      <c r="C70">
        <f>IF(ROW()-3&gt;COUNTIF(A$4:A$114,"&lt;&gt;"&amp;""),"",INDEX(A$4:A$114,MATCH(ROW()-3,B$4:B$114,0)))</f>
        <v/>
      </c>
      <c r="D70">
        <f>D69+IF(AND(C70&lt;&gt;"",COUNTIF(C$4:C70,C70)=1),1,0)</f>
        <v/>
      </c>
      <c r="E70">
        <f>IF(ROW()-3&gt;MAX(D$4:D$114),"",INDEX(C$4:C$114,MATCH(ROW()-3,D$4:D$114,0)))</f>
        <v/>
      </c>
    </row>
    <row r="71">
      <c r="A71">
        <f>IF(INDEX('Final Calculation Sheet'!$G$4:$G$40,ROW()-40)="","",INDEX('Final Calculation Sheet'!$G$4:$G$40,ROW()-40))</f>
        <v/>
      </c>
      <c r="B71">
        <f>IF(A71="","",COUNTIFS(A$4:A$114,"&lt;"&amp;A71,A$4:A$114,"&lt;&gt;"&amp;"")+COUNTIF(A$4:A71,A71))</f>
        <v/>
      </c>
      <c r="C71">
        <f>IF(ROW()-3&gt;COUNTIF(A$4:A$114,"&lt;&gt;"&amp;""),"",INDEX(A$4:A$114,MATCH(ROW()-3,B$4:B$114,0)))</f>
        <v/>
      </c>
      <c r="D71">
        <f>D70+IF(AND(C71&lt;&gt;"",COUNTIF(C$4:C71,C71)=1),1,0)</f>
        <v/>
      </c>
      <c r="E71">
        <f>IF(ROW()-3&gt;MAX(D$4:D$114),"",INDEX(C$4:C$114,MATCH(ROW()-3,D$4:D$114,0)))</f>
        <v/>
      </c>
    </row>
    <row r="72">
      <c r="A72">
        <f>IF(INDEX('Final Calculation Sheet'!$G$4:$G$40,ROW()-40)="","",INDEX('Final Calculation Sheet'!$G$4:$G$40,ROW()-40))</f>
        <v/>
      </c>
      <c r="B72">
        <f>IF(A72="","",COUNTIFS(A$4:A$114,"&lt;"&amp;A72,A$4:A$114,"&lt;&gt;"&amp;"")+COUNTIF(A$4:A72,A72))</f>
        <v/>
      </c>
      <c r="C72">
        <f>IF(ROW()-3&gt;COUNTIF(A$4:A$114,"&lt;&gt;"&amp;""),"",INDEX(A$4:A$114,MATCH(ROW()-3,B$4:B$114,0)))</f>
        <v/>
      </c>
      <c r="D72">
        <f>D71+IF(AND(C72&lt;&gt;"",COUNTIF(C$4:C72,C72)=1),1,0)</f>
        <v/>
      </c>
      <c r="E72">
        <f>IF(ROW()-3&gt;MAX(D$4:D$114),"",INDEX(C$4:C$114,MATCH(ROW()-3,D$4:D$114,0)))</f>
        <v/>
      </c>
    </row>
    <row r="73">
      <c r="A73">
        <f>IF(INDEX('Final Calculation Sheet'!$G$4:$G$40,ROW()-40)="","",INDEX('Final Calculation Sheet'!$G$4:$G$40,ROW()-40))</f>
        <v/>
      </c>
      <c r="B73">
        <f>IF(A73="","",COUNTIFS(A$4:A$114,"&lt;"&amp;A73,A$4:A$114,"&lt;&gt;"&amp;"")+COUNTIF(A$4:A73,A73))</f>
        <v/>
      </c>
      <c r="C73">
        <f>IF(ROW()-3&gt;COUNTIF(A$4:A$114,"&lt;&gt;"&amp;""),"",INDEX(A$4:A$114,MATCH(ROW()-3,B$4:B$114,0)))</f>
        <v/>
      </c>
      <c r="D73">
        <f>D72+IF(AND(C73&lt;&gt;"",COUNTIF(C$4:C73,C73)=1),1,0)</f>
        <v/>
      </c>
      <c r="E73">
        <f>IF(ROW()-3&gt;MAX(D$4:D$114),"",INDEX(C$4:C$114,MATCH(ROW()-3,D$4:D$114,0)))</f>
        <v/>
      </c>
    </row>
    <row r="74">
      <c r="A74">
        <f>IF(INDEX('Final Calculation Sheet'!$G$4:$G$40,ROW()-40)="","",INDEX('Final Calculation Sheet'!$G$4:$G$40,ROW()-40))</f>
        <v/>
      </c>
      <c r="B74">
        <f>IF(A74="","",COUNTIFS(A$4:A$114,"&lt;"&amp;A74,A$4:A$114,"&lt;&gt;"&amp;"")+COUNTIF(A$4:A74,A74))</f>
        <v/>
      </c>
      <c r="C74">
        <f>IF(ROW()-3&gt;COUNTIF(A$4:A$114,"&lt;&gt;"&amp;""),"",INDEX(A$4:A$114,MATCH(ROW()-3,B$4:B$114,0)))</f>
        <v/>
      </c>
      <c r="D74">
        <f>D73+IF(AND(C74&lt;&gt;"",COUNTIF(C$4:C74,C74)=1),1,0)</f>
        <v/>
      </c>
      <c r="E74">
        <f>IF(ROW()-3&gt;MAX(D$4:D$114),"",INDEX(C$4:C$114,MATCH(ROW()-3,D$4:D$114,0)))</f>
        <v/>
      </c>
    </row>
    <row r="75">
      <c r="A75">
        <f>IF(INDEX('Final Calculation Sheet'!$G$4:$G$40,ROW()-40)="","",INDEX('Final Calculation Sheet'!$G$4:$G$40,ROW()-40))</f>
        <v/>
      </c>
      <c r="B75">
        <f>IF(A75="","",COUNTIFS(A$4:A$114,"&lt;"&amp;A75,A$4:A$114,"&lt;&gt;"&amp;"")+COUNTIF(A$4:A75,A75))</f>
        <v/>
      </c>
      <c r="C75">
        <f>IF(ROW()-3&gt;COUNTIF(A$4:A$114,"&lt;&gt;"&amp;""),"",INDEX(A$4:A$114,MATCH(ROW()-3,B$4:B$114,0)))</f>
        <v/>
      </c>
      <c r="D75">
        <f>D74+IF(AND(C75&lt;&gt;"",COUNTIF(C$4:C75,C75)=1),1,0)</f>
        <v/>
      </c>
      <c r="E75">
        <f>IF(ROW()-3&gt;MAX(D$4:D$114),"",INDEX(C$4:C$114,MATCH(ROW()-3,D$4:D$114,0)))</f>
        <v/>
      </c>
    </row>
    <row r="76">
      <c r="A76">
        <f>IF(INDEX('Final Calculation Sheet'!$G$4:$G$40,ROW()-40)="","",INDEX('Final Calculation Sheet'!$G$4:$G$40,ROW()-40))</f>
        <v/>
      </c>
      <c r="B76">
        <f>IF(A76="","",COUNTIFS(A$4:A$114,"&lt;"&amp;A76,A$4:A$114,"&lt;&gt;"&amp;"")+COUNTIF(A$4:A76,A76))</f>
        <v/>
      </c>
      <c r="C76">
        <f>IF(ROW()-3&gt;COUNTIF(A$4:A$114,"&lt;&gt;"&amp;""),"",INDEX(A$4:A$114,MATCH(ROW()-3,B$4:B$114,0)))</f>
        <v/>
      </c>
      <c r="D76">
        <f>D75+IF(AND(C76&lt;&gt;"",COUNTIF(C$4:C76,C76)=1),1,0)</f>
        <v/>
      </c>
      <c r="E76">
        <f>IF(ROW()-3&gt;MAX(D$4:D$114),"",INDEX(C$4:C$114,MATCH(ROW()-3,D$4:D$114,0)))</f>
        <v/>
      </c>
    </row>
    <row r="77">
      <c r="A77">
        <f>IF(INDEX('Final Calculation Sheet'!$G$4:$G$40,ROW()-40)="","",INDEX('Final Calculation Sheet'!$G$4:$G$40,ROW()-40))</f>
        <v/>
      </c>
      <c r="B77">
        <f>IF(A77="","",COUNTIFS(A$4:A$114,"&lt;"&amp;A77,A$4:A$114,"&lt;&gt;"&amp;"")+COUNTIF(A$4:A77,A77))</f>
        <v/>
      </c>
      <c r="C77">
        <f>IF(ROW()-3&gt;COUNTIF(A$4:A$114,"&lt;&gt;"&amp;""),"",INDEX(A$4:A$114,MATCH(ROW()-3,B$4:B$114,0)))</f>
        <v/>
      </c>
      <c r="D77">
        <f>D76+IF(AND(C77&lt;&gt;"",COUNTIF(C$4:C77,C77)=1),1,0)</f>
        <v/>
      </c>
      <c r="E77">
        <f>IF(ROW()-3&gt;MAX(D$4:D$114),"",INDEX(C$4:C$114,MATCH(ROW()-3,D$4:D$114,0)))</f>
        <v/>
      </c>
    </row>
    <row r="78">
      <c r="A78">
        <f>IF(INDEX('Final Calculation Sheet'!$B$4:$B$40,ROW()-77)="","",INDEX('Final Calculation Sheet'!$B$4:$B$40,ROW()-77))</f>
        <v/>
      </c>
      <c r="B78">
        <f>IF(A78="","",COUNTIFS(A$4:A$114,"&lt;"&amp;A78,A$4:A$114,"&lt;&gt;"&amp;"")+COUNTIF(A$4:A78,A78))</f>
        <v/>
      </c>
      <c r="C78">
        <f>IF(ROW()-3&gt;COUNTIF(A$4:A$114,"&lt;&gt;"&amp;""),"",INDEX(A$4:A$114,MATCH(ROW()-3,B$4:B$114,0)))</f>
        <v/>
      </c>
      <c r="D78">
        <f>D77+IF(AND(C78&lt;&gt;"",COUNTIF(C$4:C78,C78)=1),1,0)</f>
        <v/>
      </c>
      <c r="E78">
        <f>IF(ROW()-3&gt;MAX(D$4:D$114),"",INDEX(C$4:C$114,MATCH(ROW()-3,D$4:D$114,0)))</f>
        <v/>
      </c>
    </row>
    <row r="79">
      <c r="A79">
        <f>IF(INDEX('Final Calculation Sheet'!$B$4:$B$40,ROW()-77)="","",INDEX('Final Calculation Sheet'!$B$4:$B$40,ROW()-77))</f>
        <v/>
      </c>
      <c r="B79">
        <f>IF(A79="","",COUNTIFS(A$4:A$114,"&lt;"&amp;A79,A$4:A$114,"&lt;&gt;"&amp;"")+COUNTIF(A$4:A79,A79))</f>
        <v/>
      </c>
      <c r="C79">
        <f>IF(ROW()-3&gt;COUNTIF(A$4:A$114,"&lt;&gt;"&amp;""),"",INDEX(A$4:A$114,MATCH(ROW()-3,B$4:B$114,0)))</f>
        <v/>
      </c>
      <c r="D79">
        <f>D78+IF(AND(C79&lt;&gt;"",COUNTIF(C$4:C79,C79)=1),1,0)</f>
        <v/>
      </c>
      <c r="E79">
        <f>IF(ROW()-3&gt;MAX(D$4:D$114),"",INDEX(C$4:C$114,MATCH(ROW()-3,D$4:D$114,0)))</f>
        <v/>
      </c>
    </row>
    <row r="80">
      <c r="A80">
        <f>IF(INDEX('Final Calculation Sheet'!$B$4:$B$40,ROW()-77)="","",INDEX('Final Calculation Sheet'!$B$4:$B$40,ROW()-77))</f>
        <v/>
      </c>
      <c r="B80">
        <f>IF(A80="","",COUNTIFS(A$4:A$114,"&lt;"&amp;A80,A$4:A$114,"&lt;&gt;"&amp;"")+COUNTIF(A$4:A80,A80))</f>
        <v/>
      </c>
      <c r="C80">
        <f>IF(ROW()-3&gt;COUNTIF(A$4:A$114,"&lt;&gt;"&amp;""),"",INDEX(A$4:A$114,MATCH(ROW()-3,B$4:B$114,0)))</f>
        <v/>
      </c>
      <c r="D80">
        <f>D79+IF(AND(C80&lt;&gt;"",COUNTIF(C$4:C80,C80)=1),1,0)</f>
        <v/>
      </c>
      <c r="E80">
        <f>IF(ROW()-3&gt;MAX(D$4:D$114),"",INDEX(C$4:C$114,MATCH(ROW()-3,D$4:D$114,0)))</f>
        <v/>
      </c>
    </row>
    <row r="81">
      <c r="A81">
        <f>IF(INDEX('Final Calculation Sheet'!$B$4:$B$40,ROW()-77)="","",INDEX('Final Calculation Sheet'!$B$4:$B$40,ROW()-77))</f>
        <v/>
      </c>
      <c r="B81">
        <f>IF(A81="","",COUNTIFS(A$4:A$114,"&lt;"&amp;A81,A$4:A$114,"&lt;&gt;"&amp;"")+COUNTIF(A$4:A81,A81))</f>
        <v/>
      </c>
      <c r="C81">
        <f>IF(ROW()-3&gt;COUNTIF(A$4:A$114,"&lt;&gt;"&amp;""),"",INDEX(A$4:A$114,MATCH(ROW()-3,B$4:B$114,0)))</f>
        <v/>
      </c>
      <c r="D81">
        <f>D80+IF(AND(C81&lt;&gt;"",COUNTIF(C$4:C81,C81)=1),1,0)</f>
        <v/>
      </c>
      <c r="E81">
        <f>IF(ROW()-3&gt;MAX(D$4:D$114),"",INDEX(C$4:C$114,MATCH(ROW()-3,D$4:D$114,0)))</f>
        <v/>
      </c>
    </row>
    <row r="82">
      <c r="A82">
        <f>IF(INDEX('Final Calculation Sheet'!$B$4:$B$40,ROW()-77)="","",INDEX('Final Calculation Sheet'!$B$4:$B$40,ROW()-77))</f>
        <v/>
      </c>
      <c r="B82">
        <f>IF(A82="","",COUNTIFS(A$4:A$114,"&lt;"&amp;A82,A$4:A$114,"&lt;&gt;"&amp;"")+COUNTIF(A$4:A82,A82))</f>
        <v/>
      </c>
      <c r="C82">
        <f>IF(ROW()-3&gt;COUNTIF(A$4:A$114,"&lt;&gt;"&amp;""),"",INDEX(A$4:A$114,MATCH(ROW()-3,B$4:B$114,0)))</f>
        <v/>
      </c>
      <c r="D82">
        <f>D81+IF(AND(C82&lt;&gt;"",COUNTIF(C$4:C82,C82)=1),1,0)</f>
        <v/>
      </c>
      <c r="E82">
        <f>IF(ROW()-3&gt;MAX(D$4:D$114),"",INDEX(C$4:C$114,MATCH(ROW()-3,D$4:D$114,0)))</f>
        <v/>
      </c>
    </row>
    <row r="83">
      <c r="A83">
        <f>IF(INDEX('Final Calculation Sheet'!$B$4:$B$40,ROW()-77)="","",INDEX('Final Calculation Sheet'!$B$4:$B$40,ROW()-77))</f>
        <v/>
      </c>
      <c r="B83">
        <f>IF(A83="","",COUNTIFS(A$4:A$114,"&lt;"&amp;A83,A$4:A$114,"&lt;&gt;"&amp;"")+COUNTIF(A$4:A83,A83))</f>
        <v/>
      </c>
      <c r="C83">
        <f>IF(ROW()-3&gt;COUNTIF(A$4:A$114,"&lt;&gt;"&amp;""),"",INDEX(A$4:A$114,MATCH(ROW()-3,B$4:B$114,0)))</f>
        <v/>
      </c>
      <c r="D83">
        <f>D82+IF(AND(C83&lt;&gt;"",COUNTIF(C$4:C83,C83)=1),1,0)</f>
        <v/>
      </c>
      <c r="E83">
        <f>IF(ROW()-3&gt;MAX(D$4:D$114),"",INDEX(C$4:C$114,MATCH(ROW()-3,D$4:D$114,0)))</f>
        <v/>
      </c>
    </row>
    <row r="84">
      <c r="A84">
        <f>IF(INDEX('Final Calculation Sheet'!$B$4:$B$40,ROW()-77)="","",INDEX('Final Calculation Sheet'!$B$4:$B$40,ROW()-77))</f>
        <v/>
      </c>
      <c r="B84">
        <f>IF(A84="","",COUNTIFS(A$4:A$114,"&lt;"&amp;A84,A$4:A$114,"&lt;&gt;"&amp;"")+COUNTIF(A$4:A84,A84))</f>
        <v/>
      </c>
      <c r="C84">
        <f>IF(ROW()-3&gt;COUNTIF(A$4:A$114,"&lt;&gt;"&amp;""),"",INDEX(A$4:A$114,MATCH(ROW()-3,B$4:B$114,0)))</f>
        <v/>
      </c>
      <c r="D84">
        <f>D83+IF(AND(C84&lt;&gt;"",COUNTIF(C$4:C84,C84)=1),1,0)</f>
        <v/>
      </c>
      <c r="E84">
        <f>IF(ROW()-3&gt;MAX(D$4:D$114),"",INDEX(C$4:C$114,MATCH(ROW()-3,D$4:D$114,0)))</f>
        <v/>
      </c>
    </row>
    <row r="85">
      <c r="A85">
        <f>IF(INDEX('Final Calculation Sheet'!$B$4:$B$40,ROW()-77)="","",INDEX('Final Calculation Sheet'!$B$4:$B$40,ROW()-77))</f>
        <v/>
      </c>
      <c r="B85">
        <f>IF(A85="","",COUNTIFS(A$4:A$114,"&lt;"&amp;A85,A$4:A$114,"&lt;&gt;"&amp;"")+COUNTIF(A$4:A85,A85))</f>
        <v/>
      </c>
      <c r="C85">
        <f>IF(ROW()-3&gt;COUNTIF(A$4:A$114,"&lt;&gt;"&amp;""),"",INDEX(A$4:A$114,MATCH(ROW()-3,B$4:B$114,0)))</f>
        <v/>
      </c>
      <c r="D85">
        <f>D84+IF(AND(C85&lt;&gt;"",COUNTIF(C$4:C85,C85)=1),1,0)</f>
        <v/>
      </c>
      <c r="E85">
        <f>IF(ROW()-3&gt;MAX(D$4:D$114),"",INDEX(C$4:C$114,MATCH(ROW()-3,D$4:D$114,0)))</f>
        <v/>
      </c>
    </row>
    <row r="86">
      <c r="A86">
        <f>IF(INDEX('Final Calculation Sheet'!$B$4:$B$40,ROW()-77)="","",INDEX('Final Calculation Sheet'!$B$4:$B$40,ROW()-77))</f>
        <v/>
      </c>
      <c r="B86">
        <f>IF(A86="","",COUNTIFS(A$4:A$114,"&lt;"&amp;A86,A$4:A$114,"&lt;&gt;"&amp;"")+COUNTIF(A$4:A86,A86))</f>
        <v/>
      </c>
      <c r="C86">
        <f>IF(ROW()-3&gt;COUNTIF(A$4:A$114,"&lt;&gt;"&amp;""),"",INDEX(A$4:A$114,MATCH(ROW()-3,B$4:B$114,0)))</f>
        <v/>
      </c>
      <c r="D86">
        <f>D85+IF(AND(C86&lt;&gt;"",COUNTIF(C$4:C86,C86)=1),1,0)</f>
        <v/>
      </c>
      <c r="E86">
        <f>IF(ROW()-3&gt;MAX(D$4:D$114),"",INDEX(C$4:C$114,MATCH(ROW()-3,D$4:D$114,0)))</f>
        <v/>
      </c>
    </row>
    <row r="87">
      <c r="A87">
        <f>IF(INDEX('Final Calculation Sheet'!$B$4:$B$40,ROW()-77)="","",INDEX('Final Calculation Sheet'!$B$4:$B$40,ROW()-77))</f>
        <v/>
      </c>
      <c r="B87">
        <f>IF(A87="","",COUNTIFS(A$4:A$114,"&lt;"&amp;A87,A$4:A$114,"&lt;&gt;"&amp;"")+COUNTIF(A$4:A87,A87))</f>
        <v/>
      </c>
      <c r="C87">
        <f>IF(ROW()-3&gt;COUNTIF(A$4:A$114,"&lt;&gt;"&amp;""),"",INDEX(A$4:A$114,MATCH(ROW()-3,B$4:B$114,0)))</f>
        <v/>
      </c>
      <c r="D87">
        <f>D86+IF(AND(C87&lt;&gt;"",COUNTIF(C$4:C87,C87)=1),1,0)</f>
        <v/>
      </c>
      <c r="E87">
        <f>IF(ROW()-3&gt;MAX(D$4:D$114),"",INDEX(C$4:C$114,MATCH(ROW()-3,D$4:D$114,0)))</f>
        <v/>
      </c>
    </row>
    <row r="88">
      <c r="A88">
        <f>IF(INDEX('Final Calculation Sheet'!$B$4:$B$40,ROW()-77)="","",INDEX('Final Calculation Sheet'!$B$4:$B$40,ROW()-77))</f>
        <v/>
      </c>
      <c r="B88">
        <f>IF(A88="","",COUNTIFS(A$4:A$114,"&lt;"&amp;A88,A$4:A$114,"&lt;&gt;"&amp;"")+COUNTIF(A$4:A88,A88))</f>
        <v/>
      </c>
      <c r="C88">
        <f>IF(ROW()-3&gt;COUNTIF(A$4:A$114,"&lt;&gt;"&amp;""),"",INDEX(A$4:A$114,MATCH(ROW()-3,B$4:B$114,0)))</f>
        <v/>
      </c>
      <c r="D88">
        <f>D87+IF(AND(C88&lt;&gt;"",COUNTIF(C$4:C88,C88)=1),1,0)</f>
        <v/>
      </c>
      <c r="E88">
        <f>IF(ROW()-3&gt;MAX(D$4:D$114),"",INDEX(C$4:C$114,MATCH(ROW()-3,D$4:D$114,0)))</f>
        <v/>
      </c>
    </row>
    <row r="89">
      <c r="A89">
        <f>IF(INDEX('Final Calculation Sheet'!$B$4:$B$40,ROW()-77)="","",INDEX('Final Calculation Sheet'!$B$4:$B$40,ROW()-77))</f>
        <v/>
      </c>
      <c r="B89">
        <f>IF(A89="","",COUNTIFS(A$4:A$114,"&lt;"&amp;A89,A$4:A$114,"&lt;&gt;"&amp;"")+COUNTIF(A$4:A89,A89))</f>
        <v/>
      </c>
      <c r="C89">
        <f>IF(ROW()-3&gt;COUNTIF(A$4:A$114,"&lt;&gt;"&amp;""),"",INDEX(A$4:A$114,MATCH(ROW()-3,B$4:B$114,0)))</f>
        <v/>
      </c>
      <c r="D89">
        <f>D88+IF(AND(C89&lt;&gt;"",COUNTIF(C$4:C89,C89)=1),1,0)</f>
        <v/>
      </c>
      <c r="E89">
        <f>IF(ROW()-3&gt;MAX(D$4:D$114),"",INDEX(C$4:C$114,MATCH(ROW()-3,D$4:D$114,0)))</f>
        <v/>
      </c>
    </row>
    <row r="90">
      <c r="A90">
        <f>IF(INDEX('Final Calculation Sheet'!$B$4:$B$40,ROW()-77)="","",INDEX('Final Calculation Sheet'!$B$4:$B$40,ROW()-77))</f>
        <v/>
      </c>
      <c r="B90">
        <f>IF(A90="","",COUNTIFS(A$4:A$114,"&lt;"&amp;A90,A$4:A$114,"&lt;&gt;"&amp;"")+COUNTIF(A$4:A90,A90))</f>
        <v/>
      </c>
      <c r="C90">
        <f>IF(ROW()-3&gt;COUNTIF(A$4:A$114,"&lt;&gt;"&amp;""),"",INDEX(A$4:A$114,MATCH(ROW()-3,B$4:B$114,0)))</f>
        <v/>
      </c>
      <c r="D90">
        <f>D89+IF(AND(C90&lt;&gt;"",COUNTIF(C$4:C90,C90)=1),1,0)</f>
        <v/>
      </c>
      <c r="E90">
        <f>IF(ROW()-3&gt;MAX(D$4:D$114),"",INDEX(C$4:C$114,MATCH(ROW()-3,D$4:D$114,0)))</f>
        <v/>
      </c>
    </row>
    <row r="91">
      <c r="A91">
        <f>IF(INDEX('Final Calculation Sheet'!$B$4:$B$40,ROW()-77)="","",INDEX('Final Calculation Sheet'!$B$4:$B$40,ROW()-77))</f>
        <v/>
      </c>
      <c r="B91">
        <f>IF(A91="","",COUNTIFS(A$4:A$114,"&lt;"&amp;A91,A$4:A$114,"&lt;&gt;"&amp;"")+COUNTIF(A$4:A91,A91))</f>
        <v/>
      </c>
      <c r="C91">
        <f>IF(ROW()-3&gt;COUNTIF(A$4:A$114,"&lt;&gt;"&amp;""),"",INDEX(A$4:A$114,MATCH(ROW()-3,B$4:B$114,0)))</f>
        <v/>
      </c>
      <c r="D91">
        <f>D90+IF(AND(C91&lt;&gt;"",COUNTIF(C$4:C91,C91)=1),1,0)</f>
        <v/>
      </c>
      <c r="E91">
        <f>IF(ROW()-3&gt;MAX(D$4:D$114),"",INDEX(C$4:C$114,MATCH(ROW()-3,D$4:D$114,0)))</f>
        <v/>
      </c>
    </row>
    <row r="92">
      <c r="A92">
        <f>IF(INDEX('Final Calculation Sheet'!$B$4:$B$40,ROW()-77)="","",INDEX('Final Calculation Sheet'!$B$4:$B$40,ROW()-77))</f>
        <v/>
      </c>
      <c r="B92">
        <f>IF(A92="","",COUNTIFS(A$4:A$114,"&lt;"&amp;A92,A$4:A$114,"&lt;&gt;"&amp;"")+COUNTIF(A$4:A92,A92))</f>
        <v/>
      </c>
      <c r="C92">
        <f>IF(ROW()-3&gt;COUNTIF(A$4:A$114,"&lt;&gt;"&amp;""),"",INDEX(A$4:A$114,MATCH(ROW()-3,B$4:B$114,0)))</f>
        <v/>
      </c>
      <c r="D92">
        <f>D91+IF(AND(C92&lt;&gt;"",COUNTIF(C$4:C92,C92)=1),1,0)</f>
        <v/>
      </c>
      <c r="E92">
        <f>IF(ROW()-3&gt;MAX(D$4:D$114),"",INDEX(C$4:C$114,MATCH(ROW()-3,D$4:D$114,0)))</f>
        <v/>
      </c>
    </row>
    <row r="93">
      <c r="A93">
        <f>IF(INDEX('Final Calculation Sheet'!$B$4:$B$40,ROW()-77)="","",INDEX('Final Calculation Sheet'!$B$4:$B$40,ROW()-77))</f>
        <v/>
      </c>
      <c r="B93">
        <f>IF(A93="","",COUNTIFS(A$4:A$114,"&lt;"&amp;A93,A$4:A$114,"&lt;&gt;"&amp;"")+COUNTIF(A$4:A93,A93))</f>
        <v/>
      </c>
      <c r="C93">
        <f>IF(ROW()-3&gt;COUNTIF(A$4:A$114,"&lt;&gt;"&amp;""),"",INDEX(A$4:A$114,MATCH(ROW()-3,B$4:B$114,0)))</f>
        <v/>
      </c>
      <c r="D93">
        <f>D92+IF(AND(C93&lt;&gt;"",COUNTIF(C$4:C93,C93)=1),1,0)</f>
        <v/>
      </c>
      <c r="E93">
        <f>IF(ROW()-3&gt;MAX(D$4:D$114),"",INDEX(C$4:C$114,MATCH(ROW()-3,D$4:D$114,0)))</f>
        <v/>
      </c>
    </row>
    <row r="94">
      <c r="A94">
        <f>IF(INDEX('Final Calculation Sheet'!$B$4:$B$40,ROW()-77)="","",INDEX('Final Calculation Sheet'!$B$4:$B$40,ROW()-77))</f>
        <v/>
      </c>
      <c r="B94">
        <f>IF(A94="","",COUNTIFS(A$4:A$114,"&lt;"&amp;A94,A$4:A$114,"&lt;&gt;"&amp;"")+COUNTIF(A$4:A94,A94))</f>
        <v/>
      </c>
      <c r="C94">
        <f>IF(ROW()-3&gt;COUNTIF(A$4:A$114,"&lt;&gt;"&amp;""),"",INDEX(A$4:A$114,MATCH(ROW()-3,B$4:B$114,0)))</f>
        <v/>
      </c>
      <c r="D94">
        <f>D93+IF(AND(C94&lt;&gt;"",COUNTIF(C$4:C94,C94)=1),1,0)</f>
        <v/>
      </c>
      <c r="E94">
        <f>IF(ROW()-3&gt;MAX(D$4:D$114),"",INDEX(C$4:C$114,MATCH(ROW()-3,D$4:D$114,0)))</f>
        <v/>
      </c>
    </row>
    <row r="95">
      <c r="A95">
        <f>IF(INDEX('Final Calculation Sheet'!$B$4:$B$40,ROW()-77)="","",INDEX('Final Calculation Sheet'!$B$4:$B$40,ROW()-77))</f>
        <v/>
      </c>
      <c r="B95">
        <f>IF(A95="","",COUNTIFS(A$4:A$114,"&lt;"&amp;A95,A$4:A$114,"&lt;&gt;"&amp;"")+COUNTIF(A$4:A95,A95))</f>
        <v/>
      </c>
      <c r="C95">
        <f>IF(ROW()-3&gt;COUNTIF(A$4:A$114,"&lt;&gt;"&amp;""),"",INDEX(A$4:A$114,MATCH(ROW()-3,B$4:B$114,0)))</f>
        <v/>
      </c>
      <c r="D95">
        <f>D94+IF(AND(C95&lt;&gt;"",COUNTIF(C$4:C95,C95)=1),1,0)</f>
        <v/>
      </c>
      <c r="E95">
        <f>IF(ROW()-3&gt;MAX(D$4:D$114),"",INDEX(C$4:C$114,MATCH(ROW()-3,D$4:D$114,0)))</f>
        <v/>
      </c>
    </row>
    <row r="96">
      <c r="A96">
        <f>IF(INDEX('Final Calculation Sheet'!$B$4:$B$40,ROW()-77)="","",INDEX('Final Calculation Sheet'!$B$4:$B$40,ROW()-77))</f>
        <v/>
      </c>
      <c r="B96">
        <f>IF(A96="","",COUNTIFS(A$4:A$114,"&lt;"&amp;A96,A$4:A$114,"&lt;&gt;"&amp;"")+COUNTIF(A$4:A96,A96))</f>
        <v/>
      </c>
      <c r="C96">
        <f>IF(ROW()-3&gt;COUNTIF(A$4:A$114,"&lt;&gt;"&amp;""),"",INDEX(A$4:A$114,MATCH(ROW()-3,B$4:B$114,0)))</f>
        <v/>
      </c>
      <c r="D96">
        <f>D95+IF(AND(C96&lt;&gt;"",COUNTIF(C$4:C96,C96)=1),1,0)</f>
        <v/>
      </c>
      <c r="E96">
        <f>IF(ROW()-3&gt;MAX(D$4:D$114),"",INDEX(C$4:C$114,MATCH(ROW()-3,D$4:D$114,0)))</f>
        <v/>
      </c>
    </row>
    <row r="97">
      <c r="A97">
        <f>IF(INDEX('Final Calculation Sheet'!$B$4:$B$40,ROW()-77)="","",INDEX('Final Calculation Sheet'!$B$4:$B$40,ROW()-77))</f>
        <v/>
      </c>
      <c r="B97">
        <f>IF(A97="","",COUNTIFS(A$4:A$114,"&lt;"&amp;A97,A$4:A$114,"&lt;&gt;"&amp;"")+COUNTIF(A$4:A97,A97))</f>
        <v/>
      </c>
      <c r="C97">
        <f>IF(ROW()-3&gt;COUNTIF(A$4:A$114,"&lt;&gt;"&amp;""),"",INDEX(A$4:A$114,MATCH(ROW()-3,B$4:B$114,0)))</f>
        <v/>
      </c>
      <c r="D97">
        <f>D96+IF(AND(C97&lt;&gt;"",COUNTIF(C$4:C97,C97)=1),1,0)</f>
        <v/>
      </c>
      <c r="E97">
        <f>IF(ROW()-3&gt;MAX(D$4:D$114),"",INDEX(C$4:C$114,MATCH(ROW()-3,D$4:D$114,0)))</f>
        <v/>
      </c>
    </row>
    <row r="98">
      <c r="A98">
        <f>IF(INDEX('Final Calculation Sheet'!$B$4:$B$40,ROW()-77)="","",INDEX('Final Calculation Sheet'!$B$4:$B$40,ROW()-77))</f>
        <v/>
      </c>
      <c r="B98">
        <f>IF(A98="","",COUNTIFS(A$4:A$114,"&lt;"&amp;A98,A$4:A$114,"&lt;&gt;"&amp;"")+COUNTIF(A$4:A98,A98))</f>
        <v/>
      </c>
      <c r="C98">
        <f>IF(ROW()-3&gt;COUNTIF(A$4:A$114,"&lt;&gt;"&amp;""),"",INDEX(A$4:A$114,MATCH(ROW()-3,B$4:B$114,0)))</f>
        <v/>
      </c>
      <c r="D98">
        <f>D97+IF(AND(C98&lt;&gt;"",COUNTIF(C$4:C98,C98)=1),1,0)</f>
        <v/>
      </c>
      <c r="E98">
        <f>IF(ROW()-3&gt;MAX(D$4:D$114),"",INDEX(C$4:C$114,MATCH(ROW()-3,D$4:D$114,0)))</f>
        <v/>
      </c>
    </row>
    <row r="99">
      <c r="A99">
        <f>IF(INDEX('Final Calculation Sheet'!$B$4:$B$40,ROW()-77)="","",INDEX('Final Calculation Sheet'!$B$4:$B$40,ROW()-77))</f>
        <v/>
      </c>
      <c r="B99">
        <f>IF(A99="","",COUNTIFS(A$4:A$114,"&lt;"&amp;A99,A$4:A$114,"&lt;&gt;"&amp;"")+COUNTIF(A$4:A99,A99))</f>
        <v/>
      </c>
      <c r="C99">
        <f>IF(ROW()-3&gt;COUNTIF(A$4:A$114,"&lt;&gt;"&amp;""),"",INDEX(A$4:A$114,MATCH(ROW()-3,B$4:B$114,0)))</f>
        <v/>
      </c>
      <c r="D99">
        <f>D98+IF(AND(C99&lt;&gt;"",COUNTIF(C$4:C99,C99)=1),1,0)</f>
        <v/>
      </c>
      <c r="E99">
        <f>IF(ROW()-3&gt;MAX(D$4:D$114),"",INDEX(C$4:C$114,MATCH(ROW()-3,D$4:D$114,0)))</f>
        <v/>
      </c>
    </row>
    <row r="100">
      <c r="A100">
        <f>IF(INDEX('Final Calculation Sheet'!$B$4:$B$40,ROW()-77)="","",INDEX('Final Calculation Sheet'!$B$4:$B$40,ROW()-77))</f>
        <v/>
      </c>
      <c r="B100">
        <f>IF(A100="","",COUNTIFS(A$4:A$114,"&lt;"&amp;A100,A$4:A$114,"&lt;&gt;"&amp;"")+COUNTIF(A$4:A100,A100))</f>
        <v/>
      </c>
      <c r="C100">
        <f>IF(ROW()-3&gt;COUNTIF(A$4:A$114,"&lt;&gt;"&amp;""),"",INDEX(A$4:A$114,MATCH(ROW()-3,B$4:B$114,0)))</f>
        <v/>
      </c>
      <c r="D100">
        <f>D99+IF(AND(C100&lt;&gt;"",COUNTIF(C$4:C100,C100)=1),1,0)</f>
        <v/>
      </c>
      <c r="E100">
        <f>IF(ROW()-3&gt;MAX(D$4:D$114),"",INDEX(C$4:C$114,MATCH(ROW()-3,D$4:D$114,0)))</f>
        <v/>
      </c>
    </row>
    <row r="101">
      <c r="A101">
        <f>IF(INDEX('Final Calculation Sheet'!$B$4:$B$40,ROW()-77)="","",INDEX('Final Calculation Sheet'!$B$4:$B$40,ROW()-77))</f>
        <v/>
      </c>
      <c r="B101">
        <f>IF(A101="","",COUNTIFS(A$4:A$114,"&lt;"&amp;A101,A$4:A$114,"&lt;&gt;"&amp;"")+COUNTIF(A$4:A101,A101))</f>
        <v/>
      </c>
      <c r="C101">
        <f>IF(ROW()-3&gt;COUNTIF(A$4:A$114,"&lt;&gt;"&amp;""),"",INDEX(A$4:A$114,MATCH(ROW()-3,B$4:B$114,0)))</f>
        <v/>
      </c>
      <c r="D101">
        <f>D100+IF(AND(C101&lt;&gt;"",COUNTIF(C$4:C101,C101)=1),1,0)</f>
        <v/>
      </c>
      <c r="E101">
        <f>IF(ROW()-3&gt;MAX(D$4:D$114),"",INDEX(C$4:C$114,MATCH(ROW()-3,D$4:D$114,0)))</f>
        <v/>
      </c>
    </row>
    <row r="102">
      <c r="A102">
        <f>IF(INDEX('Final Calculation Sheet'!$B$4:$B$40,ROW()-77)="","",INDEX('Final Calculation Sheet'!$B$4:$B$40,ROW()-77))</f>
        <v/>
      </c>
      <c r="B102">
        <f>IF(A102="","",COUNTIFS(A$4:A$114,"&lt;"&amp;A102,A$4:A$114,"&lt;&gt;"&amp;"")+COUNTIF(A$4:A102,A102))</f>
        <v/>
      </c>
      <c r="C102">
        <f>IF(ROW()-3&gt;COUNTIF(A$4:A$114,"&lt;&gt;"&amp;""),"",INDEX(A$4:A$114,MATCH(ROW()-3,B$4:B$114,0)))</f>
        <v/>
      </c>
      <c r="D102">
        <f>D101+IF(AND(C102&lt;&gt;"",COUNTIF(C$4:C102,C102)=1),1,0)</f>
        <v/>
      </c>
      <c r="E102">
        <f>IF(ROW()-3&gt;MAX(D$4:D$114),"",INDEX(C$4:C$114,MATCH(ROW()-3,D$4:D$114,0)))</f>
        <v/>
      </c>
    </row>
    <row r="103">
      <c r="A103">
        <f>IF(INDEX('Final Calculation Sheet'!$B$4:$B$40,ROW()-77)="","",INDEX('Final Calculation Sheet'!$B$4:$B$40,ROW()-77))</f>
        <v/>
      </c>
      <c r="B103">
        <f>IF(A103="","",COUNTIFS(A$4:A$114,"&lt;"&amp;A103,A$4:A$114,"&lt;&gt;"&amp;"")+COUNTIF(A$4:A103,A103))</f>
        <v/>
      </c>
      <c r="C103">
        <f>IF(ROW()-3&gt;COUNTIF(A$4:A$114,"&lt;&gt;"&amp;""),"",INDEX(A$4:A$114,MATCH(ROW()-3,B$4:B$114,0)))</f>
        <v/>
      </c>
      <c r="D103">
        <f>D102+IF(AND(C103&lt;&gt;"",COUNTIF(C$4:C103,C103)=1),1,0)</f>
        <v/>
      </c>
      <c r="E103">
        <f>IF(ROW()-3&gt;MAX(D$4:D$114),"",INDEX(C$4:C$114,MATCH(ROW()-3,D$4:D$114,0)))</f>
        <v/>
      </c>
    </row>
    <row r="104">
      <c r="A104">
        <f>IF(INDEX('Final Calculation Sheet'!$B$4:$B$40,ROW()-77)="","",INDEX('Final Calculation Sheet'!$B$4:$B$40,ROW()-77))</f>
        <v/>
      </c>
      <c r="B104">
        <f>IF(A104="","",COUNTIFS(A$4:A$114,"&lt;"&amp;A104,A$4:A$114,"&lt;&gt;"&amp;"")+COUNTIF(A$4:A104,A104))</f>
        <v/>
      </c>
      <c r="C104">
        <f>IF(ROW()-3&gt;COUNTIF(A$4:A$114,"&lt;&gt;"&amp;""),"",INDEX(A$4:A$114,MATCH(ROW()-3,B$4:B$114,0)))</f>
        <v/>
      </c>
      <c r="D104">
        <f>D103+IF(AND(C104&lt;&gt;"",COUNTIF(C$4:C104,C104)=1),1,0)</f>
        <v/>
      </c>
      <c r="E104">
        <f>IF(ROW()-3&gt;MAX(D$4:D$114),"",INDEX(C$4:C$114,MATCH(ROW()-3,D$4:D$114,0)))</f>
        <v/>
      </c>
    </row>
    <row r="105">
      <c r="A105">
        <f>IF(INDEX('Final Calculation Sheet'!$B$4:$B$40,ROW()-77)="","",INDEX('Final Calculation Sheet'!$B$4:$B$40,ROW()-77))</f>
        <v/>
      </c>
      <c r="B105">
        <f>IF(A105="","",COUNTIFS(A$4:A$114,"&lt;"&amp;A105,A$4:A$114,"&lt;&gt;"&amp;"")+COUNTIF(A$4:A105,A105))</f>
        <v/>
      </c>
      <c r="C105">
        <f>IF(ROW()-3&gt;COUNTIF(A$4:A$114,"&lt;&gt;"&amp;""),"",INDEX(A$4:A$114,MATCH(ROW()-3,B$4:B$114,0)))</f>
        <v/>
      </c>
      <c r="D105">
        <f>D104+IF(AND(C105&lt;&gt;"",COUNTIF(C$4:C105,C105)=1),1,0)</f>
        <v/>
      </c>
      <c r="E105">
        <f>IF(ROW()-3&gt;MAX(D$4:D$114),"",INDEX(C$4:C$114,MATCH(ROW()-3,D$4:D$114,0)))</f>
        <v/>
      </c>
    </row>
    <row r="106">
      <c r="A106">
        <f>IF(INDEX('Final Calculation Sheet'!$B$4:$B$40,ROW()-77)="","",INDEX('Final Calculation Sheet'!$B$4:$B$40,ROW()-77))</f>
        <v/>
      </c>
      <c r="B106">
        <f>IF(A106="","",COUNTIFS(A$4:A$114,"&lt;"&amp;A106,A$4:A$114,"&lt;&gt;"&amp;"")+COUNTIF(A$4:A106,A106))</f>
        <v/>
      </c>
      <c r="C106">
        <f>IF(ROW()-3&gt;COUNTIF(A$4:A$114,"&lt;&gt;"&amp;""),"",INDEX(A$4:A$114,MATCH(ROW()-3,B$4:B$114,0)))</f>
        <v/>
      </c>
      <c r="D106">
        <f>D105+IF(AND(C106&lt;&gt;"",COUNTIF(C$4:C106,C106)=1),1,0)</f>
        <v/>
      </c>
      <c r="E106">
        <f>IF(ROW()-3&gt;MAX(D$4:D$114),"",INDEX(C$4:C$114,MATCH(ROW()-3,D$4:D$114,0)))</f>
        <v/>
      </c>
    </row>
    <row r="107">
      <c r="A107">
        <f>IF(INDEX('Final Calculation Sheet'!$B$4:$B$40,ROW()-77)="","",INDEX('Final Calculation Sheet'!$B$4:$B$40,ROW()-77))</f>
        <v/>
      </c>
      <c r="B107">
        <f>IF(A107="","",COUNTIFS(A$4:A$114,"&lt;"&amp;A107,A$4:A$114,"&lt;&gt;"&amp;"")+COUNTIF(A$4:A107,A107))</f>
        <v/>
      </c>
      <c r="C107">
        <f>IF(ROW()-3&gt;COUNTIF(A$4:A$114,"&lt;&gt;"&amp;""),"",INDEX(A$4:A$114,MATCH(ROW()-3,B$4:B$114,0)))</f>
        <v/>
      </c>
      <c r="D107">
        <f>D106+IF(AND(C107&lt;&gt;"",COUNTIF(C$4:C107,C107)=1),1,0)</f>
        <v/>
      </c>
      <c r="E107">
        <f>IF(ROW()-3&gt;MAX(D$4:D$114),"",INDEX(C$4:C$114,MATCH(ROW()-3,D$4:D$114,0)))</f>
        <v/>
      </c>
    </row>
    <row r="108">
      <c r="A108">
        <f>IF(INDEX('Final Calculation Sheet'!$B$4:$B$40,ROW()-77)="","",INDEX('Final Calculation Sheet'!$B$4:$B$40,ROW()-77))</f>
        <v/>
      </c>
      <c r="B108">
        <f>IF(A108="","",COUNTIFS(A$4:A$114,"&lt;"&amp;A108,A$4:A$114,"&lt;&gt;"&amp;"")+COUNTIF(A$4:A108,A108))</f>
        <v/>
      </c>
      <c r="C108">
        <f>IF(ROW()-3&gt;COUNTIF(A$4:A$114,"&lt;&gt;"&amp;""),"",INDEX(A$4:A$114,MATCH(ROW()-3,B$4:B$114,0)))</f>
        <v/>
      </c>
      <c r="D108">
        <f>D107+IF(AND(C108&lt;&gt;"",COUNTIF(C$4:C108,C108)=1),1,0)</f>
        <v/>
      </c>
      <c r="E108">
        <f>IF(ROW()-3&gt;MAX(D$4:D$114),"",INDEX(C$4:C$114,MATCH(ROW()-3,D$4:D$114,0)))</f>
        <v/>
      </c>
    </row>
    <row r="109">
      <c r="A109">
        <f>IF(INDEX('Final Calculation Sheet'!$B$4:$B$40,ROW()-77)="","",INDEX('Final Calculation Sheet'!$B$4:$B$40,ROW()-77))</f>
        <v/>
      </c>
      <c r="B109">
        <f>IF(A109="","",COUNTIFS(A$4:A$114,"&lt;"&amp;A109,A$4:A$114,"&lt;&gt;"&amp;"")+COUNTIF(A$4:A109,A109))</f>
        <v/>
      </c>
      <c r="C109">
        <f>IF(ROW()-3&gt;COUNTIF(A$4:A$114,"&lt;&gt;"&amp;""),"",INDEX(A$4:A$114,MATCH(ROW()-3,B$4:B$114,0)))</f>
        <v/>
      </c>
      <c r="D109">
        <f>D108+IF(AND(C109&lt;&gt;"",COUNTIF(C$4:C109,C109)=1),1,0)</f>
        <v/>
      </c>
      <c r="E109">
        <f>IF(ROW()-3&gt;MAX(D$4:D$114),"",INDEX(C$4:C$114,MATCH(ROW()-3,D$4:D$114,0)))</f>
        <v/>
      </c>
    </row>
    <row r="110">
      <c r="A110">
        <f>IF(INDEX('Final Calculation Sheet'!$B$4:$B$40,ROW()-77)="","",INDEX('Final Calculation Sheet'!$B$4:$B$40,ROW()-77))</f>
        <v/>
      </c>
      <c r="B110">
        <f>IF(A110="","",COUNTIFS(A$4:A$114,"&lt;"&amp;A110,A$4:A$114,"&lt;&gt;"&amp;"")+COUNTIF(A$4:A110,A110))</f>
        <v/>
      </c>
      <c r="C110">
        <f>IF(ROW()-3&gt;COUNTIF(A$4:A$114,"&lt;&gt;"&amp;""),"",INDEX(A$4:A$114,MATCH(ROW()-3,B$4:B$114,0)))</f>
        <v/>
      </c>
      <c r="D110">
        <f>D109+IF(AND(C110&lt;&gt;"",COUNTIF(C$4:C110,C110)=1),1,0)</f>
        <v/>
      </c>
      <c r="E110">
        <f>IF(ROW()-3&gt;MAX(D$4:D$114),"",INDEX(C$4:C$114,MATCH(ROW()-3,D$4:D$114,0)))</f>
        <v/>
      </c>
    </row>
    <row r="111">
      <c r="A111">
        <f>IF(INDEX('Final Calculation Sheet'!$B$4:$B$40,ROW()-77)="","",INDEX('Final Calculation Sheet'!$B$4:$B$40,ROW()-77))</f>
        <v/>
      </c>
      <c r="B111">
        <f>IF(A111="","",COUNTIFS(A$4:A$114,"&lt;"&amp;A111,A$4:A$114,"&lt;&gt;"&amp;"")+COUNTIF(A$4:A111,A111))</f>
        <v/>
      </c>
      <c r="C111">
        <f>IF(ROW()-3&gt;COUNTIF(A$4:A$114,"&lt;&gt;"&amp;""),"",INDEX(A$4:A$114,MATCH(ROW()-3,B$4:B$114,0)))</f>
        <v/>
      </c>
      <c r="D111">
        <f>D110+IF(AND(C111&lt;&gt;"",COUNTIF(C$4:C111,C111)=1),1,0)</f>
        <v/>
      </c>
      <c r="E111">
        <f>IF(ROW()-3&gt;MAX(D$4:D$114),"",INDEX(C$4:C$114,MATCH(ROW()-3,D$4:D$114,0)))</f>
        <v/>
      </c>
    </row>
    <row r="112">
      <c r="A112">
        <f>IF(INDEX('Final Calculation Sheet'!$B$4:$B$40,ROW()-77)="","",INDEX('Final Calculation Sheet'!$B$4:$B$40,ROW()-77))</f>
        <v/>
      </c>
      <c r="B112">
        <f>IF(A112="","",COUNTIFS(A$4:A$114,"&lt;"&amp;A112,A$4:A$114,"&lt;&gt;"&amp;"")+COUNTIF(A$4:A112,A112))</f>
        <v/>
      </c>
      <c r="C112">
        <f>IF(ROW()-3&gt;COUNTIF(A$4:A$114,"&lt;&gt;"&amp;""),"",INDEX(A$4:A$114,MATCH(ROW()-3,B$4:B$114,0)))</f>
        <v/>
      </c>
      <c r="D112">
        <f>D111+IF(AND(C112&lt;&gt;"",COUNTIF(C$4:C112,C112)=1),1,0)</f>
        <v/>
      </c>
      <c r="E112">
        <f>IF(ROW()-3&gt;MAX(D$4:D$114),"",INDEX(C$4:C$114,MATCH(ROW()-3,D$4:D$114,0)))</f>
        <v/>
      </c>
    </row>
    <row r="113">
      <c r="A113">
        <f>IF(INDEX('Final Calculation Sheet'!$B$4:$B$40,ROW()-77)="","",INDEX('Final Calculation Sheet'!$B$4:$B$40,ROW()-77))</f>
        <v/>
      </c>
      <c r="B113">
        <f>IF(A113="","",COUNTIFS(A$4:A$114,"&lt;"&amp;A113,A$4:A$114,"&lt;&gt;"&amp;"")+COUNTIF(A$4:A113,A113))</f>
        <v/>
      </c>
      <c r="C113">
        <f>IF(ROW()-3&gt;COUNTIF(A$4:A$114,"&lt;&gt;"&amp;""),"",INDEX(A$4:A$114,MATCH(ROW()-3,B$4:B$114,0)))</f>
        <v/>
      </c>
      <c r="D113">
        <f>D112+IF(AND(C113&lt;&gt;"",COUNTIF(C$4:C113,C113)=1),1,0)</f>
        <v/>
      </c>
      <c r="E113">
        <f>IF(ROW()-3&gt;MAX(D$4:D$114),"",INDEX(C$4:C$114,MATCH(ROW()-3,D$4:D$114,0)))</f>
        <v/>
      </c>
    </row>
    <row r="114">
      <c r="A114">
        <f>IF(INDEX('Final Calculation Sheet'!$B$4:$B$40,ROW()-77)="","",INDEX('Final Calculation Sheet'!$B$4:$B$40,ROW()-77))</f>
        <v/>
      </c>
      <c r="B114">
        <f>IF(A114="","",COUNTIFS(A$4:A$114,"&lt;"&amp;A114,A$4:A$114,"&lt;&gt;"&amp;"")+COUNTIF(A$4:A114,A114))</f>
        <v/>
      </c>
      <c r="C114">
        <f>IF(ROW()-3&gt;COUNTIF(A$4:A$114,"&lt;&gt;"&amp;""),"",INDEX(A$4:A$114,MATCH(ROW()-3,B$4:B$114,0)))</f>
        <v/>
      </c>
      <c r="D114">
        <f>D113+IF(AND(C114&lt;&gt;"",COUNTIF(C$4:C114,C114)=1),1,0)</f>
        <v/>
      </c>
      <c r="E114">
        <f>IF(ROW()-3&gt;MAX(D$4:D$114),"",INDEX(C$4:C$114,MATCH(ROW()-3,D$4:D$114,0)))</f>
        <v/>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codeName="Sheet5">
    <outlinePr summaryBelow="1" summaryRight="1"/>
    <pageSetUpPr/>
  </sheetPr>
  <dimension ref="A1:AI38"/>
  <sheetViews>
    <sheetView zoomScaleNormal="100" workbookViewId="0">
      <selection activeCell="A1" sqref="A1"/>
    </sheetView>
  </sheetViews>
  <sheetFormatPr baseColWidth="8" defaultColWidth="8.7109375" defaultRowHeight="15"/>
  <sheetData>
    <row r="1">
      <c r="A1" t="inlineStr">
        <is>
          <t>#</t>
        </is>
      </c>
      <c r="B1" t="inlineStr">
        <is>
          <t>Lot No.</t>
        </is>
      </c>
      <c r="C1" t="inlineStr">
        <is>
          <t>Buyer</t>
        </is>
      </c>
      <c r="D1" t="inlineStr">
        <is>
          <t>Lot Name</t>
        </is>
      </c>
      <c r="E1" t="inlineStr">
        <is>
          <t>Bid Sheet</t>
        </is>
      </c>
      <c r="F1" t="inlineStr">
        <is>
          <t>Quantity</t>
        </is>
      </c>
      <c r="G1" t="inlineStr">
        <is>
          <t>Unit</t>
        </is>
      </c>
      <c r="H1" t="inlineStr">
        <is>
          <t>Rate</t>
        </is>
      </c>
      <c r="I1" t="inlineStr">
        <is>
          <t>Mat. Value</t>
        </is>
      </c>
      <c r="J1" t="inlineStr">
        <is>
          <t>GST</t>
        </is>
      </c>
      <c r="K1" t="inlineStr">
        <is>
          <t>Mat. Value + GST</t>
        </is>
      </c>
      <c r="L1" t="inlineStr">
        <is>
          <t>TCS</t>
        </is>
      </c>
      <c r="M1" t="inlineStr">
        <is>
          <t>TDS u/s 194(O)</t>
        </is>
      </c>
      <c r="N1" t="inlineStr">
        <is>
          <t>Service Charge to MSTC</t>
        </is>
      </c>
      <c r="O1" t="inlineStr">
        <is>
          <t>TDS u/s 194(H)</t>
        </is>
      </c>
      <c r="P1" t="inlineStr">
        <is>
          <t>Net Service Charge (post TDS 194H)</t>
        </is>
      </c>
      <c r="Q1" t="inlineStr">
        <is>
          <t>Service charge to MSTC</t>
        </is>
      </c>
      <c r="R1" t="inlineStr">
        <is>
          <t>GST TDS Rate</t>
        </is>
      </c>
      <c r="S1" t="inlineStr">
        <is>
          <t>GST TDS</t>
        </is>
      </c>
      <c r="T1" t="inlineStr">
        <is>
          <t>Total Receivables in Cash</t>
        </is>
      </c>
      <c r="U1" t="inlineStr">
        <is>
          <t>Security Deposit (Expected)</t>
        </is>
      </c>
      <c r="V1" t="inlineStr">
        <is>
          <t>Security Deposit (Received)</t>
        </is>
      </c>
      <c r="W1" t="inlineStr">
        <is>
          <t>Date of Receipt (col V)</t>
        </is>
      </c>
      <c r="X1" t="inlineStr">
        <is>
          <t>Final Payment (Expected)</t>
        </is>
      </c>
      <c r="Y1" t="inlineStr">
        <is>
          <t>Final Payment (Received)</t>
        </is>
      </c>
      <c r="Z1" t="inlineStr">
        <is>
          <t>Date of Receipt (col Y)</t>
        </is>
      </c>
      <c r="AA1" t="inlineStr">
        <is>
          <t>LPP Expected</t>
        </is>
      </c>
      <c r="AB1" t="inlineStr">
        <is>
          <t>LPP Received</t>
        </is>
      </c>
      <c r="AC1" t="inlineStr">
        <is>
          <t>Date of Recepit of LPP</t>
        </is>
      </c>
      <c r="AD1" t="inlineStr">
        <is>
          <t>Total Received</t>
        </is>
      </c>
      <c r="AE1" t="inlineStr">
        <is>
          <t>Outstanding</t>
        </is>
      </c>
      <c r="AF1" t="inlineStr">
        <is>
          <t>Invoice No.</t>
        </is>
      </c>
      <c r="AG1" t="inlineStr">
        <is>
          <t>SAP Document</t>
        </is>
      </c>
      <c r="AH1" t="inlineStr">
        <is>
          <t>Doc./Invoice Date</t>
        </is>
      </c>
      <c r="AI1" t="inlineStr">
        <is>
          <t>Payment Status</t>
        </is>
      </c>
    </row>
    <row r="2">
      <c r="A2">
        <f>IF($BJ5&gt;0,INDEX($BA$5:$BA$41,MATCH(5,$BB$5:$BB$41,0)),IF(OR($BI5=1,$BL5=1,$BH5&gt;0),"∑",""))</f>
        <v/>
      </c>
      <c r="B2">
        <f>IF($BJ5&gt;0,IF(INDEX('Final Calculation Sheet'!$F$4:$F$40,$BJ5-3)="","",INDEX('Final Calculation Sheet'!$F$4:$F$40,$BJ5-3)),"")</f>
        <v/>
      </c>
      <c r="C2">
        <f>IF($BJ5&gt;0,IF(INDEX('Final Calculation Sheet'!$G$4:$G$40,$BJ5-3)="","",INDEX('Final Calculation Sheet'!$G$4:$G$40,$BJ5-3)),IF(OR($BI5=1,$BL5=1,$BH5&gt;0),IF($BI5=1,37,IF($BL5=1,37-INDEX($BD$4:$BD$13,10),INDEX($BD$4:$BD$13,$BH5)))&amp;" lot(s)",""))</f>
        <v/>
      </c>
      <c r="D2">
        <f>IF($BJ5&gt;0,IF(INDEX('Final Calculation Sheet'!$B$4:$B$40,$BJ5-3)="","",INDEX('Final Calculation Sheet'!$B$4:$B$40,$BJ5-3)),IF(OR($BI5=1,$BL5=1,$BH5&gt;0),IF($BI5=1,"GRAND TOTAL  —  matching + remaining",IF($BL5=1,"TOTAL MATCHED  —  every group together",IF($BH5=10,"REMAINING  —  did not match the search",IF($BH5=9,IF(COUNTIF($A$4:$AI$4,"&lt;&gt;")&gt;0,"FILTERED LOTS  —  column fields","ALL LOTS  —  nothing typed in the box"),"GROUP "&amp;$BH5&amp;" TOTAL  —  lots matching  "&amp;INDEX($AR$6:$AY$6,$BH5))))),""))</f>
        <v/>
      </c>
      <c r="E2">
        <f>IF($BJ5&gt;0,IF(INDEX('Final Calculation Sheet'!$D$4:$D$40,$BJ5-3)="","",INDEX('Final Calculation Sheet'!$D$4:$D$40,$BJ5-3)),IF(OR($BI5=1,$BL5=1,$BH5&gt;0),"–",""))</f>
        <v/>
      </c>
      <c r="F2">
        <f>IF($BJ5&gt;0,IF(INDEX('Final Calculation Sheet'!$A$4:$A$40,$BJ5-3)="","",INDEX('Final Calculation Sheet'!$A$4:$A$40,$BJ5-3)),IF(OR($BI5=1,$BL5=1,$BH5&gt;0),IF($BI5=1,SUM('Final Calculation Sheet'!$A$4:$A$40),IF($BL5=1,SUM('Final Calculation Sheet'!$A$4:$A$40)-SUMIFS('Final Calculation Sheet'!$A$4:$A$40,$AZ$5:$AZ$41,10),SUMIFS('Final Calculation Sheet'!$A$4:$A$40,$AZ$5:$AZ$41,$BH5))),""))</f>
        <v/>
      </c>
      <c r="G2">
        <f>IF($BJ5&gt;0,IF(INDEX('Final Calculation Sheet'!$E$4:$E$40,$BJ5-3)="","",INDEX('Final Calculation Sheet'!$E$4:$E$40,$BJ5-3)),IF(OR($BI5=1,$BL5=1,$BH5&gt;0),"–",""))</f>
        <v/>
      </c>
      <c r="H2">
        <f>IF($BJ5&gt;0,IF(INDEX('Final Calculation Sheet'!$C$4:$C$40,$BJ5-3)="","",INDEX('Final Calculation Sheet'!$C$4:$C$40,$BJ5-3)),IF(OR($BI5=1,$BL5=1,$BH5&gt;0),"–",""))</f>
        <v/>
      </c>
      <c r="I2">
        <f>IF($BJ5&gt;0,IF(INDEX('Final Calculation Sheet'!$H$4:$H$40,$BJ5-3)="","",INDEX('Final Calculation Sheet'!$H$4:$H$40,$BJ5-3)),IF(OR($BI5=1,$BL5=1,$BH5&gt;0),IF($BI5=1,SUM('Final Calculation Sheet'!$H$4:$H$40),IF($BL5=1,SUM('Final Calculation Sheet'!$H$4:$H$40)-SUMIFS('Final Calculation Sheet'!$H$4:$H$40,$AZ$5:$AZ$41,10),SUMIFS('Final Calculation Sheet'!$H$4:$H$40,$AZ$5:$AZ$41,$BH5))),""))</f>
        <v/>
      </c>
      <c r="J2">
        <f>IF($BJ5&gt;0,IF(INDEX('Final Calculation Sheet'!$I$4:$I$40,$BJ5-3)="","",INDEX('Final Calculation Sheet'!$I$4:$I$40,$BJ5-3)),IF(OR($BI5=1,$BL5=1,$BH5&gt;0),IF($BI5=1,SUM('Final Calculation Sheet'!$I$4:$I$40),IF($BL5=1,SUM('Final Calculation Sheet'!$I$4:$I$40)-SUMIFS('Final Calculation Sheet'!$I$4:$I$40,$AZ$5:$AZ$41,10),SUMIFS('Final Calculation Sheet'!$I$4:$I$40,$AZ$5:$AZ$41,$BH5))),""))</f>
        <v/>
      </c>
      <c r="K2">
        <f>IF($BJ5&gt;0,IF(INDEX('Final Calculation Sheet'!$J$4:$J$40,$BJ5-3)="","",INDEX('Final Calculation Sheet'!$J$4:$J$40,$BJ5-3)),IF(OR($BI5=1,$BL5=1,$BH5&gt;0),IF($BI5=1,SUM('Final Calculation Sheet'!$J$4:$J$40),IF($BL5=1,SUM('Final Calculation Sheet'!$J$4:$J$40)-SUMIFS('Final Calculation Sheet'!$J$4:$J$40,$AZ$5:$AZ$41,10),SUMIFS('Final Calculation Sheet'!$J$4:$J$40,$AZ$5:$AZ$41,$BH5))),""))</f>
        <v/>
      </c>
      <c r="L2">
        <f>IF($BJ5&gt;0,IF(INDEX('Final Calculation Sheet'!$K$4:$K$40,$BJ5-3)="","",INDEX('Final Calculation Sheet'!$K$4:$K$40,$BJ5-3)),IF(OR($BI5=1,$BL5=1,$BH5&gt;0),IF($BI5=1,SUM('Final Calculation Sheet'!$K$4:$K$40),IF($BL5=1,SUM('Final Calculation Sheet'!$K$4:$K$40)-SUMIFS('Final Calculation Sheet'!$K$4:$K$40,$AZ$5:$AZ$41,10),SUMIFS('Final Calculation Sheet'!$K$4:$K$40,$AZ$5:$AZ$41,$BH5))),""))</f>
        <v/>
      </c>
      <c r="M2">
        <f>IF($BJ5&gt;0,IF(INDEX('Final Calculation Sheet'!$L$4:$L$40,$BJ5-3)="","",INDEX('Final Calculation Sheet'!$L$4:$L$40,$BJ5-3)),IF(OR($BI5=1,$BL5=1,$BH5&gt;0),IF($BI5=1,SUM('Final Calculation Sheet'!$L$4:$L$40),IF($BL5=1,SUM('Final Calculation Sheet'!$L$4:$L$40)-SUMIFS('Final Calculation Sheet'!$L$4:$L$40,$AZ$5:$AZ$41,10),SUMIFS('Final Calculation Sheet'!$L$4:$L$40,$AZ$5:$AZ$41,$BH5))),""))</f>
        <v/>
      </c>
      <c r="N2">
        <f>IF($BJ5&gt;0,IF(INDEX('Final Calculation Sheet'!$M$4:$M$40,$BJ5-3)="","",INDEX('Final Calculation Sheet'!$M$4:$M$40,$BJ5-3)),IF(OR($BI5=1,$BL5=1,$BH5&gt;0),IF($BI5=1,SUM('Final Calculation Sheet'!$M$4:$M$40),IF($BL5=1,SUM('Final Calculation Sheet'!$M$4:$M$40)-SUMIFS('Final Calculation Sheet'!$M$4:$M$40,$AZ$5:$AZ$41,10),SUMIFS('Final Calculation Sheet'!$M$4:$M$40,$AZ$5:$AZ$41,$BH5))),""))</f>
        <v/>
      </c>
      <c r="O2">
        <f>IF($BJ5&gt;0,IF(INDEX('Final Calculation Sheet'!$N$4:$N$40,$BJ5-3)="","",INDEX('Final Calculation Sheet'!$N$4:$N$40,$BJ5-3)),IF(OR($BI5=1,$BL5=1,$BH5&gt;0),IF($BI5=1,SUM('Final Calculation Sheet'!$N$4:$N$40),IF($BL5=1,SUM('Final Calculation Sheet'!$N$4:$N$40)-SUMIFS('Final Calculation Sheet'!$N$4:$N$40,$AZ$5:$AZ$41,10),SUMIFS('Final Calculation Sheet'!$N$4:$N$40,$AZ$5:$AZ$41,$BH5))),""))</f>
        <v/>
      </c>
      <c r="P2">
        <f>IF($BJ5&gt;0,IF(INDEX('Final Calculation Sheet'!$O$4:$O$40,$BJ5-3)="","",INDEX('Final Calculation Sheet'!$O$4:$O$40,$BJ5-3)),IF(OR($BI5=1,$BL5=1,$BH5&gt;0),IF($BI5=1,SUM('Final Calculation Sheet'!$O$4:$O$40),IF($BL5=1,SUM('Final Calculation Sheet'!$O$4:$O$40)-SUMIFS('Final Calculation Sheet'!$O$4:$O$40,$AZ$5:$AZ$41,10),SUMIFS('Final Calculation Sheet'!$O$4:$O$40,$AZ$5:$AZ$41,$BH5))),""))</f>
        <v/>
      </c>
      <c r="Q2">
        <f>IF($BJ5&gt;0,IF(INDEX('Final Calculation Sheet'!$P$4:$P$40,$BJ5-3)="","",INDEX('Final Calculation Sheet'!$P$4:$P$40,$BJ5-3)),IF(OR($BI5=1,$BL5=1,$BH5&gt;0),IF($BI5=1,SUM('Final Calculation Sheet'!$P$4:$P$40),IF($BL5=1,SUM('Final Calculation Sheet'!$P$4:$P$40)-SUMIFS('Final Calculation Sheet'!$P$4:$P$40,$AZ$5:$AZ$41,10),SUMIFS('Final Calculation Sheet'!$P$4:$P$40,$AZ$5:$AZ$41,$BH5))),""))</f>
        <v/>
      </c>
      <c r="R2">
        <f>IF($BJ5&gt;0,IF(INDEX('Final Calculation Sheet'!$Q$4:$Q$40,$BJ5-3)="","",INDEX('Final Calculation Sheet'!$Q$4:$Q$40,$BJ5-3)),IF(OR($BI5=1,$BL5=1,$BH5&gt;0),"–",""))</f>
        <v/>
      </c>
      <c r="S2">
        <f>IF($BJ5&gt;0,IF(INDEX('Final Calculation Sheet'!$R$4:$R$40,$BJ5-3)="","",INDEX('Final Calculation Sheet'!$R$4:$R$40,$BJ5-3)),IF(OR($BI5=1,$BL5=1,$BH5&gt;0),IF($BI5=1,SUM('Final Calculation Sheet'!$R$4:$R$40),IF($BL5=1,SUM('Final Calculation Sheet'!$R$4:$R$40)-SUMIFS('Final Calculation Sheet'!$R$4:$R$40,$AZ$5:$AZ$41,10),SUMIFS('Final Calculation Sheet'!$R$4:$R$40,$AZ$5:$AZ$41,$BH5))),""))</f>
        <v/>
      </c>
      <c r="T2">
        <f>IF($BJ5&gt;0,IF(INDEX('Final Calculation Sheet'!$S$4:$S$40,$BJ5-3)="","",INDEX('Final Calculation Sheet'!$S$4:$S$40,$BJ5-3)),IF(OR($BI5=1,$BL5=1,$BH5&gt;0),IF($BI5=1,SUM('Final Calculation Sheet'!$S$4:$S$40),IF($BL5=1,SUM('Final Calculation Sheet'!$S$4:$S$40)-SUMIFS('Final Calculation Sheet'!$S$4:$S$40,$AZ$5:$AZ$41,10),SUMIFS('Final Calculation Sheet'!$S$4:$S$40,$AZ$5:$AZ$41,$BH5))),""))</f>
        <v/>
      </c>
      <c r="U2">
        <f>IF($BJ5&gt;0,IF(INDEX('Final Calculation Sheet'!$T$4:$T$40,$BJ5-3)="","",INDEX('Final Calculation Sheet'!$T$4:$T$40,$BJ5-3)),IF(OR($BI5=1,$BL5=1,$BH5&gt;0),IF($BI5=1,SUM('Final Calculation Sheet'!$T$4:$T$40),IF($BL5=1,SUM('Final Calculation Sheet'!$T$4:$T$40)-SUMIFS('Final Calculation Sheet'!$T$4:$T$40,$AZ$5:$AZ$41,10),SUMIFS('Final Calculation Sheet'!$T$4:$T$40,$AZ$5:$AZ$41,$BH5))),""))</f>
        <v/>
      </c>
      <c r="V2">
        <f>IF($BJ5&gt;0,IF(INDEX('Final Calculation Sheet'!$U$4:$U$40,$BJ5-3)="","",INDEX('Final Calculation Sheet'!$U$4:$U$40,$BJ5-3)),IF(OR($BI5=1,$BL5=1,$BH5&gt;0),IF($BI5=1,SUM('Final Calculation Sheet'!$U$4:$U$40),IF($BL5=1,SUM('Final Calculation Sheet'!$U$4:$U$40)-SUMIFS('Final Calculation Sheet'!$U$4:$U$40,$AZ$5:$AZ$41,10),SUMIFS('Final Calculation Sheet'!$U$4:$U$40,$AZ$5:$AZ$41,$BH5))),""))</f>
        <v/>
      </c>
      <c r="W2">
        <f>IF($BJ5&gt;0,IF(INDEX('Final Calculation Sheet'!$V$4:$V$40,$BJ5-3)="","",INDEX('Final Calculation Sheet'!$V$4:$V$40,$BJ5-3)),IF(OR($BI5=1,$BL5=1,$BH5&gt;0),"–",""))</f>
        <v/>
      </c>
      <c r="X2">
        <f>IF($BJ5&gt;0,IF(INDEX('Final Calculation Sheet'!$W$4:$W$40,$BJ5-3)="","",INDEX('Final Calculation Sheet'!$W$4:$W$40,$BJ5-3)),IF(OR($BI5=1,$BL5=1,$BH5&gt;0),IF($BI5=1,SUM('Final Calculation Sheet'!$W$4:$W$40),IF($BL5=1,SUM('Final Calculation Sheet'!$W$4:$W$40)-SUMIFS('Final Calculation Sheet'!$W$4:$W$40,$AZ$5:$AZ$41,10),SUMIFS('Final Calculation Sheet'!$W$4:$W$40,$AZ$5:$AZ$41,$BH5))),""))</f>
        <v/>
      </c>
      <c r="Y2">
        <f>IF($BJ5&gt;0,IF(INDEX('Final Calculation Sheet'!$X$4:$X$40,$BJ5-3)="","",INDEX('Final Calculation Sheet'!$X$4:$X$40,$BJ5-3)),IF(OR($BI5=1,$BL5=1,$BH5&gt;0),IF($BI5=1,SUM('Final Calculation Sheet'!$X$4:$X$40),IF($BL5=1,SUM('Final Calculation Sheet'!$X$4:$X$40)-SUMIFS('Final Calculation Sheet'!$X$4:$X$40,$AZ$5:$AZ$41,10),SUMIFS('Final Calculation Sheet'!$X$4:$X$40,$AZ$5:$AZ$41,$BH5))),""))</f>
        <v/>
      </c>
      <c r="Z2">
        <f>IF($BJ5&gt;0,IF(INDEX('Final Calculation Sheet'!$Y$4:$Y$40,$BJ5-3)="","",INDEX('Final Calculation Sheet'!$Y$4:$Y$40,$BJ5-3)),IF(OR($BI5=1,$BL5=1,$BH5&gt;0),"–",""))</f>
        <v/>
      </c>
      <c r="AA2">
        <f>IF($BJ5&gt;0,IF(INDEX('Final Calculation Sheet'!$Z$4:$Z$40,$BJ5-3)="","",INDEX('Final Calculation Sheet'!$Z$4:$Z$40,$BJ5-3)),IF(OR($BI5=1,$BL5=1,$BH5&gt;0),IF($BI5=1,SUM('Final Calculation Sheet'!$Z$4:$Z$40),IF($BL5=1,SUM('Final Calculation Sheet'!$Z$4:$Z$40)-SUMIFS('Final Calculation Sheet'!$Z$4:$Z$40,$AZ$5:$AZ$41,10),SUMIFS('Final Calculation Sheet'!$Z$4:$Z$40,$AZ$5:$AZ$41,$BH5))),""))</f>
        <v/>
      </c>
      <c r="AB2">
        <f>IF($BJ5&gt;0,IF(INDEX('Final Calculation Sheet'!$AA$4:$AA$40,$BJ5-3)="","",INDEX('Final Calculation Sheet'!$AA$4:$AA$40,$BJ5-3)),IF(OR($BI5=1,$BL5=1,$BH5&gt;0),IF($BI5=1,SUM('Final Calculation Sheet'!$AA$4:$AA$40),IF($BL5=1,SUM('Final Calculation Sheet'!$AA$4:$AA$40)-SUMIFS('Final Calculation Sheet'!$AA$4:$AA$40,$AZ$5:$AZ$41,10),SUMIFS('Final Calculation Sheet'!$AA$4:$AA$40,$AZ$5:$AZ$41,$BH5))),""))</f>
        <v/>
      </c>
      <c r="AC2">
        <f>IF($BJ5&gt;0,IF(INDEX('Final Calculation Sheet'!$AB$4:$AB$40,$BJ5-3)="","",INDEX('Final Calculation Sheet'!$AB$4:$AB$40,$BJ5-3)),IF(OR($BI5=1,$BL5=1,$BH5&gt;0),"–",""))</f>
        <v/>
      </c>
      <c r="AD2">
        <f>IF($BJ5&gt;0,IF(INDEX('Final Calculation Sheet'!$AC$4:$AC$40,$BJ5-3)="","",INDEX('Final Calculation Sheet'!$AC$4:$AC$40,$BJ5-3)),IF(OR($BI5=1,$BL5=1,$BH5&gt;0),IF($BI5=1,SUM('Final Calculation Sheet'!$AC$4:$AC$40),IF($BL5=1,SUM('Final Calculation Sheet'!$AC$4:$AC$40)-SUMIFS('Final Calculation Sheet'!$AC$4:$AC$40,$AZ$5:$AZ$41,10),SUMIFS('Final Calculation Sheet'!$AC$4:$AC$40,$AZ$5:$AZ$41,$BH5))),""))</f>
        <v/>
      </c>
      <c r="AE2">
        <f>IF($BJ5&gt;0,IF(INDEX('Final Calculation Sheet'!$AD$4:$AD$40,$BJ5-3)="","",INDEX('Final Calculation Sheet'!$AD$4:$AD$40,$BJ5-3)),IF(OR($BI5=1,$BL5=1,$BH5&gt;0),IF($BI5=1,SUM('Final Calculation Sheet'!$AD$4:$AD$40),IF($BL5=1,SUM('Final Calculation Sheet'!$AD$4:$AD$40)-SUMIFS('Final Calculation Sheet'!$AD$4:$AD$40,$AZ$5:$AZ$41,10),SUMIFS('Final Calculation Sheet'!$AD$4:$AD$40,$AZ$5:$AZ$41,$BH5))),""))</f>
        <v/>
      </c>
      <c r="AF2">
        <f>IF($BJ5&gt;0,IF(INDEX('Final Calculation Sheet'!$AF$4:$AF$40,$BJ5-3)="","",INDEX('Final Calculation Sheet'!$AF$4:$AF$40,$BJ5-3)),IF(OR($BI5=1,$BL5=1,$BH5&gt;0),"–",""))</f>
        <v/>
      </c>
      <c r="AG2">
        <f>IF($BJ5&gt;0,IF(INDEX('Final Calculation Sheet'!$AG$4:$AG$40,$BJ5-3)="","",INDEX('Final Calculation Sheet'!$AG$4:$AG$40,$BJ5-3)),IF(OR($BI5=1,$BL5=1,$BH5&gt;0),"–",""))</f>
        <v/>
      </c>
      <c r="AH2">
        <f>IF($BJ5&gt;0,IF(INDEX('Final Calculation Sheet'!$AH$4:$AH$40,$BJ5-3)="","",INDEX('Final Calculation Sheet'!$AH$4:$AH$40,$BJ5-3)),IF(OR($BI5=1,$BL5=1,$BH5&gt;0),"–",""))</f>
        <v/>
      </c>
      <c r="AI2">
        <f>IF($BJ5&gt;0,IF(INDEX('Final Calculation Sheet'!$AD$4:$AD$40,$BJ5-3)="","",IF(INDEX('Final Calculation Sheet'!$AD$4:$AD$40,$BJ5-3)&lt;=5,"SETTLED","OUTSTANDING")),IF(OR($BI5=1,$BL5=1,$BH5&gt;0),IF(IF($BI5=1,SUM('Final Calculation Sheet'!$AD$4:$AD$40),IF($BL5=1,SUM('Final Calculation Sheet'!$AD$4:$AD$40)-SUMIFS('Final Calculation Sheet'!$AD$4:$AD$40,$AZ$5:$AZ$41,10),SUMIFS('Final Calculation Sheet'!$AD$4:$AD$40,$AZ$5:$AZ$41,$BH5)))&lt;=5,"ALL SETTLED","OUTSTANDING"),""))</f>
        <v/>
      </c>
    </row>
    <row r="3">
      <c r="A3">
        <f>IF($BJ6&gt;0,INDEX($BA$5:$BA$41,MATCH(6,$BB$5:$BB$41,0)),IF(OR($BI6=1,$BL6=1,$BH6&gt;0),"∑",""))</f>
        <v/>
      </c>
      <c r="B3">
        <f>IF($BJ6&gt;0,IF(INDEX('Final Calculation Sheet'!$F$4:$F$40,$BJ6-3)="","",INDEX('Final Calculation Sheet'!$F$4:$F$40,$BJ6-3)),"")</f>
        <v/>
      </c>
      <c r="C3">
        <f>IF($BJ6&gt;0,IF(INDEX('Final Calculation Sheet'!$G$4:$G$40,$BJ6-3)="","",INDEX('Final Calculation Sheet'!$G$4:$G$40,$BJ6-3)),IF(OR($BI6=1,$BL6=1,$BH6&gt;0),IF($BI6=1,37,IF($BL6=1,37-INDEX($BD$4:$BD$13,10),INDEX($BD$4:$BD$13,$BH6)))&amp;" lot(s)",""))</f>
        <v/>
      </c>
      <c r="D3">
        <f>IF($BJ6&gt;0,IF(INDEX('Final Calculation Sheet'!$B$4:$B$40,$BJ6-3)="","",INDEX('Final Calculation Sheet'!$B$4:$B$40,$BJ6-3)),IF(OR($BI6=1,$BL6=1,$BH6&gt;0),IF($BI6=1,"GRAND TOTAL  —  matching + remaining",IF($BL6=1,"TOTAL MATCHED  —  every group together",IF($BH6=10,"REMAINING  —  did not match the search",IF($BH6=9,IF(COUNTIF($A$4:$AI$4,"&lt;&gt;")&gt;0,"FILTERED LOTS  —  column fields","ALL LOTS  —  nothing typed in the box"),"GROUP "&amp;$BH6&amp;" TOTAL  —  lots matching  "&amp;INDEX($AR$6:$AY$6,$BH6))))),""))</f>
        <v/>
      </c>
      <c r="E3">
        <f>IF($BJ6&gt;0,IF(INDEX('Final Calculation Sheet'!$D$4:$D$40,$BJ6-3)="","",INDEX('Final Calculation Sheet'!$D$4:$D$40,$BJ6-3)),IF(OR($BI6=1,$BL6=1,$BH6&gt;0),"–",""))</f>
        <v/>
      </c>
      <c r="F3">
        <f>IF($BJ6&gt;0,IF(INDEX('Final Calculation Sheet'!$A$4:$A$40,$BJ6-3)="","",INDEX('Final Calculation Sheet'!$A$4:$A$40,$BJ6-3)),IF(OR($BI6=1,$BL6=1,$BH6&gt;0),IF($BI6=1,SUM('Final Calculation Sheet'!$A$4:$A$40),IF($BL6=1,SUM('Final Calculation Sheet'!$A$4:$A$40)-SUMIFS('Final Calculation Sheet'!$A$4:$A$40,$AZ$5:$AZ$41,10),SUMIFS('Final Calculation Sheet'!$A$4:$A$40,$AZ$5:$AZ$41,$BH6))),""))</f>
        <v/>
      </c>
      <c r="G3">
        <f>IF($BJ6&gt;0,IF(INDEX('Final Calculation Sheet'!$E$4:$E$40,$BJ6-3)="","",INDEX('Final Calculation Sheet'!$E$4:$E$40,$BJ6-3)),IF(OR($BI6=1,$BL6=1,$BH6&gt;0),"–",""))</f>
        <v/>
      </c>
      <c r="H3">
        <f>IF($BJ6&gt;0,IF(INDEX('Final Calculation Sheet'!$C$4:$C$40,$BJ6-3)="","",INDEX('Final Calculation Sheet'!$C$4:$C$40,$BJ6-3)),IF(OR($BI6=1,$BL6=1,$BH6&gt;0),"–",""))</f>
        <v/>
      </c>
      <c r="I3">
        <f>IF($BJ6&gt;0,IF(INDEX('Final Calculation Sheet'!$H$4:$H$40,$BJ6-3)="","",INDEX('Final Calculation Sheet'!$H$4:$H$40,$BJ6-3)),IF(OR($BI6=1,$BL6=1,$BH6&gt;0),IF($BI6=1,SUM('Final Calculation Sheet'!$H$4:$H$40),IF($BL6=1,SUM('Final Calculation Sheet'!$H$4:$H$40)-SUMIFS('Final Calculation Sheet'!$H$4:$H$40,$AZ$5:$AZ$41,10),SUMIFS('Final Calculation Sheet'!$H$4:$H$40,$AZ$5:$AZ$41,$BH6))),""))</f>
        <v/>
      </c>
      <c r="J3">
        <f>IF($BJ6&gt;0,IF(INDEX('Final Calculation Sheet'!$I$4:$I$40,$BJ6-3)="","",INDEX('Final Calculation Sheet'!$I$4:$I$40,$BJ6-3)),IF(OR($BI6=1,$BL6=1,$BH6&gt;0),IF($BI6=1,SUM('Final Calculation Sheet'!$I$4:$I$40),IF($BL6=1,SUM('Final Calculation Sheet'!$I$4:$I$40)-SUMIFS('Final Calculation Sheet'!$I$4:$I$40,$AZ$5:$AZ$41,10),SUMIFS('Final Calculation Sheet'!$I$4:$I$40,$AZ$5:$AZ$41,$BH6))),""))</f>
        <v/>
      </c>
      <c r="K3">
        <f>IF($BJ6&gt;0,IF(INDEX('Final Calculation Sheet'!$J$4:$J$40,$BJ6-3)="","",INDEX('Final Calculation Sheet'!$J$4:$J$40,$BJ6-3)),IF(OR($BI6=1,$BL6=1,$BH6&gt;0),IF($BI6=1,SUM('Final Calculation Sheet'!$J$4:$J$40),IF($BL6=1,SUM('Final Calculation Sheet'!$J$4:$J$40)-SUMIFS('Final Calculation Sheet'!$J$4:$J$40,$AZ$5:$AZ$41,10),SUMIFS('Final Calculation Sheet'!$J$4:$J$40,$AZ$5:$AZ$41,$BH6))),""))</f>
        <v/>
      </c>
      <c r="L3">
        <f>IF($BJ6&gt;0,IF(INDEX('Final Calculation Sheet'!$K$4:$K$40,$BJ6-3)="","",INDEX('Final Calculation Sheet'!$K$4:$K$40,$BJ6-3)),IF(OR($BI6=1,$BL6=1,$BH6&gt;0),IF($BI6=1,SUM('Final Calculation Sheet'!$K$4:$K$40),IF($BL6=1,SUM('Final Calculation Sheet'!$K$4:$K$40)-SUMIFS('Final Calculation Sheet'!$K$4:$K$40,$AZ$5:$AZ$41,10),SUMIFS('Final Calculation Sheet'!$K$4:$K$40,$AZ$5:$AZ$41,$BH6))),""))</f>
        <v/>
      </c>
      <c r="M3">
        <f>IF($BJ6&gt;0,IF(INDEX('Final Calculation Sheet'!$L$4:$L$40,$BJ6-3)="","",INDEX('Final Calculation Sheet'!$L$4:$L$40,$BJ6-3)),IF(OR($BI6=1,$BL6=1,$BH6&gt;0),IF($BI6=1,SUM('Final Calculation Sheet'!$L$4:$L$40),IF($BL6=1,SUM('Final Calculation Sheet'!$L$4:$L$40)-SUMIFS('Final Calculation Sheet'!$L$4:$L$40,$AZ$5:$AZ$41,10),SUMIFS('Final Calculation Sheet'!$L$4:$L$40,$AZ$5:$AZ$41,$BH6))),""))</f>
        <v/>
      </c>
      <c r="N3">
        <f>IF($BJ6&gt;0,IF(INDEX('Final Calculation Sheet'!$M$4:$M$40,$BJ6-3)="","",INDEX('Final Calculation Sheet'!$M$4:$M$40,$BJ6-3)),IF(OR($BI6=1,$BL6=1,$BH6&gt;0),IF($BI6=1,SUM('Final Calculation Sheet'!$M$4:$M$40),IF($BL6=1,SUM('Final Calculation Sheet'!$M$4:$M$40)-SUMIFS('Final Calculation Sheet'!$M$4:$M$40,$AZ$5:$AZ$41,10),SUMIFS('Final Calculation Sheet'!$M$4:$M$40,$AZ$5:$AZ$41,$BH6))),""))</f>
        <v/>
      </c>
      <c r="O3">
        <f>IF($BJ6&gt;0,IF(INDEX('Final Calculation Sheet'!$N$4:$N$40,$BJ6-3)="","",INDEX('Final Calculation Sheet'!$N$4:$N$40,$BJ6-3)),IF(OR($BI6=1,$BL6=1,$BH6&gt;0),IF($BI6=1,SUM('Final Calculation Sheet'!$N$4:$N$40),IF($BL6=1,SUM('Final Calculation Sheet'!$N$4:$N$40)-SUMIFS('Final Calculation Sheet'!$N$4:$N$40,$AZ$5:$AZ$41,10),SUMIFS('Final Calculation Sheet'!$N$4:$N$40,$AZ$5:$AZ$41,$BH6))),""))</f>
        <v/>
      </c>
      <c r="P3">
        <f>IF($BJ6&gt;0,IF(INDEX('Final Calculation Sheet'!$O$4:$O$40,$BJ6-3)="","",INDEX('Final Calculation Sheet'!$O$4:$O$40,$BJ6-3)),IF(OR($BI6=1,$BL6=1,$BH6&gt;0),IF($BI6=1,SUM('Final Calculation Sheet'!$O$4:$O$40),IF($BL6=1,SUM('Final Calculation Sheet'!$O$4:$O$40)-SUMIFS('Final Calculation Sheet'!$O$4:$O$40,$AZ$5:$AZ$41,10),SUMIFS('Final Calculation Sheet'!$O$4:$O$40,$AZ$5:$AZ$41,$BH6))),""))</f>
        <v/>
      </c>
      <c r="Q3">
        <f>IF($BJ6&gt;0,IF(INDEX('Final Calculation Sheet'!$P$4:$P$40,$BJ6-3)="","",INDEX('Final Calculation Sheet'!$P$4:$P$40,$BJ6-3)),IF(OR($BI6=1,$BL6=1,$BH6&gt;0),IF($BI6=1,SUM('Final Calculation Sheet'!$P$4:$P$40),IF($BL6=1,SUM('Final Calculation Sheet'!$P$4:$P$40)-SUMIFS('Final Calculation Sheet'!$P$4:$P$40,$AZ$5:$AZ$41,10),SUMIFS('Final Calculation Sheet'!$P$4:$P$40,$AZ$5:$AZ$41,$BH6))),""))</f>
        <v/>
      </c>
      <c r="R3">
        <f>IF($BJ6&gt;0,IF(INDEX('Final Calculation Sheet'!$Q$4:$Q$40,$BJ6-3)="","",INDEX('Final Calculation Sheet'!$Q$4:$Q$40,$BJ6-3)),IF(OR($BI6=1,$BL6=1,$BH6&gt;0),"–",""))</f>
        <v/>
      </c>
      <c r="S3">
        <f>IF($BJ6&gt;0,IF(INDEX('Final Calculation Sheet'!$R$4:$R$40,$BJ6-3)="","",INDEX('Final Calculation Sheet'!$R$4:$R$40,$BJ6-3)),IF(OR($BI6=1,$BL6=1,$BH6&gt;0),IF($BI6=1,SUM('Final Calculation Sheet'!$R$4:$R$40),IF($BL6=1,SUM('Final Calculation Sheet'!$R$4:$R$40)-SUMIFS('Final Calculation Sheet'!$R$4:$R$40,$AZ$5:$AZ$41,10),SUMIFS('Final Calculation Sheet'!$R$4:$R$40,$AZ$5:$AZ$41,$BH6))),""))</f>
        <v/>
      </c>
      <c r="T3">
        <f>IF($BJ6&gt;0,IF(INDEX('Final Calculation Sheet'!$S$4:$S$40,$BJ6-3)="","",INDEX('Final Calculation Sheet'!$S$4:$S$40,$BJ6-3)),IF(OR($BI6=1,$BL6=1,$BH6&gt;0),IF($BI6=1,SUM('Final Calculation Sheet'!$S$4:$S$40),IF($BL6=1,SUM('Final Calculation Sheet'!$S$4:$S$40)-SUMIFS('Final Calculation Sheet'!$S$4:$S$40,$AZ$5:$AZ$41,10),SUMIFS('Final Calculation Sheet'!$S$4:$S$40,$AZ$5:$AZ$41,$BH6))),""))</f>
        <v/>
      </c>
      <c r="U3">
        <f>IF($BJ6&gt;0,IF(INDEX('Final Calculation Sheet'!$T$4:$T$40,$BJ6-3)="","",INDEX('Final Calculation Sheet'!$T$4:$T$40,$BJ6-3)),IF(OR($BI6=1,$BL6=1,$BH6&gt;0),IF($BI6=1,SUM('Final Calculation Sheet'!$T$4:$T$40),IF($BL6=1,SUM('Final Calculation Sheet'!$T$4:$T$40)-SUMIFS('Final Calculation Sheet'!$T$4:$T$40,$AZ$5:$AZ$41,10),SUMIFS('Final Calculation Sheet'!$T$4:$T$40,$AZ$5:$AZ$41,$BH6))),""))</f>
        <v/>
      </c>
      <c r="V3">
        <f>IF($BJ6&gt;0,IF(INDEX('Final Calculation Sheet'!$U$4:$U$40,$BJ6-3)="","",INDEX('Final Calculation Sheet'!$U$4:$U$40,$BJ6-3)),IF(OR($BI6=1,$BL6=1,$BH6&gt;0),IF($BI6=1,SUM('Final Calculation Sheet'!$U$4:$U$40),IF($BL6=1,SUM('Final Calculation Sheet'!$U$4:$U$40)-SUMIFS('Final Calculation Sheet'!$U$4:$U$40,$AZ$5:$AZ$41,10),SUMIFS('Final Calculation Sheet'!$U$4:$U$40,$AZ$5:$AZ$41,$BH6))),""))</f>
        <v/>
      </c>
      <c r="W3">
        <f>IF($BJ6&gt;0,IF(INDEX('Final Calculation Sheet'!$V$4:$V$40,$BJ6-3)="","",INDEX('Final Calculation Sheet'!$V$4:$V$40,$BJ6-3)),IF(OR($BI6=1,$BL6=1,$BH6&gt;0),"–",""))</f>
        <v/>
      </c>
      <c r="X3">
        <f>IF($BJ6&gt;0,IF(INDEX('Final Calculation Sheet'!$W$4:$W$40,$BJ6-3)="","",INDEX('Final Calculation Sheet'!$W$4:$W$40,$BJ6-3)),IF(OR($BI6=1,$BL6=1,$BH6&gt;0),IF($BI6=1,SUM('Final Calculation Sheet'!$W$4:$W$40),IF($BL6=1,SUM('Final Calculation Sheet'!$W$4:$W$40)-SUMIFS('Final Calculation Sheet'!$W$4:$W$40,$AZ$5:$AZ$41,10),SUMIFS('Final Calculation Sheet'!$W$4:$W$40,$AZ$5:$AZ$41,$BH6))),""))</f>
        <v/>
      </c>
      <c r="Y3">
        <f>IF($BJ6&gt;0,IF(INDEX('Final Calculation Sheet'!$X$4:$X$40,$BJ6-3)="","",INDEX('Final Calculation Sheet'!$X$4:$X$40,$BJ6-3)),IF(OR($BI6=1,$BL6=1,$BH6&gt;0),IF($BI6=1,SUM('Final Calculation Sheet'!$X$4:$X$40),IF($BL6=1,SUM('Final Calculation Sheet'!$X$4:$X$40)-SUMIFS('Final Calculation Sheet'!$X$4:$X$40,$AZ$5:$AZ$41,10),SUMIFS('Final Calculation Sheet'!$X$4:$X$40,$AZ$5:$AZ$41,$BH6))),""))</f>
        <v/>
      </c>
      <c r="Z3">
        <f>IF($BJ6&gt;0,IF(INDEX('Final Calculation Sheet'!$Y$4:$Y$40,$BJ6-3)="","",INDEX('Final Calculation Sheet'!$Y$4:$Y$40,$BJ6-3)),IF(OR($BI6=1,$BL6=1,$BH6&gt;0),"–",""))</f>
        <v/>
      </c>
      <c r="AA3">
        <f>IF($BJ6&gt;0,IF(INDEX('Final Calculation Sheet'!$Z$4:$Z$40,$BJ6-3)="","",INDEX('Final Calculation Sheet'!$Z$4:$Z$40,$BJ6-3)),IF(OR($BI6=1,$BL6=1,$BH6&gt;0),IF($BI6=1,SUM('Final Calculation Sheet'!$Z$4:$Z$40),IF($BL6=1,SUM('Final Calculation Sheet'!$Z$4:$Z$40)-SUMIFS('Final Calculation Sheet'!$Z$4:$Z$40,$AZ$5:$AZ$41,10),SUMIFS('Final Calculation Sheet'!$Z$4:$Z$40,$AZ$5:$AZ$41,$BH6))),""))</f>
        <v/>
      </c>
      <c r="AB3">
        <f>IF($BJ6&gt;0,IF(INDEX('Final Calculation Sheet'!$AA$4:$AA$40,$BJ6-3)="","",INDEX('Final Calculation Sheet'!$AA$4:$AA$40,$BJ6-3)),IF(OR($BI6=1,$BL6=1,$BH6&gt;0),IF($BI6=1,SUM('Final Calculation Sheet'!$AA$4:$AA$40),IF($BL6=1,SUM('Final Calculation Sheet'!$AA$4:$AA$40)-SUMIFS('Final Calculation Sheet'!$AA$4:$AA$40,$AZ$5:$AZ$41,10),SUMIFS('Final Calculation Sheet'!$AA$4:$AA$40,$AZ$5:$AZ$41,$BH6))),""))</f>
        <v/>
      </c>
      <c r="AC3">
        <f>IF($BJ6&gt;0,IF(INDEX('Final Calculation Sheet'!$AB$4:$AB$40,$BJ6-3)="","",INDEX('Final Calculation Sheet'!$AB$4:$AB$40,$BJ6-3)),IF(OR($BI6=1,$BL6=1,$BH6&gt;0),"–",""))</f>
        <v/>
      </c>
      <c r="AD3">
        <f>IF($BJ6&gt;0,IF(INDEX('Final Calculation Sheet'!$AC$4:$AC$40,$BJ6-3)="","",INDEX('Final Calculation Sheet'!$AC$4:$AC$40,$BJ6-3)),IF(OR($BI6=1,$BL6=1,$BH6&gt;0),IF($BI6=1,SUM('Final Calculation Sheet'!$AC$4:$AC$40),IF($BL6=1,SUM('Final Calculation Sheet'!$AC$4:$AC$40)-SUMIFS('Final Calculation Sheet'!$AC$4:$AC$40,$AZ$5:$AZ$41,10),SUMIFS('Final Calculation Sheet'!$AC$4:$AC$40,$AZ$5:$AZ$41,$BH6))),""))</f>
        <v/>
      </c>
      <c r="AE3">
        <f>IF($BJ6&gt;0,IF(INDEX('Final Calculation Sheet'!$AD$4:$AD$40,$BJ6-3)="","",INDEX('Final Calculation Sheet'!$AD$4:$AD$40,$BJ6-3)),IF(OR($BI6=1,$BL6=1,$BH6&gt;0),IF($BI6=1,SUM('Final Calculation Sheet'!$AD$4:$AD$40),IF($BL6=1,SUM('Final Calculation Sheet'!$AD$4:$AD$40)-SUMIFS('Final Calculation Sheet'!$AD$4:$AD$40,$AZ$5:$AZ$41,10),SUMIFS('Final Calculation Sheet'!$AD$4:$AD$40,$AZ$5:$AZ$41,$BH6))),""))</f>
        <v/>
      </c>
      <c r="AF3">
        <f>IF($BJ6&gt;0,IF(INDEX('Final Calculation Sheet'!$AF$4:$AF$40,$BJ6-3)="","",INDEX('Final Calculation Sheet'!$AF$4:$AF$40,$BJ6-3)),IF(OR($BI6=1,$BL6=1,$BH6&gt;0),"–",""))</f>
        <v/>
      </c>
      <c r="AG3">
        <f>IF($BJ6&gt;0,IF(INDEX('Final Calculation Sheet'!$AG$4:$AG$40,$BJ6-3)="","",INDEX('Final Calculation Sheet'!$AG$4:$AG$40,$BJ6-3)),IF(OR($BI6=1,$BL6=1,$BH6&gt;0),"–",""))</f>
        <v/>
      </c>
      <c r="AH3">
        <f>IF($BJ6&gt;0,IF(INDEX('Final Calculation Sheet'!$AH$4:$AH$40,$BJ6-3)="","",INDEX('Final Calculation Sheet'!$AH$4:$AH$40,$BJ6-3)),IF(OR($BI6=1,$BL6=1,$BH6&gt;0),"–",""))</f>
        <v/>
      </c>
      <c r="AI3">
        <f>IF($BJ6&gt;0,IF(INDEX('Final Calculation Sheet'!$AD$4:$AD$40,$BJ6-3)="","",IF(INDEX('Final Calculation Sheet'!$AD$4:$AD$40,$BJ6-3)&lt;=5,"SETTLED","OUTSTANDING")),IF(OR($BI6=1,$BL6=1,$BH6&gt;0),IF(IF($BI6=1,SUM('Final Calculation Sheet'!$AD$4:$AD$40),IF($BL6=1,SUM('Final Calculation Sheet'!$AD$4:$AD$40)-SUMIFS('Final Calculation Sheet'!$AD$4:$AD$40,$AZ$5:$AZ$41,10),SUMIFS('Final Calculation Sheet'!$AD$4:$AD$40,$AZ$5:$AZ$41,$BH6)))&lt;=5,"ALL SETTLED","OUTSTANDING"),""))</f>
        <v/>
      </c>
    </row>
    <row r="4">
      <c r="A4">
        <f>IF($BJ7&gt;0,INDEX($BA$5:$BA$41,MATCH(7,$BB$5:$BB$41,0)),IF(OR($BI7=1,$BL7=1,$BH7&gt;0),"∑",""))</f>
        <v/>
      </c>
      <c r="B4">
        <f>IF($BJ7&gt;0,IF(INDEX('Final Calculation Sheet'!$F$4:$F$40,$BJ7-3)="","",INDEX('Final Calculation Sheet'!$F$4:$F$40,$BJ7-3)),"")</f>
        <v/>
      </c>
      <c r="C4">
        <f>IF($BJ7&gt;0,IF(INDEX('Final Calculation Sheet'!$G$4:$G$40,$BJ7-3)="","",INDEX('Final Calculation Sheet'!$G$4:$G$40,$BJ7-3)),IF(OR($BI7=1,$BL7=1,$BH7&gt;0),IF($BI7=1,37,IF($BL7=1,37-INDEX($BD$4:$BD$13,10),INDEX($BD$4:$BD$13,$BH7)))&amp;" lot(s)",""))</f>
        <v/>
      </c>
      <c r="D4">
        <f>IF($BJ7&gt;0,IF(INDEX('Final Calculation Sheet'!$B$4:$B$40,$BJ7-3)="","",INDEX('Final Calculation Sheet'!$B$4:$B$40,$BJ7-3)),IF(OR($BI7=1,$BL7=1,$BH7&gt;0),IF($BI7=1,"GRAND TOTAL  —  matching + remaining",IF($BL7=1,"TOTAL MATCHED  —  every group together",IF($BH7=10,"REMAINING  —  did not match the search",IF($BH7=9,IF(COUNTIF($A$4:$AI$4,"&lt;&gt;")&gt;0,"FILTERED LOTS  —  column fields","ALL LOTS  —  nothing typed in the box"),"GROUP "&amp;$BH7&amp;" TOTAL  —  lots matching  "&amp;INDEX($AR$6:$AY$6,$BH7))))),""))</f>
        <v/>
      </c>
      <c r="E4">
        <f>IF($BJ7&gt;0,IF(INDEX('Final Calculation Sheet'!$D$4:$D$40,$BJ7-3)="","",INDEX('Final Calculation Sheet'!$D$4:$D$40,$BJ7-3)),IF(OR($BI7=1,$BL7=1,$BH7&gt;0),"–",""))</f>
        <v/>
      </c>
      <c r="F4">
        <f>IF($BJ7&gt;0,IF(INDEX('Final Calculation Sheet'!$A$4:$A$40,$BJ7-3)="","",INDEX('Final Calculation Sheet'!$A$4:$A$40,$BJ7-3)),IF(OR($BI7=1,$BL7=1,$BH7&gt;0),IF($BI7=1,SUM('Final Calculation Sheet'!$A$4:$A$40),IF($BL7=1,SUM('Final Calculation Sheet'!$A$4:$A$40)-SUMIFS('Final Calculation Sheet'!$A$4:$A$40,$AZ$5:$AZ$41,10),SUMIFS('Final Calculation Sheet'!$A$4:$A$40,$AZ$5:$AZ$41,$BH7))),""))</f>
        <v/>
      </c>
      <c r="G4">
        <f>IF($BJ7&gt;0,IF(INDEX('Final Calculation Sheet'!$E$4:$E$40,$BJ7-3)="","",INDEX('Final Calculation Sheet'!$E$4:$E$40,$BJ7-3)),IF(OR($BI7=1,$BL7=1,$BH7&gt;0),"–",""))</f>
        <v/>
      </c>
      <c r="H4">
        <f>IF($BJ7&gt;0,IF(INDEX('Final Calculation Sheet'!$C$4:$C$40,$BJ7-3)="","",INDEX('Final Calculation Sheet'!$C$4:$C$40,$BJ7-3)),IF(OR($BI7=1,$BL7=1,$BH7&gt;0),"–",""))</f>
        <v/>
      </c>
      <c r="I4">
        <f>IF($BJ7&gt;0,IF(INDEX('Final Calculation Sheet'!$H$4:$H$40,$BJ7-3)="","",INDEX('Final Calculation Sheet'!$H$4:$H$40,$BJ7-3)),IF(OR($BI7=1,$BL7=1,$BH7&gt;0),IF($BI7=1,SUM('Final Calculation Sheet'!$H$4:$H$40),IF($BL7=1,SUM('Final Calculation Sheet'!$H$4:$H$40)-SUMIFS('Final Calculation Sheet'!$H$4:$H$40,$AZ$5:$AZ$41,10),SUMIFS('Final Calculation Sheet'!$H$4:$H$40,$AZ$5:$AZ$41,$BH7))),""))</f>
        <v/>
      </c>
      <c r="J4">
        <f>IF($BJ7&gt;0,IF(INDEX('Final Calculation Sheet'!$I$4:$I$40,$BJ7-3)="","",INDEX('Final Calculation Sheet'!$I$4:$I$40,$BJ7-3)),IF(OR($BI7=1,$BL7=1,$BH7&gt;0),IF($BI7=1,SUM('Final Calculation Sheet'!$I$4:$I$40),IF($BL7=1,SUM('Final Calculation Sheet'!$I$4:$I$40)-SUMIFS('Final Calculation Sheet'!$I$4:$I$40,$AZ$5:$AZ$41,10),SUMIFS('Final Calculation Sheet'!$I$4:$I$40,$AZ$5:$AZ$41,$BH7))),""))</f>
        <v/>
      </c>
      <c r="K4">
        <f>IF($BJ7&gt;0,IF(INDEX('Final Calculation Sheet'!$J$4:$J$40,$BJ7-3)="","",INDEX('Final Calculation Sheet'!$J$4:$J$40,$BJ7-3)),IF(OR($BI7=1,$BL7=1,$BH7&gt;0),IF($BI7=1,SUM('Final Calculation Sheet'!$J$4:$J$40),IF($BL7=1,SUM('Final Calculation Sheet'!$J$4:$J$40)-SUMIFS('Final Calculation Sheet'!$J$4:$J$40,$AZ$5:$AZ$41,10),SUMIFS('Final Calculation Sheet'!$J$4:$J$40,$AZ$5:$AZ$41,$BH7))),""))</f>
        <v/>
      </c>
      <c r="L4">
        <f>IF($BJ7&gt;0,IF(INDEX('Final Calculation Sheet'!$K$4:$K$40,$BJ7-3)="","",INDEX('Final Calculation Sheet'!$K$4:$K$40,$BJ7-3)),IF(OR($BI7=1,$BL7=1,$BH7&gt;0),IF($BI7=1,SUM('Final Calculation Sheet'!$K$4:$K$40),IF($BL7=1,SUM('Final Calculation Sheet'!$K$4:$K$40)-SUMIFS('Final Calculation Sheet'!$K$4:$K$40,$AZ$5:$AZ$41,10),SUMIFS('Final Calculation Sheet'!$K$4:$K$40,$AZ$5:$AZ$41,$BH7))),""))</f>
        <v/>
      </c>
      <c r="M4">
        <f>IF($BJ7&gt;0,IF(INDEX('Final Calculation Sheet'!$L$4:$L$40,$BJ7-3)="","",INDEX('Final Calculation Sheet'!$L$4:$L$40,$BJ7-3)),IF(OR($BI7=1,$BL7=1,$BH7&gt;0),IF($BI7=1,SUM('Final Calculation Sheet'!$L$4:$L$40),IF($BL7=1,SUM('Final Calculation Sheet'!$L$4:$L$40)-SUMIFS('Final Calculation Sheet'!$L$4:$L$40,$AZ$5:$AZ$41,10),SUMIFS('Final Calculation Sheet'!$L$4:$L$40,$AZ$5:$AZ$41,$BH7))),""))</f>
        <v/>
      </c>
      <c r="N4">
        <f>IF($BJ7&gt;0,IF(INDEX('Final Calculation Sheet'!$M$4:$M$40,$BJ7-3)="","",INDEX('Final Calculation Sheet'!$M$4:$M$40,$BJ7-3)),IF(OR($BI7=1,$BL7=1,$BH7&gt;0),IF($BI7=1,SUM('Final Calculation Sheet'!$M$4:$M$40),IF($BL7=1,SUM('Final Calculation Sheet'!$M$4:$M$40)-SUMIFS('Final Calculation Sheet'!$M$4:$M$40,$AZ$5:$AZ$41,10),SUMIFS('Final Calculation Sheet'!$M$4:$M$40,$AZ$5:$AZ$41,$BH7))),""))</f>
        <v/>
      </c>
      <c r="O4">
        <f>IF($BJ7&gt;0,IF(INDEX('Final Calculation Sheet'!$N$4:$N$40,$BJ7-3)="","",INDEX('Final Calculation Sheet'!$N$4:$N$40,$BJ7-3)),IF(OR($BI7=1,$BL7=1,$BH7&gt;0),IF($BI7=1,SUM('Final Calculation Sheet'!$N$4:$N$40),IF($BL7=1,SUM('Final Calculation Sheet'!$N$4:$N$40)-SUMIFS('Final Calculation Sheet'!$N$4:$N$40,$AZ$5:$AZ$41,10),SUMIFS('Final Calculation Sheet'!$N$4:$N$40,$AZ$5:$AZ$41,$BH7))),""))</f>
        <v/>
      </c>
      <c r="P4">
        <f>IF($BJ7&gt;0,IF(INDEX('Final Calculation Sheet'!$O$4:$O$40,$BJ7-3)="","",INDEX('Final Calculation Sheet'!$O$4:$O$40,$BJ7-3)),IF(OR($BI7=1,$BL7=1,$BH7&gt;0),IF($BI7=1,SUM('Final Calculation Sheet'!$O$4:$O$40),IF($BL7=1,SUM('Final Calculation Sheet'!$O$4:$O$40)-SUMIFS('Final Calculation Sheet'!$O$4:$O$40,$AZ$5:$AZ$41,10),SUMIFS('Final Calculation Sheet'!$O$4:$O$40,$AZ$5:$AZ$41,$BH7))),""))</f>
        <v/>
      </c>
      <c r="Q4">
        <f>IF($BJ7&gt;0,IF(INDEX('Final Calculation Sheet'!$P$4:$P$40,$BJ7-3)="","",INDEX('Final Calculation Sheet'!$P$4:$P$40,$BJ7-3)),IF(OR($BI7=1,$BL7=1,$BH7&gt;0),IF($BI7=1,SUM('Final Calculation Sheet'!$P$4:$P$40),IF($BL7=1,SUM('Final Calculation Sheet'!$P$4:$P$40)-SUMIFS('Final Calculation Sheet'!$P$4:$P$40,$AZ$5:$AZ$41,10),SUMIFS('Final Calculation Sheet'!$P$4:$P$40,$AZ$5:$AZ$41,$BH7))),""))</f>
        <v/>
      </c>
      <c r="R4">
        <f>IF($BJ7&gt;0,IF(INDEX('Final Calculation Sheet'!$Q$4:$Q$40,$BJ7-3)="","",INDEX('Final Calculation Sheet'!$Q$4:$Q$40,$BJ7-3)),IF(OR($BI7=1,$BL7=1,$BH7&gt;0),"–",""))</f>
        <v/>
      </c>
      <c r="S4">
        <f>IF($BJ7&gt;0,IF(INDEX('Final Calculation Sheet'!$R$4:$R$40,$BJ7-3)="","",INDEX('Final Calculation Sheet'!$R$4:$R$40,$BJ7-3)),IF(OR($BI7=1,$BL7=1,$BH7&gt;0),IF($BI7=1,SUM('Final Calculation Sheet'!$R$4:$R$40),IF($BL7=1,SUM('Final Calculation Sheet'!$R$4:$R$40)-SUMIFS('Final Calculation Sheet'!$R$4:$R$40,$AZ$5:$AZ$41,10),SUMIFS('Final Calculation Sheet'!$R$4:$R$40,$AZ$5:$AZ$41,$BH7))),""))</f>
        <v/>
      </c>
      <c r="T4">
        <f>IF($BJ7&gt;0,IF(INDEX('Final Calculation Sheet'!$S$4:$S$40,$BJ7-3)="","",INDEX('Final Calculation Sheet'!$S$4:$S$40,$BJ7-3)),IF(OR($BI7=1,$BL7=1,$BH7&gt;0),IF($BI7=1,SUM('Final Calculation Sheet'!$S$4:$S$40),IF($BL7=1,SUM('Final Calculation Sheet'!$S$4:$S$40)-SUMIFS('Final Calculation Sheet'!$S$4:$S$40,$AZ$5:$AZ$41,10),SUMIFS('Final Calculation Sheet'!$S$4:$S$40,$AZ$5:$AZ$41,$BH7))),""))</f>
        <v/>
      </c>
      <c r="U4">
        <f>IF($BJ7&gt;0,IF(INDEX('Final Calculation Sheet'!$T$4:$T$40,$BJ7-3)="","",INDEX('Final Calculation Sheet'!$T$4:$T$40,$BJ7-3)),IF(OR($BI7=1,$BL7=1,$BH7&gt;0),IF($BI7=1,SUM('Final Calculation Sheet'!$T$4:$T$40),IF($BL7=1,SUM('Final Calculation Sheet'!$T$4:$T$40)-SUMIFS('Final Calculation Sheet'!$T$4:$T$40,$AZ$5:$AZ$41,10),SUMIFS('Final Calculation Sheet'!$T$4:$T$40,$AZ$5:$AZ$41,$BH7))),""))</f>
        <v/>
      </c>
      <c r="V4">
        <f>IF($BJ7&gt;0,IF(INDEX('Final Calculation Sheet'!$U$4:$U$40,$BJ7-3)="","",INDEX('Final Calculation Sheet'!$U$4:$U$40,$BJ7-3)),IF(OR($BI7=1,$BL7=1,$BH7&gt;0),IF($BI7=1,SUM('Final Calculation Sheet'!$U$4:$U$40),IF($BL7=1,SUM('Final Calculation Sheet'!$U$4:$U$40)-SUMIFS('Final Calculation Sheet'!$U$4:$U$40,$AZ$5:$AZ$41,10),SUMIFS('Final Calculation Sheet'!$U$4:$U$40,$AZ$5:$AZ$41,$BH7))),""))</f>
        <v/>
      </c>
      <c r="W4">
        <f>IF($BJ7&gt;0,IF(INDEX('Final Calculation Sheet'!$V$4:$V$40,$BJ7-3)="","",INDEX('Final Calculation Sheet'!$V$4:$V$40,$BJ7-3)),IF(OR($BI7=1,$BL7=1,$BH7&gt;0),"–",""))</f>
        <v/>
      </c>
      <c r="X4">
        <f>IF($BJ7&gt;0,IF(INDEX('Final Calculation Sheet'!$W$4:$W$40,$BJ7-3)="","",INDEX('Final Calculation Sheet'!$W$4:$W$40,$BJ7-3)),IF(OR($BI7=1,$BL7=1,$BH7&gt;0),IF($BI7=1,SUM('Final Calculation Sheet'!$W$4:$W$40),IF($BL7=1,SUM('Final Calculation Sheet'!$W$4:$W$40)-SUMIFS('Final Calculation Sheet'!$W$4:$W$40,$AZ$5:$AZ$41,10),SUMIFS('Final Calculation Sheet'!$W$4:$W$40,$AZ$5:$AZ$41,$BH7))),""))</f>
        <v/>
      </c>
      <c r="Y4">
        <f>IF($BJ7&gt;0,IF(INDEX('Final Calculation Sheet'!$X$4:$X$40,$BJ7-3)="","",INDEX('Final Calculation Sheet'!$X$4:$X$40,$BJ7-3)),IF(OR($BI7=1,$BL7=1,$BH7&gt;0),IF($BI7=1,SUM('Final Calculation Sheet'!$X$4:$X$40),IF($BL7=1,SUM('Final Calculation Sheet'!$X$4:$X$40)-SUMIFS('Final Calculation Sheet'!$X$4:$X$40,$AZ$5:$AZ$41,10),SUMIFS('Final Calculation Sheet'!$X$4:$X$40,$AZ$5:$AZ$41,$BH7))),""))</f>
        <v/>
      </c>
      <c r="Z4">
        <f>IF($BJ7&gt;0,IF(INDEX('Final Calculation Sheet'!$Y$4:$Y$40,$BJ7-3)="","",INDEX('Final Calculation Sheet'!$Y$4:$Y$40,$BJ7-3)),IF(OR($BI7=1,$BL7=1,$BH7&gt;0),"–",""))</f>
        <v/>
      </c>
      <c r="AA4">
        <f>IF($BJ7&gt;0,IF(INDEX('Final Calculation Sheet'!$Z$4:$Z$40,$BJ7-3)="","",INDEX('Final Calculation Sheet'!$Z$4:$Z$40,$BJ7-3)),IF(OR($BI7=1,$BL7=1,$BH7&gt;0),IF($BI7=1,SUM('Final Calculation Sheet'!$Z$4:$Z$40),IF($BL7=1,SUM('Final Calculation Sheet'!$Z$4:$Z$40)-SUMIFS('Final Calculation Sheet'!$Z$4:$Z$40,$AZ$5:$AZ$41,10),SUMIFS('Final Calculation Sheet'!$Z$4:$Z$40,$AZ$5:$AZ$41,$BH7))),""))</f>
        <v/>
      </c>
      <c r="AB4">
        <f>IF($BJ7&gt;0,IF(INDEX('Final Calculation Sheet'!$AA$4:$AA$40,$BJ7-3)="","",INDEX('Final Calculation Sheet'!$AA$4:$AA$40,$BJ7-3)),IF(OR($BI7=1,$BL7=1,$BH7&gt;0),IF($BI7=1,SUM('Final Calculation Sheet'!$AA$4:$AA$40),IF($BL7=1,SUM('Final Calculation Sheet'!$AA$4:$AA$40)-SUMIFS('Final Calculation Sheet'!$AA$4:$AA$40,$AZ$5:$AZ$41,10),SUMIFS('Final Calculation Sheet'!$AA$4:$AA$40,$AZ$5:$AZ$41,$BH7))),""))</f>
        <v/>
      </c>
      <c r="AC4">
        <f>IF($BJ7&gt;0,IF(INDEX('Final Calculation Sheet'!$AB$4:$AB$40,$BJ7-3)="","",INDEX('Final Calculation Sheet'!$AB$4:$AB$40,$BJ7-3)),IF(OR($BI7=1,$BL7=1,$BH7&gt;0),"–",""))</f>
        <v/>
      </c>
      <c r="AD4">
        <f>IF($BJ7&gt;0,IF(INDEX('Final Calculation Sheet'!$AC$4:$AC$40,$BJ7-3)="","",INDEX('Final Calculation Sheet'!$AC$4:$AC$40,$BJ7-3)),IF(OR($BI7=1,$BL7=1,$BH7&gt;0),IF($BI7=1,SUM('Final Calculation Sheet'!$AC$4:$AC$40),IF($BL7=1,SUM('Final Calculation Sheet'!$AC$4:$AC$40)-SUMIFS('Final Calculation Sheet'!$AC$4:$AC$40,$AZ$5:$AZ$41,10),SUMIFS('Final Calculation Sheet'!$AC$4:$AC$40,$AZ$5:$AZ$41,$BH7))),""))</f>
        <v/>
      </c>
      <c r="AE4">
        <f>IF($BJ7&gt;0,IF(INDEX('Final Calculation Sheet'!$AD$4:$AD$40,$BJ7-3)="","",INDEX('Final Calculation Sheet'!$AD$4:$AD$40,$BJ7-3)),IF(OR($BI7=1,$BL7=1,$BH7&gt;0),IF($BI7=1,SUM('Final Calculation Sheet'!$AD$4:$AD$40),IF($BL7=1,SUM('Final Calculation Sheet'!$AD$4:$AD$40)-SUMIFS('Final Calculation Sheet'!$AD$4:$AD$40,$AZ$5:$AZ$41,10),SUMIFS('Final Calculation Sheet'!$AD$4:$AD$40,$AZ$5:$AZ$41,$BH7))),""))</f>
        <v/>
      </c>
      <c r="AF4">
        <f>IF($BJ7&gt;0,IF(INDEX('Final Calculation Sheet'!$AF$4:$AF$40,$BJ7-3)="","",INDEX('Final Calculation Sheet'!$AF$4:$AF$40,$BJ7-3)),IF(OR($BI7=1,$BL7=1,$BH7&gt;0),"–",""))</f>
        <v/>
      </c>
      <c r="AG4">
        <f>IF($BJ7&gt;0,IF(INDEX('Final Calculation Sheet'!$AG$4:$AG$40,$BJ7-3)="","",INDEX('Final Calculation Sheet'!$AG$4:$AG$40,$BJ7-3)),IF(OR($BI7=1,$BL7=1,$BH7&gt;0),"–",""))</f>
        <v/>
      </c>
      <c r="AH4">
        <f>IF($BJ7&gt;0,IF(INDEX('Final Calculation Sheet'!$AH$4:$AH$40,$BJ7-3)="","",INDEX('Final Calculation Sheet'!$AH$4:$AH$40,$BJ7-3)),IF(OR($BI7=1,$BL7=1,$BH7&gt;0),"–",""))</f>
        <v/>
      </c>
      <c r="AI4">
        <f>IF($BJ7&gt;0,IF(INDEX('Final Calculation Sheet'!$AD$4:$AD$40,$BJ7-3)="","",IF(INDEX('Final Calculation Sheet'!$AD$4:$AD$40,$BJ7-3)&lt;=5,"SETTLED","OUTSTANDING")),IF(OR($BI7=1,$BL7=1,$BH7&gt;0),IF(IF($BI7=1,SUM('Final Calculation Sheet'!$AD$4:$AD$40),IF($BL7=1,SUM('Final Calculation Sheet'!$AD$4:$AD$40)-SUMIFS('Final Calculation Sheet'!$AD$4:$AD$40,$AZ$5:$AZ$41,10),SUMIFS('Final Calculation Sheet'!$AD$4:$AD$40,$AZ$5:$AZ$41,$BH7)))&lt;=5,"ALL SETTLED","OUTSTANDING"),""))</f>
        <v/>
      </c>
    </row>
    <row r="5">
      <c r="A5">
        <f>IF($BJ8&gt;0,INDEX($BA$5:$BA$41,MATCH(8,$BB$5:$BB$41,0)),IF(OR($BI8=1,$BL8=1,$BH8&gt;0),"∑",""))</f>
        <v/>
      </c>
      <c r="B5">
        <f>IF($BJ8&gt;0,IF(INDEX('Final Calculation Sheet'!$F$4:$F$40,$BJ8-3)="","",INDEX('Final Calculation Sheet'!$F$4:$F$40,$BJ8-3)),"")</f>
        <v/>
      </c>
      <c r="C5">
        <f>IF($BJ8&gt;0,IF(INDEX('Final Calculation Sheet'!$G$4:$G$40,$BJ8-3)="","",INDEX('Final Calculation Sheet'!$G$4:$G$40,$BJ8-3)),IF(OR($BI8=1,$BL8=1,$BH8&gt;0),IF($BI8=1,37,IF($BL8=1,37-INDEX($BD$4:$BD$13,10),INDEX($BD$4:$BD$13,$BH8)))&amp;" lot(s)",""))</f>
        <v/>
      </c>
      <c r="D5">
        <f>IF($BJ8&gt;0,IF(INDEX('Final Calculation Sheet'!$B$4:$B$40,$BJ8-3)="","",INDEX('Final Calculation Sheet'!$B$4:$B$40,$BJ8-3)),IF(OR($BI8=1,$BL8=1,$BH8&gt;0),IF($BI8=1,"GRAND TOTAL  —  matching + remaining",IF($BL8=1,"TOTAL MATCHED  —  every group together",IF($BH8=10,"REMAINING  —  did not match the search",IF($BH8=9,IF(COUNTIF($A$4:$AI$4,"&lt;&gt;")&gt;0,"FILTERED LOTS  —  column fields","ALL LOTS  —  nothing typed in the box"),"GROUP "&amp;$BH8&amp;" TOTAL  —  lots matching  "&amp;INDEX($AR$6:$AY$6,$BH8))))),""))</f>
        <v/>
      </c>
      <c r="E5">
        <f>IF($BJ8&gt;0,IF(INDEX('Final Calculation Sheet'!$D$4:$D$40,$BJ8-3)="","",INDEX('Final Calculation Sheet'!$D$4:$D$40,$BJ8-3)),IF(OR($BI8=1,$BL8=1,$BH8&gt;0),"–",""))</f>
        <v/>
      </c>
      <c r="F5">
        <f>IF($BJ8&gt;0,IF(INDEX('Final Calculation Sheet'!$A$4:$A$40,$BJ8-3)="","",INDEX('Final Calculation Sheet'!$A$4:$A$40,$BJ8-3)),IF(OR($BI8=1,$BL8=1,$BH8&gt;0),IF($BI8=1,SUM('Final Calculation Sheet'!$A$4:$A$40),IF($BL8=1,SUM('Final Calculation Sheet'!$A$4:$A$40)-SUMIFS('Final Calculation Sheet'!$A$4:$A$40,$AZ$5:$AZ$41,10),SUMIFS('Final Calculation Sheet'!$A$4:$A$40,$AZ$5:$AZ$41,$BH8))),""))</f>
        <v/>
      </c>
      <c r="G5">
        <f>IF($BJ8&gt;0,IF(INDEX('Final Calculation Sheet'!$E$4:$E$40,$BJ8-3)="","",INDEX('Final Calculation Sheet'!$E$4:$E$40,$BJ8-3)),IF(OR($BI8=1,$BL8=1,$BH8&gt;0),"–",""))</f>
        <v/>
      </c>
      <c r="H5">
        <f>IF($BJ8&gt;0,IF(INDEX('Final Calculation Sheet'!$C$4:$C$40,$BJ8-3)="","",INDEX('Final Calculation Sheet'!$C$4:$C$40,$BJ8-3)),IF(OR($BI8=1,$BL8=1,$BH8&gt;0),"–",""))</f>
        <v/>
      </c>
      <c r="I5">
        <f>IF($BJ8&gt;0,IF(INDEX('Final Calculation Sheet'!$H$4:$H$40,$BJ8-3)="","",INDEX('Final Calculation Sheet'!$H$4:$H$40,$BJ8-3)),IF(OR($BI8=1,$BL8=1,$BH8&gt;0),IF($BI8=1,SUM('Final Calculation Sheet'!$H$4:$H$40),IF($BL8=1,SUM('Final Calculation Sheet'!$H$4:$H$40)-SUMIFS('Final Calculation Sheet'!$H$4:$H$40,$AZ$5:$AZ$41,10),SUMIFS('Final Calculation Sheet'!$H$4:$H$40,$AZ$5:$AZ$41,$BH8))),""))</f>
        <v/>
      </c>
      <c r="J5">
        <f>IF($BJ8&gt;0,IF(INDEX('Final Calculation Sheet'!$I$4:$I$40,$BJ8-3)="","",INDEX('Final Calculation Sheet'!$I$4:$I$40,$BJ8-3)),IF(OR($BI8=1,$BL8=1,$BH8&gt;0),IF($BI8=1,SUM('Final Calculation Sheet'!$I$4:$I$40),IF($BL8=1,SUM('Final Calculation Sheet'!$I$4:$I$40)-SUMIFS('Final Calculation Sheet'!$I$4:$I$40,$AZ$5:$AZ$41,10),SUMIFS('Final Calculation Sheet'!$I$4:$I$40,$AZ$5:$AZ$41,$BH8))),""))</f>
        <v/>
      </c>
      <c r="K5">
        <f>IF($BJ8&gt;0,IF(INDEX('Final Calculation Sheet'!$J$4:$J$40,$BJ8-3)="","",INDEX('Final Calculation Sheet'!$J$4:$J$40,$BJ8-3)),IF(OR($BI8=1,$BL8=1,$BH8&gt;0),IF($BI8=1,SUM('Final Calculation Sheet'!$J$4:$J$40),IF($BL8=1,SUM('Final Calculation Sheet'!$J$4:$J$40)-SUMIFS('Final Calculation Sheet'!$J$4:$J$40,$AZ$5:$AZ$41,10),SUMIFS('Final Calculation Sheet'!$J$4:$J$40,$AZ$5:$AZ$41,$BH8))),""))</f>
        <v/>
      </c>
      <c r="L5">
        <f>IF($BJ8&gt;0,IF(INDEX('Final Calculation Sheet'!$K$4:$K$40,$BJ8-3)="","",INDEX('Final Calculation Sheet'!$K$4:$K$40,$BJ8-3)),IF(OR($BI8=1,$BL8=1,$BH8&gt;0),IF($BI8=1,SUM('Final Calculation Sheet'!$K$4:$K$40),IF($BL8=1,SUM('Final Calculation Sheet'!$K$4:$K$40)-SUMIFS('Final Calculation Sheet'!$K$4:$K$40,$AZ$5:$AZ$41,10),SUMIFS('Final Calculation Sheet'!$K$4:$K$40,$AZ$5:$AZ$41,$BH8))),""))</f>
        <v/>
      </c>
      <c r="M5">
        <f>IF($BJ8&gt;0,IF(INDEX('Final Calculation Sheet'!$L$4:$L$40,$BJ8-3)="","",INDEX('Final Calculation Sheet'!$L$4:$L$40,$BJ8-3)),IF(OR($BI8=1,$BL8=1,$BH8&gt;0),IF($BI8=1,SUM('Final Calculation Sheet'!$L$4:$L$40),IF($BL8=1,SUM('Final Calculation Sheet'!$L$4:$L$40)-SUMIFS('Final Calculation Sheet'!$L$4:$L$40,$AZ$5:$AZ$41,10),SUMIFS('Final Calculation Sheet'!$L$4:$L$40,$AZ$5:$AZ$41,$BH8))),""))</f>
        <v/>
      </c>
      <c r="N5">
        <f>IF($BJ8&gt;0,IF(INDEX('Final Calculation Sheet'!$M$4:$M$40,$BJ8-3)="","",INDEX('Final Calculation Sheet'!$M$4:$M$40,$BJ8-3)),IF(OR($BI8=1,$BL8=1,$BH8&gt;0),IF($BI8=1,SUM('Final Calculation Sheet'!$M$4:$M$40),IF($BL8=1,SUM('Final Calculation Sheet'!$M$4:$M$40)-SUMIFS('Final Calculation Sheet'!$M$4:$M$40,$AZ$5:$AZ$41,10),SUMIFS('Final Calculation Sheet'!$M$4:$M$40,$AZ$5:$AZ$41,$BH8))),""))</f>
        <v/>
      </c>
      <c r="O5">
        <f>IF($BJ8&gt;0,IF(INDEX('Final Calculation Sheet'!$N$4:$N$40,$BJ8-3)="","",INDEX('Final Calculation Sheet'!$N$4:$N$40,$BJ8-3)),IF(OR($BI8=1,$BL8=1,$BH8&gt;0),IF($BI8=1,SUM('Final Calculation Sheet'!$N$4:$N$40),IF($BL8=1,SUM('Final Calculation Sheet'!$N$4:$N$40)-SUMIFS('Final Calculation Sheet'!$N$4:$N$40,$AZ$5:$AZ$41,10),SUMIFS('Final Calculation Sheet'!$N$4:$N$40,$AZ$5:$AZ$41,$BH8))),""))</f>
        <v/>
      </c>
      <c r="P5">
        <f>IF($BJ8&gt;0,IF(INDEX('Final Calculation Sheet'!$O$4:$O$40,$BJ8-3)="","",INDEX('Final Calculation Sheet'!$O$4:$O$40,$BJ8-3)),IF(OR($BI8=1,$BL8=1,$BH8&gt;0),IF($BI8=1,SUM('Final Calculation Sheet'!$O$4:$O$40),IF($BL8=1,SUM('Final Calculation Sheet'!$O$4:$O$40)-SUMIFS('Final Calculation Sheet'!$O$4:$O$40,$AZ$5:$AZ$41,10),SUMIFS('Final Calculation Sheet'!$O$4:$O$40,$AZ$5:$AZ$41,$BH8))),""))</f>
        <v/>
      </c>
      <c r="Q5">
        <f>IF($BJ8&gt;0,IF(INDEX('Final Calculation Sheet'!$P$4:$P$40,$BJ8-3)="","",INDEX('Final Calculation Sheet'!$P$4:$P$40,$BJ8-3)),IF(OR($BI8=1,$BL8=1,$BH8&gt;0),IF($BI8=1,SUM('Final Calculation Sheet'!$P$4:$P$40),IF($BL8=1,SUM('Final Calculation Sheet'!$P$4:$P$40)-SUMIFS('Final Calculation Sheet'!$P$4:$P$40,$AZ$5:$AZ$41,10),SUMIFS('Final Calculation Sheet'!$P$4:$P$40,$AZ$5:$AZ$41,$BH8))),""))</f>
        <v/>
      </c>
      <c r="R5">
        <f>IF($BJ8&gt;0,IF(INDEX('Final Calculation Sheet'!$Q$4:$Q$40,$BJ8-3)="","",INDEX('Final Calculation Sheet'!$Q$4:$Q$40,$BJ8-3)),IF(OR($BI8=1,$BL8=1,$BH8&gt;0),"–",""))</f>
        <v/>
      </c>
      <c r="S5">
        <f>IF($BJ8&gt;0,IF(INDEX('Final Calculation Sheet'!$R$4:$R$40,$BJ8-3)="","",INDEX('Final Calculation Sheet'!$R$4:$R$40,$BJ8-3)),IF(OR($BI8=1,$BL8=1,$BH8&gt;0),IF($BI8=1,SUM('Final Calculation Sheet'!$R$4:$R$40),IF($BL8=1,SUM('Final Calculation Sheet'!$R$4:$R$40)-SUMIFS('Final Calculation Sheet'!$R$4:$R$40,$AZ$5:$AZ$41,10),SUMIFS('Final Calculation Sheet'!$R$4:$R$40,$AZ$5:$AZ$41,$BH8))),""))</f>
        <v/>
      </c>
      <c r="T5">
        <f>IF($BJ8&gt;0,IF(INDEX('Final Calculation Sheet'!$S$4:$S$40,$BJ8-3)="","",INDEX('Final Calculation Sheet'!$S$4:$S$40,$BJ8-3)),IF(OR($BI8=1,$BL8=1,$BH8&gt;0),IF($BI8=1,SUM('Final Calculation Sheet'!$S$4:$S$40),IF($BL8=1,SUM('Final Calculation Sheet'!$S$4:$S$40)-SUMIFS('Final Calculation Sheet'!$S$4:$S$40,$AZ$5:$AZ$41,10),SUMIFS('Final Calculation Sheet'!$S$4:$S$40,$AZ$5:$AZ$41,$BH8))),""))</f>
        <v/>
      </c>
      <c r="U5">
        <f>IF($BJ8&gt;0,IF(INDEX('Final Calculation Sheet'!$T$4:$T$40,$BJ8-3)="","",INDEX('Final Calculation Sheet'!$T$4:$T$40,$BJ8-3)),IF(OR($BI8=1,$BL8=1,$BH8&gt;0),IF($BI8=1,SUM('Final Calculation Sheet'!$T$4:$T$40),IF($BL8=1,SUM('Final Calculation Sheet'!$T$4:$T$40)-SUMIFS('Final Calculation Sheet'!$T$4:$T$40,$AZ$5:$AZ$41,10),SUMIFS('Final Calculation Sheet'!$T$4:$T$40,$AZ$5:$AZ$41,$BH8))),""))</f>
        <v/>
      </c>
      <c r="V5">
        <f>IF($BJ8&gt;0,IF(INDEX('Final Calculation Sheet'!$U$4:$U$40,$BJ8-3)="","",INDEX('Final Calculation Sheet'!$U$4:$U$40,$BJ8-3)),IF(OR($BI8=1,$BL8=1,$BH8&gt;0),IF($BI8=1,SUM('Final Calculation Sheet'!$U$4:$U$40),IF($BL8=1,SUM('Final Calculation Sheet'!$U$4:$U$40)-SUMIFS('Final Calculation Sheet'!$U$4:$U$40,$AZ$5:$AZ$41,10),SUMIFS('Final Calculation Sheet'!$U$4:$U$40,$AZ$5:$AZ$41,$BH8))),""))</f>
        <v/>
      </c>
      <c r="W5">
        <f>IF($BJ8&gt;0,IF(INDEX('Final Calculation Sheet'!$V$4:$V$40,$BJ8-3)="","",INDEX('Final Calculation Sheet'!$V$4:$V$40,$BJ8-3)),IF(OR($BI8=1,$BL8=1,$BH8&gt;0),"–",""))</f>
        <v/>
      </c>
      <c r="X5">
        <f>IF($BJ8&gt;0,IF(INDEX('Final Calculation Sheet'!$W$4:$W$40,$BJ8-3)="","",INDEX('Final Calculation Sheet'!$W$4:$W$40,$BJ8-3)),IF(OR($BI8=1,$BL8=1,$BH8&gt;0),IF($BI8=1,SUM('Final Calculation Sheet'!$W$4:$W$40),IF($BL8=1,SUM('Final Calculation Sheet'!$W$4:$W$40)-SUMIFS('Final Calculation Sheet'!$W$4:$W$40,$AZ$5:$AZ$41,10),SUMIFS('Final Calculation Sheet'!$W$4:$W$40,$AZ$5:$AZ$41,$BH8))),""))</f>
        <v/>
      </c>
      <c r="Y5">
        <f>IF($BJ8&gt;0,IF(INDEX('Final Calculation Sheet'!$X$4:$X$40,$BJ8-3)="","",INDEX('Final Calculation Sheet'!$X$4:$X$40,$BJ8-3)),IF(OR($BI8=1,$BL8=1,$BH8&gt;0),IF($BI8=1,SUM('Final Calculation Sheet'!$X$4:$X$40),IF($BL8=1,SUM('Final Calculation Sheet'!$X$4:$X$40)-SUMIFS('Final Calculation Sheet'!$X$4:$X$40,$AZ$5:$AZ$41,10),SUMIFS('Final Calculation Sheet'!$X$4:$X$40,$AZ$5:$AZ$41,$BH8))),""))</f>
        <v/>
      </c>
      <c r="Z5">
        <f>IF($BJ8&gt;0,IF(INDEX('Final Calculation Sheet'!$Y$4:$Y$40,$BJ8-3)="","",INDEX('Final Calculation Sheet'!$Y$4:$Y$40,$BJ8-3)),IF(OR($BI8=1,$BL8=1,$BH8&gt;0),"–",""))</f>
        <v/>
      </c>
      <c r="AA5">
        <f>IF($BJ8&gt;0,IF(INDEX('Final Calculation Sheet'!$Z$4:$Z$40,$BJ8-3)="","",INDEX('Final Calculation Sheet'!$Z$4:$Z$40,$BJ8-3)),IF(OR($BI8=1,$BL8=1,$BH8&gt;0),IF($BI8=1,SUM('Final Calculation Sheet'!$Z$4:$Z$40),IF($BL8=1,SUM('Final Calculation Sheet'!$Z$4:$Z$40)-SUMIFS('Final Calculation Sheet'!$Z$4:$Z$40,$AZ$5:$AZ$41,10),SUMIFS('Final Calculation Sheet'!$Z$4:$Z$40,$AZ$5:$AZ$41,$BH8))),""))</f>
        <v/>
      </c>
      <c r="AB5">
        <f>IF($BJ8&gt;0,IF(INDEX('Final Calculation Sheet'!$AA$4:$AA$40,$BJ8-3)="","",INDEX('Final Calculation Sheet'!$AA$4:$AA$40,$BJ8-3)),IF(OR($BI8=1,$BL8=1,$BH8&gt;0),IF($BI8=1,SUM('Final Calculation Sheet'!$AA$4:$AA$40),IF($BL8=1,SUM('Final Calculation Sheet'!$AA$4:$AA$40)-SUMIFS('Final Calculation Sheet'!$AA$4:$AA$40,$AZ$5:$AZ$41,10),SUMIFS('Final Calculation Sheet'!$AA$4:$AA$40,$AZ$5:$AZ$41,$BH8))),""))</f>
        <v/>
      </c>
      <c r="AC5">
        <f>IF($BJ8&gt;0,IF(INDEX('Final Calculation Sheet'!$AB$4:$AB$40,$BJ8-3)="","",INDEX('Final Calculation Sheet'!$AB$4:$AB$40,$BJ8-3)),IF(OR($BI8=1,$BL8=1,$BH8&gt;0),"–",""))</f>
        <v/>
      </c>
      <c r="AD5">
        <f>IF($BJ8&gt;0,IF(INDEX('Final Calculation Sheet'!$AC$4:$AC$40,$BJ8-3)="","",INDEX('Final Calculation Sheet'!$AC$4:$AC$40,$BJ8-3)),IF(OR($BI8=1,$BL8=1,$BH8&gt;0),IF($BI8=1,SUM('Final Calculation Sheet'!$AC$4:$AC$40),IF($BL8=1,SUM('Final Calculation Sheet'!$AC$4:$AC$40)-SUMIFS('Final Calculation Sheet'!$AC$4:$AC$40,$AZ$5:$AZ$41,10),SUMIFS('Final Calculation Sheet'!$AC$4:$AC$40,$AZ$5:$AZ$41,$BH8))),""))</f>
        <v/>
      </c>
      <c r="AE5">
        <f>IF($BJ8&gt;0,IF(INDEX('Final Calculation Sheet'!$AD$4:$AD$40,$BJ8-3)="","",INDEX('Final Calculation Sheet'!$AD$4:$AD$40,$BJ8-3)),IF(OR($BI8=1,$BL8=1,$BH8&gt;0),IF($BI8=1,SUM('Final Calculation Sheet'!$AD$4:$AD$40),IF($BL8=1,SUM('Final Calculation Sheet'!$AD$4:$AD$40)-SUMIFS('Final Calculation Sheet'!$AD$4:$AD$40,$AZ$5:$AZ$41,10),SUMIFS('Final Calculation Sheet'!$AD$4:$AD$40,$AZ$5:$AZ$41,$BH8))),""))</f>
        <v/>
      </c>
      <c r="AF5">
        <f>IF($BJ8&gt;0,IF(INDEX('Final Calculation Sheet'!$AF$4:$AF$40,$BJ8-3)="","",INDEX('Final Calculation Sheet'!$AF$4:$AF$40,$BJ8-3)),IF(OR($BI8=1,$BL8=1,$BH8&gt;0),"–",""))</f>
        <v/>
      </c>
      <c r="AG5">
        <f>IF($BJ8&gt;0,IF(INDEX('Final Calculation Sheet'!$AG$4:$AG$40,$BJ8-3)="","",INDEX('Final Calculation Sheet'!$AG$4:$AG$40,$BJ8-3)),IF(OR($BI8=1,$BL8=1,$BH8&gt;0),"–",""))</f>
        <v/>
      </c>
      <c r="AH5">
        <f>IF($BJ8&gt;0,IF(INDEX('Final Calculation Sheet'!$AH$4:$AH$40,$BJ8-3)="","",INDEX('Final Calculation Sheet'!$AH$4:$AH$40,$BJ8-3)),IF(OR($BI8=1,$BL8=1,$BH8&gt;0),"–",""))</f>
        <v/>
      </c>
      <c r="AI5">
        <f>IF($BJ8&gt;0,IF(INDEX('Final Calculation Sheet'!$AD$4:$AD$40,$BJ8-3)="","",IF(INDEX('Final Calculation Sheet'!$AD$4:$AD$40,$BJ8-3)&lt;=5,"SETTLED","OUTSTANDING")),IF(OR($BI8=1,$BL8=1,$BH8&gt;0),IF(IF($BI8=1,SUM('Final Calculation Sheet'!$AD$4:$AD$40),IF($BL8=1,SUM('Final Calculation Sheet'!$AD$4:$AD$40)-SUMIFS('Final Calculation Sheet'!$AD$4:$AD$40,$AZ$5:$AZ$41,10),SUMIFS('Final Calculation Sheet'!$AD$4:$AD$40,$AZ$5:$AZ$41,$BH8)))&lt;=5,"ALL SETTLED","OUTSTANDING"),""))</f>
        <v/>
      </c>
    </row>
    <row r="6">
      <c r="A6">
        <f>IF($BJ9&gt;0,INDEX($BA$5:$BA$41,MATCH(9,$BB$5:$BB$41,0)),IF(OR($BI9=1,$BL9=1,$BH9&gt;0),"∑",""))</f>
        <v/>
      </c>
      <c r="B6">
        <f>IF($BJ9&gt;0,IF(INDEX('Final Calculation Sheet'!$F$4:$F$40,$BJ9-3)="","",INDEX('Final Calculation Sheet'!$F$4:$F$40,$BJ9-3)),"")</f>
        <v/>
      </c>
      <c r="C6">
        <f>IF($BJ9&gt;0,IF(INDEX('Final Calculation Sheet'!$G$4:$G$40,$BJ9-3)="","",INDEX('Final Calculation Sheet'!$G$4:$G$40,$BJ9-3)),IF(OR($BI9=1,$BL9=1,$BH9&gt;0),IF($BI9=1,37,IF($BL9=1,37-INDEX($BD$4:$BD$13,10),INDEX($BD$4:$BD$13,$BH9)))&amp;" lot(s)",""))</f>
        <v/>
      </c>
      <c r="D6">
        <f>IF($BJ9&gt;0,IF(INDEX('Final Calculation Sheet'!$B$4:$B$40,$BJ9-3)="","",INDEX('Final Calculation Sheet'!$B$4:$B$40,$BJ9-3)),IF(OR($BI9=1,$BL9=1,$BH9&gt;0),IF($BI9=1,"GRAND TOTAL  —  matching + remaining",IF($BL9=1,"TOTAL MATCHED  —  every group together",IF($BH9=10,"REMAINING  —  did not match the search",IF($BH9=9,IF(COUNTIF($A$4:$AI$4,"&lt;&gt;")&gt;0,"FILTERED LOTS  —  column fields","ALL LOTS  —  nothing typed in the box"),"GROUP "&amp;$BH9&amp;" TOTAL  —  lots matching  "&amp;INDEX($AR$6:$AY$6,$BH9))))),""))</f>
        <v/>
      </c>
      <c r="E6">
        <f>IF($BJ9&gt;0,IF(INDEX('Final Calculation Sheet'!$D$4:$D$40,$BJ9-3)="","",INDEX('Final Calculation Sheet'!$D$4:$D$40,$BJ9-3)),IF(OR($BI9=1,$BL9=1,$BH9&gt;0),"–",""))</f>
        <v/>
      </c>
      <c r="F6">
        <f>IF($BJ9&gt;0,IF(INDEX('Final Calculation Sheet'!$A$4:$A$40,$BJ9-3)="","",INDEX('Final Calculation Sheet'!$A$4:$A$40,$BJ9-3)),IF(OR($BI9=1,$BL9=1,$BH9&gt;0),IF($BI9=1,SUM('Final Calculation Sheet'!$A$4:$A$40),IF($BL9=1,SUM('Final Calculation Sheet'!$A$4:$A$40)-SUMIFS('Final Calculation Sheet'!$A$4:$A$40,$AZ$5:$AZ$41,10),SUMIFS('Final Calculation Sheet'!$A$4:$A$40,$AZ$5:$AZ$41,$BH9))),""))</f>
        <v/>
      </c>
      <c r="G6">
        <f>IF($BJ9&gt;0,IF(INDEX('Final Calculation Sheet'!$E$4:$E$40,$BJ9-3)="","",INDEX('Final Calculation Sheet'!$E$4:$E$40,$BJ9-3)),IF(OR($BI9=1,$BL9=1,$BH9&gt;0),"–",""))</f>
        <v/>
      </c>
      <c r="H6">
        <f>IF($BJ9&gt;0,IF(INDEX('Final Calculation Sheet'!$C$4:$C$40,$BJ9-3)="","",INDEX('Final Calculation Sheet'!$C$4:$C$40,$BJ9-3)),IF(OR($BI9=1,$BL9=1,$BH9&gt;0),"–",""))</f>
        <v/>
      </c>
      <c r="I6">
        <f>IF($BJ9&gt;0,IF(INDEX('Final Calculation Sheet'!$H$4:$H$40,$BJ9-3)="","",INDEX('Final Calculation Sheet'!$H$4:$H$40,$BJ9-3)),IF(OR($BI9=1,$BL9=1,$BH9&gt;0),IF($BI9=1,SUM('Final Calculation Sheet'!$H$4:$H$40),IF($BL9=1,SUM('Final Calculation Sheet'!$H$4:$H$40)-SUMIFS('Final Calculation Sheet'!$H$4:$H$40,$AZ$5:$AZ$41,10),SUMIFS('Final Calculation Sheet'!$H$4:$H$40,$AZ$5:$AZ$41,$BH9))),""))</f>
        <v/>
      </c>
      <c r="J6">
        <f>IF($BJ9&gt;0,IF(INDEX('Final Calculation Sheet'!$I$4:$I$40,$BJ9-3)="","",INDEX('Final Calculation Sheet'!$I$4:$I$40,$BJ9-3)),IF(OR($BI9=1,$BL9=1,$BH9&gt;0),IF($BI9=1,SUM('Final Calculation Sheet'!$I$4:$I$40),IF($BL9=1,SUM('Final Calculation Sheet'!$I$4:$I$40)-SUMIFS('Final Calculation Sheet'!$I$4:$I$40,$AZ$5:$AZ$41,10),SUMIFS('Final Calculation Sheet'!$I$4:$I$40,$AZ$5:$AZ$41,$BH9))),""))</f>
        <v/>
      </c>
      <c r="K6">
        <f>IF($BJ9&gt;0,IF(INDEX('Final Calculation Sheet'!$J$4:$J$40,$BJ9-3)="","",INDEX('Final Calculation Sheet'!$J$4:$J$40,$BJ9-3)),IF(OR($BI9=1,$BL9=1,$BH9&gt;0),IF($BI9=1,SUM('Final Calculation Sheet'!$J$4:$J$40),IF($BL9=1,SUM('Final Calculation Sheet'!$J$4:$J$40)-SUMIFS('Final Calculation Sheet'!$J$4:$J$40,$AZ$5:$AZ$41,10),SUMIFS('Final Calculation Sheet'!$J$4:$J$40,$AZ$5:$AZ$41,$BH9))),""))</f>
        <v/>
      </c>
      <c r="L6">
        <f>IF($BJ9&gt;0,IF(INDEX('Final Calculation Sheet'!$K$4:$K$40,$BJ9-3)="","",INDEX('Final Calculation Sheet'!$K$4:$K$40,$BJ9-3)),IF(OR($BI9=1,$BL9=1,$BH9&gt;0),IF($BI9=1,SUM('Final Calculation Sheet'!$K$4:$K$40),IF($BL9=1,SUM('Final Calculation Sheet'!$K$4:$K$40)-SUMIFS('Final Calculation Sheet'!$K$4:$K$40,$AZ$5:$AZ$41,10),SUMIFS('Final Calculation Sheet'!$K$4:$K$40,$AZ$5:$AZ$41,$BH9))),""))</f>
        <v/>
      </c>
      <c r="M6">
        <f>IF($BJ9&gt;0,IF(INDEX('Final Calculation Sheet'!$L$4:$L$40,$BJ9-3)="","",INDEX('Final Calculation Sheet'!$L$4:$L$40,$BJ9-3)),IF(OR($BI9=1,$BL9=1,$BH9&gt;0),IF($BI9=1,SUM('Final Calculation Sheet'!$L$4:$L$40),IF($BL9=1,SUM('Final Calculation Sheet'!$L$4:$L$40)-SUMIFS('Final Calculation Sheet'!$L$4:$L$40,$AZ$5:$AZ$41,10),SUMIFS('Final Calculation Sheet'!$L$4:$L$40,$AZ$5:$AZ$41,$BH9))),""))</f>
        <v/>
      </c>
      <c r="N6">
        <f>IF($BJ9&gt;0,IF(INDEX('Final Calculation Sheet'!$M$4:$M$40,$BJ9-3)="","",INDEX('Final Calculation Sheet'!$M$4:$M$40,$BJ9-3)),IF(OR($BI9=1,$BL9=1,$BH9&gt;0),IF($BI9=1,SUM('Final Calculation Sheet'!$M$4:$M$40),IF($BL9=1,SUM('Final Calculation Sheet'!$M$4:$M$40)-SUMIFS('Final Calculation Sheet'!$M$4:$M$40,$AZ$5:$AZ$41,10),SUMIFS('Final Calculation Sheet'!$M$4:$M$40,$AZ$5:$AZ$41,$BH9))),""))</f>
        <v/>
      </c>
      <c r="O6">
        <f>IF($BJ9&gt;0,IF(INDEX('Final Calculation Sheet'!$N$4:$N$40,$BJ9-3)="","",INDEX('Final Calculation Sheet'!$N$4:$N$40,$BJ9-3)),IF(OR($BI9=1,$BL9=1,$BH9&gt;0),IF($BI9=1,SUM('Final Calculation Sheet'!$N$4:$N$40),IF($BL9=1,SUM('Final Calculation Sheet'!$N$4:$N$40)-SUMIFS('Final Calculation Sheet'!$N$4:$N$40,$AZ$5:$AZ$41,10),SUMIFS('Final Calculation Sheet'!$N$4:$N$40,$AZ$5:$AZ$41,$BH9))),""))</f>
        <v/>
      </c>
      <c r="P6">
        <f>IF($BJ9&gt;0,IF(INDEX('Final Calculation Sheet'!$O$4:$O$40,$BJ9-3)="","",INDEX('Final Calculation Sheet'!$O$4:$O$40,$BJ9-3)),IF(OR($BI9=1,$BL9=1,$BH9&gt;0),IF($BI9=1,SUM('Final Calculation Sheet'!$O$4:$O$40),IF($BL9=1,SUM('Final Calculation Sheet'!$O$4:$O$40)-SUMIFS('Final Calculation Sheet'!$O$4:$O$40,$AZ$5:$AZ$41,10),SUMIFS('Final Calculation Sheet'!$O$4:$O$40,$AZ$5:$AZ$41,$BH9))),""))</f>
        <v/>
      </c>
      <c r="Q6">
        <f>IF($BJ9&gt;0,IF(INDEX('Final Calculation Sheet'!$P$4:$P$40,$BJ9-3)="","",INDEX('Final Calculation Sheet'!$P$4:$P$40,$BJ9-3)),IF(OR($BI9=1,$BL9=1,$BH9&gt;0),IF($BI9=1,SUM('Final Calculation Sheet'!$P$4:$P$40),IF($BL9=1,SUM('Final Calculation Sheet'!$P$4:$P$40)-SUMIFS('Final Calculation Sheet'!$P$4:$P$40,$AZ$5:$AZ$41,10),SUMIFS('Final Calculation Sheet'!$P$4:$P$40,$AZ$5:$AZ$41,$BH9))),""))</f>
        <v/>
      </c>
      <c r="R6">
        <f>IF($BJ9&gt;0,IF(INDEX('Final Calculation Sheet'!$Q$4:$Q$40,$BJ9-3)="","",INDEX('Final Calculation Sheet'!$Q$4:$Q$40,$BJ9-3)),IF(OR($BI9=1,$BL9=1,$BH9&gt;0),"–",""))</f>
        <v/>
      </c>
      <c r="S6">
        <f>IF($BJ9&gt;0,IF(INDEX('Final Calculation Sheet'!$R$4:$R$40,$BJ9-3)="","",INDEX('Final Calculation Sheet'!$R$4:$R$40,$BJ9-3)),IF(OR($BI9=1,$BL9=1,$BH9&gt;0),IF($BI9=1,SUM('Final Calculation Sheet'!$R$4:$R$40),IF($BL9=1,SUM('Final Calculation Sheet'!$R$4:$R$40)-SUMIFS('Final Calculation Sheet'!$R$4:$R$40,$AZ$5:$AZ$41,10),SUMIFS('Final Calculation Sheet'!$R$4:$R$40,$AZ$5:$AZ$41,$BH9))),""))</f>
        <v/>
      </c>
      <c r="T6">
        <f>IF($BJ9&gt;0,IF(INDEX('Final Calculation Sheet'!$S$4:$S$40,$BJ9-3)="","",INDEX('Final Calculation Sheet'!$S$4:$S$40,$BJ9-3)),IF(OR($BI9=1,$BL9=1,$BH9&gt;0),IF($BI9=1,SUM('Final Calculation Sheet'!$S$4:$S$40),IF($BL9=1,SUM('Final Calculation Sheet'!$S$4:$S$40)-SUMIFS('Final Calculation Sheet'!$S$4:$S$40,$AZ$5:$AZ$41,10),SUMIFS('Final Calculation Sheet'!$S$4:$S$40,$AZ$5:$AZ$41,$BH9))),""))</f>
        <v/>
      </c>
      <c r="U6">
        <f>IF($BJ9&gt;0,IF(INDEX('Final Calculation Sheet'!$T$4:$T$40,$BJ9-3)="","",INDEX('Final Calculation Sheet'!$T$4:$T$40,$BJ9-3)),IF(OR($BI9=1,$BL9=1,$BH9&gt;0),IF($BI9=1,SUM('Final Calculation Sheet'!$T$4:$T$40),IF($BL9=1,SUM('Final Calculation Sheet'!$T$4:$T$40)-SUMIFS('Final Calculation Sheet'!$T$4:$T$40,$AZ$5:$AZ$41,10),SUMIFS('Final Calculation Sheet'!$T$4:$T$40,$AZ$5:$AZ$41,$BH9))),""))</f>
        <v/>
      </c>
      <c r="V6">
        <f>IF($BJ9&gt;0,IF(INDEX('Final Calculation Sheet'!$U$4:$U$40,$BJ9-3)="","",INDEX('Final Calculation Sheet'!$U$4:$U$40,$BJ9-3)),IF(OR($BI9=1,$BL9=1,$BH9&gt;0),IF($BI9=1,SUM('Final Calculation Sheet'!$U$4:$U$40),IF($BL9=1,SUM('Final Calculation Sheet'!$U$4:$U$40)-SUMIFS('Final Calculation Sheet'!$U$4:$U$40,$AZ$5:$AZ$41,10),SUMIFS('Final Calculation Sheet'!$U$4:$U$40,$AZ$5:$AZ$41,$BH9))),""))</f>
        <v/>
      </c>
      <c r="W6">
        <f>IF($BJ9&gt;0,IF(INDEX('Final Calculation Sheet'!$V$4:$V$40,$BJ9-3)="","",INDEX('Final Calculation Sheet'!$V$4:$V$40,$BJ9-3)),IF(OR($BI9=1,$BL9=1,$BH9&gt;0),"–",""))</f>
        <v/>
      </c>
      <c r="X6">
        <f>IF($BJ9&gt;0,IF(INDEX('Final Calculation Sheet'!$W$4:$W$40,$BJ9-3)="","",INDEX('Final Calculation Sheet'!$W$4:$W$40,$BJ9-3)),IF(OR($BI9=1,$BL9=1,$BH9&gt;0),IF($BI9=1,SUM('Final Calculation Sheet'!$W$4:$W$40),IF($BL9=1,SUM('Final Calculation Sheet'!$W$4:$W$40)-SUMIFS('Final Calculation Sheet'!$W$4:$W$40,$AZ$5:$AZ$41,10),SUMIFS('Final Calculation Sheet'!$W$4:$W$40,$AZ$5:$AZ$41,$BH9))),""))</f>
        <v/>
      </c>
      <c r="Y6">
        <f>IF($BJ9&gt;0,IF(INDEX('Final Calculation Sheet'!$X$4:$X$40,$BJ9-3)="","",INDEX('Final Calculation Sheet'!$X$4:$X$40,$BJ9-3)),IF(OR($BI9=1,$BL9=1,$BH9&gt;0),IF($BI9=1,SUM('Final Calculation Sheet'!$X$4:$X$40),IF($BL9=1,SUM('Final Calculation Sheet'!$X$4:$X$40)-SUMIFS('Final Calculation Sheet'!$X$4:$X$40,$AZ$5:$AZ$41,10),SUMIFS('Final Calculation Sheet'!$X$4:$X$40,$AZ$5:$AZ$41,$BH9))),""))</f>
        <v/>
      </c>
      <c r="Z6">
        <f>IF($BJ9&gt;0,IF(INDEX('Final Calculation Sheet'!$Y$4:$Y$40,$BJ9-3)="","",INDEX('Final Calculation Sheet'!$Y$4:$Y$40,$BJ9-3)),IF(OR($BI9=1,$BL9=1,$BH9&gt;0),"–",""))</f>
        <v/>
      </c>
      <c r="AA6">
        <f>IF($BJ9&gt;0,IF(INDEX('Final Calculation Sheet'!$Z$4:$Z$40,$BJ9-3)="","",INDEX('Final Calculation Sheet'!$Z$4:$Z$40,$BJ9-3)),IF(OR($BI9=1,$BL9=1,$BH9&gt;0),IF($BI9=1,SUM('Final Calculation Sheet'!$Z$4:$Z$40),IF($BL9=1,SUM('Final Calculation Sheet'!$Z$4:$Z$40)-SUMIFS('Final Calculation Sheet'!$Z$4:$Z$40,$AZ$5:$AZ$41,10),SUMIFS('Final Calculation Sheet'!$Z$4:$Z$40,$AZ$5:$AZ$41,$BH9))),""))</f>
        <v/>
      </c>
      <c r="AB6">
        <f>IF($BJ9&gt;0,IF(INDEX('Final Calculation Sheet'!$AA$4:$AA$40,$BJ9-3)="","",INDEX('Final Calculation Sheet'!$AA$4:$AA$40,$BJ9-3)),IF(OR($BI9=1,$BL9=1,$BH9&gt;0),IF($BI9=1,SUM('Final Calculation Sheet'!$AA$4:$AA$40),IF($BL9=1,SUM('Final Calculation Sheet'!$AA$4:$AA$40)-SUMIFS('Final Calculation Sheet'!$AA$4:$AA$40,$AZ$5:$AZ$41,10),SUMIFS('Final Calculation Sheet'!$AA$4:$AA$40,$AZ$5:$AZ$41,$BH9))),""))</f>
        <v/>
      </c>
      <c r="AC6">
        <f>IF($BJ9&gt;0,IF(INDEX('Final Calculation Sheet'!$AB$4:$AB$40,$BJ9-3)="","",INDEX('Final Calculation Sheet'!$AB$4:$AB$40,$BJ9-3)),IF(OR($BI9=1,$BL9=1,$BH9&gt;0),"–",""))</f>
        <v/>
      </c>
      <c r="AD6">
        <f>IF($BJ9&gt;0,IF(INDEX('Final Calculation Sheet'!$AC$4:$AC$40,$BJ9-3)="","",INDEX('Final Calculation Sheet'!$AC$4:$AC$40,$BJ9-3)),IF(OR($BI9=1,$BL9=1,$BH9&gt;0),IF($BI9=1,SUM('Final Calculation Sheet'!$AC$4:$AC$40),IF($BL9=1,SUM('Final Calculation Sheet'!$AC$4:$AC$40)-SUMIFS('Final Calculation Sheet'!$AC$4:$AC$40,$AZ$5:$AZ$41,10),SUMIFS('Final Calculation Sheet'!$AC$4:$AC$40,$AZ$5:$AZ$41,$BH9))),""))</f>
        <v/>
      </c>
      <c r="AE6">
        <f>IF($BJ9&gt;0,IF(INDEX('Final Calculation Sheet'!$AD$4:$AD$40,$BJ9-3)="","",INDEX('Final Calculation Sheet'!$AD$4:$AD$40,$BJ9-3)),IF(OR($BI9=1,$BL9=1,$BH9&gt;0),IF($BI9=1,SUM('Final Calculation Sheet'!$AD$4:$AD$40),IF($BL9=1,SUM('Final Calculation Sheet'!$AD$4:$AD$40)-SUMIFS('Final Calculation Sheet'!$AD$4:$AD$40,$AZ$5:$AZ$41,10),SUMIFS('Final Calculation Sheet'!$AD$4:$AD$40,$AZ$5:$AZ$41,$BH9))),""))</f>
        <v/>
      </c>
      <c r="AF6">
        <f>IF($BJ9&gt;0,IF(INDEX('Final Calculation Sheet'!$AF$4:$AF$40,$BJ9-3)="","",INDEX('Final Calculation Sheet'!$AF$4:$AF$40,$BJ9-3)),IF(OR($BI9=1,$BL9=1,$BH9&gt;0),"–",""))</f>
        <v/>
      </c>
      <c r="AG6">
        <f>IF($BJ9&gt;0,IF(INDEX('Final Calculation Sheet'!$AG$4:$AG$40,$BJ9-3)="","",INDEX('Final Calculation Sheet'!$AG$4:$AG$40,$BJ9-3)),IF(OR($BI9=1,$BL9=1,$BH9&gt;0),"–",""))</f>
        <v/>
      </c>
      <c r="AH6">
        <f>IF($BJ9&gt;0,IF(INDEX('Final Calculation Sheet'!$AH$4:$AH$40,$BJ9-3)="","",INDEX('Final Calculation Sheet'!$AH$4:$AH$40,$BJ9-3)),IF(OR($BI9=1,$BL9=1,$BH9&gt;0),"–",""))</f>
        <v/>
      </c>
      <c r="AI6">
        <f>IF($BJ9&gt;0,IF(INDEX('Final Calculation Sheet'!$AD$4:$AD$40,$BJ9-3)="","",IF(INDEX('Final Calculation Sheet'!$AD$4:$AD$40,$BJ9-3)&lt;=5,"SETTLED","OUTSTANDING")),IF(OR($BI9=1,$BL9=1,$BH9&gt;0),IF(IF($BI9=1,SUM('Final Calculation Sheet'!$AD$4:$AD$40),IF($BL9=1,SUM('Final Calculation Sheet'!$AD$4:$AD$40)-SUMIFS('Final Calculation Sheet'!$AD$4:$AD$40,$AZ$5:$AZ$41,10),SUMIFS('Final Calculation Sheet'!$AD$4:$AD$40,$AZ$5:$AZ$41,$BH9)))&lt;=5,"ALL SETTLED","OUTSTANDING"),""))</f>
        <v/>
      </c>
    </row>
    <row r="7">
      <c r="A7">
        <f>IF($BJ10&gt;0,INDEX($BA$5:$BA$41,MATCH(10,$BB$5:$BB$41,0)),IF(OR($BI10=1,$BL10=1,$BH10&gt;0),"∑",""))</f>
        <v/>
      </c>
      <c r="B7">
        <f>IF($BJ10&gt;0,IF(INDEX('Final Calculation Sheet'!$F$4:$F$40,$BJ10-3)="","",INDEX('Final Calculation Sheet'!$F$4:$F$40,$BJ10-3)),"")</f>
        <v/>
      </c>
      <c r="C7">
        <f>IF($BJ10&gt;0,IF(INDEX('Final Calculation Sheet'!$G$4:$G$40,$BJ10-3)="","",INDEX('Final Calculation Sheet'!$G$4:$G$40,$BJ10-3)),IF(OR($BI10=1,$BL10=1,$BH10&gt;0),IF($BI10=1,37,IF($BL10=1,37-INDEX($BD$4:$BD$13,10),INDEX($BD$4:$BD$13,$BH10)))&amp;" lot(s)",""))</f>
        <v/>
      </c>
      <c r="D7">
        <f>IF($BJ10&gt;0,IF(INDEX('Final Calculation Sheet'!$B$4:$B$40,$BJ10-3)="","",INDEX('Final Calculation Sheet'!$B$4:$B$40,$BJ10-3)),IF(OR($BI10=1,$BL10=1,$BH10&gt;0),IF($BI10=1,"GRAND TOTAL  —  matching + remaining",IF($BL10=1,"TOTAL MATCHED  —  every group together",IF($BH10=10,"REMAINING  —  did not match the search",IF($BH10=9,IF(COUNTIF($A$4:$AI$4,"&lt;&gt;")&gt;0,"FILTERED LOTS  —  column fields","ALL LOTS  —  nothing typed in the box"),"GROUP "&amp;$BH10&amp;" TOTAL  —  lots matching  "&amp;INDEX($AR$6:$AY$6,$BH10))))),""))</f>
        <v/>
      </c>
      <c r="E7">
        <f>IF($BJ10&gt;0,IF(INDEX('Final Calculation Sheet'!$D$4:$D$40,$BJ10-3)="","",INDEX('Final Calculation Sheet'!$D$4:$D$40,$BJ10-3)),IF(OR($BI10=1,$BL10=1,$BH10&gt;0),"–",""))</f>
        <v/>
      </c>
      <c r="F7">
        <f>IF($BJ10&gt;0,IF(INDEX('Final Calculation Sheet'!$A$4:$A$40,$BJ10-3)="","",INDEX('Final Calculation Sheet'!$A$4:$A$40,$BJ10-3)),IF(OR($BI10=1,$BL10=1,$BH10&gt;0),IF($BI10=1,SUM('Final Calculation Sheet'!$A$4:$A$40),IF($BL10=1,SUM('Final Calculation Sheet'!$A$4:$A$40)-SUMIFS('Final Calculation Sheet'!$A$4:$A$40,$AZ$5:$AZ$41,10),SUMIFS('Final Calculation Sheet'!$A$4:$A$40,$AZ$5:$AZ$41,$BH10))),""))</f>
        <v/>
      </c>
      <c r="G7">
        <f>IF($BJ10&gt;0,IF(INDEX('Final Calculation Sheet'!$E$4:$E$40,$BJ10-3)="","",INDEX('Final Calculation Sheet'!$E$4:$E$40,$BJ10-3)),IF(OR($BI10=1,$BL10=1,$BH10&gt;0),"–",""))</f>
        <v/>
      </c>
      <c r="H7">
        <f>IF($BJ10&gt;0,IF(INDEX('Final Calculation Sheet'!$C$4:$C$40,$BJ10-3)="","",INDEX('Final Calculation Sheet'!$C$4:$C$40,$BJ10-3)),IF(OR($BI10=1,$BL10=1,$BH10&gt;0),"–",""))</f>
        <v/>
      </c>
      <c r="I7">
        <f>IF($BJ10&gt;0,IF(INDEX('Final Calculation Sheet'!$H$4:$H$40,$BJ10-3)="","",INDEX('Final Calculation Sheet'!$H$4:$H$40,$BJ10-3)),IF(OR($BI10=1,$BL10=1,$BH10&gt;0),IF($BI10=1,SUM('Final Calculation Sheet'!$H$4:$H$40),IF($BL10=1,SUM('Final Calculation Sheet'!$H$4:$H$40)-SUMIFS('Final Calculation Sheet'!$H$4:$H$40,$AZ$5:$AZ$41,10),SUMIFS('Final Calculation Sheet'!$H$4:$H$40,$AZ$5:$AZ$41,$BH10))),""))</f>
        <v/>
      </c>
      <c r="J7">
        <f>IF($BJ10&gt;0,IF(INDEX('Final Calculation Sheet'!$I$4:$I$40,$BJ10-3)="","",INDEX('Final Calculation Sheet'!$I$4:$I$40,$BJ10-3)),IF(OR($BI10=1,$BL10=1,$BH10&gt;0),IF($BI10=1,SUM('Final Calculation Sheet'!$I$4:$I$40),IF($BL10=1,SUM('Final Calculation Sheet'!$I$4:$I$40)-SUMIFS('Final Calculation Sheet'!$I$4:$I$40,$AZ$5:$AZ$41,10),SUMIFS('Final Calculation Sheet'!$I$4:$I$40,$AZ$5:$AZ$41,$BH10))),""))</f>
        <v/>
      </c>
      <c r="K7">
        <f>IF($BJ10&gt;0,IF(INDEX('Final Calculation Sheet'!$J$4:$J$40,$BJ10-3)="","",INDEX('Final Calculation Sheet'!$J$4:$J$40,$BJ10-3)),IF(OR($BI10=1,$BL10=1,$BH10&gt;0),IF($BI10=1,SUM('Final Calculation Sheet'!$J$4:$J$40),IF($BL10=1,SUM('Final Calculation Sheet'!$J$4:$J$40)-SUMIFS('Final Calculation Sheet'!$J$4:$J$40,$AZ$5:$AZ$41,10),SUMIFS('Final Calculation Sheet'!$J$4:$J$40,$AZ$5:$AZ$41,$BH10))),""))</f>
        <v/>
      </c>
      <c r="L7">
        <f>IF($BJ10&gt;0,IF(INDEX('Final Calculation Sheet'!$K$4:$K$40,$BJ10-3)="","",INDEX('Final Calculation Sheet'!$K$4:$K$40,$BJ10-3)),IF(OR($BI10=1,$BL10=1,$BH10&gt;0),IF($BI10=1,SUM('Final Calculation Sheet'!$K$4:$K$40),IF($BL10=1,SUM('Final Calculation Sheet'!$K$4:$K$40)-SUMIFS('Final Calculation Sheet'!$K$4:$K$40,$AZ$5:$AZ$41,10),SUMIFS('Final Calculation Sheet'!$K$4:$K$40,$AZ$5:$AZ$41,$BH10))),""))</f>
        <v/>
      </c>
      <c r="M7">
        <f>IF($BJ10&gt;0,IF(INDEX('Final Calculation Sheet'!$L$4:$L$40,$BJ10-3)="","",INDEX('Final Calculation Sheet'!$L$4:$L$40,$BJ10-3)),IF(OR($BI10=1,$BL10=1,$BH10&gt;0),IF($BI10=1,SUM('Final Calculation Sheet'!$L$4:$L$40),IF($BL10=1,SUM('Final Calculation Sheet'!$L$4:$L$40)-SUMIFS('Final Calculation Sheet'!$L$4:$L$40,$AZ$5:$AZ$41,10),SUMIFS('Final Calculation Sheet'!$L$4:$L$40,$AZ$5:$AZ$41,$BH10))),""))</f>
        <v/>
      </c>
      <c r="N7">
        <f>IF($BJ10&gt;0,IF(INDEX('Final Calculation Sheet'!$M$4:$M$40,$BJ10-3)="","",INDEX('Final Calculation Sheet'!$M$4:$M$40,$BJ10-3)),IF(OR($BI10=1,$BL10=1,$BH10&gt;0),IF($BI10=1,SUM('Final Calculation Sheet'!$M$4:$M$40),IF($BL10=1,SUM('Final Calculation Sheet'!$M$4:$M$40)-SUMIFS('Final Calculation Sheet'!$M$4:$M$40,$AZ$5:$AZ$41,10),SUMIFS('Final Calculation Sheet'!$M$4:$M$40,$AZ$5:$AZ$41,$BH10))),""))</f>
        <v/>
      </c>
      <c r="O7">
        <f>IF($BJ10&gt;0,IF(INDEX('Final Calculation Sheet'!$N$4:$N$40,$BJ10-3)="","",INDEX('Final Calculation Sheet'!$N$4:$N$40,$BJ10-3)),IF(OR($BI10=1,$BL10=1,$BH10&gt;0),IF($BI10=1,SUM('Final Calculation Sheet'!$N$4:$N$40),IF($BL10=1,SUM('Final Calculation Sheet'!$N$4:$N$40)-SUMIFS('Final Calculation Sheet'!$N$4:$N$40,$AZ$5:$AZ$41,10),SUMIFS('Final Calculation Sheet'!$N$4:$N$40,$AZ$5:$AZ$41,$BH10))),""))</f>
        <v/>
      </c>
      <c r="P7">
        <f>IF($BJ10&gt;0,IF(INDEX('Final Calculation Sheet'!$O$4:$O$40,$BJ10-3)="","",INDEX('Final Calculation Sheet'!$O$4:$O$40,$BJ10-3)),IF(OR($BI10=1,$BL10=1,$BH10&gt;0),IF($BI10=1,SUM('Final Calculation Sheet'!$O$4:$O$40),IF($BL10=1,SUM('Final Calculation Sheet'!$O$4:$O$40)-SUMIFS('Final Calculation Sheet'!$O$4:$O$40,$AZ$5:$AZ$41,10),SUMIFS('Final Calculation Sheet'!$O$4:$O$40,$AZ$5:$AZ$41,$BH10))),""))</f>
        <v/>
      </c>
      <c r="Q7">
        <f>IF($BJ10&gt;0,IF(INDEX('Final Calculation Sheet'!$P$4:$P$40,$BJ10-3)="","",INDEX('Final Calculation Sheet'!$P$4:$P$40,$BJ10-3)),IF(OR($BI10=1,$BL10=1,$BH10&gt;0),IF($BI10=1,SUM('Final Calculation Sheet'!$P$4:$P$40),IF($BL10=1,SUM('Final Calculation Sheet'!$P$4:$P$40)-SUMIFS('Final Calculation Sheet'!$P$4:$P$40,$AZ$5:$AZ$41,10),SUMIFS('Final Calculation Sheet'!$P$4:$P$40,$AZ$5:$AZ$41,$BH10))),""))</f>
        <v/>
      </c>
      <c r="R7">
        <f>IF($BJ10&gt;0,IF(INDEX('Final Calculation Sheet'!$Q$4:$Q$40,$BJ10-3)="","",INDEX('Final Calculation Sheet'!$Q$4:$Q$40,$BJ10-3)),IF(OR($BI10=1,$BL10=1,$BH10&gt;0),"–",""))</f>
        <v/>
      </c>
      <c r="S7">
        <f>IF($BJ10&gt;0,IF(INDEX('Final Calculation Sheet'!$R$4:$R$40,$BJ10-3)="","",INDEX('Final Calculation Sheet'!$R$4:$R$40,$BJ10-3)),IF(OR($BI10=1,$BL10=1,$BH10&gt;0),IF($BI10=1,SUM('Final Calculation Sheet'!$R$4:$R$40),IF($BL10=1,SUM('Final Calculation Sheet'!$R$4:$R$40)-SUMIFS('Final Calculation Sheet'!$R$4:$R$40,$AZ$5:$AZ$41,10),SUMIFS('Final Calculation Sheet'!$R$4:$R$40,$AZ$5:$AZ$41,$BH10))),""))</f>
        <v/>
      </c>
      <c r="T7">
        <f>IF($BJ10&gt;0,IF(INDEX('Final Calculation Sheet'!$S$4:$S$40,$BJ10-3)="","",INDEX('Final Calculation Sheet'!$S$4:$S$40,$BJ10-3)),IF(OR($BI10=1,$BL10=1,$BH10&gt;0),IF($BI10=1,SUM('Final Calculation Sheet'!$S$4:$S$40),IF($BL10=1,SUM('Final Calculation Sheet'!$S$4:$S$40)-SUMIFS('Final Calculation Sheet'!$S$4:$S$40,$AZ$5:$AZ$41,10),SUMIFS('Final Calculation Sheet'!$S$4:$S$40,$AZ$5:$AZ$41,$BH10))),""))</f>
        <v/>
      </c>
      <c r="U7">
        <f>IF($BJ10&gt;0,IF(INDEX('Final Calculation Sheet'!$T$4:$T$40,$BJ10-3)="","",INDEX('Final Calculation Sheet'!$T$4:$T$40,$BJ10-3)),IF(OR($BI10=1,$BL10=1,$BH10&gt;0),IF($BI10=1,SUM('Final Calculation Sheet'!$T$4:$T$40),IF($BL10=1,SUM('Final Calculation Sheet'!$T$4:$T$40)-SUMIFS('Final Calculation Sheet'!$T$4:$T$40,$AZ$5:$AZ$41,10),SUMIFS('Final Calculation Sheet'!$T$4:$T$40,$AZ$5:$AZ$41,$BH10))),""))</f>
        <v/>
      </c>
      <c r="V7">
        <f>IF($BJ10&gt;0,IF(INDEX('Final Calculation Sheet'!$U$4:$U$40,$BJ10-3)="","",INDEX('Final Calculation Sheet'!$U$4:$U$40,$BJ10-3)),IF(OR($BI10=1,$BL10=1,$BH10&gt;0),IF($BI10=1,SUM('Final Calculation Sheet'!$U$4:$U$40),IF($BL10=1,SUM('Final Calculation Sheet'!$U$4:$U$40)-SUMIFS('Final Calculation Sheet'!$U$4:$U$40,$AZ$5:$AZ$41,10),SUMIFS('Final Calculation Sheet'!$U$4:$U$40,$AZ$5:$AZ$41,$BH10))),""))</f>
        <v/>
      </c>
      <c r="W7">
        <f>IF($BJ10&gt;0,IF(INDEX('Final Calculation Sheet'!$V$4:$V$40,$BJ10-3)="","",INDEX('Final Calculation Sheet'!$V$4:$V$40,$BJ10-3)),IF(OR($BI10=1,$BL10=1,$BH10&gt;0),"–",""))</f>
        <v/>
      </c>
      <c r="X7">
        <f>IF($BJ10&gt;0,IF(INDEX('Final Calculation Sheet'!$W$4:$W$40,$BJ10-3)="","",INDEX('Final Calculation Sheet'!$W$4:$W$40,$BJ10-3)),IF(OR($BI10=1,$BL10=1,$BH10&gt;0),IF($BI10=1,SUM('Final Calculation Sheet'!$W$4:$W$40),IF($BL10=1,SUM('Final Calculation Sheet'!$W$4:$W$40)-SUMIFS('Final Calculation Sheet'!$W$4:$W$40,$AZ$5:$AZ$41,10),SUMIFS('Final Calculation Sheet'!$W$4:$W$40,$AZ$5:$AZ$41,$BH10))),""))</f>
        <v/>
      </c>
      <c r="Y7">
        <f>IF($BJ10&gt;0,IF(INDEX('Final Calculation Sheet'!$X$4:$X$40,$BJ10-3)="","",INDEX('Final Calculation Sheet'!$X$4:$X$40,$BJ10-3)),IF(OR($BI10=1,$BL10=1,$BH10&gt;0),IF($BI10=1,SUM('Final Calculation Sheet'!$X$4:$X$40),IF($BL10=1,SUM('Final Calculation Sheet'!$X$4:$X$40)-SUMIFS('Final Calculation Sheet'!$X$4:$X$40,$AZ$5:$AZ$41,10),SUMIFS('Final Calculation Sheet'!$X$4:$X$40,$AZ$5:$AZ$41,$BH10))),""))</f>
        <v/>
      </c>
      <c r="Z7">
        <f>IF($BJ10&gt;0,IF(INDEX('Final Calculation Sheet'!$Y$4:$Y$40,$BJ10-3)="","",INDEX('Final Calculation Sheet'!$Y$4:$Y$40,$BJ10-3)),IF(OR($BI10=1,$BL10=1,$BH10&gt;0),"–",""))</f>
        <v/>
      </c>
      <c r="AA7">
        <f>IF($BJ10&gt;0,IF(INDEX('Final Calculation Sheet'!$Z$4:$Z$40,$BJ10-3)="","",INDEX('Final Calculation Sheet'!$Z$4:$Z$40,$BJ10-3)),IF(OR($BI10=1,$BL10=1,$BH10&gt;0),IF($BI10=1,SUM('Final Calculation Sheet'!$Z$4:$Z$40),IF($BL10=1,SUM('Final Calculation Sheet'!$Z$4:$Z$40)-SUMIFS('Final Calculation Sheet'!$Z$4:$Z$40,$AZ$5:$AZ$41,10),SUMIFS('Final Calculation Sheet'!$Z$4:$Z$40,$AZ$5:$AZ$41,$BH10))),""))</f>
        <v/>
      </c>
      <c r="AB7">
        <f>IF($BJ10&gt;0,IF(INDEX('Final Calculation Sheet'!$AA$4:$AA$40,$BJ10-3)="","",INDEX('Final Calculation Sheet'!$AA$4:$AA$40,$BJ10-3)),IF(OR($BI10=1,$BL10=1,$BH10&gt;0),IF($BI10=1,SUM('Final Calculation Sheet'!$AA$4:$AA$40),IF($BL10=1,SUM('Final Calculation Sheet'!$AA$4:$AA$40)-SUMIFS('Final Calculation Sheet'!$AA$4:$AA$40,$AZ$5:$AZ$41,10),SUMIFS('Final Calculation Sheet'!$AA$4:$AA$40,$AZ$5:$AZ$41,$BH10))),""))</f>
        <v/>
      </c>
      <c r="AC7">
        <f>IF($BJ10&gt;0,IF(INDEX('Final Calculation Sheet'!$AB$4:$AB$40,$BJ10-3)="","",INDEX('Final Calculation Sheet'!$AB$4:$AB$40,$BJ10-3)),IF(OR($BI10=1,$BL10=1,$BH10&gt;0),"–",""))</f>
        <v/>
      </c>
      <c r="AD7">
        <f>IF($BJ10&gt;0,IF(INDEX('Final Calculation Sheet'!$AC$4:$AC$40,$BJ10-3)="","",INDEX('Final Calculation Sheet'!$AC$4:$AC$40,$BJ10-3)),IF(OR($BI10=1,$BL10=1,$BH10&gt;0),IF($BI10=1,SUM('Final Calculation Sheet'!$AC$4:$AC$40),IF($BL10=1,SUM('Final Calculation Sheet'!$AC$4:$AC$40)-SUMIFS('Final Calculation Sheet'!$AC$4:$AC$40,$AZ$5:$AZ$41,10),SUMIFS('Final Calculation Sheet'!$AC$4:$AC$40,$AZ$5:$AZ$41,$BH10))),""))</f>
        <v/>
      </c>
      <c r="AE7">
        <f>IF($BJ10&gt;0,IF(INDEX('Final Calculation Sheet'!$AD$4:$AD$40,$BJ10-3)="","",INDEX('Final Calculation Sheet'!$AD$4:$AD$40,$BJ10-3)),IF(OR($BI10=1,$BL10=1,$BH10&gt;0),IF($BI10=1,SUM('Final Calculation Sheet'!$AD$4:$AD$40),IF($BL10=1,SUM('Final Calculation Sheet'!$AD$4:$AD$40)-SUMIFS('Final Calculation Sheet'!$AD$4:$AD$40,$AZ$5:$AZ$41,10),SUMIFS('Final Calculation Sheet'!$AD$4:$AD$40,$AZ$5:$AZ$41,$BH10))),""))</f>
        <v/>
      </c>
      <c r="AF7">
        <f>IF($BJ10&gt;0,IF(INDEX('Final Calculation Sheet'!$AF$4:$AF$40,$BJ10-3)="","",INDEX('Final Calculation Sheet'!$AF$4:$AF$40,$BJ10-3)),IF(OR($BI10=1,$BL10=1,$BH10&gt;0),"–",""))</f>
        <v/>
      </c>
      <c r="AG7">
        <f>IF($BJ10&gt;0,IF(INDEX('Final Calculation Sheet'!$AG$4:$AG$40,$BJ10-3)="","",INDEX('Final Calculation Sheet'!$AG$4:$AG$40,$BJ10-3)),IF(OR($BI10=1,$BL10=1,$BH10&gt;0),"–",""))</f>
        <v/>
      </c>
      <c r="AH7">
        <f>IF($BJ10&gt;0,IF(INDEX('Final Calculation Sheet'!$AH$4:$AH$40,$BJ10-3)="","",INDEX('Final Calculation Sheet'!$AH$4:$AH$40,$BJ10-3)),IF(OR($BI10=1,$BL10=1,$BH10&gt;0),"–",""))</f>
        <v/>
      </c>
      <c r="AI7">
        <f>IF($BJ10&gt;0,IF(INDEX('Final Calculation Sheet'!$AD$4:$AD$40,$BJ10-3)="","",IF(INDEX('Final Calculation Sheet'!$AD$4:$AD$40,$BJ10-3)&lt;=5,"SETTLED","OUTSTANDING")),IF(OR($BI10=1,$BL10=1,$BH10&gt;0),IF(IF($BI10=1,SUM('Final Calculation Sheet'!$AD$4:$AD$40),IF($BL10=1,SUM('Final Calculation Sheet'!$AD$4:$AD$40)-SUMIFS('Final Calculation Sheet'!$AD$4:$AD$40,$AZ$5:$AZ$41,10),SUMIFS('Final Calculation Sheet'!$AD$4:$AD$40,$AZ$5:$AZ$41,$BH10)))&lt;=5,"ALL SETTLED","OUTSTANDING"),""))</f>
        <v/>
      </c>
    </row>
    <row r="8">
      <c r="A8">
        <f>IF($BJ11&gt;0,INDEX($BA$5:$BA$41,MATCH(11,$BB$5:$BB$41,0)),IF(OR($BI11=1,$BL11=1,$BH11&gt;0),"∑",""))</f>
        <v/>
      </c>
      <c r="B8">
        <f>IF($BJ11&gt;0,IF(INDEX('Final Calculation Sheet'!$F$4:$F$40,$BJ11-3)="","",INDEX('Final Calculation Sheet'!$F$4:$F$40,$BJ11-3)),"")</f>
        <v/>
      </c>
      <c r="C8">
        <f>IF($BJ11&gt;0,IF(INDEX('Final Calculation Sheet'!$G$4:$G$40,$BJ11-3)="","",INDEX('Final Calculation Sheet'!$G$4:$G$40,$BJ11-3)),IF(OR($BI11=1,$BL11=1,$BH11&gt;0),IF($BI11=1,37,IF($BL11=1,37-INDEX($BD$4:$BD$13,10),INDEX($BD$4:$BD$13,$BH11)))&amp;" lot(s)",""))</f>
        <v/>
      </c>
      <c r="D8">
        <f>IF($BJ11&gt;0,IF(INDEX('Final Calculation Sheet'!$B$4:$B$40,$BJ11-3)="","",INDEX('Final Calculation Sheet'!$B$4:$B$40,$BJ11-3)),IF(OR($BI11=1,$BL11=1,$BH11&gt;0),IF($BI11=1,"GRAND TOTAL  —  matching + remaining",IF($BL11=1,"TOTAL MATCHED  —  every group together",IF($BH11=10,"REMAINING  —  did not match the search",IF($BH11=9,IF(COUNTIF($A$4:$AI$4,"&lt;&gt;")&gt;0,"FILTERED LOTS  —  column fields","ALL LOTS  —  nothing typed in the box"),"GROUP "&amp;$BH11&amp;" TOTAL  —  lots matching  "&amp;INDEX($AR$6:$AY$6,$BH11))))),""))</f>
        <v/>
      </c>
      <c r="E8">
        <f>IF($BJ11&gt;0,IF(INDEX('Final Calculation Sheet'!$D$4:$D$40,$BJ11-3)="","",INDEX('Final Calculation Sheet'!$D$4:$D$40,$BJ11-3)),IF(OR($BI11=1,$BL11=1,$BH11&gt;0),"–",""))</f>
        <v/>
      </c>
      <c r="F8">
        <f>IF($BJ11&gt;0,IF(INDEX('Final Calculation Sheet'!$A$4:$A$40,$BJ11-3)="","",INDEX('Final Calculation Sheet'!$A$4:$A$40,$BJ11-3)),IF(OR($BI11=1,$BL11=1,$BH11&gt;0),IF($BI11=1,SUM('Final Calculation Sheet'!$A$4:$A$40),IF($BL11=1,SUM('Final Calculation Sheet'!$A$4:$A$40)-SUMIFS('Final Calculation Sheet'!$A$4:$A$40,$AZ$5:$AZ$41,10),SUMIFS('Final Calculation Sheet'!$A$4:$A$40,$AZ$5:$AZ$41,$BH11))),""))</f>
        <v/>
      </c>
      <c r="G8">
        <f>IF($BJ11&gt;0,IF(INDEX('Final Calculation Sheet'!$E$4:$E$40,$BJ11-3)="","",INDEX('Final Calculation Sheet'!$E$4:$E$40,$BJ11-3)),IF(OR($BI11=1,$BL11=1,$BH11&gt;0),"–",""))</f>
        <v/>
      </c>
      <c r="H8">
        <f>IF($BJ11&gt;0,IF(INDEX('Final Calculation Sheet'!$C$4:$C$40,$BJ11-3)="","",INDEX('Final Calculation Sheet'!$C$4:$C$40,$BJ11-3)),IF(OR($BI11=1,$BL11=1,$BH11&gt;0),"–",""))</f>
        <v/>
      </c>
      <c r="I8">
        <f>IF($BJ11&gt;0,IF(INDEX('Final Calculation Sheet'!$H$4:$H$40,$BJ11-3)="","",INDEX('Final Calculation Sheet'!$H$4:$H$40,$BJ11-3)),IF(OR($BI11=1,$BL11=1,$BH11&gt;0),IF($BI11=1,SUM('Final Calculation Sheet'!$H$4:$H$40),IF($BL11=1,SUM('Final Calculation Sheet'!$H$4:$H$40)-SUMIFS('Final Calculation Sheet'!$H$4:$H$40,$AZ$5:$AZ$41,10),SUMIFS('Final Calculation Sheet'!$H$4:$H$40,$AZ$5:$AZ$41,$BH11))),""))</f>
        <v/>
      </c>
      <c r="J8">
        <f>IF($BJ11&gt;0,IF(INDEX('Final Calculation Sheet'!$I$4:$I$40,$BJ11-3)="","",INDEX('Final Calculation Sheet'!$I$4:$I$40,$BJ11-3)),IF(OR($BI11=1,$BL11=1,$BH11&gt;0),IF($BI11=1,SUM('Final Calculation Sheet'!$I$4:$I$40),IF($BL11=1,SUM('Final Calculation Sheet'!$I$4:$I$40)-SUMIFS('Final Calculation Sheet'!$I$4:$I$40,$AZ$5:$AZ$41,10),SUMIFS('Final Calculation Sheet'!$I$4:$I$40,$AZ$5:$AZ$41,$BH11))),""))</f>
        <v/>
      </c>
      <c r="K8">
        <f>IF($BJ11&gt;0,IF(INDEX('Final Calculation Sheet'!$J$4:$J$40,$BJ11-3)="","",INDEX('Final Calculation Sheet'!$J$4:$J$40,$BJ11-3)),IF(OR($BI11=1,$BL11=1,$BH11&gt;0),IF($BI11=1,SUM('Final Calculation Sheet'!$J$4:$J$40),IF($BL11=1,SUM('Final Calculation Sheet'!$J$4:$J$40)-SUMIFS('Final Calculation Sheet'!$J$4:$J$40,$AZ$5:$AZ$41,10),SUMIFS('Final Calculation Sheet'!$J$4:$J$40,$AZ$5:$AZ$41,$BH11))),""))</f>
        <v/>
      </c>
      <c r="L8">
        <f>IF($BJ11&gt;0,IF(INDEX('Final Calculation Sheet'!$K$4:$K$40,$BJ11-3)="","",INDEX('Final Calculation Sheet'!$K$4:$K$40,$BJ11-3)),IF(OR($BI11=1,$BL11=1,$BH11&gt;0),IF($BI11=1,SUM('Final Calculation Sheet'!$K$4:$K$40),IF($BL11=1,SUM('Final Calculation Sheet'!$K$4:$K$40)-SUMIFS('Final Calculation Sheet'!$K$4:$K$40,$AZ$5:$AZ$41,10),SUMIFS('Final Calculation Sheet'!$K$4:$K$40,$AZ$5:$AZ$41,$BH11))),""))</f>
        <v/>
      </c>
      <c r="M8">
        <f>IF($BJ11&gt;0,IF(INDEX('Final Calculation Sheet'!$L$4:$L$40,$BJ11-3)="","",INDEX('Final Calculation Sheet'!$L$4:$L$40,$BJ11-3)),IF(OR($BI11=1,$BL11=1,$BH11&gt;0),IF($BI11=1,SUM('Final Calculation Sheet'!$L$4:$L$40),IF($BL11=1,SUM('Final Calculation Sheet'!$L$4:$L$40)-SUMIFS('Final Calculation Sheet'!$L$4:$L$40,$AZ$5:$AZ$41,10),SUMIFS('Final Calculation Sheet'!$L$4:$L$40,$AZ$5:$AZ$41,$BH11))),""))</f>
        <v/>
      </c>
      <c r="N8">
        <f>IF($BJ11&gt;0,IF(INDEX('Final Calculation Sheet'!$M$4:$M$40,$BJ11-3)="","",INDEX('Final Calculation Sheet'!$M$4:$M$40,$BJ11-3)),IF(OR($BI11=1,$BL11=1,$BH11&gt;0),IF($BI11=1,SUM('Final Calculation Sheet'!$M$4:$M$40),IF($BL11=1,SUM('Final Calculation Sheet'!$M$4:$M$40)-SUMIFS('Final Calculation Sheet'!$M$4:$M$40,$AZ$5:$AZ$41,10),SUMIFS('Final Calculation Sheet'!$M$4:$M$40,$AZ$5:$AZ$41,$BH11))),""))</f>
        <v/>
      </c>
      <c r="O8">
        <f>IF($BJ11&gt;0,IF(INDEX('Final Calculation Sheet'!$N$4:$N$40,$BJ11-3)="","",INDEX('Final Calculation Sheet'!$N$4:$N$40,$BJ11-3)),IF(OR($BI11=1,$BL11=1,$BH11&gt;0),IF($BI11=1,SUM('Final Calculation Sheet'!$N$4:$N$40),IF($BL11=1,SUM('Final Calculation Sheet'!$N$4:$N$40)-SUMIFS('Final Calculation Sheet'!$N$4:$N$40,$AZ$5:$AZ$41,10),SUMIFS('Final Calculation Sheet'!$N$4:$N$40,$AZ$5:$AZ$41,$BH11))),""))</f>
        <v/>
      </c>
      <c r="P8">
        <f>IF($BJ11&gt;0,IF(INDEX('Final Calculation Sheet'!$O$4:$O$40,$BJ11-3)="","",INDEX('Final Calculation Sheet'!$O$4:$O$40,$BJ11-3)),IF(OR($BI11=1,$BL11=1,$BH11&gt;0),IF($BI11=1,SUM('Final Calculation Sheet'!$O$4:$O$40),IF($BL11=1,SUM('Final Calculation Sheet'!$O$4:$O$40)-SUMIFS('Final Calculation Sheet'!$O$4:$O$40,$AZ$5:$AZ$41,10),SUMIFS('Final Calculation Sheet'!$O$4:$O$40,$AZ$5:$AZ$41,$BH11))),""))</f>
        <v/>
      </c>
      <c r="Q8">
        <f>IF($BJ11&gt;0,IF(INDEX('Final Calculation Sheet'!$P$4:$P$40,$BJ11-3)="","",INDEX('Final Calculation Sheet'!$P$4:$P$40,$BJ11-3)),IF(OR($BI11=1,$BL11=1,$BH11&gt;0),IF($BI11=1,SUM('Final Calculation Sheet'!$P$4:$P$40),IF($BL11=1,SUM('Final Calculation Sheet'!$P$4:$P$40)-SUMIFS('Final Calculation Sheet'!$P$4:$P$40,$AZ$5:$AZ$41,10),SUMIFS('Final Calculation Sheet'!$P$4:$P$40,$AZ$5:$AZ$41,$BH11))),""))</f>
        <v/>
      </c>
      <c r="R8">
        <f>IF($BJ11&gt;0,IF(INDEX('Final Calculation Sheet'!$Q$4:$Q$40,$BJ11-3)="","",INDEX('Final Calculation Sheet'!$Q$4:$Q$40,$BJ11-3)),IF(OR($BI11=1,$BL11=1,$BH11&gt;0),"–",""))</f>
        <v/>
      </c>
      <c r="S8">
        <f>IF($BJ11&gt;0,IF(INDEX('Final Calculation Sheet'!$R$4:$R$40,$BJ11-3)="","",INDEX('Final Calculation Sheet'!$R$4:$R$40,$BJ11-3)),IF(OR($BI11=1,$BL11=1,$BH11&gt;0),IF($BI11=1,SUM('Final Calculation Sheet'!$R$4:$R$40),IF($BL11=1,SUM('Final Calculation Sheet'!$R$4:$R$40)-SUMIFS('Final Calculation Sheet'!$R$4:$R$40,$AZ$5:$AZ$41,10),SUMIFS('Final Calculation Sheet'!$R$4:$R$40,$AZ$5:$AZ$41,$BH11))),""))</f>
        <v/>
      </c>
      <c r="T8">
        <f>IF($BJ11&gt;0,IF(INDEX('Final Calculation Sheet'!$S$4:$S$40,$BJ11-3)="","",INDEX('Final Calculation Sheet'!$S$4:$S$40,$BJ11-3)),IF(OR($BI11=1,$BL11=1,$BH11&gt;0),IF($BI11=1,SUM('Final Calculation Sheet'!$S$4:$S$40),IF($BL11=1,SUM('Final Calculation Sheet'!$S$4:$S$40)-SUMIFS('Final Calculation Sheet'!$S$4:$S$40,$AZ$5:$AZ$41,10),SUMIFS('Final Calculation Sheet'!$S$4:$S$40,$AZ$5:$AZ$41,$BH11))),""))</f>
        <v/>
      </c>
      <c r="U8">
        <f>IF($BJ11&gt;0,IF(INDEX('Final Calculation Sheet'!$T$4:$T$40,$BJ11-3)="","",INDEX('Final Calculation Sheet'!$T$4:$T$40,$BJ11-3)),IF(OR($BI11=1,$BL11=1,$BH11&gt;0),IF($BI11=1,SUM('Final Calculation Sheet'!$T$4:$T$40),IF($BL11=1,SUM('Final Calculation Sheet'!$T$4:$T$40)-SUMIFS('Final Calculation Sheet'!$T$4:$T$40,$AZ$5:$AZ$41,10),SUMIFS('Final Calculation Sheet'!$T$4:$T$40,$AZ$5:$AZ$41,$BH11))),""))</f>
        <v/>
      </c>
      <c r="V8">
        <f>IF($BJ11&gt;0,IF(INDEX('Final Calculation Sheet'!$U$4:$U$40,$BJ11-3)="","",INDEX('Final Calculation Sheet'!$U$4:$U$40,$BJ11-3)),IF(OR($BI11=1,$BL11=1,$BH11&gt;0),IF($BI11=1,SUM('Final Calculation Sheet'!$U$4:$U$40),IF($BL11=1,SUM('Final Calculation Sheet'!$U$4:$U$40)-SUMIFS('Final Calculation Sheet'!$U$4:$U$40,$AZ$5:$AZ$41,10),SUMIFS('Final Calculation Sheet'!$U$4:$U$40,$AZ$5:$AZ$41,$BH11))),""))</f>
        <v/>
      </c>
      <c r="W8">
        <f>IF($BJ11&gt;0,IF(INDEX('Final Calculation Sheet'!$V$4:$V$40,$BJ11-3)="","",INDEX('Final Calculation Sheet'!$V$4:$V$40,$BJ11-3)),IF(OR($BI11=1,$BL11=1,$BH11&gt;0),"–",""))</f>
        <v/>
      </c>
      <c r="X8">
        <f>IF($BJ11&gt;0,IF(INDEX('Final Calculation Sheet'!$W$4:$W$40,$BJ11-3)="","",INDEX('Final Calculation Sheet'!$W$4:$W$40,$BJ11-3)),IF(OR($BI11=1,$BL11=1,$BH11&gt;0),IF($BI11=1,SUM('Final Calculation Sheet'!$W$4:$W$40),IF($BL11=1,SUM('Final Calculation Sheet'!$W$4:$W$40)-SUMIFS('Final Calculation Sheet'!$W$4:$W$40,$AZ$5:$AZ$41,10),SUMIFS('Final Calculation Sheet'!$W$4:$W$40,$AZ$5:$AZ$41,$BH11))),""))</f>
        <v/>
      </c>
      <c r="Y8">
        <f>IF($BJ11&gt;0,IF(INDEX('Final Calculation Sheet'!$X$4:$X$40,$BJ11-3)="","",INDEX('Final Calculation Sheet'!$X$4:$X$40,$BJ11-3)),IF(OR($BI11=1,$BL11=1,$BH11&gt;0),IF($BI11=1,SUM('Final Calculation Sheet'!$X$4:$X$40),IF($BL11=1,SUM('Final Calculation Sheet'!$X$4:$X$40)-SUMIFS('Final Calculation Sheet'!$X$4:$X$40,$AZ$5:$AZ$41,10),SUMIFS('Final Calculation Sheet'!$X$4:$X$40,$AZ$5:$AZ$41,$BH11))),""))</f>
        <v/>
      </c>
      <c r="Z8">
        <f>IF($BJ11&gt;0,IF(INDEX('Final Calculation Sheet'!$Y$4:$Y$40,$BJ11-3)="","",INDEX('Final Calculation Sheet'!$Y$4:$Y$40,$BJ11-3)),IF(OR($BI11=1,$BL11=1,$BH11&gt;0),"–",""))</f>
        <v/>
      </c>
      <c r="AA8">
        <f>IF($BJ11&gt;0,IF(INDEX('Final Calculation Sheet'!$Z$4:$Z$40,$BJ11-3)="","",INDEX('Final Calculation Sheet'!$Z$4:$Z$40,$BJ11-3)),IF(OR($BI11=1,$BL11=1,$BH11&gt;0),IF($BI11=1,SUM('Final Calculation Sheet'!$Z$4:$Z$40),IF($BL11=1,SUM('Final Calculation Sheet'!$Z$4:$Z$40)-SUMIFS('Final Calculation Sheet'!$Z$4:$Z$40,$AZ$5:$AZ$41,10),SUMIFS('Final Calculation Sheet'!$Z$4:$Z$40,$AZ$5:$AZ$41,$BH11))),""))</f>
        <v/>
      </c>
      <c r="AB8">
        <f>IF($BJ11&gt;0,IF(INDEX('Final Calculation Sheet'!$AA$4:$AA$40,$BJ11-3)="","",INDEX('Final Calculation Sheet'!$AA$4:$AA$40,$BJ11-3)),IF(OR($BI11=1,$BL11=1,$BH11&gt;0),IF($BI11=1,SUM('Final Calculation Sheet'!$AA$4:$AA$40),IF($BL11=1,SUM('Final Calculation Sheet'!$AA$4:$AA$40)-SUMIFS('Final Calculation Sheet'!$AA$4:$AA$40,$AZ$5:$AZ$41,10),SUMIFS('Final Calculation Sheet'!$AA$4:$AA$40,$AZ$5:$AZ$41,$BH11))),""))</f>
        <v/>
      </c>
      <c r="AC8">
        <f>IF($BJ11&gt;0,IF(INDEX('Final Calculation Sheet'!$AB$4:$AB$40,$BJ11-3)="","",INDEX('Final Calculation Sheet'!$AB$4:$AB$40,$BJ11-3)),IF(OR($BI11=1,$BL11=1,$BH11&gt;0),"–",""))</f>
        <v/>
      </c>
      <c r="AD8">
        <f>IF($BJ11&gt;0,IF(INDEX('Final Calculation Sheet'!$AC$4:$AC$40,$BJ11-3)="","",INDEX('Final Calculation Sheet'!$AC$4:$AC$40,$BJ11-3)),IF(OR($BI11=1,$BL11=1,$BH11&gt;0),IF($BI11=1,SUM('Final Calculation Sheet'!$AC$4:$AC$40),IF($BL11=1,SUM('Final Calculation Sheet'!$AC$4:$AC$40)-SUMIFS('Final Calculation Sheet'!$AC$4:$AC$40,$AZ$5:$AZ$41,10),SUMIFS('Final Calculation Sheet'!$AC$4:$AC$40,$AZ$5:$AZ$41,$BH11))),""))</f>
        <v/>
      </c>
      <c r="AE8">
        <f>IF($BJ11&gt;0,IF(INDEX('Final Calculation Sheet'!$AD$4:$AD$40,$BJ11-3)="","",INDEX('Final Calculation Sheet'!$AD$4:$AD$40,$BJ11-3)),IF(OR($BI11=1,$BL11=1,$BH11&gt;0),IF($BI11=1,SUM('Final Calculation Sheet'!$AD$4:$AD$40),IF($BL11=1,SUM('Final Calculation Sheet'!$AD$4:$AD$40)-SUMIFS('Final Calculation Sheet'!$AD$4:$AD$40,$AZ$5:$AZ$41,10),SUMIFS('Final Calculation Sheet'!$AD$4:$AD$40,$AZ$5:$AZ$41,$BH11))),""))</f>
        <v/>
      </c>
      <c r="AF8">
        <f>IF($BJ11&gt;0,IF(INDEX('Final Calculation Sheet'!$AF$4:$AF$40,$BJ11-3)="","",INDEX('Final Calculation Sheet'!$AF$4:$AF$40,$BJ11-3)),IF(OR($BI11=1,$BL11=1,$BH11&gt;0),"–",""))</f>
        <v/>
      </c>
      <c r="AG8">
        <f>IF($BJ11&gt;0,IF(INDEX('Final Calculation Sheet'!$AG$4:$AG$40,$BJ11-3)="","",INDEX('Final Calculation Sheet'!$AG$4:$AG$40,$BJ11-3)),IF(OR($BI11=1,$BL11=1,$BH11&gt;0),"–",""))</f>
        <v/>
      </c>
      <c r="AH8">
        <f>IF($BJ11&gt;0,IF(INDEX('Final Calculation Sheet'!$AH$4:$AH$40,$BJ11-3)="","",INDEX('Final Calculation Sheet'!$AH$4:$AH$40,$BJ11-3)),IF(OR($BI11=1,$BL11=1,$BH11&gt;0),"–",""))</f>
        <v/>
      </c>
      <c r="AI8">
        <f>IF($BJ11&gt;0,IF(INDEX('Final Calculation Sheet'!$AD$4:$AD$40,$BJ11-3)="","",IF(INDEX('Final Calculation Sheet'!$AD$4:$AD$40,$BJ11-3)&lt;=5,"SETTLED","OUTSTANDING")),IF(OR($BI11=1,$BL11=1,$BH11&gt;0),IF(IF($BI11=1,SUM('Final Calculation Sheet'!$AD$4:$AD$40),IF($BL11=1,SUM('Final Calculation Sheet'!$AD$4:$AD$40)-SUMIFS('Final Calculation Sheet'!$AD$4:$AD$40,$AZ$5:$AZ$41,10),SUMIFS('Final Calculation Sheet'!$AD$4:$AD$40,$AZ$5:$AZ$41,$BH11)))&lt;=5,"ALL SETTLED","OUTSTANDING"),""))</f>
        <v/>
      </c>
    </row>
    <row r="9">
      <c r="A9">
        <f>IF($BJ12&gt;0,INDEX($BA$5:$BA$41,MATCH(12,$BB$5:$BB$41,0)),IF(OR($BI12=1,$BL12=1,$BH12&gt;0),"∑",""))</f>
        <v/>
      </c>
      <c r="B9">
        <f>IF($BJ12&gt;0,IF(INDEX('Final Calculation Sheet'!$F$4:$F$40,$BJ12-3)="","",INDEX('Final Calculation Sheet'!$F$4:$F$40,$BJ12-3)),"")</f>
        <v/>
      </c>
      <c r="C9">
        <f>IF($BJ12&gt;0,IF(INDEX('Final Calculation Sheet'!$G$4:$G$40,$BJ12-3)="","",INDEX('Final Calculation Sheet'!$G$4:$G$40,$BJ12-3)),IF(OR($BI12=1,$BL12=1,$BH12&gt;0),IF($BI12=1,37,IF($BL12=1,37-INDEX($BD$4:$BD$13,10),INDEX($BD$4:$BD$13,$BH12)))&amp;" lot(s)",""))</f>
        <v/>
      </c>
      <c r="D9">
        <f>IF($BJ12&gt;0,IF(INDEX('Final Calculation Sheet'!$B$4:$B$40,$BJ12-3)="","",INDEX('Final Calculation Sheet'!$B$4:$B$40,$BJ12-3)),IF(OR($BI12=1,$BL12=1,$BH12&gt;0),IF($BI12=1,"GRAND TOTAL  —  matching + remaining",IF($BL12=1,"TOTAL MATCHED  —  every group together",IF($BH12=10,"REMAINING  —  did not match the search",IF($BH12=9,IF(COUNTIF($A$4:$AI$4,"&lt;&gt;")&gt;0,"FILTERED LOTS  —  column fields","ALL LOTS  —  nothing typed in the box"),"GROUP "&amp;$BH12&amp;" TOTAL  —  lots matching  "&amp;INDEX($AR$6:$AY$6,$BH12))))),""))</f>
        <v/>
      </c>
      <c r="E9">
        <f>IF($BJ12&gt;0,IF(INDEX('Final Calculation Sheet'!$D$4:$D$40,$BJ12-3)="","",INDEX('Final Calculation Sheet'!$D$4:$D$40,$BJ12-3)),IF(OR($BI12=1,$BL12=1,$BH12&gt;0),"–",""))</f>
        <v/>
      </c>
      <c r="F9">
        <f>IF($BJ12&gt;0,IF(INDEX('Final Calculation Sheet'!$A$4:$A$40,$BJ12-3)="","",INDEX('Final Calculation Sheet'!$A$4:$A$40,$BJ12-3)),IF(OR($BI12=1,$BL12=1,$BH12&gt;0),IF($BI12=1,SUM('Final Calculation Sheet'!$A$4:$A$40),IF($BL12=1,SUM('Final Calculation Sheet'!$A$4:$A$40)-SUMIFS('Final Calculation Sheet'!$A$4:$A$40,$AZ$5:$AZ$41,10),SUMIFS('Final Calculation Sheet'!$A$4:$A$40,$AZ$5:$AZ$41,$BH12))),""))</f>
        <v/>
      </c>
      <c r="G9">
        <f>IF($BJ12&gt;0,IF(INDEX('Final Calculation Sheet'!$E$4:$E$40,$BJ12-3)="","",INDEX('Final Calculation Sheet'!$E$4:$E$40,$BJ12-3)),IF(OR($BI12=1,$BL12=1,$BH12&gt;0),"–",""))</f>
        <v/>
      </c>
      <c r="H9">
        <f>IF($BJ12&gt;0,IF(INDEX('Final Calculation Sheet'!$C$4:$C$40,$BJ12-3)="","",INDEX('Final Calculation Sheet'!$C$4:$C$40,$BJ12-3)),IF(OR($BI12=1,$BL12=1,$BH12&gt;0),"–",""))</f>
        <v/>
      </c>
      <c r="I9">
        <f>IF($BJ12&gt;0,IF(INDEX('Final Calculation Sheet'!$H$4:$H$40,$BJ12-3)="","",INDEX('Final Calculation Sheet'!$H$4:$H$40,$BJ12-3)),IF(OR($BI12=1,$BL12=1,$BH12&gt;0),IF($BI12=1,SUM('Final Calculation Sheet'!$H$4:$H$40),IF($BL12=1,SUM('Final Calculation Sheet'!$H$4:$H$40)-SUMIFS('Final Calculation Sheet'!$H$4:$H$40,$AZ$5:$AZ$41,10),SUMIFS('Final Calculation Sheet'!$H$4:$H$40,$AZ$5:$AZ$41,$BH12))),""))</f>
        <v/>
      </c>
      <c r="J9">
        <f>IF($BJ12&gt;0,IF(INDEX('Final Calculation Sheet'!$I$4:$I$40,$BJ12-3)="","",INDEX('Final Calculation Sheet'!$I$4:$I$40,$BJ12-3)),IF(OR($BI12=1,$BL12=1,$BH12&gt;0),IF($BI12=1,SUM('Final Calculation Sheet'!$I$4:$I$40),IF($BL12=1,SUM('Final Calculation Sheet'!$I$4:$I$40)-SUMIFS('Final Calculation Sheet'!$I$4:$I$40,$AZ$5:$AZ$41,10),SUMIFS('Final Calculation Sheet'!$I$4:$I$40,$AZ$5:$AZ$41,$BH12))),""))</f>
        <v/>
      </c>
      <c r="K9">
        <f>IF($BJ12&gt;0,IF(INDEX('Final Calculation Sheet'!$J$4:$J$40,$BJ12-3)="","",INDEX('Final Calculation Sheet'!$J$4:$J$40,$BJ12-3)),IF(OR($BI12=1,$BL12=1,$BH12&gt;0),IF($BI12=1,SUM('Final Calculation Sheet'!$J$4:$J$40),IF($BL12=1,SUM('Final Calculation Sheet'!$J$4:$J$40)-SUMIFS('Final Calculation Sheet'!$J$4:$J$40,$AZ$5:$AZ$41,10),SUMIFS('Final Calculation Sheet'!$J$4:$J$40,$AZ$5:$AZ$41,$BH12))),""))</f>
        <v/>
      </c>
      <c r="L9">
        <f>IF($BJ12&gt;0,IF(INDEX('Final Calculation Sheet'!$K$4:$K$40,$BJ12-3)="","",INDEX('Final Calculation Sheet'!$K$4:$K$40,$BJ12-3)),IF(OR($BI12=1,$BL12=1,$BH12&gt;0),IF($BI12=1,SUM('Final Calculation Sheet'!$K$4:$K$40),IF($BL12=1,SUM('Final Calculation Sheet'!$K$4:$K$40)-SUMIFS('Final Calculation Sheet'!$K$4:$K$40,$AZ$5:$AZ$41,10),SUMIFS('Final Calculation Sheet'!$K$4:$K$40,$AZ$5:$AZ$41,$BH12))),""))</f>
        <v/>
      </c>
      <c r="M9">
        <f>IF($BJ12&gt;0,IF(INDEX('Final Calculation Sheet'!$L$4:$L$40,$BJ12-3)="","",INDEX('Final Calculation Sheet'!$L$4:$L$40,$BJ12-3)),IF(OR($BI12=1,$BL12=1,$BH12&gt;0),IF($BI12=1,SUM('Final Calculation Sheet'!$L$4:$L$40),IF($BL12=1,SUM('Final Calculation Sheet'!$L$4:$L$40)-SUMIFS('Final Calculation Sheet'!$L$4:$L$40,$AZ$5:$AZ$41,10),SUMIFS('Final Calculation Sheet'!$L$4:$L$40,$AZ$5:$AZ$41,$BH12))),""))</f>
        <v/>
      </c>
      <c r="N9">
        <f>IF($BJ12&gt;0,IF(INDEX('Final Calculation Sheet'!$M$4:$M$40,$BJ12-3)="","",INDEX('Final Calculation Sheet'!$M$4:$M$40,$BJ12-3)),IF(OR($BI12=1,$BL12=1,$BH12&gt;0),IF($BI12=1,SUM('Final Calculation Sheet'!$M$4:$M$40),IF($BL12=1,SUM('Final Calculation Sheet'!$M$4:$M$40)-SUMIFS('Final Calculation Sheet'!$M$4:$M$40,$AZ$5:$AZ$41,10),SUMIFS('Final Calculation Sheet'!$M$4:$M$40,$AZ$5:$AZ$41,$BH12))),""))</f>
        <v/>
      </c>
      <c r="O9">
        <f>IF($BJ12&gt;0,IF(INDEX('Final Calculation Sheet'!$N$4:$N$40,$BJ12-3)="","",INDEX('Final Calculation Sheet'!$N$4:$N$40,$BJ12-3)),IF(OR($BI12=1,$BL12=1,$BH12&gt;0),IF($BI12=1,SUM('Final Calculation Sheet'!$N$4:$N$40),IF($BL12=1,SUM('Final Calculation Sheet'!$N$4:$N$40)-SUMIFS('Final Calculation Sheet'!$N$4:$N$40,$AZ$5:$AZ$41,10),SUMIFS('Final Calculation Sheet'!$N$4:$N$40,$AZ$5:$AZ$41,$BH12))),""))</f>
        <v/>
      </c>
      <c r="P9">
        <f>IF($BJ12&gt;0,IF(INDEX('Final Calculation Sheet'!$O$4:$O$40,$BJ12-3)="","",INDEX('Final Calculation Sheet'!$O$4:$O$40,$BJ12-3)),IF(OR($BI12=1,$BL12=1,$BH12&gt;0),IF($BI12=1,SUM('Final Calculation Sheet'!$O$4:$O$40),IF($BL12=1,SUM('Final Calculation Sheet'!$O$4:$O$40)-SUMIFS('Final Calculation Sheet'!$O$4:$O$40,$AZ$5:$AZ$41,10),SUMIFS('Final Calculation Sheet'!$O$4:$O$40,$AZ$5:$AZ$41,$BH12))),""))</f>
        <v/>
      </c>
      <c r="Q9">
        <f>IF($BJ12&gt;0,IF(INDEX('Final Calculation Sheet'!$P$4:$P$40,$BJ12-3)="","",INDEX('Final Calculation Sheet'!$P$4:$P$40,$BJ12-3)),IF(OR($BI12=1,$BL12=1,$BH12&gt;0),IF($BI12=1,SUM('Final Calculation Sheet'!$P$4:$P$40),IF($BL12=1,SUM('Final Calculation Sheet'!$P$4:$P$40)-SUMIFS('Final Calculation Sheet'!$P$4:$P$40,$AZ$5:$AZ$41,10),SUMIFS('Final Calculation Sheet'!$P$4:$P$40,$AZ$5:$AZ$41,$BH12))),""))</f>
        <v/>
      </c>
      <c r="R9">
        <f>IF($BJ12&gt;0,IF(INDEX('Final Calculation Sheet'!$Q$4:$Q$40,$BJ12-3)="","",INDEX('Final Calculation Sheet'!$Q$4:$Q$40,$BJ12-3)),IF(OR($BI12=1,$BL12=1,$BH12&gt;0),"–",""))</f>
        <v/>
      </c>
      <c r="S9">
        <f>IF($BJ12&gt;0,IF(INDEX('Final Calculation Sheet'!$R$4:$R$40,$BJ12-3)="","",INDEX('Final Calculation Sheet'!$R$4:$R$40,$BJ12-3)),IF(OR($BI12=1,$BL12=1,$BH12&gt;0),IF($BI12=1,SUM('Final Calculation Sheet'!$R$4:$R$40),IF($BL12=1,SUM('Final Calculation Sheet'!$R$4:$R$40)-SUMIFS('Final Calculation Sheet'!$R$4:$R$40,$AZ$5:$AZ$41,10),SUMIFS('Final Calculation Sheet'!$R$4:$R$40,$AZ$5:$AZ$41,$BH12))),""))</f>
        <v/>
      </c>
      <c r="T9">
        <f>IF($BJ12&gt;0,IF(INDEX('Final Calculation Sheet'!$S$4:$S$40,$BJ12-3)="","",INDEX('Final Calculation Sheet'!$S$4:$S$40,$BJ12-3)),IF(OR($BI12=1,$BL12=1,$BH12&gt;0),IF($BI12=1,SUM('Final Calculation Sheet'!$S$4:$S$40),IF($BL12=1,SUM('Final Calculation Sheet'!$S$4:$S$40)-SUMIFS('Final Calculation Sheet'!$S$4:$S$40,$AZ$5:$AZ$41,10),SUMIFS('Final Calculation Sheet'!$S$4:$S$40,$AZ$5:$AZ$41,$BH12))),""))</f>
        <v/>
      </c>
      <c r="U9">
        <f>IF($BJ12&gt;0,IF(INDEX('Final Calculation Sheet'!$T$4:$T$40,$BJ12-3)="","",INDEX('Final Calculation Sheet'!$T$4:$T$40,$BJ12-3)),IF(OR($BI12=1,$BL12=1,$BH12&gt;0),IF($BI12=1,SUM('Final Calculation Sheet'!$T$4:$T$40),IF($BL12=1,SUM('Final Calculation Sheet'!$T$4:$T$40)-SUMIFS('Final Calculation Sheet'!$T$4:$T$40,$AZ$5:$AZ$41,10),SUMIFS('Final Calculation Sheet'!$T$4:$T$40,$AZ$5:$AZ$41,$BH12))),""))</f>
        <v/>
      </c>
      <c r="V9">
        <f>IF($BJ12&gt;0,IF(INDEX('Final Calculation Sheet'!$U$4:$U$40,$BJ12-3)="","",INDEX('Final Calculation Sheet'!$U$4:$U$40,$BJ12-3)),IF(OR($BI12=1,$BL12=1,$BH12&gt;0),IF($BI12=1,SUM('Final Calculation Sheet'!$U$4:$U$40),IF($BL12=1,SUM('Final Calculation Sheet'!$U$4:$U$40)-SUMIFS('Final Calculation Sheet'!$U$4:$U$40,$AZ$5:$AZ$41,10),SUMIFS('Final Calculation Sheet'!$U$4:$U$40,$AZ$5:$AZ$41,$BH12))),""))</f>
        <v/>
      </c>
      <c r="W9">
        <f>IF($BJ12&gt;0,IF(INDEX('Final Calculation Sheet'!$V$4:$V$40,$BJ12-3)="","",INDEX('Final Calculation Sheet'!$V$4:$V$40,$BJ12-3)),IF(OR($BI12=1,$BL12=1,$BH12&gt;0),"–",""))</f>
        <v/>
      </c>
      <c r="X9">
        <f>IF($BJ12&gt;0,IF(INDEX('Final Calculation Sheet'!$W$4:$W$40,$BJ12-3)="","",INDEX('Final Calculation Sheet'!$W$4:$W$40,$BJ12-3)),IF(OR($BI12=1,$BL12=1,$BH12&gt;0),IF($BI12=1,SUM('Final Calculation Sheet'!$W$4:$W$40),IF($BL12=1,SUM('Final Calculation Sheet'!$W$4:$W$40)-SUMIFS('Final Calculation Sheet'!$W$4:$W$40,$AZ$5:$AZ$41,10),SUMIFS('Final Calculation Sheet'!$W$4:$W$40,$AZ$5:$AZ$41,$BH12))),""))</f>
        <v/>
      </c>
      <c r="Y9">
        <f>IF($BJ12&gt;0,IF(INDEX('Final Calculation Sheet'!$X$4:$X$40,$BJ12-3)="","",INDEX('Final Calculation Sheet'!$X$4:$X$40,$BJ12-3)),IF(OR($BI12=1,$BL12=1,$BH12&gt;0),IF($BI12=1,SUM('Final Calculation Sheet'!$X$4:$X$40),IF($BL12=1,SUM('Final Calculation Sheet'!$X$4:$X$40)-SUMIFS('Final Calculation Sheet'!$X$4:$X$40,$AZ$5:$AZ$41,10),SUMIFS('Final Calculation Sheet'!$X$4:$X$40,$AZ$5:$AZ$41,$BH12))),""))</f>
        <v/>
      </c>
      <c r="Z9">
        <f>IF($BJ12&gt;0,IF(INDEX('Final Calculation Sheet'!$Y$4:$Y$40,$BJ12-3)="","",INDEX('Final Calculation Sheet'!$Y$4:$Y$40,$BJ12-3)),IF(OR($BI12=1,$BL12=1,$BH12&gt;0),"–",""))</f>
        <v/>
      </c>
      <c r="AA9">
        <f>IF($BJ12&gt;0,IF(INDEX('Final Calculation Sheet'!$Z$4:$Z$40,$BJ12-3)="","",INDEX('Final Calculation Sheet'!$Z$4:$Z$40,$BJ12-3)),IF(OR($BI12=1,$BL12=1,$BH12&gt;0),IF($BI12=1,SUM('Final Calculation Sheet'!$Z$4:$Z$40),IF($BL12=1,SUM('Final Calculation Sheet'!$Z$4:$Z$40)-SUMIFS('Final Calculation Sheet'!$Z$4:$Z$40,$AZ$5:$AZ$41,10),SUMIFS('Final Calculation Sheet'!$Z$4:$Z$40,$AZ$5:$AZ$41,$BH12))),""))</f>
        <v/>
      </c>
      <c r="AB9">
        <f>IF($BJ12&gt;0,IF(INDEX('Final Calculation Sheet'!$AA$4:$AA$40,$BJ12-3)="","",INDEX('Final Calculation Sheet'!$AA$4:$AA$40,$BJ12-3)),IF(OR($BI12=1,$BL12=1,$BH12&gt;0),IF($BI12=1,SUM('Final Calculation Sheet'!$AA$4:$AA$40),IF($BL12=1,SUM('Final Calculation Sheet'!$AA$4:$AA$40)-SUMIFS('Final Calculation Sheet'!$AA$4:$AA$40,$AZ$5:$AZ$41,10),SUMIFS('Final Calculation Sheet'!$AA$4:$AA$40,$AZ$5:$AZ$41,$BH12))),""))</f>
        <v/>
      </c>
      <c r="AC9">
        <f>IF($BJ12&gt;0,IF(INDEX('Final Calculation Sheet'!$AB$4:$AB$40,$BJ12-3)="","",INDEX('Final Calculation Sheet'!$AB$4:$AB$40,$BJ12-3)),IF(OR($BI12=1,$BL12=1,$BH12&gt;0),"–",""))</f>
        <v/>
      </c>
      <c r="AD9">
        <f>IF($BJ12&gt;0,IF(INDEX('Final Calculation Sheet'!$AC$4:$AC$40,$BJ12-3)="","",INDEX('Final Calculation Sheet'!$AC$4:$AC$40,$BJ12-3)),IF(OR($BI12=1,$BL12=1,$BH12&gt;0),IF($BI12=1,SUM('Final Calculation Sheet'!$AC$4:$AC$40),IF($BL12=1,SUM('Final Calculation Sheet'!$AC$4:$AC$40)-SUMIFS('Final Calculation Sheet'!$AC$4:$AC$40,$AZ$5:$AZ$41,10),SUMIFS('Final Calculation Sheet'!$AC$4:$AC$40,$AZ$5:$AZ$41,$BH12))),""))</f>
        <v/>
      </c>
      <c r="AE9">
        <f>IF($BJ12&gt;0,IF(INDEX('Final Calculation Sheet'!$AD$4:$AD$40,$BJ12-3)="","",INDEX('Final Calculation Sheet'!$AD$4:$AD$40,$BJ12-3)),IF(OR($BI12=1,$BL12=1,$BH12&gt;0),IF($BI12=1,SUM('Final Calculation Sheet'!$AD$4:$AD$40),IF($BL12=1,SUM('Final Calculation Sheet'!$AD$4:$AD$40)-SUMIFS('Final Calculation Sheet'!$AD$4:$AD$40,$AZ$5:$AZ$41,10),SUMIFS('Final Calculation Sheet'!$AD$4:$AD$40,$AZ$5:$AZ$41,$BH12))),""))</f>
        <v/>
      </c>
      <c r="AF9">
        <f>IF($BJ12&gt;0,IF(INDEX('Final Calculation Sheet'!$AF$4:$AF$40,$BJ12-3)="","",INDEX('Final Calculation Sheet'!$AF$4:$AF$40,$BJ12-3)),IF(OR($BI12=1,$BL12=1,$BH12&gt;0),"–",""))</f>
        <v/>
      </c>
      <c r="AG9">
        <f>IF($BJ12&gt;0,IF(INDEX('Final Calculation Sheet'!$AG$4:$AG$40,$BJ12-3)="","",INDEX('Final Calculation Sheet'!$AG$4:$AG$40,$BJ12-3)),IF(OR($BI12=1,$BL12=1,$BH12&gt;0),"–",""))</f>
        <v/>
      </c>
      <c r="AH9">
        <f>IF($BJ12&gt;0,IF(INDEX('Final Calculation Sheet'!$AH$4:$AH$40,$BJ12-3)="","",INDEX('Final Calculation Sheet'!$AH$4:$AH$40,$BJ12-3)),IF(OR($BI12=1,$BL12=1,$BH12&gt;0),"–",""))</f>
        <v/>
      </c>
      <c r="AI9">
        <f>IF($BJ12&gt;0,IF(INDEX('Final Calculation Sheet'!$AD$4:$AD$40,$BJ12-3)="","",IF(INDEX('Final Calculation Sheet'!$AD$4:$AD$40,$BJ12-3)&lt;=5,"SETTLED","OUTSTANDING")),IF(OR($BI12=1,$BL12=1,$BH12&gt;0),IF(IF($BI12=1,SUM('Final Calculation Sheet'!$AD$4:$AD$40),IF($BL12=1,SUM('Final Calculation Sheet'!$AD$4:$AD$40)-SUMIFS('Final Calculation Sheet'!$AD$4:$AD$40,$AZ$5:$AZ$41,10),SUMIFS('Final Calculation Sheet'!$AD$4:$AD$40,$AZ$5:$AZ$41,$BH12)))&lt;=5,"ALL SETTLED","OUTSTANDING"),""))</f>
        <v/>
      </c>
    </row>
    <row r="10">
      <c r="A10">
        <f>IF($BJ13&gt;0,INDEX($BA$5:$BA$41,MATCH(13,$BB$5:$BB$41,0)),IF(OR($BI13=1,$BL13=1,$BH13&gt;0),"∑",""))</f>
        <v/>
      </c>
      <c r="B10">
        <f>IF($BJ13&gt;0,IF(INDEX('Final Calculation Sheet'!$F$4:$F$40,$BJ13-3)="","",INDEX('Final Calculation Sheet'!$F$4:$F$40,$BJ13-3)),"")</f>
        <v/>
      </c>
      <c r="C10">
        <f>IF($BJ13&gt;0,IF(INDEX('Final Calculation Sheet'!$G$4:$G$40,$BJ13-3)="","",INDEX('Final Calculation Sheet'!$G$4:$G$40,$BJ13-3)),IF(OR($BI13=1,$BL13=1,$BH13&gt;0),IF($BI13=1,37,IF($BL13=1,37-INDEX($BD$4:$BD$13,10),INDEX($BD$4:$BD$13,$BH13)))&amp;" lot(s)",""))</f>
        <v/>
      </c>
      <c r="D10">
        <f>IF($BJ13&gt;0,IF(INDEX('Final Calculation Sheet'!$B$4:$B$40,$BJ13-3)="","",INDEX('Final Calculation Sheet'!$B$4:$B$40,$BJ13-3)),IF(OR($BI13=1,$BL13=1,$BH13&gt;0),IF($BI13=1,"GRAND TOTAL  —  matching + remaining",IF($BL13=1,"TOTAL MATCHED  —  every group together",IF($BH13=10,"REMAINING  —  did not match the search",IF($BH13=9,IF(COUNTIF($A$4:$AI$4,"&lt;&gt;")&gt;0,"FILTERED LOTS  —  column fields","ALL LOTS  —  nothing typed in the box"),"GROUP "&amp;$BH13&amp;" TOTAL  —  lots matching  "&amp;INDEX($AR$6:$AY$6,$BH13))))),""))</f>
        <v/>
      </c>
      <c r="E10">
        <f>IF($BJ13&gt;0,IF(INDEX('Final Calculation Sheet'!$D$4:$D$40,$BJ13-3)="","",INDEX('Final Calculation Sheet'!$D$4:$D$40,$BJ13-3)),IF(OR($BI13=1,$BL13=1,$BH13&gt;0),"–",""))</f>
        <v/>
      </c>
      <c r="F10">
        <f>IF($BJ13&gt;0,IF(INDEX('Final Calculation Sheet'!$A$4:$A$40,$BJ13-3)="","",INDEX('Final Calculation Sheet'!$A$4:$A$40,$BJ13-3)),IF(OR($BI13=1,$BL13=1,$BH13&gt;0),IF($BI13=1,SUM('Final Calculation Sheet'!$A$4:$A$40),IF($BL13=1,SUM('Final Calculation Sheet'!$A$4:$A$40)-SUMIFS('Final Calculation Sheet'!$A$4:$A$40,$AZ$5:$AZ$41,10),SUMIFS('Final Calculation Sheet'!$A$4:$A$40,$AZ$5:$AZ$41,$BH13))),""))</f>
        <v/>
      </c>
      <c r="G10">
        <f>IF($BJ13&gt;0,IF(INDEX('Final Calculation Sheet'!$E$4:$E$40,$BJ13-3)="","",INDEX('Final Calculation Sheet'!$E$4:$E$40,$BJ13-3)),IF(OR($BI13=1,$BL13=1,$BH13&gt;0),"–",""))</f>
        <v/>
      </c>
      <c r="H10">
        <f>IF($BJ13&gt;0,IF(INDEX('Final Calculation Sheet'!$C$4:$C$40,$BJ13-3)="","",INDEX('Final Calculation Sheet'!$C$4:$C$40,$BJ13-3)),IF(OR($BI13=1,$BL13=1,$BH13&gt;0),"–",""))</f>
        <v/>
      </c>
      <c r="I10">
        <f>IF($BJ13&gt;0,IF(INDEX('Final Calculation Sheet'!$H$4:$H$40,$BJ13-3)="","",INDEX('Final Calculation Sheet'!$H$4:$H$40,$BJ13-3)),IF(OR($BI13=1,$BL13=1,$BH13&gt;0),IF($BI13=1,SUM('Final Calculation Sheet'!$H$4:$H$40),IF($BL13=1,SUM('Final Calculation Sheet'!$H$4:$H$40)-SUMIFS('Final Calculation Sheet'!$H$4:$H$40,$AZ$5:$AZ$41,10),SUMIFS('Final Calculation Sheet'!$H$4:$H$40,$AZ$5:$AZ$41,$BH13))),""))</f>
        <v/>
      </c>
      <c r="J10">
        <f>IF($BJ13&gt;0,IF(INDEX('Final Calculation Sheet'!$I$4:$I$40,$BJ13-3)="","",INDEX('Final Calculation Sheet'!$I$4:$I$40,$BJ13-3)),IF(OR($BI13=1,$BL13=1,$BH13&gt;0),IF($BI13=1,SUM('Final Calculation Sheet'!$I$4:$I$40),IF($BL13=1,SUM('Final Calculation Sheet'!$I$4:$I$40)-SUMIFS('Final Calculation Sheet'!$I$4:$I$40,$AZ$5:$AZ$41,10),SUMIFS('Final Calculation Sheet'!$I$4:$I$40,$AZ$5:$AZ$41,$BH13))),""))</f>
        <v/>
      </c>
      <c r="K10">
        <f>IF($BJ13&gt;0,IF(INDEX('Final Calculation Sheet'!$J$4:$J$40,$BJ13-3)="","",INDEX('Final Calculation Sheet'!$J$4:$J$40,$BJ13-3)),IF(OR($BI13=1,$BL13=1,$BH13&gt;0),IF($BI13=1,SUM('Final Calculation Sheet'!$J$4:$J$40),IF($BL13=1,SUM('Final Calculation Sheet'!$J$4:$J$40)-SUMIFS('Final Calculation Sheet'!$J$4:$J$40,$AZ$5:$AZ$41,10),SUMIFS('Final Calculation Sheet'!$J$4:$J$40,$AZ$5:$AZ$41,$BH13))),""))</f>
        <v/>
      </c>
      <c r="L10">
        <f>IF($BJ13&gt;0,IF(INDEX('Final Calculation Sheet'!$K$4:$K$40,$BJ13-3)="","",INDEX('Final Calculation Sheet'!$K$4:$K$40,$BJ13-3)),IF(OR($BI13=1,$BL13=1,$BH13&gt;0),IF($BI13=1,SUM('Final Calculation Sheet'!$K$4:$K$40),IF($BL13=1,SUM('Final Calculation Sheet'!$K$4:$K$40)-SUMIFS('Final Calculation Sheet'!$K$4:$K$40,$AZ$5:$AZ$41,10),SUMIFS('Final Calculation Sheet'!$K$4:$K$40,$AZ$5:$AZ$41,$BH13))),""))</f>
        <v/>
      </c>
      <c r="M10">
        <f>IF($BJ13&gt;0,IF(INDEX('Final Calculation Sheet'!$L$4:$L$40,$BJ13-3)="","",INDEX('Final Calculation Sheet'!$L$4:$L$40,$BJ13-3)),IF(OR($BI13=1,$BL13=1,$BH13&gt;0),IF($BI13=1,SUM('Final Calculation Sheet'!$L$4:$L$40),IF($BL13=1,SUM('Final Calculation Sheet'!$L$4:$L$40)-SUMIFS('Final Calculation Sheet'!$L$4:$L$40,$AZ$5:$AZ$41,10),SUMIFS('Final Calculation Sheet'!$L$4:$L$40,$AZ$5:$AZ$41,$BH13))),""))</f>
        <v/>
      </c>
      <c r="N10">
        <f>IF($BJ13&gt;0,IF(INDEX('Final Calculation Sheet'!$M$4:$M$40,$BJ13-3)="","",INDEX('Final Calculation Sheet'!$M$4:$M$40,$BJ13-3)),IF(OR($BI13=1,$BL13=1,$BH13&gt;0),IF($BI13=1,SUM('Final Calculation Sheet'!$M$4:$M$40),IF($BL13=1,SUM('Final Calculation Sheet'!$M$4:$M$40)-SUMIFS('Final Calculation Sheet'!$M$4:$M$40,$AZ$5:$AZ$41,10),SUMIFS('Final Calculation Sheet'!$M$4:$M$40,$AZ$5:$AZ$41,$BH13))),""))</f>
        <v/>
      </c>
      <c r="O10">
        <f>IF($BJ13&gt;0,IF(INDEX('Final Calculation Sheet'!$N$4:$N$40,$BJ13-3)="","",INDEX('Final Calculation Sheet'!$N$4:$N$40,$BJ13-3)),IF(OR($BI13=1,$BL13=1,$BH13&gt;0),IF($BI13=1,SUM('Final Calculation Sheet'!$N$4:$N$40),IF($BL13=1,SUM('Final Calculation Sheet'!$N$4:$N$40)-SUMIFS('Final Calculation Sheet'!$N$4:$N$40,$AZ$5:$AZ$41,10),SUMIFS('Final Calculation Sheet'!$N$4:$N$40,$AZ$5:$AZ$41,$BH13))),""))</f>
        <v/>
      </c>
      <c r="P10">
        <f>IF($BJ13&gt;0,IF(INDEX('Final Calculation Sheet'!$O$4:$O$40,$BJ13-3)="","",INDEX('Final Calculation Sheet'!$O$4:$O$40,$BJ13-3)),IF(OR($BI13=1,$BL13=1,$BH13&gt;0),IF($BI13=1,SUM('Final Calculation Sheet'!$O$4:$O$40),IF($BL13=1,SUM('Final Calculation Sheet'!$O$4:$O$40)-SUMIFS('Final Calculation Sheet'!$O$4:$O$40,$AZ$5:$AZ$41,10),SUMIFS('Final Calculation Sheet'!$O$4:$O$40,$AZ$5:$AZ$41,$BH13))),""))</f>
        <v/>
      </c>
      <c r="Q10">
        <f>IF($BJ13&gt;0,IF(INDEX('Final Calculation Sheet'!$P$4:$P$40,$BJ13-3)="","",INDEX('Final Calculation Sheet'!$P$4:$P$40,$BJ13-3)),IF(OR($BI13=1,$BL13=1,$BH13&gt;0),IF($BI13=1,SUM('Final Calculation Sheet'!$P$4:$P$40),IF($BL13=1,SUM('Final Calculation Sheet'!$P$4:$P$40)-SUMIFS('Final Calculation Sheet'!$P$4:$P$40,$AZ$5:$AZ$41,10),SUMIFS('Final Calculation Sheet'!$P$4:$P$40,$AZ$5:$AZ$41,$BH13))),""))</f>
        <v/>
      </c>
      <c r="R10">
        <f>IF($BJ13&gt;0,IF(INDEX('Final Calculation Sheet'!$Q$4:$Q$40,$BJ13-3)="","",INDEX('Final Calculation Sheet'!$Q$4:$Q$40,$BJ13-3)),IF(OR($BI13=1,$BL13=1,$BH13&gt;0),"–",""))</f>
        <v/>
      </c>
      <c r="S10">
        <f>IF($BJ13&gt;0,IF(INDEX('Final Calculation Sheet'!$R$4:$R$40,$BJ13-3)="","",INDEX('Final Calculation Sheet'!$R$4:$R$40,$BJ13-3)),IF(OR($BI13=1,$BL13=1,$BH13&gt;0),IF($BI13=1,SUM('Final Calculation Sheet'!$R$4:$R$40),IF($BL13=1,SUM('Final Calculation Sheet'!$R$4:$R$40)-SUMIFS('Final Calculation Sheet'!$R$4:$R$40,$AZ$5:$AZ$41,10),SUMIFS('Final Calculation Sheet'!$R$4:$R$40,$AZ$5:$AZ$41,$BH13))),""))</f>
        <v/>
      </c>
      <c r="T10">
        <f>IF($BJ13&gt;0,IF(INDEX('Final Calculation Sheet'!$S$4:$S$40,$BJ13-3)="","",INDEX('Final Calculation Sheet'!$S$4:$S$40,$BJ13-3)),IF(OR($BI13=1,$BL13=1,$BH13&gt;0),IF($BI13=1,SUM('Final Calculation Sheet'!$S$4:$S$40),IF($BL13=1,SUM('Final Calculation Sheet'!$S$4:$S$40)-SUMIFS('Final Calculation Sheet'!$S$4:$S$40,$AZ$5:$AZ$41,10),SUMIFS('Final Calculation Sheet'!$S$4:$S$40,$AZ$5:$AZ$41,$BH13))),""))</f>
        <v/>
      </c>
      <c r="U10">
        <f>IF($BJ13&gt;0,IF(INDEX('Final Calculation Sheet'!$T$4:$T$40,$BJ13-3)="","",INDEX('Final Calculation Sheet'!$T$4:$T$40,$BJ13-3)),IF(OR($BI13=1,$BL13=1,$BH13&gt;0),IF($BI13=1,SUM('Final Calculation Sheet'!$T$4:$T$40),IF($BL13=1,SUM('Final Calculation Sheet'!$T$4:$T$40)-SUMIFS('Final Calculation Sheet'!$T$4:$T$40,$AZ$5:$AZ$41,10),SUMIFS('Final Calculation Sheet'!$T$4:$T$40,$AZ$5:$AZ$41,$BH13))),""))</f>
        <v/>
      </c>
      <c r="V10">
        <f>IF($BJ13&gt;0,IF(INDEX('Final Calculation Sheet'!$U$4:$U$40,$BJ13-3)="","",INDEX('Final Calculation Sheet'!$U$4:$U$40,$BJ13-3)),IF(OR($BI13=1,$BL13=1,$BH13&gt;0),IF($BI13=1,SUM('Final Calculation Sheet'!$U$4:$U$40),IF($BL13=1,SUM('Final Calculation Sheet'!$U$4:$U$40)-SUMIFS('Final Calculation Sheet'!$U$4:$U$40,$AZ$5:$AZ$41,10),SUMIFS('Final Calculation Sheet'!$U$4:$U$40,$AZ$5:$AZ$41,$BH13))),""))</f>
        <v/>
      </c>
      <c r="W10">
        <f>IF($BJ13&gt;0,IF(INDEX('Final Calculation Sheet'!$V$4:$V$40,$BJ13-3)="","",INDEX('Final Calculation Sheet'!$V$4:$V$40,$BJ13-3)),IF(OR($BI13=1,$BL13=1,$BH13&gt;0),"–",""))</f>
        <v/>
      </c>
      <c r="X10">
        <f>IF($BJ13&gt;0,IF(INDEX('Final Calculation Sheet'!$W$4:$W$40,$BJ13-3)="","",INDEX('Final Calculation Sheet'!$W$4:$W$40,$BJ13-3)),IF(OR($BI13=1,$BL13=1,$BH13&gt;0),IF($BI13=1,SUM('Final Calculation Sheet'!$W$4:$W$40),IF($BL13=1,SUM('Final Calculation Sheet'!$W$4:$W$40)-SUMIFS('Final Calculation Sheet'!$W$4:$W$40,$AZ$5:$AZ$41,10),SUMIFS('Final Calculation Sheet'!$W$4:$W$40,$AZ$5:$AZ$41,$BH13))),""))</f>
        <v/>
      </c>
      <c r="Y10">
        <f>IF($BJ13&gt;0,IF(INDEX('Final Calculation Sheet'!$X$4:$X$40,$BJ13-3)="","",INDEX('Final Calculation Sheet'!$X$4:$X$40,$BJ13-3)),IF(OR($BI13=1,$BL13=1,$BH13&gt;0),IF($BI13=1,SUM('Final Calculation Sheet'!$X$4:$X$40),IF($BL13=1,SUM('Final Calculation Sheet'!$X$4:$X$40)-SUMIFS('Final Calculation Sheet'!$X$4:$X$40,$AZ$5:$AZ$41,10),SUMIFS('Final Calculation Sheet'!$X$4:$X$40,$AZ$5:$AZ$41,$BH13))),""))</f>
        <v/>
      </c>
      <c r="Z10">
        <f>IF($BJ13&gt;0,IF(INDEX('Final Calculation Sheet'!$Y$4:$Y$40,$BJ13-3)="","",INDEX('Final Calculation Sheet'!$Y$4:$Y$40,$BJ13-3)),IF(OR($BI13=1,$BL13=1,$BH13&gt;0),"–",""))</f>
        <v/>
      </c>
      <c r="AA10">
        <f>IF($BJ13&gt;0,IF(INDEX('Final Calculation Sheet'!$Z$4:$Z$40,$BJ13-3)="","",INDEX('Final Calculation Sheet'!$Z$4:$Z$40,$BJ13-3)),IF(OR($BI13=1,$BL13=1,$BH13&gt;0),IF($BI13=1,SUM('Final Calculation Sheet'!$Z$4:$Z$40),IF($BL13=1,SUM('Final Calculation Sheet'!$Z$4:$Z$40)-SUMIFS('Final Calculation Sheet'!$Z$4:$Z$40,$AZ$5:$AZ$41,10),SUMIFS('Final Calculation Sheet'!$Z$4:$Z$40,$AZ$5:$AZ$41,$BH13))),""))</f>
        <v/>
      </c>
      <c r="AB10">
        <f>IF($BJ13&gt;0,IF(INDEX('Final Calculation Sheet'!$AA$4:$AA$40,$BJ13-3)="","",INDEX('Final Calculation Sheet'!$AA$4:$AA$40,$BJ13-3)),IF(OR($BI13=1,$BL13=1,$BH13&gt;0),IF($BI13=1,SUM('Final Calculation Sheet'!$AA$4:$AA$40),IF($BL13=1,SUM('Final Calculation Sheet'!$AA$4:$AA$40)-SUMIFS('Final Calculation Sheet'!$AA$4:$AA$40,$AZ$5:$AZ$41,10),SUMIFS('Final Calculation Sheet'!$AA$4:$AA$40,$AZ$5:$AZ$41,$BH13))),""))</f>
        <v/>
      </c>
      <c r="AC10">
        <f>IF($BJ13&gt;0,IF(INDEX('Final Calculation Sheet'!$AB$4:$AB$40,$BJ13-3)="","",INDEX('Final Calculation Sheet'!$AB$4:$AB$40,$BJ13-3)),IF(OR($BI13=1,$BL13=1,$BH13&gt;0),"–",""))</f>
        <v/>
      </c>
      <c r="AD10">
        <f>IF($BJ13&gt;0,IF(INDEX('Final Calculation Sheet'!$AC$4:$AC$40,$BJ13-3)="","",INDEX('Final Calculation Sheet'!$AC$4:$AC$40,$BJ13-3)),IF(OR($BI13=1,$BL13=1,$BH13&gt;0),IF($BI13=1,SUM('Final Calculation Sheet'!$AC$4:$AC$40),IF($BL13=1,SUM('Final Calculation Sheet'!$AC$4:$AC$40)-SUMIFS('Final Calculation Sheet'!$AC$4:$AC$40,$AZ$5:$AZ$41,10),SUMIFS('Final Calculation Sheet'!$AC$4:$AC$40,$AZ$5:$AZ$41,$BH13))),""))</f>
        <v/>
      </c>
      <c r="AE10">
        <f>IF($BJ13&gt;0,IF(INDEX('Final Calculation Sheet'!$AD$4:$AD$40,$BJ13-3)="","",INDEX('Final Calculation Sheet'!$AD$4:$AD$40,$BJ13-3)),IF(OR($BI13=1,$BL13=1,$BH13&gt;0),IF($BI13=1,SUM('Final Calculation Sheet'!$AD$4:$AD$40),IF($BL13=1,SUM('Final Calculation Sheet'!$AD$4:$AD$40)-SUMIFS('Final Calculation Sheet'!$AD$4:$AD$40,$AZ$5:$AZ$41,10),SUMIFS('Final Calculation Sheet'!$AD$4:$AD$40,$AZ$5:$AZ$41,$BH13))),""))</f>
        <v/>
      </c>
      <c r="AF10">
        <f>IF($BJ13&gt;0,IF(INDEX('Final Calculation Sheet'!$AF$4:$AF$40,$BJ13-3)="","",INDEX('Final Calculation Sheet'!$AF$4:$AF$40,$BJ13-3)),IF(OR($BI13=1,$BL13=1,$BH13&gt;0),"–",""))</f>
        <v/>
      </c>
      <c r="AG10">
        <f>IF($BJ13&gt;0,IF(INDEX('Final Calculation Sheet'!$AG$4:$AG$40,$BJ13-3)="","",INDEX('Final Calculation Sheet'!$AG$4:$AG$40,$BJ13-3)),IF(OR($BI13=1,$BL13=1,$BH13&gt;0),"–",""))</f>
        <v/>
      </c>
      <c r="AH10">
        <f>IF($BJ13&gt;0,IF(INDEX('Final Calculation Sheet'!$AH$4:$AH$40,$BJ13-3)="","",INDEX('Final Calculation Sheet'!$AH$4:$AH$40,$BJ13-3)),IF(OR($BI13=1,$BL13=1,$BH13&gt;0),"–",""))</f>
        <v/>
      </c>
      <c r="AI10">
        <f>IF($BJ13&gt;0,IF(INDEX('Final Calculation Sheet'!$AD$4:$AD$40,$BJ13-3)="","",IF(INDEX('Final Calculation Sheet'!$AD$4:$AD$40,$BJ13-3)&lt;=5,"SETTLED","OUTSTANDING")),IF(OR($BI13=1,$BL13=1,$BH13&gt;0),IF(IF($BI13=1,SUM('Final Calculation Sheet'!$AD$4:$AD$40),IF($BL13=1,SUM('Final Calculation Sheet'!$AD$4:$AD$40)-SUMIFS('Final Calculation Sheet'!$AD$4:$AD$40,$AZ$5:$AZ$41,10),SUMIFS('Final Calculation Sheet'!$AD$4:$AD$40,$AZ$5:$AZ$41,$BH13)))&lt;=5,"ALL SETTLED","OUTSTANDING"),""))</f>
        <v/>
      </c>
    </row>
    <row r="11">
      <c r="A11">
        <f>IF($BJ14&gt;0,INDEX($BA$5:$BA$41,MATCH(14,$BB$5:$BB$41,0)),IF(OR($BI14=1,$BL14=1,$BH14&gt;0),"∑",""))</f>
        <v/>
      </c>
      <c r="B11">
        <f>IF($BJ14&gt;0,IF(INDEX('Final Calculation Sheet'!$F$4:$F$40,$BJ14-3)="","",INDEX('Final Calculation Sheet'!$F$4:$F$40,$BJ14-3)),"")</f>
        <v/>
      </c>
      <c r="C11">
        <f>IF($BJ14&gt;0,IF(INDEX('Final Calculation Sheet'!$G$4:$G$40,$BJ14-3)="","",INDEX('Final Calculation Sheet'!$G$4:$G$40,$BJ14-3)),IF(OR($BI14=1,$BL14=1,$BH14&gt;0),IF($BI14=1,37,IF($BL14=1,37-INDEX($BD$4:$BD$13,10),INDEX($BD$4:$BD$13,$BH14)))&amp;" lot(s)",""))</f>
        <v/>
      </c>
      <c r="D11">
        <f>IF($BJ14&gt;0,IF(INDEX('Final Calculation Sheet'!$B$4:$B$40,$BJ14-3)="","",INDEX('Final Calculation Sheet'!$B$4:$B$40,$BJ14-3)),IF(OR($BI14=1,$BL14=1,$BH14&gt;0),IF($BI14=1,"GRAND TOTAL  —  matching + remaining",IF($BL14=1,"TOTAL MATCHED  —  every group together",IF($BH14=10,"REMAINING  —  did not match the search",IF($BH14=9,IF(COUNTIF($A$4:$AI$4,"&lt;&gt;")&gt;0,"FILTERED LOTS  —  column fields","ALL LOTS  —  nothing typed in the box"),"GROUP "&amp;$BH14&amp;" TOTAL  —  lots matching  "&amp;INDEX($AR$6:$AY$6,$BH14))))),""))</f>
        <v/>
      </c>
      <c r="E11">
        <f>IF($BJ14&gt;0,IF(INDEX('Final Calculation Sheet'!$D$4:$D$40,$BJ14-3)="","",INDEX('Final Calculation Sheet'!$D$4:$D$40,$BJ14-3)),IF(OR($BI14=1,$BL14=1,$BH14&gt;0),"–",""))</f>
        <v/>
      </c>
      <c r="F11">
        <f>IF($BJ14&gt;0,IF(INDEX('Final Calculation Sheet'!$A$4:$A$40,$BJ14-3)="","",INDEX('Final Calculation Sheet'!$A$4:$A$40,$BJ14-3)),IF(OR($BI14=1,$BL14=1,$BH14&gt;0),IF($BI14=1,SUM('Final Calculation Sheet'!$A$4:$A$40),IF($BL14=1,SUM('Final Calculation Sheet'!$A$4:$A$40)-SUMIFS('Final Calculation Sheet'!$A$4:$A$40,$AZ$5:$AZ$41,10),SUMIFS('Final Calculation Sheet'!$A$4:$A$40,$AZ$5:$AZ$41,$BH14))),""))</f>
        <v/>
      </c>
      <c r="G11">
        <f>IF($BJ14&gt;0,IF(INDEX('Final Calculation Sheet'!$E$4:$E$40,$BJ14-3)="","",INDEX('Final Calculation Sheet'!$E$4:$E$40,$BJ14-3)),IF(OR($BI14=1,$BL14=1,$BH14&gt;0),"–",""))</f>
        <v/>
      </c>
      <c r="H11">
        <f>IF($BJ14&gt;0,IF(INDEX('Final Calculation Sheet'!$C$4:$C$40,$BJ14-3)="","",INDEX('Final Calculation Sheet'!$C$4:$C$40,$BJ14-3)),IF(OR($BI14=1,$BL14=1,$BH14&gt;0),"–",""))</f>
        <v/>
      </c>
      <c r="I11">
        <f>IF($BJ14&gt;0,IF(INDEX('Final Calculation Sheet'!$H$4:$H$40,$BJ14-3)="","",INDEX('Final Calculation Sheet'!$H$4:$H$40,$BJ14-3)),IF(OR($BI14=1,$BL14=1,$BH14&gt;0),IF($BI14=1,SUM('Final Calculation Sheet'!$H$4:$H$40),IF($BL14=1,SUM('Final Calculation Sheet'!$H$4:$H$40)-SUMIFS('Final Calculation Sheet'!$H$4:$H$40,$AZ$5:$AZ$41,10),SUMIFS('Final Calculation Sheet'!$H$4:$H$40,$AZ$5:$AZ$41,$BH14))),""))</f>
        <v/>
      </c>
      <c r="J11">
        <f>IF($BJ14&gt;0,IF(INDEX('Final Calculation Sheet'!$I$4:$I$40,$BJ14-3)="","",INDEX('Final Calculation Sheet'!$I$4:$I$40,$BJ14-3)),IF(OR($BI14=1,$BL14=1,$BH14&gt;0),IF($BI14=1,SUM('Final Calculation Sheet'!$I$4:$I$40),IF($BL14=1,SUM('Final Calculation Sheet'!$I$4:$I$40)-SUMIFS('Final Calculation Sheet'!$I$4:$I$40,$AZ$5:$AZ$41,10),SUMIFS('Final Calculation Sheet'!$I$4:$I$40,$AZ$5:$AZ$41,$BH14))),""))</f>
        <v/>
      </c>
      <c r="K11">
        <f>IF($BJ14&gt;0,IF(INDEX('Final Calculation Sheet'!$J$4:$J$40,$BJ14-3)="","",INDEX('Final Calculation Sheet'!$J$4:$J$40,$BJ14-3)),IF(OR($BI14=1,$BL14=1,$BH14&gt;0),IF($BI14=1,SUM('Final Calculation Sheet'!$J$4:$J$40),IF($BL14=1,SUM('Final Calculation Sheet'!$J$4:$J$40)-SUMIFS('Final Calculation Sheet'!$J$4:$J$40,$AZ$5:$AZ$41,10),SUMIFS('Final Calculation Sheet'!$J$4:$J$40,$AZ$5:$AZ$41,$BH14))),""))</f>
        <v/>
      </c>
      <c r="L11">
        <f>IF($BJ14&gt;0,IF(INDEX('Final Calculation Sheet'!$K$4:$K$40,$BJ14-3)="","",INDEX('Final Calculation Sheet'!$K$4:$K$40,$BJ14-3)),IF(OR($BI14=1,$BL14=1,$BH14&gt;0),IF($BI14=1,SUM('Final Calculation Sheet'!$K$4:$K$40),IF($BL14=1,SUM('Final Calculation Sheet'!$K$4:$K$40)-SUMIFS('Final Calculation Sheet'!$K$4:$K$40,$AZ$5:$AZ$41,10),SUMIFS('Final Calculation Sheet'!$K$4:$K$40,$AZ$5:$AZ$41,$BH14))),""))</f>
        <v/>
      </c>
      <c r="M11">
        <f>IF($BJ14&gt;0,IF(INDEX('Final Calculation Sheet'!$L$4:$L$40,$BJ14-3)="","",INDEX('Final Calculation Sheet'!$L$4:$L$40,$BJ14-3)),IF(OR($BI14=1,$BL14=1,$BH14&gt;0),IF($BI14=1,SUM('Final Calculation Sheet'!$L$4:$L$40),IF($BL14=1,SUM('Final Calculation Sheet'!$L$4:$L$40)-SUMIFS('Final Calculation Sheet'!$L$4:$L$40,$AZ$5:$AZ$41,10),SUMIFS('Final Calculation Sheet'!$L$4:$L$40,$AZ$5:$AZ$41,$BH14))),""))</f>
        <v/>
      </c>
      <c r="N11">
        <f>IF($BJ14&gt;0,IF(INDEX('Final Calculation Sheet'!$M$4:$M$40,$BJ14-3)="","",INDEX('Final Calculation Sheet'!$M$4:$M$40,$BJ14-3)),IF(OR($BI14=1,$BL14=1,$BH14&gt;0),IF($BI14=1,SUM('Final Calculation Sheet'!$M$4:$M$40),IF($BL14=1,SUM('Final Calculation Sheet'!$M$4:$M$40)-SUMIFS('Final Calculation Sheet'!$M$4:$M$40,$AZ$5:$AZ$41,10),SUMIFS('Final Calculation Sheet'!$M$4:$M$40,$AZ$5:$AZ$41,$BH14))),""))</f>
        <v/>
      </c>
      <c r="O11">
        <f>IF($BJ14&gt;0,IF(INDEX('Final Calculation Sheet'!$N$4:$N$40,$BJ14-3)="","",INDEX('Final Calculation Sheet'!$N$4:$N$40,$BJ14-3)),IF(OR($BI14=1,$BL14=1,$BH14&gt;0),IF($BI14=1,SUM('Final Calculation Sheet'!$N$4:$N$40),IF($BL14=1,SUM('Final Calculation Sheet'!$N$4:$N$40)-SUMIFS('Final Calculation Sheet'!$N$4:$N$40,$AZ$5:$AZ$41,10),SUMIFS('Final Calculation Sheet'!$N$4:$N$40,$AZ$5:$AZ$41,$BH14))),""))</f>
        <v/>
      </c>
      <c r="P11">
        <f>IF($BJ14&gt;0,IF(INDEX('Final Calculation Sheet'!$O$4:$O$40,$BJ14-3)="","",INDEX('Final Calculation Sheet'!$O$4:$O$40,$BJ14-3)),IF(OR($BI14=1,$BL14=1,$BH14&gt;0),IF($BI14=1,SUM('Final Calculation Sheet'!$O$4:$O$40),IF($BL14=1,SUM('Final Calculation Sheet'!$O$4:$O$40)-SUMIFS('Final Calculation Sheet'!$O$4:$O$40,$AZ$5:$AZ$41,10),SUMIFS('Final Calculation Sheet'!$O$4:$O$40,$AZ$5:$AZ$41,$BH14))),""))</f>
        <v/>
      </c>
      <c r="Q11">
        <f>IF($BJ14&gt;0,IF(INDEX('Final Calculation Sheet'!$P$4:$P$40,$BJ14-3)="","",INDEX('Final Calculation Sheet'!$P$4:$P$40,$BJ14-3)),IF(OR($BI14=1,$BL14=1,$BH14&gt;0),IF($BI14=1,SUM('Final Calculation Sheet'!$P$4:$P$40),IF($BL14=1,SUM('Final Calculation Sheet'!$P$4:$P$40)-SUMIFS('Final Calculation Sheet'!$P$4:$P$40,$AZ$5:$AZ$41,10),SUMIFS('Final Calculation Sheet'!$P$4:$P$40,$AZ$5:$AZ$41,$BH14))),""))</f>
        <v/>
      </c>
      <c r="R11">
        <f>IF($BJ14&gt;0,IF(INDEX('Final Calculation Sheet'!$Q$4:$Q$40,$BJ14-3)="","",INDEX('Final Calculation Sheet'!$Q$4:$Q$40,$BJ14-3)),IF(OR($BI14=1,$BL14=1,$BH14&gt;0),"–",""))</f>
        <v/>
      </c>
      <c r="S11">
        <f>IF($BJ14&gt;0,IF(INDEX('Final Calculation Sheet'!$R$4:$R$40,$BJ14-3)="","",INDEX('Final Calculation Sheet'!$R$4:$R$40,$BJ14-3)),IF(OR($BI14=1,$BL14=1,$BH14&gt;0),IF($BI14=1,SUM('Final Calculation Sheet'!$R$4:$R$40),IF($BL14=1,SUM('Final Calculation Sheet'!$R$4:$R$40)-SUMIFS('Final Calculation Sheet'!$R$4:$R$40,$AZ$5:$AZ$41,10),SUMIFS('Final Calculation Sheet'!$R$4:$R$40,$AZ$5:$AZ$41,$BH14))),""))</f>
        <v/>
      </c>
      <c r="T11">
        <f>IF($BJ14&gt;0,IF(INDEX('Final Calculation Sheet'!$S$4:$S$40,$BJ14-3)="","",INDEX('Final Calculation Sheet'!$S$4:$S$40,$BJ14-3)),IF(OR($BI14=1,$BL14=1,$BH14&gt;0),IF($BI14=1,SUM('Final Calculation Sheet'!$S$4:$S$40),IF($BL14=1,SUM('Final Calculation Sheet'!$S$4:$S$40)-SUMIFS('Final Calculation Sheet'!$S$4:$S$40,$AZ$5:$AZ$41,10),SUMIFS('Final Calculation Sheet'!$S$4:$S$40,$AZ$5:$AZ$41,$BH14))),""))</f>
        <v/>
      </c>
      <c r="U11">
        <f>IF($BJ14&gt;0,IF(INDEX('Final Calculation Sheet'!$T$4:$T$40,$BJ14-3)="","",INDEX('Final Calculation Sheet'!$T$4:$T$40,$BJ14-3)),IF(OR($BI14=1,$BL14=1,$BH14&gt;0),IF($BI14=1,SUM('Final Calculation Sheet'!$T$4:$T$40),IF($BL14=1,SUM('Final Calculation Sheet'!$T$4:$T$40)-SUMIFS('Final Calculation Sheet'!$T$4:$T$40,$AZ$5:$AZ$41,10),SUMIFS('Final Calculation Sheet'!$T$4:$T$40,$AZ$5:$AZ$41,$BH14))),""))</f>
        <v/>
      </c>
      <c r="V11">
        <f>IF($BJ14&gt;0,IF(INDEX('Final Calculation Sheet'!$U$4:$U$40,$BJ14-3)="","",INDEX('Final Calculation Sheet'!$U$4:$U$40,$BJ14-3)),IF(OR($BI14=1,$BL14=1,$BH14&gt;0),IF($BI14=1,SUM('Final Calculation Sheet'!$U$4:$U$40),IF($BL14=1,SUM('Final Calculation Sheet'!$U$4:$U$40)-SUMIFS('Final Calculation Sheet'!$U$4:$U$40,$AZ$5:$AZ$41,10),SUMIFS('Final Calculation Sheet'!$U$4:$U$40,$AZ$5:$AZ$41,$BH14))),""))</f>
        <v/>
      </c>
      <c r="W11">
        <f>IF($BJ14&gt;0,IF(INDEX('Final Calculation Sheet'!$V$4:$V$40,$BJ14-3)="","",INDEX('Final Calculation Sheet'!$V$4:$V$40,$BJ14-3)),IF(OR($BI14=1,$BL14=1,$BH14&gt;0),"–",""))</f>
        <v/>
      </c>
      <c r="X11">
        <f>IF($BJ14&gt;0,IF(INDEX('Final Calculation Sheet'!$W$4:$W$40,$BJ14-3)="","",INDEX('Final Calculation Sheet'!$W$4:$W$40,$BJ14-3)),IF(OR($BI14=1,$BL14=1,$BH14&gt;0),IF($BI14=1,SUM('Final Calculation Sheet'!$W$4:$W$40),IF($BL14=1,SUM('Final Calculation Sheet'!$W$4:$W$40)-SUMIFS('Final Calculation Sheet'!$W$4:$W$40,$AZ$5:$AZ$41,10),SUMIFS('Final Calculation Sheet'!$W$4:$W$40,$AZ$5:$AZ$41,$BH14))),""))</f>
        <v/>
      </c>
      <c r="Y11">
        <f>IF($BJ14&gt;0,IF(INDEX('Final Calculation Sheet'!$X$4:$X$40,$BJ14-3)="","",INDEX('Final Calculation Sheet'!$X$4:$X$40,$BJ14-3)),IF(OR($BI14=1,$BL14=1,$BH14&gt;0),IF($BI14=1,SUM('Final Calculation Sheet'!$X$4:$X$40),IF($BL14=1,SUM('Final Calculation Sheet'!$X$4:$X$40)-SUMIFS('Final Calculation Sheet'!$X$4:$X$40,$AZ$5:$AZ$41,10),SUMIFS('Final Calculation Sheet'!$X$4:$X$40,$AZ$5:$AZ$41,$BH14))),""))</f>
        <v/>
      </c>
      <c r="Z11">
        <f>IF($BJ14&gt;0,IF(INDEX('Final Calculation Sheet'!$Y$4:$Y$40,$BJ14-3)="","",INDEX('Final Calculation Sheet'!$Y$4:$Y$40,$BJ14-3)),IF(OR($BI14=1,$BL14=1,$BH14&gt;0),"–",""))</f>
        <v/>
      </c>
      <c r="AA11">
        <f>IF($BJ14&gt;0,IF(INDEX('Final Calculation Sheet'!$Z$4:$Z$40,$BJ14-3)="","",INDEX('Final Calculation Sheet'!$Z$4:$Z$40,$BJ14-3)),IF(OR($BI14=1,$BL14=1,$BH14&gt;0),IF($BI14=1,SUM('Final Calculation Sheet'!$Z$4:$Z$40),IF($BL14=1,SUM('Final Calculation Sheet'!$Z$4:$Z$40)-SUMIFS('Final Calculation Sheet'!$Z$4:$Z$40,$AZ$5:$AZ$41,10),SUMIFS('Final Calculation Sheet'!$Z$4:$Z$40,$AZ$5:$AZ$41,$BH14))),""))</f>
        <v/>
      </c>
      <c r="AB11">
        <f>IF($BJ14&gt;0,IF(INDEX('Final Calculation Sheet'!$AA$4:$AA$40,$BJ14-3)="","",INDEX('Final Calculation Sheet'!$AA$4:$AA$40,$BJ14-3)),IF(OR($BI14=1,$BL14=1,$BH14&gt;0),IF($BI14=1,SUM('Final Calculation Sheet'!$AA$4:$AA$40),IF($BL14=1,SUM('Final Calculation Sheet'!$AA$4:$AA$40)-SUMIFS('Final Calculation Sheet'!$AA$4:$AA$40,$AZ$5:$AZ$41,10),SUMIFS('Final Calculation Sheet'!$AA$4:$AA$40,$AZ$5:$AZ$41,$BH14))),""))</f>
        <v/>
      </c>
      <c r="AC11">
        <f>IF($BJ14&gt;0,IF(INDEX('Final Calculation Sheet'!$AB$4:$AB$40,$BJ14-3)="","",INDEX('Final Calculation Sheet'!$AB$4:$AB$40,$BJ14-3)),IF(OR($BI14=1,$BL14=1,$BH14&gt;0),"–",""))</f>
        <v/>
      </c>
      <c r="AD11">
        <f>IF($BJ14&gt;0,IF(INDEX('Final Calculation Sheet'!$AC$4:$AC$40,$BJ14-3)="","",INDEX('Final Calculation Sheet'!$AC$4:$AC$40,$BJ14-3)),IF(OR($BI14=1,$BL14=1,$BH14&gt;0),IF($BI14=1,SUM('Final Calculation Sheet'!$AC$4:$AC$40),IF($BL14=1,SUM('Final Calculation Sheet'!$AC$4:$AC$40)-SUMIFS('Final Calculation Sheet'!$AC$4:$AC$40,$AZ$5:$AZ$41,10),SUMIFS('Final Calculation Sheet'!$AC$4:$AC$40,$AZ$5:$AZ$41,$BH14))),""))</f>
        <v/>
      </c>
      <c r="AE11">
        <f>IF($BJ14&gt;0,IF(INDEX('Final Calculation Sheet'!$AD$4:$AD$40,$BJ14-3)="","",INDEX('Final Calculation Sheet'!$AD$4:$AD$40,$BJ14-3)),IF(OR($BI14=1,$BL14=1,$BH14&gt;0),IF($BI14=1,SUM('Final Calculation Sheet'!$AD$4:$AD$40),IF($BL14=1,SUM('Final Calculation Sheet'!$AD$4:$AD$40)-SUMIFS('Final Calculation Sheet'!$AD$4:$AD$40,$AZ$5:$AZ$41,10),SUMIFS('Final Calculation Sheet'!$AD$4:$AD$40,$AZ$5:$AZ$41,$BH14))),""))</f>
        <v/>
      </c>
      <c r="AF11">
        <f>IF($BJ14&gt;0,IF(INDEX('Final Calculation Sheet'!$AF$4:$AF$40,$BJ14-3)="","",INDEX('Final Calculation Sheet'!$AF$4:$AF$40,$BJ14-3)),IF(OR($BI14=1,$BL14=1,$BH14&gt;0),"–",""))</f>
        <v/>
      </c>
      <c r="AG11">
        <f>IF($BJ14&gt;0,IF(INDEX('Final Calculation Sheet'!$AG$4:$AG$40,$BJ14-3)="","",INDEX('Final Calculation Sheet'!$AG$4:$AG$40,$BJ14-3)),IF(OR($BI14=1,$BL14=1,$BH14&gt;0),"–",""))</f>
        <v/>
      </c>
      <c r="AH11">
        <f>IF($BJ14&gt;0,IF(INDEX('Final Calculation Sheet'!$AH$4:$AH$40,$BJ14-3)="","",INDEX('Final Calculation Sheet'!$AH$4:$AH$40,$BJ14-3)),IF(OR($BI14=1,$BL14=1,$BH14&gt;0),"–",""))</f>
        <v/>
      </c>
      <c r="AI11">
        <f>IF($BJ14&gt;0,IF(INDEX('Final Calculation Sheet'!$AD$4:$AD$40,$BJ14-3)="","",IF(INDEX('Final Calculation Sheet'!$AD$4:$AD$40,$BJ14-3)&lt;=5,"SETTLED","OUTSTANDING")),IF(OR($BI14=1,$BL14=1,$BH14&gt;0),IF(IF($BI14=1,SUM('Final Calculation Sheet'!$AD$4:$AD$40),IF($BL14=1,SUM('Final Calculation Sheet'!$AD$4:$AD$40)-SUMIFS('Final Calculation Sheet'!$AD$4:$AD$40,$AZ$5:$AZ$41,10),SUMIFS('Final Calculation Sheet'!$AD$4:$AD$40,$AZ$5:$AZ$41,$BH14)))&lt;=5,"ALL SETTLED","OUTSTANDING"),""))</f>
        <v/>
      </c>
    </row>
    <row r="12">
      <c r="A12">
        <f>IF($BJ15&gt;0,INDEX($BA$5:$BA$41,MATCH(15,$BB$5:$BB$41,0)),IF(OR($BI15=1,$BL15=1,$BH15&gt;0),"∑",""))</f>
        <v/>
      </c>
      <c r="B12">
        <f>IF($BJ15&gt;0,IF(INDEX('Final Calculation Sheet'!$F$4:$F$40,$BJ15-3)="","",INDEX('Final Calculation Sheet'!$F$4:$F$40,$BJ15-3)),"")</f>
        <v/>
      </c>
      <c r="C12">
        <f>IF($BJ15&gt;0,IF(INDEX('Final Calculation Sheet'!$G$4:$G$40,$BJ15-3)="","",INDEX('Final Calculation Sheet'!$G$4:$G$40,$BJ15-3)),IF(OR($BI15=1,$BL15=1,$BH15&gt;0),IF($BI15=1,37,IF($BL15=1,37-INDEX($BD$4:$BD$13,10),INDEX($BD$4:$BD$13,$BH15)))&amp;" lot(s)",""))</f>
        <v/>
      </c>
      <c r="D12">
        <f>IF($BJ15&gt;0,IF(INDEX('Final Calculation Sheet'!$B$4:$B$40,$BJ15-3)="","",INDEX('Final Calculation Sheet'!$B$4:$B$40,$BJ15-3)),IF(OR($BI15=1,$BL15=1,$BH15&gt;0),IF($BI15=1,"GRAND TOTAL  —  matching + remaining",IF($BL15=1,"TOTAL MATCHED  —  every group together",IF($BH15=10,"REMAINING  —  did not match the search",IF($BH15=9,IF(COUNTIF($A$4:$AI$4,"&lt;&gt;")&gt;0,"FILTERED LOTS  —  column fields","ALL LOTS  —  nothing typed in the box"),"GROUP "&amp;$BH15&amp;" TOTAL  —  lots matching  "&amp;INDEX($AR$6:$AY$6,$BH15))))),""))</f>
        <v/>
      </c>
      <c r="E12">
        <f>IF($BJ15&gt;0,IF(INDEX('Final Calculation Sheet'!$D$4:$D$40,$BJ15-3)="","",INDEX('Final Calculation Sheet'!$D$4:$D$40,$BJ15-3)),IF(OR($BI15=1,$BL15=1,$BH15&gt;0),"–",""))</f>
        <v/>
      </c>
      <c r="F12">
        <f>IF($BJ15&gt;0,IF(INDEX('Final Calculation Sheet'!$A$4:$A$40,$BJ15-3)="","",INDEX('Final Calculation Sheet'!$A$4:$A$40,$BJ15-3)),IF(OR($BI15=1,$BL15=1,$BH15&gt;0),IF($BI15=1,SUM('Final Calculation Sheet'!$A$4:$A$40),IF($BL15=1,SUM('Final Calculation Sheet'!$A$4:$A$40)-SUMIFS('Final Calculation Sheet'!$A$4:$A$40,$AZ$5:$AZ$41,10),SUMIFS('Final Calculation Sheet'!$A$4:$A$40,$AZ$5:$AZ$41,$BH15))),""))</f>
        <v/>
      </c>
      <c r="G12">
        <f>IF($BJ15&gt;0,IF(INDEX('Final Calculation Sheet'!$E$4:$E$40,$BJ15-3)="","",INDEX('Final Calculation Sheet'!$E$4:$E$40,$BJ15-3)),IF(OR($BI15=1,$BL15=1,$BH15&gt;0),"–",""))</f>
        <v/>
      </c>
      <c r="H12">
        <f>IF($BJ15&gt;0,IF(INDEX('Final Calculation Sheet'!$C$4:$C$40,$BJ15-3)="","",INDEX('Final Calculation Sheet'!$C$4:$C$40,$BJ15-3)),IF(OR($BI15=1,$BL15=1,$BH15&gt;0),"–",""))</f>
        <v/>
      </c>
      <c r="I12">
        <f>IF($BJ15&gt;0,IF(INDEX('Final Calculation Sheet'!$H$4:$H$40,$BJ15-3)="","",INDEX('Final Calculation Sheet'!$H$4:$H$40,$BJ15-3)),IF(OR($BI15=1,$BL15=1,$BH15&gt;0),IF($BI15=1,SUM('Final Calculation Sheet'!$H$4:$H$40),IF($BL15=1,SUM('Final Calculation Sheet'!$H$4:$H$40)-SUMIFS('Final Calculation Sheet'!$H$4:$H$40,$AZ$5:$AZ$41,10),SUMIFS('Final Calculation Sheet'!$H$4:$H$40,$AZ$5:$AZ$41,$BH15))),""))</f>
        <v/>
      </c>
      <c r="J12">
        <f>IF($BJ15&gt;0,IF(INDEX('Final Calculation Sheet'!$I$4:$I$40,$BJ15-3)="","",INDEX('Final Calculation Sheet'!$I$4:$I$40,$BJ15-3)),IF(OR($BI15=1,$BL15=1,$BH15&gt;0),IF($BI15=1,SUM('Final Calculation Sheet'!$I$4:$I$40),IF($BL15=1,SUM('Final Calculation Sheet'!$I$4:$I$40)-SUMIFS('Final Calculation Sheet'!$I$4:$I$40,$AZ$5:$AZ$41,10),SUMIFS('Final Calculation Sheet'!$I$4:$I$40,$AZ$5:$AZ$41,$BH15))),""))</f>
        <v/>
      </c>
      <c r="K12">
        <f>IF($BJ15&gt;0,IF(INDEX('Final Calculation Sheet'!$J$4:$J$40,$BJ15-3)="","",INDEX('Final Calculation Sheet'!$J$4:$J$40,$BJ15-3)),IF(OR($BI15=1,$BL15=1,$BH15&gt;0),IF($BI15=1,SUM('Final Calculation Sheet'!$J$4:$J$40),IF($BL15=1,SUM('Final Calculation Sheet'!$J$4:$J$40)-SUMIFS('Final Calculation Sheet'!$J$4:$J$40,$AZ$5:$AZ$41,10),SUMIFS('Final Calculation Sheet'!$J$4:$J$40,$AZ$5:$AZ$41,$BH15))),""))</f>
        <v/>
      </c>
      <c r="L12">
        <f>IF($BJ15&gt;0,IF(INDEX('Final Calculation Sheet'!$K$4:$K$40,$BJ15-3)="","",INDEX('Final Calculation Sheet'!$K$4:$K$40,$BJ15-3)),IF(OR($BI15=1,$BL15=1,$BH15&gt;0),IF($BI15=1,SUM('Final Calculation Sheet'!$K$4:$K$40),IF($BL15=1,SUM('Final Calculation Sheet'!$K$4:$K$40)-SUMIFS('Final Calculation Sheet'!$K$4:$K$40,$AZ$5:$AZ$41,10),SUMIFS('Final Calculation Sheet'!$K$4:$K$40,$AZ$5:$AZ$41,$BH15))),""))</f>
        <v/>
      </c>
      <c r="M12">
        <f>IF($BJ15&gt;0,IF(INDEX('Final Calculation Sheet'!$L$4:$L$40,$BJ15-3)="","",INDEX('Final Calculation Sheet'!$L$4:$L$40,$BJ15-3)),IF(OR($BI15=1,$BL15=1,$BH15&gt;0),IF($BI15=1,SUM('Final Calculation Sheet'!$L$4:$L$40),IF($BL15=1,SUM('Final Calculation Sheet'!$L$4:$L$40)-SUMIFS('Final Calculation Sheet'!$L$4:$L$40,$AZ$5:$AZ$41,10),SUMIFS('Final Calculation Sheet'!$L$4:$L$40,$AZ$5:$AZ$41,$BH15))),""))</f>
        <v/>
      </c>
      <c r="N12">
        <f>IF($BJ15&gt;0,IF(INDEX('Final Calculation Sheet'!$M$4:$M$40,$BJ15-3)="","",INDEX('Final Calculation Sheet'!$M$4:$M$40,$BJ15-3)),IF(OR($BI15=1,$BL15=1,$BH15&gt;0),IF($BI15=1,SUM('Final Calculation Sheet'!$M$4:$M$40),IF($BL15=1,SUM('Final Calculation Sheet'!$M$4:$M$40)-SUMIFS('Final Calculation Sheet'!$M$4:$M$40,$AZ$5:$AZ$41,10),SUMIFS('Final Calculation Sheet'!$M$4:$M$40,$AZ$5:$AZ$41,$BH15))),""))</f>
        <v/>
      </c>
      <c r="O12">
        <f>IF($BJ15&gt;0,IF(INDEX('Final Calculation Sheet'!$N$4:$N$40,$BJ15-3)="","",INDEX('Final Calculation Sheet'!$N$4:$N$40,$BJ15-3)),IF(OR($BI15=1,$BL15=1,$BH15&gt;0),IF($BI15=1,SUM('Final Calculation Sheet'!$N$4:$N$40),IF($BL15=1,SUM('Final Calculation Sheet'!$N$4:$N$40)-SUMIFS('Final Calculation Sheet'!$N$4:$N$40,$AZ$5:$AZ$41,10),SUMIFS('Final Calculation Sheet'!$N$4:$N$40,$AZ$5:$AZ$41,$BH15))),""))</f>
        <v/>
      </c>
      <c r="P12">
        <f>IF($BJ15&gt;0,IF(INDEX('Final Calculation Sheet'!$O$4:$O$40,$BJ15-3)="","",INDEX('Final Calculation Sheet'!$O$4:$O$40,$BJ15-3)),IF(OR($BI15=1,$BL15=1,$BH15&gt;0),IF($BI15=1,SUM('Final Calculation Sheet'!$O$4:$O$40),IF($BL15=1,SUM('Final Calculation Sheet'!$O$4:$O$40)-SUMIFS('Final Calculation Sheet'!$O$4:$O$40,$AZ$5:$AZ$41,10),SUMIFS('Final Calculation Sheet'!$O$4:$O$40,$AZ$5:$AZ$41,$BH15))),""))</f>
        <v/>
      </c>
      <c r="Q12">
        <f>IF($BJ15&gt;0,IF(INDEX('Final Calculation Sheet'!$P$4:$P$40,$BJ15-3)="","",INDEX('Final Calculation Sheet'!$P$4:$P$40,$BJ15-3)),IF(OR($BI15=1,$BL15=1,$BH15&gt;0),IF($BI15=1,SUM('Final Calculation Sheet'!$P$4:$P$40),IF($BL15=1,SUM('Final Calculation Sheet'!$P$4:$P$40)-SUMIFS('Final Calculation Sheet'!$P$4:$P$40,$AZ$5:$AZ$41,10),SUMIFS('Final Calculation Sheet'!$P$4:$P$40,$AZ$5:$AZ$41,$BH15))),""))</f>
        <v/>
      </c>
      <c r="R12">
        <f>IF($BJ15&gt;0,IF(INDEX('Final Calculation Sheet'!$Q$4:$Q$40,$BJ15-3)="","",INDEX('Final Calculation Sheet'!$Q$4:$Q$40,$BJ15-3)),IF(OR($BI15=1,$BL15=1,$BH15&gt;0),"–",""))</f>
        <v/>
      </c>
      <c r="S12">
        <f>IF($BJ15&gt;0,IF(INDEX('Final Calculation Sheet'!$R$4:$R$40,$BJ15-3)="","",INDEX('Final Calculation Sheet'!$R$4:$R$40,$BJ15-3)),IF(OR($BI15=1,$BL15=1,$BH15&gt;0),IF($BI15=1,SUM('Final Calculation Sheet'!$R$4:$R$40),IF($BL15=1,SUM('Final Calculation Sheet'!$R$4:$R$40)-SUMIFS('Final Calculation Sheet'!$R$4:$R$40,$AZ$5:$AZ$41,10),SUMIFS('Final Calculation Sheet'!$R$4:$R$40,$AZ$5:$AZ$41,$BH15))),""))</f>
        <v/>
      </c>
      <c r="T12">
        <f>IF($BJ15&gt;0,IF(INDEX('Final Calculation Sheet'!$S$4:$S$40,$BJ15-3)="","",INDEX('Final Calculation Sheet'!$S$4:$S$40,$BJ15-3)),IF(OR($BI15=1,$BL15=1,$BH15&gt;0),IF($BI15=1,SUM('Final Calculation Sheet'!$S$4:$S$40),IF($BL15=1,SUM('Final Calculation Sheet'!$S$4:$S$40)-SUMIFS('Final Calculation Sheet'!$S$4:$S$40,$AZ$5:$AZ$41,10),SUMIFS('Final Calculation Sheet'!$S$4:$S$40,$AZ$5:$AZ$41,$BH15))),""))</f>
        <v/>
      </c>
      <c r="U12">
        <f>IF($BJ15&gt;0,IF(INDEX('Final Calculation Sheet'!$T$4:$T$40,$BJ15-3)="","",INDEX('Final Calculation Sheet'!$T$4:$T$40,$BJ15-3)),IF(OR($BI15=1,$BL15=1,$BH15&gt;0),IF($BI15=1,SUM('Final Calculation Sheet'!$T$4:$T$40),IF($BL15=1,SUM('Final Calculation Sheet'!$T$4:$T$40)-SUMIFS('Final Calculation Sheet'!$T$4:$T$40,$AZ$5:$AZ$41,10),SUMIFS('Final Calculation Sheet'!$T$4:$T$40,$AZ$5:$AZ$41,$BH15))),""))</f>
        <v/>
      </c>
      <c r="V12">
        <f>IF($BJ15&gt;0,IF(INDEX('Final Calculation Sheet'!$U$4:$U$40,$BJ15-3)="","",INDEX('Final Calculation Sheet'!$U$4:$U$40,$BJ15-3)),IF(OR($BI15=1,$BL15=1,$BH15&gt;0),IF($BI15=1,SUM('Final Calculation Sheet'!$U$4:$U$40),IF($BL15=1,SUM('Final Calculation Sheet'!$U$4:$U$40)-SUMIFS('Final Calculation Sheet'!$U$4:$U$40,$AZ$5:$AZ$41,10),SUMIFS('Final Calculation Sheet'!$U$4:$U$40,$AZ$5:$AZ$41,$BH15))),""))</f>
        <v/>
      </c>
      <c r="W12">
        <f>IF($BJ15&gt;0,IF(INDEX('Final Calculation Sheet'!$V$4:$V$40,$BJ15-3)="","",INDEX('Final Calculation Sheet'!$V$4:$V$40,$BJ15-3)),IF(OR($BI15=1,$BL15=1,$BH15&gt;0),"–",""))</f>
        <v/>
      </c>
      <c r="X12">
        <f>IF($BJ15&gt;0,IF(INDEX('Final Calculation Sheet'!$W$4:$W$40,$BJ15-3)="","",INDEX('Final Calculation Sheet'!$W$4:$W$40,$BJ15-3)),IF(OR($BI15=1,$BL15=1,$BH15&gt;0),IF($BI15=1,SUM('Final Calculation Sheet'!$W$4:$W$40),IF($BL15=1,SUM('Final Calculation Sheet'!$W$4:$W$40)-SUMIFS('Final Calculation Sheet'!$W$4:$W$40,$AZ$5:$AZ$41,10),SUMIFS('Final Calculation Sheet'!$W$4:$W$40,$AZ$5:$AZ$41,$BH15))),""))</f>
        <v/>
      </c>
      <c r="Y12">
        <f>IF($BJ15&gt;0,IF(INDEX('Final Calculation Sheet'!$X$4:$X$40,$BJ15-3)="","",INDEX('Final Calculation Sheet'!$X$4:$X$40,$BJ15-3)),IF(OR($BI15=1,$BL15=1,$BH15&gt;0),IF($BI15=1,SUM('Final Calculation Sheet'!$X$4:$X$40),IF($BL15=1,SUM('Final Calculation Sheet'!$X$4:$X$40)-SUMIFS('Final Calculation Sheet'!$X$4:$X$40,$AZ$5:$AZ$41,10),SUMIFS('Final Calculation Sheet'!$X$4:$X$40,$AZ$5:$AZ$41,$BH15))),""))</f>
        <v/>
      </c>
      <c r="Z12">
        <f>IF($BJ15&gt;0,IF(INDEX('Final Calculation Sheet'!$Y$4:$Y$40,$BJ15-3)="","",INDEX('Final Calculation Sheet'!$Y$4:$Y$40,$BJ15-3)),IF(OR($BI15=1,$BL15=1,$BH15&gt;0),"–",""))</f>
        <v/>
      </c>
      <c r="AA12">
        <f>IF($BJ15&gt;0,IF(INDEX('Final Calculation Sheet'!$Z$4:$Z$40,$BJ15-3)="","",INDEX('Final Calculation Sheet'!$Z$4:$Z$40,$BJ15-3)),IF(OR($BI15=1,$BL15=1,$BH15&gt;0),IF($BI15=1,SUM('Final Calculation Sheet'!$Z$4:$Z$40),IF($BL15=1,SUM('Final Calculation Sheet'!$Z$4:$Z$40)-SUMIFS('Final Calculation Sheet'!$Z$4:$Z$40,$AZ$5:$AZ$41,10),SUMIFS('Final Calculation Sheet'!$Z$4:$Z$40,$AZ$5:$AZ$41,$BH15))),""))</f>
        <v/>
      </c>
      <c r="AB12">
        <f>IF($BJ15&gt;0,IF(INDEX('Final Calculation Sheet'!$AA$4:$AA$40,$BJ15-3)="","",INDEX('Final Calculation Sheet'!$AA$4:$AA$40,$BJ15-3)),IF(OR($BI15=1,$BL15=1,$BH15&gt;0),IF($BI15=1,SUM('Final Calculation Sheet'!$AA$4:$AA$40),IF($BL15=1,SUM('Final Calculation Sheet'!$AA$4:$AA$40)-SUMIFS('Final Calculation Sheet'!$AA$4:$AA$40,$AZ$5:$AZ$41,10),SUMIFS('Final Calculation Sheet'!$AA$4:$AA$40,$AZ$5:$AZ$41,$BH15))),""))</f>
        <v/>
      </c>
      <c r="AC12">
        <f>IF($BJ15&gt;0,IF(INDEX('Final Calculation Sheet'!$AB$4:$AB$40,$BJ15-3)="","",INDEX('Final Calculation Sheet'!$AB$4:$AB$40,$BJ15-3)),IF(OR($BI15=1,$BL15=1,$BH15&gt;0),"–",""))</f>
        <v/>
      </c>
      <c r="AD12">
        <f>IF($BJ15&gt;0,IF(INDEX('Final Calculation Sheet'!$AC$4:$AC$40,$BJ15-3)="","",INDEX('Final Calculation Sheet'!$AC$4:$AC$40,$BJ15-3)),IF(OR($BI15=1,$BL15=1,$BH15&gt;0),IF($BI15=1,SUM('Final Calculation Sheet'!$AC$4:$AC$40),IF($BL15=1,SUM('Final Calculation Sheet'!$AC$4:$AC$40)-SUMIFS('Final Calculation Sheet'!$AC$4:$AC$40,$AZ$5:$AZ$41,10),SUMIFS('Final Calculation Sheet'!$AC$4:$AC$40,$AZ$5:$AZ$41,$BH15))),""))</f>
        <v/>
      </c>
      <c r="AE12">
        <f>IF($BJ15&gt;0,IF(INDEX('Final Calculation Sheet'!$AD$4:$AD$40,$BJ15-3)="","",INDEX('Final Calculation Sheet'!$AD$4:$AD$40,$BJ15-3)),IF(OR($BI15=1,$BL15=1,$BH15&gt;0),IF($BI15=1,SUM('Final Calculation Sheet'!$AD$4:$AD$40),IF($BL15=1,SUM('Final Calculation Sheet'!$AD$4:$AD$40)-SUMIFS('Final Calculation Sheet'!$AD$4:$AD$40,$AZ$5:$AZ$41,10),SUMIFS('Final Calculation Sheet'!$AD$4:$AD$40,$AZ$5:$AZ$41,$BH15))),""))</f>
        <v/>
      </c>
      <c r="AF12">
        <f>IF($BJ15&gt;0,IF(INDEX('Final Calculation Sheet'!$AF$4:$AF$40,$BJ15-3)="","",INDEX('Final Calculation Sheet'!$AF$4:$AF$40,$BJ15-3)),IF(OR($BI15=1,$BL15=1,$BH15&gt;0),"–",""))</f>
        <v/>
      </c>
      <c r="AG12">
        <f>IF($BJ15&gt;0,IF(INDEX('Final Calculation Sheet'!$AG$4:$AG$40,$BJ15-3)="","",INDEX('Final Calculation Sheet'!$AG$4:$AG$40,$BJ15-3)),IF(OR($BI15=1,$BL15=1,$BH15&gt;0),"–",""))</f>
        <v/>
      </c>
      <c r="AH12">
        <f>IF($BJ15&gt;0,IF(INDEX('Final Calculation Sheet'!$AH$4:$AH$40,$BJ15-3)="","",INDEX('Final Calculation Sheet'!$AH$4:$AH$40,$BJ15-3)),IF(OR($BI15=1,$BL15=1,$BH15&gt;0),"–",""))</f>
        <v/>
      </c>
      <c r="AI12">
        <f>IF($BJ15&gt;0,IF(INDEX('Final Calculation Sheet'!$AD$4:$AD$40,$BJ15-3)="","",IF(INDEX('Final Calculation Sheet'!$AD$4:$AD$40,$BJ15-3)&lt;=5,"SETTLED","OUTSTANDING")),IF(OR($BI15=1,$BL15=1,$BH15&gt;0),IF(IF($BI15=1,SUM('Final Calculation Sheet'!$AD$4:$AD$40),IF($BL15=1,SUM('Final Calculation Sheet'!$AD$4:$AD$40)-SUMIFS('Final Calculation Sheet'!$AD$4:$AD$40,$AZ$5:$AZ$41,10),SUMIFS('Final Calculation Sheet'!$AD$4:$AD$40,$AZ$5:$AZ$41,$BH15)))&lt;=5,"ALL SETTLED","OUTSTANDING"),""))</f>
        <v/>
      </c>
    </row>
    <row r="13">
      <c r="A13">
        <f>IF($BJ16&gt;0,INDEX($BA$5:$BA$41,MATCH(16,$BB$5:$BB$41,0)),IF(OR($BI16=1,$BL16=1,$BH16&gt;0),"∑",""))</f>
        <v/>
      </c>
      <c r="B13">
        <f>IF($BJ16&gt;0,IF(INDEX('Final Calculation Sheet'!$F$4:$F$40,$BJ16-3)="","",INDEX('Final Calculation Sheet'!$F$4:$F$40,$BJ16-3)),"")</f>
        <v/>
      </c>
      <c r="C13">
        <f>IF($BJ16&gt;0,IF(INDEX('Final Calculation Sheet'!$G$4:$G$40,$BJ16-3)="","",INDEX('Final Calculation Sheet'!$G$4:$G$40,$BJ16-3)),IF(OR($BI16=1,$BL16=1,$BH16&gt;0),IF($BI16=1,37,IF($BL16=1,37-INDEX($BD$4:$BD$13,10),INDEX($BD$4:$BD$13,$BH16)))&amp;" lot(s)",""))</f>
        <v/>
      </c>
      <c r="D13">
        <f>IF($BJ16&gt;0,IF(INDEX('Final Calculation Sheet'!$B$4:$B$40,$BJ16-3)="","",INDEX('Final Calculation Sheet'!$B$4:$B$40,$BJ16-3)),IF(OR($BI16=1,$BL16=1,$BH16&gt;0),IF($BI16=1,"GRAND TOTAL  —  matching + remaining",IF($BL16=1,"TOTAL MATCHED  —  every group together",IF($BH16=10,"REMAINING  —  did not match the search",IF($BH16=9,IF(COUNTIF($A$4:$AI$4,"&lt;&gt;")&gt;0,"FILTERED LOTS  —  column fields","ALL LOTS  —  nothing typed in the box"),"GROUP "&amp;$BH16&amp;" TOTAL  —  lots matching  "&amp;INDEX($AR$6:$AY$6,$BH16))))),""))</f>
        <v/>
      </c>
      <c r="E13">
        <f>IF($BJ16&gt;0,IF(INDEX('Final Calculation Sheet'!$D$4:$D$40,$BJ16-3)="","",INDEX('Final Calculation Sheet'!$D$4:$D$40,$BJ16-3)),IF(OR($BI16=1,$BL16=1,$BH16&gt;0),"–",""))</f>
        <v/>
      </c>
      <c r="F13">
        <f>IF($BJ16&gt;0,IF(INDEX('Final Calculation Sheet'!$A$4:$A$40,$BJ16-3)="","",INDEX('Final Calculation Sheet'!$A$4:$A$40,$BJ16-3)),IF(OR($BI16=1,$BL16=1,$BH16&gt;0),IF($BI16=1,SUM('Final Calculation Sheet'!$A$4:$A$40),IF($BL16=1,SUM('Final Calculation Sheet'!$A$4:$A$40)-SUMIFS('Final Calculation Sheet'!$A$4:$A$40,$AZ$5:$AZ$41,10),SUMIFS('Final Calculation Sheet'!$A$4:$A$40,$AZ$5:$AZ$41,$BH16))),""))</f>
        <v/>
      </c>
      <c r="G13">
        <f>IF($BJ16&gt;0,IF(INDEX('Final Calculation Sheet'!$E$4:$E$40,$BJ16-3)="","",INDEX('Final Calculation Sheet'!$E$4:$E$40,$BJ16-3)),IF(OR($BI16=1,$BL16=1,$BH16&gt;0),"–",""))</f>
        <v/>
      </c>
      <c r="H13">
        <f>IF($BJ16&gt;0,IF(INDEX('Final Calculation Sheet'!$C$4:$C$40,$BJ16-3)="","",INDEX('Final Calculation Sheet'!$C$4:$C$40,$BJ16-3)),IF(OR($BI16=1,$BL16=1,$BH16&gt;0),"–",""))</f>
        <v/>
      </c>
      <c r="I13">
        <f>IF($BJ16&gt;0,IF(INDEX('Final Calculation Sheet'!$H$4:$H$40,$BJ16-3)="","",INDEX('Final Calculation Sheet'!$H$4:$H$40,$BJ16-3)),IF(OR($BI16=1,$BL16=1,$BH16&gt;0),IF($BI16=1,SUM('Final Calculation Sheet'!$H$4:$H$40),IF($BL16=1,SUM('Final Calculation Sheet'!$H$4:$H$40)-SUMIFS('Final Calculation Sheet'!$H$4:$H$40,$AZ$5:$AZ$41,10),SUMIFS('Final Calculation Sheet'!$H$4:$H$40,$AZ$5:$AZ$41,$BH16))),""))</f>
        <v/>
      </c>
      <c r="J13">
        <f>IF($BJ16&gt;0,IF(INDEX('Final Calculation Sheet'!$I$4:$I$40,$BJ16-3)="","",INDEX('Final Calculation Sheet'!$I$4:$I$40,$BJ16-3)),IF(OR($BI16=1,$BL16=1,$BH16&gt;0),IF($BI16=1,SUM('Final Calculation Sheet'!$I$4:$I$40),IF($BL16=1,SUM('Final Calculation Sheet'!$I$4:$I$40)-SUMIFS('Final Calculation Sheet'!$I$4:$I$40,$AZ$5:$AZ$41,10),SUMIFS('Final Calculation Sheet'!$I$4:$I$40,$AZ$5:$AZ$41,$BH16))),""))</f>
        <v/>
      </c>
      <c r="K13">
        <f>IF($BJ16&gt;0,IF(INDEX('Final Calculation Sheet'!$J$4:$J$40,$BJ16-3)="","",INDEX('Final Calculation Sheet'!$J$4:$J$40,$BJ16-3)),IF(OR($BI16=1,$BL16=1,$BH16&gt;0),IF($BI16=1,SUM('Final Calculation Sheet'!$J$4:$J$40),IF($BL16=1,SUM('Final Calculation Sheet'!$J$4:$J$40)-SUMIFS('Final Calculation Sheet'!$J$4:$J$40,$AZ$5:$AZ$41,10),SUMIFS('Final Calculation Sheet'!$J$4:$J$40,$AZ$5:$AZ$41,$BH16))),""))</f>
        <v/>
      </c>
      <c r="L13">
        <f>IF($BJ16&gt;0,IF(INDEX('Final Calculation Sheet'!$K$4:$K$40,$BJ16-3)="","",INDEX('Final Calculation Sheet'!$K$4:$K$40,$BJ16-3)),IF(OR($BI16=1,$BL16=1,$BH16&gt;0),IF($BI16=1,SUM('Final Calculation Sheet'!$K$4:$K$40),IF($BL16=1,SUM('Final Calculation Sheet'!$K$4:$K$40)-SUMIFS('Final Calculation Sheet'!$K$4:$K$40,$AZ$5:$AZ$41,10),SUMIFS('Final Calculation Sheet'!$K$4:$K$40,$AZ$5:$AZ$41,$BH16))),""))</f>
        <v/>
      </c>
      <c r="M13">
        <f>IF($BJ16&gt;0,IF(INDEX('Final Calculation Sheet'!$L$4:$L$40,$BJ16-3)="","",INDEX('Final Calculation Sheet'!$L$4:$L$40,$BJ16-3)),IF(OR($BI16=1,$BL16=1,$BH16&gt;0),IF($BI16=1,SUM('Final Calculation Sheet'!$L$4:$L$40),IF($BL16=1,SUM('Final Calculation Sheet'!$L$4:$L$40)-SUMIFS('Final Calculation Sheet'!$L$4:$L$40,$AZ$5:$AZ$41,10),SUMIFS('Final Calculation Sheet'!$L$4:$L$40,$AZ$5:$AZ$41,$BH16))),""))</f>
        <v/>
      </c>
      <c r="N13">
        <f>IF($BJ16&gt;0,IF(INDEX('Final Calculation Sheet'!$M$4:$M$40,$BJ16-3)="","",INDEX('Final Calculation Sheet'!$M$4:$M$40,$BJ16-3)),IF(OR($BI16=1,$BL16=1,$BH16&gt;0),IF($BI16=1,SUM('Final Calculation Sheet'!$M$4:$M$40),IF($BL16=1,SUM('Final Calculation Sheet'!$M$4:$M$40)-SUMIFS('Final Calculation Sheet'!$M$4:$M$40,$AZ$5:$AZ$41,10),SUMIFS('Final Calculation Sheet'!$M$4:$M$40,$AZ$5:$AZ$41,$BH16))),""))</f>
        <v/>
      </c>
      <c r="O13">
        <f>IF($BJ16&gt;0,IF(INDEX('Final Calculation Sheet'!$N$4:$N$40,$BJ16-3)="","",INDEX('Final Calculation Sheet'!$N$4:$N$40,$BJ16-3)),IF(OR($BI16=1,$BL16=1,$BH16&gt;0),IF($BI16=1,SUM('Final Calculation Sheet'!$N$4:$N$40),IF($BL16=1,SUM('Final Calculation Sheet'!$N$4:$N$40)-SUMIFS('Final Calculation Sheet'!$N$4:$N$40,$AZ$5:$AZ$41,10),SUMIFS('Final Calculation Sheet'!$N$4:$N$40,$AZ$5:$AZ$41,$BH16))),""))</f>
        <v/>
      </c>
      <c r="P13">
        <f>IF($BJ16&gt;0,IF(INDEX('Final Calculation Sheet'!$O$4:$O$40,$BJ16-3)="","",INDEX('Final Calculation Sheet'!$O$4:$O$40,$BJ16-3)),IF(OR($BI16=1,$BL16=1,$BH16&gt;0),IF($BI16=1,SUM('Final Calculation Sheet'!$O$4:$O$40),IF($BL16=1,SUM('Final Calculation Sheet'!$O$4:$O$40)-SUMIFS('Final Calculation Sheet'!$O$4:$O$40,$AZ$5:$AZ$41,10),SUMIFS('Final Calculation Sheet'!$O$4:$O$40,$AZ$5:$AZ$41,$BH16))),""))</f>
        <v/>
      </c>
      <c r="Q13">
        <f>IF($BJ16&gt;0,IF(INDEX('Final Calculation Sheet'!$P$4:$P$40,$BJ16-3)="","",INDEX('Final Calculation Sheet'!$P$4:$P$40,$BJ16-3)),IF(OR($BI16=1,$BL16=1,$BH16&gt;0),IF($BI16=1,SUM('Final Calculation Sheet'!$P$4:$P$40),IF($BL16=1,SUM('Final Calculation Sheet'!$P$4:$P$40)-SUMIFS('Final Calculation Sheet'!$P$4:$P$40,$AZ$5:$AZ$41,10),SUMIFS('Final Calculation Sheet'!$P$4:$P$40,$AZ$5:$AZ$41,$BH16))),""))</f>
        <v/>
      </c>
      <c r="R13">
        <f>IF($BJ16&gt;0,IF(INDEX('Final Calculation Sheet'!$Q$4:$Q$40,$BJ16-3)="","",INDEX('Final Calculation Sheet'!$Q$4:$Q$40,$BJ16-3)),IF(OR($BI16=1,$BL16=1,$BH16&gt;0),"–",""))</f>
        <v/>
      </c>
      <c r="S13">
        <f>IF($BJ16&gt;0,IF(INDEX('Final Calculation Sheet'!$R$4:$R$40,$BJ16-3)="","",INDEX('Final Calculation Sheet'!$R$4:$R$40,$BJ16-3)),IF(OR($BI16=1,$BL16=1,$BH16&gt;0),IF($BI16=1,SUM('Final Calculation Sheet'!$R$4:$R$40),IF($BL16=1,SUM('Final Calculation Sheet'!$R$4:$R$40)-SUMIFS('Final Calculation Sheet'!$R$4:$R$40,$AZ$5:$AZ$41,10),SUMIFS('Final Calculation Sheet'!$R$4:$R$40,$AZ$5:$AZ$41,$BH16))),""))</f>
        <v/>
      </c>
      <c r="T13">
        <f>IF($BJ16&gt;0,IF(INDEX('Final Calculation Sheet'!$S$4:$S$40,$BJ16-3)="","",INDEX('Final Calculation Sheet'!$S$4:$S$40,$BJ16-3)),IF(OR($BI16=1,$BL16=1,$BH16&gt;0),IF($BI16=1,SUM('Final Calculation Sheet'!$S$4:$S$40),IF($BL16=1,SUM('Final Calculation Sheet'!$S$4:$S$40)-SUMIFS('Final Calculation Sheet'!$S$4:$S$40,$AZ$5:$AZ$41,10),SUMIFS('Final Calculation Sheet'!$S$4:$S$40,$AZ$5:$AZ$41,$BH16))),""))</f>
        <v/>
      </c>
      <c r="U13">
        <f>IF($BJ16&gt;0,IF(INDEX('Final Calculation Sheet'!$T$4:$T$40,$BJ16-3)="","",INDEX('Final Calculation Sheet'!$T$4:$T$40,$BJ16-3)),IF(OR($BI16=1,$BL16=1,$BH16&gt;0),IF($BI16=1,SUM('Final Calculation Sheet'!$T$4:$T$40),IF($BL16=1,SUM('Final Calculation Sheet'!$T$4:$T$40)-SUMIFS('Final Calculation Sheet'!$T$4:$T$40,$AZ$5:$AZ$41,10),SUMIFS('Final Calculation Sheet'!$T$4:$T$40,$AZ$5:$AZ$41,$BH16))),""))</f>
        <v/>
      </c>
      <c r="V13">
        <f>IF($BJ16&gt;0,IF(INDEX('Final Calculation Sheet'!$U$4:$U$40,$BJ16-3)="","",INDEX('Final Calculation Sheet'!$U$4:$U$40,$BJ16-3)),IF(OR($BI16=1,$BL16=1,$BH16&gt;0),IF($BI16=1,SUM('Final Calculation Sheet'!$U$4:$U$40),IF($BL16=1,SUM('Final Calculation Sheet'!$U$4:$U$40)-SUMIFS('Final Calculation Sheet'!$U$4:$U$40,$AZ$5:$AZ$41,10),SUMIFS('Final Calculation Sheet'!$U$4:$U$40,$AZ$5:$AZ$41,$BH16))),""))</f>
        <v/>
      </c>
      <c r="W13">
        <f>IF($BJ16&gt;0,IF(INDEX('Final Calculation Sheet'!$V$4:$V$40,$BJ16-3)="","",INDEX('Final Calculation Sheet'!$V$4:$V$40,$BJ16-3)),IF(OR($BI16=1,$BL16=1,$BH16&gt;0),"–",""))</f>
        <v/>
      </c>
      <c r="X13">
        <f>IF($BJ16&gt;0,IF(INDEX('Final Calculation Sheet'!$W$4:$W$40,$BJ16-3)="","",INDEX('Final Calculation Sheet'!$W$4:$W$40,$BJ16-3)),IF(OR($BI16=1,$BL16=1,$BH16&gt;0),IF($BI16=1,SUM('Final Calculation Sheet'!$W$4:$W$40),IF($BL16=1,SUM('Final Calculation Sheet'!$W$4:$W$40)-SUMIFS('Final Calculation Sheet'!$W$4:$W$40,$AZ$5:$AZ$41,10),SUMIFS('Final Calculation Sheet'!$W$4:$W$40,$AZ$5:$AZ$41,$BH16))),""))</f>
        <v/>
      </c>
      <c r="Y13">
        <f>IF($BJ16&gt;0,IF(INDEX('Final Calculation Sheet'!$X$4:$X$40,$BJ16-3)="","",INDEX('Final Calculation Sheet'!$X$4:$X$40,$BJ16-3)),IF(OR($BI16=1,$BL16=1,$BH16&gt;0),IF($BI16=1,SUM('Final Calculation Sheet'!$X$4:$X$40),IF($BL16=1,SUM('Final Calculation Sheet'!$X$4:$X$40)-SUMIFS('Final Calculation Sheet'!$X$4:$X$40,$AZ$5:$AZ$41,10),SUMIFS('Final Calculation Sheet'!$X$4:$X$40,$AZ$5:$AZ$41,$BH16))),""))</f>
        <v/>
      </c>
      <c r="Z13">
        <f>IF($BJ16&gt;0,IF(INDEX('Final Calculation Sheet'!$Y$4:$Y$40,$BJ16-3)="","",INDEX('Final Calculation Sheet'!$Y$4:$Y$40,$BJ16-3)),IF(OR($BI16=1,$BL16=1,$BH16&gt;0),"–",""))</f>
        <v/>
      </c>
      <c r="AA13">
        <f>IF($BJ16&gt;0,IF(INDEX('Final Calculation Sheet'!$Z$4:$Z$40,$BJ16-3)="","",INDEX('Final Calculation Sheet'!$Z$4:$Z$40,$BJ16-3)),IF(OR($BI16=1,$BL16=1,$BH16&gt;0),IF($BI16=1,SUM('Final Calculation Sheet'!$Z$4:$Z$40),IF($BL16=1,SUM('Final Calculation Sheet'!$Z$4:$Z$40)-SUMIFS('Final Calculation Sheet'!$Z$4:$Z$40,$AZ$5:$AZ$41,10),SUMIFS('Final Calculation Sheet'!$Z$4:$Z$40,$AZ$5:$AZ$41,$BH16))),""))</f>
        <v/>
      </c>
      <c r="AB13">
        <f>IF($BJ16&gt;0,IF(INDEX('Final Calculation Sheet'!$AA$4:$AA$40,$BJ16-3)="","",INDEX('Final Calculation Sheet'!$AA$4:$AA$40,$BJ16-3)),IF(OR($BI16=1,$BL16=1,$BH16&gt;0),IF($BI16=1,SUM('Final Calculation Sheet'!$AA$4:$AA$40),IF($BL16=1,SUM('Final Calculation Sheet'!$AA$4:$AA$40)-SUMIFS('Final Calculation Sheet'!$AA$4:$AA$40,$AZ$5:$AZ$41,10),SUMIFS('Final Calculation Sheet'!$AA$4:$AA$40,$AZ$5:$AZ$41,$BH16))),""))</f>
        <v/>
      </c>
      <c r="AC13">
        <f>IF($BJ16&gt;0,IF(INDEX('Final Calculation Sheet'!$AB$4:$AB$40,$BJ16-3)="","",INDEX('Final Calculation Sheet'!$AB$4:$AB$40,$BJ16-3)),IF(OR($BI16=1,$BL16=1,$BH16&gt;0),"–",""))</f>
        <v/>
      </c>
      <c r="AD13">
        <f>IF($BJ16&gt;0,IF(INDEX('Final Calculation Sheet'!$AC$4:$AC$40,$BJ16-3)="","",INDEX('Final Calculation Sheet'!$AC$4:$AC$40,$BJ16-3)),IF(OR($BI16=1,$BL16=1,$BH16&gt;0),IF($BI16=1,SUM('Final Calculation Sheet'!$AC$4:$AC$40),IF($BL16=1,SUM('Final Calculation Sheet'!$AC$4:$AC$40)-SUMIFS('Final Calculation Sheet'!$AC$4:$AC$40,$AZ$5:$AZ$41,10),SUMIFS('Final Calculation Sheet'!$AC$4:$AC$40,$AZ$5:$AZ$41,$BH16))),""))</f>
        <v/>
      </c>
      <c r="AE13">
        <f>IF($BJ16&gt;0,IF(INDEX('Final Calculation Sheet'!$AD$4:$AD$40,$BJ16-3)="","",INDEX('Final Calculation Sheet'!$AD$4:$AD$40,$BJ16-3)),IF(OR($BI16=1,$BL16=1,$BH16&gt;0),IF($BI16=1,SUM('Final Calculation Sheet'!$AD$4:$AD$40),IF($BL16=1,SUM('Final Calculation Sheet'!$AD$4:$AD$40)-SUMIFS('Final Calculation Sheet'!$AD$4:$AD$40,$AZ$5:$AZ$41,10),SUMIFS('Final Calculation Sheet'!$AD$4:$AD$40,$AZ$5:$AZ$41,$BH16))),""))</f>
        <v/>
      </c>
      <c r="AF13">
        <f>IF($BJ16&gt;0,IF(INDEX('Final Calculation Sheet'!$AF$4:$AF$40,$BJ16-3)="","",INDEX('Final Calculation Sheet'!$AF$4:$AF$40,$BJ16-3)),IF(OR($BI16=1,$BL16=1,$BH16&gt;0),"–",""))</f>
        <v/>
      </c>
      <c r="AG13">
        <f>IF($BJ16&gt;0,IF(INDEX('Final Calculation Sheet'!$AG$4:$AG$40,$BJ16-3)="","",INDEX('Final Calculation Sheet'!$AG$4:$AG$40,$BJ16-3)),IF(OR($BI16=1,$BL16=1,$BH16&gt;0),"–",""))</f>
        <v/>
      </c>
      <c r="AH13">
        <f>IF($BJ16&gt;0,IF(INDEX('Final Calculation Sheet'!$AH$4:$AH$40,$BJ16-3)="","",INDEX('Final Calculation Sheet'!$AH$4:$AH$40,$BJ16-3)),IF(OR($BI16=1,$BL16=1,$BH16&gt;0),"–",""))</f>
        <v/>
      </c>
      <c r="AI13">
        <f>IF($BJ16&gt;0,IF(INDEX('Final Calculation Sheet'!$AD$4:$AD$40,$BJ16-3)="","",IF(INDEX('Final Calculation Sheet'!$AD$4:$AD$40,$BJ16-3)&lt;=5,"SETTLED","OUTSTANDING")),IF(OR($BI16=1,$BL16=1,$BH16&gt;0),IF(IF($BI16=1,SUM('Final Calculation Sheet'!$AD$4:$AD$40),IF($BL16=1,SUM('Final Calculation Sheet'!$AD$4:$AD$40)-SUMIFS('Final Calculation Sheet'!$AD$4:$AD$40,$AZ$5:$AZ$41,10),SUMIFS('Final Calculation Sheet'!$AD$4:$AD$40,$AZ$5:$AZ$41,$BH16)))&lt;=5,"ALL SETTLED","OUTSTANDING"),""))</f>
        <v/>
      </c>
    </row>
    <row r="14">
      <c r="A14">
        <f>IF($BJ17&gt;0,INDEX($BA$5:$BA$41,MATCH(17,$BB$5:$BB$41,0)),IF(OR($BI17=1,$BL17=1,$BH17&gt;0),"∑",""))</f>
        <v/>
      </c>
      <c r="B14">
        <f>IF($BJ17&gt;0,IF(INDEX('Final Calculation Sheet'!$F$4:$F$40,$BJ17-3)="","",INDEX('Final Calculation Sheet'!$F$4:$F$40,$BJ17-3)),"")</f>
        <v/>
      </c>
      <c r="C14">
        <f>IF($BJ17&gt;0,IF(INDEX('Final Calculation Sheet'!$G$4:$G$40,$BJ17-3)="","",INDEX('Final Calculation Sheet'!$G$4:$G$40,$BJ17-3)),IF(OR($BI17=1,$BL17=1,$BH17&gt;0),IF($BI17=1,37,IF($BL17=1,37-INDEX($BD$4:$BD$13,10),INDEX($BD$4:$BD$13,$BH17)))&amp;" lot(s)",""))</f>
        <v/>
      </c>
      <c r="D14">
        <f>IF($BJ17&gt;0,IF(INDEX('Final Calculation Sheet'!$B$4:$B$40,$BJ17-3)="","",INDEX('Final Calculation Sheet'!$B$4:$B$40,$BJ17-3)),IF(OR($BI17=1,$BL17=1,$BH17&gt;0),IF($BI17=1,"GRAND TOTAL  —  matching + remaining",IF($BL17=1,"TOTAL MATCHED  —  every group together",IF($BH17=10,"REMAINING  —  did not match the search",IF($BH17=9,IF(COUNTIF($A$4:$AI$4,"&lt;&gt;")&gt;0,"FILTERED LOTS  —  column fields","ALL LOTS  —  nothing typed in the box"),"GROUP "&amp;$BH17&amp;" TOTAL  —  lots matching  "&amp;INDEX($AR$6:$AY$6,$BH17))))),""))</f>
        <v/>
      </c>
      <c r="E14">
        <f>IF($BJ17&gt;0,IF(INDEX('Final Calculation Sheet'!$D$4:$D$40,$BJ17-3)="","",INDEX('Final Calculation Sheet'!$D$4:$D$40,$BJ17-3)),IF(OR($BI17=1,$BL17=1,$BH17&gt;0),"–",""))</f>
        <v/>
      </c>
      <c r="F14">
        <f>IF($BJ17&gt;0,IF(INDEX('Final Calculation Sheet'!$A$4:$A$40,$BJ17-3)="","",INDEX('Final Calculation Sheet'!$A$4:$A$40,$BJ17-3)),IF(OR($BI17=1,$BL17=1,$BH17&gt;0),IF($BI17=1,SUM('Final Calculation Sheet'!$A$4:$A$40),IF($BL17=1,SUM('Final Calculation Sheet'!$A$4:$A$40)-SUMIFS('Final Calculation Sheet'!$A$4:$A$40,$AZ$5:$AZ$41,10),SUMIFS('Final Calculation Sheet'!$A$4:$A$40,$AZ$5:$AZ$41,$BH17))),""))</f>
        <v/>
      </c>
      <c r="G14">
        <f>IF($BJ17&gt;0,IF(INDEX('Final Calculation Sheet'!$E$4:$E$40,$BJ17-3)="","",INDEX('Final Calculation Sheet'!$E$4:$E$40,$BJ17-3)),IF(OR($BI17=1,$BL17=1,$BH17&gt;0),"–",""))</f>
        <v/>
      </c>
      <c r="H14">
        <f>IF($BJ17&gt;0,IF(INDEX('Final Calculation Sheet'!$C$4:$C$40,$BJ17-3)="","",INDEX('Final Calculation Sheet'!$C$4:$C$40,$BJ17-3)),IF(OR($BI17=1,$BL17=1,$BH17&gt;0),"–",""))</f>
        <v/>
      </c>
      <c r="I14">
        <f>IF($BJ17&gt;0,IF(INDEX('Final Calculation Sheet'!$H$4:$H$40,$BJ17-3)="","",INDEX('Final Calculation Sheet'!$H$4:$H$40,$BJ17-3)),IF(OR($BI17=1,$BL17=1,$BH17&gt;0),IF($BI17=1,SUM('Final Calculation Sheet'!$H$4:$H$40),IF($BL17=1,SUM('Final Calculation Sheet'!$H$4:$H$40)-SUMIFS('Final Calculation Sheet'!$H$4:$H$40,$AZ$5:$AZ$41,10),SUMIFS('Final Calculation Sheet'!$H$4:$H$40,$AZ$5:$AZ$41,$BH17))),""))</f>
        <v/>
      </c>
      <c r="J14">
        <f>IF($BJ17&gt;0,IF(INDEX('Final Calculation Sheet'!$I$4:$I$40,$BJ17-3)="","",INDEX('Final Calculation Sheet'!$I$4:$I$40,$BJ17-3)),IF(OR($BI17=1,$BL17=1,$BH17&gt;0),IF($BI17=1,SUM('Final Calculation Sheet'!$I$4:$I$40),IF($BL17=1,SUM('Final Calculation Sheet'!$I$4:$I$40)-SUMIFS('Final Calculation Sheet'!$I$4:$I$40,$AZ$5:$AZ$41,10),SUMIFS('Final Calculation Sheet'!$I$4:$I$40,$AZ$5:$AZ$41,$BH17))),""))</f>
        <v/>
      </c>
      <c r="K14">
        <f>IF($BJ17&gt;0,IF(INDEX('Final Calculation Sheet'!$J$4:$J$40,$BJ17-3)="","",INDEX('Final Calculation Sheet'!$J$4:$J$40,$BJ17-3)),IF(OR($BI17=1,$BL17=1,$BH17&gt;0),IF($BI17=1,SUM('Final Calculation Sheet'!$J$4:$J$40),IF($BL17=1,SUM('Final Calculation Sheet'!$J$4:$J$40)-SUMIFS('Final Calculation Sheet'!$J$4:$J$40,$AZ$5:$AZ$41,10),SUMIFS('Final Calculation Sheet'!$J$4:$J$40,$AZ$5:$AZ$41,$BH17))),""))</f>
        <v/>
      </c>
      <c r="L14">
        <f>IF($BJ17&gt;0,IF(INDEX('Final Calculation Sheet'!$K$4:$K$40,$BJ17-3)="","",INDEX('Final Calculation Sheet'!$K$4:$K$40,$BJ17-3)),IF(OR($BI17=1,$BL17=1,$BH17&gt;0),IF($BI17=1,SUM('Final Calculation Sheet'!$K$4:$K$40),IF($BL17=1,SUM('Final Calculation Sheet'!$K$4:$K$40)-SUMIFS('Final Calculation Sheet'!$K$4:$K$40,$AZ$5:$AZ$41,10),SUMIFS('Final Calculation Sheet'!$K$4:$K$40,$AZ$5:$AZ$41,$BH17))),""))</f>
        <v/>
      </c>
      <c r="M14">
        <f>IF($BJ17&gt;0,IF(INDEX('Final Calculation Sheet'!$L$4:$L$40,$BJ17-3)="","",INDEX('Final Calculation Sheet'!$L$4:$L$40,$BJ17-3)),IF(OR($BI17=1,$BL17=1,$BH17&gt;0),IF($BI17=1,SUM('Final Calculation Sheet'!$L$4:$L$40),IF($BL17=1,SUM('Final Calculation Sheet'!$L$4:$L$40)-SUMIFS('Final Calculation Sheet'!$L$4:$L$40,$AZ$5:$AZ$41,10),SUMIFS('Final Calculation Sheet'!$L$4:$L$40,$AZ$5:$AZ$41,$BH17))),""))</f>
        <v/>
      </c>
      <c r="N14">
        <f>IF($BJ17&gt;0,IF(INDEX('Final Calculation Sheet'!$M$4:$M$40,$BJ17-3)="","",INDEX('Final Calculation Sheet'!$M$4:$M$40,$BJ17-3)),IF(OR($BI17=1,$BL17=1,$BH17&gt;0),IF($BI17=1,SUM('Final Calculation Sheet'!$M$4:$M$40),IF($BL17=1,SUM('Final Calculation Sheet'!$M$4:$M$40)-SUMIFS('Final Calculation Sheet'!$M$4:$M$40,$AZ$5:$AZ$41,10),SUMIFS('Final Calculation Sheet'!$M$4:$M$40,$AZ$5:$AZ$41,$BH17))),""))</f>
        <v/>
      </c>
      <c r="O14">
        <f>IF($BJ17&gt;0,IF(INDEX('Final Calculation Sheet'!$N$4:$N$40,$BJ17-3)="","",INDEX('Final Calculation Sheet'!$N$4:$N$40,$BJ17-3)),IF(OR($BI17=1,$BL17=1,$BH17&gt;0),IF($BI17=1,SUM('Final Calculation Sheet'!$N$4:$N$40),IF($BL17=1,SUM('Final Calculation Sheet'!$N$4:$N$40)-SUMIFS('Final Calculation Sheet'!$N$4:$N$40,$AZ$5:$AZ$41,10),SUMIFS('Final Calculation Sheet'!$N$4:$N$40,$AZ$5:$AZ$41,$BH17))),""))</f>
        <v/>
      </c>
      <c r="P14">
        <f>IF($BJ17&gt;0,IF(INDEX('Final Calculation Sheet'!$O$4:$O$40,$BJ17-3)="","",INDEX('Final Calculation Sheet'!$O$4:$O$40,$BJ17-3)),IF(OR($BI17=1,$BL17=1,$BH17&gt;0),IF($BI17=1,SUM('Final Calculation Sheet'!$O$4:$O$40),IF($BL17=1,SUM('Final Calculation Sheet'!$O$4:$O$40)-SUMIFS('Final Calculation Sheet'!$O$4:$O$40,$AZ$5:$AZ$41,10),SUMIFS('Final Calculation Sheet'!$O$4:$O$40,$AZ$5:$AZ$41,$BH17))),""))</f>
        <v/>
      </c>
      <c r="Q14">
        <f>IF($BJ17&gt;0,IF(INDEX('Final Calculation Sheet'!$P$4:$P$40,$BJ17-3)="","",INDEX('Final Calculation Sheet'!$P$4:$P$40,$BJ17-3)),IF(OR($BI17=1,$BL17=1,$BH17&gt;0),IF($BI17=1,SUM('Final Calculation Sheet'!$P$4:$P$40),IF($BL17=1,SUM('Final Calculation Sheet'!$P$4:$P$40)-SUMIFS('Final Calculation Sheet'!$P$4:$P$40,$AZ$5:$AZ$41,10),SUMIFS('Final Calculation Sheet'!$P$4:$P$40,$AZ$5:$AZ$41,$BH17))),""))</f>
        <v/>
      </c>
      <c r="R14">
        <f>IF($BJ17&gt;0,IF(INDEX('Final Calculation Sheet'!$Q$4:$Q$40,$BJ17-3)="","",INDEX('Final Calculation Sheet'!$Q$4:$Q$40,$BJ17-3)),IF(OR($BI17=1,$BL17=1,$BH17&gt;0),"–",""))</f>
        <v/>
      </c>
      <c r="S14">
        <f>IF($BJ17&gt;0,IF(INDEX('Final Calculation Sheet'!$R$4:$R$40,$BJ17-3)="","",INDEX('Final Calculation Sheet'!$R$4:$R$40,$BJ17-3)),IF(OR($BI17=1,$BL17=1,$BH17&gt;0),IF($BI17=1,SUM('Final Calculation Sheet'!$R$4:$R$40),IF($BL17=1,SUM('Final Calculation Sheet'!$R$4:$R$40)-SUMIFS('Final Calculation Sheet'!$R$4:$R$40,$AZ$5:$AZ$41,10),SUMIFS('Final Calculation Sheet'!$R$4:$R$40,$AZ$5:$AZ$41,$BH17))),""))</f>
        <v/>
      </c>
      <c r="T14">
        <f>IF($BJ17&gt;0,IF(INDEX('Final Calculation Sheet'!$S$4:$S$40,$BJ17-3)="","",INDEX('Final Calculation Sheet'!$S$4:$S$40,$BJ17-3)),IF(OR($BI17=1,$BL17=1,$BH17&gt;0),IF($BI17=1,SUM('Final Calculation Sheet'!$S$4:$S$40),IF($BL17=1,SUM('Final Calculation Sheet'!$S$4:$S$40)-SUMIFS('Final Calculation Sheet'!$S$4:$S$40,$AZ$5:$AZ$41,10),SUMIFS('Final Calculation Sheet'!$S$4:$S$40,$AZ$5:$AZ$41,$BH17))),""))</f>
        <v/>
      </c>
      <c r="U14">
        <f>IF($BJ17&gt;0,IF(INDEX('Final Calculation Sheet'!$T$4:$T$40,$BJ17-3)="","",INDEX('Final Calculation Sheet'!$T$4:$T$40,$BJ17-3)),IF(OR($BI17=1,$BL17=1,$BH17&gt;0),IF($BI17=1,SUM('Final Calculation Sheet'!$T$4:$T$40),IF($BL17=1,SUM('Final Calculation Sheet'!$T$4:$T$40)-SUMIFS('Final Calculation Sheet'!$T$4:$T$40,$AZ$5:$AZ$41,10),SUMIFS('Final Calculation Sheet'!$T$4:$T$40,$AZ$5:$AZ$41,$BH17))),""))</f>
        <v/>
      </c>
      <c r="V14">
        <f>IF($BJ17&gt;0,IF(INDEX('Final Calculation Sheet'!$U$4:$U$40,$BJ17-3)="","",INDEX('Final Calculation Sheet'!$U$4:$U$40,$BJ17-3)),IF(OR($BI17=1,$BL17=1,$BH17&gt;0),IF($BI17=1,SUM('Final Calculation Sheet'!$U$4:$U$40),IF($BL17=1,SUM('Final Calculation Sheet'!$U$4:$U$40)-SUMIFS('Final Calculation Sheet'!$U$4:$U$40,$AZ$5:$AZ$41,10),SUMIFS('Final Calculation Sheet'!$U$4:$U$40,$AZ$5:$AZ$41,$BH17))),""))</f>
        <v/>
      </c>
      <c r="W14">
        <f>IF($BJ17&gt;0,IF(INDEX('Final Calculation Sheet'!$V$4:$V$40,$BJ17-3)="","",INDEX('Final Calculation Sheet'!$V$4:$V$40,$BJ17-3)),IF(OR($BI17=1,$BL17=1,$BH17&gt;0),"–",""))</f>
        <v/>
      </c>
      <c r="X14">
        <f>IF($BJ17&gt;0,IF(INDEX('Final Calculation Sheet'!$W$4:$W$40,$BJ17-3)="","",INDEX('Final Calculation Sheet'!$W$4:$W$40,$BJ17-3)),IF(OR($BI17=1,$BL17=1,$BH17&gt;0),IF($BI17=1,SUM('Final Calculation Sheet'!$W$4:$W$40),IF($BL17=1,SUM('Final Calculation Sheet'!$W$4:$W$40)-SUMIFS('Final Calculation Sheet'!$W$4:$W$40,$AZ$5:$AZ$41,10),SUMIFS('Final Calculation Sheet'!$W$4:$W$40,$AZ$5:$AZ$41,$BH17))),""))</f>
        <v/>
      </c>
      <c r="Y14">
        <f>IF($BJ17&gt;0,IF(INDEX('Final Calculation Sheet'!$X$4:$X$40,$BJ17-3)="","",INDEX('Final Calculation Sheet'!$X$4:$X$40,$BJ17-3)),IF(OR($BI17=1,$BL17=1,$BH17&gt;0),IF($BI17=1,SUM('Final Calculation Sheet'!$X$4:$X$40),IF($BL17=1,SUM('Final Calculation Sheet'!$X$4:$X$40)-SUMIFS('Final Calculation Sheet'!$X$4:$X$40,$AZ$5:$AZ$41,10),SUMIFS('Final Calculation Sheet'!$X$4:$X$40,$AZ$5:$AZ$41,$BH17))),""))</f>
        <v/>
      </c>
      <c r="Z14">
        <f>IF($BJ17&gt;0,IF(INDEX('Final Calculation Sheet'!$Y$4:$Y$40,$BJ17-3)="","",INDEX('Final Calculation Sheet'!$Y$4:$Y$40,$BJ17-3)),IF(OR($BI17=1,$BL17=1,$BH17&gt;0),"–",""))</f>
        <v/>
      </c>
      <c r="AA14">
        <f>IF($BJ17&gt;0,IF(INDEX('Final Calculation Sheet'!$Z$4:$Z$40,$BJ17-3)="","",INDEX('Final Calculation Sheet'!$Z$4:$Z$40,$BJ17-3)),IF(OR($BI17=1,$BL17=1,$BH17&gt;0),IF($BI17=1,SUM('Final Calculation Sheet'!$Z$4:$Z$40),IF($BL17=1,SUM('Final Calculation Sheet'!$Z$4:$Z$40)-SUMIFS('Final Calculation Sheet'!$Z$4:$Z$40,$AZ$5:$AZ$41,10),SUMIFS('Final Calculation Sheet'!$Z$4:$Z$40,$AZ$5:$AZ$41,$BH17))),""))</f>
        <v/>
      </c>
      <c r="AB14">
        <f>IF($BJ17&gt;0,IF(INDEX('Final Calculation Sheet'!$AA$4:$AA$40,$BJ17-3)="","",INDEX('Final Calculation Sheet'!$AA$4:$AA$40,$BJ17-3)),IF(OR($BI17=1,$BL17=1,$BH17&gt;0),IF($BI17=1,SUM('Final Calculation Sheet'!$AA$4:$AA$40),IF($BL17=1,SUM('Final Calculation Sheet'!$AA$4:$AA$40)-SUMIFS('Final Calculation Sheet'!$AA$4:$AA$40,$AZ$5:$AZ$41,10),SUMIFS('Final Calculation Sheet'!$AA$4:$AA$40,$AZ$5:$AZ$41,$BH17))),""))</f>
        <v/>
      </c>
      <c r="AC14">
        <f>IF($BJ17&gt;0,IF(INDEX('Final Calculation Sheet'!$AB$4:$AB$40,$BJ17-3)="","",INDEX('Final Calculation Sheet'!$AB$4:$AB$40,$BJ17-3)),IF(OR($BI17=1,$BL17=1,$BH17&gt;0),"–",""))</f>
        <v/>
      </c>
      <c r="AD14">
        <f>IF($BJ17&gt;0,IF(INDEX('Final Calculation Sheet'!$AC$4:$AC$40,$BJ17-3)="","",INDEX('Final Calculation Sheet'!$AC$4:$AC$40,$BJ17-3)),IF(OR($BI17=1,$BL17=1,$BH17&gt;0),IF($BI17=1,SUM('Final Calculation Sheet'!$AC$4:$AC$40),IF($BL17=1,SUM('Final Calculation Sheet'!$AC$4:$AC$40)-SUMIFS('Final Calculation Sheet'!$AC$4:$AC$40,$AZ$5:$AZ$41,10),SUMIFS('Final Calculation Sheet'!$AC$4:$AC$40,$AZ$5:$AZ$41,$BH17))),""))</f>
        <v/>
      </c>
      <c r="AE14">
        <f>IF($BJ17&gt;0,IF(INDEX('Final Calculation Sheet'!$AD$4:$AD$40,$BJ17-3)="","",INDEX('Final Calculation Sheet'!$AD$4:$AD$40,$BJ17-3)),IF(OR($BI17=1,$BL17=1,$BH17&gt;0),IF($BI17=1,SUM('Final Calculation Sheet'!$AD$4:$AD$40),IF($BL17=1,SUM('Final Calculation Sheet'!$AD$4:$AD$40)-SUMIFS('Final Calculation Sheet'!$AD$4:$AD$40,$AZ$5:$AZ$41,10),SUMIFS('Final Calculation Sheet'!$AD$4:$AD$40,$AZ$5:$AZ$41,$BH17))),""))</f>
        <v/>
      </c>
      <c r="AF14">
        <f>IF($BJ17&gt;0,IF(INDEX('Final Calculation Sheet'!$AF$4:$AF$40,$BJ17-3)="","",INDEX('Final Calculation Sheet'!$AF$4:$AF$40,$BJ17-3)),IF(OR($BI17=1,$BL17=1,$BH17&gt;0),"–",""))</f>
        <v/>
      </c>
      <c r="AG14">
        <f>IF($BJ17&gt;0,IF(INDEX('Final Calculation Sheet'!$AG$4:$AG$40,$BJ17-3)="","",INDEX('Final Calculation Sheet'!$AG$4:$AG$40,$BJ17-3)),IF(OR($BI17=1,$BL17=1,$BH17&gt;0),"–",""))</f>
        <v/>
      </c>
      <c r="AH14">
        <f>IF($BJ17&gt;0,IF(INDEX('Final Calculation Sheet'!$AH$4:$AH$40,$BJ17-3)="","",INDEX('Final Calculation Sheet'!$AH$4:$AH$40,$BJ17-3)),IF(OR($BI17=1,$BL17=1,$BH17&gt;0),"–",""))</f>
        <v/>
      </c>
      <c r="AI14">
        <f>IF($BJ17&gt;0,IF(INDEX('Final Calculation Sheet'!$AD$4:$AD$40,$BJ17-3)="","",IF(INDEX('Final Calculation Sheet'!$AD$4:$AD$40,$BJ17-3)&lt;=5,"SETTLED","OUTSTANDING")),IF(OR($BI17=1,$BL17=1,$BH17&gt;0),IF(IF($BI17=1,SUM('Final Calculation Sheet'!$AD$4:$AD$40),IF($BL17=1,SUM('Final Calculation Sheet'!$AD$4:$AD$40)-SUMIFS('Final Calculation Sheet'!$AD$4:$AD$40,$AZ$5:$AZ$41,10),SUMIFS('Final Calculation Sheet'!$AD$4:$AD$40,$AZ$5:$AZ$41,$BH17)))&lt;=5,"ALL SETTLED","OUTSTANDING"),""))</f>
        <v/>
      </c>
    </row>
    <row r="15">
      <c r="A15">
        <f>IF($BJ18&gt;0,INDEX($BA$5:$BA$41,MATCH(18,$BB$5:$BB$41,0)),IF(OR($BI18=1,$BL18=1,$BH18&gt;0),"∑",""))</f>
        <v/>
      </c>
      <c r="B15">
        <f>IF($BJ18&gt;0,IF(INDEX('Final Calculation Sheet'!$F$4:$F$40,$BJ18-3)="","",INDEX('Final Calculation Sheet'!$F$4:$F$40,$BJ18-3)),"")</f>
        <v/>
      </c>
      <c r="C15">
        <f>IF($BJ18&gt;0,IF(INDEX('Final Calculation Sheet'!$G$4:$G$40,$BJ18-3)="","",INDEX('Final Calculation Sheet'!$G$4:$G$40,$BJ18-3)),IF(OR($BI18=1,$BL18=1,$BH18&gt;0),IF($BI18=1,37,IF($BL18=1,37-INDEX($BD$4:$BD$13,10),INDEX($BD$4:$BD$13,$BH18)))&amp;" lot(s)",""))</f>
        <v/>
      </c>
      <c r="D15">
        <f>IF($BJ18&gt;0,IF(INDEX('Final Calculation Sheet'!$B$4:$B$40,$BJ18-3)="","",INDEX('Final Calculation Sheet'!$B$4:$B$40,$BJ18-3)),IF(OR($BI18=1,$BL18=1,$BH18&gt;0),IF($BI18=1,"GRAND TOTAL  —  matching + remaining",IF($BL18=1,"TOTAL MATCHED  —  every group together",IF($BH18=10,"REMAINING  —  did not match the search",IF($BH18=9,IF(COUNTIF($A$4:$AI$4,"&lt;&gt;")&gt;0,"FILTERED LOTS  —  column fields","ALL LOTS  —  nothing typed in the box"),"GROUP "&amp;$BH18&amp;" TOTAL  —  lots matching  "&amp;INDEX($AR$6:$AY$6,$BH18))))),""))</f>
        <v/>
      </c>
      <c r="E15">
        <f>IF($BJ18&gt;0,IF(INDEX('Final Calculation Sheet'!$D$4:$D$40,$BJ18-3)="","",INDEX('Final Calculation Sheet'!$D$4:$D$40,$BJ18-3)),IF(OR($BI18=1,$BL18=1,$BH18&gt;0),"–",""))</f>
        <v/>
      </c>
      <c r="F15">
        <f>IF($BJ18&gt;0,IF(INDEX('Final Calculation Sheet'!$A$4:$A$40,$BJ18-3)="","",INDEX('Final Calculation Sheet'!$A$4:$A$40,$BJ18-3)),IF(OR($BI18=1,$BL18=1,$BH18&gt;0),IF($BI18=1,SUM('Final Calculation Sheet'!$A$4:$A$40),IF($BL18=1,SUM('Final Calculation Sheet'!$A$4:$A$40)-SUMIFS('Final Calculation Sheet'!$A$4:$A$40,$AZ$5:$AZ$41,10),SUMIFS('Final Calculation Sheet'!$A$4:$A$40,$AZ$5:$AZ$41,$BH18))),""))</f>
        <v/>
      </c>
      <c r="G15">
        <f>IF($BJ18&gt;0,IF(INDEX('Final Calculation Sheet'!$E$4:$E$40,$BJ18-3)="","",INDEX('Final Calculation Sheet'!$E$4:$E$40,$BJ18-3)),IF(OR($BI18=1,$BL18=1,$BH18&gt;0),"–",""))</f>
        <v/>
      </c>
      <c r="H15">
        <f>IF($BJ18&gt;0,IF(INDEX('Final Calculation Sheet'!$C$4:$C$40,$BJ18-3)="","",INDEX('Final Calculation Sheet'!$C$4:$C$40,$BJ18-3)),IF(OR($BI18=1,$BL18=1,$BH18&gt;0),"–",""))</f>
        <v/>
      </c>
      <c r="I15">
        <f>IF($BJ18&gt;0,IF(INDEX('Final Calculation Sheet'!$H$4:$H$40,$BJ18-3)="","",INDEX('Final Calculation Sheet'!$H$4:$H$40,$BJ18-3)),IF(OR($BI18=1,$BL18=1,$BH18&gt;0),IF($BI18=1,SUM('Final Calculation Sheet'!$H$4:$H$40),IF($BL18=1,SUM('Final Calculation Sheet'!$H$4:$H$40)-SUMIFS('Final Calculation Sheet'!$H$4:$H$40,$AZ$5:$AZ$41,10),SUMIFS('Final Calculation Sheet'!$H$4:$H$40,$AZ$5:$AZ$41,$BH18))),""))</f>
        <v/>
      </c>
      <c r="J15">
        <f>IF($BJ18&gt;0,IF(INDEX('Final Calculation Sheet'!$I$4:$I$40,$BJ18-3)="","",INDEX('Final Calculation Sheet'!$I$4:$I$40,$BJ18-3)),IF(OR($BI18=1,$BL18=1,$BH18&gt;0),IF($BI18=1,SUM('Final Calculation Sheet'!$I$4:$I$40),IF($BL18=1,SUM('Final Calculation Sheet'!$I$4:$I$40)-SUMIFS('Final Calculation Sheet'!$I$4:$I$40,$AZ$5:$AZ$41,10),SUMIFS('Final Calculation Sheet'!$I$4:$I$40,$AZ$5:$AZ$41,$BH18))),""))</f>
        <v/>
      </c>
      <c r="K15">
        <f>IF($BJ18&gt;0,IF(INDEX('Final Calculation Sheet'!$J$4:$J$40,$BJ18-3)="","",INDEX('Final Calculation Sheet'!$J$4:$J$40,$BJ18-3)),IF(OR($BI18=1,$BL18=1,$BH18&gt;0),IF($BI18=1,SUM('Final Calculation Sheet'!$J$4:$J$40),IF($BL18=1,SUM('Final Calculation Sheet'!$J$4:$J$40)-SUMIFS('Final Calculation Sheet'!$J$4:$J$40,$AZ$5:$AZ$41,10),SUMIFS('Final Calculation Sheet'!$J$4:$J$40,$AZ$5:$AZ$41,$BH18))),""))</f>
        <v/>
      </c>
      <c r="L15">
        <f>IF($BJ18&gt;0,IF(INDEX('Final Calculation Sheet'!$K$4:$K$40,$BJ18-3)="","",INDEX('Final Calculation Sheet'!$K$4:$K$40,$BJ18-3)),IF(OR($BI18=1,$BL18=1,$BH18&gt;0),IF($BI18=1,SUM('Final Calculation Sheet'!$K$4:$K$40),IF($BL18=1,SUM('Final Calculation Sheet'!$K$4:$K$40)-SUMIFS('Final Calculation Sheet'!$K$4:$K$40,$AZ$5:$AZ$41,10),SUMIFS('Final Calculation Sheet'!$K$4:$K$40,$AZ$5:$AZ$41,$BH18))),""))</f>
        <v/>
      </c>
      <c r="M15">
        <f>IF($BJ18&gt;0,IF(INDEX('Final Calculation Sheet'!$L$4:$L$40,$BJ18-3)="","",INDEX('Final Calculation Sheet'!$L$4:$L$40,$BJ18-3)),IF(OR($BI18=1,$BL18=1,$BH18&gt;0),IF($BI18=1,SUM('Final Calculation Sheet'!$L$4:$L$40),IF($BL18=1,SUM('Final Calculation Sheet'!$L$4:$L$40)-SUMIFS('Final Calculation Sheet'!$L$4:$L$40,$AZ$5:$AZ$41,10),SUMIFS('Final Calculation Sheet'!$L$4:$L$40,$AZ$5:$AZ$41,$BH18))),""))</f>
        <v/>
      </c>
      <c r="N15">
        <f>IF($BJ18&gt;0,IF(INDEX('Final Calculation Sheet'!$M$4:$M$40,$BJ18-3)="","",INDEX('Final Calculation Sheet'!$M$4:$M$40,$BJ18-3)),IF(OR($BI18=1,$BL18=1,$BH18&gt;0),IF($BI18=1,SUM('Final Calculation Sheet'!$M$4:$M$40),IF($BL18=1,SUM('Final Calculation Sheet'!$M$4:$M$40)-SUMIFS('Final Calculation Sheet'!$M$4:$M$40,$AZ$5:$AZ$41,10),SUMIFS('Final Calculation Sheet'!$M$4:$M$40,$AZ$5:$AZ$41,$BH18))),""))</f>
        <v/>
      </c>
      <c r="O15">
        <f>IF($BJ18&gt;0,IF(INDEX('Final Calculation Sheet'!$N$4:$N$40,$BJ18-3)="","",INDEX('Final Calculation Sheet'!$N$4:$N$40,$BJ18-3)),IF(OR($BI18=1,$BL18=1,$BH18&gt;0),IF($BI18=1,SUM('Final Calculation Sheet'!$N$4:$N$40),IF($BL18=1,SUM('Final Calculation Sheet'!$N$4:$N$40)-SUMIFS('Final Calculation Sheet'!$N$4:$N$40,$AZ$5:$AZ$41,10),SUMIFS('Final Calculation Sheet'!$N$4:$N$40,$AZ$5:$AZ$41,$BH18))),""))</f>
        <v/>
      </c>
      <c r="P15">
        <f>IF($BJ18&gt;0,IF(INDEX('Final Calculation Sheet'!$O$4:$O$40,$BJ18-3)="","",INDEX('Final Calculation Sheet'!$O$4:$O$40,$BJ18-3)),IF(OR($BI18=1,$BL18=1,$BH18&gt;0),IF($BI18=1,SUM('Final Calculation Sheet'!$O$4:$O$40),IF($BL18=1,SUM('Final Calculation Sheet'!$O$4:$O$40)-SUMIFS('Final Calculation Sheet'!$O$4:$O$40,$AZ$5:$AZ$41,10),SUMIFS('Final Calculation Sheet'!$O$4:$O$40,$AZ$5:$AZ$41,$BH18))),""))</f>
        <v/>
      </c>
      <c r="Q15">
        <f>IF($BJ18&gt;0,IF(INDEX('Final Calculation Sheet'!$P$4:$P$40,$BJ18-3)="","",INDEX('Final Calculation Sheet'!$P$4:$P$40,$BJ18-3)),IF(OR($BI18=1,$BL18=1,$BH18&gt;0),IF($BI18=1,SUM('Final Calculation Sheet'!$P$4:$P$40),IF($BL18=1,SUM('Final Calculation Sheet'!$P$4:$P$40)-SUMIFS('Final Calculation Sheet'!$P$4:$P$40,$AZ$5:$AZ$41,10),SUMIFS('Final Calculation Sheet'!$P$4:$P$40,$AZ$5:$AZ$41,$BH18))),""))</f>
        <v/>
      </c>
      <c r="R15">
        <f>IF($BJ18&gt;0,IF(INDEX('Final Calculation Sheet'!$Q$4:$Q$40,$BJ18-3)="","",INDEX('Final Calculation Sheet'!$Q$4:$Q$40,$BJ18-3)),IF(OR($BI18=1,$BL18=1,$BH18&gt;0),"–",""))</f>
        <v/>
      </c>
      <c r="S15">
        <f>IF($BJ18&gt;0,IF(INDEX('Final Calculation Sheet'!$R$4:$R$40,$BJ18-3)="","",INDEX('Final Calculation Sheet'!$R$4:$R$40,$BJ18-3)),IF(OR($BI18=1,$BL18=1,$BH18&gt;0),IF($BI18=1,SUM('Final Calculation Sheet'!$R$4:$R$40),IF($BL18=1,SUM('Final Calculation Sheet'!$R$4:$R$40)-SUMIFS('Final Calculation Sheet'!$R$4:$R$40,$AZ$5:$AZ$41,10),SUMIFS('Final Calculation Sheet'!$R$4:$R$40,$AZ$5:$AZ$41,$BH18))),""))</f>
        <v/>
      </c>
      <c r="T15">
        <f>IF($BJ18&gt;0,IF(INDEX('Final Calculation Sheet'!$S$4:$S$40,$BJ18-3)="","",INDEX('Final Calculation Sheet'!$S$4:$S$40,$BJ18-3)),IF(OR($BI18=1,$BL18=1,$BH18&gt;0),IF($BI18=1,SUM('Final Calculation Sheet'!$S$4:$S$40),IF($BL18=1,SUM('Final Calculation Sheet'!$S$4:$S$40)-SUMIFS('Final Calculation Sheet'!$S$4:$S$40,$AZ$5:$AZ$41,10),SUMIFS('Final Calculation Sheet'!$S$4:$S$40,$AZ$5:$AZ$41,$BH18))),""))</f>
        <v/>
      </c>
      <c r="U15">
        <f>IF($BJ18&gt;0,IF(INDEX('Final Calculation Sheet'!$T$4:$T$40,$BJ18-3)="","",INDEX('Final Calculation Sheet'!$T$4:$T$40,$BJ18-3)),IF(OR($BI18=1,$BL18=1,$BH18&gt;0),IF($BI18=1,SUM('Final Calculation Sheet'!$T$4:$T$40),IF($BL18=1,SUM('Final Calculation Sheet'!$T$4:$T$40)-SUMIFS('Final Calculation Sheet'!$T$4:$T$40,$AZ$5:$AZ$41,10),SUMIFS('Final Calculation Sheet'!$T$4:$T$40,$AZ$5:$AZ$41,$BH18))),""))</f>
        <v/>
      </c>
      <c r="V15">
        <f>IF($BJ18&gt;0,IF(INDEX('Final Calculation Sheet'!$U$4:$U$40,$BJ18-3)="","",INDEX('Final Calculation Sheet'!$U$4:$U$40,$BJ18-3)),IF(OR($BI18=1,$BL18=1,$BH18&gt;0),IF($BI18=1,SUM('Final Calculation Sheet'!$U$4:$U$40),IF($BL18=1,SUM('Final Calculation Sheet'!$U$4:$U$40)-SUMIFS('Final Calculation Sheet'!$U$4:$U$40,$AZ$5:$AZ$41,10),SUMIFS('Final Calculation Sheet'!$U$4:$U$40,$AZ$5:$AZ$41,$BH18))),""))</f>
        <v/>
      </c>
      <c r="W15">
        <f>IF($BJ18&gt;0,IF(INDEX('Final Calculation Sheet'!$V$4:$V$40,$BJ18-3)="","",INDEX('Final Calculation Sheet'!$V$4:$V$40,$BJ18-3)),IF(OR($BI18=1,$BL18=1,$BH18&gt;0),"–",""))</f>
        <v/>
      </c>
      <c r="X15">
        <f>IF($BJ18&gt;0,IF(INDEX('Final Calculation Sheet'!$W$4:$W$40,$BJ18-3)="","",INDEX('Final Calculation Sheet'!$W$4:$W$40,$BJ18-3)),IF(OR($BI18=1,$BL18=1,$BH18&gt;0),IF($BI18=1,SUM('Final Calculation Sheet'!$W$4:$W$40),IF($BL18=1,SUM('Final Calculation Sheet'!$W$4:$W$40)-SUMIFS('Final Calculation Sheet'!$W$4:$W$40,$AZ$5:$AZ$41,10),SUMIFS('Final Calculation Sheet'!$W$4:$W$40,$AZ$5:$AZ$41,$BH18))),""))</f>
        <v/>
      </c>
      <c r="Y15">
        <f>IF($BJ18&gt;0,IF(INDEX('Final Calculation Sheet'!$X$4:$X$40,$BJ18-3)="","",INDEX('Final Calculation Sheet'!$X$4:$X$40,$BJ18-3)),IF(OR($BI18=1,$BL18=1,$BH18&gt;0),IF($BI18=1,SUM('Final Calculation Sheet'!$X$4:$X$40),IF($BL18=1,SUM('Final Calculation Sheet'!$X$4:$X$40)-SUMIFS('Final Calculation Sheet'!$X$4:$X$40,$AZ$5:$AZ$41,10),SUMIFS('Final Calculation Sheet'!$X$4:$X$40,$AZ$5:$AZ$41,$BH18))),""))</f>
        <v/>
      </c>
      <c r="Z15">
        <f>IF($BJ18&gt;0,IF(INDEX('Final Calculation Sheet'!$Y$4:$Y$40,$BJ18-3)="","",INDEX('Final Calculation Sheet'!$Y$4:$Y$40,$BJ18-3)),IF(OR($BI18=1,$BL18=1,$BH18&gt;0),"–",""))</f>
        <v/>
      </c>
      <c r="AA15">
        <f>IF($BJ18&gt;0,IF(INDEX('Final Calculation Sheet'!$Z$4:$Z$40,$BJ18-3)="","",INDEX('Final Calculation Sheet'!$Z$4:$Z$40,$BJ18-3)),IF(OR($BI18=1,$BL18=1,$BH18&gt;0),IF($BI18=1,SUM('Final Calculation Sheet'!$Z$4:$Z$40),IF($BL18=1,SUM('Final Calculation Sheet'!$Z$4:$Z$40)-SUMIFS('Final Calculation Sheet'!$Z$4:$Z$40,$AZ$5:$AZ$41,10),SUMIFS('Final Calculation Sheet'!$Z$4:$Z$40,$AZ$5:$AZ$41,$BH18))),""))</f>
        <v/>
      </c>
      <c r="AB15">
        <f>IF($BJ18&gt;0,IF(INDEX('Final Calculation Sheet'!$AA$4:$AA$40,$BJ18-3)="","",INDEX('Final Calculation Sheet'!$AA$4:$AA$40,$BJ18-3)),IF(OR($BI18=1,$BL18=1,$BH18&gt;0),IF($BI18=1,SUM('Final Calculation Sheet'!$AA$4:$AA$40),IF($BL18=1,SUM('Final Calculation Sheet'!$AA$4:$AA$40)-SUMIFS('Final Calculation Sheet'!$AA$4:$AA$40,$AZ$5:$AZ$41,10),SUMIFS('Final Calculation Sheet'!$AA$4:$AA$40,$AZ$5:$AZ$41,$BH18))),""))</f>
        <v/>
      </c>
      <c r="AC15">
        <f>IF($BJ18&gt;0,IF(INDEX('Final Calculation Sheet'!$AB$4:$AB$40,$BJ18-3)="","",INDEX('Final Calculation Sheet'!$AB$4:$AB$40,$BJ18-3)),IF(OR($BI18=1,$BL18=1,$BH18&gt;0),"–",""))</f>
        <v/>
      </c>
      <c r="AD15">
        <f>IF($BJ18&gt;0,IF(INDEX('Final Calculation Sheet'!$AC$4:$AC$40,$BJ18-3)="","",INDEX('Final Calculation Sheet'!$AC$4:$AC$40,$BJ18-3)),IF(OR($BI18=1,$BL18=1,$BH18&gt;0),IF($BI18=1,SUM('Final Calculation Sheet'!$AC$4:$AC$40),IF($BL18=1,SUM('Final Calculation Sheet'!$AC$4:$AC$40)-SUMIFS('Final Calculation Sheet'!$AC$4:$AC$40,$AZ$5:$AZ$41,10),SUMIFS('Final Calculation Sheet'!$AC$4:$AC$40,$AZ$5:$AZ$41,$BH18))),""))</f>
        <v/>
      </c>
      <c r="AE15">
        <f>IF($BJ18&gt;0,IF(INDEX('Final Calculation Sheet'!$AD$4:$AD$40,$BJ18-3)="","",INDEX('Final Calculation Sheet'!$AD$4:$AD$40,$BJ18-3)),IF(OR($BI18=1,$BL18=1,$BH18&gt;0),IF($BI18=1,SUM('Final Calculation Sheet'!$AD$4:$AD$40),IF($BL18=1,SUM('Final Calculation Sheet'!$AD$4:$AD$40)-SUMIFS('Final Calculation Sheet'!$AD$4:$AD$40,$AZ$5:$AZ$41,10),SUMIFS('Final Calculation Sheet'!$AD$4:$AD$40,$AZ$5:$AZ$41,$BH18))),""))</f>
        <v/>
      </c>
      <c r="AF15">
        <f>IF($BJ18&gt;0,IF(INDEX('Final Calculation Sheet'!$AF$4:$AF$40,$BJ18-3)="","",INDEX('Final Calculation Sheet'!$AF$4:$AF$40,$BJ18-3)),IF(OR($BI18=1,$BL18=1,$BH18&gt;0),"–",""))</f>
        <v/>
      </c>
      <c r="AG15">
        <f>IF($BJ18&gt;0,IF(INDEX('Final Calculation Sheet'!$AG$4:$AG$40,$BJ18-3)="","",INDEX('Final Calculation Sheet'!$AG$4:$AG$40,$BJ18-3)),IF(OR($BI18=1,$BL18=1,$BH18&gt;0),"–",""))</f>
        <v/>
      </c>
      <c r="AH15">
        <f>IF($BJ18&gt;0,IF(INDEX('Final Calculation Sheet'!$AH$4:$AH$40,$BJ18-3)="","",INDEX('Final Calculation Sheet'!$AH$4:$AH$40,$BJ18-3)),IF(OR($BI18=1,$BL18=1,$BH18&gt;0),"–",""))</f>
        <v/>
      </c>
      <c r="AI15">
        <f>IF($BJ18&gt;0,IF(INDEX('Final Calculation Sheet'!$AD$4:$AD$40,$BJ18-3)="","",IF(INDEX('Final Calculation Sheet'!$AD$4:$AD$40,$BJ18-3)&lt;=5,"SETTLED","OUTSTANDING")),IF(OR($BI18=1,$BL18=1,$BH18&gt;0),IF(IF($BI18=1,SUM('Final Calculation Sheet'!$AD$4:$AD$40),IF($BL18=1,SUM('Final Calculation Sheet'!$AD$4:$AD$40)-SUMIFS('Final Calculation Sheet'!$AD$4:$AD$40,$AZ$5:$AZ$41,10),SUMIFS('Final Calculation Sheet'!$AD$4:$AD$40,$AZ$5:$AZ$41,$BH18)))&lt;=5,"ALL SETTLED","OUTSTANDING"),""))</f>
        <v/>
      </c>
    </row>
    <row r="16">
      <c r="A16">
        <f>IF($BJ19&gt;0,INDEX($BA$5:$BA$41,MATCH(19,$BB$5:$BB$41,0)),IF(OR($BI19=1,$BL19=1,$BH19&gt;0),"∑",""))</f>
        <v/>
      </c>
      <c r="B16">
        <f>IF($BJ19&gt;0,IF(INDEX('Final Calculation Sheet'!$F$4:$F$40,$BJ19-3)="","",INDEX('Final Calculation Sheet'!$F$4:$F$40,$BJ19-3)),"")</f>
        <v/>
      </c>
      <c r="C16">
        <f>IF($BJ19&gt;0,IF(INDEX('Final Calculation Sheet'!$G$4:$G$40,$BJ19-3)="","",INDEX('Final Calculation Sheet'!$G$4:$G$40,$BJ19-3)),IF(OR($BI19=1,$BL19=1,$BH19&gt;0),IF($BI19=1,37,IF($BL19=1,37-INDEX($BD$4:$BD$13,10),INDEX($BD$4:$BD$13,$BH19)))&amp;" lot(s)",""))</f>
        <v/>
      </c>
      <c r="D16">
        <f>IF($BJ19&gt;0,IF(INDEX('Final Calculation Sheet'!$B$4:$B$40,$BJ19-3)="","",INDEX('Final Calculation Sheet'!$B$4:$B$40,$BJ19-3)),IF(OR($BI19=1,$BL19=1,$BH19&gt;0),IF($BI19=1,"GRAND TOTAL  —  matching + remaining",IF($BL19=1,"TOTAL MATCHED  —  every group together",IF($BH19=10,"REMAINING  —  did not match the search",IF($BH19=9,IF(COUNTIF($A$4:$AI$4,"&lt;&gt;")&gt;0,"FILTERED LOTS  —  column fields","ALL LOTS  —  nothing typed in the box"),"GROUP "&amp;$BH19&amp;" TOTAL  —  lots matching  "&amp;INDEX($AR$6:$AY$6,$BH19))))),""))</f>
        <v/>
      </c>
      <c r="E16">
        <f>IF($BJ19&gt;0,IF(INDEX('Final Calculation Sheet'!$D$4:$D$40,$BJ19-3)="","",INDEX('Final Calculation Sheet'!$D$4:$D$40,$BJ19-3)),IF(OR($BI19=1,$BL19=1,$BH19&gt;0),"–",""))</f>
        <v/>
      </c>
      <c r="F16">
        <f>IF($BJ19&gt;0,IF(INDEX('Final Calculation Sheet'!$A$4:$A$40,$BJ19-3)="","",INDEX('Final Calculation Sheet'!$A$4:$A$40,$BJ19-3)),IF(OR($BI19=1,$BL19=1,$BH19&gt;0),IF($BI19=1,SUM('Final Calculation Sheet'!$A$4:$A$40),IF($BL19=1,SUM('Final Calculation Sheet'!$A$4:$A$40)-SUMIFS('Final Calculation Sheet'!$A$4:$A$40,$AZ$5:$AZ$41,10),SUMIFS('Final Calculation Sheet'!$A$4:$A$40,$AZ$5:$AZ$41,$BH19))),""))</f>
        <v/>
      </c>
      <c r="G16">
        <f>IF($BJ19&gt;0,IF(INDEX('Final Calculation Sheet'!$E$4:$E$40,$BJ19-3)="","",INDEX('Final Calculation Sheet'!$E$4:$E$40,$BJ19-3)),IF(OR($BI19=1,$BL19=1,$BH19&gt;0),"–",""))</f>
        <v/>
      </c>
      <c r="H16">
        <f>IF($BJ19&gt;0,IF(INDEX('Final Calculation Sheet'!$C$4:$C$40,$BJ19-3)="","",INDEX('Final Calculation Sheet'!$C$4:$C$40,$BJ19-3)),IF(OR($BI19=1,$BL19=1,$BH19&gt;0),"–",""))</f>
        <v/>
      </c>
      <c r="I16">
        <f>IF($BJ19&gt;0,IF(INDEX('Final Calculation Sheet'!$H$4:$H$40,$BJ19-3)="","",INDEX('Final Calculation Sheet'!$H$4:$H$40,$BJ19-3)),IF(OR($BI19=1,$BL19=1,$BH19&gt;0),IF($BI19=1,SUM('Final Calculation Sheet'!$H$4:$H$40),IF($BL19=1,SUM('Final Calculation Sheet'!$H$4:$H$40)-SUMIFS('Final Calculation Sheet'!$H$4:$H$40,$AZ$5:$AZ$41,10),SUMIFS('Final Calculation Sheet'!$H$4:$H$40,$AZ$5:$AZ$41,$BH19))),""))</f>
        <v/>
      </c>
      <c r="J16">
        <f>IF($BJ19&gt;0,IF(INDEX('Final Calculation Sheet'!$I$4:$I$40,$BJ19-3)="","",INDEX('Final Calculation Sheet'!$I$4:$I$40,$BJ19-3)),IF(OR($BI19=1,$BL19=1,$BH19&gt;0),IF($BI19=1,SUM('Final Calculation Sheet'!$I$4:$I$40),IF($BL19=1,SUM('Final Calculation Sheet'!$I$4:$I$40)-SUMIFS('Final Calculation Sheet'!$I$4:$I$40,$AZ$5:$AZ$41,10),SUMIFS('Final Calculation Sheet'!$I$4:$I$40,$AZ$5:$AZ$41,$BH19))),""))</f>
        <v/>
      </c>
      <c r="K16">
        <f>IF($BJ19&gt;0,IF(INDEX('Final Calculation Sheet'!$J$4:$J$40,$BJ19-3)="","",INDEX('Final Calculation Sheet'!$J$4:$J$40,$BJ19-3)),IF(OR($BI19=1,$BL19=1,$BH19&gt;0),IF($BI19=1,SUM('Final Calculation Sheet'!$J$4:$J$40),IF($BL19=1,SUM('Final Calculation Sheet'!$J$4:$J$40)-SUMIFS('Final Calculation Sheet'!$J$4:$J$40,$AZ$5:$AZ$41,10),SUMIFS('Final Calculation Sheet'!$J$4:$J$40,$AZ$5:$AZ$41,$BH19))),""))</f>
        <v/>
      </c>
      <c r="L16">
        <f>IF($BJ19&gt;0,IF(INDEX('Final Calculation Sheet'!$K$4:$K$40,$BJ19-3)="","",INDEX('Final Calculation Sheet'!$K$4:$K$40,$BJ19-3)),IF(OR($BI19=1,$BL19=1,$BH19&gt;0),IF($BI19=1,SUM('Final Calculation Sheet'!$K$4:$K$40),IF($BL19=1,SUM('Final Calculation Sheet'!$K$4:$K$40)-SUMIFS('Final Calculation Sheet'!$K$4:$K$40,$AZ$5:$AZ$41,10),SUMIFS('Final Calculation Sheet'!$K$4:$K$40,$AZ$5:$AZ$41,$BH19))),""))</f>
        <v/>
      </c>
      <c r="M16">
        <f>IF($BJ19&gt;0,IF(INDEX('Final Calculation Sheet'!$L$4:$L$40,$BJ19-3)="","",INDEX('Final Calculation Sheet'!$L$4:$L$40,$BJ19-3)),IF(OR($BI19=1,$BL19=1,$BH19&gt;0),IF($BI19=1,SUM('Final Calculation Sheet'!$L$4:$L$40),IF($BL19=1,SUM('Final Calculation Sheet'!$L$4:$L$40)-SUMIFS('Final Calculation Sheet'!$L$4:$L$40,$AZ$5:$AZ$41,10),SUMIFS('Final Calculation Sheet'!$L$4:$L$40,$AZ$5:$AZ$41,$BH19))),""))</f>
        <v/>
      </c>
      <c r="N16">
        <f>IF($BJ19&gt;0,IF(INDEX('Final Calculation Sheet'!$M$4:$M$40,$BJ19-3)="","",INDEX('Final Calculation Sheet'!$M$4:$M$40,$BJ19-3)),IF(OR($BI19=1,$BL19=1,$BH19&gt;0),IF($BI19=1,SUM('Final Calculation Sheet'!$M$4:$M$40),IF($BL19=1,SUM('Final Calculation Sheet'!$M$4:$M$40)-SUMIFS('Final Calculation Sheet'!$M$4:$M$40,$AZ$5:$AZ$41,10),SUMIFS('Final Calculation Sheet'!$M$4:$M$40,$AZ$5:$AZ$41,$BH19))),""))</f>
        <v/>
      </c>
      <c r="O16">
        <f>IF($BJ19&gt;0,IF(INDEX('Final Calculation Sheet'!$N$4:$N$40,$BJ19-3)="","",INDEX('Final Calculation Sheet'!$N$4:$N$40,$BJ19-3)),IF(OR($BI19=1,$BL19=1,$BH19&gt;0),IF($BI19=1,SUM('Final Calculation Sheet'!$N$4:$N$40),IF($BL19=1,SUM('Final Calculation Sheet'!$N$4:$N$40)-SUMIFS('Final Calculation Sheet'!$N$4:$N$40,$AZ$5:$AZ$41,10),SUMIFS('Final Calculation Sheet'!$N$4:$N$40,$AZ$5:$AZ$41,$BH19))),""))</f>
        <v/>
      </c>
      <c r="P16">
        <f>IF($BJ19&gt;0,IF(INDEX('Final Calculation Sheet'!$O$4:$O$40,$BJ19-3)="","",INDEX('Final Calculation Sheet'!$O$4:$O$40,$BJ19-3)),IF(OR($BI19=1,$BL19=1,$BH19&gt;0),IF($BI19=1,SUM('Final Calculation Sheet'!$O$4:$O$40),IF($BL19=1,SUM('Final Calculation Sheet'!$O$4:$O$40)-SUMIFS('Final Calculation Sheet'!$O$4:$O$40,$AZ$5:$AZ$41,10),SUMIFS('Final Calculation Sheet'!$O$4:$O$40,$AZ$5:$AZ$41,$BH19))),""))</f>
        <v/>
      </c>
      <c r="Q16">
        <f>IF($BJ19&gt;0,IF(INDEX('Final Calculation Sheet'!$P$4:$P$40,$BJ19-3)="","",INDEX('Final Calculation Sheet'!$P$4:$P$40,$BJ19-3)),IF(OR($BI19=1,$BL19=1,$BH19&gt;0),IF($BI19=1,SUM('Final Calculation Sheet'!$P$4:$P$40),IF($BL19=1,SUM('Final Calculation Sheet'!$P$4:$P$40)-SUMIFS('Final Calculation Sheet'!$P$4:$P$40,$AZ$5:$AZ$41,10),SUMIFS('Final Calculation Sheet'!$P$4:$P$40,$AZ$5:$AZ$41,$BH19))),""))</f>
        <v/>
      </c>
      <c r="R16">
        <f>IF($BJ19&gt;0,IF(INDEX('Final Calculation Sheet'!$Q$4:$Q$40,$BJ19-3)="","",INDEX('Final Calculation Sheet'!$Q$4:$Q$40,$BJ19-3)),IF(OR($BI19=1,$BL19=1,$BH19&gt;0),"–",""))</f>
        <v/>
      </c>
      <c r="S16">
        <f>IF($BJ19&gt;0,IF(INDEX('Final Calculation Sheet'!$R$4:$R$40,$BJ19-3)="","",INDEX('Final Calculation Sheet'!$R$4:$R$40,$BJ19-3)),IF(OR($BI19=1,$BL19=1,$BH19&gt;0),IF($BI19=1,SUM('Final Calculation Sheet'!$R$4:$R$40),IF($BL19=1,SUM('Final Calculation Sheet'!$R$4:$R$40)-SUMIFS('Final Calculation Sheet'!$R$4:$R$40,$AZ$5:$AZ$41,10),SUMIFS('Final Calculation Sheet'!$R$4:$R$40,$AZ$5:$AZ$41,$BH19))),""))</f>
        <v/>
      </c>
      <c r="T16">
        <f>IF($BJ19&gt;0,IF(INDEX('Final Calculation Sheet'!$S$4:$S$40,$BJ19-3)="","",INDEX('Final Calculation Sheet'!$S$4:$S$40,$BJ19-3)),IF(OR($BI19=1,$BL19=1,$BH19&gt;0),IF($BI19=1,SUM('Final Calculation Sheet'!$S$4:$S$40),IF($BL19=1,SUM('Final Calculation Sheet'!$S$4:$S$40)-SUMIFS('Final Calculation Sheet'!$S$4:$S$40,$AZ$5:$AZ$41,10),SUMIFS('Final Calculation Sheet'!$S$4:$S$40,$AZ$5:$AZ$41,$BH19))),""))</f>
        <v/>
      </c>
      <c r="U16">
        <f>IF($BJ19&gt;0,IF(INDEX('Final Calculation Sheet'!$T$4:$T$40,$BJ19-3)="","",INDEX('Final Calculation Sheet'!$T$4:$T$40,$BJ19-3)),IF(OR($BI19=1,$BL19=1,$BH19&gt;0),IF($BI19=1,SUM('Final Calculation Sheet'!$T$4:$T$40),IF($BL19=1,SUM('Final Calculation Sheet'!$T$4:$T$40)-SUMIFS('Final Calculation Sheet'!$T$4:$T$40,$AZ$5:$AZ$41,10),SUMIFS('Final Calculation Sheet'!$T$4:$T$40,$AZ$5:$AZ$41,$BH19))),""))</f>
        <v/>
      </c>
      <c r="V16">
        <f>IF($BJ19&gt;0,IF(INDEX('Final Calculation Sheet'!$U$4:$U$40,$BJ19-3)="","",INDEX('Final Calculation Sheet'!$U$4:$U$40,$BJ19-3)),IF(OR($BI19=1,$BL19=1,$BH19&gt;0),IF($BI19=1,SUM('Final Calculation Sheet'!$U$4:$U$40),IF($BL19=1,SUM('Final Calculation Sheet'!$U$4:$U$40)-SUMIFS('Final Calculation Sheet'!$U$4:$U$40,$AZ$5:$AZ$41,10),SUMIFS('Final Calculation Sheet'!$U$4:$U$40,$AZ$5:$AZ$41,$BH19))),""))</f>
        <v/>
      </c>
      <c r="W16">
        <f>IF($BJ19&gt;0,IF(INDEX('Final Calculation Sheet'!$V$4:$V$40,$BJ19-3)="","",INDEX('Final Calculation Sheet'!$V$4:$V$40,$BJ19-3)),IF(OR($BI19=1,$BL19=1,$BH19&gt;0),"–",""))</f>
        <v/>
      </c>
      <c r="X16">
        <f>IF($BJ19&gt;0,IF(INDEX('Final Calculation Sheet'!$W$4:$W$40,$BJ19-3)="","",INDEX('Final Calculation Sheet'!$W$4:$W$40,$BJ19-3)),IF(OR($BI19=1,$BL19=1,$BH19&gt;0),IF($BI19=1,SUM('Final Calculation Sheet'!$W$4:$W$40),IF($BL19=1,SUM('Final Calculation Sheet'!$W$4:$W$40)-SUMIFS('Final Calculation Sheet'!$W$4:$W$40,$AZ$5:$AZ$41,10),SUMIFS('Final Calculation Sheet'!$W$4:$W$40,$AZ$5:$AZ$41,$BH19))),""))</f>
        <v/>
      </c>
      <c r="Y16">
        <f>IF($BJ19&gt;0,IF(INDEX('Final Calculation Sheet'!$X$4:$X$40,$BJ19-3)="","",INDEX('Final Calculation Sheet'!$X$4:$X$40,$BJ19-3)),IF(OR($BI19=1,$BL19=1,$BH19&gt;0),IF($BI19=1,SUM('Final Calculation Sheet'!$X$4:$X$40),IF($BL19=1,SUM('Final Calculation Sheet'!$X$4:$X$40)-SUMIFS('Final Calculation Sheet'!$X$4:$X$40,$AZ$5:$AZ$41,10),SUMIFS('Final Calculation Sheet'!$X$4:$X$40,$AZ$5:$AZ$41,$BH19))),""))</f>
        <v/>
      </c>
      <c r="Z16">
        <f>IF($BJ19&gt;0,IF(INDEX('Final Calculation Sheet'!$Y$4:$Y$40,$BJ19-3)="","",INDEX('Final Calculation Sheet'!$Y$4:$Y$40,$BJ19-3)),IF(OR($BI19=1,$BL19=1,$BH19&gt;0),"–",""))</f>
        <v/>
      </c>
      <c r="AA16">
        <f>IF($BJ19&gt;0,IF(INDEX('Final Calculation Sheet'!$Z$4:$Z$40,$BJ19-3)="","",INDEX('Final Calculation Sheet'!$Z$4:$Z$40,$BJ19-3)),IF(OR($BI19=1,$BL19=1,$BH19&gt;0),IF($BI19=1,SUM('Final Calculation Sheet'!$Z$4:$Z$40),IF($BL19=1,SUM('Final Calculation Sheet'!$Z$4:$Z$40)-SUMIFS('Final Calculation Sheet'!$Z$4:$Z$40,$AZ$5:$AZ$41,10),SUMIFS('Final Calculation Sheet'!$Z$4:$Z$40,$AZ$5:$AZ$41,$BH19))),""))</f>
        <v/>
      </c>
      <c r="AB16">
        <f>IF($BJ19&gt;0,IF(INDEX('Final Calculation Sheet'!$AA$4:$AA$40,$BJ19-3)="","",INDEX('Final Calculation Sheet'!$AA$4:$AA$40,$BJ19-3)),IF(OR($BI19=1,$BL19=1,$BH19&gt;0),IF($BI19=1,SUM('Final Calculation Sheet'!$AA$4:$AA$40),IF($BL19=1,SUM('Final Calculation Sheet'!$AA$4:$AA$40)-SUMIFS('Final Calculation Sheet'!$AA$4:$AA$40,$AZ$5:$AZ$41,10),SUMIFS('Final Calculation Sheet'!$AA$4:$AA$40,$AZ$5:$AZ$41,$BH19))),""))</f>
        <v/>
      </c>
      <c r="AC16">
        <f>IF($BJ19&gt;0,IF(INDEX('Final Calculation Sheet'!$AB$4:$AB$40,$BJ19-3)="","",INDEX('Final Calculation Sheet'!$AB$4:$AB$40,$BJ19-3)),IF(OR($BI19=1,$BL19=1,$BH19&gt;0),"–",""))</f>
        <v/>
      </c>
      <c r="AD16">
        <f>IF($BJ19&gt;0,IF(INDEX('Final Calculation Sheet'!$AC$4:$AC$40,$BJ19-3)="","",INDEX('Final Calculation Sheet'!$AC$4:$AC$40,$BJ19-3)),IF(OR($BI19=1,$BL19=1,$BH19&gt;0),IF($BI19=1,SUM('Final Calculation Sheet'!$AC$4:$AC$40),IF($BL19=1,SUM('Final Calculation Sheet'!$AC$4:$AC$40)-SUMIFS('Final Calculation Sheet'!$AC$4:$AC$40,$AZ$5:$AZ$41,10),SUMIFS('Final Calculation Sheet'!$AC$4:$AC$40,$AZ$5:$AZ$41,$BH19))),""))</f>
        <v/>
      </c>
      <c r="AE16">
        <f>IF($BJ19&gt;0,IF(INDEX('Final Calculation Sheet'!$AD$4:$AD$40,$BJ19-3)="","",INDEX('Final Calculation Sheet'!$AD$4:$AD$40,$BJ19-3)),IF(OR($BI19=1,$BL19=1,$BH19&gt;0),IF($BI19=1,SUM('Final Calculation Sheet'!$AD$4:$AD$40),IF($BL19=1,SUM('Final Calculation Sheet'!$AD$4:$AD$40)-SUMIFS('Final Calculation Sheet'!$AD$4:$AD$40,$AZ$5:$AZ$41,10),SUMIFS('Final Calculation Sheet'!$AD$4:$AD$40,$AZ$5:$AZ$41,$BH19))),""))</f>
        <v/>
      </c>
      <c r="AF16">
        <f>IF($BJ19&gt;0,IF(INDEX('Final Calculation Sheet'!$AF$4:$AF$40,$BJ19-3)="","",INDEX('Final Calculation Sheet'!$AF$4:$AF$40,$BJ19-3)),IF(OR($BI19=1,$BL19=1,$BH19&gt;0),"–",""))</f>
        <v/>
      </c>
      <c r="AG16">
        <f>IF($BJ19&gt;0,IF(INDEX('Final Calculation Sheet'!$AG$4:$AG$40,$BJ19-3)="","",INDEX('Final Calculation Sheet'!$AG$4:$AG$40,$BJ19-3)),IF(OR($BI19=1,$BL19=1,$BH19&gt;0),"–",""))</f>
        <v/>
      </c>
      <c r="AH16">
        <f>IF($BJ19&gt;0,IF(INDEX('Final Calculation Sheet'!$AH$4:$AH$40,$BJ19-3)="","",INDEX('Final Calculation Sheet'!$AH$4:$AH$40,$BJ19-3)),IF(OR($BI19=1,$BL19=1,$BH19&gt;0),"–",""))</f>
        <v/>
      </c>
      <c r="AI16">
        <f>IF($BJ19&gt;0,IF(INDEX('Final Calculation Sheet'!$AD$4:$AD$40,$BJ19-3)="","",IF(INDEX('Final Calculation Sheet'!$AD$4:$AD$40,$BJ19-3)&lt;=5,"SETTLED","OUTSTANDING")),IF(OR($BI19=1,$BL19=1,$BH19&gt;0),IF(IF($BI19=1,SUM('Final Calculation Sheet'!$AD$4:$AD$40),IF($BL19=1,SUM('Final Calculation Sheet'!$AD$4:$AD$40)-SUMIFS('Final Calculation Sheet'!$AD$4:$AD$40,$AZ$5:$AZ$41,10),SUMIFS('Final Calculation Sheet'!$AD$4:$AD$40,$AZ$5:$AZ$41,$BH19)))&lt;=5,"ALL SETTLED","OUTSTANDING"),""))</f>
        <v/>
      </c>
    </row>
    <row r="17">
      <c r="A17">
        <f>IF($BJ20&gt;0,INDEX($BA$5:$BA$41,MATCH(20,$BB$5:$BB$41,0)),IF(OR($BI20=1,$BL20=1,$BH20&gt;0),"∑",""))</f>
        <v/>
      </c>
      <c r="B17">
        <f>IF($BJ20&gt;0,IF(INDEX('Final Calculation Sheet'!$F$4:$F$40,$BJ20-3)="","",INDEX('Final Calculation Sheet'!$F$4:$F$40,$BJ20-3)),"")</f>
        <v/>
      </c>
      <c r="C17">
        <f>IF($BJ20&gt;0,IF(INDEX('Final Calculation Sheet'!$G$4:$G$40,$BJ20-3)="","",INDEX('Final Calculation Sheet'!$G$4:$G$40,$BJ20-3)),IF(OR($BI20=1,$BL20=1,$BH20&gt;0),IF($BI20=1,37,IF($BL20=1,37-INDEX($BD$4:$BD$13,10),INDEX($BD$4:$BD$13,$BH20)))&amp;" lot(s)",""))</f>
        <v/>
      </c>
      <c r="D17">
        <f>IF($BJ20&gt;0,IF(INDEX('Final Calculation Sheet'!$B$4:$B$40,$BJ20-3)="","",INDEX('Final Calculation Sheet'!$B$4:$B$40,$BJ20-3)),IF(OR($BI20=1,$BL20=1,$BH20&gt;0),IF($BI20=1,"GRAND TOTAL  —  matching + remaining",IF($BL20=1,"TOTAL MATCHED  —  every group together",IF($BH20=10,"REMAINING  —  did not match the search",IF($BH20=9,IF(COUNTIF($A$4:$AI$4,"&lt;&gt;")&gt;0,"FILTERED LOTS  —  column fields","ALL LOTS  —  nothing typed in the box"),"GROUP "&amp;$BH20&amp;" TOTAL  —  lots matching  "&amp;INDEX($AR$6:$AY$6,$BH20))))),""))</f>
        <v/>
      </c>
      <c r="E17">
        <f>IF($BJ20&gt;0,IF(INDEX('Final Calculation Sheet'!$D$4:$D$40,$BJ20-3)="","",INDEX('Final Calculation Sheet'!$D$4:$D$40,$BJ20-3)),IF(OR($BI20=1,$BL20=1,$BH20&gt;0),"–",""))</f>
        <v/>
      </c>
      <c r="F17">
        <f>IF($BJ20&gt;0,IF(INDEX('Final Calculation Sheet'!$A$4:$A$40,$BJ20-3)="","",INDEX('Final Calculation Sheet'!$A$4:$A$40,$BJ20-3)),IF(OR($BI20=1,$BL20=1,$BH20&gt;0),IF($BI20=1,SUM('Final Calculation Sheet'!$A$4:$A$40),IF($BL20=1,SUM('Final Calculation Sheet'!$A$4:$A$40)-SUMIFS('Final Calculation Sheet'!$A$4:$A$40,$AZ$5:$AZ$41,10),SUMIFS('Final Calculation Sheet'!$A$4:$A$40,$AZ$5:$AZ$41,$BH20))),""))</f>
        <v/>
      </c>
      <c r="G17">
        <f>IF($BJ20&gt;0,IF(INDEX('Final Calculation Sheet'!$E$4:$E$40,$BJ20-3)="","",INDEX('Final Calculation Sheet'!$E$4:$E$40,$BJ20-3)),IF(OR($BI20=1,$BL20=1,$BH20&gt;0),"–",""))</f>
        <v/>
      </c>
      <c r="H17">
        <f>IF($BJ20&gt;0,IF(INDEX('Final Calculation Sheet'!$C$4:$C$40,$BJ20-3)="","",INDEX('Final Calculation Sheet'!$C$4:$C$40,$BJ20-3)),IF(OR($BI20=1,$BL20=1,$BH20&gt;0),"–",""))</f>
        <v/>
      </c>
      <c r="I17">
        <f>IF($BJ20&gt;0,IF(INDEX('Final Calculation Sheet'!$H$4:$H$40,$BJ20-3)="","",INDEX('Final Calculation Sheet'!$H$4:$H$40,$BJ20-3)),IF(OR($BI20=1,$BL20=1,$BH20&gt;0),IF($BI20=1,SUM('Final Calculation Sheet'!$H$4:$H$40),IF($BL20=1,SUM('Final Calculation Sheet'!$H$4:$H$40)-SUMIFS('Final Calculation Sheet'!$H$4:$H$40,$AZ$5:$AZ$41,10),SUMIFS('Final Calculation Sheet'!$H$4:$H$40,$AZ$5:$AZ$41,$BH20))),""))</f>
        <v/>
      </c>
      <c r="J17">
        <f>IF($BJ20&gt;0,IF(INDEX('Final Calculation Sheet'!$I$4:$I$40,$BJ20-3)="","",INDEX('Final Calculation Sheet'!$I$4:$I$40,$BJ20-3)),IF(OR($BI20=1,$BL20=1,$BH20&gt;0),IF($BI20=1,SUM('Final Calculation Sheet'!$I$4:$I$40),IF($BL20=1,SUM('Final Calculation Sheet'!$I$4:$I$40)-SUMIFS('Final Calculation Sheet'!$I$4:$I$40,$AZ$5:$AZ$41,10),SUMIFS('Final Calculation Sheet'!$I$4:$I$40,$AZ$5:$AZ$41,$BH20))),""))</f>
        <v/>
      </c>
      <c r="K17">
        <f>IF($BJ20&gt;0,IF(INDEX('Final Calculation Sheet'!$J$4:$J$40,$BJ20-3)="","",INDEX('Final Calculation Sheet'!$J$4:$J$40,$BJ20-3)),IF(OR($BI20=1,$BL20=1,$BH20&gt;0),IF($BI20=1,SUM('Final Calculation Sheet'!$J$4:$J$40),IF($BL20=1,SUM('Final Calculation Sheet'!$J$4:$J$40)-SUMIFS('Final Calculation Sheet'!$J$4:$J$40,$AZ$5:$AZ$41,10),SUMIFS('Final Calculation Sheet'!$J$4:$J$40,$AZ$5:$AZ$41,$BH20))),""))</f>
        <v/>
      </c>
      <c r="L17">
        <f>IF($BJ20&gt;0,IF(INDEX('Final Calculation Sheet'!$K$4:$K$40,$BJ20-3)="","",INDEX('Final Calculation Sheet'!$K$4:$K$40,$BJ20-3)),IF(OR($BI20=1,$BL20=1,$BH20&gt;0),IF($BI20=1,SUM('Final Calculation Sheet'!$K$4:$K$40),IF($BL20=1,SUM('Final Calculation Sheet'!$K$4:$K$40)-SUMIFS('Final Calculation Sheet'!$K$4:$K$40,$AZ$5:$AZ$41,10),SUMIFS('Final Calculation Sheet'!$K$4:$K$40,$AZ$5:$AZ$41,$BH20))),""))</f>
        <v/>
      </c>
      <c r="M17">
        <f>IF($BJ20&gt;0,IF(INDEX('Final Calculation Sheet'!$L$4:$L$40,$BJ20-3)="","",INDEX('Final Calculation Sheet'!$L$4:$L$40,$BJ20-3)),IF(OR($BI20=1,$BL20=1,$BH20&gt;0),IF($BI20=1,SUM('Final Calculation Sheet'!$L$4:$L$40),IF($BL20=1,SUM('Final Calculation Sheet'!$L$4:$L$40)-SUMIFS('Final Calculation Sheet'!$L$4:$L$40,$AZ$5:$AZ$41,10),SUMIFS('Final Calculation Sheet'!$L$4:$L$40,$AZ$5:$AZ$41,$BH20))),""))</f>
        <v/>
      </c>
      <c r="N17">
        <f>IF($BJ20&gt;0,IF(INDEX('Final Calculation Sheet'!$M$4:$M$40,$BJ20-3)="","",INDEX('Final Calculation Sheet'!$M$4:$M$40,$BJ20-3)),IF(OR($BI20=1,$BL20=1,$BH20&gt;0),IF($BI20=1,SUM('Final Calculation Sheet'!$M$4:$M$40),IF($BL20=1,SUM('Final Calculation Sheet'!$M$4:$M$40)-SUMIFS('Final Calculation Sheet'!$M$4:$M$40,$AZ$5:$AZ$41,10),SUMIFS('Final Calculation Sheet'!$M$4:$M$40,$AZ$5:$AZ$41,$BH20))),""))</f>
        <v/>
      </c>
      <c r="O17">
        <f>IF($BJ20&gt;0,IF(INDEX('Final Calculation Sheet'!$N$4:$N$40,$BJ20-3)="","",INDEX('Final Calculation Sheet'!$N$4:$N$40,$BJ20-3)),IF(OR($BI20=1,$BL20=1,$BH20&gt;0),IF($BI20=1,SUM('Final Calculation Sheet'!$N$4:$N$40),IF($BL20=1,SUM('Final Calculation Sheet'!$N$4:$N$40)-SUMIFS('Final Calculation Sheet'!$N$4:$N$40,$AZ$5:$AZ$41,10),SUMIFS('Final Calculation Sheet'!$N$4:$N$40,$AZ$5:$AZ$41,$BH20))),""))</f>
        <v/>
      </c>
      <c r="P17">
        <f>IF($BJ20&gt;0,IF(INDEX('Final Calculation Sheet'!$O$4:$O$40,$BJ20-3)="","",INDEX('Final Calculation Sheet'!$O$4:$O$40,$BJ20-3)),IF(OR($BI20=1,$BL20=1,$BH20&gt;0),IF($BI20=1,SUM('Final Calculation Sheet'!$O$4:$O$40),IF($BL20=1,SUM('Final Calculation Sheet'!$O$4:$O$40)-SUMIFS('Final Calculation Sheet'!$O$4:$O$40,$AZ$5:$AZ$41,10),SUMIFS('Final Calculation Sheet'!$O$4:$O$40,$AZ$5:$AZ$41,$BH20))),""))</f>
        <v/>
      </c>
      <c r="Q17">
        <f>IF($BJ20&gt;0,IF(INDEX('Final Calculation Sheet'!$P$4:$P$40,$BJ20-3)="","",INDEX('Final Calculation Sheet'!$P$4:$P$40,$BJ20-3)),IF(OR($BI20=1,$BL20=1,$BH20&gt;0),IF($BI20=1,SUM('Final Calculation Sheet'!$P$4:$P$40),IF($BL20=1,SUM('Final Calculation Sheet'!$P$4:$P$40)-SUMIFS('Final Calculation Sheet'!$P$4:$P$40,$AZ$5:$AZ$41,10),SUMIFS('Final Calculation Sheet'!$P$4:$P$40,$AZ$5:$AZ$41,$BH20))),""))</f>
        <v/>
      </c>
      <c r="R17">
        <f>IF($BJ20&gt;0,IF(INDEX('Final Calculation Sheet'!$Q$4:$Q$40,$BJ20-3)="","",INDEX('Final Calculation Sheet'!$Q$4:$Q$40,$BJ20-3)),IF(OR($BI20=1,$BL20=1,$BH20&gt;0),"–",""))</f>
        <v/>
      </c>
      <c r="S17">
        <f>IF($BJ20&gt;0,IF(INDEX('Final Calculation Sheet'!$R$4:$R$40,$BJ20-3)="","",INDEX('Final Calculation Sheet'!$R$4:$R$40,$BJ20-3)),IF(OR($BI20=1,$BL20=1,$BH20&gt;0),IF($BI20=1,SUM('Final Calculation Sheet'!$R$4:$R$40),IF($BL20=1,SUM('Final Calculation Sheet'!$R$4:$R$40)-SUMIFS('Final Calculation Sheet'!$R$4:$R$40,$AZ$5:$AZ$41,10),SUMIFS('Final Calculation Sheet'!$R$4:$R$40,$AZ$5:$AZ$41,$BH20))),""))</f>
        <v/>
      </c>
      <c r="T17">
        <f>IF($BJ20&gt;0,IF(INDEX('Final Calculation Sheet'!$S$4:$S$40,$BJ20-3)="","",INDEX('Final Calculation Sheet'!$S$4:$S$40,$BJ20-3)),IF(OR($BI20=1,$BL20=1,$BH20&gt;0),IF($BI20=1,SUM('Final Calculation Sheet'!$S$4:$S$40),IF($BL20=1,SUM('Final Calculation Sheet'!$S$4:$S$40)-SUMIFS('Final Calculation Sheet'!$S$4:$S$40,$AZ$5:$AZ$41,10),SUMIFS('Final Calculation Sheet'!$S$4:$S$40,$AZ$5:$AZ$41,$BH20))),""))</f>
        <v/>
      </c>
      <c r="U17">
        <f>IF($BJ20&gt;0,IF(INDEX('Final Calculation Sheet'!$T$4:$T$40,$BJ20-3)="","",INDEX('Final Calculation Sheet'!$T$4:$T$40,$BJ20-3)),IF(OR($BI20=1,$BL20=1,$BH20&gt;0),IF($BI20=1,SUM('Final Calculation Sheet'!$T$4:$T$40),IF($BL20=1,SUM('Final Calculation Sheet'!$T$4:$T$40)-SUMIFS('Final Calculation Sheet'!$T$4:$T$40,$AZ$5:$AZ$41,10),SUMIFS('Final Calculation Sheet'!$T$4:$T$40,$AZ$5:$AZ$41,$BH20))),""))</f>
        <v/>
      </c>
      <c r="V17">
        <f>IF($BJ20&gt;0,IF(INDEX('Final Calculation Sheet'!$U$4:$U$40,$BJ20-3)="","",INDEX('Final Calculation Sheet'!$U$4:$U$40,$BJ20-3)),IF(OR($BI20=1,$BL20=1,$BH20&gt;0),IF($BI20=1,SUM('Final Calculation Sheet'!$U$4:$U$40),IF($BL20=1,SUM('Final Calculation Sheet'!$U$4:$U$40)-SUMIFS('Final Calculation Sheet'!$U$4:$U$40,$AZ$5:$AZ$41,10),SUMIFS('Final Calculation Sheet'!$U$4:$U$40,$AZ$5:$AZ$41,$BH20))),""))</f>
        <v/>
      </c>
      <c r="W17">
        <f>IF($BJ20&gt;0,IF(INDEX('Final Calculation Sheet'!$V$4:$V$40,$BJ20-3)="","",INDEX('Final Calculation Sheet'!$V$4:$V$40,$BJ20-3)),IF(OR($BI20=1,$BL20=1,$BH20&gt;0),"–",""))</f>
        <v/>
      </c>
      <c r="X17">
        <f>IF($BJ20&gt;0,IF(INDEX('Final Calculation Sheet'!$W$4:$W$40,$BJ20-3)="","",INDEX('Final Calculation Sheet'!$W$4:$W$40,$BJ20-3)),IF(OR($BI20=1,$BL20=1,$BH20&gt;0),IF($BI20=1,SUM('Final Calculation Sheet'!$W$4:$W$40),IF($BL20=1,SUM('Final Calculation Sheet'!$W$4:$W$40)-SUMIFS('Final Calculation Sheet'!$W$4:$W$40,$AZ$5:$AZ$41,10),SUMIFS('Final Calculation Sheet'!$W$4:$W$40,$AZ$5:$AZ$41,$BH20))),""))</f>
        <v/>
      </c>
      <c r="Y17">
        <f>IF($BJ20&gt;0,IF(INDEX('Final Calculation Sheet'!$X$4:$X$40,$BJ20-3)="","",INDEX('Final Calculation Sheet'!$X$4:$X$40,$BJ20-3)),IF(OR($BI20=1,$BL20=1,$BH20&gt;0),IF($BI20=1,SUM('Final Calculation Sheet'!$X$4:$X$40),IF($BL20=1,SUM('Final Calculation Sheet'!$X$4:$X$40)-SUMIFS('Final Calculation Sheet'!$X$4:$X$40,$AZ$5:$AZ$41,10),SUMIFS('Final Calculation Sheet'!$X$4:$X$40,$AZ$5:$AZ$41,$BH20))),""))</f>
        <v/>
      </c>
      <c r="Z17">
        <f>IF($BJ20&gt;0,IF(INDEX('Final Calculation Sheet'!$Y$4:$Y$40,$BJ20-3)="","",INDEX('Final Calculation Sheet'!$Y$4:$Y$40,$BJ20-3)),IF(OR($BI20=1,$BL20=1,$BH20&gt;0),"–",""))</f>
        <v/>
      </c>
      <c r="AA17">
        <f>IF($BJ20&gt;0,IF(INDEX('Final Calculation Sheet'!$Z$4:$Z$40,$BJ20-3)="","",INDEX('Final Calculation Sheet'!$Z$4:$Z$40,$BJ20-3)),IF(OR($BI20=1,$BL20=1,$BH20&gt;0),IF($BI20=1,SUM('Final Calculation Sheet'!$Z$4:$Z$40),IF($BL20=1,SUM('Final Calculation Sheet'!$Z$4:$Z$40)-SUMIFS('Final Calculation Sheet'!$Z$4:$Z$40,$AZ$5:$AZ$41,10),SUMIFS('Final Calculation Sheet'!$Z$4:$Z$40,$AZ$5:$AZ$41,$BH20))),""))</f>
        <v/>
      </c>
      <c r="AB17">
        <f>IF($BJ20&gt;0,IF(INDEX('Final Calculation Sheet'!$AA$4:$AA$40,$BJ20-3)="","",INDEX('Final Calculation Sheet'!$AA$4:$AA$40,$BJ20-3)),IF(OR($BI20=1,$BL20=1,$BH20&gt;0),IF($BI20=1,SUM('Final Calculation Sheet'!$AA$4:$AA$40),IF($BL20=1,SUM('Final Calculation Sheet'!$AA$4:$AA$40)-SUMIFS('Final Calculation Sheet'!$AA$4:$AA$40,$AZ$5:$AZ$41,10),SUMIFS('Final Calculation Sheet'!$AA$4:$AA$40,$AZ$5:$AZ$41,$BH20))),""))</f>
        <v/>
      </c>
      <c r="AC17">
        <f>IF($BJ20&gt;0,IF(INDEX('Final Calculation Sheet'!$AB$4:$AB$40,$BJ20-3)="","",INDEX('Final Calculation Sheet'!$AB$4:$AB$40,$BJ20-3)),IF(OR($BI20=1,$BL20=1,$BH20&gt;0),"–",""))</f>
        <v/>
      </c>
      <c r="AD17">
        <f>IF($BJ20&gt;0,IF(INDEX('Final Calculation Sheet'!$AC$4:$AC$40,$BJ20-3)="","",INDEX('Final Calculation Sheet'!$AC$4:$AC$40,$BJ20-3)),IF(OR($BI20=1,$BL20=1,$BH20&gt;0),IF($BI20=1,SUM('Final Calculation Sheet'!$AC$4:$AC$40),IF($BL20=1,SUM('Final Calculation Sheet'!$AC$4:$AC$40)-SUMIFS('Final Calculation Sheet'!$AC$4:$AC$40,$AZ$5:$AZ$41,10),SUMIFS('Final Calculation Sheet'!$AC$4:$AC$40,$AZ$5:$AZ$41,$BH20))),""))</f>
        <v/>
      </c>
      <c r="AE17">
        <f>IF($BJ20&gt;0,IF(INDEX('Final Calculation Sheet'!$AD$4:$AD$40,$BJ20-3)="","",INDEX('Final Calculation Sheet'!$AD$4:$AD$40,$BJ20-3)),IF(OR($BI20=1,$BL20=1,$BH20&gt;0),IF($BI20=1,SUM('Final Calculation Sheet'!$AD$4:$AD$40),IF($BL20=1,SUM('Final Calculation Sheet'!$AD$4:$AD$40)-SUMIFS('Final Calculation Sheet'!$AD$4:$AD$40,$AZ$5:$AZ$41,10),SUMIFS('Final Calculation Sheet'!$AD$4:$AD$40,$AZ$5:$AZ$41,$BH20))),""))</f>
        <v/>
      </c>
      <c r="AF17">
        <f>IF($BJ20&gt;0,IF(INDEX('Final Calculation Sheet'!$AF$4:$AF$40,$BJ20-3)="","",INDEX('Final Calculation Sheet'!$AF$4:$AF$40,$BJ20-3)),IF(OR($BI20=1,$BL20=1,$BH20&gt;0),"–",""))</f>
        <v/>
      </c>
      <c r="AG17">
        <f>IF($BJ20&gt;0,IF(INDEX('Final Calculation Sheet'!$AG$4:$AG$40,$BJ20-3)="","",INDEX('Final Calculation Sheet'!$AG$4:$AG$40,$BJ20-3)),IF(OR($BI20=1,$BL20=1,$BH20&gt;0),"–",""))</f>
        <v/>
      </c>
      <c r="AH17">
        <f>IF($BJ20&gt;0,IF(INDEX('Final Calculation Sheet'!$AH$4:$AH$40,$BJ20-3)="","",INDEX('Final Calculation Sheet'!$AH$4:$AH$40,$BJ20-3)),IF(OR($BI20=1,$BL20=1,$BH20&gt;0),"–",""))</f>
        <v/>
      </c>
      <c r="AI17">
        <f>IF($BJ20&gt;0,IF(INDEX('Final Calculation Sheet'!$AD$4:$AD$40,$BJ20-3)="","",IF(INDEX('Final Calculation Sheet'!$AD$4:$AD$40,$BJ20-3)&lt;=5,"SETTLED","OUTSTANDING")),IF(OR($BI20=1,$BL20=1,$BH20&gt;0),IF(IF($BI20=1,SUM('Final Calculation Sheet'!$AD$4:$AD$40),IF($BL20=1,SUM('Final Calculation Sheet'!$AD$4:$AD$40)-SUMIFS('Final Calculation Sheet'!$AD$4:$AD$40,$AZ$5:$AZ$41,10),SUMIFS('Final Calculation Sheet'!$AD$4:$AD$40,$AZ$5:$AZ$41,$BH20)))&lt;=5,"ALL SETTLED","OUTSTANDING"),""))</f>
        <v/>
      </c>
    </row>
    <row r="18">
      <c r="A18">
        <f>IF($BJ21&gt;0,INDEX($BA$5:$BA$41,MATCH(21,$BB$5:$BB$41,0)),IF(OR($BI21=1,$BL21=1,$BH21&gt;0),"∑",""))</f>
        <v/>
      </c>
      <c r="B18">
        <f>IF($BJ21&gt;0,IF(INDEX('Final Calculation Sheet'!$F$4:$F$40,$BJ21-3)="","",INDEX('Final Calculation Sheet'!$F$4:$F$40,$BJ21-3)),"")</f>
        <v/>
      </c>
      <c r="C18">
        <f>IF($BJ21&gt;0,IF(INDEX('Final Calculation Sheet'!$G$4:$G$40,$BJ21-3)="","",INDEX('Final Calculation Sheet'!$G$4:$G$40,$BJ21-3)),IF(OR($BI21=1,$BL21=1,$BH21&gt;0),IF($BI21=1,37,IF($BL21=1,37-INDEX($BD$4:$BD$13,10),INDEX($BD$4:$BD$13,$BH21)))&amp;" lot(s)",""))</f>
        <v/>
      </c>
      <c r="D18">
        <f>IF($BJ21&gt;0,IF(INDEX('Final Calculation Sheet'!$B$4:$B$40,$BJ21-3)="","",INDEX('Final Calculation Sheet'!$B$4:$B$40,$BJ21-3)),IF(OR($BI21=1,$BL21=1,$BH21&gt;0),IF($BI21=1,"GRAND TOTAL  —  matching + remaining",IF($BL21=1,"TOTAL MATCHED  —  every group together",IF($BH21=10,"REMAINING  —  did not match the search",IF($BH21=9,IF(COUNTIF($A$4:$AI$4,"&lt;&gt;")&gt;0,"FILTERED LOTS  —  column fields","ALL LOTS  —  nothing typed in the box"),"GROUP "&amp;$BH21&amp;" TOTAL  —  lots matching  "&amp;INDEX($AR$6:$AY$6,$BH21))))),""))</f>
        <v/>
      </c>
      <c r="E18">
        <f>IF($BJ21&gt;0,IF(INDEX('Final Calculation Sheet'!$D$4:$D$40,$BJ21-3)="","",INDEX('Final Calculation Sheet'!$D$4:$D$40,$BJ21-3)),IF(OR($BI21=1,$BL21=1,$BH21&gt;0),"–",""))</f>
        <v/>
      </c>
      <c r="F18">
        <f>IF($BJ21&gt;0,IF(INDEX('Final Calculation Sheet'!$A$4:$A$40,$BJ21-3)="","",INDEX('Final Calculation Sheet'!$A$4:$A$40,$BJ21-3)),IF(OR($BI21=1,$BL21=1,$BH21&gt;0),IF($BI21=1,SUM('Final Calculation Sheet'!$A$4:$A$40),IF($BL21=1,SUM('Final Calculation Sheet'!$A$4:$A$40)-SUMIFS('Final Calculation Sheet'!$A$4:$A$40,$AZ$5:$AZ$41,10),SUMIFS('Final Calculation Sheet'!$A$4:$A$40,$AZ$5:$AZ$41,$BH21))),""))</f>
        <v/>
      </c>
      <c r="G18">
        <f>IF($BJ21&gt;0,IF(INDEX('Final Calculation Sheet'!$E$4:$E$40,$BJ21-3)="","",INDEX('Final Calculation Sheet'!$E$4:$E$40,$BJ21-3)),IF(OR($BI21=1,$BL21=1,$BH21&gt;0),"–",""))</f>
        <v/>
      </c>
      <c r="H18">
        <f>IF($BJ21&gt;0,IF(INDEX('Final Calculation Sheet'!$C$4:$C$40,$BJ21-3)="","",INDEX('Final Calculation Sheet'!$C$4:$C$40,$BJ21-3)),IF(OR($BI21=1,$BL21=1,$BH21&gt;0),"–",""))</f>
        <v/>
      </c>
      <c r="I18">
        <f>IF($BJ21&gt;0,IF(INDEX('Final Calculation Sheet'!$H$4:$H$40,$BJ21-3)="","",INDEX('Final Calculation Sheet'!$H$4:$H$40,$BJ21-3)),IF(OR($BI21=1,$BL21=1,$BH21&gt;0),IF($BI21=1,SUM('Final Calculation Sheet'!$H$4:$H$40),IF($BL21=1,SUM('Final Calculation Sheet'!$H$4:$H$40)-SUMIFS('Final Calculation Sheet'!$H$4:$H$40,$AZ$5:$AZ$41,10),SUMIFS('Final Calculation Sheet'!$H$4:$H$40,$AZ$5:$AZ$41,$BH21))),""))</f>
        <v/>
      </c>
      <c r="J18">
        <f>IF($BJ21&gt;0,IF(INDEX('Final Calculation Sheet'!$I$4:$I$40,$BJ21-3)="","",INDEX('Final Calculation Sheet'!$I$4:$I$40,$BJ21-3)),IF(OR($BI21=1,$BL21=1,$BH21&gt;0),IF($BI21=1,SUM('Final Calculation Sheet'!$I$4:$I$40),IF($BL21=1,SUM('Final Calculation Sheet'!$I$4:$I$40)-SUMIFS('Final Calculation Sheet'!$I$4:$I$40,$AZ$5:$AZ$41,10),SUMIFS('Final Calculation Sheet'!$I$4:$I$40,$AZ$5:$AZ$41,$BH21))),""))</f>
        <v/>
      </c>
      <c r="K18">
        <f>IF($BJ21&gt;0,IF(INDEX('Final Calculation Sheet'!$J$4:$J$40,$BJ21-3)="","",INDEX('Final Calculation Sheet'!$J$4:$J$40,$BJ21-3)),IF(OR($BI21=1,$BL21=1,$BH21&gt;0),IF($BI21=1,SUM('Final Calculation Sheet'!$J$4:$J$40),IF($BL21=1,SUM('Final Calculation Sheet'!$J$4:$J$40)-SUMIFS('Final Calculation Sheet'!$J$4:$J$40,$AZ$5:$AZ$41,10),SUMIFS('Final Calculation Sheet'!$J$4:$J$40,$AZ$5:$AZ$41,$BH21))),""))</f>
        <v/>
      </c>
      <c r="L18">
        <f>IF($BJ21&gt;0,IF(INDEX('Final Calculation Sheet'!$K$4:$K$40,$BJ21-3)="","",INDEX('Final Calculation Sheet'!$K$4:$K$40,$BJ21-3)),IF(OR($BI21=1,$BL21=1,$BH21&gt;0),IF($BI21=1,SUM('Final Calculation Sheet'!$K$4:$K$40),IF($BL21=1,SUM('Final Calculation Sheet'!$K$4:$K$40)-SUMIFS('Final Calculation Sheet'!$K$4:$K$40,$AZ$5:$AZ$41,10),SUMIFS('Final Calculation Sheet'!$K$4:$K$40,$AZ$5:$AZ$41,$BH21))),""))</f>
        <v/>
      </c>
      <c r="M18">
        <f>IF($BJ21&gt;0,IF(INDEX('Final Calculation Sheet'!$L$4:$L$40,$BJ21-3)="","",INDEX('Final Calculation Sheet'!$L$4:$L$40,$BJ21-3)),IF(OR($BI21=1,$BL21=1,$BH21&gt;0),IF($BI21=1,SUM('Final Calculation Sheet'!$L$4:$L$40),IF($BL21=1,SUM('Final Calculation Sheet'!$L$4:$L$40)-SUMIFS('Final Calculation Sheet'!$L$4:$L$40,$AZ$5:$AZ$41,10),SUMIFS('Final Calculation Sheet'!$L$4:$L$40,$AZ$5:$AZ$41,$BH21))),""))</f>
        <v/>
      </c>
      <c r="N18">
        <f>IF($BJ21&gt;0,IF(INDEX('Final Calculation Sheet'!$M$4:$M$40,$BJ21-3)="","",INDEX('Final Calculation Sheet'!$M$4:$M$40,$BJ21-3)),IF(OR($BI21=1,$BL21=1,$BH21&gt;0),IF($BI21=1,SUM('Final Calculation Sheet'!$M$4:$M$40),IF($BL21=1,SUM('Final Calculation Sheet'!$M$4:$M$40)-SUMIFS('Final Calculation Sheet'!$M$4:$M$40,$AZ$5:$AZ$41,10),SUMIFS('Final Calculation Sheet'!$M$4:$M$40,$AZ$5:$AZ$41,$BH21))),""))</f>
        <v/>
      </c>
      <c r="O18">
        <f>IF($BJ21&gt;0,IF(INDEX('Final Calculation Sheet'!$N$4:$N$40,$BJ21-3)="","",INDEX('Final Calculation Sheet'!$N$4:$N$40,$BJ21-3)),IF(OR($BI21=1,$BL21=1,$BH21&gt;0),IF($BI21=1,SUM('Final Calculation Sheet'!$N$4:$N$40),IF($BL21=1,SUM('Final Calculation Sheet'!$N$4:$N$40)-SUMIFS('Final Calculation Sheet'!$N$4:$N$40,$AZ$5:$AZ$41,10),SUMIFS('Final Calculation Sheet'!$N$4:$N$40,$AZ$5:$AZ$41,$BH21))),""))</f>
        <v/>
      </c>
      <c r="P18">
        <f>IF($BJ21&gt;0,IF(INDEX('Final Calculation Sheet'!$O$4:$O$40,$BJ21-3)="","",INDEX('Final Calculation Sheet'!$O$4:$O$40,$BJ21-3)),IF(OR($BI21=1,$BL21=1,$BH21&gt;0),IF($BI21=1,SUM('Final Calculation Sheet'!$O$4:$O$40),IF($BL21=1,SUM('Final Calculation Sheet'!$O$4:$O$40)-SUMIFS('Final Calculation Sheet'!$O$4:$O$40,$AZ$5:$AZ$41,10),SUMIFS('Final Calculation Sheet'!$O$4:$O$40,$AZ$5:$AZ$41,$BH21))),""))</f>
        <v/>
      </c>
      <c r="Q18">
        <f>IF($BJ21&gt;0,IF(INDEX('Final Calculation Sheet'!$P$4:$P$40,$BJ21-3)="","",INDEX('Final Calculation Sheet'!$P$4:$P$40,$BJ21-3)),IF(OR($BI21=1,$BL21=1,$BH21&gt;0),IF($BI21=1,SUM('Final Calculation Sheet'!$P$4:$P$40),IF($BL21=1,SUM('Final Calculation Sheet'!$P$4:$P$40)-SUMIFS('Final Calculation Sheet'!$P$4:$P$40,$AZ$5:$AZ$41,10),SUMIFS('Final Calculation Sheet'!$P$4:$P$40,$AZ$5:$AZ$41,$BH21))),""))</f>
        <v/>
      </c>
      <c r="R18">
        <f>IF($BJ21&gt;0,IF(INDEX('Final Calculation Sheet'!$Q$4:$Q$40,$BJ21-3)="","",INDEX('Final Calculation Sheet'!$Q$4:$Q$40,$BJ21-3)),IF(OR($BI21=1,$BL21=1,$BH21&gt;0),"–",""))</f>
        <v/>
      </c>
      <c r="S18">
        <f>IF($BJ21&gt;0,IF(INDEX('Final Calculation Sheet'!$R$4:$R$40,$BJ21-3)="","",INDEX('Final Calculation Sheet'!$R$4:$R$40,$BJ21-3)),IF(OR($BI21=1,$BL21=1,$BH21&gt;0),IF($BI21=1,SUM('Final Calculation Sheet'!$R$4:$R$40),IF($BL21=1,SUM('Final Calculation Sheet'!$R$4:$R$40)-SUMIFS('Final Calculation Sheet'!$R$4:$R$40,$AZ$5:$AZ$41,10),SUMIFS('Final Calculation Sheet'!$R$4:$R$40,$AZ$5:$AZ$41,$BH21))),""))</f>
        <v/>
      </c>
      <c r="T18">
        <f>IF($BJ21&gt;0,IF(INDEX('Final Calculation Sheet'!$S$4:$S$40,$BJ21-3)="","",INDEX('Final Calculation Sheet'!$S$4:$S$40,$BJ21-3)),IF(OR($BI21=1,$BL21=1,$BH21&gt;0),IF($BI21=1,SUM('Final Calculation Sheet'!$S$4:$S$40),IF($BL21=1,SUM('Final Calculation Sheet'!$S$4:$S$40)-SUMIFS('Final Calculation Sheet'!$S$4:$S$40,$AZ$5:$AZ$41,10),SUMIFS('Final Calculation Sheet'!$S$4:$S$40,$AZ$5:$AZ$41,$BH21))),""))</f>
        <v/>
      </c>
      <c r="U18">
        <f>IF($BJ21&gt;0,IF(INDEX('Final Calculation Sheet'!$T$4:$T$40,$BJ21-3)="","",INDEX('Final Calculation Sheet'!$T$4:$T$40,$BJ21-3)),IF(OR($BI21=1,$BL21=1,$BH21&gt;0),IF($BI21=1,SUM('Final Calculation Sheet'!$T$4:$T$40),IF($BL21=1,SUM('Final Calculation Sheet'!$T$4:$T$40)-SUMIFS('Final Calculation Sheet'!$T$4:$T$40,$AZ$5:$AZ$41,10),SUMIFS('Final Calculation Sheet'!$T$4:$T$40,$AZ$5:$AZ$41,$BH21))),""))</f>
        <v/>
      </c>
      <c r="V18">
        <f>IF($BJ21&gt;0,IF(INDEX('Final Calculation Sheet'!$U$4:$U$40,$BJ21-3)="","",INDEX('Final Calculation Sheet'!$U$4:$U$40,$BJ21-3)),IF(OR($BI21=1,$BL21=1,$BH21&gt;0),IF($BI21=1,SUM('Final Calculation Sheet'!$U$4:$U$40),IF($BL21=1,SUM('Final Calculation Sheet'!$U$4:$U$40)-SUMIFS('Final Calculation Sheet'!$U$4:$U$40,$AZ$5:$AZ$41,10),SUMIFS('Final Calculation Sheet'!$U$4:$U$40,$AZ$5:$AZ$41,$BH21))),""))</f>
        <v/>
      </c>
      <c r="W18">
        <f>IF($BJ21&gt;0,IF(INDEX('Final Calculation Sheet'!$V$4:$V$40,$BJ21-3)="","",INDEX('Final Calculation Sheet'!$V$4:$V$40,$BJ21-3)),IF(OR($BI21=1,$BL21=1,$BH21&gt;0),"–",""))</f>
        <v/>
      </c>
      <c r="X18">
        <f>IF($BJ21&gt;0,IF(INDEX('Final Calculation Sheet'!$W$4:$W$40,$BJ21-3)="","",INDEX('Final Calculation Sheet'!$W$4:$W$40,$BJ21-3)),IF(OR($BI21=1,$BL21=1,$BH21&gt;0),IF($BI21=1,SUM('Final Calculation Sheet'!$W$4:$W$40),IF($BL21=1,SUM('Final Calculation Sheet'!$W$4:$W$40)-SUMIFS('Final Calculation Sheet'!$W$4:$W$40,$AZ$5:$AZ$41,10),SUMIFS('Final Calculation Sheet'!$W$4:$W$40,$AZ$5:$AZ$41,$BH21))),""))</f>
        <v/>
      </c>
      <c r="Y18">
        <f>IF($BJ21&gt;0,IF(INDEX('Final Calculation Sheet'!$X$4:$X$40,$BJ21-3)="","",INDEX('Final Calculation Sheet'!$X$4:$X$40,$BJ21-3)),IF(OR($BI21=1,$BL21=1,$BH21&gt;0),IF($BI21=1,SUM('Final Calculation Sheet'!$X$4:$X$40),IF($BL21=1,SUM('Final Calculation Sheet'!$X$4:$X$40)-SUMIFS('Final Calculation Sheet'!$X$4:$X$40,$AZ$5:$AZ$41,10),SUMIFS('Final Calculation Sheet'!$X$4:$X$40,$AZ$5:$AZ$41,$BH21))),""))</f>
        <v/>
      </c>
      <c r="Z18">
        <f>IF($BJ21&gt;0,IF(INDEX('Final Calculation Sheet'!$Y$4:$Y$40,$BJ21-3)="","",INDEX('Final Calculation Sheet'!$Y$4:$Y$40,$BJ21-3)),IF(OR($BI21=1,$BL21=1,$BH21&gt;0),"–",""))</f>
        <v/>
      </c>
      <c r="AA18">
        <f>IF($BJ21&gt;0,IF(INDEX('Final Calculation Sheet'!$Z$4:$Z$40,$BJ21-3)="","",INDEX('Final Calculation Sheet'!$Z$4:$Z$40,$BJ21-3)),IF(OR($BI21=1,$BL21=1,$BH21&gt;0),IF($BI21=1,SUM('Final Calculation Sheet'!$Z$4:$Z$40),IF($BL21=1,SUM('Final Calculation Sheet'!$Z$4:$Z$40)-SUMIFS('Final Calculation Sheet'!$Z$4:$Z$40,$AZ$5:$AZ$41,10),SUMIFS('Final Calculation Sheet'!$Z$4:$Z$40,$AZ$5:$AZ$41,$BH21))),""))</f>
        <v/>
      </c>
      <c r="AB18">
        <f>IF($BJ21&gt;0,IF(INDEX('Final Calculation Sheet'!$AA$4:$AA$40,$BJ21-3)="","",INDEX('Final Calculation Sheet'!$AA$4:$AA$40,$BJ21-3)),IF(OR($BI21=1,$BL21=1,$BH21&gt;0),IF($BI21=1,SUM('Final Calculation Sheet'!$AA$4:$AA$40),IF($BL21=1,SUM('Final Calculation Sheet'!$AA$4:$AA$40)-SUMIFS('Final Calculation Sheet'!$AA$4:$AA$40,$AZ$5:$AZ$41,10),SUMIFS('Final Calculation Sheet'!$AA$4:$AA$40,$AZ$5:$AZ$41,$BH21))),""))</f>
        <v/>
      </c>
      <c r="AC18">
        <f>IF($BJ21&gt;0,IF(INDEX('Final Calculation Sheet'!$AB$4:$AB$40,$BJ21-3)="","",INDEX('Final Calculation Sheet'!$AB$4:$AB$40,$BJ21-3)),IF(OR($BI21=1,$BL21=1,$BH21&gt;0),"–",""))</f>
        <v/>
      </c>
      <c r="AD18">
        <f>IF($BJ21&gt;0,IF(INDEX('Final Calculation Sheet'!$AC$4:$AC$40,$BJ21-3)="","",INDEX('Final Calculation Sheet'!$AC$4:$AC$40,$BJ21-3)),IF(OR($BI21=1,$BL21=1,$BH21&gt;0),IF($BI21=1,SUM('Final Calculation Sheet'!$AC$4:$AC$40),IF($BL21=1,SUM('Final Calculation Sheet'!$AC$4:$AC$40)-SUMIFS('Final Calculation Sheet'!$AC$4:$AC$40,$AZ$5:$AZ$41,10),SUMIFS('Final Calculation Sheet'!$AC$4:$AC$40,$AZ$5:$AZ$41,$BH21))),""))</f>
        <v/>
      </c>
      <c r="AE18">
        <f>IF($BJ21&gt;0,IF(INDEX('Final Calculation Sheet'!$AD$4:$AD$40,$BJ21-3)="","",INDEX('Final Calculation Sheet'!$AD$4:$AD$40,$BJ21-3)),IF(OR($BI21=1,$BL21=1,$BH21&gt;0),IF($BI21=1,SUM('Final Calculation Sheet'!$AD$4:$AD$40),IF($BL21=1,SUM('Final Calculation Sheet'!$AD$4:$AD$40)-SUMIFS('Final Calculation Sheet'!$AD$4:$AD$40,$AZ$5:$AZ$41,10),SUMIFS('Final Calculation Sheet'!$AD$4:$AD$40,$AZ$5:$AZ$41,$BH21))),""))</f>
        <v/>
      </c>
      <c r="AF18">
        <f>IF($BJ21&gt;0,IF(INDEX('Final Calculation Sheet'!$AF$4:$AF$40,$BJ21-3)="","",INDEX('Final Calculation Sheet'!$AF$4:$AF$40,$BJ21-3)),IF(OR($BI21=1,$BL21=1,$BH21&gt;0),"–",""))</f>
        <v/>
      </c>
      <c r="AG18">
        <f>IF($BJ21&gt;0,IF(INDEX('Final Calculation Sheet'!$AG$4:$AG$40,$BJ21-3)="","",INDEX('Final Calculation Sheet'!$AG$4:$AG$40,$BJ21-3)),IF(OR($BI21=1,$BL21=1,$BH21&gt;0),"–",""))</f>
        <v/>
      </c>
      <c r="AH18">
        <f>IF($BJ21&gt;0,IF(INDEX('Final Calculation Sheet'!$AH$4:$AH$40,$BJ21-3)="","",INDEX('Final Calculation Sheet'!$AH$4:$AH$40,$BJ21-3)),IF(OR($BI21=1,$BL21=1,$BH21&gt;0),"–",""))</f>
        <v/>
      </c>
      <c r="AI18">
        <f>IF($BJ21&gt;0,IF(INDEX('Final Calculation Sheet'!$AD$4:$AD$40,$BJ21-3)="","",IF(INDEX('Final Calculation Sheet'!$AD$4:$AD$40,$BJ21-3)&lt;=5,"SETTLED","OUTSTANDING")),IF(OR($BI21=1,$BL21=1,$BH21&gt;0),IF(IF($BI21=1,SUM('Final Calculation Sheet'!$AD$4:$AD$40),IF($BL21=1,SUM('Final Calculation Sheet'!$AD$4:$AD$40)-SUMIFS('Final Calculation Sheet'!$AD$4:$AD$40,$AZ$5:$AZ$41,10),SUMIFS('Final Calculation Sheet'!$AD$4:$AD$40,$AZ$5:$AZ$41,$BH21)))&lt;=5,"ALL SETTLED","OUTSTANDING"),""))</f>
        <v/>
      </c>
    </row>
    <row r="19">
      <c r="A19">
        <f>IF($BJ22&gt;0,INDEX($BA$5:$BA$41,MATCH(22,$BB$5:$BB$41,0)),IF(OR($BI22=1,$BL22=1,$BH22&gt;0),"∑",""))</f>
        <v/>
      </c>
      <c r="B19">
        <f>IF($BJ22&gt;0,IF(INDEX('Final Calculation Sheet'!$F$4:$F$40,$BJ22-3)="","",INDEX('Final Calculation Sheet'!$F$4:$F$40,$BJ22-3)),"")</f>
        <v/>
      </c>
      <c r="C19">
        <f>IF($BJ22&gt;0,IF(INDEX('Final Calculation Sheet'!$G$4:$G$40,$BJ22-3)="","",INDEX('Final Calculation Sheet'!$G$4:$G$40,$BJ22-3)),IF(OR($BI22=1,$BL22=1,$BH22&gt;0),IF($BI22=1,37,IF($BL22=1,37-INDEX($BD$4:$BD$13,10),INDEX($BD$4:$BD$13,$BH22)))&amp;" lot(s)",""))</f>
        <v/>
      </c>
      <c r="D19">
        <f>IF($BJ22&gt;0,IF(INDEX('Final Calculation Sheet'!$B$4:$B$40,$BJ22-3)="","",INDEX('Final Calculation Sheet'!$B$4:$B$40,$BJ22-3)),IF(OR($BI22=1,$BL22=1,$BH22&gt;0),IF($BI22=1,"GRAND TOTAL  —  matching + remaining",IF($BL22=1,"TOTAL MATCHED  —  every group together",IF($BH22=10,"REMAINING  —  did not match the search",IF($BH22=9,IF(COUNTIF($A$4:$AI$4,"&lt;&gt;")&gt;0,"FILTERED LOTS  —  column fields","ALL LOTS  —  nothing typed in the box"),"GROUP "&amp;$BH22&amp;" TOTAL  —  lots matching  "&amp;INDEX($AR$6:$AY$6,$BH22))))),""))</f>
        <v/>
      </c>
      <c r="E19">
        <f>IF($BJ22&gt;0,IF(INDEX('Final Calculation Sheet'!$D$4:$D$40,$BJ22-3)="","",INDEX('Final Calculation Sheet'!$D$4:$D$40,$BJ22-3)),IF(OR($BI22=1,$BL22=1,$BH22&gt;0),"–",""))</f>
        <v/>
      </c>
      <c r="F19">
        <f>IF($BJ22&gt;0,IF(INDEX('Final Calculation Sheet'!$A$4:$A$40,$BJ22-3)="","",INDEX('Final Calculation Sheet'!$A$4:$A$40,$BJ22-3)),IF(OR($BI22=1,$BL22=1,$BH22&gt;0),IF($BI22=1,SUM('Final Calculation Sheet'!$A$4:$A$40),IF($BL22=1,SUM('Final Calculation Sheet'!$A$4:$A$40)-SUMIFS('Final Calculation Sheet'!$A$4:$A$40,$AZ$5:$AZ$41,10),SUMIFS('Final Calculation Sheet'!$A$4:$A$40,$AZ$5:$AZ$41,$BH22))),""))</f>
        <v/>
      </c>
      <c r="G19">
        <f>IF($BJ22&gt;0,IF(INDEX('Final Calculation Sheet'!$E$4:$E$40,$BJ22-3)="","",INDEX('Final Calculation Sheet'!$E$4:$E$40,$BJ22-3)),IF(OR($BI22=1,$BL22=1,$BH22&gt;0),"–",""))</f>
        <v/>
      </c>
      <c r="H19">
        <f>IF($BJ22&gt;0,IF(INDEX('Final Calculation Sheet'!$C$4:$C$40,$BJ22-3)="","",INDEX('Final Calculation Sheet'!$C$4:$C$40,$BJ22-3)),IF(OR($BI22=1,$BL22=1,$BH22&gt;0),"–",""))</f>
        <v/>
      </c>
      <c r="I19">
        <f>IF($BJ22&gt;0,IF(INDEX('Final Calculation Sheet'!$H$4:$H$40,$BJ22-3)="","",INDEX('Final Calculation Sheet'!$H$4:$H$40,$BJ22-3)),IF(OR($BI22=1,$BL22=1,$BH22&gt;0),IF($BI22=1,SUM('Final Calculation Sheet'!$H$4:$H$40),IF($BL22=1,SUM('Final Calculation Sheet'!$H$4:$H$40)-SUMIFS('Final Calculation Sheet'!$H$4:$H$40,$AZ$5:$AZ$41,10),SUMIFS('Final Calculation Sheet'!$H$4:$H$40,$AZ$5:$AZ$41,$BH22))),""))</f>
        <v/>
      </c>
      <c r="J19">
        <f>IF($BJ22&gt;0,IF(INDEX('Final Calculation Sheet'!$I$4:$I$40,$BJ22-3)="","",INDEX('Final Calculation Sheet'!$I$4:$I$40,$BJ22-3)),IF(OR($BI22=1,$BL22=1,$BH22&gt;0),IF($BI22=1,SUM('Final Calculation Sheet'!$I$4:$I$40),IF($BL22=1,SUM('Final Calculation Sheet'!$I$4:$I$40)-SUMIFS('Final Calculation Sheet'!$I$4:$I$40,$AZ$5:$AZ$41,10),SUMIFS('Final Calculation Sheet'!$I$4:$I$40,$AZ$5:$AZ$41,$BH22))),""))</f>
        <v/>
      </c>
      <c r="K19">
        <f>IF($BJ22&gt;0,IF(INDEX('Final Calculation Sheet'!$J$4:$J$40,$BJ22-3)="","",INDEX('Final Calculation Sheet'!$J$4:$J$40,$BJ22-3)),IF(OR($BI22=1,$BL22=1,$BH22&gt;0),IF($BI22=1,SUM('Final Calculation Sheet'!$J$4:$J$40),IF($BL22=1,SUM('Final Calculation Sheet'!$J$4:$J$40)-SUMIFS('Final Calculation Sheet'!$J$4:$J$40,$AZ$5:$AZ$41,10),SUMIFS('Final Calculation Sheet'!$J$4:$J$40,$AZ$5:$AZ$41,$BH22))),""))</f>
        <v/>
      </c>
      <c r="L19">
        <f>IF($BJ22&gt;0,IF(INDEX('Final Calculation Sheet'!$K$4:$K$40,$BJ22-3)="","",INDEX('Final Calculation Sheet'!$K$4:$K$40,$BJ22-3)),IF(OR($BI22=1,$BL22=1,$BH22&gt;0),IF($BI22=1,SUM('Final Calculation Sheet'!$K$4:$K$40),IF($BL22=1,SUM('Final Calculation Sheet'!$K$4:$K$40)-SUMIFS('Final Calculation Sheet'!$K$4:$K$40,$AZ$5:$AZ$41,10),SUMIFS('Final Calculation Sheet'!$K$4:$K$40,$AZ$5:$AZ$41,$BH22))),""))</f>
        <v/>
      </c>
      <c r="M19">
        <f>IF($BJ22&gt;0,IF(INDEX('Final Calculation Sheet'!$L$4:$L$40,$BJ22-3)="","",INDEX('Final Calculation Sheet'!$L$4:$L$40,$BJ22-3)),IF(OR($BI22=1,$BL22=1,$BH22&gt;0),IF($BI22=1,SUM('Final Calculation Sheet'!$L$4:$L$40),IF($BL22=1,SUM('Final Calculation Sheet'!$L$4:$L$40)-SUMIFS('Final Calculation Sheet'!$L$4:$L$40,$AZ$5:$AZ$41,10),SUMIFS('Final Calculation Sheet'!$L$4:$L$40,$AZ$5:$AZ$41,$BH22))),""))</f>
        <v/>
      </c>
      <c r="N19">
        <f>IF($BJ22&gt;0,IF(INDEX('Final Calculation Sheet'!$M$4:$M$40,$BJ22-3)="","",INDEX('Final Calculation Sheet'!$M$4:$M$40,$BJ22-3)),IF(OR($BI22=1,$BL22=1,$BH22&gt;0),IF($BI22=1,SUM('Final Calculation Sheet'!$M$4:$M$40),IF($BL22=1,SUM('Final Calculation Sheet'!$M$4:$M$40)-SUMIFS('Final Calculation Sheet'!$M$4:$M$40,$AZ$5:$AZ$41,10),SUMIFS('Final Calculation Sheet'!$M$4:$M$40,$AZ$5:$AZ$41,$BH22))),""))</f>
        <v/>
      </c>
      <c r="O19">
        <f>IF($BJ22&gt;0,IF(INDEX('Final Calculation Sheet'!$N$4:$N$40,$BJ22-3)="","",INDEX('Final Calculation Sheet'!$N$4:$N$40,$BJ22-3)),IF(OR($BI22=1,$BL22=1,$BH22&gt;0),IF($BI22=1,SUM('Final Calculation Sheet'!$N$4:$N$40),IF($BL22=1,SUM('Final Calculation Sheet'!$N$4:$N$40)-SUMIFS('Final Calculation Sheet'!$N$4:$N$40,$AZ$5:$AZ$41,10),SUMIFS('Final Calculation Sheet'!$N$4:$N$40,$AZ$5:$AZ$41,$BH22))),""))</f>
        <v/>
      </c>
      <c r="P19">
        <f>IF($BJ22&gt;0,IF(INDEX('Final Calculation Sheet'!$O$4:$O$40,$BJ22-3)="","",INDEX('Final Calculation Sheet'!$O$4:$O$40,$BJ22-3)),IF(OR($BI22=1,$BL22=1,$BH22&gt;0),IF($BI22=1,SUM('Final Calculation Sheet'!$O$4:$O$40),IF($BL22=1,SUM('Final Calculation Sheet'!$O$4:$O$40)-SUMIFS('Final Calculation Sheet'!$O$4:$O$40,$AZ$5:$AZ$41,10),SUMIFS('Final Calculation Sheet'!$O$4:$O$40,$AZ$5:$AZ$41,$BH22))),""))</f>
        <v/>
      </c>
      <c r="Q19">
        <f>IF($BJ22&gt;0,IF(INDEX('Final Calculation Sheet'!$P$4:$P$40,$BJ22-3)="","",INDEX('Final Calculation Sheet'!$P$4:$P$40,$BJ22-3)),IF(OR($BI22=1,$BL22=1,$BH22&gt;0),IF($BI22=1,SUM('Final Calculation Sheet'!$P$4:$P$40),IF($BL22=1,SUM('Final Calculation Sheet'!$P$4:$P$40)-SUMIFS('Final Calculation Sheet'!$P$4:$P$40,$AZ$5:$AZ$41,10),SUMIFS('Final Calculation Sheet'!$P$4:$P$40,$AZ$5:$AZ$41,$BH22))),""))</f>
        <v/>
      </c>
      <c r="R19">
        <f>IF($BJ22&gt;0,IF(INDEX('Final Calculation Sheet'!$Q$4:$Q$40,$BJ22-3)="","",INDEX('Final Calculation Sheet'!$Q$4:$Q$40,$BJ22-3)),IF(OR($BI22=1,$BL22=1,$BH22&gt;0),"–",""))</f>
        <v/>
      </c>
      <c r="S19">
        <f>IF($BJ22&gt;0,IF(INDEX('Final Calculation Sheet'!$R$4:$R$40,$BJ22-3)="","",INDEX('Final Calculation Sheet'!$R$4:$R$40,$BJ22-3)),IF(OR($BI22=1,$BL22=1,$BH22&gt;0),IF($BI22=1,SUM('Final Calculation Sheet'!$R$4:$R$40),IF($BL22=1,SUM('Final Calculation Sheet'!$R$4:$R$40)-SUMIFS('Final Calculation Sheet'!$R$4:$R$40,$AZ$5:$AZ$41,10),SUMIFS('Final Calculation Sheet'!$R$4:$R$40,$AZ$5:$AZ$41,$BH22))),""))</f>
        <v/>
      </c>
      <c r="T19">
        <f>IF($BJ22&gt;0,IF(INDEX('Final Calculation Sheet'!$S$4:$S$40,$BJ22-3)="","",INDEX('Final Calculation Sheet'!$S$4:$S$40,$BJ22-3)),IF(OR($BI22=1,$BL22=1,$BH22&gt;0),IF($BI22=1,SUM('Final Calculation Sheet'!$S$4:$S$40),IF($BL22=1,SUM('Final Calculation Sheet'!$S$4:$S$40)-SUMIFS('Final Calculation Sheet'!$S$4:$S$40,$AZ$5:$AZ$41,10),SUMIFS('Final Calculation Sheet'!$S$4:$S$40,$AZ$5:$AZ$41,$BH22))),""))</f>
        <v/>
      </c>
      <c r="U19">
        <f>IF($BJ22&gt;0,IF(INDEX('Final Calculation Sheet'!$T$4:$T$40,$BJ22-3)="","",INDEX('Final Calculation Sheet'!$T$4:$T$40,$BJ22-3)),IF(OR($BI22=1,$BL22=1,$BH22&gt;0),IF($BI22=1,SUM('Final Calculation Sheet'!$T$4:$T$40),IF($BL22=1,SUM('Final Calculation Sheet'!$T$4:$T$40)-SUMIFS('Final Calculation Sheet'!$T$4:$T$40,$AZ$5:$AZ$41,10),SUMIFS('Final Calculation Sheet'!$T$4:$T$40,$AZ$5:$AZ$41,$BH22))),""))</f>
        <v/>
      </c>
      <c r="V19">
        <f>IF($BJ22&gt;0,IF(INDEX('Final Calculation Sheet'!$U$4:$U$40,$BJ22-3)="","",INDEX('Final Calculation Sheet'!$U$4:$U$40,$BJ22-3)),IF(OR($BI22=1,$BL22=1,$BH22&gt;0),IF($BI22=1,SUM('Final Calculation Sheet'!$U$4:$U$40),IF($BL22=1,SUM('Final Calculation Sheet'!$U$4:$U$40)-SUMIFS('Final Calculation Sheet'!$U$4:$U$40,$AZ$5:$AZ$41,10),SUMIFS('Final Calculation Sheet'!$U$4:$U$40,$AZ$5:$AZ$41,$BH22))),""))</f>
        <v/>
      </c>
      <c r="W19">
        <f>IF($BJ22&gt;0,IF(INDEX('Final Calculation Sheet'!$V$4:$V$40,$BJ22-3)="","",INDEX('Final Calculation Sheet'!$V$4:$V$40,$BJ22-3)),IF(OR($BI22=1,$BL22=1,$BH22&gt;0),"–",""))</f>
        <v/>
      </c>
      <c r="X19">
        <f>IF($BJ22&gt;0,IF(INDEX('Final Calculation Sheet'!$W$4:$W$40,$BJ22-3)="","",INDEX('Final Calculation Sheet'!$W$4:$W$40,$BJ22-3)),IF(OR($BI22=1,$BL22=1,$BH22&gt;0),IF($BI22=1,SUM('Final Calculation Sheet'!$W$4:$W$40),IF($BL22=1,SUM('Final Calculation Sheet'!$W$4:$W$40)-SUMIFS('Final Calculation Sheet'!$W$4:$W$40,$AZ$5:$AZ$41,10),SUMIFS('Final Calculation Sheet'!$W$4:$W$40,$AZ$5:$AZ$41,$BH22))),""))</f>
        <v/>
      </c>
      <c r="Y19">
        <f>IF($BJ22&gt;0,IF(INDEX('Final Calculation Sheet'!$X$4:$X$40,$BJ22-3)="","",INDEX('Final Calculation Sheet'!$X$4:$X$40,$BJ22-3)),IF(OR($BI22=1,$BL22=1,$BH22&gt;0),IF($BI22=1,SUM('Final Calculation Sheet'!$X$4:$X$40),IF($BL22=1,SUM('Final Calculation Sheet'!$X$4:$X$40)-SUMIFS('Final Calculation Sheet'!$X$4:$X$40,$AZ$5:$AZ$41,10),SUMIFS('Final Calculation Sheet'!$X$4:$X$40,$AZ$5:$AZ$41,$BH22))),""))</f>
        <v/>
      </c>
      <c r="Z19">
        <f>IF($BJ22&gt;0,IF(INDEX('Final Calculation Sheet'!$Y$4:$Y$40,$BJ22-3)="","",INDEX('Final Calculation Sheet'!$Y$4:$Y$40,$BJ22-3)),IF(OR($BI22=1,$BL22=1,$BH22&gt;0),"–",""))</f>
        <v/>
      </c>
      <c r="AA19">
        <f>IF($BJ22&gt;0,IF(INDEX('Final Calculation Sheet'!$Z$4:$Z$40,$BJ22-3)="","",INDEX('Final Calculation Sheet'!$Z$4:$Z$40,$BJ22-3)),IF(OR($BI22=1,$BL22=1,$BH22&gt;0),IF($BI22=1,SUM('Final Calculation Sheet'!$Z$4:$Z$40),IF($BL22=1,SUM('Final Calculation Sheet'!$Z$4:$Z$40)-SUMIFS('Final Calculation Sheet'!$Z$4:$Z$40,$AZ$5:$AZ$41,10),SUMIFS('Final Calculation Sheet'!$Z$4:$Z$40,$AZ$5:$AZ$41,$BH22))),""))</f>
        <v/>
      </c>
      <c r="AB19">
        <f>IF($BJ22&gt;0,IF(INDEX('Final Calculation Sheet'!$AA$4:$AA$40,$BJ22-3)="","",INDEX('Final Calculation Sheet'!$AA$4:$AA$40,$BJ22-3)),IF(OR($BI22=1,$BL22=1,$BH22&gt;0),IF($BI22=1,SUM('Final Calculation Sheet'!$AA$4:$AA$40),IF($BL22=1,SUM('Final Calculation Sheet'!$AA$4:$AA$40)-SUMIFS('Final Calculation Sheet'!$AA$4:$AA$40,$AZ$5:$AZ$41,10),SUMIFS('Final Calculation Sheet'!$AA$4:$AA$40,$AZ$5:$AZ$41,$BH22))),""))</f>
        <v/>
      </c>
      <c r="AC19">
        <f>IF($BJ22&gt;0,IF(INDEX('Final Calculation Sheet'!$AB$4:$AB$40,$BJ22-3)="","",INDEX('Final Calculation Sheet'!$AB$4:$AB$40,$BJ22-3)),IF(OR($BI22=1,$BL22=1,$BH22&gt;0),"–",""))</f>
        <v/>
      </c>
      <c r="AD19">
        <f>IF($BJ22&gt;0,IF(INDEX('Final Calculation Sheet'!$AC$4:$AC$40,$BJ22-3)="","",INDEX('Final Calculation Sheet'!$AC$4:$AC$40,$BJ22-3)),IF(OR($BI22=1,$BL22=1,$BH22&gt;0),IF($BI22=1,SUM('Final Calculation Sheet'!$AC$4:$AC$40),IF($BL22=1,SUM('Final Calculation Sheet'!$AC$4:$AC$40)-SUMIFS('Final Calculation Sheet'!$AC$4:$AC$40,$AZ$5:$AZ$41,10),SUMIFS('Final Calculation Sheet'!$AC$4:$AC$40,$AZ$5:$AZ$41,$BH22))),""))</f>
        <v/>
      </c>
      <c r="AE19">
        <f>IF($BJ22&gt;0,IF(INDEX('Final Calculation Sheet'!$AD$4:$AD$40,$BJ22-3)="","",INDEX('Final Calculation Sheet'!$AD$4:$AD$40,$BJ22-3)),IF(OR($BI22=1,$BL22=1,$BH22&gt;0),IF($BI22=1,SUM('Final Calculation Sheet'!$AD$4:$AD$40),IF($BL22=1,SUM('Final Calculation Sheet'!$AD$4:$AD$40)-SUMIFS('Final Calculation Sheet'!$AD$4:$AD$40,$AZ$5:$AZ$41,10),SUMIFS('Final Calculation Sheet'!$AD$4:$AD$40,$AZ$5:$AZ$41,$BH22))),""))</f>
        <v/>
      </c>
      <c r="AF19">
        <f>IF($BJ22&gt;0,IF(INDEX('Final Calculation Sheet'!$AF$4:$AF$40,$BJ22-3)="","",INDEX('Final Calculation Sheet'!$AF$4:$AF$40,$BJ22-3)),IF(OR($BI22=1,$BL22=1,$BH22&gt;0),"–",""))</f>
        <v/>
      </c>
      <c r="AG19">
        <f>IF($BJ22&gt;0,IF(INDEX('Final Calculation Sheet'!$AG$4:$AG$40,$BJ22-3)="","",INDEX('Final Calculation Sheet'!$AG$4:$AG$40,$BJ22-3)),IF(OR($BI22=1,$BL22=1,$BH22&gt;0),"–",""))</f>
        <v/>
      </c>
      <c r="AH19">
        <f>IF($BJ22&gt;0,IF(INDEX('Final Calculation Sheet'!$AH$4:$AH$40,$BJ22-3)="","",INDEX('Final Calculation Sheet'!$AH$4:$AH$40,$BJ22-3)),IF(OR($BI22=1,$BL22=1,$BH22&gt;0),"–",""))</f>
        <v/>
      </c>
      <c r="AI19">
        <f>IF($BJ22&gt;0,IF(INDEX('Final Calculation Sheet'!$AD$4:$AD$40,$BJ22-3)="","",IF(INDEX('Final Calculation Sheet'!$AD$4:$AD$40,$BJ22-3)&lt;=5,"SETTLED","OUTSTANDING")),IF(OR($BI22=1,$BL22=1,$BH22&gt;0),IF(IF($BI22=1,SUM('Final Calculation Sheet'!$AD$4:$AD$40),IF($BL22=1,SUM('Final Calculation Sheet'!$AD$4:$AD$40)-SUMIFS('Final Calculation Sheet'!$AD$4:$AD$40,$AZ$5:$AZ$41,10),SUMIFS('Final Calculation Sheet'!$AD$4:$AD$40,$AZ$5:$AZ$41,$BH22)))&lt;=5,"ALL SETTLED","OUTSTANDING"),""))</f>
        <v/>
      </c>
    </row>
    <row r="20">
      <c r="A20">
        <f>IF($BJ23&gt;0,INDEX($BA$5:$BA$41,MATCH(23,$BB$5:$BB$41,0)),IF(OR($BI23=1,$BL23=1,$BH23&gt;0),"∑",""))</f>
        <v/>
      </c>
      <c r="B20">
        <f>IF($BJ23&gt;0,IF(INDEX('Final Calculation Sheet'!$F$4:$F$40,$BJ23-3)="","",INDEX('Final Calculation Sheet'!$F$4:$F$40,$BJ23-3)),"")</f>
        <v/>
      </c>
      <c r="C20">
        <f>IF($BJ23&gt;0,IF(INDEX('Final Calculation Sheet'!$G$4:$G$40,$BJ23-3)="","",INDEX('Final Calculation Sheet'!$G$4:$G$40,$BJ23-3)),IF(OR($BI23=1,$BL23=1,$BH23&gt;0),IF($BI23=1,37,IF($BL23=1,37-INDEX($BD$4:$BD$13,10),INDEX($BD$4:$BD$13,$BH23)))&amp;" lot(s)",""))</f>
        <v/>
      </c>
      <c r="D20">
        <f>IF($BJ23&gt;0,IF(INDEX('Final Calculation Sheet'!$B$4:$B$40,$BJ23-3)="","",INDEX('Final Calculation Sheet'!$B$4:$B$40,$BJ23-3)),IF(OR($BI23=1,$BL23=1,$BH23&gt;0),IF($BI23=1,"GRAND TOTAL  —  matching + remaining",IF($BL23=1,"TOTAL MATCHED  —  every group together",IF($BH23=10,"REMAINING  —  did not match the search",IF($BH23=9,IF(COUNTIF($A$4:$AI$4,"&lt;&gt;")&gt;0,"FILTERED LOTS  —  column fields","ALL LOTS  —  nothing typed in the box"),"GROUP "&amp;$BH23&amp;" TOTAL  —  lots matching  "&amp;INDEX($AR$6:$AY$6,$BH23))))),""))</f>
        <v/>
      </c>
      <c r="E20">
        <f>IF($BJ23&gt;0,IF(INDEX('Final Calculation Sheet'!$D$4:$D$40,$BJ23-3)="","",INDEX('Final Calculation Sheet'!$D$4:$D$40,$BJ23-3)),IF(OR($BI23=1,$BL23=1,$BH23&gt;0),"–",""))</f>
        <v/>
      </c>
      <c r="F20">
        <f>IF($BJ23&gt;0,IF(INDEX('Final Calculation Sheet'!$A$4:$A$40,$BJ23-3)="","",INDEX('Final Calculation Sheet'!$A$4:$A$40,$BJ23-3)),IF(OR($BI23=1,$BL23=1,$BH23&gt;0),IF($BI23=1,SUM('Final Calculation Sheet'!$A$4:$A$40),IF($BL23=1,SUM('Final Calculation Sheet'!$A$4:$A$40)-SUMIFS('Final Calculation Sheet'!$A$4:$A$40,$AZ$5:$AZ$41,10),SUMIFS('Final Calculation Sheet'!$A$4:$A$40,$AZ$5:$AZ$41,$BH23))),""))</f>
        <v/>
      </c>
      <c r="G20">
        <f>IF($BJ23&gt;0,IF(INDEX('Final Calculation Sheet'!$E$4:$E$40,$BJ23-3)="","",INDEX('Final Calculation Sheet'!$E$4:$E$40,$BJ23-3)),IF(OR($BI23=1,$BL23=1,$BH23&gt;0),"–",""))</f>
        <v/>
      </c>
      <c r="H20">
        <f>IF($BJ23&gt;0,IF(INDEX('Final Calculation Sheet'!$C$4:$C$40,$BJ23-3)="","",INDEX('Final Calculation Sheet'!$C$4:$C$40,$BJ23-3)),IF(OR($BI23=1,$BL23=1,$BH23&gt;0),"–",""))</f>
        <v/>
      </c>
      <c r="I20">
        <f>IF($BJ23&gt;0,IF(INDEX('Final Calculation Sheet'!$H$4:$H$40,$BJ23-3)="","",INDEX('Final Calculation Sheet'!$H$4:$H$40,$BJ23-3)),IF(OR($BI23=1,$BL23=1,$BH23&gt;0),IF($BI23=1,SUM('Final Calculation Sheet'!$H$4:$H$40),IF($BL23=1,SUM('Final Calculation Sheet'!$H$4:$H$40)-SUMIFS('Final Calculation Sheet'!$H$4:$H$40,$AZ$5:$AZ$41,10),SUMIFS('Final Calculation Sheet'!$H$4:$H$40,$AZ$5:$AZ$41,$BH23))),""))</f>
        <v/>
      </c>
      <c r="J20">
        <f>IF($BJ23&gt;0,IF(INDEX('Final Calculation Sheet'!$I$4:$I$40,$BJ23-3)="","",INDEX('Final Calculation Sheet'!$I$4:$I$40,$BJ23-3)),IF(OR($BI23=1,$BL23=1,$BH23&gt;0),IF($BI23=1,SUM('Final Calculation Sheet'!$I$4:$I$40),IF($BL23=1,SUM('Final Calculation Sheet'!$I$4:$I$40)-SUMIFS('Final Calculation Sheet'!$I$4:$I$40,$AZ$5:$AZ$41,10),SUMIFS('Final Calculation Sheet'!$I$4:$I$40,$AZ$5:$AZ$41,$BH23))),""))</f>
        <v/>
      </c>
      <c r="K20">
        <f>IF($BJ23&gt;0,IF(INDEX('Final Calculation Sheet'!$J$4:$J$40,$BJ23-3)="","",INDEX('Final Calculation Sheet'!$J$4:$J$40,$BJ23-3)),IF(OR($BI23=1,$BL23=1,$BH23&gt;0),IF($BI23=1,SUM('Final Calculation Sheet'!$J$4:$J$40),IF($BL23=1,SUM('Final Calculation Sheet'!$J$4:$J$40)-SUMIFS('Final Calculation Sheet'!$J$4:$J$40,$AZ$5:$AZ$41,10),SUMIFS('Final Calculation Sheet'!$J$4:$J$40,$AZ$5:$AZ$41,$BH23))),""))</f>
        <v/>
      </c>
      <c r="L20">
        <f>IF($BJ23&gt;0,IF(INDEX('Final Calculation Sheet'!$K$4:$K$40,$BJ23-3)="","",INDEX('Final Calculation Sheet'!$K$4:$K$40,$BJ23-3)),IF(OR($BI23=1,$BL23=1,$BH23&gt;0),IF($BI23=1,SUM('Final Calculation Sheet'!$K$4:$K$40),IF($BL23=1,SUM('Final Calculation Sheet'!$K$4:$K$40)-SUMIFS('Final Calculation Sheet'!$K$4:$K$40,$AZ$5:$AZ$41,10),SUMIFS('Final Calculation Sheet'!$K$4:$K$40,$AZ$5:$AZ$41,$BH23))),""))</f>
        <v/>
      </c>
      <c r="M20">
        <f>IF($BJ23&gt;0,IF(INDEX('Final Calculation Sheet'!$L$4:$L$40,$BJ23-3)="","",INDEX('Final Calculation Sheet'!$L$4:$L$40,$BJ23-3)),IF(OR($BI23=1,$BL23=1,$BH23&gt;0),IF($BI23=1,SUM('Final Calculation Sheet'!$L$4:$L$40),IF($BL23=1,SUM('Final Calculation Sheet'!$L$4:$L$40)-SUMIFS('Final Calculation Sheet'!$L$4:$L$40,$AZ$5:$AZ$41,10),SUMIFS('Final Calculation Sheet'!$L$4:$L$40,$AZ$5:$AZ$41,$BH23))),""))</f>
        <v/>
      </c>
      <c r="N20">
        <f>IF($BJ23&gt;0,IF(INDEX('Final Calculation Sheet'!$M$4:$M$40,$BJ23-3)="","",INDEX('Final Calculation Sheet'!$M$4:$M$40,$BJ23-3)),IF(OR($BI23=1,$BL23=1,$BH23&gt;0),IF($BI23=1,SUM('Final Calculation Sheet'!$M$4:$M$40),IF($BL23=1,SUM('Final Calculation Sheet'!$M$4:$M$40)-SUMIFS('Final Calculation Sheet'!$M$4:$M$40,$AZ$5:$AZ$41,10),SUMIFS('Final Calculation Sheet'!$M$4:$M$40,$AZ$5:$AZ$41,$BH23))),""))</f>
        <v/>
      </c>
      <c r="O20">
        <f>IF($BJ23&gt;0,IF(INDEX('Final Calculation Sheet'!$N$4:$N$40,$BJ23-3)="","",INDEX('Final Calculation Sheet'!$N$4:$N$40,$BJ23-3)),IF(OR($BI23=1,$BL23=1,$BH23&gt;0),IF($BI23=1,SUM('Final Calculation Sheet'!$N$4:$N$40),IF($BL23=1,SUM('Final Calculation Sheet'!$N$4:$N$40)-SUMIFS('Final Calculation Sheet'!$N$4:$N$40,$AZ$5:$AZ$41,10),SUMIFS('Final Calculation Sheet'!$N$4:$N$40,$AZ$5:$AZ$41,$BH23))),""))</f>
        <v/>
      </c>
      <c r="P20">
        <f>IF($BJ23&gt;0,IF(INDEX('Final Calculation Sheet'!$O$4:$O$40,$BJ23-3)="","",INDEX('Final Calculation Sheet'!$O$4:$O$40,$BJ23-3)),IF(OR($BI23=1,$BL23=1,$BH23&gt;0),IF($BI23=1,SUM('Final Calculation Sheet'!$O$4:$O$40),IF($BL23=1,SUM('Final Calculation Sheet'!$O$4:$O$40)-SUMIFS('Final Calculation Sheet'!$O$4:$O$40,$AZ$5:$AZ$41,10),SUMIFS('Final Calculation Sheet'!$O$4:$O$40,$AZ$5:$AZ$41,$BH23))),""))</f>
        <v/>
      </c>
      <c r="Q20">
        <f>IF($BJ23&gt;0,IF(INDEX('Final Calculation Sheet'!$P$4:$P$40,$BJ23-3)="","",INDEX('Final Calculation Sheet'!$P$4:$P$40,$BJ23-3)),IF(OR($BI23=1,$BL23=1,$BH23&gt;0),IF($BI23=1,SUM('Final Calculation Sheet'!$P$4:$P$40),IF($BL23=1,SUM('Final Calculation Sheet'!$P$4:$P$40)-SUMIFS('Final Calculation Sheet'!$P$4:$P$40,$AZ$5:$AZ$41,10),SUMIFS('Final Calculation Sheet'!$P$4:$P$40,$AZ$5:$AZ$41,$BH23))),""))</f>
        <v/>
      </c>
      <c r="R20">
        <f>IF($BJ23&gt;0,IF(INDEX('Final Calculation Sheet'!$Q$4:$Q$40,$BJ23-3)="","",INDEX('Final Calculation Sheet'!$Q$4:$Q$40,$BJ23-3)),IF(OR($BI23=1,$BL23=1,$BH23&gt;0),"–",""))</f>
        <v/>
      </c>
      <c r="S20">
        <f>IF($BJ23&gt;0,IF(INDEX('Final Calculation Sheet'!$R$4:$R$40,$BJ23-3)="","",INDEX('Final Calculation Sheet'!$R$4:$R$40,$BJ23-3)),IF(OR($BI23=1,$BL23=1,$BH23&gt;0),IF($BI23=1,SUM('Final Calculation Sheet'!$R$4:$R$40),IF($BL23=1,SUM('Final Calculation Sheet'!$R$4:$R$40)-SUMIFS('Final Calculation Sheet'!$R$4:$R$40,$AZ$5:$AZ$41,10),SUMIFS('Final Calculation Sheet'!$R$4:$R$40,$AZ$5:$AZ$41,$BH23))),""))</f>
        <v/>
      </c>
      <c r="T20">
        <f>IF($BJ23&gt;0,IF(INDEX('Final Calculation Sheet'!$S$4:$S$40,$BJ23-3)="","",INDEX('Final Calculation Sheet'!$S$4:$S$40,$BJ23-3)),IF(OR($BI23=1,$BL23=1,$BH23&gt;0),IF($BI23=1,SUM('Final Calculation Sheet'!$S$4:$S$40),IF($BL23=1,SUM('Final Calculation Sheet'!$S$4:$S$40)-SUMIFS('Final Calculation Sheet'!$S$4:$S$40,$AZ$5:$AZ$41,10),SUMIFS('Final Calculation Sheet'!$S$4:$S$40,$AZ$5:$AZ$41,$BH23))),""))</f>
        <v/>
      </c>
      <c r="U20">
        <f>IF($BJ23&gt;0,IF(INDEX('Final Calculation Sheet'!$T$4:$T$40,$BJ23-3)="","",INDEX('Final Calculation Sheet'!$T$4:$T$40,$BJ23-3)),IF(OR($BI23=1,$BL23=1,$BH23&gt;0),IF($BI23=1,SUM('Final Calculation Sheet'!$T$4:$T$40),IF($BL23=1,SUM('Final Calculation Sheet'!$T$4:$T$40)-SUMIFS('Final Calculation Sheet'!$T$4:$T$40,$AZ$5:$AZ$41,10),SUMIFS('Final Calculation Sheet'!$T$4:$T$40,$AZ$5:$AZ$41,$BH23))),""))</f>
        <v/>
      </c>
      <c r="V20">
        <f>IF($BJ23&gt;0,IF(INDEX('Final Calculation Sheet'!$U$4:$U$40,$BJ23-3)="","",INDEX('Final Calculation Sheet'!$U$4:$U$40,$BJ23-3)),IF(OR($BI23=1,$BL23=1,$BH23&gt;0),IF($BI23=1,SUM('Final Calculation Sheet'!$U$4:$U$40),IF($BL23=1,SUM('Final Calculation Sheet'!$U$4:$U$40)-SUMIFS('Final Calculation Sheet'!$U$4:$U$40,$AZ$5:$AZ$41,10),SUMIFS('Final Calculation Sheet'!$U$4:$U$40,$AZ$5:$AZ$41,$BH23))),""))</f>
        <v/>
      </c>
      <c r="W20">
        <f>IF($BJ23&gt;0,IF(INDEX('Final Calculation Sheet'!$V$4:$V$40,$BJ23-3)="","",INDEX('Final Calculation Sheet'!$V$4:$V$40,$BJ23-3)),IF(OR($BI23=1,$BL23=1,$BH23&gt;0),"–",""))</f>
        <v/>
      </c>
      <c r="X20">
        <f>IF($BJ23&gt;0,IF(INDEX('Final Calculation Sheet'!$W$4:$W$40,$BJ23-3)="","",INDEX('Final Calculation Sheet'!$W$4:$W$40,$BJ23-3)),IF(OR($BI23=1,$BL23=1,$BH23&gt;0),IF($BI23=1,SUM('Final Calculation Sheet'!$W$4:$W$40),IF($BL23=1,SUM('Final Calculation Sheet'!$W$4:$W$40)-SUMIFS('Final Calculation Sheet'!$W$4:$W$40,$AZ$5:$AZ$41,10),SUMIFS('Final Calculation Sheet'!$W$4:$W$40,$AZ$5:$AZ$41,$BH23))),""))</f>
        <v/>
      </c>
      <c r="Y20">
        <f>IF($BJ23&gt;0,IF(INDEX('Final Calculation Sheet'!$X$4:$X$40,$BJ23-3)="","",INDEX('Final Calculation Sheet'!$X$4:$X$40,$BJ23-3)),IF(OR($BI23=1,$BL23=1,$BH23&gt;0),IF($BI23=1,SUM('Final Calculation Sheet'!$X$4:$X$40),IF($BL23=1,SUM('Final Calculation Sheet'!$X$4:$X$40)-SUMIFS('Final Calculation Sheet'!$X$4:$X$40,$AZ$5:$AZ$41,10),SUMIFS('Final Calculation Sheet'!$X$4:$X$40,$AZ$5:$AZ$41,$BH23))),""))</f>
        <v/>
      </c>
      <c r="Z20">
        <f>IF($BJ23&gt;0,IF(INDEX('Final Calculation Sheet'!$Y$4:$Y$40,$BJ23-3)="","",INDEX('Final Calculation Sheet'!$Y$4:$Y$40,$BJ23-3)),IF(OR($BI23=1,$BL23=1,$BH23&gt;0),"–",""))</f>
        <v/>
      </c>
      <c r="AA20">
        <f>IF($BJ23&gt;0,IF(INDEX('Final Calculation Sheet'!$Z$4:$Z$40,$BJ23-3)="","",INDEX('Final Calculation Sheet'!$Z$4:$Z$40,$BJ23-3)),IF(OR($BI23=1,$BL23=1,$BH23&gt;0),IF($BI23=1,SUM('Final Calculation Sheet'!$Z$4:$Z$40),IF($BL23=1,SUM('Final Calculation Sheet'!$Z$4:$Z$40)-SUMIFS('Final Calculation Sheet'!$Z$4:$Z$40,$AZ$5:$AZ$41,10),SUMIFS('Final Calculation Sheet'!$Z$4:$Z$40,$AZ$5:$AZ$41,$BH23))),""))</f>
        <v/>
      </c>
      <c r="AB20">
        <f>IF($BJ23&gt;0,IF(INDEX('Final Calculation Sheet'!$AA$4:$AA$40,$BJ23-3)="","",INDEX('Final Calculation Sheet'!$AA$4:$AA$40,$BJ23-3)),IF(OR($BI23=1,$BL23=1,$BH23&gt;0),IF($BI23=1,SUM('Final Calculation Sheet'!$AA$4:$AA$40),IF($BL23=1,SUM('Final Calculation Sheet'!$AA$4:$AA$40)-SUMIFS('Final Calculation Sheet'!$AA$4:$AA$40,$AZ$5:$AZ$41,10),SUMIFS('Final Calculation Sheet'!$AA$4:$AA$40,$AZ$5:$AZ$41,$BH23))),""))</f>
        <v/>
      </c>
      <c r="AC20">
        <f>IF($BJ23&gt;0,IF(INDEX('Final Calculation Sheet'!$AB$4:$AB$40,$BJ23-3)="","",INDEX('Final Calculation Sheet'!$AB$4:$AB$40,$BJ23-3)),IF(OR($BI23=1,$BL23=1,$BH23&gt;0),"–",""))</f>
        <v/>
      </c>
      <c r="AD20">
        <f>IF($BJ23&gt;0,IF(INDEX('Final Calculation Sheet'!$AC$4:$AC$40,$BJ23-3)="","",INDEX('Final Calculation Sheet'!$AC$4:$AC$40,$BJ23-3)),IF(OR($BI23=1,$BL23=1,$BH23&gt;0),IF($BI23=1,SUM('Final Calculation Sheet'!$AC$4:$AC$40),IF($BL23=1,SUM('Final Calculation Sheet'!$AC$4:$AC$40)-SUMIFS('Final Calculation Sheet'!$AC$4:$AC$40,$AZ$5:$AZ$41,10),SUMIFS('Final Calculation Sheet'!$AC$4:$AC$40,$AZ$5:$AZ$41,$BH23))),""))</f>
        <v/>
      </c>
      <c r="AE20">
        <f>IF($BJ23&gt;0,IF(INDEX('Final Calculation Sheet'!$AD$4:$AD$40,$BJ23-3)="","",INDEX('Final Calculation Sheet'!$AD$4:$AD$40,$BJ23-3)),IF(OR($BI23=1,$BL23=1,$BH23&gt;0),IF($BI23=1,SUM('Final Calculation Sheet'!$AD$4:$AD$40),IF($BL23=1,SUM('Final Calculation Sheet'!$AD$4:$AD$40)-SUMIFS('Final Calculation Sheet'!$AD$4:$AD$40,$AZ$5:$AZ$41,10),SUMIFS('Final Calculation Sheet'!$AD$4:$AD$40,$AZ$5:$AZ$41,$BH23))),""))</f>
        <v/>
      </c>
      <c r="AF20">
        <f>IF($BJ23&gt;0,IF(INDEX('Final Calculation Sheet'!$AF$4:$AF$40,$BJ23-3)="","",INDEX('Final Calculation Sheet'!$AF$4:$AF$40,$BJ23-3)),IF(OR($BI23=1,$BL23=1,$BH23&gt;0),"–",""))</f>
        <v/>
      </c>
      <c r="AG20">
        <f>IF($BJ23&gt;0,IF(INDEX('Final Calculation Sheet'!$AG$4:$AG$40,$BJ23-3)="","",INDEX('Final Calculation Sheet'!$AG$4:$AG$40,$BJ23-3)),IF(OR($BI23=1,$BL23=1,$BH23&gt;0),"–",""))</f>
        <v/>
      </c>
      <c r="AH20">
        <f>IF($BJ23&gt;0,IF(INDEX('Final Calculation Sheet'!$AH$4:$AH$40,$BJ23-3)="","",INDEX('Final Calculation Sheet'!$AH$4:$AH$40,$BJ23-3)),IF(OR($BI23=1,$BL23=1,$BH23&gt;0),"–",""))</f>
        <v/>
      </c>
      <c r="AI20">
        <f>IF($BJ23&gt;0,IF(INDEX('Final Calculation Sheet'!$AD$4:$AD$40,$BJ23-3)="","",IF(INDEX('Final Calculation Sheet'!$AD$4:$AD$40,$BJ23-3)&lt;=5,"SETTLED","OUTSTANDING")),IF(OR($BI23=1,$BL23=1,$BH23&gt;0),IF(IF($BI23=1,SUM('Final Calculation Sheet'!$AD$4:$AD$40),IF($BL23=1,SUM('Final Calculation Sheet'!$AD$4:$AD$40)-SUMIFS('Final Calculation Sheet'!$AD$4:$AD$40,$AZ$5:$AZ$41,10),SUMIFS('Final Calculation Sheet'!$AD$4:$AD$40,$AZ$5:$AZ$41,$BH23)))&lt;=5,"ALL SETTLED","OUTSTANDING"),""))</f>
        <v/>
      </c>
    </row>
    <row r="21">
      <c r="A21">
        <f>IF($BJ24&gt;0,INDEX($BA$5:$BA$41,MATCH(24,$BB$5:$BB$41,0)),IF(OR($BI24=1,$BL24=1,$BH24&gt;0),"∑",""))</f>
        <v/>
      </c>
      <c r="B21">
        <f>IF($BJ24&gt;0,IF(INDEX('Final Calculation Sheet'!$F$4:$F$40,$BJ24-3)="","",INDEX('Final Calculation Sheet'!$F$4:$F$40,$BJ24-3)),"")</f>
        <v/>
      </c>
      <c r="C21">
        <f>IF($BJ24&gt;0,IF(INDEX('Final Calculation Sheet'!$G$4:$G$40,$BJ24-3)="","",INDEX('Final Calculation Sheet'!$G$4:$G$40,$BJ24-3)),IF(OR($BI24=1,$BL24=1,$BH24&gt;0),IF($BI24=1,37,IF($BL24=1,37-INDEX($BD$4:$BD$13,10),INDEX($BD$4:$BD$13,$BH24)))&amp;" lot(s)",""))</f>
        <v/>
      </c>
      <c r="D21">
        <f>IF($BJ24&gt;0,IF(INDEX('Final Calculation Sheet'!$B$4:$B$40,$BJ24-3)="","",INDEX('Final Calculation Sheet'!$B$4:$B$40,$BJ24-3)),IF(OR($BI24=1,$BL24=1,$BH24&gt;0),IF($BI24=1,"GRAND TOTAL  —  matching + remaining",IF($BL24=1,"TOTAL MATCHED  —  every group together",IF($BH24=10,"REMAINING  —  did not match the search",IF($BH24=9,IF(COUNTIF($A$4:$AI$4,"&lt;&gt;")&gt;0,"FILTERED LOTS  —  column fields","ALL LOTS  —  nothing typed in the box"),"GROUP "&amp;$BH24&amp;" TOTAL  —  lots matching  "&amp;INDEX($AR$6:$AY$6,$BH24))))),""))</f>
        <v/>
      </c>
      <c r="E21">
        <f>IF($BJ24&gt;0,IF(INDEX('Final Calculation Sheet'!$D$4:$D$40,$BJ24-3)="","",INDEX('Final Calculation Sheet'!$D$4:$D$40,$BJ24-3)),IF(OR($BI24=1,$BL24=1,$BH24&gt;0),"–",""))</f>
        <v/>
      </c>
      <c r="F21">
        <f>IF($BJ24&gt;0,IF(INDEX('Final Calculation Sheet'!$A$4:$A$40,$BJ24-3)="","",INDEX('Final Calculation Sheet'!$A$4:$A$40,$BJ24-3)),IF(OR($BI24=1,$BL24=1,$BH24&gt;0),IF($BI24=1,SUM('Final Calculation Sheet'!$A$4:$A$40),IF($BL24=1,SUM('Final Calculation Sheet'!$A$4:$A$40)-SUMIFS('Final Calculation Sheet'!$A$4:$A$40,$AZ$5:$AZ$41,10),SUMIFS('Final Calculation Sheet'!$A$4:$A$40,$AZ$5:$AZ$41,$BH24))),""))</f>
        <v/>
      </c>
      <c r="G21">
        <f>IF($BJ24&gt;0,IF(INDEX('Final Calculation Sheet'!$E$4:$E$40,$BJ24-3)="","",INDEX('Final Calculation Sheet'!$E$4:$E$40,$BJ24-3)),IF(OR($BI24=1,$BL24=1,$BH24&gt;0),"–",""))</f>
        <v/>
      </c>
      <c r="H21">
        <f>IF($BJ24&gt;0,IF(INDEX('Final Calculation Sheet'!$C$4:$C$40,$BJ24-3)="","",INDEX('Final Calculation Sheet'!$C$4:$C$40,$BJ24-3)),IF(OR($BI24=1,$BL24=1,$BH24&gt;0),"–",""))</f>
        <v/>
      </c>
      <c r="I21">
        <f>IF($BJ24&gt;0,IF(INDEX('Final Calculation Sheet'!$H$4:$H$40,$BJ24-3)="","",INDEX('Final Calculation Sheet'!$H$4:$H$40,$BJ24-3)),IF(OR($BI24=1,$BL24=1,$BH24&gt;0),IF($BI24=1,SUM('Final Calculation Sheet'!$H$4:$H$40),IF($BL24=1,SUM('Final Calculation Sheet'!$H$4:$H$40)-SUMIFS('Final Calculation Sheet'!$H$4:$H$40,$AZ$5:$AZ$41,10),SUMIFS('Final Calculation Sheet'!$H$4:$H$40,$AZ$5:$AZ$41,$BH24))),""))</f>
        <v/>
      </c>
      <c r="J21">
        <f>IF($BJ24&gt;0,IF(INDEX('Final Calculation Sheet'!$I$4:$I$40,$BJ24-3)="","",INDEX('Final Calculation Sheet'!$I$4:$I$40,$BJ24-3)),IF(OR($BI24=1,$BL24=1,$BH24&gt;0),IF($BI24=1,SUM('Final Calculation Sheet'!$I$4:$I$40),IF($BL24=1,SUM('Final Calculation Sheet'!$I$4:$I$40)-SUMIFS('Final Calculation Sheet'!$I$4:$I$40,$AZ$5:$AZ$41,10),SUMIFS('Final Calculation Sheet'!$I$4:$I$40,$AZ$5:$AZ$41,$BH24))),""))</f>
        <v/>
      </c>
      <c r="K21">
        <f>IF($BJ24&gt;0,IF(INDEX('Final Calculation Sheet'!$J$4:$J$40,$BJ24-3)="","",INDEX('Final Calculation Sheet'!$J$4:$J$40,$BJ24-3)),IF(OR($BI24=1,$BL24=1,$BH24&gt;0),IF($BI24=1,SUM('Final Calculation Sheet'!$J$4:$J$40),IF($BL24=1,SUM('Final Calculation Sheet'!$J$4:$J$40)-SUMIFS('Final Calculation Sheet'!$J$4:$J$40,$AZ$5:$AZ$41,10),SUMIFS('Final Calculation Sheet'!$J$4:$J$40,$AZ$5:$AZ$41,$BH24))),""))</f>
        <v/>
      </c>
      <c r="L21">
        <f>IF($BJ24&gt;0,IF(INDEX('Final Calculation Sheet'!$K$4:$K$40,$BJ24-3)="","",INDEX('Final Calculation Sheet'!$K$4:$K$40,$BJ24-3)),IF(OR($BI24=1,$BL24=1,$BH24&gt;0),IF($BI24=1,SUM('Final Calculation Sheet'!$K$4:$K$40),IF($BL24=1,SUM('Final Calculation Sheet'!$K$4:$K$40)-SUMIFS('Final Calculation Sheet'!$K$4:$K$40,$AZ$5:$AZ$41,10),SUMIFS('Final Calculation Sheet'!$K$4:$K$40,$AZ$5:$AZ$41,$BH24))),""))</f>
        <v/>
      </c>
      <c r="M21">
        <f>IF($BJ24&gt;0,IF(INDEX('Final Calculation Sheet'!$L$4:$L$40,$BJ24-3)="","",INDEX('Final Calculation Sheet'!$L$4:$L$40,$BJ24-3)),IF(OR($BI24=1,$BL24=1,$BH24&gt;0),IF($BI24=1,SUM('Final Calculation Sheet'!$L$4:$L$40),IF($BL24=1,SUM('Final Calculation Sheet'!$L$4:$L$40)-SUMIFS('Final Calculation Sheet'!$L$4:$L$40,$AZ$5:$AZ$41,10),SUMIFS('Final Calculation Sheet'!$L$4:$L$40,$AZ$5:$AZ$41,$BH24))),""))</f>
        <v/>
      </c>
      <c r="N21">
        <f>IF($BJ24&gt;0,IF(INDEX('Final Calculation Sheet'!$M$4:$M$40,$BJ24-3)="","",INDEX('Final Calculation Sheet'!$M$4:$M$40,$BJ24-3)),IF(OR($BI24=1,$BL24=1,$BH24&gt;0),IF($BI24=1,SUM('Final Calculation Sheet'!$M$4:$M$40),IF($BL24=1,SUM('Final Calculation Sheet'!$M$4:$M$40)-SUMIFS('Final Calculation Sheet'!$M$4:$M$40,$AZ$5:$AZ$41,10),SUMIFS('Final Calculation Sheet'!$M$4:$M$40,$AZ$5:$AZ$41,$BH24))),""))</f>
        <v/>
      </c>
      <c r="O21">
        <f>IF($BJ24&gt;0,IF(INDEX('Final Calculation Sheet'!$N$4:$N$40,$BJ24-3)="","",INDEX('Final Calculation Sheet'!$N$4:$N$40,$BJ24-3)),IF(OR($BI24=1,$BL24=1,$BH24&gt;0),IF($BI24=1,SUM('Final Calculation Sheet'!$N$4:$N$40),IF($BL24=1,SUM('Final Calculation Sheet'!$N$4:$N$40)-SUMIFS('Final Calculation Sheet'!$N$4:$N$40,$AZ$5:$AZ$41,10),SUMIFS('Final Calculation Sheet'!$N$4:$N$40,$AZ$5:$AZ$41,$BH24))),""))</f>
        <v/>
      </c>
      <c r="P21">
        <f>IF($BJ24&gt;0,IF(INDEX('Final Calculation Sheet'!$O$4:$O$40,$BJ24-3)="","",INDEX('Final Calculation Sheet'!$O$4:$O$40,$BJ24-3)),IF(OR($BI24=1,$BL24=1,$BH24&gt;0),IF($BI24=1,SUM('Final Calculation Sheet'!$O$4:$O$40),IF($BL24=1,SUM('Final Calculation Sheet'!$O$4:$O$40)-SUMIFS('Final Calculation Sheet'!$O$4:$O$40,$AZ$5:$AZ$41,10),SUMIFS('Final Calculation Sheet'!$O$4:$O$40,$AZ$5:$AZ$41,$BH24))),""))</f>
        <v/>
      </c>
      <c r="Q21">
        <f>IF($BJ24&gt;0,IF(INDEX('Final Calculation Sheet'!$P$4:$P$40,$BJ24-3)="","",INDEX('Final Calculation Sheet'!$P$4:$P$40,$BJ24-3)),IF(OR($BI24=1,$BL24=1,$BH24&gt;0),IF($BI24=1,SUM('Final Calculation Sheet'!$P$4:$P$40),IF($BL24=1,SUM('Final Calculation Sheet'!$P$4:$P$40)-SUMIFS('Final Calculation Sheet'!$P$4:$P$40,$AZ$5:$AZ$41,10),SUMIFS('Final Calculation Sheet'!$P$4:$P$40,$AZ$5:$AZ$41,$BH24))),""))</f>
        <v/>
      </c>
      <c r="R21">
        <f>IF($BJ24&gt;0,IF(INDEX('Final Calculation Sheet'!$Q$4:$Q$40,$BJ24-3)="","",INDEX('Final Calculation Sheet'!$Q$4:$Q$40,$BJ24-3)),IF(OR($BI24=1,$BL24=1,$BH24&gt;0),"–",""))</f>
        <v/>
      </c>
      <c r="S21">
        <f>IF($BJ24&gt;0,IF(INDEX('Final Calculation Sheet'!$R$4:$R$40,$BJ24-3)="","",INDEX('Final Calculation Sheet'!$R$4:$R$40,$BJ24-3)),IF(OR($BI24=1,$BL24=1,$BH24&gt;0),IF($BI24=1,SUM('Final Calculation Sheet'!$R$4:$R$40),IF($BL24=1,SUM('Final Calculation Sheet'!$R$4:$R$40)-SUMIFS('Final Calculation Sheet'!$R$4:$R$40,$AZ$5:$AZ$41,10),SUMIFS('Final Calculation Sheet'!$R$4:$R$40,$AZ$5:$AZ$41,$BH24))),""))</f>
        <v/>
      </c>
      <c r="T21">
        <f>IF($BJ24&gt;0,IF(INDEX('Final Calculation Sheet'!$S$4:$S$40,$BJ24-3)="","",INDEX('Final Calculation Sheet'!$S$4:$S$40,$BJ24-3)),IF(OR($BI24=1,$BL24=1,$BH24&gt;0),IF($BI24=1,SUM('Final Calculation Sheet'!$S$4:$S$40),IF($BL24=1,SUM('Final Calculation Sheet'!$S$4:$S$40)-SUMIFS('Final Calculation Sheet'!$S$4:$S$40,$AZ$5:$AZ$41,10),SUMIFS('Final Calculation Sheet'!$S$4:$S$40,$AZ$5:$AZ$41,$BH24))),""))</f>
        <v/>
      </c>
      <c r="U21">
        <f>IF($BJ24&gt;0,IF(INDEX('Final Calculation Sheet'!$T$4:$T$40,$BJ24-3)="","",INDEX('Final Calculation Sheet'!$T$4:$T$40,$BJ24-3)),IF(OR($BI24=1,$BL24=1,$BH24&gt;0),IF($BI24=1,SUM('Final Calculation Sheet'!$T$4:$T$40),IF($BL24=1,SUM('Final Calculation Sheet'!$T$4:$T$40)-SUMIFS('Final Calculation Sheet'!$T$4:$T$40,$AZ$5:$AZ$41,10),SUMIFS('Final Calculation Sheet'!$T$4:$T$40,$AZ$5:$AZ$41,$BH24))),""))</f>
        <v/>
      </c>
      <c r="V21">
        <f>IF($BJ24&gt;0,IF(INDEX('Final Calculation Sheet'!$U$4:$U$40,$BJ24-3)="","",INDEX('Final Calculation Sheet'!$U$4:$U$40,$BJ24-3)),IF(OR($BI24=1,$BL24=1,$BH24&gt;0),IF($BI24=1,SUM('Final Calculation Sheet'!$U$4:$U$40),IF($BL24=1,SUM('Final Calculation Sheet'!$U$4:$U$40)-SUMIFS('Final Calculation Sheet'!$U$4:$U$40,$AZ$5:$AZ$41,10),SUMIFS('Final Calculation Sheet'!$U$4:$U$40,$AZ$5:$AZ$41,$BH24))),""))</f>
        <v/>
      </c>
      <c r="W21">
        <f>IF($BJ24&gt;0,IF(INDEX('Final Calculation Sheet'!$V$4:$V$40,$BJ24-3)="","",INDEX('Final Calculation Sheet'!$V$4:$V$40,$BJ24-3)),IF(OR($BI24=1,$BL24=1,$BH24&gt;0),"–",""))</f>
        <v/>
      </c>
      <c r="X21">
        <f>IF($BJ24&gt;0,IF(INDEX('Final Calculation Sheet'!$W$4:$W$40,$BJ24-3)="","",INDEX('Final Calculation Sheet'!$W$4:$W$40,$BJ24-3)),IF(OR($BI24=1,$BL24=1,$BH24&gt;0),IF($BI24=1,SUM('Final Calculation Sheet'!$W$4:$W$40),IF($BL24=1,SUM('Final Calculation Sheet'!$W$4:$W$40)-SUMIFS('Final Calculation Sheet'!$W$4:$W$40,$AZ$5:$AZ$41,10),SUMIFS('Final Calculation Sheet'!$W$4:$W$40,$AZ$5:$AZ$41,$BH24))),""))</f>
        <v/>
      </c>
      <c r="Y21">
        <f>IF($BJ24&gt;0,IF(INDEX('Final Calculation Sheet'!$X$4:$X$40,$BJ24-3)="","",INDEX('Final Calculation Sheet'!$X$4:$X$40,$BJ24-3)),IF(OR($BI24=1,$BL24=1,$BH24&gt;0),IF($BI24=1,SUM('Final Calculation Sheet'!$X$4:$X$40),IF($BL24=1,SUM('Final Calculation Sheet'!$X$4:$X$40)-SUMIFS('Final Calculation Sheet'!$X$4:$X$40,$AZ$5:$AZ$41,10),SUMIFS('Final Calculation Sheet'!$X$4:$X$40,$AZ$5:$AZ$41,$BH24))),""))</f>
        <v/>
      </c>
      <c r="Z21">
        <f>IF($BJ24&gt;0,IF(INDEX('Final Calculation Sheet'!$Y$4:$Y$40,$BJ24-3)="","",INDEX('Final Calculation Sheet'!$Y$4:$Y$40,$BJ24-3)),IF(OR($BI24=1,$BL24=1,$BH24&gt;0),"–",""))</f>
        <v/>
      </c>
      <c r="AA21">
        <f>IF($BJ24&gt;0,IF(INDEX('Final Calculation Sheet'!$Z$4:$Z$40,$BJ24-3)="","",INDEX('Final Calculation Sheet'!$Z$4:$Z$40,$BJ24-3)),IF(OR($BI24=1,$BL24=1,$BH24&gt;0),IF($BI24=1,SUM('Final Calculation Sheet'!$Z$4:$Z$40),IF($BL24=1,SUM('Final Calculation Sheet'!$Z$4:$Z$40)-SUMIFS('Final Calculation Sheet'!$Z$4:$Z$40,$AZ$5:$AZ$41,10),SUMIFS('Final Calculation Sheet'!$Z$4:$Z$40,$AZ$5:$AZ$41,$BH24))),""))</f>
        <v/>
      </c>
      <c r="AB21">
        <f>IF($BJ24&gt;0,IF(INDEX('Final Calculation Sheet'!$AA$4:$AA$40,$BJ24-3)="","",INDEX('Final Calculation Sheet'!$AA$4:$AA$40,$BJ24-3)),IF(OR($BI24=1,$BL24=1,$BH24&gt;0),IF($BI24=1,SUM('Final Calculation Sheet'!$AA$4:$AA$40),IF($BL24=1,SUM('Final Calculation Sheet'!$AA$4:$AA$40)-SUMIFS('Final Calculation Sheet'!$AA$4:$AA$40,$AZ$5:$AZ$41,10),SUMIFS('Final Calculation Sheet'!$AA$4:$AA$40,$AZ$5:$AZ$41,$BH24))),""))</f>
        <v/>
      </c>
      <c r="AC21">
        <f>IF($BJ24&gt;0,IF(INDEX('Final Calculation Sheet'!$AB$4:$AB$40,$BJ24-3)="","",INDEX('Final Calculation Sheet'!$AB$4:$AB$40,$BJ24-3)),IF(OR($BI24=1,$BL24=1,$BH24&gt;0),"–",""))</f>
        <v/>
      </c>
      <c r="AD21">
        <f>IF($BJ24&gt;0,IF(INDEX('Final Calculation Sheet'!$AC$4:$AC$40,$BJ24-3)="","",INDEX('Final Calculation Sheet'!$AC$4:$AC$40,$BJ24-3)),IF(OR($BI24=1,$BL24=1,$BH24&gt;0),IF($BI24=1,SUM('Final Calculation Sheet'!$AC$4:$AC$40),IF($BL24=1,SUM('Final Calculation Sheet'!$AC$4:$AC$40)-SUMIFS('Final Calculation Sheet'!$AC$4:$AC$40,$AZ$5:$AZ$41,10),SUMIFS('Final Calculation Sheet'!$AC$4:$AC$40,$AZ$5:$AZ$41,$BH24))),""))</f>
        <v/>
      </c>
      <c r="AE21">
        <f>IF($BJ24&gt;0,IF(INDEX('Final Calculation Sheet'!$AD$4:$AD$40,$BJ24-3)="","",INDEX('Final Calculation Sheet'!$AD$4:$AD$40,$BJ24-3)),IF(OR($BI24=1,$BL24=1,$BH24&gt;0),IF($BI24=1,SUM('Final Calculation Sheet'!$AD$4:$AD$40),IF($BL24=1,SUM('Final Calculation Sheet'!$AD$4:$AD$40)-SUMIFS('Final Calculation Sheet'!$AD$4:$AD$40,$AZ$5:$AZ$41,10),SUMIFS('Final Calculation Sheet'!$AD$4:$AD$40,$AZ$5:$AZ$41,$BH24))),""))</f>
        <v/>
      </c>
      <c r="AF21">
        <f>IF($BJ24&gt;0,IF(INDEX('Final Calculation Sheet'!$AF$4:$AF$40,$BJ24-3)="","",INDEX('Final Calculation Sheet'!$AF$4:$AF$40,$BJ24-3)),IF(OR($BI24=1,$BL24=1,$BH24&gt;0),"–",""))</f>
        <v/>
      </c>
      <c r="AG21">
        <f>IF($BJ24&gt;0,IF(INDEX('Final Calculation Sheet'!$AG$4:$AG$40,$BJ24-3)="","",INDEX('Final Calculation Sheet'!$AG$4:$AG$40,$BJ24-3)),IF(OR($BI24=1,$BL24=1,$BH24&gt;0),"–",""))</f>
        <v/>
      </c>
      <c r="AH21">
        <f>IF($BJ24&gt;0,IF(INDEX('Final Calculation Sheet'!$AH$4:$AH$40,$BJ24-3)="","",INDEX('Final Calculation Sheet'!$AH$4:$AH$40,$BJ24-3)),IF(OR($BI24=1,$BL24=1,$BH24&gt;0),"–",""))</f>
        <v/>
      </c>
      <c r="AI21">
        <f>IF($BJ24&gt;0,IF(INDEX('Final Calculation Sheet'!$AD$4:$AD$40,$BJ24-3)="","",IF(INDEX('Final Calculation Sheet'!$AD$4:$AD$40,$BJ24-3)&lt;=5,"SETTLED","OUTSTANDING")),IF(OR($BI24=1,$BL24=1,$BH24&gt;0),IF(IF($BI24=1,SUM('Final Calculation Sheet'!$AD$4:$AD$40),IF($BL24=1,SUM('Final Calculation Sheet'!$AD$4:$AD$40)-SUMIFS('Final Calculation Sheet'!$AD$4:$AD$40,$AZ$5:$AZ$41,10),SUMIFS('Final Calculation Sheet'!$AD$4:$AD$40,$AZ$5:$AZ$41,$BH24)))&lt;=5,"ALL SETTLED","OUTSTANDING"),""))</f>
        <v/>
      </c>
    </row>
    <row r="22">
      <c r="A22">
        <f>IF($BJ25&gt;0,INDEX($BA$5:$BA$41,MATCH(25,$BB$5:$BB$41,0)),IF(OR($BI25=1,$BL25=1,$BH25&gt;0),"∑",""))</f>
        <v/>
      </c>
      <c r="B22">
        <f>IF($BJ25&gt;0,IF(INDEX('Final Calculation Sheet'!$F$4:$F$40,$BJ25-3)="","",INDEX('Final Calculation Sheet'!$F$4:$F$40,$BJ25-3)),"")</f>
        <v/>
      </c>
      <c r="C22">
        <f>IF($BJ25&gt;0,IF(INDEX('Final Calculation Sheet'!$G$4:$G$40,$BJ25-3)="","",INDEX('Final Calculation Sheet'!$G$4:$G$40,$BJ25-3)),IF(OR($BI25=1,$BL25=1,$BH25&gt;0),IF($BI25=1,37,IF($BL25=1,37-INDEX($BD$4:$BD$13,10),INDEX($BD$4:$BD$13,$BH25)))&amp;" lot(s)",""))</f>
        <v/>
      </c>
      <c r="D22">
        <f>IF($BJ25&gt;0,IF(INDEX('Final Calculation Sheet'!$B$4:$B$40,$BJ25-3)="","",INDEX('Final Calculation Sheet'!$B$4:$B$40,$BJ25-3)),IF(OR($BI25=1,$BL25=1,$BH25&gt;0),IF($BI25=1,"GRAND TOTAL  —  matching + remaining",IF($BL25=1,"TOTAL MATCHED  —  every group together",IF($BH25=10,"REMAINING  —  did not match the search",IF($BH25=9,IF(COUNTIF($A$4:$AI$4,"&lt;&gt;")&gt;0,"FILTERED LOTS  —  column fields","ALL LOTS  —  nothing typed in the box"),"GROUP "&amp;$BH25&amp;" TOTAL  —  lots matching  "&amp;INDEX($AR$6:$AY$6,$BH25))))),""))</f>
        <v/>
      </c>
      <c r="E22">
        <f>IF($BJ25&gt;0,IF(INDEX('Final Calculation Sheet'!$D$4:$D$40,$BJ25-3)="","",INDEX('Final Calculation Sheet'!$D$4:$D$40,$BJ25-3)),IF(OR($BI25=1,$BL25=1,$BH25&gt;0),"–",""))</f>
        <v/>
      </c>
      <c r="F22">
        <f>IF($BJ25&gt;0,IF(INDEX('Final Calculation Sheet'!$A$4:$A$40,$BJ25-3)="","",INDEX('Final Calculation Sheet'!$A$4:$A$40,$BJ25-3)),IF(OR($BI25=1,$BL25=1,$BH25&gt;0),IF($BI25=1,SUM('Final Calculation Sheet'!$A$4:$A$40),IF($BL25=1,SUM('Final Calculation Sheet'!$A$4:$A$40)-SUMIFS('Final Calculation Sheet'!$A$4:$A$40,$AZ$5:$AZ$41,10),SUMIFS('Final Calculation Sheet'!$A$4:$A$40,$AZ$5:$AZ$41,$BH25))),""))</f>
        <v/>
      </c>
      <c r="G22">
        <f>IF($BJ25&gt;0,IF(INDEX('Final Calculation Sheet'!$E$4:$E$40,$BJ25-3)="","",INDEX('Final Calculation Sheet'!$E$4:$E$40,$BJ25-3)),IF(OR($BI25=1,$BL25=1,$BH25&gt;0),"–",""))</f>
        <v/>
      </c>
      <c r="H22">
        <f>IF($BJ25&gt;0,IF(INDEX('Final Calculation Sheet'!$C$4:$C$40,$BJ25-3)="","",INDEX('Final Calculation Sheet'!$C$4:$C$40,$BJ25-3)),IF(OR($BI25=1,$BL25=1,$BH25&gt;0),"–",""))</f>
        <v/>
      </c>
      <c r="I22">
        <f>IF($BJ25&gt;0,IF(INDEX('Final Calculation Sheet'!$H$4:$H$40,$BJ25-3)="","",INDEX('Final Calculation Sheet'!$H$4:$H$40,$BJ25-3)),IF(OR($BI25=1,$BL25=1,$BH25&gt;0),IF($BI25=1,SUM('Final Calculation Sheet'!$H$4:$H$40),IF($BL25=1,SUM('Final Calculation Sheet'!$H$4:$H$40)-SUMIFS('Final Calculation Sheet'!$H$4:$H$40,$AZ$5:$AZ$41,10),SUMIFS('Final Calculation Sheet'!$H$4:$H$40,$AZ$5:$AZ$41,$BH25))),""))</f>
        <v/>
      </c>
      <c r="J22">
        <f>IF($BJ25&gt;0,IF(INDEX('Final Calculation Sheet'!$I$4:$I$40,$BJ25-3)="","",INDEX('Final Calculation Sheet'!$I$4:$I$40,$BJ25-3)),IF(OR($BI25=1,$BL25=1,$BH25&gt;0),IF($BI25=1,SUM('Final Calculation Sheet'!$I$4:$I$40),IF($BL25=1,SUM('Final Calculation Sheet'!$I$4:$I$40)-SUMIFS('Final Calculation Sheet'!$I$4:$I$40,$AZ$5:$AZ$41,10),SUMIFS('Final Calculation Sheet'!$I$4:$I$40,$AZ$5:$AZ$41,$BH25))),""))</f>
        <v/>
      </c>
      <c r="K22">
        <f>IF($BJ25&gt;0,IF(INDEX('Final Calculation Sheet'!$J$4:$J$40,$BJ25-3)="","",INDEX('Final Calculation Sheet'!$J$4:$J$40,$BJ25-3)),IF(OR($BI25=1,$BL25=1,$BH25&gt;0),IF($BI25=1,SUM('Final Calculation Sheet'!$J$4:$J$40),IF($BL25=1,SUM('Final Calculation Sheet'!$J$4:$J$40)-SUMIFS('Final Calculation Sheet'!$J$4:$J$40,$AZ$5:$AZ$41,10),SUMIFS('Final Calculation Sheet'!$J$4:$J$40,$AZ$5:$AZ$41,$BH25))),""))</f>
        <v/>
      </c>
      <c r="L22">
        <f>IF($BJ25&gt;0,IF(INDEX('Final Calculation Sheet'!$K$4:$K$40,$BJ25-3)="","",INDEX('Final Calculation Sheet'!$K$4:$K$40,$BJ25-3)),IF(OR($BI25=1,$BL25=1,$BH25&gt;0),IF($BI25=1,SUM('Final Calculation Sheet'!$K$4:$K$40),IF($BL25=1,SUM('Final Calculation Sheet'!$K$4:$K$40)-SUMIFS('Final Calculation Sheet'!$K$4:$K$40,$AZ$5:$AZ$41,10),SUMIFS('Final Calculation Sheet'!$K$4:$K$40,$AZ$5:$AZ$41,$BH25))),""))</f>
        <v/>
      </c>
      <c r="M22">
        <f>IF($BJ25&gt;0,IF(INDEX('Final Calculation Sheet'!$L$4:$L$40,$BJ25-3)="","",INDEX('Final Calculation Sheet'!$L$4:$L$40,$BJ25-3)),IF(OR($BI25=1,$BL25=1,$BH25&gt;0),IF($BI25=1,SUM('Final Calculation Sheet'!$L$4:$L$40),IF($BL25=1,SUM('Final Calculation Sheet'!$L$4:$L$40)-SUMIFS('Final Calculation Sheet'!$L$4:$L$40,$AZ$5:$AZ$41,10),SUMIFS('Final Calculation Sheet'!$L$4:$L$40,$AZ$5:$AZ$41,$BH25))),""))</f>
        <v/>
      </c>
      <c r="N22">
        <f>IF($BJ25&gt;0,IF(INDEX('Final Calculation Sheet'!$M$4:$M$40,$BJ25-3)="","",INDEX('Final Calculation Sheet'!$M$4:$M$40,$BJ25-3)),IF(OR($BI25=1,$BL25=1,$BH25&gt;0),IF($BI25=1,SUM('Final Calculation Sheet'!$M$4:$M$40),IF($BL25=1,SUM('Final Calculation Sheet'!$M$4:$M$40)-SUMIFS('Final Calculation Sheet'!$M$4:$M$40,$AZ$5:$AZ$41,10),SUMIFS('Final Calculation Sheet'!$M$4:$M$40,$AZ$5:$AZ$41,$BH25))),""))</f>
        <v/>
      </c>
      <c r="O22">
        <f>IF($BJ25&gt;0,IF(INDEX('Final Calculation Sheet'!$N$4:$N$40,$BJ25-3)="","",INDEX('Final Calculation Sheet'!$N$4:$N$40,$BJ25-3)),IF(OR($BI25=1,$BL25=1,$BH25&gt;0),IF($BI25=1,SUM('Final Calculation Sheet'!$N$4:$N$40),IF($BL25=1,SUM('Final Calculation Sheet'!$N$4:$N$40)-SUMIFS('Final Calculation Sheet'!$N$4:$N$40,$AZ$5:$AZ$41,10),SUMIFS('Final Calculation Sheet'!$N$4:$N$40,$AZ$5:$AZ$41,$BH25))),""))</f>
        <v/>
      </c>
      <c r="P22">
        <f>IF($BJ25&gt;0,IF(INDEX('Final Calculation Sheet'!$O$4:$O$40,$BJ25-3)="","",INDEX('Final Calculation Sheet'!$O$4:$O$40,$BJ25-3)),IF(OR($BI25=1,$BL25=1,$BH25&gt;0),IF($BI25=1,SUM('Final Calculation Sheet'!$O$4:$O$40),IF($BL25=1,SUM('Final Calculation Sheet'!$O$4:$O$40)-SUMIFS('Final Calculation Sheet'!$O$4:$O$40,$AZ$5:$AZ$41,10),SUMIFS('Final Calculation Sheet'!$O$4:$O$40,$AZ$5:$AZ$41,$BH25))),""))</f>
        <v/>
      </c>
      <c r="Q22">
        <f>IF($BJ25&gt;0,IF(INDEX('Final Calculation Sheet'!$P$4:$P$40,$BJ25-3)="","",INDEX('Final Calculation Sheet'!$P$4:$P$40,$BJ25-3)),IF(OR($BI25=1,$BL25=1,$BH25&gt;0),IF($BI25=1,SUM('Final Calculation Sheet'!$P$4:$P$40),IF($BL25=1,SUM('Final Calculation Sheet'!$P$4:$P$40)-SUMIFS('Final Calculation Sheet'!$P$4:$P$40,$AZ$5:$AZ$41,10),SUMIFS('Final Calculation Sheet'!$P$4:$P$40,$AZ$5:$AZ$41,$BH25))),""))</f>
        <v/>
      </c>
      <c r="R22">
        <f>IF($BJ25&gt;0,IF(INDEX('Final Calculation Sheet'!$Q$4:$Q$40,$BJ25-3)="","",INDEX('Final Calculation Sheet'!$Q$4:$Q$40,$BJ25-3)),IF(OR($BI25=1,$BL25=1,$BH25&gt;0),"–",""))</f>
        <v/>
      </c>
      <c r="S22">
        <f>IF($BJ25&gt;0,IF(INDEX('Final Calculation Sheet'!$R$4:$R$40,$BJ25-3)="","",INDEX('Final Calculation Sheet'!$R$4:$R$40,$BJ25-3)),IF(OR($BI25=1,$BL25=1,$BH25&gt;0),IF($BI25=1,SUM('Final Calculation Sheet'!$R$4:$R$40),IF($BL25=1,SUM('Final Calculation Sheet'!$R$4:$R$40)-SUMIFS('Final Calculation Sheet'!$R$4:$R$40,$AZ$5:$AZ$41,10),SUMIFS('Final Calculation Sheet'!$R$4:$R$40,$AZ$5:$AZ$41,$BH25))),""))</f>
        <v/>
      </c>
      <c r="T22">
        <f>IF($BJ25&gt;0,IF(INDEX('Final Calculation Sheet'!$S$4:$S$40,$BJ25-3)="","",INDEX('Final Calculation Sheet'!$S$4:$S$40,$BJ25-3)),IF(OR($BI25=1,$BL25=1,$BH25&gt;0),IF($BI25=1,SUM('Final Calculation Sheet'!$S$4:$S$40),IF($BL25=1,SUM('Final Calculation Sheet'!$S$4:$S$40)-SUMIFS('Final Calculation Sheet'!$S$4:$S$40,$AZ$5:$AZ$41,10),SUMIFS('Final Calculation Sheet'!$S$4:$S$40,$AZ$5:$AZ$41,$BH25))),""))</f>
        <v/>
      </c>
      <c r="U22">
        <f>IF($BJ25&gt;0,IF(INDEX('Final Calculation Sheet'!$T$4:$T$40,$BJ25-3)="","",INDEX('Final Calculation Sheet'!$T$4:$T$40,$BJ25-3)),IF(OR($BI25=1,$BL25=1,$BH25&gt;0),IF($BI25=1,SUM('Final Calculation Sheet'!$T$4:$T$40),IF($BL25=1,SUM('Final Calculation Sheet'!$T$4:$T$40)-SUMIFS('Final Calculation Sheet'!$T$4:$T$40,$AZ$5:$AZ$41,10),SUMIFS('Final Calculation Sheet'!$T$4:$T$40,$AZ$5:$AZ$41,$BH25))),""))</f>
        <v/>
      </c>
      <c r="V22">
        <f>IF($BJ25&gt;0,IF(INDEX('Final Calculation Sheet'!$U$4:$U$40,$BJ25-3)="","",INDEX('Final Calculation Sheet'!$U$4:$U$40,$BJ25-3)),IF(OR($BI25=1,$BL25=1,$BH25&gt;0),IF($BI25=1,SUM('Final Calculation Sheet'!$U$4:$U$40),IF($BL25=1,SUM('Final Calculation Sheet'!$U$4:$U$40)-SUMIFS('Final Calculation Sheet'!$U$4:$U$40,$AZ$5:$AZ$41,10),SUMIFS('Final Calculation Sheet'!$U$4:$U$40,$AZ$5:$AZ$41,$BH25))),""))</f>
        <v/>
      </c>
      <c r="W22">
        <f>IF($BJ25&gt;0,IF(INDEX('Final Calculation Sheet'!$V$4:$V$40,$BJ25-3)="","",INDEX('Final Calculation Sheet'!$V$4:$V$40,$BJ25-3)),IF(OR($BI25=1,$BL25=1,$BH25&gt;0),"–",""))</f>
        <v/>
      </c>
      <c r="X22">
        <f>IF($BJ25&gt;0,IF(INDEX('Final Calculation Sheet'!$W$4:$W$40,$BJ25-3)="","",INDEX('Final Calculation Sheet'!$W$4:$W$40,$BJ25-3)),IF(OR($BI25=1,$BL25=1,$BH25&gt;0),IF($BI25=1,SUM('Final Calculation Sheet'!$W$4:$W$40),IF($BL25=1,SUM('Final Calculation Sheet'!$W$4:$W$40)-SUMIFS('Final Calculation Sheet'!$W$4:$W$40,$AZ$5:$AZ$41,10),SUMIFS('Final Calculation Sheet'!$W$4:$W$40,$AZ$5:$AZ$41,$BH25))),""))</f>
        <v/>
      </c>
      <c r="Y22">
        <f>IF($BJ25&gt;0,IF(INDEX('Final Calculation Sheet'!$X$4:$X$40,$BJ25-3)="","",INDEX('Final Calculation Sheet'!$X$4:$X$40,$BJ25-3)),IF(OR($BI25=1,$BL25=1,$BH25&gt;0),IF($BI25=1,SUM('Final Calculation Sheet'!$X$4:$X$40),IF($BL25=1,SUM('Final Calculation Sheet'!$X$4:$X$40)-SUMIFS('Final Calculation Sheet'!$X$4:$X$40,$AZ$5:$AZ$41,10),SUMIFS('Final Calculation Sheet'!$X$4:$X$40,$AZ$5:$AZ$41,$BH25))),""))</f>
        <v/>
      </c>
      <c r="Z22">
        <f>IF($BJ25&gt;0,IF(INDEX('Final Calculation Sheet'!$Y$4:$Y$40,$BJ25-3)="","",INDEX('Final Calculation Sheet'!$Y$4:$Y$40,$BJ25-3)),IF(OR($BI25=1,$BL25=1,$BH25&gt;0),"–",""))</f>
        <v/>
      </c>
      <c r="AA22">
        <f>IF($BJ25&gt;0,IF(INDEX('Final Calculation Sheet'!$Z$4:$Z$40,$BJ25-3)="","",INDEX('Final Calculation Sheet'!$Z$4:$Z$40,$BJ25-3)),IF(OR($BI25=1,$BL25=1,$BH25&gt;0),IF($BI25=1,SUM('Final Calculation Sheet'!$Z$4:$Z$40),IF($BL25=1,SUM('Final Calculation Sheet'!$Z$4:$Z$40)-SUMIFS('Final Calculation Sheet'!$Z$4:$Z$40,$AZ$5:$AZ$41,10),SUMIFS('Final Calculation Sheet'!$Z$4:$Z$40,$AZ$5:$AZ$41,$BH25))),""))</f>
        <v/>
      </c>
      <c r="AB22">
        <f>IF($BJ25&gt;0,IF(INDEX('Final Calculation Sheet'!$AA$4:$AA$40,$BJ25-3)="","",INDEX('Final Calculation Sheet'!$AA$4:$AA$40,$BJ25-3)),IF(OR($BI25=1,$BL25=1,$BH25&gt;0),IF($BI25=1,SUM('Final Calculation Sheet'!$AA$4:$AA$40),IF($BL25=1,SUM('Final Calculation Sheet'!$AA$4:$AA$40)-SUMIFS('Final Calculation Sheet'!$AA$4:$AA$40,$AZ$5:$AZ$41,10),SUMIFS('Final Calculation Sheet'!$AA$4:$AA$40,$AZ$5:$AZ$41,$BH25))),""))</f>
        <v/>
      </c>
      <c r="AC22">
        <f>IF($BJ25&gt;0,IF(INDEX('Final Calculation Sheet'!$AB$4:$AB$40,$BJ25-3)="","",INDEX('Final Calculation Sheet'!$AB$4:$AB$40,$BJ25-3)),IF(OR($BI25=1,$BL25=1,$BH25&gt;0),"–",""))</f>
        <v/>
      </c>
      <c r="AD22">
        <f>IF($BJ25&gt;0,IF(INDEX('Final Calculation Sheet'!$AC$4:$AC$40,$BJ25-3)="","",INDEX('Final Calculation Sheet'!$AC$4:$AC$40,$BJ25-3)),IF(OR($BI25=1,$BL25=1,$BH25&gt;0),IF($BI25=1,SUM('Final Calculation Sheet'!$AC$4:$AC$40),IF($BL25=1,SUM('Final Calculation Sheet'!$AC$4:$AC$40)-SUMIFS('Final Calculation Sheet'!$AC$4:$AC$40,$AZ$5:$AZ$41,10),SUMIFS('Final Calculation Sheet'!$AC$4:$AC$40,$AZ$5:$AZ$41,$BH25))),""))</f>
        <v/>
      </c>
      <c r="AE22">
        <f>IF($BJ25&gt;0,IF(INDEX('Final Calculation Sheet'!$AD$4:$AD$40,$BJ25-3)="","",INDEX('Final Calculation Sheet'!$AD$4:$AD$40,$BJ25-3)),IF(OR($BI25=1,$BL25=1,$BH25&gt;0),IF($BI25=1,SUM('Final Calculation Sheet'!$AD$4:$AD$40),IF($BL25=1,SUM('Final Calculation Sheet'!$AD$4:$AD$40)-SUMIFS('Final Calculation Sheet'!$AD$4:$AD$40,$AZ$5:$AZ$41,10),SUMIFS('Final Calculation Sheet'!$AD$4:$AD$40,$AZ$5:$AZ$41,$BH25))),""))</f>
        <v/>
      </c>
      <c r="AF22">
        <f>IF($BJ25&gt;0,IF(INDEX('Final Calculation Sheet'!$AF$4:$AF$40,$BJ25-3)="","",INDEX('Final Calculation Sheet'!$AF$4:$AF$40,$BJ25-3)),IF(OR($BI25=1,$BL25=1,$BH25&gt;0),"–",""))</f>
        <v/>
      </c>
      <c r="AG22">
        <f>IF($BJ25&gt;0,IF(INDEX('Final Calculation Sheet'!$AG$4:$AG$40,$BJ25-3)="","",INDEX('Final Calculation Sheet'!$AG$4:$AG$40,$BJ25-3)),IF(OR($BI25=1,$BL25=1,$BH25&gt;0),"–",""))</f>
        <v/>
      </c>
      <c r="AH22">
        <f>IF($BJ25&gt;0,IF(INDEX('Final Calculation Sheet'!$AH$4:$AH$40,$BJ25-3)="","",INDEX('Final Calculation Sheet'!$AH$4:$AH$40,$BJ25-3)),IF(OR($BI25=1,$BL25=1,$BH25&gt;0),"–",""))</f>
        <v/>
      </c>
      <c r="AI22">
        <f>IF($BJ25&gt;0,IF(INDEX('Final Calculation Sheet'!$AD$4:$AD$40,$BJ25-3)="","",IF(INDEX('Final Calculation Sheet'!$AD$4:$AD$40,$BJ25-3)&lt;=5,"SETTLED","OUTSTANDING")),IF(OR($BI25=1,$BL25=1,$BH25&gt;0),IF(IF($BI25=1,SUM('Final Calculation Sheet'!$AD$4:$AD$40),IF($BL25=1,SUM('Final Calculation Sheet'!$AD$4:$AD$40)-SUMIFS('Final Calculation Sheet'!$AD$4:$AD$40,$AZ$5:$AZ$41,10),SUMIFS('Final Calculation Sheet'!$AD$4:$AD$40,$AZ$5:$AZ$41,$BH25)))&lt;=5,"ALL SETTLED","OUTSTANDING"),""))</f>
        <v/>
      </c>
    </row>
    <row r="23">
      <c r="A23">
        <f>IF($BJ26&gt;0,INDEX($BA$5:$BA$41,MATCH(26,$BB$5:$BB$41,0)),IF(OR($BI26=1,$BL26=1,$BH26&gt;0),"∑",""))</f>
        <v/>
      </c>
      <c r="B23">
        <f>IF($BJ26&gt;0,IF(INDEX('Final Calculation Sheet'!$F$4:$F$40,$BJ26-3)="","",INDEX('Final Calculation Sheet'!$F$4:$F$40,$BJ26-3)),"")</f>
        <v/>
      </c>
      <c r="C23">
        <f>IF($BJ26&gt;0,IF(INDEX('Final Calculation Sheet'!$G$4:$G$40,$BJ26-3)="","",INDEX('Final Calculation Sheet'!$G$4:$G$40,$BJ26-3)),IF(OR($BI26=1,$BL26=1,$BH26&gt;0),IF($BI26=1,37,IF($BL26=1,37-INDEX($BD$4:$BD$13,10),INDEX($BD$4:$BD$13,$BH26)))&amp;" lot(s)",""))</f>
        <v/>
      </c>
      <c r="D23">
        <f>IF($BJ26&gt;0,IF(INDEX('Final Calculation Sheet'!$B$4:$B$40,$BJ26-3)="","",INDEX('Final Calculation Sheet'!$B$4:$B$40,$BJ26-3)),IF(OR($BI26=1,$BL26=1,$BH26&gt;0),IF($BI26=1,"GRAND TOTAL  —  matching + remaining",IF($BL26=1,"TOTAL MATCHED  —  every group together",IF($BH26=10,"REMAINING  —  did not match the search",IF($BH26=9,IF(COUNTIF($A$4:$AI$4,"&lt;&gt;")&gt;0,"FILTERED LOTS  —  column fields","ALL LOTS  —  nothing typed in the box"),"GROUP "&amp;$BH26&amp;" TOTAL  —  lots matching  "&amp;INDEX($AR$6:$AY$6,$BH26))))),""))</f>
        <v/>
      </c>
      <c r="E23">
        <f>IF($BJ26&gt;0,IF(INDEX('Final Calculation Sheet'!$D$4:$D$40,$BJ26-3)="","",INDEX('Final Calculation Sheet'!$D$4:$D$40,$BJ26-3)),IF(OR($BI26=1,$BL26=1,$BH26&gt;0),"–",""))</f>
        <v/>
      </c>
      <c r="F23">
        <f>IF($BJ26&gt;0,IF(INDEX('Final Calculation Sheet'!$A$4:$A$40,$BJ26-3)="","",INDEX('Final Calculation Sheet'!$A$4:$A$40,$BJ26-3)),IF(OR($BI26=1,$BL26=1,$BH26&gt;0),IF($BI26=1,SUM('Final Calculation Sheet'!$A$4:$A$40),IF($BL26=1,SUM('Final Calculation Sheet'!$A$4:$A$40)-SUMIFS('Final Calculation Sheet'!$A$4:$A$40,$AZ$5:$AZ$41,10),SUMIFS('Final Calculation Sheet'!$A$4:$A$40,$AZ$5:$AZ$41,$BH26))),""))</f>
        <v/>
      </c>
      <c r="G23">
        <f>IF($BJ26&gt;0,IF(INDEX('Final Calculation Sheet'!$E$4:$E$40,$BJ26-3)="","",INDEX('Final Calculation Sheet'!$E$4:$E$40,$BJ26-3)),IF(OR($BI26=1,$BL26=1,$BH26&gt;0),"–",""))</f>
        <v/>
      </c>
      <c r="H23">
        <f>IF($BJ26&gt;0,IF(INDEX('Final Calculation Sheet'!$C$4:$C$40,$BJ26-3)="","",INDEX('Final Calculation Sheet'!$C$4:$C$40,$BJ26-3)),IF(OR($BI26=1,$BL26=1,$BH26&gt;0),"–",""))</f>
        <v/>
      </c>
      <c r="I23">
        <f>IF($BJ26&gt;0,IF(INDEX('Final Calculation Sheet'!$H$4:$H$40,$BJ26-3)="","",INDEX('Final Calculation Sheet'!$H$4:$H$40,$BJ26-3)),IF(OR($BI26=1,$BL26=1,$BH26&gt;0),IF($BI26=1,SUM('Final Calculation Sheet'!$H$4:$H$40),IF($BL26=1,SUM('Final Calculation Sheet'!$H$4:$H$40)-SUMIFS('Final Calculation Sheet'!$H$4:$H$40,$AZ$5:$AZ$41,10),SUMIFS('Final Calculation Sheet'!$H$4:$H$40,$AZ$5:$AZ$41,$BH26))),""))</f>
        <v/>
      </c>
      <c r="J23">
        <f>IF($BJ26&gt;0,IF(INDEX('Final Calculation Sheet'!$I$4:$I$40,$BJ26-3)="","",INDEX('Final Calculation Sheet'!$I$4:$I$40,$BJ26-3)),IF(OR($BI26=1,$BL26=1,$BH26&gt;0),IF($BI26=1,SUM('Final Calculation Sheet'!$I$4:$I$40),IF($BL26=1,SUM('Final Calculation Sheet'!$I$4:$I$40)-SUMIFS('Final Calculation Sheet'!$I$4:$I$40,$AZ$5:$AZ$41,10),SUMIFS('Final Calculation Sheet'!$I$4:$I$40,$AZ$5:$AZ$41,$BH26))),""))</f>
        <v/>
      </c>
      <c r="K23">
        <f>IF($BJ26&gt;0,IF(INDEX('Final Calculation Sheet'!$J$4:$J$40,$BJ26-3)="","",INDEX('Final Calculation Sheet'!$J$4:$J$40,$BJ26-3)),IF(OR($BI26=1,$BL26=1,$BH26&gt;0),IF($BI26=1,SUM('Final Calculation Sheet'!$J$4:$J$40),IF($BL26=1,SUM('Final Calculation Sheet'!$J$4:$J$40)-SUMIFS('Final Calculation Sheet'!$J$4:$J$40,$AZ$5:$AZ$41,10),SUMIFS('Final Calculation Sheet'!$J$4:$J$40,$AZ$5:$AZ$41,$BH26))),""))</f>
        <v/>
      </c>
      <c r="L23">
        <f>IF($BJ26&gt;0,IF(INDEX('Final Calculation Sheet'!$K$4:$K$40,$BJ26-3)="","",INDEX('Final Calculation Sheet'!$K$4:$K$40,$BJ26-3)),IF(OR($BI26=1,$BL26=1,$BH26&gt;0),IF($BI26=1,SUM('Final Calculation Sheet'!$K$4:$K$40),IF($BL26=1,SUM('Final Calculation Sheet'!$K$4:$K$40)-SUMIFS('Final Calculation Sheet'!$K$4:$K$40,$AZ$5:$AZ$41,10),SUMIFS('Final Calculation Sheet'!$K$4:$K$40,$AZ$5:$AZ$41,$BH26))),""))</f>
        <v/>
      </c>
      <c r="M23">
        <f>IF($BJ26&gt;0,IF(INDEX('Final Calculation Sheet'!$L$4:$L$40,$BJ26-3)="","",INDEX('Final Calculation Sheet'!$L$4:$L$40,$BJ26-3)),IF(OR($BI26=1,$BL26=1,$BH26&gt;0),IF($BI26=1,SUM('Final Calculation Sheet'!$L$4:$L$40),IF($BL26=1,SUM('Final Calculation Sheet'!$L$4:$L$40)-SUMIFS('Final Calculation Sheet'!$L$4:$L$40,$AZ$5:$AZ$41,10),SUMIFS('Final Calculation Sheet'!$L$4:$L$40,$AZ$5:$AZ$41,$BH26))),""))</f>
        <v/>
      </c>
      <c r="N23">
        <f>IF($BJ26&gt;0,IF(INDEX('Final Calculation Sheet'!$M$4:$M$40,$BJ26-3)="","",INDEX('Final Calculation Sheet'!$M$4:$M$40,$BJ26-3)),IF(OR($BI26=1,$BL26=1,$BH26&gt;0),IF($BI26=1,SUM('Final Calculation Sheet'!$M$4:$M$40),IF($BL26=1,SUM('Final Calculation Sheet'!$M$4:$M$40)-SUMIFS('Final Calculation Sheet'!$M$4:$M$40,$AZ$5:$AZ$41,10),SUMIFS('Final Calculation Sheet'!$M$4:$M$40,$AZ$5:$AZ$41,$BH26))),""))</f>
        <v/>
      </c>
      <c r="O23">
        <f>IF($BJ26&gt;0,IF(INDEX('Final Calculation Sheet'!$N$4:$N$40,$BJ26-3)="","",INDEX('Final Calculation Sheet'!$N$4:$N$40,$BJ26-3)),IF(OR($BI26=1,$BL26=1,$BH26&gt;0),IF($BI26=1,SUM('Final Calculation Sheet'!$N$4:$N$40),IF($BL26=1,SUM('Final Calculation Sheet'!$N$4:$N$40)-SUMIFS('Final Calculation Sheet'!$N$4:$N$40,$AZ$5:$AZ$41,10),SUMIFS('Final Calculation Sheet'!$N$4:$N$40,$AZ$5:$AZ$41,$BH26))),""))</f>
        <v/>
      </c>
      <c r="P23">
        <f>IF($BJ26&gt;0,IF(INDEX('Final Calculation Sheet'!$O$4:$O$40,$BJ26-3)="","",INDEX('Final Calculation Sheet'!$O$4:$O$40,$BJ26-3)),IF(OR($BI26=1,$BL26=1,$BH26&gt;0),IF($BI26=1,SUM('Final Calculation Sheet'!$O$4:$O$40),IF($BL26=1,SUM('Final Calculation Sheet'!$O$4:$O$40)-SUMIFS('Final Calculation Sheet'!$O$4:$O$40,$AZ$5:$AZ$41,10),SUMIFS('Final Calculation Sheet'!$O$4:$O$40,$AZ$5:$AZ$41,$BH26))),""))</f>
        <v/>
      </c>
      <c r="Q23">
        <f>IF($BJ26&gt;0,IF(INDEX('Final Calculation Sheet'!$P$4:$P$40,$BJ26-3)="","",INDEX('Final Calculation Sheet'!$P$4:$P$40,$BJ26-3)),IF(OR($BI26=1,$BL26=1,$BH26&gt;0),IF($BI26=1,SUM('Final Calculation Sheet'!$P$4:$P$40),IF($BL26=1,SUM('Final Calculation Sheet'!$P$4:$P$40)-SUMIFS('Final Calculation Sheet'!$P$4:$P$40,$AZ$5:$AZ$41,10),SUMIFS('Final Calculation Sheet'!$P$4:$P$40,$AZ$5:$AZ$41,$BH26))),""))</f>
        <v/>
      </c>
      <c r="R23">
        <f>IF($BJ26&gt;0,IF(INDEX('Final Calculation Sheet'!$Q$4:$Q$40,$BJ26-3)="","",INDEX('Final Calculation Sheet'!$Q$4:$Q$40,$BJ26-3)),IF(OR($BI26=1,$BL26=1,$BH26&gt;0),"–",""))</f>
        <v/>
      </c>
      <c r="S23">
        <f>IF($BJ26&gt;0,IF(INDEX('Final Calculation Sheet'!$R$4:$R$40,$BJ26-3)="","",INDEX('Final Calculation Sheet'!$R$4:$R$40,$BJ26-3)),IF(OR($BI26=1,$BL26=1,$BH26&gt;0),IF($BI26=1,SUM('Final Calculation Sheet'!$R$4:$R$40),IF($BL26=1,SUM('Final Calculation Sheet'!$R$4:$R$40)-SUMIFS('Final Calculation Sheet'!$R$4:$R$40,$AZ$5:$AZ$41,10),SUMIFS('Final Calculation Sheet'!$R$4:$R$40,$AZ$5:$AZ$41,$BH26))),""))</f>
        <v/>
      </c>
      <c r="T23">
        <f>IF($BJ26&gt;0,IF(INDEX('Final Calculation Sheet'!$S$4:$S$40,$BJ26-3)="","",INDEX('Final Calculation Sheet'!$S$4:$S$40,$BJ26-3)),IF(OR($BI26=1,$BL26=1,$BH26&gt;0),IF($BI26=1,SUM('Final Calculation Sheet'!$S$4:$S$40),IF($BL26=1,SUM('Final Calculation Sheet'!$S$4:$S$40)-SUMIFS('Final Calculation Sheet'!$S$4:$S$40,$AZ$5:$AZ$41,10),SUMIFS('Final Calculation Sheet'!$S$4:$S$40,$AZ$5:$AZ$41,$BH26))),""))</f>
        <v/>
      </c>
      <c r="U23">
        <f>IF($BJ26&gt;0,IF(INDEX('Final Calculation Sheet'!$T$4:$T$40,$BJ26-3)="","",INDEX('Final Calculation Sheet'!$T$4:$T$40,$BJ26-3)),IF(OR($BI26=1,$BL26=1,$BH26&gt;0),IF($BI26=1,SUM('Final Calculation Sheet'!$T$4:$T$40),IF($BL26=1,SUM('Final Calculation Sheet'!$T$4:$T$40)-SUMIFS('Final Calculation Sheet'!$T$4:$T$40,$AZ$5:$AZ$41,10),SUMIFS('Final Calculation Sheet'!$T$4:$T$40,$AZ$5:$AZ$41,$BH26))),""))</f>
        <v/>
      </c>
      <c r="V23">
        <f>IF($BJ26&gt;0,IF(INDEX('Final Calculation Sheet'!$U$4:$U$40,$BJ26-3)="","",INDEX('Final Calculation Sheet'!$U$4:$U$40,$BJ26-3)),IF(OR($BI26=1,$BL26=1,$BH26&gt;0),IF($BI26=1,SUM('Final Calculation Sheet'!$U$4:$U$40),IF($BL26=1,SUM('Final Calculation Sheet'!$U$4:$U$40)-SUMIFS('Final Calculation Sheet'!$U$4:$U$40,$AZ$5:$AZ$41,10),SUMIFS('Final Calculation Sheet'!$U$4:$U$40,$AZ$5:$AZ$41,$BH26))),""))</f>
        <v/>
      </c>
      <c r="W23">
        <f>IF($BJ26&gt;0,IF(INDEX('Final Calculation Sheet'!$V$4:$V$40,$BJ26-3)="","",INDEX('Final Calculation Sheet'!$V$4:$V$40,$BJ26-3)),IF(OR($BI26=1,$BL26=1,$BH26&gt;0),"–",""))</f>
        <v/>
      </c>
      <c r="X23">
        <f>IF($BJ26&gt;0,IF(INDEX('Final Calculation Sheet'!$W$4:$W$40,$BJ26-3)="","",INDEX('Final Calculation Sheet'!$W$4:$W$40,$BJ26-3)),IF(OR($BI26=1,$BL26=1,$BH26&gt;0),IF($BI26=1,SUM('Final Calculation Sheet'!$W$4:$W$40),IF($BL26=1,SUM('Final Calculation Sheet'!$W$4:$W$40)-SUMIFS('Final Calculation Sheet'!$W$4:$W$40,$AZ$5:$AZ$41,10),SUMIFS('Final Calculation Sheet'!$W$4:$W$40,$AZ$5:$AZ$41,$BH26))),""))</f>
        <v/>
      </c>
      <c r="Y23">
        <f>IF($BJ26&gt;0,IF(INDEX('Final Calculation Sheet'!$X$4:$X$40,$BJ26-3)="","",INDEX('Final Calculation Sheet'!$X$4:$X$40,$BJ26-3)),IF(OR($BI26=1,$BL26=1,$BH26&gt;0),IF($BI26=1,SUM('Final Calculation Sheet'!$X$4:$X$40),IF($BL26=1,SUM('Final Calculation Sheet'!$X$4:$X$40)-SUMIFS('Final Calculation Sheet'!$X$4:$X$40,$AZ$5:$AZ$41,10),SUMIFS('Final Calculation Sheet'!$X$4:$X$40,$AZ$5:$AZ$41,$BH26))),""))</f>
        <v/>
      </c>
      <c r="Z23">
        <f>IF($BJ26&gt;0,IF(INDEX('Final Calculation Sheet'!$Y$4:$Y$40,$BJ26-3)="","",INDEX('Final Calculation Sheet'!$Y$4:$Y$40,$BJ26-3)),IF(OR($BI26=1,$BL26=1,$BH26&gt;0),"–",""))</f>
        <v/>
      </c>
      <c r="AA23">
        <f>IF($BJ26&gt;0,IF(INDEX('Final Calculation Sheet'!$Z$4:$Z$40,$BJ26-3)="","",INDEX('Final Calculation Sheet'!$Z$4:$Z$40,$BJ26-3)),IF(OR($BI26=1,$BL26=1,$BH26&gt;0),IF($BI26=1,SUM('Final Calculation Sheet'!$Z$4:$Z$40),IF($BL26=1,SUM('Final Calculation Sheet'!$Z$4:$Z$40)-SUMIFS('Final Calculation Sheet'!$Z$4:$Z$40,$AZ$5:$AZ$41,10),SUMIFS('Final Calculation Sheet'!$Z$4:$Z$40,$AZ$5:$AZ$41,$BH26))),""))</f>
        <v/>
      </c>
      <c r="AB23">
        <f>IF($BJ26&gt;0,IF(INDEX('Final Calculation Sheet'!$AA$4:$AA$40,$BJ26-3)="","",INDEX('Final Calculation Sheet'!$AA$4:$AA$40,$BJ26-3)),IF(OR($BI26=1,$BL26=1,$BH26&gt;0),IF($BI26=1,SUM('Final Calculation Sheet'!$AA$4:$AA$40),IF($BL26=1,SUM('Final Calculation Sheet'!$AA$4:$AA$40)-SUMIFS('Final Calculation Sheet'!$AA$4:$AA$40,$AZ$5:$AZ$41,10),SUMIFS('Final Calculation Sheet'!$AA$4:$AA$40,$AZ$5:$AZ$41,$BH26))),""))</f>
        <v/>
      </c>
      <c r="AC23">
        <f>IF($BJ26&gt;0,IF(INDEX('Final Calculation Sheet'!$AB$4:$AB$40,$BJ26-3)="","",INDEX('Final Calculation Sheet'!$AB$4:$AB$40,$BJ26-3)),IF(OR($BI26=1,$BL26=1,$BH26&gt;0),"–",""))</f>
        <v/>
      </c>
      <c r="AD23">
        <f>IF($BJ26&gt;0,IF(INDEX('Final Calculation Sheet'!$AC$4:$AC$40,$BJ26-3)="","",INDEX('Final Calculation Sheet'!$AC$4:$AC$40,$BJ26-3)),IF(OR($BI26=1,$BL26=1,$BH26&gt;0),IF($BI26=1,SUM('Final Calculation Sheet'!$AC$4:$AC$40),IF($BL26=1,SUM('Final Calculation Sheet'!$AC$4:$AC$40)-SUMIFS('Final Calculation Sheet'!$AC$4:$AC$40,$AZ$5:$AZ$41,10),SUMIFS('Final Calculation Sheet'!$AC$4:$AC$40,$AZ$5:$AZ$41,$BH26))),""))</f>
        <v/>
      </c>
      <c r="AE23">
        <f>IF($BJ26&gt;0,IF(INDEX('Final Calculation Sheet'!$AD$4:$AD$40,$BJ26-3)="","",INDEX('Final Calculation Sheet'!$AD$4:$AD$40,$BJ26-3)),IF(OR($BI26=1,$BL26=1,$BH26&gt;0),IF($BI26=1,SUM('Final Calculation Sheet'!$AD$4:$AD$40),IF($BL26=1,SUM('Final Calculation Sheet'!$AD$4:$AD$40)-SUMIFS('Final Calculation Sheet'!$AD$4:$AD$40,$AZ$5:$AZ$41,10),SUMIFS('Final Calculation Sheet'!$AD$4:$AD$40,$AZ$5:$AZ$41,$BH26))),""))</f>
        <v/>
      </c>
      <c r="AF23">
        <f>IF($BJ26&gt;0,IF(INDEX('Final Calculation Sheet'!$AF$4:$AF$40,$BJ26-3)="","",INDEX('Final Calculation Sheet'!$AF$4:$AF$40,$BJ26-3)),IF(OR($BI26=1,$BL26=1,$BH26&gt;0),"–",""))</f>
        <v/>
      </c>
      <c r="AG23">
        <f>IF($BJ26&gt;0,IF(INDEX('Final Calculation Sheet'!$AG$4:$AG$40,$BJ26-3)="","",INDEX('Final Calculation Sheet'!$AG$4:$AG$40,$BJ26-3)),IF(OR($BI26=1,$BL26=1,$BH26&gt;0),"–",""))</f>
        <v/>
      </c>
      <c r="AH23">
        <f>IF($BJ26&gt;0,IF(INDEX('Final Calculation Sheet'!$AH$4:$AH$40,$BJ26-3)="","",INDEX('Final Calculation Sheet'!$AH$4:$AH$40,$BJ26-3)),IF(OR($BI26=1,$BL26=1,$BH26&gt;0),"–",""))</f>
        <v/>
      </c>
      <c r="AI23">
        <f>IF($BJ26&gt;0,IF(INDEX('Final Calculation Sheet'!$AD$4:$AD$40,$BJ26-3)="","",IF(INDEX('Final Calculation Sheet'!$AD$4:$AD$40,$BJ26-3)&lt;=5,"SETTLED","OUTSTANDING")),IF(OR($BI26=1,$BL26=1,$BH26&gt;0),IF(IF($BI26=1,SUM('Final Calculation Sheet'!$AD$4:$AD$40),IF($BL26=1,SUM('Final Calculation Sheet'!$AD$4:$AD$40)-SUMIFS('Final Calculation Sheet'!$AD$4:$AD$40,$AZ$5:$AZ$41,10),SUMIFS('Final Calculation Sheet'!$AD$4:$AD$40,$AZ$5:$AZ$41,$BH26)))&lt;=5,"ALL SETTLED","OUTSTANDING"),""))</f>
        <v/>
      </c>
    </row>
    <row r="24">
      <c r="A24">
        <f>IF($BJ27&gt;0,INDEX($BA$5:$BA$41,MATCH(27,$BB$5:$BB$41,0)),IF(OR($BI27=1,$BL27=1,$BH27&gt;0),"∑",""))</f>
        <v/>
      </c>
      <c r="B24">
        <f>IF($BJ27&gt;0,IF(INDEX('Final Calculation Sheet'!$F$4:$F$40,$BJ27-3)="","",INDEX('Final Calculation Sheet'!$F$4:$F$40,$BJ27-3)),"")</f>
        <v/>
      </c>
      <c r="C24">
        <f>IF($BJ27&gt;0,IF(INDEX('Final Calculation Sheet'!$G$4:$G$40,$BJ27-3)="","",INDEX('Final Calculation Sheet'!$G$4:$G$40,$BJ27-3)),IF(OR($BI27=1,$BL27=1,$BH27&gt;0),IF($BI27=1,37,IF($BL27=1,37-INDEX($BD$4:$BD$13,10),INDEX($BD$4:$BD$13,$BH27)))&amp;" lot(s)",""))</f>
        <v/>
      </c>
      <c r="D24">
        <f>IF($BJ27&gt;0,IF(INDEX('Final Calculation Sheet'!$B$4:$B$40,$BJ27-3)="","",INDEX('Final Calculation Sheet'!$B$4:$B$40,$BJ27-3)),IF(OR($BI27=1,$BL27=1,$BH27&gt;0),IF($BI27=1,"GRAND TOTAL  —  matching + remaining",IF($BL27=1,"TOTAL MATCHED  —  every group together",IF($BH27=10,"REMAINING  —  did not match the search",IF($BH27=9,IF(COUNTIF($A$4:$AI$4,"&lt;&gt;")&gt;0,"FILTERED LOTS  —  column fields","ALL LOTS  —  nothing typed in the box"),"GROUP "&amp;$BH27&amp;" TOTAL  —  lots matching  "&amp;INDEX($AR$6:$AY$6,$BH27))))),""))</f>
        <v/>
      </c>
      <c r="E24">
        <f>IF($BJ27&gt;0,IF(INDEX('Final Calculation Sheet'!$D$4:$D$40,$BJ27-3)="","",INDEX('Final Calculation Sheet'!$D$4:$D$40,$BJ27-3)),IF(OR($BI27=1,$BL27=1,$BH27&gt;0),"–",""))</f>
        <v/>
      </c>
      <c r="F24">
        <f>IF($BJ27&gt;0,IF(INDEX('Final Calculation Sheet'!$A$4:$A$40,$BJ27-3)="","",INDEX('Final Calculation Sheet'!$A$4:$A$40,$BJ27-3)),IF(OR($BI27=1,$BL27=1,$BH27&gt;0),IF($BI27=1,SUM('Final Calculation Sheet'!$A$4:$A$40),IF($BL27=1,SUM('Final Calculation Sheet'!$A$4:$A$40)-SUMIFS('Final Calculation Sheet'!$A$4:$A$40,$AZ$5:$AZ$41,10),SUMIFS('Final Calculation Sheet'!$A$4:$A$40,$AZ$5:$AZ$41,$BH27))),""))</f>
        <v/>
      </c>
      <c r="G24">
        <f>IF($BJ27&gt;0,IF(INDEX('Final Calculation Sheet'!$E$4:$E$40,$BJ27-3)="","",INDEX('Final Calculation Sheet'!$E$4:$E$40,$BJ27-3)),IF(OR($BI27=1,$BL27=1,$BH27&gt;0),"–",""))</f>
        <v/>
      </c>
      <c r="H24">
        <f>IF($BJ27&gt;0,IF(INDEX('Final Calculation Sheet'!$C$4:$C$40,$BJ27-3)="","",INDEX('Final Calculation Sheet'!$C$4:$C$40,$BJ27-3)),IF(OR($BI27=1,$BL27=1,$BH27&gt;0),"–",""))</f>
        <v/>
      </c>
      <c r="I24">
        <f>IF($BJ27&gt;0,IF(INDEX('Final Calculation Sheet'!$H$4:$H$40,$BJ27-3)="","",INDEX('Final Calculation Sheet'!$H$4:$H$40,$BJ27-3)),IF(OR($BI27=1,$BL27=1,$BH27&gt;0),IF($BI27=1,SUM('Final Calculation Sheet'!$H$4:$H$40),IF($BL27=1,SUM('Final Calculation Sheet'!$H$4:$H$40)-SUMIFS('Final Calculation Sheet'!$H$4:$H$40,$AZ$5:$AZ$41,10),SUMIFS('Final Calculation Sheet'!$H$4:$H$40,$AZ$5:$AZ$41,$BH27))),""))</f>
        <v/>
      </c>
      <c r="J24">
        <f>IF($BJ27&gt;0,IF(INDEX('Final Calculation Sheet'!$I$4:$I$40,$BJ27-3)="","",INDEX('Final Calculation Sheet'!$I$4:$I$40,$BJ27-3)),IF(OR($BI27=1,$BL27=1,$BH27&gt;0),IF($BI27=1,SUM('Final Calculation Sheet'!$I$4:$I$40),IF($BL27=1,SUM('Final Calculation Sheet'!$I$4:$I$40)-SUMIFS('Final Calculation Sheet'!$I$4:$I$40,$AZ$5:$AZ$41,10),SUMIFS('Final Calculation Sheet'!$I$4:$I$40,$AZ$5:$AZ$41,$BH27))),""))</f>
        <v/>
      </c>
      <c r="K24">
        <f>IF($BJ27&gt;0,IF(INDEX('Final Calculation Sheet'!$J$4:$J$40,$BJ27-3)="","",INDEX('Final Calculation Sheet'!$J$4:$J$40,$BJ27-3)),IF(OR($BI27=1,$BL27=1,$BH27&gt;0),IF($BI27=1,SUM('Final Calculation Sheet'!$J$4:$J$40),IF($BL27=1,SUM('Final Calculation Sheet'!$J$4:$J$40)-SUMIFS('Final Calculation Sheet'!$J$4:$J$40,$AZ$5:$AZ$41,10),SUMIFS('Final Calculation Sheet'!$J$4:$J$40,$AZ$5:$AZ$41,$BH27))),""))</f>
        <v/>
      </c>
      <c r="L24">
        <f>IF($BJ27&gt;0,IF(INDEX('Final Calculation Sheet'!$K$4:$K$40,$BJ27-3)="","",INDEX('Final Calculation Sheet'!$K$4:$K$40,$BJ27-3)),IF(OR($BI27=1,$BL27=1,$BH27&gt;0),IF($BI27=1,SUM('Final Calculation Sheet'!$K$4:$K$40),IF($BL27=1,SUM('Final Calculation Sheet'!$K$4:$K$40)-SUMIFS('Final Calculation Sheet'!$K$4:$K$40,$AZ$5:$AZ$41,10),SUMIFS('Final Calculation Sheet'!$K$4:$K$40,$AZ$5:$AZ$41,$BH27))),""))</f>
        <v/>
      </c>
      <c r="M24">
        <f>IF($BJ27&gt;0,IF(INDEX('Final Calculation Sheet'!$L$4:$L$40,$BJ27-3)="","",INDEX('Final Calculation Sheet'!$L$4:$L$40,$BJ27-3)),IF(OR($BI27=1,$BL27=1,$BH27&gt;0),IF($BI27=1,SUM('Final Calculation Sheet'!$L$4:$L$40),IF($BL27=1,SUM('Final Calculation Sheet'!$L$4:$L$40)-SUMIFS('Final Calculation Sheet'!$L$4:$L$40,$AZ$5:$AZ$41,10),SUMIFS('Final Calculation Sheet'!$L$4:$L$40,$AZ$5:$AZ$41,$BH27))),""))</f>
        <v/>
      </c>
      <c r="N24">
        <f>IF($BJ27&gt;0,IF(INDEX('Final Calculation Sheet'!$M$4:$M$40,$BJ27-3)="","",INDEX('Final Calculation Sheet'!$M$4:$M$40,$BJ27-3)),IF(OR($BI27=1,$BL27=1,$BH27&gt;0),IF($BI27=1,SUM('Final Calculation Sheet'!$M$4:$M$40),IF($BL27=1,SUM('Final Calculation Sheet'!$M$4:$M$40)-SUMIFS('Final Calculation Sheet'!$M$4:$M$40,$AZ$5:$AZ$41,10),SUMIFS('Final Calculation Sheet'!$M$4:$M$40,$AZ$5:$AZ$41,$BH27))),""))</f>
        <v/>
      </c>
      <c r="O24">
        <f>IF($BJ27&gt;0,IF(INDEX('Final Calculation Sheet'!$N$4:$N$40,$BJ27-3)="","",INDEX('Final Calculation Sheet'!$N$4:$N$40,$BJ27-3)),IF(OR($BI27=1,$BL27=1,$BH27&gt;0),IF($BI27=1,SUM('Final Calculation Sheet'!$N$4:$N$40),IF($BL27=1,SUM('Final Calculation Sheet'!$N$4:$N$40)-SUMIFS('Final Calculation Sheet'!$N$4:$N$40,$AZ$5:$AZ$41,10),SUMIFS('Final Calculation Sheet'!$N$4:$N$40,$AZ$5:$AZ$41,$BH27))),""))</f>
        <v/>
      </c>
      <c r="P24">
        <f>IF($BJ27&gt;0,IF(INDEX('Final Calculation Sheet'!$O$4:$O$40,$BJ27-3)="","",INDEX('Final Calculation Sheet'!$O$4:$O$40,$BJ27-3)),IF(OR($BI27=1,$BL27=1,$BH27&gt;0),IF($BI27=1,SUM('Final Calculation Sheet'!$O$4:$O$40),IF($BL27=1,SUM('Final Calculation Sheet'!$O$4:$O$40)-SUMIFS('Final Calculation Sheet'!$O$4:$O$40,$AZ$5:$AZ$41,10),SUMIFS('Final Calculation Sheet'!$O$4:$O$40,$AZ$5:$AZ$41,$BH27))),""))</f>
        <v/>
      </c>
      <c r="Q24">
        <f>IF($BJ27&gt;0,IF(INDEX('Final Calculation Sheet'!$P$4:$P$40,$BJ27-3)="","",INDEX('Final Calculation Sheet'!$P$4:$P$40,$BJ27-3)),IF(OR($BI27=1,$BL27=1,$BH27&gt;0),IF($BI27=1,SUM('Final Calculation Sheet'!$P$4:$P$40),IF($BL27=1,SUM('Final Calculation Sheet'!$P$4:$P$40)-SUMIFS('Final Calculation Sheet'!$P$4:$P$40,$AZ$5:$AZ$41,10),SUMIFS('Final Calculation Sheet'!$P$4:$P$40,$AZ$5:$AZ$41,$BH27))),""))</f>
        <v/>
      </c>
      <c r="R24">
        <f>IF($BJ27&gt;0,IF(INDEX('Final Calculation Sheet'!$Q$4:$Q$40,$BJ27-3)="","",INDEX('Final Calculation Sheet'!$Q$4:$Q$40,$BJ27-3)),IF(OR($BI27=1,$BL27=1,$BH27&gt;0),"–",""))</f>
        <v/>
      </c>
      <c r="S24">
        <f>IF($BJ27&gt;0,IF(INDEX('Final Calculation Sheet'!$R$4:$R$40,$BJ27-3)="","",INDEX('Final Calculation Sheet'!$R$4:$R$40,$BJ27-3)),IF(OR($BI27=1,$BL27=1,$BH27&gt;0),IF($BI27=1,SUM('Final Calculation Sheet'!$R$4:$R$40),IF($BL27=1,SUM('Final Calculation Sheet'!$R$4:$R$40)-SUMIFS('Final Calculation Sheet'!$R$4:$R$40,$AZ$5:$AZ$41,10),SUMIFS('Final Calculation Sheet'!$R$4:$R$40,$AZ$5:$AZ$41,$BH27))),""))</f>
        <v/>
      </c>
      <c r="T24">
        <f>IF($BJ27&gt;0,IF(INDEX('Final Calculation Sheet'!$S$4:$S$40,$BJ27-3)="","",INDEX('Final Calculation Sheet'!$S$4:$S$40,$BJ27-3)),IF(OR($BI27=1,$BL27=1,$BH27&gt;0),IF($BI27=1,SUM('Final Calculation Sheet'!$S$4:$S$40),IF($BL27=1,SUM('Final Calculation Sheet'!$S$4:$S$40)-SUMIFS('Final Calculation Sheet'!$S$4:$S$40,$AZ$5:$AZ$41,10),SUMIFS('Final Calculation Sheet'!$S$4:$S$40,$AZ$5:$AZ$41,$BH27))),""))</f>
        <v/>
      </c>
      <c r="U24">
        <f>IF($BJ27&gt;0,IF(INDEX('Final Calculation Sheet'!$T$4:$T$40,$BJ27-3)="","",INDEX('Final Calculation Sheet'!$T$4:$T$40,$BJ27-3)),IF(OR($BI27=1,$BL27=1,$BH27&gt;0),IF($BI27=1,SUM('Final Calculation Sheet'!$T$4:$T$40),IF($BL27=1,SUM('Final Calculation Sheet'!$T$4:$T$40)-SUMIFS('Final Calculation Sheet'!$T$4:$T$40,$AZ$5:$AZ$41,10),SUMIFS('Final Calculation Sheet'!$T$4:$T$40,$AZ$5:$AZ$41,$BH27))),""))</f>
        <v/>
      </c>
      <c r="V24">
        <f>IF($BJ27&gt;0,IF(INDEX('Final Calculation Sheet'!$U$4:$U$40,$BJ27-3)="","",INDEX('Final Calculation Sheet'!$U$4:$U$40,$BJ27-3)),IF(OR($BI27=1,$BL27=1,$BH27&gt;0),IF($BI27=1,SUM('Final Calculation Sheet'!$U$4:$U$40),IF($BL27=1,SUM('Final Calculation Sheet'!$U$4:$U$40)-SUMIFS('Final Calculation Sheet'!$U$4:$U$40,$AZ$5:$AZ$41,10),SUMIFS('Final Calculation Sheet'!$U$4:$U$40,$AZ$5:$AZ$41,$BH27))),""))</f>
        <v/>
      </c>
      <c r="W24">
        <f>IF($BJ27&gt;0,IF(INDEX('Final Calculation Sheet'!$V$4:$V$40,$BJ27-3)="","",INDEX('Final Calculation Sheet'!$V$4:$V$40,$BJ27-3)),IF(OR($BI27=1,$BL27=1,$BH27&gt;0),"–",""))</f>
        <v/>
      </c>
      <c r="X24">
        <f>IF($BJ27&gt;0,IF(INDEX('Final Calculation Sheet'!$W$4:$W$40,$BJ27-3)="","",INDEX('Final Calculation Sheet'!$W$4:$W$40,$BJ27-3)),IF(OR($BI27=1,$BL27=1,$BH27&gt;0),IF($BI27=1,SUM('Final Calculation Sheet'!$W$4:$W$40),IF($BL27=1,SUM('Final Calculation Sheet'!$W$4:$W$40)-SUMIFS('Final Calculation Sheet'!$W$4:$W$40,$AZ$5:$AZ$41,10),SUMIFS('Final Calculation Sheet'!$W$4:$W$40,$AZ$5:$AZ$41,$BH27))),""))</f>
        <v/>
      </c>
      <c r="Y24">
        <f>IF($BJ27&gt;0,IF(INDEX('Final Calculation Sheet'!$X$4:$X$40,$BJ27-3)="","",INDEX('Final Calculation Sheet'!$X$4:$X$40,$BJ27-3)),IF(OR($BI27=1,$BL27=1,$BH27&gt;0),IF($BI27=1,SUM('Final Calculation Sheet'!$X$4:$X$40),IF($BL27=1,SUM('Final Calculation Sheet'!$X$4:$X$40)-SUMIFS('Final Calculation Sheet'!$X$4:$X$40,$AZ$5:$AZ$41,10),SUMIFS('Final Calculation Sheet'!$X$4:$X$40,$AZ$5:$AZ$41,$BH27))),""))</f>
        <v/>
      </c>
      <c r="Z24">
        <f>IF($BJ27&gt;0,IF(INDEX('Final Calculation Sheet'!$Y$4:$Y$40,$BJ27-3)="","",INDEX('Final Calculation Sheet'!$Y$4:$Y$40,$BJ27-3)),IF(OR($BI27=1,$BL27=1,$BH27&gt;0),"–",""))</f>
        <v/>
      </c>
      <c r="AA24">
        <f>IF($BJ27&gt;0,IF(INDEX('Final Calculation Sheet'!$Z$4:$Z$40,$BJ27-3)="","",INDEX('Final Calculation Sheet'!$Z$4:$Z$40,$BJ27-3)),IF(OR($BI27=1,$BL27=1,$BH27&gt;0),IF($BI27=1,SUM('Final Calculation Sheet'!$Z$4:$Z$40),IF($BL27=1,SUM('Final Calculation Sheet'!$Z$4:$Z$40)-SUMIFS('Final Calculation Sheet'!$Z$4:$Z$40,$AZ$5:$AZ$41,10),SUMIFS('Final Calculation Sheet'!$Z$4:$Z$40,$AZ$5:$AZ$41,$BH27))),""))</f>
        <v/>
      </c>
      <c r="AB24">
        <f>IF($BJ27&gt;0,IF(INDEX('Final Calculation Sheet'!$AA$4:$AA$40,$BJ27-3)="","",INDEX('Final Calculation Sheet'!$AA$4:$AA$40,$BJ27-3)),IF(OR($BI27=1,$BL27=1,$BH27&gt;0),IF($BI27=1,SUM('Final Calculation Sheet'!$AA$4:$AA$40),IF($BL27=1,SUM('Final Calculation Sheet'!$AA$4:$AA$40)-SUMIFS('Final Calculation Sheet'!$AA$4:$AA$40,$AZ$5:$AZ$41,10),SUMIFS('Final Calculation Sheet'!$AA$4:$AA$40,$AZ$5:$AZ$41,$BH27))),""))</f>
        <v/>
      </c>
      <c r="AC24">
        <f>IF($BJ27&gt;0,IF(INDEX('Final Calculation Sheet'!$AB$4:$AB$40,$BJ27-3)="","",INDEX('Final Calculation Sheet'!$AB$4:$AB$40,$BJ27-3)),IF(OR($BI27=1,$BL27=1,$BH27&gt;0),"–",""))</f>
        <v/>
      </c>
      <c r="AD24">
        <f>IF($BJ27&gt;0,IF(INDEX('Final Calculation Sheet'!$AC$4:$AC$40,$BJ27-3)="","",INDEX('Final Calculation Sheet'!$AC$4:$AC$40,$BJ27-3)),IF(OR($BI27=1,$BL27=1,$BH27&gt;0),IF($BI27=1,SUM('Final Calculation Sheet'!$AC$4:$AC$40),IF($BL27=1,SUM('Final Calculation Sheet'!$AC$4:$AC$40)-SUMIFS('Final Calculation Sheet'!$AC$4:$AC$40,$AZ$5:$AZ$41,10),SUMIFS('Final Calculation Sheet'!$AC$4:$AC$40,$AZ$5:$AZ$41,$BH27))),""))</f>
        <v/>
      </c>
      <c r="AE24">
        <f>IF($BJ27&gt;0,IF(INDEX('Final Calculation Sheet'!$AD$4:$AD$40,$BJ27-3)="","",INDEX('Final Calculation Sheet'!$AD$4:$AD$40,$BJ27-3)),IF(OR($BI27=1,$BL27=1,$BH27&gt;0),IF($BI27=1,SUM('Final Calculation Sheet'!$AD$4:$AD$40),IF($BL27=1,SUM('Final Calculation Sheet'!$AD$4:$AD$40)-SUMIFS('Final Calculation Sheet'!$AD$4:$AD$40,$AZ$5:$AZ$41,10),SUMIFS('Final Calculation Sheet'!$AD$4:$AD$40,$AZ$5:$AZ$41,$BH27))),""))</f>
        <v/>
      </c>
      <c r="AF24">
        <f>IF($BJ27&gt;0,IF(INDEX('Final Calculation Sheet'!$AF$4:$AF$40,$BJ27-3)="","",INDEX('Final Calculation Sheet'!$AF$4:$AF$40,$BJ27-3)),IF(OR($BI27=1,$BL27=1,$BH27&gt;0),"–",""))</f>
        <v/>
      </c>
      <c r="AG24">
        <f>IF($BJ27&gt;0,IF(INDEX('Final Calculation Sheet'!$AG$4:$AG$40,$BJ27-3)="","",INDEX('Final Calculation Sheet'!$AG$4:$AG$40,$BJ27-3)),IF(OR($BI27=1,$BL27=1,$BH27&gt;0),"–",""))</f>
        <v/>
      </c>
      <c r="AH24">
        <f>IF($BJ27&gt;0,IF(INDEX('Final Calculation Sheet'!$AH$4:$AH$40,$BJ27-3)="","",INDEX('Final Calculation Sheet'!$AH$4:$AH$40,$BJ27-3)),IF(OR($BI27=1,$BL27=1,$BH27&gt;0),"–",""))</f>
        <v/>
      </c>
      <c r="AI24">
        <f>IF($BJ27&gt;0,IF(INDEX('Final Calculation Sheet'!$AD$4:$AD$40,$BJ27-3)="","",IF(INDEX('Final Calculation Sheet'!$AD$4:$AD$40,$BJ27-3)&lt;=5,"SETTLED","OUTSTANDING")),IF(OR($BI27=1,$BL27=1,$BH27&gt;0),IF(IF($BI27=1,SUM('Final Calculation Sheet'!$AD$4:$AD$40),IF($BL27=1,SUM('Final Calculation Sheet'!$AD$4:$AD$40)-SUMIFS('Final Calculation Sheet'!$AD$4:$AD$40,$AZ$5:$AZ$41,10),SUMIFS('Final Calculation Sheet'!$AD$4:$AD$40,$AZ$5:$AZ$41,$BH27)))&lt;=5,"ALL SETTLED","OUTSTANDING"),""))</f>
        <v/>
      </c>
    </row>
    <row r="25">
      <c r="A25">
        <f>IF($BJ28&gt;0,INDEX($BA$5:$BA$41,MATCH(28,$BB$5:$BB$41,0)),IF(OR($BI28=1,$BL28=1,$BH28&gt;0),"∑",""))</f>
        <v/>
      </c>
      <c r="B25">
        <f>IF($BJ28&gt;0,IF(INDEX('Final Calculation Sheet'!$F$4:$F$40,$BJ28-3)="","",INDEX('Final Calculation Sheet'!$F$4:$F$40,$BJ28-3)),"")</f>
        <v/>
      </c>
      <c r="C25">
        <f>IF($BJ28&gt;0,IF(INDEX('Final Calculation Sheet'!$G$4:$G$40,$BJ28-3)="","",INDEX('Final Calculation Sheet'!$G$4:$G$40,$BJ28-3)),IF(OR($BI28=1,$BL28=1,$BH28&gt;0),IF($BI28=1,37,IF($BL28=1,37-INDEX($BD$4:$BD$13,10),INDEX($BD$4:$BD$13,$BH28)))&amp;" lot(s)",""))</f>
        <v/>
      </c>
      <c r="D25">
        <f>IF($BJ28&gt;0,IF(INDEX('Final Calculation Sheet'!$B$4:$B$40,$BJ28-3)="","",INDEX('Final Calculation Sheet'!$B$4:$B$40,$BJ28-3)),IF(OR($BI28=1,$BL28=1,$BH28&gt;0),IF($BI28=1,"GRAND TOTAL  —  matching + remaining",IF($BL28=1,"TOTAL MATCHED  —  every group together",IF($BH28=10,"REMAINING  —  did not match the search",IF($BH28=9,IF(COUNTIF($A$4:$AI$4,"&lt;&gt;")&gt;0,"FILTERED LOTS  —  column fields","ALL LOTS  —  nothing typed in the box"),"GROUP "&amp;$BH28&amp;" TOTAL  —  lots matching  "&amp;INDEX($AR$6:$AY$6,$BH28))))),""))</f>
        <v/>
      </c>
      <c r="E25">
        <f>IF($BJ28&gt;0,IF(INDEX('Final Calculation Sheet'!$D$4:$D$40,$BJ28-3)="","",INDEX('Final Calculation Sheet'!$D$4:$D$40,$BJ28-3)),IF(OR($BI28=1,$BL28=1,$BH28&gt;0),"–",""))</f>
        <v/>
      </c>
      <c r="F25">
        <f>IF($BJ28&gt;0,IF(INDEX('Final Calculation Sheet'!$A$4:$A$40,$BJ28-3)="","",INDEX('Final Calculation Sheet'!$A$4:$A$40,$BJ28-3)),IF(OR($BI28=1,$BL28=1,$BH28&gt;0),IF($BI28=1,SUM('Final Calculation Sheet'!$A$4:$A$40),IF($BL28=1,SUM('Final Calculation Sheet'!$A$4:$A$40)-SUMIFS('Final Calculation Sheet'!$A$4:$A$40,$AZ$5:$AZ$41,10),SUMIFS('Final Calculation Sheet'!$A$4:$A$40,$AZ$5:$AZ$41,$BH28))),""))</f>
        <v/>
      </c>
      <c r="G25">
        <f>IF($BJ28&gt;0,IF(INDEX('Final Calculation Sheet'!$E$4:$E$40,$BJ28-3)="","",INDEX('Final Calculation Sheet'!$E$4:$E$40,$BJ28-3)),IF(OR($BI28=1,$BL28=1,$BH28&gt;0),"–",""))</f>
        <v/>
      </c>
      <c r="H25">
        <f>IF($BJ28&gt;0,IF(INDEX('Final Calculation Sheet'!$C$4:$C$40,$BJ28-3)="","",INDEX('Final Calculation Sheet'!$C$4:$C$40,$BJ28-3)),IF(OR($BI28=1,$BL28=1,$BH28&gt;0),"–",""))</f>
        <v/>
      </c>
      <c r="I25">
        <f>IF($BJ28&gt;0,IF(INDEX('Final Calculation Sheet'!$H$4:$H$40,$BJ28-3)="","",INDEX('Final Calculation Sheet'!$H$4:$H$40,$BJ28-3)),IF(OR($BI28=1,$BL28=1,$BH28&gt;0),IF($BI28=1,SUM('Final Calculation Sheet'!$H$4:$H$40),IF($BL28=1,SUM('Final Calculation Sheet'!$H$4:$H$40)-SUMIFS('Final Calculation Sheet'!$H$4:$H$40,$AZ$5:$AZ$41,10),SUMIFS('Final Calculation Sheet'!$H$4:$H$40,$AZ$5:$AZ$41,$BH28))),""))</f>
        <v/>
      </c>
      <c r="J25">
        <f>IF($BJ28&gt;0,IF(INDEX('Final Calculation Sheet'!$I$4:$I$40,$BJ28-3)="","",INDEX('Final Calculation Sheet'!$I$4:$I$40,$BJ28-3)),IF(OR($BI28=1,$BL28=1,$BH28&gt;0),IF($BI28=1,SUM('Final Calculation Sheet'!$I$4:$I$40),IF($BL28=1,SUM('Final Calculation Sheet'!$I$4:$I$40)-SUMIFS('Final Calculation Sheet'!$I$4:$I$40,$AZ$5:$AZ$41,10),SUMIFS('Final Calculation Sheet'!$I$4:$I$40,$AZ$5:$AZ$41,$BH28))),""))</f>
        <v/>
      </c>
      <c r="K25">
        <f>IF($BJ28&gt;0,IF(INDEX('Final Calculation Sheet'!$J$4:$J$40,$BJ28-3)="","",INDEX('Final Calculation Sheet'!$J$4:$J$40,$BJ28-3)),IF(OR($BI28=1,$BL28=1,$BH28&gt;0),IF($BI28=1,SUM('Final Calculation Sheet'!$J$4:$J$40),IF($BL28=1,SUM('Final Calculation Sheet'!$J$4:$J$40)-SUMIFS('Final Calculation Sheet'!$J$4:$J$40,$AZ$5:$AZ$41,10),SUMIFS('Final Calculation Sheet'!$J$4:$J$40,$AZ$5:$AZ$41,$BH28))),""))</f>
        <v/>
      </c>
      <c r="L25">
        <f>IF($BJ28&gt;0,IF(INDEX('Final Calculation Sheet'!$K$4:$K$40,$BJ28-3)="","",INDEX('Final Calculation Sheet'!$K$4:$K$40,$BJ28-3)),IF(OR($BI28=1,$BL28=1,$BH28&gt;0),IF($BI28=1,SUM('Final Calculation Sheet'!$K$4:$K$40),IF($BL28=1,SUM('Final Calculation Sheet'!$K$4:$K$40)-SUMIFS('Final Calculation Sheet'!$K$4:$K$40,$AZ$5:$AZ$41,10),SUMIFS('Final Calculation Sheet'!$K$4:$K$40,$AZ$5:$AZ$41,$BH28))),""))</f>
        <v/>
      </c>
      <c r="M25">
        <f>IF($BJ28&gt;0,IF(INDEX('Final Calculation Sheet'!$L$4:$L$40,$BJ28-3)="","",INDEX('Final Calculation Sheet'!$L$4:$L$40,$BJ28-3)),IF(OR($BI28=1,$BL28=1,$BH28&gt;0),IF($BI28=1,SUM('Final Calculation Sheet'!$L$4:$L$40),IF($BL28=1,SUM('Final Calculation Sheet'!$L$4:$L$40)-SUMIFS('Final Calculation Sheet'!$L$4:$L$40,$AZ$5:$AZ$41,10),SUMIFS('Final Calculation Sheet'!$L$4:$L$40,$AZ$5:$AZ$41,$BH28))),""))</f>
        <v/>
      </c>
      <c r="N25">
        <f>IF($BJ28&gt;0,IF(INDEX('Final Calculation Sheet'!$M$4:$M$40,$BJ28-3)="","",INDEX('Final Calculation Sheet'!$M$4:$M$40,$BJ28-3)),IF(OR($BI28=1,$BL28=1,$BH28&gt;0),IF($BI28=1,SUM('Final Calculation Sheet'!$M$4:$M$40),IF($BL28=1,SUM('Final Calculation Sheet'!$M$4:$M$40)-SUMIFS('Final Calculation Sheet'!$M$4:$M$40,$AZ$5:$AZ$41,10),SUMIFS('Final Calculation Sheet'!$M$4:$M$40,$AZ$5:$AZ$41,$BH28))),""))</f>
        <v/>
      </c>
      <c r="O25">
        <f>IF($BJ28&gt;0,IF(INDEX('Final Calculation Sheet'!$N$4:$N$40,$BJ28-3)="","",INDEX('Final Calculation Sheet'!$N$4:$N$40,$BJ28-3)),IF(OR($BI28=1,$BL28=1,$BH28&gt;0),IF($BI28=1,SUM('Final Calculation Sheet'!$N$4:$N$40),IF($BL28=1,SUM('Final Calculation Sheet'!$N$4:$N$40)-SUMIFS('Final Calculation Sheet'!$N$4:$N$40,$AZ$5:$AZ$41,10),SUMIFS('Final Calculation Sheet'!$N$4:$N$40,$AZ$5:$AZ$41,$BH28))),""))</f>
        <v/>
      </c>
      <c r="P25">
        <f>IF($BJ28&gt;0,IF(INDEX('Final Calculation Sheet'!$O$4:$O$40,$BJ28-3)="","",INDEX('Final Calculation Sheet'!$O$4:$O$40,$BJ28-3)),IF(OR($BI28=1,$BL28=1,$BH28&gt;0),IF($BI28=1,SUM('Final Calculation Sheet'!$O$4:$O$40),IF($BL28=1,SUM('Final Calculation Sheet'!$O$4:$O$40)-SUMIFS('Final Calculation Sheet'!$O$4:$O$40,$AZ$5:$AZ$41,10),SUMIFS('Final Calculation Sheet'!$O$4:$O$40,$AZ$5:$AZ$41,$BH28))),""))</f>
        <v/>
      </c>
      <c r="Q25">
        <f>IF($BJ28&gt;0,IF(INDEX('Final Calculation Sheet'!$P$4:$P$40,$BJ28-3)="","",INDEX('Final Calculation Sheet'!$P$4:$P$40,$BJ28-3)),IF(OR($BI28=1,$BL28=1,$BH28&gt;0),IF($BI28=1,SUM('Final Calculation Sheet'!$P$4:$P$40),IF($BL28=1,SUM('Final Calculation Sheet'!$P$4:$P$40)-SUMIFS('Final Calculation Sheet'!$P$4:$P$40,$AZ$5:$AZ$41,10),SUMIFS('Final Calculation Sheet'!$P$4:$P$40,$AZ$5:$AZ$41,$BH28))),""))</f>
        <v/>
      </c>
      <c r="R25">
        <f>IF($BJ28&gt;0,IF(INDEX('Final Calculation Sheet'!$Q$4:$Q$40,$BJ28-3)="","",INDEX('Final Calculation Sheet'!$Q$4:$Q$40,$BJ28-3)),IF(OR($BI28=1,$BL28=1,$BH28&gt;0),"–",""))</f>
        <v/>
      </c>
      <c r="S25">
        <f>IF($BJ28&gt;0,IF(INDEX('Final Calculation Sheet'!$R$4:$R$40,$BJ28-3)="","",INDEX('Final Calculation Sheet'!$R$4:$R$40,$BJ28-3)),IF(OR($BI28=1,$BL28=1,$BH28&gt;0),IF($BI28=1,SUM('Final Calculation Sheet'!$R$4:$R$40),IF($BL28=1,SUM('Final Calculation Sheet'!$R$4:$R$40)-SUMIFS('Final Calculation Sheet'!$R$4:$R$40,$AZ$5:$AZ$41,10),SUMIFS('Final Calculation Sheet'!$R$4:$R$40,$AZ$5:$AZ$41,$BH28))),""))</f>
        <v/>
      </c>
      <c r="T25">
        <f>IF($BJ28&gt;0,IF(INDEX('Final Calculation Sheet'!$S$4:$S$40,$BJ28-3)="","",INDEX('Final Calculation Sheet'!$S$4:$S$40,$BJ28-3)),IF(OR($BI28=1,$BL28=1,$BH28&gt;0),IF($BI28=1,SUM('Final Calculation Sheet'!$S$4:$S$40),IF($BL28=1,SUM('Final Calculation Sheet'!$S$4:$S$40)-SUMIFS('Final Calculation Sheet'!$S$4:$S$40,$AZ$5:$AZ$41,10),SUMIFS('Final Calculation Sheet'!$S$4:$S$40,$AZ$5:$AZ$41,$BH28))),""))</f>
        <v/>
      </c>
      <c r="U25">
        <f>IF($BJ28&gt;0,IF(INDEX('Final Calculation Sheet'!$T$4:$T$40,$BJ28-3)="","",INDEX('Final Calculation Sheet'!$T$4:$T$40,$BJ28-3)),IF(OR($BI28=1,$BL28=1,$BH28&gt;0),IF($BI28=1,SUM('Final Calculation Sheet'!$T$4:$T$40),IF($BL28=1,SUM('Final Calculation Sheet'!$T$4:$T$40)-SUMIFS('Final Calculation Sheet'!$T$4:$T$40,$AZ$5:$AZ$41,10),SUMIFS('Final Calculation Sheet'!$T$4:$T$40,$AZ$5:$AZ$41,$BH28))),""))</f>
        <v/>
      </c>
      <c r="V25">
        <f>IF($BJ28&gt;0,IF(INDEX('Final Calculation Sheet'!$U$4:$U$40,$BJ28-3)="","",INDEX('Final Calculation Sheet'!$U$4:$U$40,$BJ28-3)),IF(OR($BI28=1,$BL28=1,$BH28&gt;0),IF($BI28=1,SUM('Final Calculation Sheet'!$U$4:$U$40),IF($BL28=1,SUM('Final Calculation Sheet'!$U$4:$U$40)-SUMIFS('Final Calculation Sheet'!$U$4:$U$40,$AZ$5:$AZ$41,10),SUMIFS('Final Calculation Sheet'!$U$4:$U$40,$AZ$5:$AZ$41,$BH28))),""))</f>
        <v/>
      </c>
      <c r="W25">
        <f>IF($BJ28&gt;0,IF(INDEX('Final Calculation Sheet'!$V$4:$V$40,$BJ28-3)="","",INDEX('Final Calculation Sheet'!$V$4:$V$40,$BJ28-3)),IF(OR($BI28=1,$BL28=1,$BH28&gt;0),"–",""))</f>
        <v/>
      </c>
      <c r="X25">
        <f>IF($BJ28&gt;0,IF(INDEX('Final Calculation Sheet'!$W$4:$W$40,$BJ28-3)="","",INDEX('Final Calculation Sheet'!$W$4:$W$40,$BJ28-3)),IF(OR($BI28=1,$BL28=1,$BH28&gt;0),IF($BI28=1,SUM('Final Calculation Sheet'!$W$4:$W$40),IF($BL28=1,SUM('Final Calculation Sheet'!$W$4:$W$40)-SUMIFS('Final Calculation Sheet'!$W$4:$W$40,$AZ$5:$AZ$41,10),SUMIFS('Final Calculation Sheet'!$W$4:$W$40,$AZ$5:$AZ$41,$BH28))),""))</f>
        <v/>
      </c>
      <c r="Y25">
        <f>IF($BJ28&gt;0,IF(INDEX('Final Calculation Sheet'!$X$4:$X$40,$BJ28-3)="","",INDEX('Final Calculation Sheet'!$X$4:$X$40,$BJ28-3)),IF(OR($BI28=1,$BL28=1,$BH28&gt;0),IF($BI28=1,SUM('Final Calculation Sheet'!$X$4:$X$40),IF($BL28=1,SUM('Final Calculation Sheet'!$X$4:$X$40)-SUMIFS('Final Calculation Sheet'!$X$4:$X$40,$AZ$5:$AZ$41,10),SUMIFS('Final Calculation Sheet'!$X$4:$X$40,$AZ$5:$AZ$41,$BH28))),""))</f>
        <v/>
      </c>
      <c r="Z25">
        <f>IF($BJ28&gt;0,IF(INDEX('Final Calculation Sheet'!$Y$4:$Y$40,$BJ28-3)="","",INDEX('Final Calculation Sheet'!$Y$4:$Y$40,$BJ28-3)),IF(OR($BI28=1,$BL28=1,$BH28&gt;0),"–",""))</f>
        <v/>
      </c>
      <c r="AA25">
        <f>IF($BJ28&gt;0,IF(INDEX('Final Calculation Sheet'!$Z$4:$Z$40,$BJ28-3)="","",INDEX('Final Calculation Sheet'!$Z$4:$Z$40,$BJ28-3)),IF(OR($BI28=1,$BL28=1,$BH28&gt;0),IF($BI28=1,SUM('Final Calculation Sheet'!$Z$4:$Z$40),IF($BL28=1,SUM('Final Calculation Sheet'!$Z$4:$Z$40)-SUMIFS('Final Calculation Sheet'!$Z$4:$Z$40,$AZ$5:$AZ$41,10),SUMIFS('Final Calculation Sheet'!$Z$4:$Z$40,$AZ$5:$AZ$41,$BH28))),""))</f>
        <v/>
      </c>
      <c r="AB25">
        <f>IF($BJ28&gt;0,IF(INDEX('Final Calculation Sheet'!$AA$4:$AA$40,$BJ28-3)="","",INDEX('Final Calculation Sheet'!$AA$4:$AA$40,$BJ28-3)),IF(OR($BI28=1,$BL28=1,$BH28&gt;0),IF($BI28=1,SUM('Final Calculation Sheet'!$AA$4:$AA$40),IF($BL28=1,SUM('Final Calculation Sheet'!$AA$4:$AA$40)-SUMIFS('Final Calculation Sheet'!$AA$4:$AA$40,$AZ$5:$AZ$41,10),SUMIFS('Final Calculation Sheet'!$AA$4:$AA$40,$AZ$5:$AZ$41,$BH28))),""))</f>
        <v/>
      </c>
      <c r="AC25">
        <f>IF($BJ28&gt;0,IF(INDEX('Final Calculation Sheet'!$AB$4:$AB$40,$BJ28-3)="","",INDEX('Final Calculation Sheet'!$AB$4:$AB$40,$BJ28-3)),IF(OR($BI28=1,$BL28=1,$BH28&gt;0),"–",""))</f>
        <v/>
      </c>
      <c r="AD25">
        <f>IF($BJ28&gt;0,IF(INDEX('Final Calculation Sheet'!$AC$4:$AC$40,$BJ28-3)="","",INDEX('Final Calculation Sheet'!$AC$4:$AC$40,$BJ28-3)),IF(OR($BI28=1,$BL28=1,$BH28&gt;0),IF($BI28=1,SUM('Final Calculation Sheet'!$AC$4:$AC$40),IF($BL28=1,SUM('Final Calculation Sheet'!$AC$4:$AC$40)-SUMIFS('Final Calculation Sheet'!$AC$4:$AC$40,$AZ$5:$AZ$41,10),SUMIFS('Final Calculation Sheet'!$AC$4:$AC$40,$AZ$5:$AZ$41,$BH28))),""))</f>
        <v/>
      </c>
      <c r="AE25">
        <f>IF($BJ28&gt;0,IF(INDEX('Final Calculation Sheet'!$AD$4:$AD$40,$BJ28-3)="","",INDEX('Final Calculation Sheet'!$AD$4:$AD$40,$BJ28-3)),IF(OR($BI28=1,$BL28=1,$BH28&gt;0),IF($BI28=1,SUM('Final Calculation Sheet'!$AD$4:$AD$40),IF($BL28=1,SUM('Final Calculation Sheet'!$AD$4:$AD$40)-SUMIFS('Final Calculation Sheet'!$AD$4:$AD$40,$AZ$5:$AZ$41,10),SUMIFS('Final Calculation Sheet'!$AD$4:$AD$40,$AZ$5:$AZ$41,$BH28))),""))</f>
        <v/>
      </c>
      <c r="AF25">
        <f>IF($BJ28&gt;0,IF(INDEX('Final Calculation Sheet'!$AF$4:$AF$40,$BJ28-3)="","",INDEX('Final Calculation Sheet'!$AF$4:$AF$40,$BJ28-3)),IF(OR($BI28=1,$BL28=1,$BH28&gt;0),"–",""))</f>
        <v/>
      </c>
      <c r="AG25">
        <f>IF($BJ28&gt;0,IF(INDEX('Final Calculation Sheet'!$AG$4:$AG$40,$BJ28-3)="","",INDEX('Final Calculation Sheet'!$AG$4:$AG$40,$BJ28-3)),IF(OR($BI28=1,$BL28=1,$BH28&gt;0),"–",""))</f>
        <v/>
      </c>
      <c r="AH25">
        <f>IF($BJ28&gt;0,IF(INDEX('Final Calculation Sheet'!$AH$4:$AH$40,$BJ28-3)="","",INDEX('Final Calculation Sheet'!$AH$4:$AH$40,$BJ28-3)),IF(OR($BI28=1,$BL28=1,$BH28&gt;0),"–",""))</f>
        <v/>
      </c>
      <c r="AI25">
        <f>IF($BJ28&gt;0,IF(INDEX('Final Calculation Sheet'!$AD$4:$AD$40,$BJ28-3)="","",IF(INDEX('Final Calculation Sheet'!$AD$4:$AD$40,$BJ28-3)&lt;=5,"SETTLED","OUTSTANDING")),IF(OR($BI28=1,$BL28=1,$BH28&gt;0),IF(IF($BI28=1,SUM('Final Calculation Sheet'!$AD$4:$AD$40),IF($BL28=1,SUM('Final Calculation Sheet'!$AD$4:$AD$40)-SUMIFS('Final Calculation Sheet'!$AD$4:$AD$40,$AZ$5:$AZ$41,10),SUMIFS('Final Calculation Sheet'!$AD$4:$AD$40,$AZ$5:$AZ$41,$BH28)))&lt;=5,"ALL SETTLED","OUTSTANDING"),""))</f>
        <v/>
      </c>
    </row>
    <row r="26">
      <c r="A26">
        <f>IF($BJ29&gt;0,INDEX($BA$5:$BA$41,MATCH(29,$BB$5:$BB$41,0)),IF(OR($BI29=1,$BL29=1,$BH29&gt;0),"∑",""))</f>
        <v/>
      </c>
      <c r="B26">
        <f>IF($BJ29&gt;0,IF(INDEX('Final Calculation Sheet'!$F$4:$F$40,$BJ29-3)="","",INDEX('Final Calculation Sheet'!$F$4:$F$40,$BJ29-3)),"")</f>
        <v/>
      </c>
      <c r="C26">
        <f>IF($BJ29&gt;0,IF(INDEX('Final Calculation Sheet'!$G$4:$G$40,$BJ29-3)="","",INDEX('Final Calculation Sheet'!$G$4:$G$40,$BJ29-3)),IF(OR($BI29=1,$BL29=1,$BH29&gt;0),IF($BI29=1,37,IF($BL29=1,37-INDEX($BD$4:$BD$13,10),INDEX($BD$4:$BD$13,$BH29)))&amp;" lot(s)",""))</f>
        <v/>
      </c>
      <c r="D26">
        <f>IF($BJ29&gt;0,IF(INDEX('Final Calculation Sheet'!$B$4:$B$40,$BJ29-3)="","",INDEX('Final Calculation Sheet'!$B$4:$B$40,$BJ29-3)),IF(OR($BI29=1,$BL29=1,$BH29&gt;0),IF($BI29=1,"GRAND TOTAL  —  matching + remaining",IF($BL29=1,"TOTAL MATCHED  —  every group together",IF($BH29=10,"REMAINING  —  did not match the search",IF($BH29=9,IF(COUNTIF($A$4:$AI$4,"&lt;&gt;")&gt;0,"FILTERED LOTS  —  column fields","ALL LOTS  —  nothing typed in the box"),"GROUP "&amp;$BH29&amp;" TOTAL  —  lots matching  "&amp;INDEX($AR$6:$AY$6,$BH29))))),""))</f>
        <v/>
      </c>
      <c r="E26">
        <f>IF($BJ29&gt;0,IF(INDEX('Final Calculation Sheet'!$D$4:$D$40,$BJ29-3)="","",INDEX('Final Calculation Sheet'!$D$4:$D$40,$BJ29-3)),IF(OR($BI29=1,$BL29=1,$BH29&gt;0),"–",""))</f>
        <v/>
      </c>
      <c r="F26">
        <f>IF($BJ29&gt;0,IF(INDEX('Final Calculation Sheet'!$A$4:$A$40,$BJ29-3)="","",INDEX('Final Calculation Sheet'!$A$4:$A$40,$BJ29-3)),IF(OR($BI29=1,$BL29=1,$BH29&gt;0),IF($BI29=1,SUM('Final Calculation Sheet'!$A$4:$A$40),IF($BL29=1,SUM('Final Calculation Sheet'!$A$4:$A$40)-SUMIFS('Final Calculation Sheet'!$A$4:$A$40,$AZ$5:$AZ$41,10),SUMIFS('Final Calculation Sheet'!$A$4:$A$40,$AZ$5:$AZ$41,$BH29))),""))</f>
        <v/>
      </c>
      <c r="G26">
        <f>IF($BJ29&gt;0,IF(INDEX('Final Calculation Sheet'!$E$4:$E$40,$BJ29-3)="","",INDEX('Final Calculation Sheet'!$E$4:$E$40,$BJ29-3)),IF(OR($BI29=1,$BL29=1,$BH29&gt;0),"–",""))</f>
        <v/>
      </c>
      <c r="H26">
        <f>IF($BJ29&gt;0,IF(INDEX('Final Calculation Sheet'!$C$4:$C$40,$BJ29-3)="","",INDEX('Final Calculation Sheet'!$C$4:$C$40,$BJ29-3)),IF(OR($BI29=1,$BL29=1,$BH29&gt;0),"–",""))</f>
        <v/>
      </c>
      <c r="I26">
        <f>IF($BJ29&gt;0,IF(INDEX('Final Calculation Sheet'!$H$4:$H$40,$BJ29-3)="","",INDEX('Final Calculation Sheet'!$H$4:$H$40,$BJ29-3)),IF(OR($BI29=1,$BL29=1,$BH29&gt;0),IF($BI29=1,SUM('Final Calculation Sheet'!$H$4:$H$40),IF($BL29=1,SUM('Final Calculation Sheet'!$H$4:$H$40)-SUMIFS('Final Calculation Sheet'!$H$4:$H$40,$AZ$5:$AZ$41,10),SUMIFS('Final Calculation Sheet'!$H$4:$H$40,$AZ$5:$AZ$41,$BH29))),""))</f>
        <v/>
      </c>
      <c r="J26">
        <f>IF($BJ29&gt;0,IF(INDEX('Final Calculation Sheet'!$I$4:$I$40,$BJ29-3)="","",INDEX('Final Calculation Sheet'!$I$4:$I$40,$BJ29-3)),IF(OR($BI29=1,$BL29=1,$BH29&gt;0),IF($BI29=1,SUM('Final Calculation Sheet'!$I$4:$I$40),IF($BL29=1,SUM('Final Calculation Sheet'!$I$4:$I$40)-SUMIFS('Final Calculation Sheet'!$I$4:$I$40,$AZ$5:$AZ$41,10),SUMIFS('Final Calculation Sheet'!$I$4:$I$40,$AZ$5:$AZ$41,$BH29))),""))</f>
        <v/>
      </c>
      <c r="K26">
        <f>IF($BJ29&gt;0,IF(INDEX('Final Calculation Sheet'!$J$4:$J$40,$BJ29-3)="","",INDEX('Final Calculation Sheet'!$J$4:$J$40,$BJ29-3)),IF(OR($BI29=1,$BL29=1,$BH29&gt;0),IF($BI29=1,SUM('Final Calculation Sheet'!$J$4:$J$40),IF($BL29=1,SUM('Final Calculation Sheet'!$J$4:$J$40)-SUMIFS('Final Calculation Sheet'!$J$4:$J$40,$AZ$5:$AZ$41,10),SUMIFS('Final Calculation Sheet'!$J$4:$J$40,$AZ$5:$AZ$41,$BH29))),""))</f>
        <v/>
      </c>
      <c r="L26">
        <f>IF($BJ29&gt;0,IF(INDEX('Final Calculation Sheet'!$K$4:$K$40,$BJ29-3)="","",INDEX('Final Calculation Sheet'!$K$4:$K$40,$BJ29-3)),IF(OR($BI29=1,$BL29=1,$BH29&gt;0),IF($BI29=1,SUM('Final Calculation Sheet'!$K$4:$K$40),IF($BL29=1,SUM('Final Calculation Sheet'!$K$4:$K$40)-SUMIFS('Final Calculation Sheet'!$K$4:$K$40,$AZ$5:$AZ$41,10),SUMIFS('Final Calculation Sheet'!$K$4:$K$40,$AZ$5:$AZ$41,$BH29))),""))</f>
        <v/>
      </c>
      <c r="M26">
        <f>IF($BJ29&gt;0,IF(INDEX('Final Calculation Sheet'!$L$4:$L$40,$BJ29-3)="","",INDEX('Final Calculation Sheet'!$L$4:$L$40,$BJ29-3)),IF(OR($BI29=1,$BL29=1,$BH29&gt;0),IF($BI29=1,SUM('Final Calculation Sheet'!$L$4:$L$40),IF($BL29=1,SUM('Final Calculation Sheet'!$L$4:$L$40)-SUMIFS('Final Calculation Sheet'!$L$4:$L$40,$AZ$5:$AZ$41,10),SUMIFS('Final Calculation Sheet'!$L$4:$L$40,$AZ$5:$AZ$41,$BH29))),""))</f>
        <v/>
      </c>
      <c r="N26">
        <f>IF($BJ29&gt;0,IF(INDEX('Final Calculation Sheet'!$M$4:$M$40,$BJ29-3)="","",INDEX('Final Calculation Sheet'!$M$4:$M$40,$BJ29-3)),IF(OR($BI29=1,$BL29=1,$BH29&gt;0),IF($BI29=1,SUM('Final Calculation Sheet'!$M$4:$M$40),IF($BL29=1,SUM('Final Calculation Sheet'!$M$4:$M$40)-SUMIFS('Final Calculation Sheet'!$M$4:$M$40,$AZ$5:$AZ$41,10),SUMIFS('Final Calculation Sheet'!$M$4:$M$40,$AZ$5:$AZ$41,$BH29))),""))</f>
        <v/>
      </c>
      <c r="O26">
        <f>IF($BJ29&gt;0,IF(INDEX('Final Calculation Sheet'!$N$4:$N$40,$BJ29-3)="","",INDEX('Final Calculation Sheet'!$N$4:$N$40,$BJ29-3)),IF(OR($BI29=1,$BL29=1,$BH29&gt;0),IF($BI29=1,SUM('Final Calculation Sheet'!$N$4:$N$40),IF($BL29=1,SUM('Final Calculation Sheet'!$N$4:$N$40)-SUMIFS('Final Calculation Sheet'!$N$4:$N$40,$AZ$5:$AZ$41,10),SUMIFS('Final Calculation Sheet'!$N$4:$N$40,$AZ$5:$AZ$41,$BH29))),""))</f>
        <v/>
      </c>
      <c r="P26">
        <f>IF($BJ29&gt;0,IF(INDEX('Final Calculation Sheet'!$O$4:$O$40,$BJ29-3)="","",INDEX('Final Calculation Sheet'!$O$4:$O$40,$BJ29-3)),IF(OR($BI29=1,$BL29=1,$BH29&gt;0),IF($BI29=1,SUM('Final Calculation Sheet'!$O$4:$O$40),IF($BL29=1,SUM('Final Calculation Sheet'!$O$4:$O$40)-SUMIFS('Final Calculation Sheet'!$O$4:$O$40,$AZ$5:$AZ$41,10),SUMIFS('Final Calculation Sheet'!$O$4:$O$40,$AZ$5:$AZ$41,$BH29))),""))</f>
        <v/>
      </c>
      <c r="Q26">
        <f>IF($BJ29&gt;0,IF(INDEX('Final Calculation Sheet'!$P$4:$P$40,$BJ29-3)="","",INDEX('Final Calculation Sheet'!$P$4:$P$40,$BJ29-3)),IF(OR($BI29=1,$BL29=1,$BH29&gt;0),IF($BI29=1,SUM('Final Calculation Sheet'!$P$4:$P$40),IF($BL29=1,SUM('Final Calculation Sheet'!$P$4:$P$40)-SUMIFS('Final Calculation Sheet'!$P$4:$P$40,$AZ$5:$AZ$41,10),SUMIFS('Final Calculation Sheet'!$P$4:$P$40,$AZ$5:$AZ$41,$BH29))),""))</f>
        <v/>
      </c>
      <c r="R26">
        <f>IF($BJ29&gt;0,IF(INDEX('Final Calculation Sheet'!$Q$4:$Q$40,$BJ29-3)="","",INDEX('Final Calculation Sheet'!$Q$4:$Q$40,$BJ29-3)),IF(OR($BI29=1,$BL29=1,$BH29&gt;0),"–",""))</f>
        <v/>
      </c>
      <c r="S26">
        <f>IF($BJ29&gt;0,IF(INDEX('Final Calculation Sheet'!$R$4:$R$40,$BJ29-3)="","",INDEX('Final Calculation Sheet'!$R$4:$R$40,$BJ29-3)),IF(OR($BI29=1,$BL29=1,$BH29&gt;0),IF($BI29=1,SUM('Final Calculation Sheet'!$R$4:$R$40),IF($BL29=1,SUM('Final Calculation Sheet'!$R$4:$R$40)-SUMIFS('Final Calculation Sheet'!$R$4:$R$40,$AZ$5:$AZ$41,10),SUMIFS('Final Calculation Sheet'!$R$4:$R$40,$AZ$5:$AZ$41,$BH29))),""))</f>
        <v/>
      </c>
      <c r="T26">
        <f>IF($BJ29&gt;0,IF(INDEX('Final Calculation Sheet'!$S$4:$S$40,$BJ29-3)="","",INDEX('Final Calculation Sheet'!$S$4:$S$40,$BJ29-3)),IF(OR($BI29=1,$BL29=1,$BH29&gt;0),IF($BI29=1,SUM('Final Calculation Sheet'!$S$4:$S$40),IF($BL29=1,SUM('Final Calculation Sheet'!$S$4:$S$40)-SUMIFS('Final Calculation Sheet'!$S$4:$S$40,$AZ$5:$AZ$41,10),SUMIFS('Final Calculation Sheet'!$S$4:$S$40,$AZ$5:$AZ$41,$BH29))),""))</f>
        <v/>
      </c>
      <c r="U26">
        <f>IF($BJ29&gt;0,IF(INDEX('Final Calculation Sheet'!$T$4:$T$40,$BJ29-3)="","",INDEX('Final Calculation Sheet'!$T$4:$T$40,$BJ29-3)),IF(OR($BI29=1,$BL29=1,$BH29&gt;0),IF($BI29=1,SUM('Final Calculation Sheet'!$T$4:$T$40),IF($BL29=1,SUM('Final Calculation Sheet'!$T$4:$T$40)-SUMIFS('Final Calculation Sheet'!$T$4:$T$40,$AZ$5:$AZ$41,10),SUMIFS('Final Calculation Sheet'!$T$4:$T$40,$AZ$5:$AZ$41,$BH29))),""))</f>
        <v/>
      </c>
      <c r="V26">
        <f>IF($BJ29&gt;0,IF(INDEX('Final Calculation Sheet'!$U$4:$U$40,$BJ29-3)="","",INDEX('Final Calculation Sheet'!$U$4:$U$40,$BJ29-3)),IF(OR($BI29=1,$BL29=1,$BH29&gt;0),IF($BI29=1,SUM('Final Calculation Sheet'!$U$4:$U$40),IF($BL29=1,SUM('Final Calculation Sheet'!$U$4:$U$40)-SUMIFS('Final Calculation Sheet'!$U$4:$U$40,$AZ$5:$AZ$41,10),SUMIFS('Final Calculation Sheet'!$U$4:$U$40,$AZ$5:$AZ$41,$BH29))),""))</f>
        <v/>
      </c>
      <c r="W26">
        <f>IF($BJ29&gt;0,IF(INDEX('Final Calculation Sheet'!$V$4:$V$40,$BJ29-3)="","",INDEX('Final Calculation Sheet'!$V$4:$V$40,$BJ29-3)),IF(OR($BI29=1,$BL29=1,$BH29&gt;0),"–",""))</f>
        <v/>
      </c>
      <c r="X26">
        <f>IF($BJ29&gt;0,IF(INDEX('Final Calculation Sheet'!$W$4:$W$40,$BJ29-3)="","",INDEX('Final Calculation Sheet'!$W$4:$W$40,$BJ29-3)),IF(OR($BI29=1,$BL29=1,$BH29&gt;0),IF($BI29=1,SUM('Final Calculation Sheet'!$W$4:$W$40),IF($BL29=1,SUM('Final Calculation Sheet'!$W$4:$W$40)-SUMIFS('Final Calculation Sheet'!$W$4:$W$40,$AZ$5:$AZ$41,10),SUMIFS('Final Calculation Sheet'!$W$4:$W$40,$AZ$5:$AZ$41,$BH29))),""))</f>
        <v/>
      </c>
      <c r="Y26">
        <f>IF($BJ29&gt;0,IF(INDEX('Final Calculation Sheet'!$X$4:$X$40,$BJ29-3)="","",INDEX('Final Calculation Sheet'!$X$4:$X$40,$BJ29-3)),IF(OR($BI29=1,$BL29=1,$BH29&gt;0),IF($BI29=1,SUM('Final Calculation Sheet'!$X$4:$X$40),IF($BL29=1,SUM('Final Calculation Sheet'!$X$4:$X$40)-SUMIFS('Final Calculation Sheet'!$X$4:$X$40,$AZ$5:$AZ$41,10),SUMIFS('Final Calculation Sheet'!$X$4:$X$40,$AZ$5:$AZ$41,$BH29))),""))</f>
        <v/>
      </c>
      <c r="Z26">
        <f>IF($BJ29&gt;0,IF(INDEX('Final Calculation Sheet'!$Y$4:$Y$40,$BJ29-3)="","",INDEX('Final Calculation Sheet'!$Y$4:$Y$40,$BJ29-3)),IF(OR($BI29=1,$BL29=1,$BH29&gt;0),"–",""))</f>
        <v/>
      </c>
      <c r="AA26">
        <f>IF($BJ29&gt;0,IF(INDEX('Final Calculation Sheet'!$Z$4:$Z$40,$BJ29-3)="","",INDEX('Final Calculation Sheet'!$Z$4:$Z$40,$BJ29-3)),IF(OR($BI29=1,$BL29=1,$BH29&gt;0),IF($BI29=1,SUM('Final Calculation Sheet'!$Z$4:$Z$40),IF($BL29=1,SUM('Final Calculation Sheet'!$Z$4:$Z$40)-SUMIFS('Final Calculation Sheet'!$Z$4:$Z$40,$AZ$5:$AZ$41,10),SUMIFS('Final Calculation Sheet'!$Z$4:$Z$40,$AZ$5:$AZ$41,$BH29))),""))</f>
        <v/>
      </c>
      <c r="AB26">
        <f>IF($BJ29&gt;0,IF(INDEX('Final Calculation Sheet'!$AA$4:$AA$40,$BJ29-3)="","",INDEX('Final Calculation Sheet'!$AA$4:$AA$40,$BJ29-3)),IF(OR($BI29=1,$BL29=1,$BH29&gt;0),IF($BI29=1,SUM('Final Calculation Sheet'!$AA$4:$AA$40),IF($BL29=1,SUM('Final Calculation Sheet'!$AA$4:$AA$40)-SUMIFS('Final Calculation Sheet'!$AA$4:$AA$40,$AZ$5:$AZ$41,10),SUMIFS('Final Calculation Sheet'!$AA$4:$AA$40,$AZ$5:$AZ$41,$BH29))),""))</f>
        <v/>
      </c>
      <c r="AC26">
        <f>IF($BJ29&gt;0,IF(INDEX('Final Calculation Sheet'!$AB$4:$AB$40,$BJ29-3)="","",INDEX('Final Calculation Sheet'!$AB$4:$AB$40,$BJ29-3)),IF(OR($BI29=1,$BL29=1,$BH29&gt;0),"–",""))</f>
        <v/>
      </c>
      <c r="AD26">
        <f>IF($BJ29&gt;0,IF(INDEX('Final Calculation Sheet'!$AC$4:$AC$40,$BJ29-3)="","",INDEX('Final Calculation Sheet'!$AC$4:$AC$40,$BJ29-3)),IF(OR($BI29=1,$BL29=1,$BH29&gt;0),IF($BI29=1,SUM('Final Calculation Sheet'!$AC$4:$AC$40),IF($BL29=1,SUM('Final Calculation Sheet'!$AC$4:$AC$40)-SUMIFS('Final Calculation Sheet'!$AC$4:$AC$40,$AZ$5:$AZ$41,10),SUMIFS('Final Calculation Sheet'!$AC$4:$AC$40,$AZ$5:$AZ$41,$BH29))),""))</f>
        <v/>
      </c>
      <c r="AE26">
        <f>IF($BJ29&gt;0,IF(INDEX('Final Calculation Sheet'!$AD$4:$AD$40,$BJ29-3)="","",INDEX('Final Calculation Sheet'!$AD$4:$AD$40,$BJ29-3)),IF(OR($BI29=1,$BL29=1,$BH29&gt;0),IF($BI29=1,SUM('Final Calculation Sheet'!$AD$4:$AD$40),IF($BL29=1,SUM('Final Calculation Sheet'!$AD$4:$AD$40)-SUMIFS('Final Calculation Sheet'!$AD$4:$AD$40,$AZ$5:$AZ$41,10),SUMIFS('Final Calculation Sheet'!$AD$4:$AD$40,$AZ$5:$AZ$41,$BH29))),""))</f>
        <v/>
      </c>
      <c r="AF26">
        <f>IF($BJ29&gt;0,IF(INDEX('Final Calculation Sheet'!$AF$4:$AF$40,$BJ29-3)="","",INDEX('Final Calculation Sheet'!$AF$4:$AF$40,$BJ29-3)),IF(OR($BI29=1,$BL29=1,$BH29&gt;0),"–",""))</f>
        <v/>
      </c>
      <c r="AG26">
        <f>IF($BJ29&gt;0,IF(INDEX('Final Calculation Sheet'!$AG$4:$AG$40,$BJ29-3)="","",INDEX('Final Calculation Sheet'!$AG$4:$AG$40,$BJ29-3)),IF(OR($BI29=1,$BL29=1,$BH29&gt;0),"–",""))</f>
        <v/>
      </c>
      <c r="AH26">
        <f>IF($BJ29&gt;0,IF(INDEX('Final Calculation Sheet'!$AH$4:$AH$40,$BJ29-3)="","",INDEX('Final Calculation Sheet'!$AH$4:$AH$40,$BJ29-3)),IF(OR($BI29=1,$BL29=1,$BH29&gt;0),"–",""))</f>
        <v/>
      </c>
      <c r="AI26">
        <f>IF($BJ29&gt;0,IF(INDEX('Final Calculation Sheet'!$AD$4:$AD$40,$BJ29-3)="","",IF(INDEX('Final Calculation Sheet'!$AD$4:$AD$40,$BJ29-3)&lt;=5,"SETTLED","OUTSTANDING")),IF(OR($BI29=1,$BL29=1,$BH29&gt;0),IF(IF($BI29=1,SUM('Final Calculation Sheet'!$AD$4:$AD$40),IF($BL29=1,SUM('Final Calculation Sheet'!$AD$4:$AD$40)-SUMIFS('Final Calculation Sheet'!$AD$4:$AD$40,$AZ$5:$AZ$41,10),SUMIFS('Final Calculation Sheet'!$AD$4:$AD$40,$AZ$5:$AZ$41,$BH29)))&lt;=5,"ALL SETTLED","OUTSTANDING"),""))</f>
        <v/>
      </c>
    </row>
    <row r="27">
      <c r="A27">
        <f>IF($BJ30&gt;0,INDEX($BA$5:$BA$41,MATCH(30,$BB$5:$BB$41,0)),IF(OR($BI30=1,$BL30=1,$BH30&gt;0),"∑",""))</f>
        <v/>
      </c>
      <c r="B27">
        <f>IF($BJ30&gt;0,IF(INDEX('Final Calculation Sheet'!$F$4:$F$40,$BJ30-3)="","",INDEX('Final Calculation Sheet'!$F$4:$F$40,$BJ30-3)),"")</f>
        <v/>
      </c>
      <c r="C27">
        <f>IF($BJ30&gt;0,IF(INDEX('Final Calculation Sheet'!$G$4:$G$40,$BJ30-3)="","",INDEX('Final Calculation Sheet'!$G$4:$G$40,$BJ30-3)),IF(OR($BI30=1,$BL30=1,$BH30&gt;0),IF($BI30=1,37,IF($BL30=1,37-INDEX($BD$4:$BD$13,10),INDEX($BD$4:$BD$13,$BH30)))&amp;" lot(s)",""))</f>
        <v/>
      </c>
      <c r="D27">
        <f>IF($BJ30&gt;0,IF(INDEX('Final Calculation Sheet'!$B$4:$B$40,$BJ30-3)="","",INDEX('Final Calculation Sheet'!$B$4:$B$40,$BJ30-3)),IF(OR($BI30=1,$BL30=1,$BH30&gt;0),IF($BI30=1,"GRAND TOTAL  —  matching + remaining",IF($BL30=1,"TOTAL MATCHED  —  every group together",IF($BH30=10,"REMAINING  —  did not match the search",IF($BH30=9,IF(COUNTIF($A$4:$AI$4,"&lt;&gt;")&gt;0,"FILTERED LOTS  —  column fields","ALL LOTS  —  nothing typed in the box"),"GROUP "&amp;$BH30&amp;" TOTAL  —  lots matching  "&amp;INDEX($AR$6:$AY$6,$BH30))))),""))</f>
        <v/>
      </c>
      <c r="E27">
        <f>IF($BJ30&gt;0,IF(INDEX('Final Calculation Sheet'!$D$4:$D$40,$BJ30-3)="","",INDEX('Final Calculation Sheet'!$D$4:$D$40,$BJ30-3)),IF(OR($BI30=1,$BL30=1,$BH30&gt;0),"–",""))</f>
        <v/>
      </c>
      <c r="F27">
        <f>IF($BJ30&gt;0,IF(INDEX('Final Calculation Sheet'!$A$4:$A$40,$BJ30-3)="","",INDEX('Final Calculation Sheet'!$A$4:$A$40,$BJ30-3)),IF(OR($BI30=1,$BL30=1,$BH30&gt;0),IF($BI30=1,SUM('Final Calculation Sheet'!$A$4:$A$40),IF($BL30=1,SUM('Final Calculation Sheet'!$A$4:$A$40)-SUMIFS('Final Calculation Sheet'!$A$4:$A$40,$AZ$5:$AZ$41,10),SUMIFS('Final Calculation Sheet'!$A$4:$A$40,$AZ$5:$AZ$41,$BH30))),""))</f>
        <v/>
      </c>
      <c r="G27">
        <f>IF($BJ30&gt;0,IF(INDEX('Final Calculation Sheet'!$E$4:$E$40,$BJ30-3)="","",INDEX('Final Calculation Sheet'!$E$4:$E$40,$BJ30-3)),IF(OR($BI30=1,$BL30=1,$BH30&gt;0),"–",""))</f>
        <v/>
      </c>
      <c r="H27">
        <f>IF($BJ30&gt;0,IF(INDEX('Final Calculation Sheet'!$C$4:$C$40,$BJ30-3)="","",INDEX('Final Calculation Sheet'!$C$4:$C$40,$BJ30-3)),IF(OR($BI30=1,$BL30=1,$BH30&gt;0),"–",""))</f>
        <v/>
      </c>
      <c r="I27">
        <f>IF($BJ30&gt;0,IF(INDEX('Final Calculation Sheet'!$H$4:$H$40,$BJ30-3)="","",INDEX('Final Calculation Sheet'!$H$4:$H$40,$BJ30-3)),IF(OR($BI30=1,$BL30=1,$BH30&gt;0),IF($BI30=1,SUM('Final Calculation Sheet'!$H$4:$H$40),IF($BL30=1,SUM('Final Calculation Sheet'!$H$4:$H$40)-SUMIFS('Final Calculation Sheet'!$H$4:$H$40,$AZ$5:$AZ$41,10),SUMIFS('Final Calculation Sheet'!$H$4:$H$40,$AZ$5:$AZ$41,$BH30))),""))</f>
        <v/>
      </c>
      <c r="J27">
        <f>IF($BJ30&gt;0,IF(INDEX('Final Calculation Sheet'!$I$4:$I$40,$BJ30-3)="","",INDEX('Final Calculation Sheet'!$I$4:$I$40,$BJ30-3)),IF(OR($BI30=1,$BL30=1,$BH30&gt;0),IF($BI30=1,SUM('Final Calculation Sheet'!$I$4:$I$40),IF($BL30=1,SUM('Final Calculation Sheet'!$I$4:$I$40)-SUMIFS('Final Calculation Sheet'!$I$4:$I$40,$AZ$5:$AZ$41,10),SUMIFS('Final Calculation Sheet'!$I$4:$I$40,$AZ$5:$AZ$41,$BH30))),""))</f>
        <v/>
      </c>
      <c r="K27">
        <f>IF($BJ30&gt;0,IF(INDEX('Final Calculation Sheet'!$J$4:$J$40,$BJ30-3)="","",INDEX('Final Calculation Sheet'!$J$4:$J$40,$BJ30-3)),IF(OR($BI30=1,$BL30=1,$BH30&gt;0),IF($BI30=1,SUM('Final Calculation Sheet'!$J$4:$J$40),IF($BL30=1,SUM('Final Calculation Sheet'!$J$4:$J$40)-SUMIFS('Final Calculation Sheet'!$J$4:$J$40,$AZ$5:$AZ$41,10),SUMIFS('Final Calculation Sheet'!$J$4:$J$40,$AZ$5:$AZ$41,$BH30))),""))</f>
        <v/>
      </c>
      <c r="L27">
        <f>IF($BJ30&gt;0,IF(INDEX('Final Calculation Sheet'!$K$4:$K$40,$BJ30-3)="","",INDEX('Final Calculation Sheet'!$K$4:$K$40,$BJ30-3)),IF(OR($BI30=1,$BL30=1,$BH30&gt;0),IF($BI30=1,SUM('Final Calculation Sheet'!$K$4:$K$40),IF($BL30=1,SUM('Final Calculation Sheet'!$K$4:$K$40)-SUMIFS('Final Calculation Sheet'!$K$4:$K$40,$AZ$5:$AZ$41,10),SUMIFS('Final Calculation Sheet'!$K$4:$K$40,$AZ$5:$AZ$41,$BH30))),""))</f>
        <v/>
      </c>
      <c r="M27">
        <f>IF($BJ30&gt;0,IF(INDEX('Final Calculation Sheet'!$L$4:$L$40,$BJ30-3)="","",INDEX('Final Calculation Sheet'!$L$4:$L$40,$BJ30-3)),IF(OR($BI30=1,$BL30=1,$BH30&gt;0),IF($BI30=1,SUM('Final Calculation Sheet'!$L$4:$L$40),IF($BL30=1,SUM('Final Calculation Sheet'!$L$4:$L$40)-SUMIFS('Final Calculation Sheet'!$L$4:$L$40,$AZ$5:$AZ$41,10),SUMIFS('Final Calculation Sheet'!$L$4:$L$40,$AZ$5:$AZ$41,$BH30))),""))</f>
        <v/>
      </c>
      <c r="N27">
        <f>IF($BJ30&gt;0,IF(INDEX('Final Calculation Sheet'!$M$4:$M$40,$BJ30-3)="","",INDEX('Final Calculation Sheet'!$M$4:$M$40,$BJ30-3)),IF(OR($BI30=1,$BL30=1,$BH30&gt;0),IF($BI30=1,SUM('Final Calculation Sheet'!$M$4:$M$40),IF($BL30=1,SUM('Final Calculation Sheet'!$M$4:$M$40)-SUMIFS('Final Calculation Sheet'!$M$4:$M$40,$AZ$5:$AZ$41,10),SUMIFS('Final Calculation Sheet'!$M$4:$M$40,$AZ$5:$AZ$41,$BH30))),""))</f>
        <v/>
      </c>
      <c r="O27">
        <f>IF($BJ30&gt;0,IF(INDEX('Final Calculation Sheet'!$N$4:$N$40,$BJ30-3)="","",INDEX('Final Calculation Sheet'!$N$4:$N$40,$BJ30-3)),IF(OR($BI30=1,$BL30=1,$BH30&gt;0),IF($BI30=1,SUM('Final Calculation Sheet'!$N$4:$N$40),IF($BL30=1,SUM('Final Calculation Sheet'!$N$4:$N$40)-SUMIFS('Final Calculation Sheet'!$N$4:$N$40,$AZ$5:$AZ$41,10),SUMIFS('Final Calculation Sheet'!$N$4:$N$40,$AZ$5:$AZ$41,$BH30))),""))</f>
        <v/>
      </c>
      <c r="P27">
        <f>IF($BJ30&gt;0,IF(INDEX('Final Calculation Sheet'!$O$4:$O$40,$BJ30-3)="","",INDEX('Final Calculation Sheet'!$O$4:$O$40,$BJ30-3)),IF(OR($BI30=1,$BL30=1,$BH30&gt;0),IF($BI30=1,SUM('Final Calculation Sheet'!$O$4:$O$40),IF($BL30=1,SUM('Final Calculation Sheet'!$O$4:$O$40)-SUMIFS('Final Calculation Sheet'!$O$4:$O$40,$AZ$5:$AZ$41,10),SUMIFS('Final Calculation Sheet'!$O$4:$O$40,$AZ$5:$AZ$41,$BH30))),""))</f>
        <v/>
      </c>
      <c r="Q27">
        <f>IF($BJ30&gt;0,IF(INDEX('Final Calculation Sheet'!$P$4:$P$40,$BJ30-3)="","",INDEX('Final Calculation Sheet'!$P$4:$P$40,$BJ30-3)),IF(OR($BI30=1,$BL30=1,$BH30&gt;0),IF($BI30=1,SUM('Final Calculation Sheet'!$P$4:$P$40),IF($BL30=1,SUM('Final Calculation Sheet'!$P$4:$P$40)-SUMIFS('Final Calculation Sheet'!$P$4:$P$40,$AZ$5:$AZ$41,10),SUMIFS('Final Calculation Sheet'!$P$4:$P$40,$AZ$5:$AZ$41,$BH30))),""))</f>
        <v/>
      </c>
      <c r="R27">
        <f>IF($BJ30&gt;0,IF(INDEX('Final Calculation Sheet'!$Q$4:$Q$40,$BJ30-3)="","",INDEX('Final Calculation Sheet'!$Q$4:$Q$40,$BJ30-3)),IF(OR($BI30=1,$BL30=1,$BH30&gt;0),"–",""))</f>
        <v/>
      </c>
      <c r="S27">
        <f>IF($BJ30&gt;0,IF(INDEX('Final Calculation Sheet'!$R$4:$R$40,$BJ30-3)="","",INDEX('Final Calculation Sheet'!$R$4:$R$40,$BJ30-3)),IF(OR($BI30=1,$BL30=1,$BH30&gt;0),IF($BI30=1,SUM('Final Calculation Sheet'!$R$4:$R$40),IF($BL30=1,SUM('Final Calculation Sheet'!$R$4:$R$40)-SUMIFS('Final Calculation Sheet'!$R$4:$R$40,$AZ$5:$AZ$41,10),SUMIFS('Final Calculation Sheet'!$R$4:$R$40,$AZ$5:$AZ$41,$BH30))),""))</f>
        <v/>
      </c>
      <c r="T27">
        <f>IF($BJ30&gt;0,IF(INDEX('Final Calculation Sheet'!$S$4:$S$40,$BJ30-3)="","",INDEX('Final Calculation Sheet'!$S$4:$S$40,$BJ30-3)),IF(OR($BI30=1,$BL30=1,$BH30&gt;0),IF($BI30=1,SUM('Final Calculation Sheet'!$S$4:$S$40),IF($BL30=1,SUM('Final Calculation Sheet'!$S$4:$S$40)-SUMIFS('Final Calculation Sheet'!$S$4:$S$40,$AZ$5:$AZ$41,10),SUMIFS('Final Calculation Sheet'!$S$4:$S$40,$AZ$5:$AZ$41,$BH30))),""))</f>
        <v/>
      </c>
      <c r="U27">
        <f>IF($BJ30&gt;0,IF(INDEX('Final Calculation Sheet'!$T$4:$T$40,$BJ30-3)="","",INDEX('Final Calculation Sheet'!$T$4:$T$40,$BJ30-3)),IF(OR($BI30=1,$BL30=1,$BH30&gt;0),IF($BI30=1,SUM('Final Calculation Sheet'!$T$4:$T$40),IF($BL30=1,SUM('Final Calculation Sheet'!$T$4:$T$40)-SUMIFS('Final Calculation Sheet'!$T$4:$T$40,$AZ$5:$AZ$41,10),SUMIFS('Final Calculation Sheet'!$T$4:$T$40,$AZ$5:$AZ$41,$BH30))),""))</f>
        <v/>
      </c>
      <c r="V27">
        <f>IF($BJ30&gt;0,IF(INDEX('Final Calculation Sheet'!$U$4:$U$40,$BJ30-3)="","",INDEX('Final Calculation Sheet'!$U$4:$U$40,$BJ30-3)),IF(OR($BI30=1,$BL30=1,$BH30&gt;0),IF($BI30=1,SUM('Final Calculation Sheet'!$U$4:$U$40),IF($BL30=1,SUM('Final Calculation Sheet'!$U$4:$U$40)-SUMIFS('Final Calculation Sheet'!$U$4:$U$40,$AZ$5:$AZ$41,10),SUMIFS('Final Calculation Sheet'!$U$4:$U$40,$AZ$5:$AZ$41,$BH30))),""))</f>
        <v/>
      </c>
      <c r="W27">
        <f>IF($BJ30&gt;0,IF(INDEX('Final Calculation Sheet'!$V$4:$V$40,$BJ30-3)="","",INDEX('Final Calculation Sheet'!$V$4:$V$40,$BJ30-3)),IF(OR($BI30=1,$BL30=1,$BH30&gt;0),"–",""))</f>
        <v/>
      </c>
      <c r="X27">
        <f>IF($BJ30&gt;0,IF(INDEX('Final Calculation Sheet'!$W$4:$W$40,$BJ30-3)="","",INDEX('Final Calculation Sheet'!$W$4:$W$40,$BJ30-3)),IF(OR($BI30=1,$BL30=1,$BH30&gt;0),IF($BI30=1,SUM('Final Calculation Sheet'!$W$4:$W$40),IF($BL30=1,SUM('Final Calculation Sheet'!$W$4:$W$40)-SUMIFS('Final Calculation Sheet'!$W$4:$W$40,$AZ$5:$AZ$41,10),SUMIFS('Final Calculation Sheet'!$W$4:$W$40,$AZ$5:$AZ$41,$BH30))),""))</f>
        <v/>
      </c>
      <c r="Y27">
        <f>IF($BJ30&gt;0,IF(INDEX('Final Calculation Sheet'!$X$4:$X$40,$BJ30-3)="","",INDEX('Final Calculation Sheet'!$X$4:$X$40,$BJ30-3)),IF(OR($BI30=1,$BL30=1,$BH30&gt;0),IF($BI30=1,SUM('Final Calculation Sheet'!$X$4:$X$40),IF($BL30=1,SUM('Final Calculation Sheet'!$X$4:$X$40)-SUMIFS('Final Calculation Sheet'!$X$4:$X$40,$AZ$5:$AZ$41,10),SUMIFS('Final Calculation Sheet'!$X$4:$X$40,$AZ$5:$AZ$41,$BH30))),""))</f>
        <v/>
      </c>
      <c r="Z27">
        <f>IF($BJ30&gt;0,IF(INDEX('Final Calculation Sheet'!$Y$4:$Y$40,$BJ30-3)="","",INDEX('Final Calculation Sheet'!$Y$4:$Y$40,$BJ30-3)),IF(OR($BI30=1,$BL30=1,$BH30&gt;0),"–",""))</f>
        <v/>
      </c>
      <c r="AA27">
        <f>IF($BJ30&gt;0,IF(INDEX('Final Calculation Sheet'!$Z$4:$Z$40,$BJ30-3)="","",INDEX('Final Calculation Sheet'!$Z$4:$Z$40,$BJ30-3)),IF(OR($BI30=1,$BL30=1,$BH30&gt;0),IF($BI30=1,SUM('Final Calculation Sheet'!$Z$4:$Z$40),IF($BL30=1,SUM('Final Calculation Sheet'!$Z$4:$Z$40)-SUMIFS('Final Calculation Sheet'!$Z$4:$Z$40,$AZ$5:$AZ$41,10),SUMIFS('Final Calculation Sheet'!$Z$4:$Z$40,$AZ$5:$AZ$41,$BH30))),""))</f>
        <v/>
      </c>
      <c r="AB27">
        <f>IF($BJ30&gt;0,IF(INDEX('Final Calculation Sheet'!$AA$4:$AA$40,$BJ30-3)="","",INDEX('Final Calculation Sheet'!$AA$4:$AA$40,$BJ30-3)),IF(OR($BI30=1,$BL30=1,$BH30&gt;0),IF($BI30=1,SUM('Final Calculation Sheet'!$AA$4:$AA$40),IF($BL30=1,SUM('Final Calculation Sheet'!$AA$4:$AA$40)-SUMIFS('Final Calculation Sheet'!$AA$4:$AA$40,$AZ$5:$AZ$41,10),SUMIFS('Final Calculation Sheet'!$AA$4:$AA$40,$AZ$5:$AZ$41,$BH30))),""))</f>
        <v/>
      </c>
      <c r="AC27">
        <f>IF($BJ30&gt;0,IF(INDEX('Final Calculation Sheet'!$AB$4:$AB$40,$BJ30-3)="","",INDEX('Final Calculation Sheet'!$AB$4:$AB$40,$BJ30-3)),IF(OR($BI30=1,$BL30=1,$BH30&gt;0),"–",""))</f>
        <v/>
      </c>
      <c r="AD27">
        <f>IF($BJ30&gt;0,IF(INDEX('Final Calculation Sheet'!$AC$4:$AC$40,$BJ30-3)="","",INDEX('Final Calculation Sheet'!$AC$4:$AC$40,$BJ30-3)),IF(OR($BI30=1,$BL30=1,$BH30&gt;0),IF($BI30=1,SUM('Final Calculation Sheet'!$AC$4:$AC$40),IF($BL30=1,SUM('Final Calculation Sheet'!$AC$4:$AC$40)-SUMIFS('Final Calculation Sheet'!$AC$4:$AC$40,$AZ$5:$AZ$41,10),SUMIFS('Final Calculation Sheet'!$AC$4:$AC$40,$AZ$5:$AZ$41,$BH30))),""))</f>
        <v/>
      </c>
      <c r="AE27">
        <f>IF($BJ30&gt;0,IF(INDEX('Final Calculation Sheet'!$AD$4:$AD$40,$BJ30-3)="","",INDEX('Final Calculation Sheet'!$AD$4:$AD$40,$BJ30-3)),IF(OR($BI30=1,$BL30=1,$BH30&gt;0),IF($BI30=1,SUM('Final Calculation Sheet'!$AD$4:$AD$40),IF($BL30=1,SUM('Final Calculation Sheet'!$AD$4:$AD$40)-SUMIFS('Final Calculation Sheet'!$AD$4:$AD$40,$AZ$5:$AZ$41,10),SUMIFS('Final Calculation Sheet'!$AD$4:$AD$40,$AZ$5:$AZ$41,$BH30))),""))</f>
        <v/>
      </c>
      <c r="AF27">
        <f>IF($BJ30&gt;0,IF(INDEX('Final Calculation Sheet'!$AF$4:$AF$40,$BJ30-3)="","",INDEX('Final Calculation Sheet'!$AF$4:$AF$40,$BJ30-3)),IF(OR($BI30=1,$BL30=1,$BH30&gt;0),"–",""))</f>
        <v/>
      </c>
      <c r="AG27">
        <f>IF($BJ30&gt;0,IF(INDEX('Final Calculation Sheet'!$AG$4:$AG$40,$BJ30-3)="","",INDEX('Final Calculation Sheet'!$AG$4:$AG$40,$BJ30-3)),IF(OR($BI30=1,$BL30=1,$BH30&gt;0),"–",""))</f>
        <v/>
      </c>
      <c r="AH27">
        <f>IF($BJ30&gt;0,IF(INDEX('Final Calculation Sheet'!$AH$4:$AH$40,$BJ30-3)="","",INDEX('Final Calculation Sheet'!$AH$4:$AH$40,$BJ30-3)),IF(OR($BI30=1,$BL30=1,$BH30&gt;0),"–",""))</f>
        <v/>
      </c>
      <c r="AI27">
        <f>IF($BJ30&gt;0,IF(INDEX('Final Calculation Sheet'!$AD$4:$AD$40,$BJ30-3)="","",IF(INDEX('Final Calculation Sheet'!$AD$4:$AD$40,$BJ30-3)&lt;=5,"SETTLED","OUTSTANDING")),IF(OR($BI30=1,$BL30=1,$BH30&gt;0),IF(IF($BI30=1,SUM('Final Calculation Sheet'!$AD$4:$AD$40),IF($BL30=1,SUM('Final Calculation Sheet'!$AD$4:$AD$40)-SUMIFS('Final Calculation Sheet'!$AD$4:$AD$40,$AZ$5:$AZ$41,10),SUMIFS('Final Calculation Sheet'!$AD$4:$AD$40,$AZ$5:$AZ$41,$BH30)))&lt;=5,"ALL SETTLED","OUTSTANDING"),""))</f>
        <v/>
      </c>
    </row>
    <row r="28">
      <c r="A28">
        <f>IF($BJ31&gt;0,INDEX($BA$5:$BA$41,MATCH(31,$BB$5:$BB$41,0)),IF(OR($BI31=1,$BL31=1,$BH31&gt;0),"∑",""))</f>
        <v/>
      </c>
      <c r="B28">
        <f>IF($BJ31&gt;0,IF(INDEX('Final Calculation Sheet'!$F$4:$F$40,$BJ31-3)="","",INDEX('Final Calculation Sheet'!$F$4:$F$40,$BJ31-3)),"")</f>
        <v/>
      </c>
      <c r="C28">
        <f>IF($BJ31&gt;0,IF(INDEX('Final Calculation Sheet'!$G$4:$G$40,$BJ31-3)="","",INDEX('Final Calculation Sheet'!$G$4:$G$40,$BJ31-3)),IF(OR($BI31=1,$BL31=1,$BH31&gt;0),IF($BI31=1,37,IF($BL31=1,37-INDEX($BD$4:$BD$13,10),INDEX($BD$4:$BD$13,$BH31)))&amp;" lot(s)",""))</f>
        <v/>
      </c>
      <c r="D28">
        <f>IF($BJ31&gt;0,IF(INDEX('Final Calculation Sheet'!$B$4:$B$40,$BJ31-3)="","",INDEX('Final Calculation Sheet'!$B$4:$B$40,$BJ31-3)),IF(OR($BI31=1,$BL31=1,$BH31&gt;0),IF($BI31=1,"GRAND TOTAL  —  matching + remaining",IF($BL31=1,"TOTAL MATCHED  —  every group together",IF($BH31=10,"REMAINING  —  did not match the search",IF($BH31=9,IF(COUNTIF($A$4:$AI$4,"&lt;&gt;")&gt;0,"FILTERED LOTS  —  column fields","ALL LOTS  —  nothing typed in the box"),"GROUP "&amp;$BH31&amp;" TOTAL  —  lots matching  "&amp;INDEX($AR$6:$AY$6,$BH31))))),""))</f>
        <v/>
      </c>
      <c r="E28">
        <f>IF($BJ31&gt;0,IF(INDEX('Final Calculation Sheet'!$D$4:$D$40,$BJ31-3)="","",INDEX('Final Calculation Sheet'!$D$4:$D$40,$BJ31-3)),IF(OR($BI31=1,$BL31=1,$BH31&gt;0),"–",""))</f>
        <v/>
      </c>
      <c r="F28">
        <f>IF($BJ31&gt;0,IF(INDEX('Final Calculation Sheet'!$A$4:$A$40,$BJ31-3)="","",INDEX('Final Calculation Sheet'!$A$4:$A$40,$BJ31-3)),IF(OR($BI31=1,$BL31=1,$BH31&gt;0),IF($BI31=1,SUM('Final Calculation Sheet'!$A$4:$A$40),IF($BL31=1,SUM('Final Calculation Sheet'!$A$4:$A$40)-SUMIFS('Final Calculation Sheet'!$A$4:$A$40,$AZ$5:$AZ$41,10),SUMIFS('Final Calculation Sheet'!$A$4:$A$40,$AZ$5:$AZ$41,$BH31))),""))</f>
        <v/>
      </c>
      <c r="G28">
        <f>IF($BJ31&gt;0,IF(INDEX('Final Calculation Sheet'!$E$4:$E$40,$BJ31-3)="","",INDEX('Final Calculation Sheet'!$E$4:$E$40,$BJ31-3)),IF(OR($BI31=1,$BL31=1,$BH31&gt;0),"–",""))</f>
        <v/>
      </c>
      <c r="H28">
        <f>IF($BJ31&gt;0,IF(INDEX('Final Calculation Sheet'!$C$4:$C$40,$BJ31-3)="","",INDEX('Final Calculation Sheet'!$C$4:$C$40,$BJ31-3)),IF(OR($BI31=1,$BL31=1,$BH31&gt;0),"–",""))</f>
        <v/>
      </c>
      <c r="I28">
        <f>IF($BJ31&gt;0,IF(INDEX('Final Calculation Sheet'!$H$4:$H$40,$BJ31-3)="","",INDEX('Final Calculation Sheet'!$H$4:$H$40,$BJ31-3)),IF(OR($BI31=1,$BL31=1,$BH31&gt;0),IF($BI31=1,SUM('Final Calculation Sheet'!$H$4:$H$40),IF($BL31=1,SUM('Final Calculation Sheet'!$H$4:$H$40)-SUMIFS('Final Calculation Sheet'!$H$4:$H$40,$AZ$5:$AZ$41,10),SUMIFS('Final Calculation Sheet'!$H$4:$H$40,$AZ$5:$AZ$41,$BH31))),""))</f>
        <v/>
      </c>
      <c r="J28">
        <f>IF($BJ31&gt;0,IF(INDEX('Final Calculation Sheet'!$I$4:$I$40,$BJ31-3)="","",INDEX('Final Calculation Sheet'!$I$4:$I$40,$BJ31-3)),IF(OR($BI31=1,$BL31=1,$BH31&gt;0),IF($BI31=1,SUM('Final Calculation Sheet'!$I$4:$I$40),IF($BL31=1,SUM('Final Calculation Sheet'!$I$4:$I$40)-SUMIFS('Final Calculation Sheet'!$I$4:$I$40,$AZ$5:$AZ$41,10),SUMIFS('Final Calculation Sheet'!$I$4:$I$40,$AZ$5:$AZ$41,$BH31))),""))</f>
        <v/>
      </c>
      <c r="K28">
        <f>IF($BJ31&gt;0,IF(INDEX('Final Calculation Sheet'!$J$4:$J$40,$BJ31-3)="","",INDEX('Final Calculation Sheet'!$J$4:$J$40,$BJ31-3)),IF(OR($BI31=1,$BL31=1,$BH31&gt;0),IF($BI31=1,SUM('Final Calculation Sheet'!$J$4:$J$40),IF($BL31=1,SUM('Final Calculation Sheet'!$J$4:$J$40)-SUMIFS('Final Calculation Sheet'!$J$4:$J$40,$AZ$5:$AZ$41,10),SUMIFS('Final Calculation Sheet'!$J$4:$J$40,$AZ$5:$AZ$41,$BH31))),""))</f>
        <v/>
      </c>
      <c r="L28">
        <f>IF($BJ31&gt;0,IF(INDEX('Final Calculation Sheet'!$K$4:$K$40,$BJ31-3)="","",INDEX('Final Calculation Sheet'!$K$4:$K$40,$BJ31-3)),IF(OR($BI31=1,$BL31=1,$BH31&gt;0),IF($BI31=1,SUM('Final Calculation Sheet'!$K$4:$K$40),IF($BL31=1,SUM('Final Calculation Sheet'!$K$4:$K$40)-SUMIFS('Final Calculation Sheet'!$K$4:$K$40,$AZ$5:$AZ$41,10),SUMIFS('Final Calculation Sheet'!$K$4:$K$40,$AZ$5:$AZ$41,$BH31))),""))</f>
        <v/>
      </c>
      <c r="M28">
        <f>IF($BJ31&gt;0,IF(INDEX('Final Calculation Sheet'!$L$4:$L$40,$BJ31-3)="","",INDEX('Final Calculation Sheet'!$L$4:$L$40,$BJ31-3)),IF(OR($BI31=1,$BL31=1,$BH31&gt;0),IF($BI31=1,SUM('Final Calculation Sheet'!$L$4:$L$40),IF($BL31=1,SUM('Final Calculation Sheet'!$L$4:$L$40)-SUMIFS('Final Calculation Sheet'!$L$4:$L$40,$AZ$5:$AZ$41,10),SUMIFS('Final Calculation Sheet'!$L$4:$L$40,$AZ$5:$AZ$41,$BH31))),""))</f>
        <v/>
      </c>
      <c r="N28">
        <f>IF($BJ31&gt;0,IF(INDEX('Final Calculation Sheet'!$M$4:$M$40,$BJ31-3)="","",INDEX('Final Calculation Sheet'!$M$4:$M$40,$BJ31-3)),IF(OR($BI31=1,$BL31=1,$BH31&gt;0),IF($BI31=1,SUM('Final Calculation Sheet'!$M$4:$M$40),IF($BL31=1,SUM('Final Calculation Sheet'!$M$4:$M$40)-SUMIFS('Final Calculation Sheet'!$M$4:$M$40,$AZ$5:$AZ$41,10),SUMIFS('Final Calculation Sheet'!$M$4:$M$40,$AZ$5:$AZ$41,$BH31))),""))</f>
        <v/>
      </c>
      <c r="O28">
        <f>IF($BJ31&gt;0,IF(INDEX('Final Calculation Sheet'!$N$4:$N$40,$BJ31-3)="","",INDEX('Final Calculation Sheet'!$N$4:$N$40,$BJ31-3)),IF(OR($BI31=1,$BL31=1,$BH31&gt;0),IF($BI31=1,SUM('Final Calculation Sheet'!$N$4:$N$40),IF($BL31=1,SUM('Final Calculation Sheet'!$N$4:$N$40)-SUMIFS('Final Calculation Sheet'!$N$4:$N$40,$AZ$5:$AZ$41,10),SUMIFS('Final Calculation Sheet'!$N$4:$N$40,$AZ$5:$AZ$41,$BH31))),""))</f>
        <v/>
      </c>
      <c r="P28">
        <f>IF($BJ31&gt;0,IF(INDEX('Final Calculation Sheet'!$O$4:$O$40,$BJ31-3)="","",INDEX('Final Calculation Sheet'!$O$4:$O$40,$BJ31-3)),IF(OR($BI31=1,$BL31=1,$BH31&gt;0),IF($BI31=1,SUM('Final Calculation Sheet'!$O$4:$O$40),IF($BL31=1,SUM('Final Calculation Sheet'!$O$4:$O$40)-SUMIFS('Final Calculation Sheet'!$O$4:$O$40,$AZ$5:$AZ$41,10),SUMIFS('Final Calculation Sheet'!$O$4:$O$40,$AZ$5:$AZ$41,$BH31))),""))</f>
        <v/>
      </c>
      <c r="Q28">
        <f>IF($BJ31&gt;0,IF(INDEX('Final Calculation Sheet'!$P$4:$P$40,$BJ31-3)="","",INDEX('Final Calculation Sheet'!$P$4:$P$40,$BJ31-3)),IF(OR($BI31=1,$BL31=1,$BH31&gt;0),IF($BI31=1,SUM('Final Calculation Sheet'!$P$4:$P$40),IF($BL31=1,SUM('Final Calculation Sheet'!$P$4:$P$40)-SUMIFS('Final Calculation Sheet'!$P$4:$P$40,$AZ$5:$AZ$41,10),SUMIFS('Final Calculation Sheet'!$P$4:$P$40,$AZ$5:$AZ$41,$BH31))),""))</f>
        <v/>
      </c>
      <c r="R28">
        <f>IF($BJ31&gt;0,IF(INDEX('Final Calculation Sheet'!$Q$4:$Q$40,$BJ31-3)="","",INDEX('Final Calculation Sheet'!$Q$4:$Q$40,$BJ31-3)),IF(OR($BI31=1,$BL31=1,$BH31&gt;0),"–",""))</f>
        <v/>
      </c>
      <c r="S28">
        <f>IF($BJ31&gt;0,IF(INDEX('Final Calculation Sheet'!$R$4:$R$40,$BJ31-3)="","",INDEX('Final Calculation Sheet'!$R$4:$R$40,$BJ31-3)),IF(OR($BI31=1,$BL31=1,$BH31&gt;0),IF($BI31=1,SUM('Final Calculation Sheet'!$R$4:$R$40),IF($BL31=1,SUM('Final Calculation Sheet'!$R$4:$R$40)-SUMIFS('Final Calculation Sheet'!$R$4:$R$40,$AZ$5:$AZ$41,10),SUMIFS('Final Calculation Sheet'!$R$4:$R$40,$AZ$5:$AZ$41,$BH31))),""))</f>
        <v/>
      </c>
      <c r="T28">
        <f>IF($BJ31&gt;0,IF(INDEX('Final Calculation Sheet'!$S$4:$S$40,$BJ31-3)="","",INDEX('Final Calculation Sheet'!$S$4:$S$40,$BJ31-3)),IF(OR($BI31=1,$BL31=1,$BH31&gt;0),IF($BI31=1,SUM('Final Calculation Sheet'!$S$4:$S$40),IF($BL31=1,SUM('Final Calculation Sheet'!$S$4:$S$40)-SUMIFS('Final Calculation Sheet'!$S$4:$S$40,$AZ$5:$AZ$41,10),SUMIFS('Final Calculation Sheet'!$S$4:$S$40,$AZ$5:$AZ$41,$BH31))),""))</f>
        <v/>
      </c>
      <c r="U28">
        <f>IF($BJ31&gt;0,IF(INDEX('Final Calculation Sheet'!$T$4:$T$40,$BJ31-3)="","",INDEX('Final Calculation Sheet'!$T$4:$T$40,$BJ31-3)),IF(OR($BI31=1,$BL31=1,$BH31&gt;0),IF($BI31=1,SUM('Final Calculation Sheet'!$T$4:$T$40),IF($BL31=1,SUM('Final Calculation Sheet'!$T$4:$T$40)-SUMIFS('Final Calculation Sheet'!$T$4:$T$40,$AZ$5:$AZ$41,10),SUMIFS('Final Calculation Sheet'!$T$4:$T$40,$AZ$5:$AZ$41,$BH31))),""))</f>
        <v/>
      </c>
      <c r="V28">
        <f>IF($BJ31&gt;0,IF(INDEX('Final Calculation Sheet'!$U$4:$U$40,$BJ31-3)="","",INDEX('Final Calculation Sheet'!$U$4:$U$40,$BJ31-3)),IF(OR($BI31=1,$BL31=1,$BH31&gt;0),IF($BI31=1,SUM('Final Calculation Sheet'!$U$4:$U$40),IF($BL31=1,SUM('Final Calculation Sheet'!$U$4:$U$40)-SUMIFS('Final Calculation Sheet'!$U$4:$U$40,$AZ$5:$AZ$41,10),SUMIFS('Final Calculation Sheet'!$U$4:$U$40,$AZ$5:$AZ$41,$BH31))),""))</f>
        <v/>
      </c>
      <c r="W28">
        <f>IF($BJ31&gt;0,IF(INDEX('Final Calculation Sheet'!$V$4:$V$40,$BJ31-3)="","",INDEX('Final Calculation Sheet'!$V$4:$V$40,$BJ31-3)),IF(OR($BI31=1,$BL31=1,$BH31&gt;0),"–",""))</f>
        <v/>
      </c>
      <c r="X28">
        <f>IF($BJ31&gt;0,IF(INDEX('Final Calculation Sheet'!$W$4:$W$40,$BJ31-3)="","",INDEX('Final Calculation Sheet'!$W$4:$W$40,$BJ31-3)),IF(OR($BI31=1,$BL31=1,$BH31&gt;0),IF($BI31=1,SUM('Final Calculation Sheet'!$W$4:$W$40),IF($BL31=1,SUM('Final Calculation Sheet'!$W$4:$W$40)-SUMIFS('Final Calculation Sheet'!$W$4:$W$40,$AZ$5:$AZ$41,10),SUMIFS('Final Calculation Sheet'!$W$4:$W$40,$AZ$5:$AZ$41,$BH31))),""))</f>
        <v/>
      </c>
      <c r="Y28">
        <f>IF($BJ31&gt;0,IF(INDEX('Final Calculation Sheet'!$X$4:$X$40,$BJ31-3)="","",INDEX('Final Calculation Sheet'!$X$4:$X$40,$BJ31-3)),IF(OR($BI31=1,$BL31=1,$BH31&gt;0),IF($BI31=1,SUM('Final Calculation Sheet'!$X$4:$X$40),IF($BL31=1,SUM('Final Calculation Sheet'!$X$4:$X$40)-SUMIFS('Final Calculation Sheet'!$X$4:$X$40,$AZ$5:$AZ$41,10),SUMIFS('Final Calculation Sheet'!$X$4:$X$40,$AZ$5:$AZ$41,$BH31))),""))</f>
        <v/>
      </c>
      <c r="Z28">
        <f>IF($BJ31&gt;0,IF(INDEX('Final Calculation Sheet'!$Y$4:$Y$40,$BJ31-3)="","",INDEX('Final Calculation Sheet'!$Y$4:$Y$40,$BJ31-3)),IF(OR($BI31=1,$BL31=1,$BH31&gt;0),"–",""))</f>
        <v/>
      </c>
      <c r="AA28">
        <f>IF($BJ31&gt;0,IF(INDEX('Final Calculation Sheet'!$Z$4:$Z$40,$BJ31-3)="","",INDEX('Final Calculation Sheet'!$Z$4:$Z$40,$BJ31-3)),IF(OR($BI31=1,$BL31=1,$BH31&gt;0),IF($BI31=1,SUM('Final Calculation Sheet'!$Z$4:$Z$40),IF($BL31=1,SUM('Final Calculation Sheet'!$Z$4:$Z$40)-SUMIFS('Final Calculation Sheet'!$Z$4:$Z$40,$AZ$5:$AZ$41,10),SUMIFS('Final Calculation Sheet'!$Z$4:$Z$40,$AZ$5:$AZ$41,$BH31))),""))</f>
        <v/>
      </c>
      <c r="AB28">
        <f>IF($BJ31&gt;0,IF(INDEX('Final Calculation Sheet'!$AA$4:$AA$40,$BJ31-3)="","",INDEX('Final Calculation Sheet'!$AA$4:$AA$40,$BJ31-3)),IF(OR($BI31=1,$BL31=1,$BH31&gt;0),IF($BI31=1,SUM('Final Calculation Sheet'!$AA$4:$AA$40),IF($BL31=1,SUM('Final Calculation Sheet'!$AA$4:$AA$40)-SUMIFS('Final Calculation Sheet'!$AA$4:$AA$40,$AZ$5:$AZ$41,10),SUMIFS('Final Calculation Sheet'!$AA$4:$AA$40,$AZ$5:$AZ$41,$BH31))),""))</f>
        <v/>
      </c>
      <c r="AC28">
        <f>IF($BJ31&gt;0,IF(INDEX('Final Calculation Sheet'!$AB$4:$AB$40,$BJ31-3)="","",INDEX('Final Calculation Sheet'!$AB$4:$AB$40,$BJ31-3)),IF(OR($BI31=1,$BL31=1,$BH31&gt;0),"–",""))</f>
        <v/>
      </c>
      <c r="AD28">
        <f>IF($BJ31&gt;0,IF(INDEX('Final Calculation Sheet'!$AC$4:$AC$40,$BJ31-3)="","",INDEX('Final Calculation Sheet'!$AC$4:$AC$40,$BJ31-3)),IF(OR($BI31=1,$BL31=1,$BH31&gt;0),IF($BI31=1,SUM('Final Calculation Sheet'!$AC$4:$AC$40),IF($BL31=1,SUM('Final Calculation Sheet'!$AC$4:$AC$40)-SUMIFS('Final Calculation Sheet'!$AC$4:$AC$40,$AZ$5:$AZ$41,10),SUMIFS('Final Calculation Sheet'!$AC$4:$AC$40,$AZ$5:$AZ$41,$BH31))),""))</f>
        <v/>
      </c>
      <c r="AE28">
        <f>IF($BJ31&gt;0,IF(INDEX('Final Calculation Sheet'!$AD$4:$AD$40,$BJ31-3)="","",INDEX('Final Calculation Sheet'!$AD$4:$AD$40,$BJ31-3)),IF(OR($BI31=1,$BL31=1,$BH31&gt;0),IF($BI31=1,SUM('Final Calculation Sheet'!$AD$4:$AD$40),IF($BL31=1,SUM('Final Calculation Sheet'!$AD$4:$AD$40)-SUMIFS('Final Calculation Sheet'!$AD$4:$AD$40,$AZ$5:$AZ$41,10),SUMIFS('Final Calculation Sheet'!$AD$4:$AD$40,$AZ$5:$AZ$41,$BH31))),""))</f>
        <v/>
      </c>
      <c r="AF28">
        <f>IF($BJ31&gt;0,IF(INDEX('Final Calculation Sheet'!$AF$4:$AF$40,$BJ31-3)="","",INDEX('Final Calculation Sheet'!$AF$4:$AF$40,$BJ31-3)),IF(OR($BI31=1,$BL31=1,$BH31&gt;0),"–",""))</f>
        <v/>
      </c>
      <c r="AG28">
        <f>IF($BJ31&gt;0,IF(INDEX('Final Calculation Sheet'!$AG$4:$AG$40,$BJ31-3)="","",INDEX('Final Calculation Sheet'!$AG$4:$AG$40,$BJ31-3)),IF(OR($BI31=1,$BL31=1,$BH31&gt;0),"–",""))</f>
        <v/>
      </c>
      <c r="AH28">
        <f>IF($BJ31&gt;0,IF(INDEX('Final Calculation Sheet'!$AH$4:$AH$40,$BJ31-3)="","",INDEX('Final Calculation Sheet'!$AH$4:$AH$40,$BJ31-3)),IF(OR($BI31=1,$BL31=1,$BH31&gt;0),"–",""))</f>
        <v/>
      </c>
      <c r="AI28">
        <f>IF($BJ31&gt;0,IF(INDEX('Final Calculation Sheet'!$AD$4:$AD$40,$BJ31-3)="","",IF(INDEX('Final Calculation Sheet'!$AD$4:$AD$40,$BJ31-3)&lt;=5,"SETTLED","OUTSTANDING")),IF(OR($BI31=1,$BL31=1,$BH31&gt;0),IF(IF($BI31=1,SUM('Final Calculation Sheet'!$AD$4:$AD$40),IF($BL31=1,SUM('Final Calculation Sheet'!$AD$4:$AD$40)-SUMIFS('Final Calculation Sheet'!$AD$4:$AD$40,$AZ$5:$AZ$41,10),SUMIFS('Final Calculation Sheet'!$AD$4:$AD$40,$AZ$5:$AZ$41,$BH31)))&lt;=5,"ALL SETTLED","OUTSTANDING"),""))</f>
        <v/>
      </c>
    </row>
    <row r="29">
      <c r="A29">
        <f>IF($BJ32&gt;0,INDEX($BA$5:$BA$41,MATCH(32,$BB$5:$BB$41,0)),IF(OR($BI32=1,$BL32=1,$BH32&gt;0),"∑",""))</f>
        <v/>
      </c>
      <c r="B29">
        <f>IF($BJ32&gt;0,IF(INDEX('Final Calculation Sheet'!$F$4:$F$40,$BJ32-3)="","",INDEX('Final Calculation Sheet'!$F$4:$F$40,$BJ32-3)),"")</f>
        <v/>
      </c>
      <c r="C29">
        <f>IF($BJ32&gt;0,IF(INDEX('Final Calculation Sheet'!$G$4:$G$40,$BJ32-3)="","",INDEX('Final Calculation Sheet'!$G$4:$G$40,$BJ32-3)),IF(OR($BI32=1,$BL32=1,$BH32&gt;0),IF($BI32=1,37,IF($BL32=1,37-INDEX($BD$4:$BD$13,10),INDEX($BD$4:$BD$13,$BH32)))&amp;" lot(s)",""))</f>
        <v/>
      </c>
      <c r="D29">
        <f>IF($BJ32&gt;0,IF(INDEX('Final Calculation Sheet'!$B$4:$B$40,$BJ32-3)="","",INDEX('Final Calculation Sheet'!$B$4:$B$40,$BJ32-3)),IF(OR($BI32=1,$BL32=1,$BH32&gt;0),IF($BI32=1,"GRAND TOTAL  —  matching + remaining",IF($BL32=1,"TOTAL MATCHED  —  every group together",IF($BH32=10,"REMAINING  —  did not match the search",IF($BH32=9,IF(COUNTIF($A$4:$AI$4,"&lt;&gt;")&gt;0,"FILTERED LOTS  —  column fields","ALL LOTS  —  nothing typed in the box"),"GROUP "&amp;$BH32&amp;" TOTAL  —  lots matching  "&amp;INDEX($AR$6:$AY$6,$BH32))))),""))</f>
        <v/>
      </c>
      <c r="E29">
        <f>IF($BJ32&gt;0,IF(INDEX('Final Calculation Sheet'!$D$4:$D$40,$BJ32-3)="","",INDEX('Final Calculation Sheet'!$D$4:$D$40,$BJ32-3)),IF(OR($BI32=1,$BL32=1,$BH32&gt;0),"–",""))</f>
        <v/>
      </c>
      <c r="F29">
        <f>IF($BJ32&gt;0,IF(INDEX('Final Calculation Sheet'!$A$4:$A$40,$BJ32-3)="","",INDEX('Final Calculation Sheet'!$A$4:$A$40,$BJ32-3)),IF(OR($BI32=1,$BL32=1,$BH32&gt;0),IF($BI32=1,SUM('Final Calculation Sheet'!$A$4:$A$40),IF($BL32=1,SUM('Final Calculation Sheet'!$A$4:$A$40)-SUMIFS('Final Calculation Sheet'!$A$4:$A$40,$AZ$5:$AZ$41,10),SUMIFS('Final Calculation Sheet'!$A$4:$A$40,$AZ$5:$AZ$41,$BH32))),""))</f>
        <v/>
      </c>
      <c r="G29">
        <f>IF($BJ32&gt;0,IF(INDEX('Final Calculation Sheet'!$E$4:$E$40,$BJ32-3)="","",INDEX('Final Calculation Sheet'!$E$4:$E$40,$BJ32-3)),IF(OR($BI32=1,$BL32=1,$BH32&gt;0),"–",""))</f>
        <v/>
      </c>
      <c r="H29">
        <f>IF($BJ32&gt;0,IF(INDEX('Final Calculation Sheet'!$C$4:$C$40,$BJ32-3)="","",INDEX('Final Calculation Sheet'!$C$4:$C$40,$BJ32-3)),IF(OR($BI32=1,$BL32=1,$BH32&gt;0),"–",""))</f>
        <v/>
      </c>
      <c r="I29">
        <f>IF($BJ32&gt;0,IF(INDEX('Final Calculation Sheet'!$H$4:$H$40,$BJ32-3)="","",INDEX('Final Calculation Sheet'!$H$4:$H$40,$BJ32-3)),IF(OR($BI32=1,$BL32=1,$BH32&gt;0),IF($BI32=1,SUM('Final Calculation Sheet'!$H$4:$H$40),IF($BL32=1,SUM('Final Calculation Sheet'!$H$4:$H$40)-SUMIFS('Final Calculation Sheet'!$H$4:$H$40,$AZ$5:$AZ$41,10),SUMIFS('Final Calculation Sheet'!$H$4:$H$40,$AZ$5:$AZ$41,$BH32))),""))</f>
        <v/>
      </c>
      <c r="J29">
        <f>IF($BJ32&gt;0,IF(INDEX('Final Calculation Sheet'!$I$4:$I$40,$BJ32-3)="","",INDEX('Final Calculation Sheet'!$I$4:$I$40,$BJ32-3)),IF(OR($BI32=1,$BL32=1,$BH32&gt;0),IF($BI32=1,SUM('Final Calculation Sheet'!$I$4:$I$40),IF($BL32=1,SUM('Final Calculation Sheet'!$I$4:$I$40)-SUMIFS('Final Calculation Sheet'!$I$4:$I$40,$AZ$5:$AZ$41,10),SUMIFS('Final Calculation Sheet'!$I$4:$I$40,$AZ$5:$AZ$41,$BH32))),""))</f>
        <v/>
      </c>
      <c r="K29">
        <f>IF($BJ32&gt;0,IF(INDEX('Final Calculation Sheet'!$J$4:$J$40,$BJ32-3)="","",INDEX('Final Calculation Sheet'!$J$4:$J$40,$BJ32-3)),IF(OR($BI32=1,$BL32=1,$BH32&gt;0),IF($BI32=1,SUM('Final Calculation Sheet'!$J$4:$J$40),IF($BL32=1,SUM('Final Calculation Sheet'!$J$4:$J$40)-SUMIFS('Final Calculation Sheet'!$J$4:$J$40,$AZ$5:$AZ$41,10),SUMIFS('Final Calculation Sheet'!$J$4:$J$40,$AZ$5:$AZ$41,$BH32))),""))</f>
        <v/>
      </c>
      <c r="L29">
        <f>IF($BJ32&gt;0,IF(INDEX('Final Calculation Sheet'!$K$4:$K$40,$BJ32-3)="","",INDEX('Final Calculation Sheet'!$K$4:$K$40,$BJ32-3)),IF(OR($BI32=1,$BL32=1,$BH32&gt;0),IF($BI32=1,SUM('Final Calculation Sheet'!$K$4:$K$40),IF($BL32=1,SUM('Final Calculation Sheet'!$K$4:$K$40)-SUMIFS('Final Calculation Sheet'!$K$4:$K$40,$AZ$5:$AZ$41,10),SUMIFS('Final Calculation Sheet'!$K$4:$K$40,$AZ$5:$AZ$41,$BH32))),""))</f>
        <v/>
      </c>
      <c r="M29">
        <f>IF($BJ32&gt;0,IF(INDEX('Final Calculation Sheet'!$L$4:$L$40,$BJ32-3)="","",INDEX('Final Calculation Sheet'!$L$4:$L$40,$BJ32-3)),IF(OR($BI32=1,$BL32=1,$BH32&gt;0),IF($BI32=1,SUM('Final Calculation Sheet'!$L$4:$L$40),IF($BL32=1,SUM('Final Calculation Sheet'!$L$4:$L$40)-SUMIFS('Final Calculation Sheet'!$L$4:$L$40,$AZ$5:$AZ$41,10),SUMIFS('Final Calculation Sheet'!$L$4:$L$40,$AZ$5:$AZ$41,$BH32))),""))</f>
        <v/>
      </c>
      <c r="N29">
        <f>IF($BJ32&gt;0,IF(INDEX('Final Calculation Sheet'!$M$4:$M$40,$BJ32-3)="","",INDEX('Final Calculation Sheet'!$M$4:$M$40,$BJ32-3)),IF(OR($BI32=1,$BL32=1,$BH32&gt;0),IF($BI32=1,SUM('Final Calculation Sheet'!$M$4:$M$40),IF($BL32=1,SUM('Final Calculation Sheet'!$M$4:$M$40)-SUMIFS('Final Calculation Sheet'!$M$4:$M$40,$AZ$5:$AZ$41,10),SUMIFS('Final Calculation Sheet'!$M$4:$M$40,$AZ$5:$AZ$41,$BH32))),""))</f>
        <v/>
      </c>
      <c r="O29">
        <f>IF($BJ32&gt;0,IF(INDEX('Final Calculation Sheet'!$N$4:$N$40,$BJ32-3)="","",INDEX('Final Calculation Sheet'!$N$4:$N$40,$BJ32-3)),IF(OR($BI32=1,$BL32=1,$BH32&gt;0),IF($BI32=1,SUM('Final Calculation Sheet'!$N$4:$N$40),IF($BL32=1,SUM('Final Calculation Sheet'!$N$4:$N$40)-SUMIFS('Final Calculation Sheet'!$N$4:$N$40,$AZ$5:$AZ$41,10),SUMIFS('Final Calculation Sheet'!$N$4:$N$40,$AZ$5:$AZ$41,$BH32))),""))</f>
        <v/>
      </c>
      <c r="P29">
        <f>IF($BJ32&gt;0,IF(INDEX('Final Calculation Sheet'!$O$4:$O$40,$BJ32-3)="","",INDEX('Final Calculation Sheet'!$O$4:$O$40,$BJ32-3)),IF(OR($BI32=1,$BL32=1,$BH32&gt;0),IF($BI32=1,SUM('Final Calculation Sheet'!$O$4:$O$40),IF($BL32=1,SUM('Final Calculation Sheet'!$O$4:$O$40)-SUMIFS('Final Calculation Sheet'!$O$4:$O$40,$AZ$5:$AZ$41,10),SUMIFS('Final Calculation Sheet'!$O$4:$O$40,$AZ$5:$AZ$41,$BH32))),""))</f>
        <v/>
      </c>
      <c r="Q29">
        <f>IF($BJ32&gt;0,IF(INDEX('Final Calculation Sheet'!$P$4:$P$40,$BJ32-3)="","",INDEX('Final Calculation Sheet'!$P$4:$P$40,$BJ32-3)),IF(OR($BI32=1,$BL32=1,$BH32&gt;0),IF($BI32=1,SUM('Final Calculation Sheet'!$P$4:$P$40),IF($BL32=1,SUM('Final Calculation Sheet'!$P$4:$P$40)-SUMIFS('Final Calculation Sheet'!$P$4:$P$40,$AZ$5:$AZ$41,10),SUMIFS('Final Calculation Sheet'!$P$4:$P$40,$AZ$5:$AZ$41,$BH32))),""))</f>
        <v/>
      </c>
      <c r="R29">
        <f>IF($BJ32&gt;0,IF(INDEX('Final Calculation Sheet'!$Q$4:$Q$40,$BJ32-3)="","",INDEX('Final Calculation Sheet'!$Q$4:$Q$40,$BJ32-3)),IF(OR($BI32=1,$BL32=1,$BH32&gt;0),"–",""))</f>
        <v/>
      </c>
      <c r="S29">
        <f>IF($BJ32&gt;0,IF(INDEX('Final Calculation Sheet'!$R$4:$R$40,$BJ32-3)="","",INDEX('Final Calculation Sheet'!$R$4:$R$40,$BJ32-3)),IF(OR($BI32=1,$BL32=1,$BH32&gt;0),IF($BI32=1,SUM('Final Calculation Sheet'!$R$4:$R$40),IF($BL32=1,SUM('Final Calculation Sheet'!$R$4:$R$40)-SUMIFS('Final Calculation Sheet'!$R$4:$R$40,$AZ$5:$AZ$41,10),SUMIFS('Final Calculation Sheet'!$R$4:$R$40,$AZ$5:$AZ$41,$BH32))),""))</f>
        <v/>
      </c>
      <c r="T29">
        <f>IF($BJ32&gt;0,IF(INDEX('Final Calculation Sheet'!$S$4:$S$40,$BJ32-3)="","",INDEX('Final Calculation Sheet'!$S$4:$S$40,$BJ32-3)),IF(OR($BI32=1,$BL32=1,$BH32&gt;0),IF($BI32=1,SUM('Final Calculation Sheet'!$S$4:$S$40),IF($BL32=1,SUM('Final Calculation Sheet'!$S$4:$S$40)-SUMIFS('Final Calculation Sheet'!$S$4:$S$40,$AZ$5:$AZ$41,10),SUMIFS('Final Calculation Sheet'!$S$4:$S$40,$AZ$5:$AZ$41,$BH32))),""))</f>
        <v/>
      </c>
      <c r="U29">
        <f>IF($BJ32&gt;0,IF(INDEX('Final Calculation Sheet'!$T$4:$T$40,$BJ32-3)="","",INDEX('Final Calculation Sheet'!$T$4:$T$40,$BJ32-3)),IF(OR($BI32=1,$BL32=1,$BH32&gt;0),IF($BI32=1,SUM('Final Calculation Sheet'!$T$4:$T$40),IF($BL32=1,SUM('Final Calculation Sheet'!$T$4:$T$40)-SUMIFS('Final Calculation Sheet'!$T$4:$T$40,$AZ$5:$AZ$41,10),SUMIFS('Final Calculation Sheet'!$T$4:$T$40,$AZ$5:$AZ$41,$BH32))),""))</f>
        <v/>
      </c>
      <c r="V29">
        <f>IF($BJ32&gt;0,IF(INDEX('Final Calculation Sheet'!$U$4:$U$40,$BJ32-3)="","",INDEX('Final Calculation Sheet'!$U$4:$U$40,$BJ32-3)),IF(OR($BI32=1,$BL32=1,$BH32&gt;0),IF($BI32=1,SUM('Final Calculation Sheet'!$U$4:$U$40),IF($BL32=1,SUM('Final Calculation Sheet'!$U$4:$U$40)-SUMIFS('Final Calculation Sheet'!$U$4:$U$40,$AZ$5:$AZ$41,10),SUMIFS('Final Calculation Sheet'!$U$4:$U$40,$AZ$5:$AZ$41,$BH32))),""))</f>
        <v/>
      </c>
      <c r="W29">
        <f>IF($BJ32&gt;0,IF(INDEX('Final Calculation Sheet'!$V$4:$V$40,$BJ32-3)="","",INDEX('Final Calculation Sheet'!$V$4:$V$40,$BJ32-3)),IF(OR($BI32=1,$BL32=1,$BH32&gt;0),"–",""))</f>
        <v/>
      </c>
      <c r="X29">
        <f>IF($BJ32&gt;0,IF(INDEX('Final Calculation Sheet'!$W$4:$W$40,$BJ32-3)="","",INDEX('Final Calculation Sheet'!$W$4:$W$40,$BJ32-3)),IF(OR($BI32=1,$BL32=1,$BH32&gt;0),IF($BI32=1,SUM('Final Calculation Sheet'!$W$4:$W$40),IF($BL32=1,SUM('Final Calculation Sheet'!$W$4:$W$40)-SUMIFS('Final Calculation Sheet'!$W$4:$W$40,$AZ$5:$AZ$41,10),SUMIFS('Final Calculation Sheet'!$W$4:$W$40,$AZ$5:$AZ$41,$BH32))),""))</f>
        <v/>
      </c>
      <c r="Y29">
        <f>IF($BJ32&gt;0,IF(INDEX('Final Calculation Sheet'!$X$4:$X$40,$BJ32-3)="","",INDEX('Final Calculation Sheet'!$X$4:$X$40,$BJ32-3)),IF(OR($BI32=1,$BL32=1,$BH32&gt;0),IF($BI32=1,SUM('Final Calculation Sheet'!$X$4:$X$40),IF($BL32=1,SUM('Final Calculation Sheet'!$X$4:$X$40)-SUMIFS('Final Calculation Sheet'!$X$4:$X$40,$AZ$5:$AZ$41,10),SUMIFS('Final Calculation Sheet'!$X$4:$X$40,$AZ$5:$AZ$41,$BH32))),""))</f>
        <v/>
      </c>
      <c r="Z29">
        <f>IF($BJ32&gt;0,IF(INDEX('Final Calculation Sheet'!$Y$4:$Y$40,$BJ32-3)="","",INDEX('Final Calculation Sheet'!$Y$4:$Y$40,$BJ32-3)),IF(OR($BI32=1,$BL32=1,$BH32&gt;0),"–",""))</f>
        <v/>
      </c>
      <c r="AA29">
        <f>IF($BJ32&gt;0,IF(INDEX('Final Calculation Sheet'!$Z$4:$Z$40,$BJ32-3)="","",INDEX('Final Calculation Sheet'!$Z$4:$Z$40,$BJ32-3)),IF(OR($BI32=1,$BL32=1,$BH32&gt;0),IF($BI32=1,SUM('Final Calculation Sheet'!$Z$4:$Z$40),IF($BL32=1,SUM('Final Calculation Sheet'!$Z$4:$Z$40)-SUMIFS('Final Calculation Sheet'!$Z$4:$Z$40,$AZ$5:$AZ$41,10),SUMIFS('Final Calculation Sheet'!$Z$4:$Z$40,$AZ$5:$AZ$41,$BH32))),""))</f>
        <v/>
      </c>
      <c r="AB29">
        <f>IF($BJ32&gt;0,IF(INDEX('Final Calculation Sheet'!$AA$4:$AA$40,$BJ32-3)="","",INDEX('Final Calculation Sheet'!$AA$4:$AA$40,$BJ32-3)),IF(OR($BI32=1,$BL32=1,$BH32&gt;0),IF($BI32=1,SUM('Final Calculation Sheet'!$AA$4:$AA$40),IF($BL32=1,SUM('Final Calculation Sheet'!$AA$4:$AA$40)-SUMIFS('Final Calculation Sheet'!$AA$4:$AA$40,$AZ$5:$AZ$41,10),SUMIFS('Final Calculation Sheet'!$AA$4:$AA$40,$AZ$5:$AZ$41,$BH32))),""))</f>
        <v/>
      </c>
      <c r="AC29">
        <f>IF($BJ32&gt;0,IF(INDEX('Final Calculation Sheet'!$AB$4:$AB$40,$BJ32-3)="","",INDEX('Final Calculation Sheet'!$AB$4:$AB$40,$BJ32-3)),IF(OR($BI32=1,$BL32=1,$BH32&gt;0),"–",""))</f>
        <v/>
      </c>
      <c r="AD29">
        <f>IF($BJ32&gt;0,IF(INDEX('Final Calculation Sheet'!$AC$4:$AC$40,$BJ32-3)="","",INDEX('Final Calculation Sheet'!$AC$4:$AC$40,$BJ32-3)),IF(OR($BI32=1,$BL32=1,$BH32&gt;0),IF($BI32=1,SUM('Final Calculation Sheet'!$AC$4:$AC$40),IF($BL32=1,SUM('Final Calculation Sheet'!$AC$4:$AC$40)-SUMIFS('Final Calculation Sheet'!$AC$4:$AC$40,$AZ$5:$AZ$41,10),SUMIFS('Final Calculation Sheet'!$AC$4:$AC$40,$AZ$5:$AZ$41,$BH32))),""))</f>
        <v/>
      </c>
      <c r="AE29">
        <f>IF($BJ32&gt;0,IF(INDEX('Final Calculation Sheet'!$AD$4:$AD$40,$BJ32-3)="","",INDEX('Final Calculation Sheet'!$AD$4:$AD$40,$BJ32-3)),IF(OR($BI32=1,$BL32=1,$BH32&gt;0),IF($BI32=1,SUM('Final Calculation Sheet'!$AD$4:$AD$40),IF($BL32=1,SUM('Final Calculation Sheet'!$AD$4:$AD$40)-SUMIFS('Final Calculation Sheet'!$AD$4:$AD$40,$AZ$5:$AZ$41,10),SUMIFS('Final Calculation Sheet'!$AD$4:$AD$40,$AZ$5:$AZ$41,$BH32))),""))</f>
        <v/>
      </c>
      <c r="AF29">
        <f>IF($BJ32&gt;0,IF(INDEX('Final Calculation Sheet'!$AF$4:$AF$40,$BJ32-3)="","",INDEX('Final Calculation Sheet'!$AF$4:$AF$40,$BJ32-3)),IF(OR($BI32=1,$BL32=1,$BH32&gt;0),"–",""))</f>
        <v/>
      </c>
      <c r="AG29">
        <f>IF($BJ32&gt;0,IF(INDEX('Final Calculation Sheet'!$AG$4:$AG$40,$BJ32-3)="","",INDEX('Final Calculation Sheet'!$AG$4:$AG$40,$BJ32-3)),IF(OR($BI32=1,$BL32=1,$BH32&gt;0),"–",""))</f>
        <v/>
      </c>
      <c r="AH29">
        <f>IF($BJ32&gt;0,IF(INDEX('Final Calculation Sheet'!$AH$4:$AH$40,$BJ32-3)="","",INDEX('Final Calculation Sheet'!$AH$4:$AH$40,$BJ32-3)),IF(OR($BI32=1,$BL32=1,$BH32&gt;0),"–",""))</f>
        <v/>
      </c>
      <c r="AI29">
        <f>IF($BJ32&gt;0,IF(INDEX('Final Calculation Sheet'!$AD$4:$AD$40,$BJ32-3)="","",IF(INDEX('Final Calculation Sheet'!$AD$4:$AD$40,$BJ32-3)&lt;=5,"SETTLED","OUTSTANDING")),IF(OR($BI32=1,$BL32=1,$BH32&gt;0),IF(IF($BI32=1,SUM('Final Calculation Sheet'!$AD$4:$AD$40),IF($BL32=1,SUM('Final Calculation Sheet'!$AD$4:$AD$40)-SUMIFS('Final Calculation Sheet'!$AD$4:$AD$40,$AZ$5:$AZ$41,10),SUMIFS('Final Calculation Sheet'!$AD$4:$AD$40,$AZ$5:$AZ$41,$BH32)))&lt;=5,"ALL SETTLED","OUTSTANDING"),""))</f>
        <v/>
      </c>
    </row>
    <row r="30">
      <c r="A30">
        <f>IF($BJ33&gt;0,INDEX($BA$5:$BA$41,MATCH(33,$BB$5:$BB$41,0)),IF(OR($BI33=1,$BL33=1,$BH33&gt;0),"∑",""))</f>
        <v/>
      </c>
      <c r="B30">
        <f>IF($BJ33&gt;0,IF(INDEX('Final Calculation Sheet'!$F$4:$F$40,$BJ33-3)="","",INDEX('Final Calculation Sheet'!$F$4:$F$40,$BJ33-3)),"")</f>
        <v/>
      </c>
      <c r="C30">
        <f>IF($BJ33&gt;0,IF(INDEX('Final Calculation Sheet'!$G$4:$G$40,$BJ33-3)="","",INDEX('Final Calculation Sheet'!$G$4:$G$40,$BJ33-3)),IF(OR($BI33=1,$BL33=1,$BH33&gt;0),IF($BI33=1,37,IF($BL33=1,37-INDEX($BD$4:$BD$13,10),INDEX($BD$4:$BD$13,$BH33)))&amp;" lot(s)",""))</f>
        <v/>
      </c>
      <c r="D30">
        <f>IF($BJ33&gt;0,IF(INDEX('Final Calculation Sheet'!$B$4:$B$40,$BJ33-3)="","",INDEX('Final Calculation Sheet'!$B$4:$B$40,$BJ33-3)),IF(OR($BI33=1,$BL33=1,$BH33&gt;0),IF($BI33=1,"GRAND TOTAL  —  matching + remaining",IF($BL33=1,"TOTAL MATCHED  —  every group together",IF($BH33=10,"REMAINING  —  did not match the search",IF($BH33=9,IF(COUNTIF($A$4:$AI$4,"&lt;&gt;")&gt;0,"FILTERED LOTS  —  column fields","ALL LOTS  —  nothing typed in the box"),"GROUP "&amp;$BH33&amp;" TOTAL  —  lots matching  "&amp;INDEX($AR$6:$AY$6,$BH33))))),""))</f>
        <v/>
      </c>
      <c r="E30">
        <f>IF($BJ33&gt;0,IF(INDEX('Final Calculation Sheet'!$D$4:$D$40,$BJ33-3)="","",INDEX('Final Calculation Sheet'!$D$4:$D$40,$BJ33-3)),IF(OR($BI33=1,$BL33=1,$BH33&gt;0),"–",""))</f>
        <v/>
      </c>
      <c r="F30">
        <f>IF($BJ33&gt;0,IF(INDEX('Final Calculation Sheet'!$A$4:$A$40,$BJ33-3)="","",INDEX('Final Calculation Sheet'!$A$4:$A$40,$BJ33-3)),IF(OR($BI33=1,$BL33=1,$BH33&gt;0),IF($BI33=1,SUM('Final Calculation Sheet'!$A$4:$A$40),IF($BL33=1,SUM('Final Calculation Sheet'!$A$4:$A$40)-SUMIFS('Final Calculation Sheet'!$A$4:$A$40,$AZ$5:$AZ$41,10),SUMIFS('Final Calculation Sheet'!$A$4:$A$40,$AZ$5:$AZ$41,$BH33))),""))</f>
        <v/>
      </c>
      <c r="G30">
        <f>IF($BJ33&gt;0,IF(INDEX('Final Calculation Sheet'!$E$4:$E$40,$BJ33-3)="","",INDEX('Final Calculation Sheet'!$E$4:$E$40,$BJ33-3)),IF(OR($BI33=1,$BL33=1,$BH33&gt;0),"–",""))</f>
        <v/>
      </c>
      <c r="H30">
        <f>IF($BJ33&gt;0,IF(INDEX('Final Calculation Sheet'!$C$4:$C$40,$BJ33-3)="","",INDEX('Final Calculation Sheet'!$C$4:$C$40,$BJ33-3)),IF(OR($BI33=1,$BL33=1,$BH33&gt;0),"–",""))</f>
        <v/>
      </c>
      <c r="I30">
        <f>IF($BJ33&gt;0,IF(INDEX('Final Calculation Sheet'!$H$4:$H$40,$BJ33-3)="","",INDEX('Final Calculation Sheet'!$H$4:$H$40,$BJ33-3)),IF(OR($BI33=1,$BL33=1,$BH33&gt;0),IF($BI33=1,SUM('Final Calculation Sheet'!$H$4:$H$40),IF($BL33=1,SUM('Final Calculation Sheet'!$H$4:$H$40)-SUMIFS('Final Calculation Sheet'!$H$4:$H$40,$AZ$5:$AZ$41,10),SUMIFS('Final Calculation Sheet'!$H$4:$H$40,$AZ$5:$AZ$41,$BH33))),""))</f>
        <v/>
      </c>
      <c r="J30">
        <f>IF($BJ33&gt;0,IF(INDEX('Final Calculation Sheet'!$I$4:$I$40,$BJ33-3)="","",INDEX('Final Calculation Sheet'!$I$4:$I$40,$BJ33-3)),IF(OR($BI33=1,$BL33=1,$BH33&gt;0),IF($BI33=1,SUM('Final Calculation Sheet'!$I$4:$I$40),IF($BL33=1,SUM('Final Calculation Sheet'!$I$4:$I$40)-SUMIFS('Final Calculation Sheet'!$I$4:$I$40,$AZ$5:$AZ$41,10),SUMIFS('Final Calculation Sheet'!$I$4:$I$40,$AZ$5:$AZ$41,$BH33))),""))</f>
        <v/>
      </c>
      <c r="K30">
        <f>IF($BJ33&gt;0,IF(INDEX('Final Calculation Sheet'!$J$4:$J$40,$BJ33-3)="","",INDEX('Final Calculation Sheet'!$J$4:$J$40,$BJ33-3)),IF(OR($BI33=1,$BL33=1,$BH33&gt;0),IF($BI33=1,SUM('Final Calculation Sheet'!$J$4:$J$40),IF($BL33=1,SUM('Final Calculation Sheet'!$J$4:$J$40)-SUMIFS('Final Calculation Sheet'!$J$4:$J$40,$AZ$5:$AZ$41,10),SUMIFS('Final Calculation Sheet'!$J$4:$J$40,$AZ$5:$AZ$41,$BH33))),""))</f>
        <v/>
      </c>
      <c r="L30">
        <f>IF($BJ33&gt;0,IF(INDEX('Final Calculation Sheet'!$K$4:$K$40,$BJ33-3)="","",INDEX('Final Calculation Sheet'!$K$4:$K$40,$BJ33-3)),IF(OR($BI33=1,$BL33=1,$BH33&gt;0),IF($BI33=1,SUM('Final Calculation Sheet'!$K$4:$K$40),IF($BL33=1,SUM('Final Calculation Sheet'!$K$4:$K$40)-SUMIFS('Final Calculation Sheet'!$K$4:$K$40,$AZ$5:$AZ$41,10),SUMIFS('Final Calculation Sheet'!$K$4:$K$40,$AZ$5:$AZ$41,$BH33))),""))</f>
        <v/>
      </c>
      <c r="M30">
        <f>IF($BJ33&gt;0,IF(INDEX('Final Calculation Sheet'!$L$4:$L$40,$BJ33-3)="","",INDEX('Final Calculation Sheet'!$L$4:$L$40,$BJ33-3)),IF(OR($BI33=1,$BL33=1,$BH33&gt;0),IF($BI33=1,SUM('Final Calculation Sheet'!$L$4:$L$40),IF($BL33=1,SUM('Final Calculation Sheet'!$L$4:$L$40)-SUMIFS('Final Calculation Sheet'!$L$4:$L$40,$AZ$5:$AZ$41,10),SUMIFS('Final Calculation Sheet'!$L$4:$L$40,$AZ$5:$AZ$41,$BH33))),""))</f>
        <v/>
      </c>
      <c r="N30">
        <f>IF($BJ33&gt;0,IF(INDEX('Final Calculation Sheet'!$M$4:$M$40,$BJ33-3)="","",INDEX('Final Calculation Sheet'!$M$4:$M$40,$BJ33-3)),IF(OR($BI33=1,$BL33=1,$BH33&gt;0),IF($BI33=1,SUM('Final Calculation Sheet'!$M$4:$M$40),IF($BL33=1,SUM('Final Calculation Sheet'!$M$4:$M$40)-SUMIFS('Final Calculation Sheet'!$M$4:$M$40,$AZ$5:$AZ$41,10),SUMIFS('Final Calculation Sheet'!$M$4:$M$40,$AZ$5:$AZ$41,$BH33))),""))</f>
        <v/>
      </c>
      <c r="O30">
        <f>IF($BJ33&gt;0,IF(INDEX('Final Calculation Sheet'!$N$4:$N$40,$BJ33-3)="","",INDEX('Final Calculation Sheet'!$N$4:$N$40,$BJ33-3)),IF(OR($BI33=1,$BL33=1,$BH33&gt;0),IF($BI33=1,SUM('Final Calculation Sheet'!$N$4:$N$40),IF($BL33=1,SUM('Final Calculation Sheet'!$N$4:$N$40)-SUMIFS('Final Calculation Sheet'!$N$4:$N$40,$AZ$5:$AZ$41,10),SUMIFS('Final Calculation Sheet'!$N$4:$N$40,$AZ$5:$AZ$41,$BH33))),""))</f>
        <v/>
      </c>
      <c r="P30">
        <f>IF($BJ33&gt;0,IF(INDEX('Final Calculation Sheet'!$O$4:$O$40,$BJ33-3)="","",INDEX('Final Calculation Sheet'!$O$4:$O$40,$BJ33-3)),IF(OR($BI33=1,$BL33=1,$BH33&gt;0),IF($BI33=1,SUM('Final Calculation Sheet'!$O$4:$O$40),IF($BL33=1,SUM('Final Calculation Sheet'!$O$4:$O$40)-SUMIFS('Final Calculation Sheet'!$O$4:$O$40,$AZ$5:$AZ$41,10),SUMIFS('Final Calculation Sheet'!$O$4:$O$40,$AZ$5:$AZ$41,$BH33))),""))</f>
        <v/>
      </c>
      <c r="Q30">
        <f>IF($BJ33&gt;0,IF(INDEX('Final Calculation Sheet'!$P$4:$P$40,$BJ33-3)="","",INDEX('Final Calculation Sheet'!$P$4:$P$40,$BJ33-3)),IF(OR($BI33=1,$BL33=1,$BH33&gt;0),IF($BI33=1,SUM('Final Calculation Sheet'!$P$4:$P$40),IF($BL33=1,SUM('Final Calculation Sheet'!$P$4:$P$40)-SUMIFS('Final Calculation Sheet'!$P$4:$P$40,$AZ$5:$AZ$41,10),SUMIFS('Final Calculation Sheet'!$P$4:$P$40,$AZ$5:$AZ$41,$BH33))),""))</f>
        <v/>
      </c>
      <c r="R30">
        <f>IF($BJ33&gt;0,IF(INDEX('Final Calculation Sheet'!$Q$4:$Q$40,$BJ33-3)="","",INDEX('Final Calculation Sheet'!$Q$4:$Q$40,$BJ33-3)),IF(OR($BI33=1,$BL33=1,$BH33&gt;0),"–",""))</f>
        <v/>
      </c>
      <c r="S30">
        <f>IF($BJ33&gt;0,IF(INDEX('Final Calculation Sheet'!$R$4:$R$40,$BJ33-3)="","",INDEX('Final Calculation Sheet'!$R$4:$R$40,$BJ33-3)),IF(OR($BI33=1,$BL33=1,$BH33&gt;0),IF($BI33=1,SUM('Final Calculation Sheet'!$R$4:$R$40),IF($BL33=1,SUM('Final Calculation Sheet'!$R$4:$R$40)-SUMIFS('Final Calculation Sheet'!$R$4:$R$40,$AZ$5:$AZ$41,10),SUMIFS('Final Calculation Sheet'!$R$4:$R$40,$AZ$5:$AZ$41,$BH33))),""))</f>
        <v/>
      </c>
      <c r="T30">
        <f>IF($BJ33&gt;0,IF(INDEX('Final Calculation Sheet'!$S$4:$S$40,$BJ33-3)="","",INDEX('Final Calculation Sheet'!$S$4:$S$40,$BJ33-3)),IF(OR($BI33=1,$BL33=1,$BH33&gt;0),IF($BI33=1,SUM('Final Calculation Sheet'!$S$4:$S$40),IF($BL33=1,SUM('Final Calculation Sheet'!$S$4:$S$40)-SUMIFS('Final Calculation Sheet'!$S$4:$S$40,$AZ$5:$AZ$41,10),SUMIFS('Final Calculation Sheet'!$S$4:$S$40,$AZ$5:$AZ$41,$BH33))),""))</f>
        <v/>
      </c>
      <c r="U30">
        <f>IF($BJ33&gt;0,IF(INDEX('Final Calculation Sheet'!$T$4:$T$40,$BJ33-3)="","",INDEX('Final Calculation Sheet'!$T$4:$T$40,$BJ33-3)),IF(OR($BI33=1,$BL33=1,$BH33&gt;0),IF($BI33=1,SUM('Final Calculation Sheet'!$T$4:$T$40),IF($BL33=1,SUM('Final Calculation Sheet'!$T$4:$T$40)-SUMIFS('Final Calculation Sheet'!$T$4:$T$40,$AZ$5:$AZ$41,10),SUMIFS('Final Calculation Sheet'!$T$4:$T$40,$AZ$5:$AZ$41,$BH33))),""))</f>
        <v/>
      </c>
      <c r="V30">
        <f>IF($BJ33&gt;0,IF(INDEX('Final Calculation Sheet'!$U$4:$U$40,$BJ33-3)="","",INDEX('Final Calculation Sheet'!$U$4:$U$40,$BJ33-3)),IF(OR($BI33=1,$BL33=1,$BH33&gt;0),IF($BI33=1,SUM('Final Calculation Sheet'!$U$4:$U$40),IF($BL33=1,SUM('Final Calculation Sheet'!$U$4:$U$40)-SUMIFS('Final Calculation Sheet'!$U$4:$U$40,$AZ$5:$AZ$41,10),SUMIFS('Final Calculation Sheet'!$U$4:$U$40,$AZ$5:$AZ$41,$BH33))),""))</f>
        <v/>
      </c>
      <c r="W30">
        <f>IF($BJ33&gt;0,IF(INDEX('Final Calculation Sheet'!$V$4:$V$40,$BJ33-3)="","",INDEX('Final Calculation Sheet'!$V$4:$V$40,$BJ33-3)),IF(OR($BI33=1,$BL33=1,$BH33&gt;0),"–",""))</f>
        <v/>
      </c>
      <c r="X30">
        <f>IF($BJ33&gt;0,IF(INDEX('Final Calculation Sheet'!$W$4:$W$40,$BJ33-3)="","",INDEX('Final Calculation Sheet'!$W$4:$W$40,$BJ33-3)),IF(OR($BI33=1,$BL33=1,$BH33&gt;0),IF($BI33=1,SUM('Final Calculation Sheet'!$W$4:$W$40),IF($BL33=1,SUM('Final Calculation Sheet'!$W$4:$W$40)-SUMIFS('Final Calculation Sheet'!$W$4:$W$40,$AZ$5:$AZ$41,10),SUMIFS('Final Calculation Sheet'!$W$4:$W$40,$AZ$5:$AZ$41,$BH33))),""))</f>
        <v/>
      </c>
      <c r="Y30">
        <f>IF($BJ33&gt;0,IF(INDEX('Final Calculation Sheet'!$X$4:$X$40,$BJ33-3)="","",INDEX('Final Calculation Sheet'!$X$4:$X$40,$BJ33-3)),IF(OR($BI33=1,$BL33=1,$BH33&gt;0),IF($BI33=1,SUM('Final Calculation Sheet'!$X$4:$X$40),IF($BL33=1,SUM('Final Calculation Sheet'!$X$4:$X$40)-SUMIFS('Final Calculation Sheet'!$X$4:$X$40,$AZ$5:$AZ$41,10),SUMIFS('Final Calculation Sheet'!$X$4:$X$40,$AZ$5:$AZ$41,$BH33))),""))</f>
        <v/>
      </c>
      <c r="Z30">
        <f>IF($BJ33&gt;0,IF(INDEX('Final Calculation Sheet'!$Y$4:$Y$40,$BJ33-3)="","",INDEX('Final Calculation Sheet'!$Y$4:$Y$40,$BJ33-3)),IF(OR($BI33=1,$BL33=1,$BH33&gt;0),"–",""))</f>
        <v/>
      </c>
      <c r="AA30">
        <f>IF($BJ33&gt;0,IF(INDEX('Final Calculation Sheet'!$Z$4:$Z$40,$BJ33-3)="","",INDEX('Final Calculation Sheet'!$Z$4:$Z$40,$BJ33-3)),IF(OR($BI33=1,$BL33=1,$BH33&gt;0),IF($BI33=1,SUM('Final Calculation Sheet'!$Z$4:$Z$40),IF($BL33=1,SUM('Final Calculation Sheet'!$Z$4:$Z$40)-SUMIFS('Final Calculation Sheet'!$Z$4:$Z$40,$AZ$5:$AZ$41,10),SUMIFS('Final Calculation Sheet'!$Z$4:$Z$40,$AZ$5:$AZ$41,$BH33))),""))</f>
        <v/>
      </c>
      <c r="AB30">
        <f>IF($BJ33&gt;0,IF(INDEX('Final Calculation Sheet'!$AA$4:$AA$40,$BJ33-3)="","",INDEX('Final Calculation Sheet'!$AA$4:$AA$40,$BJ33-3)),IF(OR($BI33=1,$BL33=1,$BH33&gt;0),IF($BI33=1,SUM('Final Calculation Sheet'!$AA$4:$AA$40),IF($BL33=1,SUM('Final Calculation Sheet'!$AA$4:$AA$40)-SUMIFS('Final Calculation Sheet'!$AA$4:$AA$40,$AZ$5:$AZ$41,10),SUMIFS('Final Calculation Sheet'!$AA$4:$AA$40,$AZ$5:$AZ$41,$BH33))),""))</f>
        <v/>
      </c>
      <c r="AC30">
        <f>IF($BJ33&gt;0,IF(INDEX('Final Calculation Sheet'!$AB$4:$AB$40,$BJ33-3)="","",INDEX('Final Calculation Sheet'!$AB$4:$AB$40,$BJ33-3)),IF(OR($BI33=1,$BL33=1,$BH33&gt;0),"–",""))</f>
        <v/>
      </c>
      <c r="AD30">
        <f>IF($BJ33&gt;0,IF(INDEX('Final Calculation Sheet'!$AC$4:$AC$40,$BJ33-3)="","",INDEX('Final Calculation Sheet'!$AC$4:$AC$40,$BJ33-3)),IF(OR($BI33=1,$BL33=1,$BH33&gt;0),IF($BI33=1,SUM('Final Calculation Sheet'!$AC$4:$AC$40),IF($BL33=1,SUM('Final Calculation Sheet'!$AC$4:$AC$40)-SUMIFS('Final Calculation Sheet'!$AC$4:$AC$40,$AZ$5:$AZ$41,10),SUMIFS('Final Calculation Sheet'!$AC$4:$AC$40,$AZ$5:$AZ$41,$BH33))),""))</f>
        <v/>
      </c>
      <c r="AE30">
        <f>IF($BJ33&gt;0,IF(INDEX('Final Calculation Sheet'!$AD$4:$AD$40,$BJ33-3)="","",INDEX('Final Calculation Sheet'!$AD$4:$AD$40,$BJ33-3)),IF(OR($BI33=1,$BL33=1,$BH33&gt;0),IF($BI33=1,SUM('Final Calculation Sheet'!$AD$4:$AD$40),IF($BL33=1,SUM('Final Calculation Sheet'!$AD$4:$AD$40)-SUMIFS('Final Calculation Sheet'!$AD$4:$AD$40,$AZ$5:$AZ$41,10),SUMIFS('Final Calculation Sheet'!$AD$4:$AD$40,$AZ$5:$AZ$41,$BH33))),""))</f>
        <v/>
      </c>
      <c r="AF30">
        <f>IF($BJ33&gt;0,IF(INDEX('Final Calculation Sheet'!$AF$4:$AF$40,$BJ33-3)="","",INDEX('Final Calculation Sheet'!$AF$4:$AF$40,$BJ33-3)),IF(OR($BI33=1,$BL33=1,$BH33&gt;0),"–",""))</f>
        <v/>
      </c>
      <c r="AG30">
        <f>IF($BJ33&gt;0,IF(INDEX('Final Calculation Sheet'!$AG$4:$AG$40,$BJ33-3)="","",INDEX('Final Calculation Sheet'!$AG$4:$AG$40,$BJ33-3)),IF(OR($BI33=1,$BL33=1,$BH33&gt;0),"–",""))</f>
        <v/>
      </c>
      <c r="AH30">
        <f>IF($BJ33&gt;0,IF(INDEX('Final Calculation Sheet'!$AH$4:$AH$40,$BJ33-3)="","",INDEX('Final Calculation Sheet'!$AH$4:$AH$40,$BJ33-3)),IF(OR($BI33=1,$BL33=1,$BH33&gt;0),"–",""))</f>
        <v/>
      </c>
      <c r="AI30">
        <f>IF($BJ33&gt;0,IF(INDEX('Final Calculation Sheet'!$AD$4:$AD$40,$BJ33-3)="","",IF(INDEX('Final Calculation Sheet'!$AD$4:$AD$40,$BJ33-3)&lt;=5,"SETTLED","OUTSTANDING")),IF(OR($BI33=1,$BL33=1,$BH33&gt;0),IF(IF($BI33=1,SUM('Final Calculation Sheet'!$AD$4:$AD$40),IF($BL33=1,SUM('Final Calculation Sheet'!$AD$4:$AD$40)-SUMIFS('Final Calculation Sheet'!$AD$4:$AD$40,$AZ$5:$AZ$41,10),SUMIFS('Final Calculation Sheet'!$AD$4:$AD$40,$AZ$5:$AZ$41,$BH33)))&lt;=5,"ALL SETTLED","OUTSTANDING"),""))</f>
        <v/>
      </c>
    </row>
    <row r="31">
      <c r="A31">
        <f>IF($BJ34&gt;0,INDEX($BA$5:$BA$41,MATCH(34,$BB$5:$BB$41,0)),IF(OR($BI34=1,$BL34=1,$BH34&gt;0),"∑",""))</f>
        <v/>
      </c>
      <c r="B31">
        <f>IF($BJ34&gt;0,IF(INDEX('Final Calculation Sheet'!$F$4:$F$40,$BJ34-3)="","",INDEX('Final Calculation Sheet'!$F$4:$F$40,$BJ34-3)),"")</f>
        <v/>
      </c>
      <c r="C31">
        <f>IF($BJ34&gt;0,IF(INDEX('Final Calculation Sheet'!$G$4:$G$40,$BJ34-3)="","",INDEX('Final Calculation Sheet'!$G$4:$G$40,$BJ34-3)),IF(OR($BI34=1,$BL34=1,$BH34&gt;0),IF($BI34=1,37,IF($BL34=1,37-INDEX($BD$4:$BD$13,10),INDEX($BD$4:$BD$13,$BH34)))&amp;" lot(s)",""))</f>
        <v/>
      </c>
      <c r="D31">
        <f>IF($BJ34&gt;0,IF(INDEX('Final Calculation Sheet'!$B$4:$B$40,$BJ34-3)="","",INDEX('Final Calculation Sheet'!$B$4:$B$40,$BJ34-3)),IF(OR($BI34=1,$BL34=1,$BH34&gt;0),IF($BI34=1,"GRAND TOTAL  —  matching + remaining",IF($BL34=1,"TOTAL MATCHED  —  every group together",IF($BH34=10,"REMAINING  —  did not match the search",IF($BH34=9,IF(COUNTIF($A$4:$AI$4,"&lt;&gt;")&gt;0,"FILTERED LOTS  —  column fields","ALL LOTS  —  nothing typed in the box"),"GROUP "&amp;$BH34&amp;" TOTAL  —  lots matching  "&amp;INDEX($AR$6:$AY$6,$BH34))))),""))</f>
        <v/>
      </c>
      <c r="E31">
        <f>IF($BJ34&gt;0,IF(INDEX('Final Calculation Sheet'!$D$4:$D$40,$BJ34-3)="","",INDEX('Final Calculation Sheet'!$D$4:$D$40,$BJ34-3)),IF(OR($BI34=1,$BL34=1,$BH34&gt;0),"–",""))</f>
        <v/>
      </c>
      <c r="F31">
        <f>IF($BJ34&gt;0,IF(INDEX('Final Calculation Sheet'!$A$4:$A$40,$BJ34-3)="","",INDEX('Final Calculation Sheet'!$A$4:$A$40,$BJ34-3)),IF(OR($BI34=1,$BL34=1,$BH34&gt;0),IF($BI34=1,SUM('Final Calculation Sheet'!$A$4:$A$40),IF($BL34=1,SUM('Final Calculation Sheet'!$A$4:$A$40)-SUMIFS('Final Calculation Sheet'!$A$4:$A$40,$AZ$5:$AZ$41,10),SUMIFS('Final Calculation Sheet'!$A$4:$A$40,$AZ$5:$AZ$41,$BH34))),""))</f>
        <v/>
      </c>
      <c r="G31">
        <f>IF($BJ34&gt;0,IF(INDEX('Final Calculation Sheet'!$E$4:$E$40,$BJ34-3)="","",INDEX('Final Calculation Sheet'!$E$4:$E$40,$BJ34-3)),IF(OR($BI34=1,$BL34=1,$BH34&gt;0),"–",""))</f>
        <v/>
      </c>
      <c r="H31">
        <f>IF($BJ34&gt;0,IF(INDEX('Final Calculation Sheet'!$C$4:$C$40,$BJ34-3)="","",INDEX('Final Calculation Sheet'!$C$4:$C$40,$BJ34-3)),IF(OR($BI34=1,$BL34=1,$BH34&gt;0),"–",""))</f>
        <v/>
      </c>
      <c r="I31">
        <f>IF($BJ34&gt;0,IF(INDEX('Final Calculation Sheet'!$H$4:$H$40,$BJ34-3)="","",INDEX('Final Calculation Sheet'!$H$4:$H$40,$BJ34-3)),IF(OR($BI34=1,$BL34=1,$BH34&gt;0),IF($BI34=1,SUM('Final Calculation Sheet'!$H$4:$H$40),IF($BL34=1,SUM('Final Calculation Sheet'!$H$4:$H$40)-SUMIFS('Final Calculation Sheet'!$H$4:$H$40,$AZ$5:$AZ$41,10),SUMIFS('Final Calculation Sheet'!$H$4:$H$40,$AZ$5:$AZ$41,$BH34))),""))</f>
        <v/>
      </c>
      <c r="J31">
        <f>IF($BJ34&gt;0,IF(INDEX('Final Calculation Sheet'!$I$4:$I$40,$BJ34-3)="","",INDEX('Final Calculation Sheet'!$I$4:$I$40,$BJ34-3)),IF(OR($BI34=1,$BL34=1,$BH34&gt;0),IF($BI34=1,SUM('Final Calculation Sheet'!$I$4:$I$40),IF($BL34=1,SUM('Final Calculation Sheet'!$I$4:$I$40)-SUMIFS('Final Calculation Sheet'!$I$4:$I$40,$AZ$5:$AZ$41,10),SUMIFS('Final Calculation Sheet'!$I$4:$I$40,$AZ$5:$AZ$41,$BH34))),""))</f>
        <v/>
      </c>
      <c r="K31">
        <f>IF($BJ34&gt;0,IF(INDEX('Final Calculation Sheet'!$J$4:$J$40,$BJ34-3)="","",INDEX('Final Calculation Sheet'!$J$4:$J$40,$BJ34-3)),IF(OR($BI34=1,$BL34=1,$BH34&gt;0),IF($BI34=1,SUM('Final Calculation Sheet'!$J$4:$J$40),IF($BL34=1,SUM('Final Calculation Sheet'!$J$4:$J$40)-SUMIFS('Final Calculation Sheet'!$J$4:$J$40,$AZ$5:$AZ$41,10),SUMIFS('Final Calculation Sheet'!$J$4:$J$40,$AZ$5:$AZ$41,$BH34))),""))</f>
        <v/>
      </c>
      <c r="L31">
        <f>IF($BJ34&gt;0,IF(INDEX('Final Calculation Sheet'!$K$4:$K$40,$BJ34-3)="","",INDEX('Final Calculation Sheet'!$K$4:$K$40,$BJ34-3)),IF(OR($BI34=1,$BL34=1,$BH34&gt;0),IF($BI34=1,SUM('Final Calculation Sheet'!$K$4:$K$40),IF($BL34=1,SUM('Final Calculation Sheet'!$K$4:$K$40)-SUMIFS('Final Calculation Sheet'!$K$4:$K$40,$AZ$5:$AZ$41,10),SUMIFS('Final Calculation Sheet'!$K$4:$K$40,$AZ$5:$AZ$41,$BH34))),""))</f>
        <v/>
      </c>
      <c r="M31">
        <f>IF($BJ34&gt;0,IF(INDEX('Final Calculation Sheet'!$L$4:$L$40,$BJ34-3)="","",INDEX('Final Calculation Sheet'!$L$4:$L$40,$BJ34-3)),IF(OR($BI34=1,$BL34=1,$BH34&gt;0),IF($BI34=1,SUM('Final Calculation Sheet'!$L$4:$L$40),IF($BL34=1,SUM('Final Calculation Sheet'!$L$4:$L$40)-SUMIFS('Final Calculation Sheet'!$L$4:$L$40,$AZ$5:$AZ$41,10),SUMIFS('Final Calculation Sheet'!$L$4:$L$40,$AZ$5:$AZ$41,$BH34))),""))</f>
        <v/>
      </c>
      <c r="N31">
        <f>IF($BJ34&gt;0,IF(INDEX('Final Calculation Sheet'!$M$4:$M$40,$BJ34-3)="","",INDEX('Final Calculation Sheet'!$M$4:$M$40,$BJ34-3)),IF(OR($BI34=1,$BL34=1,$BH34&gt;0),IF($BI34=1,SUM('Final Calculation Sheet'!$M$4:$M$40),IF($BL34=1,SUM('Final Calculation Sheet'!$M$4:$M$40)-SUMIFS('Final Calculation Sheet'!$M$4:$M$40,$AZ$5:$AZ$41,10),SUMIFS('Final Calculation Sheet'!$M$4:$M$40,$AZ$5:$AZ$41,$BH34))),""))</f>
        <v/>
      </c>
      <c r="O31">
        <f>IF($BJ34&gt;0,IF(INDEX('Final Calculation Sheet'!$N$4:$N$40,$BJ34-3)="","",INDEX('Final Calculation Sheet'!$N$4:$N$40,$BJ34-3)),IF(OR($BI34=1,$BL34=1,$BH34&gt;0),IF($BI34=1,SUM('Final Calculation Sheet'!$N$4:$N$40),IF($BL34=1,SUM('Final Calculation Sheet'!$N$4:$N$40)-SUMIFS('Final Calculation Sheet'!$N$4:$N$40,$AZ$5:$AZ$41,10),SUMIFS('Final Calculation Sheet'!$N$4:$N$40,$AZ$5:$AZ$41,$BH34))),""))</f>
        <v/>
      </c>
      <c r="P31">
        <f>IF($BJ34&gt;0,IF(INDEX('Final Calculation Sheet'!$O$4:$O$40,$BJ34-3)="","",INDEX('Final Calculation Sheet'!$O$4:$O$40,$BJ34-3)),IF(OR($BI34=1,$BL34=1,$BH34&gt;0),IF($BI34=1,SUM('Final Calculation Sheet'!$O$4:$O$40),IF($BL34=1,SUM('Final Calculation Sheet'!$O$4:$O$40)-SUMIFS('Final Calculation Sheet'!$O$4:$O$40,$AZ$5:$AZ$41,10),SUMIFS('Final Calculation Sheet'!$O$4:$O$40,$AZ$5:$AZ$41,$BH34))),""))</f>
        <v/>
      </c>
      <c r="Q31">
        <f>IF($BJ34&gt;0,IF(INDEX('Final Calculation Sheet'!$P$4:$P$40,$BJ34-3)="","",INDEX('Final Calculation Sheet'!$P$4:$P$40,$BJ34-3)),IF(OR($BI34=1,$BL34=1,$BH34&gt;0),IF($BI34=1,SUM('Final Calculation Sheet'!$P$4:$P$40),IF($BL34=1,SUM('Final Calculation Sheet'!$P$4:$P$40)-SUMIFS('Final Calculation Sheet'!$P$4:$P$40,$AZ$5:$AZ$41,10),SUMIFS('Final Calculation Sheet'!$P$4:$P$40,$AZ$5:$AZ$41,$BH34))),""))</f>
        <v/>
      </c>
      <c r="R31">
        <f>IF($BJ34&gt;0,IF(INDEX('Final Calculation Sheet'!$Q$4:$Q$40,$BJ34-3)="","",INDEX('Final Calculation Sheet'!$Q$4:$Q$40,$BJ34-3)),IF(OR($BI34=1,$BL34=1,$BH34&gt;0),"–",""))</f>
        <v/>
      </c>
      <c r="S31">
        <f>IF($BJ34&gt;0,IF(INDEX('Final Calculation Sheet'!$R$4:$R$40,$BJ34-3)="","",INDEX('Final Calculation Sheet'!$R$4:$R$40,$BJ34-3)),IF(OR($BI34=1,$BL34=1,$BH34&gt;0),IF($BI34=1,SUM('Final Calculation Sheet'!$R$4:$R$40),IF($BL34=1,SUM('Final Calculation Sheet'!$R$4:$R$40)-SUMIFS('Final Calculation Sheet'!$R$4:$R$40,$AZ$5:$AZ$41,10),SUMIFS('Final Calculation Sheet'!$R$4:$R$40,$AZ$5:$AZ$41,$BH34))),""))</f>
        <v/>
      </c>
      <c r="T31">
        <f>IF($BJ34&gt;0,IF(INDEX('Final Calculation Sheet'!$S$4:$S$40,$BJ34-3)="","",INDEX('Final Calculation Sheet'!$S$4:$S$40,$BJ34-3)),IF(OR($BI34=1,$BL34=1,$BH34&gt;0),IF($BI34=1,SUM('Final Calculation Sheet'!$S$4:$S$40),IF($BL34=1,SUM('Final Calculation Sheet'!$S$4:$S$40)-SUMIFS('Final Calculation Sheet'!$S$4:$S$40,$AZ$5:$AZ$41,10),SUMIFS('Final Calculation Sheet'!$S$4:$S$40,$AZ$5:$AZ$41,$BH34))),""))</f>
        <v/>
      </c>
      <c r="U31">
        <f>IF($BJ34&gt;0,IF(INDEX('Final Calculation Sheet'!$T$4:$T$40,$BJ34-3)="","",INDEX('Final Calculation Sheet'!$T$4:$T$40,$BJ34-3)),IF(OR($BI34=1,$BL34=1,$BH34&gt;0),IF($BI34=1,SUM('Final Calculation Sheet'!$T$4:$T$40),IF($BL34=1,SUM('Final Calculation Sheet'!$T$4:$T$40)-SUMIFS('Final Calculation Sheet'!$T$4:$T$40,$AZ$5:$AZ$41,10),SUMIFS('Final Calculation Sheet'!$T$4:$T$40,$AZ$5:$AZ$41,$BH34))),""))</f>
        <v/>
      </c>
      <c r="V31">
        <f>IF($BJ34&gt;0,IF(INDEX('Final Calculation Sheet'!$U$4:$U$40,$BJ34-3)="","",INDEX('Final Calculation Sheet'!$U$4:$U$40,$BJ34-3)),IF(OR($BI34=1,$BL34=1,$BH34&gt;0),IF($BI34=1,SUM('Final Calculation Sheet'!$U$4:$U$40),IF($BL34=1,SUM('Final Calculation Sheet'!$U$4:$U$40)-SUMIFS('Final Calculation Sheet'!$U$4:$U$40,$AZ$5:$AZ$41,10),SUMIFS('Final Calculation Sheet'!$U$4:$U$40,$AZ$5:$AZ$41,$BH34))),""))</f>
        <v/>
      </c>
      <c r="W31">
        <f>IF($BJ34&gt;0,IF(INDEX('Final Calculation Sheet'!$V$4:$V$40,$BJ34-3)="","",INDEX('Final Calculation Sheet'!$V$4:$V$40,$BJ34-3)),IF(OR($BI34=1,$BL34=1,$BH34&gt;0),"–",""))</f>
        <v/>
      </c>
      <c r="X31">
        <f>IF($BJ34&gt;0,IF(INDEX('Final Calculation Sheet'!$W$4:$W$40,$BJ34-3)="","",INDEX('Final Calculation Sheet'!$W$4:$W$40,$BJ34-3)),IF(OR($BI34=1,$BL34=1,$BH34&gt;0),IF($BI34=1,SUM('Final Calculation Sheet'!$W$4:$W$40),IF($BL34=1,SUM('Final Calculation Sheet'!$W$4:$W$40)-SUMIFS('Final Calculation Sheet'!$W$4:$W$40,$AZ$5:$AZ$41,10),SUMIFS('Final Calculation Sheet'!$W$4:$W$40,$AZ$5:$AZ$41,$BH34))),""))</f>
        <v/>
      </c>
      <c r="Y31">
        <f>IF($BJ34&gt;0,IF(INDEX('Final Calculation Sheet'!$X$4:$X$40,$BJ34-3)="","",INDEX('Final Calculation Sheet'!$X$4:$X$40,$BJ34-3)),IF(OR($BI34=1,$BL34=1,$BH34&gt;0),IF($BI34=1,SUM('Final Calculation Sheet'!$X$4:$X$40),IF($BL34=1,SUM('Final Calculation Sheet'!$X$4:$X$40)-SUMIFS('Final Calculation Sheet'!$X$4:$X$40,$AZ$5:$AZ$41,10),SUMIFS('Final Calculation Sheet'!$X$4:$X$40,$AZ$5:$AZ$41,$BH34))),""))</f>
        <v/>
      </c>
      <c r="Z31">
        <f>IF($BJ34&gt;0,IF(INDEX('Final Calculation Sheet'!$Y$4:$Y$40,$BJ34-3)="","",INDEX('Final Calculation Sheet'!$Y$4:$Y$40,$BJ34-3)),IF(OR($BI34=1,$BL34=1,$BH34&gt;0),"–",""))</f>
        <v/>
      </c>
      <c r="AA31">
        <f>IF($BJ34&gt;0,IF(INDEX('Final Calculation Sheet'!$Z$4:$Z$40,$BJ34-3)="","",INDEX('Final Calculation Sheet'!$Z$4:$Z$40,$BJ34-3)),IF(OR($BI34=1,$BL34=1,$BH34&gt;0),IF($BI34=1,SUM('Final Calculation Sheet'!$Z$4:$Z$40),IF($BL34=1,SUM('Final Calculation Sheet'!$Z$4:$Z$40)-SUMIFS('Final Calculation Sheet'!$Z$4:$Z$40,$AZ$5:$AZ$41,10),SUMIFS('Final Calculation Sheet'!$Z$4:$Z$40,$AZ$5:$AZ$41,$BH34))),""))</f>
        <v/>
      </c>
      <c r="AB31">
        <f>IF($BJ34&gt;0,IF(INDEX('Final Calculation Sheet'!$AA$4:$AA$40,$BJ34-3)="","",INDEX('Final Calculation Sheet'!$AA$4:$AA$40,$BJ34-3)),IF(OR($BI34=1,$BL34=1,$BH34&gt;0),IF($BI34=1,SUM('Final Calculation Sheet'!$AA$4:$AA$40),IF($BL34=1,SUM('Final Calculation Sheet'!$AA$4:$AA$40)-SUMIFS('Final Calculation Sheet'!$AA$4:$AA$40,$AZ$5:$AZ$41,10),SUMIFS('Final Calculation Sheet'!$AA$4:$AA$40,$AZ$5:$AZ$41,$BH34))),""))</f>
        <v/>
      </c>
      <c r="AC31">
        <f>IF($BJ34&gt;0,IF(INDEX('Final Calculation Sheet'!$AB$4:$AB$40,$BJ34-3)="","",INDEX('Final Calculation Sheet'!$AB$4:$AB$40,$BJ34-3)),IF(OR($BI34=1,$BL34=1,$BH34&gt;0),"–",""))</f>
        <v/>
      </c>
      <c r="AD31">
        <f>IF($BJ34&gt;0,IF(INDEX('Final Calculation Sheet'!$AC$4:$AC$40,$BJ34-3)="","",INDEX('Final Calculation Sheet'!$AC$4:$AC$40,$BJ34-3)),IF(OR($BI34=1,$BL34=1,$BH34&gt;0),IF($BI34=1,SUM('Final Calculation Sheet'!$AC$4:$AC$40),IF($BL34=1,SUM('Final Calculation Sheet'!$AC$4:$AC$40)-SUMIFS('Final Calculation Sheet'!$AC$4:$AC$40,$AZ$5:$AZ$41,10),SUMIFS('Final Calculation Sheet'!$AC$4:$AC$40,$AZ$5:$AZ$41,$BH34))),""))</f>
        <v/>
      </c>
      <c r="AE31">
        <f>IF($BJ34&gt;0,IF(INDEX('Final Calculation Sheet'!$AD$4:$AD$40,$BJ34-3)="","",INDEX('Final Calculation Sheet'!$AD$4:$AD$40,$BJ34-3)),IF(OR($BI34=1,$BL34=1,$BH34&gt;0),IF($BI34=1,SUM('Final Calculation Sheet'!$AD$4:$AD$40),IF($BL34=1,SUM('Final Calculation Sheet'!$AD$4:$AD$40)-SUMIFS('Final Calculation Sheet'!$AD$4:$AD$40,$AZ$5:$AZ$41,10),SUMIFS('Final Calculation Sheet'!$AD$4:$AD$40,$AZ$5:$AZ$41,$BH34))),""))</f>
        <v/>
      </c>
      <c r="AF31">
        <f>IF($BJ34&gt;0,IF(INDEX('Final Calculation Sheet'!$AF$4:$AF$40,$BJ34-3)="","",INDEX('Final Calculation Sheet'!$AF$4:$AF$40,$BJ34-3)),IF(OR($BI34=1,$BL34=1,$BH34&gt;0),"–",""))</f>
        <v/>
      </c>
      <c r="AG31">
        <f>IF($BJ34&gt;0,IF(INDEX('Final Calculation Sheet'!$AG$4:$AG$40,$BJ34-3)="","",INDEX('Final Calculation Sheet'!$AG$4:$AG$40,$BJ34-3)),IF(OR($BI34=1,$BL34=1,$BH34&gt;0),"–",""))</f>
        <v/>
      </c>
      <c r="AH31">
        <f>IF($BJ34&gt;0,IF(INDEX('Final Calculation Sheet'!$AH$4:$AH$40,$BJ34-3)="","",INDEX('Final Calculation Sheet'!$AH$4:$AH$40,$BJ34-3)),IF(OR($BI34=1,$BL34=1,$BH34&gt;0),"–",""))</f>
        <v/>
      </c>
      <c r="AI31">
        <f>IF($BJ34&gt;0,IF(INDEX('Final Calculation Sheet'!$AD$4:$AD$40,$BJ34-3)="","",IF(INDEX('Final Calculation Sheet'!$AD$4:$AD$40,$BJ34-3)&lt;=5,"SETTLED","OUTSTANDING")),IF(OR($BI34=1,$BL34=1,$BH34&gt;0),IF(IF($BI34=1,SUM('Final Calculation Sheet'!$AD$4:$AD$40),IF($BL34=1,SUM('Final Calculation Sheet'!$AD$4:$AD$40)-SUMIFS('Final Calculation Sheet'!$AD$4:$AD$40,$AZ$5:$AZ$41,10),SUMIFS('Final Calculation Sheet'!$AD$4:$AD$40,$AZ$5:$AZ$41,$BH34)))&lt;=5,"ALL SETTLED","OUTSTANDING"),""))</f>
        <v/>
      </c>
    </row>
    <row r="32">
      <c r="A32">
        <f>IF($BJ35&gt;0,INDEX($BA$5:$BA$41,MATCH(35,$BB$5:$BB$41,0)),IF(OR($BI35=1,$BL35=1,$BH35&gt;0),"∑",""))</f>
        <v/>
      </c>
      <c r="B32">
        <f>IF($BJ35&gt;0,IF(INDEX('Final Calculation Sheet'!$F$4:$F$40,$BJ35-3)="","",INDEX('Final Calculation Sheet'!$F$4:$F$40,$BJ35-3)),"")</f>
        <v/>
      </c>
      <c r="C32">
        <f>IF($BJ35&gt;0,IF(INDEX('Final Calculation Sheet'!$G$4:$G$40,$BJ35-3)="","",INDEX('Final Calculation Sheet'!$G$4:$G$40,$BJ35-3)),IF(OR($BI35=1,$BL35=1,$BH35&gt;0),IF($BI35=1,37,IF($BL35=1,37-INDEX($BD$4:$BD$13,10),INDEX($BD$4:$BD$13,$BH35)))&amp;" lot(s)",""))</f>
        <v/>
      </c>
      <c r="D32">
        <f>IF($BJ35&gt;0,IF(INDEX('Final Calculation Sheet'!$B$4:$B$40,$BJ35-3)="","",INDEX('Final Calculation Sheet'!$B$4:$B$40,$BJ35-3)),IF(OR($BI35=1,$BL35=1,$BH35&gt;0),IF($BI35=1,"GRAND TOTAL  —  matching + remaining",IF($BL35=1,"TOTAL MATCHED  —  every group together",IF($BH35=10,"REMAINING  —  did not match the search",IF($BH35=9,IF(COUNTIF($A$4:$AI$4,"&lt;&gt;")&gt;0,"FILTERED LOTS  —  column fields","ALL LOTS  —  nothing typed in the box"),"GROUP "&amp;$BH35&amp;" TOTAL  —  lots matching  "&amp;INDEX($AR$6:$AY$6,$BH35))))),""))</f>
        <v/>
      </c>
      <c r="E32">
        <f>IF($BJ35&gt;0,IF(INDEX('Final Calculation Sheet'!$D$4:$D$40,$BJ35-3)="","",INDEX('Final Calculation Sheet'!$D$4:$D$40,$BJ35-3)),IF(OR($BI35=1,$BL35=1,$BH35&gt;0),"–",""))</f>
        <v/>
      </c>
      <c r="F32">
        <f>IF($BJ35&gt;0,IF(INDEX('Final Calculation Sheet'!$A$4:$A$40,$BJ35-3)="","",INDEX('Final Calculation Sheet'!$A$4:$A$40,$BJ35-3)),IF(OR($BI35=1,$BL35=1,$BH35&gt;0),IF($BI35=1,SUM('Final Calculation Sheet'!$A$4:$A$40),IF($BL35=1,SUM('Final Calculation Sheet'!$A$4:$A$40)-SUMIFS('Final Calculation Sheet'!$A$4:$A$40,$AZ$5:$AZ$41,10),SUMIFS('Final Calculation Sheet'!$A$4:$A$40,$AZ$5:$AZ$41,$BH35))),""))</f>
        <v/>
      </c>
      <c r="G32">
        <f>IF($BJ35&gt;0,IF(INDEX('Final Calculation Sheet'!$E$4:$E$40,$BJ35-3)="","",INDEX('Final Calculation Sheet'!$E$4:$E$40,$BJ35-3)),IF(OR($BI35=1,$BL35=1,$BH35&gt;0),"–",""))</f>
        <v/>
      </c>
      <c r="H32">
        <f>IF($BJ35&gt;0,IF(INDEX('Final Calculation Sheet'!$C$4:$C$40,$BJ35-3)="","",INDEX('Final Calculation Sheet'!$C$4:$C$40,$BJ35-3)),IF(OR($BI35=1,$BL35=1,$BH35&gt;0),"–",""))</f>
        <v/>
      </c>
      <c r="I32">
        <f>IF($BJ35&gt;0,IF(INDEX('Final Calculation Sheet'!$H$4:$H$40,$BJ35-3)="","",INDEX('Final Calculation Sheet'!$H$4:$H$40,$BJ35-3)),IF(OR($BI35=1,$BL35=1,$BH35&gt;0),IF($BI35=1,SUM('Final Calculation Sheet'!$H$4:$H$40),IF($BL35=1,SUM('Final Calculation Sheet'!$H$4:$H$40)-SUMIFS('Final Calculation Sheet'!$H$4:$H$40,$AZ$5:$AZ$41,10),SUMIFS('Final Calculation Sheet'!$H$4:$H$40,$AZ$5:$AZ$41,$BH35))),""))</f>
        <v/>
      </c>
      <c r="J32">
        <f>IF($BJ35&gt;0,IF(INDEX('Final Calculation Sheet'!$I$4:$I$40,$BJ35-3)="","",INDEX('Final Calculation Sheet'!$I$4:$I$40,$BJ35-3)),IF(OR($BI35=1,$BL35=1,$BH35&gt;0),IF($BI35=1,SUM('Final Calculation Sheet'!$I$4:$I$40),IF($BL35=1,SUM('Final Calculation Sheet'!$I$4:$I$40)-SUMIFS('Final Calculation Sheet'!$I$4:$I$40,$AZ$5:$AZ$41,10),SUMIFS('Final Calculation Sheet'!$I$4:$I$40,$AZ$5:$AZ$41,$BH35))),""))</f>
        <v/>
      </c>
      <c r="K32">
        <f>IF($BJ35&gt;0,IF(INDEX('Final Calculation Sheet'!$J$4:$J$40,$BJ35-3)="","",INDEX('Final Calculation Sheet'!$J$4:$J$40,$BJ35-3)),IF(OR($BI35=1,$BL35=1,$BH35&gt;0),IF($BI35=1,SUM('Final Calculation Sheet'!$J$4:$J$40),IF($BL35=1,SUM('Final Calculation Sheet'!$J$4:$J$40)-SUMIFS('Final Calculation Sheet'!$J$4:$J$40,$AZ$5:$AZ$41,10),SUMIFS('Final Calculation Sheet'!$J$4:$J$40,$AZ$5:$AZ$41,$BH35))),""))</f>
        <v/>
      </c>
      <c r="L32">
        <f>IF($BJ35&gt;0,IF(INDEX('Final Calculation Sheet'!$K$4:$K$40,$BJ35-3)="","",INDEX('Final Calculation Sheet'!$K$4:$K$40,$BJ35-3)),IF(OR($BI35=1,$BL35=1,$BH35&gt;0),IF($BI35=1,SUM('Final Calculation Sheet'!$K$4:$K$40),IF($BL35=1,SUM('Final Calculation Sheet'!$K$4:$K$40)-SUMIFS('Final Calculation Sheet'!$K$4:$K$40,$AZ$5:$AZ$41,10),SUMIFS('Final Calculation Sheet'!$K$4:$K$40,$AZ$5:$AZ$41,$BH35))),""))</f>
        <v/>
      </c>
      <c r="M32">
        <f>IF($BJ35&gt;0,IF(INDEX('Final Calculation Sheet'!$L$4:$L$40,$BJ35-3)="","",INDEX('Final Calculation Sheet'!$L$4:$L$40,$BJ35-3)),IF(OR($BI35=1,$BL35=1,$BH35&gt;0),IF($BI35=1,SUM('Final Calculation Sheet'!$L$4:$L$40),IF($BL35=1,SUM('Final Calculation Sheet'!$L$4:$L$40)-SUMIFS('Final Calculation Sheet'!$L$4:$L$40,$AZ$5:$AZ$41,10),SUMIFS('Final Calculation Sheet'!$L$4:$L$40,$AZ$5:$AZ$41,$BH35))),""))</f>
        <v/>
      </c>
      <c r="N32">
        <f>IF($BJ35&gt;0,IF(INDEX('Final Calculation Sheet'!$M$4:$M$40,$BJ35-3)="","",INDEX('Final Calculation Sheet'!$M$4:$M$40,$BJ35-3)),IF(OR($BI35=1,$BL35=1,$BH35&gt;0),IF($BI35=1,SUM('Final Calculation Sheet'!$M$4:$M$40),IF($BL35=1,SUM('Final Calculation Sheet'!$M$4:$M$40)-SUMIFS('Final Calculation Sheet'!$M$4:$M$40,$AZ$5:$AZ$41,10),SUMIFS('Final Calculation Sheet'!$M$4:$M$40,$AZ$5:$AZ$41,$BH35))),""))</f>
        <v/>
      </c>
      <c r="O32">
        <f>IF($BJ35&gt;0,IF(INDEX('Final Calculation Sheet'!$N$4:$N$40,$BJ35-3)="","",INDEX('Final Calculation Sheet'!$N$4:$N$40,$BJ35-3)),IF(OR($BI35=1,$BL35=1,$BH35&gt;0),IF($BI35=1,SUM('Final Calculation Sheet'!$N$4:$N$40),IF($BL35=1,SUM('Final Calculation Sheet'!$N$4:$N$40)-SUMIFS('Final Calculation Sheet'!$N$4:$N$40,$AZ$5:$AZ$41,10),SUMIFS('Final Calculation Sheet'!$N$4:$N$40,$AZ$5:$AZ$41,$BH35))),""))</f>
        <v/>
      </c>
      <c r="P32">
        <f>IF($BJ35&gt;0,IF(INDEX('Final Calculation Sheet'!$O$4:$O$40,$BJ35-3)="","",INDEX('Final Calculation Sheet'!$O$4:$O$40,$BJ35-3)),IF(OR($BI35=1,$BL35=1,$BH35&gt;0),IF($BI35=1,SUM('Final Calculation Sheet'!$O$4:$O$40),IF($BL35=1,SUM('Final Calculation Sheet'!$O$4:$O$40)-SUMIFS('Final Calculation Sheet'!$O$4:$O$40,$AZ$5:$AZ$41,10),SUMIFS('Final Calculation Sheet'!$O$4:$O$40,$AZ$5:$AZ$41,$BH35))),""))</f>
        <v/>
      </c>
      <c r="Q32">
        <f>IF($BJ35&gt;0,IF(INDEX('Final Calculation Sheet'!$P$4:$P$40,$BJ35-3)="","",INDEX('Final Calculation Sheet'!$P$4:$P$40,$BJ35-3)),IF(OR($BI35=1,$BL35=1,$BH35&gt;0),IF($BI35=1,SUM('Final Calculation Sheet'!$P$4:$P$40),IF($BL35=1,SUM('Final Calculation Sheet'!$P$4:$P$40)-SUMIFS('Final Calculation Sheet'!$P$4:$P$40,$AZ$5:$AZ$41,10),SUMIFS('Final Calculation Sheet'!$P$4:$P$40,$AZ$5:$AZ$41,$BH35))),""))</f>
        <v/>
      </c>
      <c r="R32">
        <f>IF($BJ35&gt;0,IF(INDEX('Final Calculation Sheet'!$Q$4:$Q$40,$BJ35-3)="","",INDEX('Final Calculation Sheet'!$Q$4:$Q$40,$BJ35-3)),IF(OR($BI35=1,$BL35=1,$BH35&gt;0),"–",""))</f>
        <v/>
      </c>
      <c r="S32">
        <f>IF($BJ35&gt;0,IF(INDEX('Final Calculation Sheet'!$R$4:$R$40,$BJ35-3)="","",INDEX('Final Calculation Sheet'!$R$4:$R$40,$BJ35-3)),IF(OR($BI35=1,$BL35=1,$BH35&gt;0),IF($BI35=1,SUM('Final Calculation Sheet'!$R$4:$R$40),IF($BL35=1,SUM('Final Calculation Sheet'!$R$4:$R$40)-SUMIFS('Final Calculation Sheet'!$R$4:$R$40,$AZ$5:$AZ$41,10),SUMIFS('Final Calculation Sheet'!$R$4:$R$40,$AZ$5:$AZ$41,$BH35))),""))</f>
        <v/>
      </c>
      <c r="T32">
        <f>IF($BJ35&gt;0,IF(INDEX('Final Calculation Sheet'!$S$4:$S$40,$BJ35-3)="","",INDEX('Final Calculation Sheet'!$S$4:$S$40,$BJ35-3)),IF(OR($BI35=1,$BL35=1,$BH35&gt;0),IF($BI35=1,SUM('Final Calculation Sheet'!$S$4:$S$40),IF($BL35=1,SUM('Final Calculation Sheet'!$S$4:$S$40)-SUMIFS('Final Calculation Sheet'!$S$4:$S$40,$AZ$5:$AZ$41,10),SUMIFS('Final Calculation Sheet'!$S$4:$S$40,$AZ$5:$AZ$41,$BH35))),""))</f>
        <v/>
      </c>
      <c r="U32">
        <f>IF($BJ35&gt;0,IF(INDEX('Final Calculation Sheet'!$T$4:$T$40,$BJ35-3)="","",INDEX('Final Calculation Sheet'!$T$4:$T$40,$BJ35-3)),IF(OR($BI35=1,$BL35=1,$BH35&gt;0),IF($BI35=1,SUM('Final Calculation Sheet'!$T$4:$T$40),IF($BL35=1,SUM('Final Calculation Sheet'!$T$4:$T$40)-SUMIFS('Final Calculation Sheet'!$T$4:$T$40,$AZ$5:$AZ$41,10),SUMIFS('Final Calculation Sheet'!$T$4:$T$40,$AZ$5:$AZ$41,$BH35))),""))</f>
        <v/>
      </c>
      <c r="V32">
        <f>IF($BJ35&gt;0,IF(INDEX('Final Calculation Sheet'!$U$4:$U$40,$BJ35-3)="","",INDEX('Final Calculation Sheet'!$U$4:$U$40,$BJ35-3)),IF(OR($BI35=1,$BL35=1,$BH35&gt;0),IF($BI35=1,SUM('Final Calculation Sheet'!$U$4:$U$40),IF($BL35=1,SUM('Final Calculation Sheet'!$U$4:$U$40)-SUMIFS('Final Calculation Sheet'!$U$4:$U$40,$AZ$5:$AZ$41,10),SUMIFS('Final Calculation Sheet'!$U$4:$U$40,$AZ$5:$AZ$41,$BH35))),""))</f>
        <v/>
      </c>
      <c r="W32">
        <f>IF($BJ35&gt;0,IF(INDEX('Final Calculation Sheet'!$V$4:$V$40,$BJ35-3)="","",INDEX('Final Calculation Sheet'!$V$4:$V$40,$BJ35-3)),IF(OR($BI35=1,$BL35=1,$BH35&gt;0),"–",""))</f>
        <v/>
      </c>
      <c r="X32">
        <f>IF($BJ35&gt;0,IF(INDEX('Final Calculation Sheet'!$W$4:$W$40,$BJ35-3)="","",INDEX('Final Calculation Sheet'!$W$4:$W$40,$BJ35-3)),IF(OR($BI35=1,$BL35=1,$BH35&gt;0),IF($BI35=1,SUM('Final Calculation Sheet'!$W$4:$W$40),IF($BL35=1,SUM('Final Calculation Sheet'!$W$4:$W$40)-SUMIFS('Final Calculation Sheet'!$W$4:$W$40,$AZ$5:$AZ$41,10),SUMIFS('Final Calculation Sheet'!$W$4:$W$40,$AZ$5:$AZ$41,$BH35))),""))</f>
        <v/>
      </c>
      <c r="Y32">
        <f>IF($BJ35&gt;0,IF(INDEX('Final Calculation Sheet'!$X$4:$X$40,$BJ35-3)="","",INDEX('Final Calculation Sheet'!$X$4:$X$40,$BJ35-3)),IF(OR($BI35=1,$BL35=1,$BH35&gt;0),IF($BI35=1,SUM('Final Calculation Sheet'!$X$4:$X$40),IF($BL35=1,SUM('Final Calculation Sheet'!$X$4:$X$40)-SUMIFS('Final Calculation Sheet'!$X$4:$X$40,$AZ$5:$AZ$41,10),SUMIFS('Final Calculation Sheet'!$X$4:$X$40,$AZ$5:$AZ$41,$BH35))),""))</f>
        <v/>
      </c>
      <c r="Z32">
        <f>IF($BJ35&gt;0,IF(INDEX('Final Calculation Sheet'!$Y$4:$Y$40,$BJ35-3)="","",INDEX('Final Calculation Sheet'!$Y$4:$Y$40,$BJ35-3)),IF(OR($BI35=1,$BL35=1,$BH35&gt;0),"–",""))</f>
        <v/>
      </c>
      <c r="AA32">
        <f>IF($BJ35&gt;0,IF(INDEX('Final Calculation Sheet'!$Z$4:$Z$40,$BJ35-3)="","",INDEX('Final Calculation Sheet'!$Z$4:$Z$40,$BJ35-3)),IF(OR($BI35=1,$BL35=1,$BH35&gt;0),IF($BI35=1,SUM('Final Calculation Sheet'!$Z$4:$Z$40),IF($BL35=1,SUM('Final Calculation Sheet'!$Z$4:$Z$40)-SUMIFS('Final Calculation Sheet'!$Z$4:$Z$40,$AZ$5:$AZ$41,10),SUMIFS('Final Calculation Sheet'!$Z$4:$Z$40,$AZ$5:$AZ$41,$BH35))),""))</f>
        <v/>
      </c>
      <c r="AB32">
        <f>IF($BJ35&gt;0,IF(INDEX('Final Calculation Sheet'!$AA$4:$AA$40,$BJ35-3)="","",INDEX('Final Calculation Sheet'!$AA$4:$AA$40,$BJ35-3)),IF(OR($BI35=1,$BL35=1,$BH35&gt;0),IF($BI35=1,SUM('Final Calculation Sheet'!$AA$4:$AA$40),IF($BL35=1,SUM('Final Calculation Sheet'!$AA$4:$AA$40)-SUMIFS('Final Calculation Sheet'!$AA$4:$AA$40,$AZ$5:$AZ$41,10),SUMIFS('Final Calculation Sheet'!$AA$4:$AA$40,$AZ$5:$AZ$41,$BH35))),""))</f>
        <v/>
      </c>
      <c r="AC32">
        <f>IF($BJ35&gt;0,IF(INDEX('Final Calculation Sheet'!$AB$4:$AB$40,$BJ35-3)="","",INDEX('Final Calculation Sheet'!$AB$4:$AB$40,$BJ35-3)),IF(OR($BI35=1,$BL35=1,$BH35&gt;0),"–",""))</f>
        <v/>
      </c>
      <c r="AD32">
        <f>IF($BJ35&gt;0,IF(INDEX('Final Calculation Sheet'!$AC$4:$AC$40,$BJ35-3)="","",INDEX('Final Calculation Sheet'!$AC$4:$AC$40,$BJ35-3)),IF(OR($BI35=1,$BL35=1,$BH35&gt;0),IF($BI35=1,SUM('Final Calculation Sheet'!$AC$4:$AC$40),IF($BL35=1,SUM('Final Calculation Sheet'!$AC$4:$AC$40)-SUMIFS('Final Calculation Sheet'!$AC$4:$AC$40,$AZ$5:$AZ$41,10),SUMIFS('Final Calculation Sheet'!$AC$4:$AC$40,$AZ$5:$AZ$41,$BH35))),""))</f>
        <v/>
      </c>
      <c r="AE32">
        <f>IF($BJ35&gt;0,IF(INDEX('Final Calculation Sheet'!$AD$4:$AD$40,$BJ35-3)="","",INDEX('Final Calculation Sheet'!$AD$4:$AD$40,$BJ35-3)),IF(OR($BI35=1,$BL35=1,$BH35&gt;0),IF($BI35=1,SUM('Final Calculation Sheet'!$AD$4:$AD$40),IF($BL35=1,SUM('Final Calculation Sheet'!$AD$4:$AD$40)-SUMIFS('Final Calculation Sheet'!$AD$4:$AD$40,$AZ$5:$AZ$41,10),SUMIFS('Final Calculation Sheet'!$AD$4:$AD$40,$AZ$5:$AZ$41,$BH35))),""))</f>
        <v/>
      </c>
      <c r="AF32">
        <f>IF($BJ35&gt;0,IF(INDEX('Final Calculation Sheet'!$AF$4:$AF$40,$BJ35-3)="","",INDEX('Final Calculation Sheet'!$AF$4:$AF$40,$BJ35-3)),IF(OR($BI35=1,$BL35=1,$BH35&gt;0),"–",""))</f>
        <v/>
      </c>
      <c r="AG32">
        <f>IF($BJ35&gt;0,IF(INDEX('Final Calculation Sheet'!$AG$4:$AG$40,$BJ35-3)="","",INDEX('Final Calculation Sheet'!$AG$4:$AG$40,$BJ35-3)),IF(OR($BI35=1,$BL35=1,$BH35&gt;0),"–",""))</f>
        <v/>
      </c>
      <c r="AH32">
        <f>IF($BJ35&gt;0,IF(INDEX('Final Calculation Sheet'!$AH$4:$AH$40,$BJ35-3)="","",INDEX('Final Calculation Sheet'!$AH$4:$AH$40,$BJ35-3)),IF(OR($BI35=1,$BL35=1,$BH35&gt;0),"–",""))</f>
        <v/>
      </c>
      <c r="AI32">
        <f>IF($BJ35&gt;0,IF(INDEX('Final Calculation Sheet'!$AD$4:$AD$40,$BJ35-3)="","",IF(INDEX('Final Calculation Sheet'!$AD$4:$AD$40,$BJ35-3)&lt;=5,"SETTLED","OUTSTANDING")),IF(OR($BI35=1,$BL35=1,$BH35&gt;0),IF(IF($BI35=1,SUM('Final Calculation Sheet'!$AD$4:$AD$40),IF($BL35=1,SUM('Final Calculation Sheet'!$AD$4:$AD$40)-SUMIFS('Final Calculation Sheet'!$AD$4:$AD$40,$AZ$5:$AZ$41,10),SUMIFS('Final Calculation Sheet'!$AD$4:$AD$40,$AZ$5:$AZ$41,$BH35)))&lt;=5,"ALL SETTLED","OUTSTANDING"),""))</f>
        <v/>
      </c>
    </row>
    <row r="33">
      <c r="A33">
        <f>IF($BJ36&gt;0,INDEX($BA$5:$BA$41,MATCH(36,$BB$5:$BB$41,0)),IF(OR($BI36=1,$BL36=1,$BH36&gt;0),"∑",""))</f>
        <v/>
      </c>
      <c r="B33">
        <f>IF($BJ36&gt;0,IF(INDEX('Final Calculation Sheet'!$F$4:$F$40,$BJ36-3)="","",INDEX('Final Calculation Sheet'!$F$4:$F$40,$BJ36-3)),"")</f>
        <v/>
      </c>
      <c r="C33">
        <f>IF($BJ36&gt;0,IF(INDEX('Final Calculation Sheet'!$G$4:$G$40,$BJ36-3)="","",INDEX('Final Calculation Sheet'!$G$4:$G$40,$BJ36-3)),IF(OR($BI36=1,$BL36=1,$BH36&gt;0),IF($BI36=1,37,IF($BL36=1,37-INDEX($BD$4:$BD$13,10),INDEX($BD$4:$BD$13,$BH36)))&amp;" lot(s)",""))</f>
        <v/>
      </c>
      <c r="D33">
        <f>IF($BJ36&gt;0,IF(INDEX('Final Calculation Sheet'!$B$4:$B$40,$BJ36-3)="","",INDEX('Final Calculation Sheet'!$B$4:$B$40,$BJ36-3)),IF(OR($BI36=1,$BL36=1,$BH36&gt;0),IF($BI36=1,"GRAND TOTAL  —  matching + remaining",IF($BL36=1,"TOTAL MATCHED  —  every group together",IF($BH36=10,"REMAINING  —  did not match the search",IF($BH36=9,IF(COUNTIF($A$4:$AI$4,"&lt;&gt;")&gt;0,"FILTERED LOTS  —  column fields","ALL LOTS  —  nothing typed in the box"),"GROUP "&amp;$BH36&amp;" TOTAL  —  lots matching  "&amp;INDEX($AR$6:$AY$6,$BH36))))),""))</f>
        <v/>
      </c>
      <c r="E33">
        <f>IF($BJ36&gt;0,IF(INDEX('Final Calculation Sheet'!$D$4:$D$40,$BJ36-3)="","",INDEX('Final Calculation Sheet'!$D$4:$D$40,$BJ36-3)),IF(OR($BI36=1,$BL36=1,$BH36&gt;0),"–",""))</f>
        <v/>
      </c>
      <c r="F33">
        <f>IF($BJ36&gt;0,IF(INDEX('Final Calculation Sheet'!$A$4:$A$40,$BJ36-3)="","",INDEX('Final Calculation Sheet'!$A$4:$A$40,$BJ36-3)),IF(OR($BI36=1,$BL36=1,$BH36&gt;0),IF($BI36=1,SUM('Final Calculation Sheet'!$A$4:$A$40),IF($BL36=1,SUM('Final Calculation Sheet'!$A$4:$A$40)-SUMIFS('Final Calculation Sheet'!$A$4:$A$40,$AZ$5:$AZ$41,10),SUMIFS('Final Calculation Sheet'!$A$4:$A$40,$AZ$5:$AZ$41,$BH36))),""))</f>
        <v/>
      </c>
      <c r="G33">
        <f>IF($BJ36&gt;0,IF(INDEX('Final Calculation Sheet'!$E$4:$E$40,$BJ36-3)="","",INDEX('Final Calculation Sheet'!$E$4:$E$40,$BJ36-3)),IF(OR($BI36=1,$BL36=1,$BH36&gt;0),"–",""))</f>
        <v/>
      </c>
      <c r="H33">
        <f>IF($BJ36&gt;0,IF(INDEX('Final Calculation Sheet'!$C$4:$C$40,$BJ36-3)="","",INDEX('Final Calculation Sheet'!$C$4:$C$40,$BJ36-3)),IF(OR($BI36=1,$BL36=1,$BH36&gt;0),"–",""))</f>
        <v/>
      </c>
      <c r="I33">
        <f>IF($BJ36&gt;0,IF(INDEX('Final Calculation Sheet'!$H$4:$H$40,$BJ36-3)="","",INDEX('Final Calculation Sheet'!$H$4:$H$40,$BJ36-3)),IF(OR($BI36=1,$BL36=1,$BH36&gt;0),IF($BI36=1,SUM('Final Calculation Sheet'!$H$4:$H$40),IF($BL36=1,SUM('Final Calculation Sheet'!$H$4:$H$40)-SUMIFS('Final Calculation Sheet'!$H$4:$H$40,$AZ$5:$AZ$41,10),SUMIFS('Final Calculation Sheet'!$H$4:$H$40,$AZ$5:$AZ$41,$BH36))),""))</f>
        <v/>
      </c>
      <c r="J33">
        <f>IF($BJ36&gt;0,IF(INDEX('Final Calculation Sheet'!$I$4:$I$40,$BJ36-3)="","",INDEX('Final Calculation Sheet'!$I$4:$I$40,$BJ36-3)),IF(OR($BI36=1,$BL36=1,$BH36&gt;0),IF($BI36=1,SUM('Final Calculation Sheet'!$I$4:$I$40),IF($BL36=1,SUM('Final Calculation Sheet'!$I$4:$I$40)-SUMIFS('Final Calculation Sheet'!$I$4:$I$40,$AZ$5:$AZ$41,10),SUMIFS('Final Calculation Sheet'!$I$4:$I$40,$AZ$5:$AZ$41,$BH36))),""))</f>
        <v/>
      </c>
      <c r="K33">
        <f>IF($BJ36&gt;0,IF(INDEX('Final Calculation Sheet'!$J$4:$J$40,$BJ36-3)="","",INDEX('Final Calculation Sheet'!$J$4:$J$40,$BJ36-3)),IF(OR($BI36=1,$BL36=1,$BH36&gt;0),IF($BI36=1,SUM('Final Calculation Sheet'!$J$4:$J$40),IF($BL36=1,SUM('Final Calculation Sheet'!$J$4:$J$40)-SUMIFS('Final Calculation Sheet'!$J$4:$J$40,$AZ$5:$AZ$41,10),SUMIFS('Final Calculation Sheet'!$J$4:$J$40,$AZ$5:$AZ$41,$BH36))),""))</f>
        <v/>
      </c>
      <c r="L33">
        <f>IF($BJ36&gt;0,IF(INDEX('Final Calculation Sheet'!$K$4:$K$40,$BJ36-3)="","",INDEX('Final Calculation Sheet'!$K$4:$K$40,$BJ36-3)),IF(OR($BI36=1,$BL36=1,$BH36&gt;0),IF($BI36=1,SUM('Final Calculation Sheet'!$K$4:$K$40),IF($BL36=1,SUM('Final Calculation Sheet'!$K$4:$K$40)-SUMIFS('Final Calculation Sheet'!$K$4:$K$40,$AZ$5:$AZ$41,10),SUMIFS('Final Calculation Sheet'!$K$4:$K$40,$AZ$5:$AZ$41,$BH36))),""))</f>
        <v/>
      </c>
      <c r="M33">
        <f>IF($BJ36&gt;0,IF(INDEX('Final Calculation Sheet'!$L$4:$L$40,$BJ36-3)="","",INDEX('Final Calculation Sheet'!$L$4:$L$40,$BJ36-3)),IF(OR($BI36=1,$BL36=1,$BH36&gt;0),IF($BI36=1,SUM('Final Calculation Sheet'!$L$4:$L$40),IF($BL36=1,SUM('Final Calculation Sheet'!$L$4:$L$40)-SUMIFS('Final Calculation Sheet'!$L$4:$L$40,$AZ$5:$AZ$41,10),SUMIFS('Final Calculation Sheet'!$L$4:$L$40,$AZ$5:$AZ$41,$BH36))),""))</f>
        <v/>
      </c>
      <c r="N33">
        <f>IF($BJ36&gt;0,IF(INDEX('Final Calculation Sheet'!$M$4:$M$40,$BJ36-3)="","",INDEX('Final Calculation Sheet'!$M$4:$M$40,$BJ36-3)),IF(OR($BI36=1,$BL36=1,$BH36&gt;0),IF($BI36=1,SUM('Final Calculation Sheet'!$M$4:$M$40),IF($BL36=1,SUM('Final Calculation Sheet'!$M$4:$M$40)-SUMIFS('Final Calculation Sheet'!$M$4:$M$40,$AZ$5:$AZ$41,10),SUMIFS('Final Calculation Sheet'!$M$4:$M$40,$AZ$5:$AZ$41,$BH36))),""))</f>
        <v/>
      </c>
      <c r="O33">
        <f>IF($BJ36&gt;0,IF(INDEX('Final Calculation Sheet'!$N$4:$N$40,$BJ36-3)="","",INDEX('Final Calculation Sheet'!$N$4:$N$40,$BJ36-3)),IF(OR($BI36=1,$BL36=1,$BH36&gt;0),IF($BI36=1,SUM('Final Calculation Sheet'!$N$4:$N$40),IF($BL36=1,SUM('Final Calculation Sheet'!$N$4:$N$40)-SUMIFS('Final Calculation Sheet'!$N$4:$N$40,$AZ$5:$AZ$41,10),SUMIFS('Final Calculation Sheet'!$N$4:$N$40,$AZ$5:$AZ$41,$BH36))),""))</f>
        <v/>
      </c>
      <c r="P33">
        <f>IF($BJ36&gt;0,IF(INDEX('Final Calculation Sheet'!$O$4:$O$40,$BJ36-3)="","",INDEX('Final Calculation Sheet'!$O$4:$O$40,$BJ36-3)),IF(OR($BI36=1,$BL36=1,$BH36&gt;0),IF($BI36=1,SUM('Final Calculation Sheet'!$O$4:$O$40),IF($BL36=1,SUM('Final Calculation Sheet'!$O$4:$O$40)-SUMIFS('Final Calculation Sheet'!$O$4:$O$40,$AZ$5:$AZ$41,10),SUMIFS('Final Calculation Sheet'!$O$4:$O$40,$AZ$5:$AZ$41,$BH36))),""))</f>
        <v/>
      </c>
      <c r="Q33">
        <f>IF($BJ36&gt;0,IF(INDEX('Final Calculation Sheet'!$P$4:$P$40,$BJ36-3)="","",INDEX('Final Calculation Sheet'!$P$4:$P$40,$BJ36-3)),IF(OR($BI36=1,$BL36=1,$BH36&gt;0),IF($BI36=1,SUM('Final Calculation Sheet'!$P$4:$P$40),IF($BL36=1,SUM('Final Calculation Sheet'!$P$4:$P$40)-SUMIFS('Final Calculation Sheet'!$P$4:$P$40,$AZ$5:$AZ$41,10),SUMIFS('Final Calculation Sheet'!$P$4:$P$40,$AZ$5:$AZ$41,$BH36))),""))</f>
        <v/>
      </c>
      <c r="R33">
        <f>IF($BJ36&gt;0,IF(INDEX('Final Calculation Sheet'!$Q$4:$Q$40,$BJ36-3)="","",INDEX('Final Calculation Sheet'!$Q$4:$Q$40,$BJ36-3)),IF(OR($BI36=1,$BL36=1,$BH36&gt;0),"–",""))</f>
        <v/>
      </c>
      <c r="S33">
        <f>IF($BJ36&gt;0,IF(INDEX('Final Calculation Sheet'!$R$4:$R$40,$BJ36-3)="","",INDEX('Final Calculation Sheet'!$R$4:$R$40,$BJ36-3)),IF(OR($BI36=1,$BL36=1,$BH36&gt;0),IF($BI36=1,SUM('Final Calculation Sheet'!$R$4:$R$40),IF($BL36=1,SUM('Final Calculation Sheet'!$R$4:$R$40)-SUMIFS('Final Calculation Sheet'!$R$4:$R$40,$AZ$5:$AZ$41,10),SUMIFS('Final Calculation Sheet'!$R$4:$R$40,$AZ$5:$AZ$41,$BH36))),""))</f>
        <v/>
      </c>
      <c r="T33">
        <f>IF($BJ36&gt;0,IF(INDEX('Final Calculation Sheet'!$S$4:$S$40,$BJ36-3)="","",INDEX('Final Calculation Sheet'!$S$4:$S$40,$BJ36-3)),IF(OR($BI36=1,$BL36=1,$BH36&gt;0),IF($BI36=1,SUM('Final Calculation Sheet'!$S$4:$S$40),IF($BL36=1,SUM('Final Calculation Sheet'!$S$4:$S$40)-SUMIFS('Final Calculation Sheet'!$S$4:$S$40,$AZ$5:$AZ$41,10),SUMIFS('Final Calculation Sheet'!$S$4:$S$40,$AZ$5:$AZ$41,$BH36))),""))</f>
        <v/>
      </c>
      <c r="U33">
        <f>IF($BJ36&gt;0,IF(INDEX('Final Calculation Sheet'!$T$4:$T$40,$BJ36-3)="","",INDEX('Final Calculation Sheet'!$T$4:$T$40,$BJ36-3)),IF(OR($BI36=1,$BL36=1,$BH36&gt;0),IF($BI36=1,SUM('Final Calculation Sheet'!$T$4:$T$40),IF($BL36=1,SUM('Final Calculation Sheet'!$T$4:$T$40)-SUMIFS('Final Calculation Sheet'!$T$4:$T$40,$AZ$5:$AZ$41,10),SUMIFS('Final Calculation Sheet'!$T$4:$T$40,$AZ$5:$AZ$41,$BH36))),""))</f>
        <v/>
      </c>
      <c r="V33">
        <f>IF($BJ36&gt;0,IF(INDEX('Final Calculation Sheet'!$U$4:$U$40,$BJ36-3)="","",INDEX('Final Calculation Sheet'!$U$4:$U$40,$BJ36-3)),IF(OR($BI36=1,$BL36=1,$BH36&gt;0),IF($BI36=1,SUM('Final Calculation Sheet'!$U$4:$U$40),IF($BL36=1,SUM('Final Calculation Sheet'!$U$4:$U$40)-SUMIFS('Final Calculation Sheet'!$U$4:$U$40,$AZ$5:$AZ$41,10),SUMIFS('Final Calculation Sheet'!$U$4:$U$40,$AZ$5:$AZ$41,$BH36))),""))</f>
        <v/>
      </c>
      <c r="W33">
        <f>IF($BJ36&gt;0,IF(INDEX('Final Calculation Sheet'!$V$4:$V$40,$BJ36-3)="","",INDEX('Final Calculation Sheet'!$V$4:$V$40,$BJ36-3)),IF(OR($BI36=1,$BL36=1,$BH36&gt;0),"–",""))</f>
        <v/>
      </c>
      <c r="X33">
        <f>IF($BJ36&gt;0,IF(INDEX('Final Calculation Sheet'!$W$4:$W$40,$BJ36-3)="","",INDEX('Final Calculation Sheet'!$W$4:$W$40,$BJ36-3)),IF(OR($BI36=1,$BL36=1,$BH36&gt;0),IF($BI36=1,SUM('Final Calculation Sheet'!$W$4:$W$40),IF($BL36=1,SUM('Final Calculation Sheet'!$W$4:$W$40)-SUMIFS('Final Calculation Sheet'!$W$4:$W$40,$AZ$5:$AZ$41,10),SUMIFS('Final Calculation Sheet'!$W$4:$W$40,$AZ$5:$AZ$41,$BH36))),""))</f>
        <v/>
      </c>
      <c r="Y33">
        <f>IF($BJ36&gt;0,IF(INDEX('Final Calculation Sheet'!$X$4:$X$40,$BJ36-3)="","",INDEX('Final Calculation Sheet'!$X$4:$X$40,$BJ36-3)),IF(OR($BI36=1,$BL36=1,$BH36&gt;0),IF($BI36=1,SUM('Final Calculation Sheet'!$X$4:$X$40),IF($BL36=1,SUM('Final Calculation Sheet'!$X$4:$X$40)-SUMIFS('Final Calculation Sheet'!$X$4:$X$40,$AZ$5:$AZ$41,10),SUMIFS('Final Calculation Sheet'!$X$4:$X$40,$AZ$5:$AZ$41,$BH36))),""))</f>
        <v/>
      </c>
      <c r="Z33">
        <f>IF($BJ36&gt;0,IF(INDEX('Final Calculation Sheet'!$Y$4:$Y$40,$BJ36-3)="","",INDEX('Final Calculation Sheet'!$Y$4:$Y$40,$BJ36-3)),IF(OR($BI36=1,$BL36=1,$BH36&gt;0),"–",""))</f>
        <v/>
      </c>
      <c r="AA33">
        <f>IF($BJ36&gt;0,IF(INDEX('Final Calculation Sheet'!$Z$4:$Z$40,$BJ36-3)="","",INDEX('Final Calculation Sheet'!$Z$4:$Z$40,$BJ36-3)),IF(OR($BI36=1,$BL36=1,$BH36&gt;0),IF($BI36=1,SUM('Final Calculation Sheet'!$Z$4:$Z$40),IF($BL36=1,SUM('Final Calculation Sheet'!$Z$4:$Z$40)-SUMIFS('Final Calculation Sheet'!$Z$4:$Z$40,$AZ$5:$AZ$41,10),SUMIFS('Final Calculation Sheet'!$Z$4:$Z$40,$AZ$5:$AZ$41,$BH36))),""))</f>
        <v/>
      </c>
      <c r="AB33">
        <f>IF($BJ36&gt;0,IF(INDEX('Final Calculation Sheet'!$AA$4:$AA$40,$BJ36-3)="","",INDEX('Final Calculation Sheet'!$AA$4:$AA$40,$BJ36-3)),IF(OR($BI36=1,$BL36=1,$BH36&gt;0),IF($BI36=1,SUM('Final Calculation Sheet'!$AA$4:$AA$40),IF($BL36=1,SUM('Final Calculation Sheet'!$AA$4:$AA$40)-SUMIFS('Final Calculation Sheet'!$AA$4:$AA$40,$AZ$5:$AZ$41,10),SUMIFS('Final Calculation Sheet'!$AA$4:$AA$40,$AZ$5:$AZ$41,$BH36))),""))</f>
        <v/>
      </c>
      <c r="AC33">
        <f>IF($BJ36&gt;0,IF(INDEX('Final Calculation Sheet'!$AB$4:$AB$40,$BJ36-3)="","",INDEX('Final Calculation Sheet'!$AB$4:$AB$40,$BJ36-3)),IF(OR($BI36=1,$BL36=1,$BH36&gt;0),"–",""))</f>
        <v/>
      </c>
      <c r="AD33">
        <f>IF($BJ36&gt;0,IF(INDEX('Final Calculation Sheet'!$AC$4:$AC$40,$BJ36-3)="","",INDEX('Final Calculation Sheet'!$AC$4:$AC$40,$BJ36-3)),IF(OR($BI36=1,$BL36=1,$BH36&gt;0),IF($BI36=1,SUM('Final Calculation Sheet'!$AC$4:$AC$40),IF($BL36=1,SUM('Final Calculation Sheet'!$AC$4:$AC$40)-SUMIFS('Final Calculation Sheet'!$AC$4:$AC$40,$AZ$5:$AZ$41,10),SUMIFS('Final Calculation Sheet'!$AC$4:$AC$40,$AZ$5:$AZ$41,$BH36))),""))</f>
        <v/>
      </c>
      <c r="AE33">
        <f>IF($BJ36&gt;0,IF(INDEX('Final Calculation Sheet'!$AD$4:$AD$40,$BJ36-3)="","",INDEX('Final Calculation Sheet'!$AD$4:$AD$40,$BJ36-3)),IF(OR($BI36=1,$BL36=1,$BH36&gt;0),IF($BI36=1,SUM('Final Calculation Sheet'!$AD$4:$AD$40),IF($BL36=1,SUM('Final Calculation Sheet'!$AD$4:$AD$40)-SUMIFS('Final Calculation Sheet'!$AD$4:$AD$40,$AZ$5:$AZ$41,10),SUMIFS('Final Calculation Sheet'!$AD$4:$AD$40,$AZ$5:$AZ$41,$BH36))),""))</f>
        <v/>
      </c>
      <c r="AF33">
        <f>IF($BJ36&gt;0,IF(INDEX('Final Calculation Sheet'!$AF$4:$AF$40,$BJ36-3)="","",INDEX('Final Calculation Sheet'!$AF$4:$AF$40,$BJ36-3)),IF(OR($BI36=1,$BL36=1,$BH36&gt;0),"–",""))</f>
        <v/>
      </c>
      <c r="AG33">
        <f>IF($BJ36&gt;0,IF(INDEX('Final Calculation Sheet'!$AG$4:$AG$40,$BJ36-3)="","",INDEX('Final Calculation Sheet'!$AG$4:$AG$40,$BJ36-3)),IF(OR($BI36=1,$BL36=1,$BH36&gt;0),"–",""))</f>
        <v/>
      </c>
      <c r="AH33">
        <f>IF($BJ36&gt;0,IF(INDEX('Final Calculation Sheet'!$AH$4:$AH$40,$BJ36-3)="","",INDEX('Final Calculation Sheet'!$AH$4:$AH$40,$BJ36-3)),IF(OR($BI36=1,$BL36=1,$BH36&gt;0),"–",""))</f>
        <v/>
      </c>
      <c r="AI33">
        <f>IF($BJ36&gt;0,IF(INDEX('Final Calculation Sheet'!$AD$4:$AD$40,$BJ36-3)="","",IF(INDEX('Final Calculation Sheet'!$AD$4:$AD$40,$BJ36-3)&lt;=5,"SETTLED","OUTSTANDING")),IF(OR($BI36=1,$BL36=1,$BH36&gt;0),IF(IF($BI36=1,SUM('Final Calculation Sheet'!$AD$4:$AD$40),IF($BL36=1,SUM('Final Calculation Sheet'!$AD$4:$AD$40)-SUMIFS('Final Calculation Sheet'!$AD$4:$AD$40,$AZ$5:$AZ$41,10),SUMIFS('Final Calculation Sheet'!$AD$4:$AD$40,$AZ$5:$AZ$41,$BH36)))&lt;=5,"ALL SETTLED","OUTSTANDING"),""))</f>
        <v/>
      </c>
    </row>
    <row r="34">
      <c r="A34">
        <f>IF($BJ37&gt;0,INDEX($BA$5:$BA$41,MATCH(37,$BB$5:$BB$41,0)),IF(OR($BI37=1,$BL37=1,$BH37&gt;0),"∑",""))</f>
        <v/>
      </c>
      <c r="B34">
        <f>IF($BJ37&gt;0,IF(INDEX('Final Calculation Sheet'!$F$4:$F$40,$BJ37-3)="","",INDEX('Final Calculation Sheet'!$F$4:$F$40,$BJ37-3)),"")</f>
        <v/>
      </c>
      <c r="C34">
        <f>IF($BJ37&gt;0,IF(INDEX('Final Calculation Sheet'!$G$4:$G$40,$BJ37-3)="","",INDEX('Final Calculation Sheet'!$G$4:$G$40,$BJ37-3)),IF(OR($BI37=1,$BL37=1,$BH37&gt;0),IF($BI37=1,37,IF($BL37=1,37-INDEX($BD$4:$BD$13,10),INDEX($BD$4:$BD$13,$BH37)))&amp;" lot(s)",""))</f>
        <v/>
      </c>
      <c r="D34">
        <f>IF($BJ37&gt;0,IF(INDEX('Final Calculation Sheet'!$B$4:$B$40,$BJ37-3)="","",INDEX('Final Calculation Sheet'!$B$4:$B$40,$BJ37-3)),IF(OR($BI37=1,$BL37=1,$BH37&gt;0),IF($BI37=1,"GRAND TOTAL  —  matching + remaining",IF($BL37=1,"TOTAL MATCHED  —  every group together",IF($BH37=10,"REMAINING  —  did not match the search",IF($BH37=9,IF(COUNTIF($A$4:$AI$4,"&lt;&gt;")&gt;0,"FILTERED LOTS  —  column fields","ALL LOTS  —  nothing typed in the box"),"GROUP "&amp;$BH37&amp;" TOTAL  —  lots matching  "&amp;INDEX($AR$6:$AY$6,$BH37))))),""))</f>
        <v/>
      </c>
      <c r="E34">
        <f>IF($BJ37&gt;0,IF(INDEX('Final Calculation Sheet'!$D$4:$D$40,$BJ37-3)="","",INDEX('Final Calculation Sheet'!$D$4:$D$40,$BJ37-3)),IF(OR($BI37=1,$BL37=1,$BH37&gt;0),"–",""))</f>
        <v/>
      </c>
      <c r="F34">
        <f>IF($BJ37&gt;0,IF(INDEX('Final Calculation Sheet'!$A$4:$A$40,$BJ37-3)="","",INDEX('Final Calculation Sheet'!$A$4:$A$40,$BJ37-3)),IF(OR($BI37=1,$BL37=1,$BH37&gt;0),IF($BI37=1,SUM('Final Calculation Sheet'!$A$4:$A$40),IF($BL37=1,SUM('Final Calculation Sheet'!$A$4:$A$40)-SUMIFS('Final Calculation Sheet'!$A$4:$A$40,$AZ$5:$AZ$41,10),SUMIFS('Final Calculation Sheet'!$A$4:$A$40,$AZ$5:$AZ$41,$BH37))),""))</f>
        <v/>
      </c>
      <c r="G34">
        <f>IF($BJ37&gt;0,IF(INDEX('Final Calculation Sheet'!$E$4:$E$40,$BJ37-3)="","",INDEX('Final Calculation Sheet'!$E$4:$E$40,$BJ37-3)),IF(OR($BI37=1,$BL37=1,$BH37&gt;0),"–",""))</f>
        <v/>
      </c>
      <c r="H34">
        <f>IF($BJ37&gt;0,IF(INDEX('Final Calculation Sheet'!$C$4:$C$40,$BJ37-3)="","",INDEX('Final Calculation Sheet'!$C$4:$C$40,$BJ37-3)),IF(OR($BI37=1,$BL37=1,$BH37&gt;0),"–",""))</f>
        <v/>
      </c>
      <c r="I34">
        <f>IF($BJ37&gt;0,IF(INDEX('Final Calculation Sheet'!$H$4:$H$40,$BJ37-3)="","",INDEX('Final Calculation Sheet'!$H$4:$H$40,$BJ37-3)),IF(OR($BI37=1,$BL37=1,$BH37&gt;0),IF($BI37=1,SUM('Final Calculation Sheet'!$H$4:$H$40),IF($BL37=1,SUM('Final Calculation Sheet'!$H$4:$H$40)-SUMIFS('Final Calculation Sheet'!$H$4:$H$40,$AZ$5:$AZ$41,10),SUMIFS('Final Calculation Sheet'!$H$4:$H$40,$AZ$5:$AZ$41,$BH37))),""))</f>
        <v/>
      </c>
      <c r="J34">
        <f>IF($BJ37&gt;0,IF(INDEX('Final Calculation Sheet'!$I$4:$I$40,$BJ37-3)="","",INDEX('Final Calculation Sheet'!$I$4:$I$40,$BJ37-3)),IF(OR($BI37=1,$BL37=1,$BH37&gt;0),IF($BI37=1,SUM('Final Calculation Sheet'!$I$4:$I$40),IF($BL37=1,SUM('Final Calculation Sheet'!$I$4:$I$40)-SUMIFS('Final Calculation Sheet'!$I$4:$I$40,$AZ$5:$AZ$41,10),SUMIFS('Final Calculation Sheet'!$I$4:$I$40,$AZ$5:$AZ$41,$BH37))),""))</f>
        <v/>
      </c>
      <c r="K34">
        <f>IF($BJ37&gt;0,IF(INDEX('Final Calculation Sheet'!$J$4:$J$40,$BJ37-3)="","",INDEX('Final Calculation Sheet'!$J$4:$J$40,$BJ37-3)),IF(OR($BI37=1,$BL37=1,$BH37&gt;0),IF($BI37=1,SUM('Final Calculation Sheet'!$J$4:$J$40),IF($BL37=1,SUM('Final Calculation Sheet'!$J$4:$J$40)-SUMIFS('Final Calculation Sheet'!$J$4:$J$40,$AZ$5:$AZ$41,10),SUMIFS('Final Calculation Sheet'!$J$4:$J$40,$AZ$5:$AZ$41,$BH37))),""))</f>
        <v/>
      </c>
      <c r="L34">
        <f>IF($BJ37&gt;0,IF(INDEX('Final Calculation Sheet'!$K$4:$K$40,$BJ37-3)="","",INDEX('Final Calculation Sheet'!$K$4:$K$40,$BJ37-3)),IF(OR($BI37=1,$BL37=1,$BH37&gt;0),IF($BI37=1,SUM('Final Calculation Sheet'!$K$4:$K$40),IF($BL37=1,SUM('Final Calculation Sheet'!$K$4:$K$40)-SUMIFS('Final Calculation Sheet'!$K$4:$K$40,$AZ$5:$AZ$41,10),SUMIFS('Final Calculation Sheet'!$K$4:$K$40,$AZ$5:$AZ$41,$BH37))),""))</f>
        <v/>
      </c>
      <c r="M34">
        <f>IF($BJ37&gt;0,IF(INDEX('Final Calculation Sheet'!$L$4:$L$40,$BJ37-3)="","",INDEX('Final Calculation Sheet'!$L$4:$L$40,$BJ37-3)),IF(OR($BI37=1,$BL37=1,$BH37&gt;0),IF($BI37=1,SUM('Final Calculation Sheet'!$L$4:$L$40),IF($BL37=1,SUM('Final Calculation Sheet'!$L$4:$L$40)-SUMIFS('Final Calculation Sheet'!$L$4:$L$40,$AZ$5:$AZ$41,10),SUMIFS('Final Calculation Sheet'!$L$4:$L$40,$AZ$5:$AZ$41,$BH37))),""))</f>
        <v/>
      </c>
      <c r="N34">
        <f>IF($BJ37&gt;0,IF(INDEX('Final Calculation Sheet'!$M$4:$M$40,$BJ37-3)="","",INDEX('Final Calculation Sheet'!$M$4:$M$40,$BJ37-3)),IF(OR($BI37=1,$BL37=1,$BH37&gt;0),IF($BI37=1,SUM('Final Calculation Sheet'!$M$4:$M$40),IF($BL37=1,SUM('Final Calculation Sheet'!$M$4:$M$40)-SUMIFS('Final Calculation Sheet'!$M$4:$M$40,$AZ$5:$AZ$41,10),SUMIFS('Final Calculation Sheet'!$M$4:$M$40,$AZ$5:$AZ$41,$BH37))),""))</f>
        <v/>
      </c>
      <c r="O34">
        <f>IF($BJ37&gt;0,IF(INDEX('Final Calculation Sheet'!$N$4:$N$40,$BJ37-3)="","",INDEX('Final Calculation Sheet'!$N$4:$N$40,$BJ37-3)),IF(OR($BI37=1,$BL37=1,$BH37&gt;0),IF($BI37=1,SUM('Final Calculation Sheet'!$N$4:$N$40),IF($BL37=1,SUM('Final Calculation Sheet'!$N$4:$N$40)-SUMIFS('Final Calculation Sheet'!$N$4:$N$40,$AZ$5:$AZ$41,10),SUMIFS('Final Calculation Sheet'!$N$4:$N$40,$AZ$5:$AZ$41,$BH37))),""))</f>
        <v/>
      </c>
      <c r="P34">
        <f>IF($BJ37&gt;0,IF(INDEX('Final Calculation Sheet'!$O$4:$O$40,$BJ37-3)="","",INDEX('Final Calculation Sheet'!$O$4:$O$40,$BJ37-3)),IF(OR($BI37=1,$BL37=1,$BH37&gt;0),IF($BI37=1,SUM('Final Calculation Sheet'!$O$4:$O$40),IF($BL37=1,SUM('Final Calculation Sheet'!$O$4:$O$40)-SUMIFS('Final Calculation Sheet'!$O$4:$O$40,$AZ$5:$AZ$41,10),SUMIFS('Final Calculation Sheet'!$O$4:$O$40,$AZ$5:$AZ$41,$BH37))),""))</f>
        <v/>
      </c>
      <c r="Q34">
        <f>IF($BJ37&gt;0,IF(INDEX('Final Calculation Sheet'!$P$4:$P$40,$BJ37-3)="","",INDEX('Final Calculation Sheet'!$P$4:$P$40,$BJ37-3)),IF(OR($BI37=1,$BL37=1,$BH37&gt;0),IF($BI37=1,SUM('Final Calculation Sheet'!$P$4:$P$40),IF($BL37=1,SUM('Final Calculation Sheet'!$P$4:$P$40)-SUMIFS('Final Calculation Sheet'!$P$4:$P$40,$AZ$5:$AZ$41,10),SUMIFS('Final Calculation Sheet'!$P$4:$P$40,$AZ$5:$AZ$41,$BH37))),""))</f>
        <v/>
      </c>
      <c r="R34">
        <f>IF($BJ37&gt;0,IF(INDEX('Final Calculation Sheet'!$Q$4:$Q$40,$BJ37-3)="","",INDEX('Final Calculation Sheet'!$Q$4:$Q$40,$BJ37-3)),IF(OR($BI37=1,$BL37=1,$BH37&gt;0),"–",""))</f>
        <v/>
      </c>
      <c r="S34">
        <f>IF($BJ37&gt;0,IF(INDEX('Final Calculation Sheet'!$R$4:$R$40,$BJ37-3)="","",INDEX('Final Calculation Sheet'!$R$4:$R$40,$BJ37-3)),IF(OR($BI37=1,$BL37=1,$BH37&gt;0),IF($BI37=1,SUM('Final Calculation Sheet'!$R$4:$R$40),IF($BL37=1,SUM('Final Calculation Sheet'!$R$4:$R$40)-SUMIFS('Final Calculation Sheet'!$R$4:$R$40,$AZ$5:$AZ$41,10),SUMIFS('Final Calculation Sheet'!$R$4:$R$40,$AZ$5:$AZ$41,$BH37))),""))</f>
        <v/>
      </c>
      <c r="T34">
        <f>IF($BJ37&gt;0,IF(INDEX('Final Calculation Sheet'!$S$4:$S$40,$BJ37-3)="","",INDEX('Final Calculation Sheet'!$S$4:$S$40,$BJ37-3)),IF(OR($BI37=1,$BL37=1,$BH37&gt;0),IF($BI37=1,SUM('Final Calculation Sheet'!$S$4:$S$40),IF($BL37=1,SUM('Final Calculation Sheet'!$S$4:$S$40)-SUMIFS('Final Calculation Sheet'!$S$4:$S$40,$AZ$5:$AZ$41,10),SUMIFS('Final Calculation Sheet'!$S$4:$S$40,$AZ$5:$AZ$41,$BH37))),""))</f>
        <v/>
      </c>
      <c r="U34">
        <f>IF($BJ37&gt;0,IF(INDEX('Final Calculation Sheet'!$T$4:$T$40,$BJ37-3)="","",INDEX('Final Calculation Sheet'!$T$4:$T$40,$BJ37-3)),IF(OR($BI37=1,$BL37=1,$BH37&gt;0),IF($BI37=1,SUM('Final Calculation Sheet'!$T$4:$T$40),IF($BL37=1,SUM('Final Calculation Sheet'!$T$4:$T$40)-SUMIFS('Final Calculation Sheet'!$T$4:$T$40,$AZ$5:$AZ$41,10),SUMIFS('Final Calculation Sheet'!$T$4:$T$40,$AZ$5:$AZ$41,$BH37))),""))</f>
        <v/>
      </c>
      <c r="V34">
        <f>IF($BJ37&gt;0,IF(INDEX('Final Calculation Sheet'!$U$4:$U$40,$BJ37-3)="","",INDEX('Final Calculation Sheet'!$U$4:$U$40,$BJ37-3)),IF(OR($BI37=1,$BL37=1,$BH37&gt;0),IF($BI37=1,SUM('Final Calculation Sheet'!$U$4:$U$40),IF($BL37=1,SUM('Final Calculation Sheet'!$U$4:$U$40)-SUMIFS('Final Calculation Sheet'!$U$4:$U$40,$AZ$5:$AZ$41,10),SUMIFS('Final Calculation Sheet'!$U$4:$U$40,$AZ$5:$AZ$41,$BH37))),""))</f>
        <v/>
      </c>
      <c r="W34">
        <f>IF($BJ37&gt;0,IF(INDEX('Final Calculation Sheet'!$V$4:$V$40,$BJ37-3)="","",INDEX('Final Calculation Sheet'!$V$4:$V$40,$BJ37-3)),IF(OR($BI37=1,$BL37=1,$BH37&gt;0),"–",""))</f>
        <v/>
      </c>
      <c r="X34">
        <f>IF($BJ37&gt;0,IF(INDEX('Final Calculation Sheet'!$W$4:$W$40,$BJ37-3)="","",INDEX('Final Calculation Sheet'!$W$4:$W$40,$BJ37-3)),IF(OR($BI37=1,$BL37=1,$BH37&gt;0),IF($BI37=1,SUM('Final Calculation Sheet'!$W$4:$W$40),IF($BL37=1,SUM('Final Calculation Sheet'!$W$4:$W$40)-SUMIFS('Final Calculation Sheet'!$W$4:$W$40,$AZ$5:$AZ$41,10),SUMIFS('Final Calculation Sheet'!$W$4:$W$40,$AZ$5:$AZ$41,$BH37))),""))</f>
        <v/>
      </c>
      <c r="Y34">
        <f>IF($BJ37&gt;0,IF(INDEX('Final Calculation Sheet'!$X$4:$X$40,$BJ37-3)="","",INDEX('Final Calculation Sheet'!$X$4:$X$40,$BJ37-3)),IF(OR($BI37=1,$BL37=1,$BH37&gt;0),IF($BI37=1,SUM('Final Calculation Sheet'!$X$4:$X$40),IF($BL37=1,SUM('Final Calculation Sheet'!$X$4:$X$40)-SUMIFS('Final Calculation Sheet'!$X$4:$X$40,$AZ$5:$AZ$41,10),SUMIFS('Final Calculation Sheet'!$X$4:$X$40,$AZ$5:$AZ$41,$BH37))),""))</f>
        <v/>
      </c>
      <c r="Z34">
        <f>IF($BJ37&gt;0,IF(INDEX('Final Calculation Sheet'!$Y$4:$Y$40,$BJ37-3)="","",INDEX('Final Calculation Sheet'!$Y$4:$Y$40,$BJ37-3)),IF(OR($BI37=1,$BL37=1,$BH37&gt;0),"–",""))</f>
        <v/>
      </c>
      <c r="AA34">
        <f>IF($BJ37&gt;0,IF(INDEX('Final Calculation Sheet'!$Z$4:$Z$40,$BJ37-3)="","",INDEX('Final Calculation Sheet'!$Z$4:$Z$40,$BJ37-3)),IF(OR($BI37=1,$BL37=1,$BH37&gt;0),IF($BI37=1,SUM('Final Calculation Sheet'!$Z$4:$Z$40),IF($BL37=1,SUM('Final Calculation Sheet'!$Z$4:$Z$40)-SUMIFS('Final Calculation Sheet'!$Z$4:$Z$40,$AZ$5:$AZ$41,10),SUMIFS('Final Calculation Sheet'!$Z$4:$Z$40,$AZ$5:$AZ$41,$BH37))),""))</f>
        <v/>
      </c>
      <c r="AB34">
        <f>IF($BJ37&gt;0,IF(INDEX('Final Calculation Sheet'!$AA$4:$AA$40,$BJ37-3)="","",INDEX('Final Calculation Sheet'!$AA$4:$AA$40,$BJ37-3)),IF(OR($BI37=1,$BL37=1,$BH37&gt;0),IF($BI37=1,SUM('Final Calculation Sheet'!$AA$4:$AA$40),IF($BL37=1,SUM('Final Calculation Sheet'!$AA$4:$AA$40)-SUMIFS('Final Calculation Sheet'!$AA$4:$AA$40,$AZ$5:$AZ$41,10),SUMIFS('Final Calculation Sheet'!$AA$4:$AA$40,$AZ$5:$AZ$41,$BH37))),""))</f>
        <v/>
      </c>
      <c r="AC34">
        <f>IF($BJ37&gt;0,IF(INDEX('Final Calculation Sheet'!$AB$4:$AB$40,$BJ37-3)="","",INDEX('Final Calculation Sheet'!$AB$4:$AB$40,$BJ37-3)),IF(OR($BI37=1,$BL37=1,$BH37&gt;0),"–",""))</f>
        <v/>
      </c>
      <c r="AD34">
        <f>IF($BJ37&gt;0,IF(INDEX('Final Calculation Sheet'!$AC$4:$AC$40,$BJ37-3)="","",INDEX('Final Calculation Sheet'!$AC$4:$AC$40,$BJ37-3)),IF(OR($BI37=1,$BL37=1,$BH37&gt;0),IF($BI37=1,SUM('Final Calculation Sheet'!$AC$4:$AC$40),IF($BL37=1,SUM('Final Calculation Sheet'!$AC$4:$AC$40)-SUMIFS('Final Calculation Sheet'!$AC$4:$AC$40,$AZ$5:$AZ$41,10),SUMIFS('Final Calculation Sheet'!$AC$4:$AC$40,$AZ$5:$AZ$41,$BH37))),""))</f>
        <v/>
      </c>
      <c r="AE34">
        <f>IF($BJ37&gt;0,IF(INDEX('Final Calculation Sheet'!$AD$4:$AD$40,$BJ37-3)="","",INDEX('Final Calculation Sheet'!$AD$4:$AD$40,$BJ37-3)),IF(OR($BI37=1,$BL37=1,$BH37&gt;0),IF($BI37=1,SUM('Final Calculation Sheet'!$AD$4:$AD$40),IF($BL37=1,SUM('Final Calculation Sheet'!$AD$4:$AD$40)-SUMIFS('Final Calculation Sheet'!$AD$4:$AD$40,$AZ$5:$AZ$41,10),SUMIFS('Final Calculation Sheet'!$AD$4:$AD$40,$AZ$5:$AZ$41,$BH37))),""))</f>
        <v/>
      </c>
      <c r="AF34">
        <f>IF($BJ37&gt;0,IF(INDEX('Final Calculation Sheet'!$AF$4:$AF$40,$BJ37-3)="","",INDEX('Final Calculation Sheet'!$AF$4:$AF$40,$BJ37-3)),IF(OR($BI37=1,$BL37=1,$BH37&gt;0),"–",""))</f>
        <v/>
      </c>
      <c r="AG34">
        <f>IF($BJ37&gt;0,IF(INDEX('Final Calculation Sheet'!$AG$4:$AG$40,$BJ37-3)="","",INDEX('Final Calculation Sheet'!$AG$4:$AG$40,$BJ37-3)),IF(OR($BI37=1,$BL37=1,$BH37&gt;0),"–",""))</f>
        <v/>
      </c>
      <c r="AH34">
        <f>IF($BJ37&gt;0,IF(INDEX('Final Calculation Sheet'!$AH$4:$AH$40,$BJ37-3)="","",INDEX('Final Calculation Sheet'!$AH$4:$AH$40,$BJ37-3)),IF(OR($BI37=1,$BL37=1,$BH37&gt;0),"–",""))</f>
        <v/>
      </c>
      <c r="AI34">
        <f>IF($BJ37&gt;0,IF(INDEX('Final Calculation Sheet'!$AD$4:$AD$40,$BJ37-3)="","",IF(INDEX('Final Calculation Sheet'!$AD$4:$AD$40,$BJ37-3)&lt;=5,"SETTLED","OUTSTANDING")),IF(OR($BI37=1,$BL37=1,$BH37&gt;0),IF(IF($BI37=1,SUM('Final Calculation Sheet'!$AD$4:$AD$40),IF($BL37=1,SUM('Final Calculation Sheet'!$AD$4:$AD$40)-SUMIFS('Final Calculation Sheet'!$AD$4:$AD$40,$AZ$5:$AZ$41,10),SUMIFS('Final Calculation Sheet'!$AD$4:$AD$40,$AZ$5:$AZ$41,$BH37)))&lt;=5,"ALL SETTLED","OUTSTANDING"),""))</f>
        <v/>
      </c>
    </row>
    <row r="35">
      <c r="A35">
        <f>IF($BJ38&gt;0,INDEX($BA$5:$BA$41,MATCH(38,$BB$5:$BB$41,0)),IF(OR($BI38=1,$BL38=1,$BH38&gt;0),"∑",""))</f>
        <v/>
      </c>
      <c r="B35">
        <f>IF($BJ38&gt;0,IF(INDEX('Final Calculation Sheet'!$F$4:$F$40,$BJ38-3)="","",INDEX('Final Calculation Sheet'!$F$4:$F$40,$BJ38-3)),"")</f>
        <v/>
      </c>
      <c r="C35">
        <f>IF($BJ38&gt;0,IF(INDEX('Final Calculation Sheet'!$G$4:$G$40,$BJ38-3)="","",INDEX('Final Calculation Sheet'!$G$4:$G$40,$BJ38-3)),IF(OR($BI38=1,$BL38=1,$BH38&gt;0),IF($BI38=1,37,IF($BL38=1,37-INDEX($BD$4:$BD$13,10),INDEX($BD$4:$BD$13,$BH38)))&amp;" lot(s)",""))</f>
        <v/>
      </c>
      <c r="D35">
        <f>IF($BJ38&gt;0,IF(INDEX('Final Calculation Sheet'!$B$4:$B$40,$BJ38-3)="","",INDEX('Final Calculation Sheet'!$B$4:$B$40,$BJ38-3)),IF(OR($BI38=1,$BL38=1,$BH38&gt;0),IF($BI38=1,"GRAND TOTAL  —  matching + remaining",IF($BL38=1,"TOTAL MATCHED  —  every group together",IF($BH38=10,"REMAINING  —  did not match the search",IF($BH38=9,IF(COUNTIF($A$4:$AI$4,"&lt;&gt;")&gt;0,"FILTERED LOTS  —  column fields","ALL LOTS  —  nothing typed in the box"),"GROUP "&amp;$BH38&amp;" TOTAL  —  lots matching  "&amp;INDEX($AR$6:$AY$6,$BH38))))),""))</f>
        <v/>
      </c>
      <c r="E35">
        <f>IF($BJ38&gt;0,IF(INDEX('Final Calculation Sheet'!$D$4:$D$40,$BJ38-3)="","",INDEX('Final Calculation Sheet'!$D$4:$D$40,$BJ38-3)),IF(OR($BI38=1,$BL38=1,$BH38&gt;0),"–",""))</f>
        <v/>
      </c>
      <c r="F35">
        <f>IF($BJ38&gt;0,IF(INDEX('Final Calculation Sheet'!$A$4:$A$40,$BJ38-3)="","",INDEX('Final Calculation Sheet'!$A$4:$A$40,$BJ38-3)),IF(OR($BI38=1,$BL38=1,$BH38&gt;0),IF($BI38=1,SUM('Final Calculation Sheet'!$A$4:$A$40),IF($BL38=1,SUM('Final Calculation Sheet'!$A$4:$A$40)-SUMIFS('Final Calculation Sheet'!$A$4:$A$40,$AZ$5:$AZ$41,10),SUMIFS('Final Calculation Sheet'!$A$4:$A$40,$AZ$5:$AZ$41,$BH38))),""))</f>
        <v/>
      </c>
      <c r="G35">
        <f>IF($BJ38&gt;0,IF(INDEX('Final Calculation Sheet'!$E$4:$E$40,$BJ38-3)="","",INDEX('Final Calculation Sheet'!$E$4:$E$40,$BJ38-3)),IF(OR($BI38=1,$BL38=1,$BH38&gt;0),"–",""))</f>
        <v/>
      </c>
      <c r="H35">
        <f>IF($BJ38&gt;0,IF(INDEX('Final Calculation Sheet'!$C$4:$C$40,$BJ38-3)="","",INDEX('Final Calculation Sheet'!$C$4:$C$40,$BJ38-3)),IF(OR($BI38=1,$BL38=1,$BH38&gt;0),"–",""))</f>
        <v/>
      </c>
      <c r="I35">
        <f>IF($BJ38&gt;0,IF(INDEX('Final Calculation Sheet'!$H$4:$H$40,$BJ38-3)="","",INDEX('Final Calculation Sheet'!$H$4:$H$40,$BJ38-3)),IF(OR($BI38=1,$BL38=1,$BH38&gt;0),IF($BI38=1,SUM('Final Calculation Sheet'!$H$4:$H$40),IF($BL38=1,SUM('Final Calculation Sheet'!$H$4:$H$40)-SUMIFS('Final Calculation Sheet'!$H$4:$H$40,$AZ$5:$AZ$41,10),SUMIFS('Final Calculation Sheet'!$H$4:$H$40,$AZ$5:$AZ$41,$BH38))),""))</f>
        <v/>
      </c>
      <c r="J35">
        <f>IF($BJ38&gt;0,IF(INDEX('Final Calculation Sheet'!$I$4:$I$40,$BJ38-3)="","",INDEX('Final Calculation Sheet'!$I$4:$I$40,$BJ38-3)),IF(OR($BI38=1,$BL38=1,$BH38&gt;0),IF($BI38=1,SUM('Final Calculation Sheet'!$I$4:$I$40),IF($BL38=1,SUM('Final Calculation Sheet'!$I$4:$I$40)-SUMIFS('Final Calculation Sheet'!$I$4:$I$40,$AZ$5:$AZ$41,10),SUMIFS('Final Calculation Sheet'!$I$4:$I$40,$AZ$5:$AZ$41,$BH38))),""))</f>
        <v/>
      </c>
      <c r="K35">
        <f>IF($BJ38&gt;0,IF(INDEX('Final Calculation Sheet'!$J$4:$J$40,$BJ38-3)="","",INDEX('Final Calculation Sheet'!$J$4:$J$40,$BJ38-3)),IF(OR($BI38=1,$BL38=1,$BH38&gt;0),IF($BI38=1,SUM('Final Calculation Sheet'!$J$4:$J$40),IF($BL38=1,SUM('Final Calculation Sheet'!$J$4:$J$40)-SUMIFS('Final Calculation Sheet'!$J$4:$J$40,$AZ$5:$AZ$41,10),SUMIFS('Final Calculation Sheet'!$J$4:$J$40,$AZ$5:$AZ$41,$BH38))),""))</f>
        <v/>
      </c>
      <c r="L35">
        <f>IF($BJ38&gt;0,IF(INDEX('Final Calculation Sheet'!$K$4:$K$40,$BJ38-3)="","",INDEX('Final Calculation Sheet'!$K$4:$K$40,$BJ38-3)),IF(OR($BI38=1,$BL38=1,$BH38&gt;0),IF($BI38=1,SUM('Final Calculation Sheet'!$K$4:$K$40),IF($BL38=1,SUM('Final Calculation Sheet'!$K$4:$K$40)-SUMIFS('Final Calculation Sheet'!$K$4:$K$40,$AZ$5:$AZ$41,10),SUMIFS('Final Calculation Sheet'!$K$4:$K$40,$AZ$5:$AZ$41,$BH38))),""))</f>
        <v/>
      </c>
      <c r="M35">
        <f>IF($BJ38&gt;0,IF(INDEX('Final Calculation Sheet'!$L$4:$L$40,$BJ38-3)="","",INDEX('Final Calculation Sheet'!$L$4:$L$40,$BJ38-3)),IF(OR($BI38=1,$BL38=1,$BH38&gt;0),IF($BI38=1,SUM('Final Calculation Sheet'!$L$4:$L$40),IF($BL38=1,SUM('Final Calculation Sheet'!$L$4:$L$40)-SUMIFS('Final Calculation Sheet'!$L$4:$L$40,$AZ$5:$AZ$41,10),SUMIFS('Final Calculation Sheet'!$L$4:$L$40,$AZ$5:$AZ$41,$BH38))),""))</f>
        <v/>
      </c>
      <c r="N35">
        <f>IF($BJ38&gt;0,IF(INDEX('Final Calculation Sheet'!$M$4:$M$40,$BJ38-3)="","",INDEX('Final Calculation Sheet'!$M$4:$M$40,$BJ38-3)),IF(OR($BI38=1,$BL38=1,$BH38&gt;0),IF($BI38=1,SUM('Final Calculation Sheet'!$M$4:$M$40),IF($BL38=1,SUM('Final Calculation Sheet'!$M$4:$M$40)-SUMIFS('Final Calculation Sheet'!$M$4:$M$40,$AZ$5:$AZ$41,10),SUMIFS('Final Calculation Sheet'!$M$4:$M$40,$AZ$5:$AZ$41,$BH38))),""))</f>
        <v/>
      </c>
      <c r="O35">
        <f>IF($BJ38&gt;0,IF(INDEX('Final Calculation Sheet'!$N$4:$N$40,$BJ38-3)="","",INDEX('Final Calculation Sheet'!$N$4:$N$40,$BJ38-3)),IF(OR($BI38=1,$BL38=1,$BH38&gt;0),IF($BI38=1,SUM('Final Calculation Sheet'!$N$4:$N$40),IF($BL38=1,SUM('Final Calculation Sheet'!$N$4:$N$40)-SUMIFS('Final Calculation Sheet'!$N$4:$N$40,$AZ$5:$AZ$41,10),SUMIFS('Final Calculation Sheet'!$N$4:$N$40,$AZ$5:$AZ$41,$BH38))),""))</f>
        <v/>
      </c>
      <c r="P35">
        <f>IF($BJ38&gt;0,IF(INDEX('Final Calculation Sheet'!$O$4:$O$40,$BJ38-3)="","",INDEX('Final Calculation Sheet'!$O$4:$O$40,$BJ38-3)),IF(OR($BI38=1,$BL38=1,$BH38&gt;0),IF($BI38=1,SUM('Final Calculation Sheet'!$O$4:$O$40),IF($BL38=1,SUM('Final Calculation Sheet'!$O$4:$O$40)-SUMIFS('Final Calculation Sheet'!$O$4:$O$40,$AZ$5:$AZ$41,10),SUMIFS('Final Calculation Sheet'!$O$4:$O$40,$AZ$5:$AZ$41,$BH38))),""))</f>
        <v/>
      </c>
      <c r="Q35">
        <f>IF($BJ38&gt;0,IF(INDEX('Final Calculation Sheet'!$P$4:$P$40,$BJ38-3)="","",INDEX('Final Calculation Sheet'!$P$4:$P$40,$BJ38-3)),IF(OR($BI38=1,$BL38=1,$BH38&gt;0),IF($BI38=1,SUM('Final Calculation Sheet'!$P$4:$P$40),IF($BL38=1,SUM('Final Calculation Sheet'!$P$4:$P$40)-SUMIFS('Final Calculation Sheet'!$P$4:$P$40,$AZ$5:$AZ$41,10),SUMIFS('Final Calculation Sheet'!$P$4:$P$40,$AZ$5:$AZ$41,$BH38))),""))</f>
        <v/>
      </c>
      <c r="R35">
        <f>IF($BJ38&gt;0,IF(INDEX('Final Calculation Sheet'!$Q$4:$Q$40,$BJ38-3)="","",INDEX('Final Calculation Sheet'!$Q$4:$Q$40,$BJ38-3)),IF(OR($BI38=1,$BL38=1,$BH38&gt;0),"–",""))</f>
        <v/>
      </c>
      <c r="S35">
        <f>IF($BJ38&gt;0,IF(INDEX('Final Calculation Sheet'!$R$4:$R$40,$BJ38-3)="","",INDEX('Final Calculation Sheet'!$R$4:$R$40,$BJ38-3)),IF(OR($BI38=1,$BL38=1,$BH38&gt;0),IF($BI38=1,SUM('Final Calculation Sheet'!$R$4:$R$40),IF($BL38=1,SUM('Final Calculation Sheet'!$R$4:$R$40)-SUMIFS('Final Calculation Sheet'!$R$4:$R$40,$AZ$5:$AZ$41,10),SUMIFS('Final Calculation Sheet'!$R$4:$R$40,$AZ$5:$AZ$41,$BH38))),""))</f>
        <v/>
      </c>
      <c r="T35">
        <f>IF($BJ38&gt;0,IF(INDEX('Final Calculation Sheet'!$S$4:$S$40,$BJ38-3)="","",INDEX('Final Calculation Sheet'!$S$4:$S$40,$BJ38-3)),IF(OR($BI38=1,$BL38=1,$BH38&gt;0),IF($BI38=1,SUM('Final Calculation Sheet'!$S$4:$S$40),IF($BL38=1,SUM('Final Calculation Sheet'!$S$4:$S$40)-SUMIFS('Final Calculation Sheet'!$S$4:$S$40,$AZ$5:$AZ$41,10),SUMIFS('Final Calculation Sheet'!$S$4:$S$40,$AZ$5:$AZ$41,$BH38))),""))</f>
        <v/>
      </c>
      <c r="U35">
        <f>IF($BJ38&gt;0,IF(INDEX('Final Calculation Sheet'!$T$4:$T$40,$BJ38-3)="","",INDEX('Final Calculation Sheet'!$T$4:$T$40,$BJ38-3)),IF(OR($BI38=1,$BL38=1,$BH38&gt;0),IF($BI38=1,SUM('Final Calculation Sheet'!$T$4:$T$40),IF($BL38=1,SUM('Final Calculation Sheet'!$T$4:$T$40)-SUMIFS('Final Calculation Sheet'!$T$4:$T$40,$AZ$5:$AZ$41,10),SUMIFS('Final Calculation Sheet'!$T$4:$T$40,$AZ$5:$AZ$41,$BH38))),""))</f>
        <v/>
      </c>
      <c r="V35">
        <f>IF($BJ38&gt;0,IF(INDEX('Final Calculation Sheet'!$U$4:$U$40,$BJ38-3)="","",INDEX('Final Calculation Sheet'!$U$4:$U$40,$BJ38-3)),IF(OR($BI38=1,$BL38=1,$BH38&gt;0),IF($BI38=1,SUM('Final Calculation Sheet'!$U$4:$U$40),IF($BL38=1,SUM('Final Calculation Sheet'!$U$4:$U$40)-SUMIFS('Final Calculation Sheet'!$U$4:$U$40,$AZ$5:$AZ$41,10),SUMIFS('Final Calculation Sheet'!$U$4:$U$40,$AZ$5:$AZ$41,$BH38))),""))</f>
        <v/>
      </c>
      <c r="W35">
        <f>IF($BJ38&gt;0,IF(INDEX('Final Calculation Sheet'!$V$4:$V$40,$BJ38-3)="","",INDEX('Final Calculation Sheet'!$V$4:$V$40,$BJ38-3)),IF(OR($BI38=1,$BL38=1,$BH38&gt;0),"–",""))</f>
        <v/>
      </c>
      <c r="X35">
        <f>IF($BJ38&gt;0,IF(INDEX('Final Calculation Sheet'!$W$4:$W$40,$BJ38-3)="","",INDEX('Final Calculation Sheet'!$W$4:$W$40,$BJ38-3)),IF(OR($BI38=1,$BL38=1,$BH38&gt;0),IF($BI38=1,SUM('Final Calculation Sheet'!$W$4:$W$40),IF($BL38=1,SUM('Final Calculation Sheet'!$W$4:$W$40)-SUMIFS('Final Calculation Sheet'!$W$4:$W$40,$AZ$5:$AZ$41,10),SUMIFS('Final Calculation Sheet'!$W$4:$W$40,$AZ$5:$AZ$41,$BH38))),""))</f>
        <v/>
      </c>
      <c r="Y35">
        <f>IF($BJ38&gt;0,IF(INDEX('Final Calculation Sheet'!$X$4:$X$40,$BJ38-3)="","",INDEX('Final Calculation Sheet'!$X$4:$X$40,$BJ38-3)),IF(OR($BI38=1,$BL38=1,$BH38&gt;0),IF($BI38=1,SUM('Final Calculation Sheet'!$X$4:$X$40),IF($BL38=1,SUM('Final Calculation Sheet'!$X$4:$X$40)-SUMIFS('Final Calculation Sheet'!$X$4:$X$40,$AZ$5:$AZ$41,10),SUMIFS('Final Calculation Sheet'!$X$4:$X$40,$AZ$5:$AZ$41,$BH38))),""))</f>
        <v/>
      </c>
      <c r="Z35">
        <f>IF($BJ38&gt;0,IF(INDEX('Final Calculation Sheet'!$Y$4:$Y$40,$BJ38-3)="","",INDEX('Final Calculation Sheet'!$Y$4:$Y$40,$BJ38-3)),IF(OR($BI38=1,$BL38=1,$BH38&gt;0),"–",""))</f>
        <v/>
      </c>
      <c r="AA35">
        <f>IF($BJ38&gt;0,IF(INDEX('Final Calculation Sheet'!$Z$4:$Z$40,$BJ38-3)="","",INDEX('Final Calculation Sheet'!$Z$4:$Z$40,$BJ38-3)),IF(OR($BI38=1,$BL38=1,$BH38&gt;0),IF($BI38=1,SUM('Final Calculation Sheet'!$Z$4:$Z$40),IF($BL38=1,SUM('Final Calculation Sheet'!$Z$4:$Z$40)-SUMIFS('Final Calculation Sheet'!$Z$4:$Z$40,$AZ$5:$AZ$41,10),SUMIFS('Final Calculation Sheet'!$Z$4:$Z$40,$AZ$5:$AZ$41,$BH38))),""))</f>
        <v/>
      </c>
      <c r="AB35">
        <f>IF($BJ38&gt;0,IF(INDEX('Final Calculation Sheet'!$AA$4:$AA$40,$BJ38-3)="","",INDEX('Final Calculation Sheet'!$AA$4:$AA$40,$BJ38-3)),IF(OR($BI38=1,$BL38=1,$BH38&gt;0),IF($BI38=1,SUM('Final Calculation Sheet'!$AA$4:$AA$40),IF($BL38=1,SUM('Final Calculation Sheet'!$AA$4:$AA$40)-SUMIFS('Final Calculation Sheet'!$AA$4:$AA$40,$AZ$5:$AZ$41,10),SUMIFS('Final Calculation Sheet'!$AA$4:$AA$40,$AZ$5:$AZ$41,$BH38))),""))</f>
        <v/>
      </c>
      <c r="AC35">
        <f>IF($BJ38&gt;0,IF(INDEX('Final Calculation Sheet'!$AB$4:$AB$40,$BJ38-3)="","",INDEX('Final Calculation Sheet'!$AB$4:$AB$40,$BJ38-3)),IF(OR($BI38=1,$BL38=1,$BH38&gt;0),"–",""))</f>
        <v/>
      </c>
      <c r="AD35">
        <f>IF($BJ38&gt;0,IF(INDEX('Final Calculation Sheet'!$AC$4:$AC$40,$BJ38-3)="","",INDEX('Final Calculation Sheet'!$AC$4:$AC$40,$BJ38-3)),IF(OR($BI38=1,$BL38=1,$BH38&gt;0),IF($BI38=1,SUM('Final Calculation Sheet'!$AC$4:$AC$40),IF($BL38=1,SUM('Final Calculation Sheet'!$AC$4:$AC$40)-SUMIFS('Final Calculation Sheet'!$AC$4:$AC$40,$AZ$5:$AZ$41,10),SUMIFS('Final Calculation Sheet'!$AC$4:$AC$40,$AZ$5:$AZ$41,$BH38))),""))</f>
        <v/>
      </c>
      <c r="AE35">
        <f>IF($BJ38&gt;0,IF(INDEX('Final Calculation Sheet'!$AD$4:$AD$40,$BJ38-3)="","",INDEX('Final Calculation Sheet'!$AD$4:$AD$40,$BJ38-3)),IF(OR($BI38=1,$BL38=1,$BH38&gt;0),IF($BI38=1,SUM('Final Calculation Sheet'!$AD$4:$AD$40),IF($BL38=1,SUM('Final Calculation Sheet'!$AD$4:$AD$40)-SUMIFS('Final Calculation Sheet'!$AD$4:$AD$40,$AZ$5:$AZ$41,10),SUMIFS('Final Calculation Sheet'!$AD$4:$AD$40,$AZ$5:$AZ$41,$BH38))),""))</f>
        <v/>
      </c>
      <c r="AF35">
        <f>IF($BJ38&gt;0,IF(INDEX('Final Calculation Sheet'!$AF$4:$AF$40,$BJ38-3)="","",INDEX('Final Calculation Sheet'!$AF$4:$AF$40,$BJ38-3)),IF(OR($BI38=1,$BL38=1,$BH38&gt;0),"–",""))</f>
        <v/>
      </c>
      <c r="AG35">
        <f>IF($BJ38&gt;0,IF(INDEX('Final Calculation Sheet'!$AG$4:$AG$40,$BJ38-3)="","",INDEX('Final Calculation Sheet'!$AG$4:$AG$40,$BJ38-3)),IF(OR($BI38=1,$BL38=1,$BH38&gt;0),"–",""))</f>
        <v/>
      </c>
      <c r="AH35">
        <f>IF($BJ38&gt;0,IF(INDEX('Final Calculation Sheet'!$AH$4:$AH$40,$BJ38-3)="","",INDEX('Final Calculation Sheet'!$AH$4:$AH$40,$BJ38-3)),IF(OR($BI38=1,$BL38=1,$BH38&gt;0),"–",""))</f>
        <v/>
      </c>
      <c r="AI35">
        <f>IF($BJ38&gt;0,IF(INDEX('Final Calculation Sheet'!$AD$4:$AD$40,$BJ38-3)="","",IF(INDEX('Final Calculation Sheet'!$AD$4:$AD$40,$BJ38-3)&lt;=5,"SETTLED","OUTSTANDING")),IF(OR($BI38=1,$BL38=1,$BH38&gt;0),IF(IF($BI38=1,SUM('Final Calculation Sheet'!$AD$4:$AD$40),IF($BL38=1,SUM('Final Calculation Sheet'!$AD$4:$AD$40)-SUMIFS('Final Calculation Sheet'!$AD$4:$AD$40,$AZ$5:$AZ$41,10),SUMIFS('Final Calculation Sheet'!$AD$4:$AD$40,$AZ$5:$AZ$41,$BH38)))&lt;=5,"ALL SETTLED","OUTSTANDING"),""))</f>
        <v/>
      </c>
    </row>
    <row r="36">
      <c r="A36">
        <f>IF($BJ39&gt;0,INDEX($BA$5:$BA$41,MATCH(39,$BB$5:$BB$41,0)),IF(OR($BI39=1,$BL39=1,$BH39&gt;0),"∑",""))</f>
        <v/>
      </c>
      <c r="B36">
        <f>IF($BJ39&gt;0,IF(INDEX('Final Calculation Sheet'!$F$4:$F$40,$BJ39-3)="","",INDEX('Final Calculation Sheet'!$F$4:$F$40,$BJ39-3)),"")</f>
        <v/>
      </c>
      <c r="C36">
        <f>IF($BJ39&gt;0,IF(INDEX('Final Calculation Sheet'!$G$4:$G$40,$BJ39-3)="","",INDEX('Final Calculation Sheet'!$G$4:$G$40,$BJ39-3)),IF(OR($BI39=1,$BL39=1,$BH39&gt;0),IF($BI39=1,37,IF($BL39=1,37-INDEX($BD$4:$BD$13,10),INDEX($BD$4:$BD$13,$BH39)))&amp;" lot(s)",""))</f>
        <v/>
      </c>
      <c r="D36">
        <f>IF($BJ39&gt;0,IF(INDEX('Final Calculation Sheet'!$B$4:$B$40,$BJ39-3)="","",INDEX('Final Calculation Sheet'!$B$4:$B$40,$BJ39-3)),IF(OR($BI39=1,$BL39=1,$BH39&gt;0),IF($BI39=1,"GRAND TOTAL  —  matching + remaining",IF($BL39=1,"TOTAL MATCHED  —  every group together",IF($BH39=10,"REMAINING  —  did not match the search",IF($BH39=9,IF(COUNTIF($A$4:$AI$4,"&lt;&gt;")&gt;0,"FILTERED LOTS  —  column fields","ALL LOTS  —  nothing typed in the box"),"GROUP "&amp;$BH39&amp;" TOTAL  —  lots matching  "&amp;INDEX($AR$6:$AY$6,$BH39))))),""))</f>
        <v/>
      </c>
      <c r="E36">
        <f>IF($BJ39&gt;0,IF(INDEX('Final Calculation Sheet'!$D$4:$D$40,$BJ39-3)="","",INDEX('Final Calculation Sheet'!$D$4:$D$40,$BJ39-3)),IF(OR($BI39=1,$BL39=1,$BH39&gt;0),"–",""))</f>
        <v/>
      </c>
      <c r="F36">
        <f>IF($BJ39&gt;0,IF(INDEX('Final Calculation Sheet'!$A$4:$A$40,$BJ39-3)="","",INDEX('Final Calculation Sheet'!$A$4:$A$40,$BJ39-3)),IF(OR($BI39=1,$BL39=1,$BH39&gt;0),IF($BI39=1,SUM('Final Calculation Sheet'!$A$4:$A$40),IF($BL39=1,SUM('Final Calculation Sheet'!$A$4:$A$40)-SUMIFS('Final Calculation Sheet'!$A$4:$A$40,$AZ$5:$AZ$41,10),SUMIFS('Final Calculation Sheet'!$A$4:$A$40,$AZ$5:$AZ$41,$BH39))),""))</f>
        <v/>
      </c>
      <c r="G36">
        <f>IF($BJ39&gt;0,IF(INDEX('Final Calculation Sheet'!$E$4:$E$40,$BJ39-3)="","",INDEX('Final Calculation Sheet'!$E$4:$E$40,$BJ39-3)),IF(OR($BI39=1,$BL39=1,$BH39&gt;0),"–",""))</f>
        <v/>
      </c>
      <c r="H36">
        <f>IF($BJ39&gt;0,IF(INDEX('Final Calculation Sheet'!$C$4:$C$40,$BJ39-3)="","",INDEX('Final Calculation Sheet'!$C$4:$C$40,$BJ39-3)),IF(OR($BI39=1,$BL39=1,$BH39&gt;0),"–",""))</f>
        <v/>
      </c>
      <c r="I36">
        <f>IF($BJ39&gt;0,IF(INDEX('Final Calculation Sheet'!$H$4:$H$40,$BJ39-3)="","",INDEX('Final Calculation Sheet'!$H$4:$H$40,$BJ39-3)),IF(OR($BI39=1,$BL39=1,$BH39&gt;0),IF($BI39=1,SUM('Final Calculation Sheet'!$H$4:$H$40),IF($BL39=1,SUM('Final Calculation Sheet'!$H$4:$H$40)-SUMIFS('Final Calculation Sheet'!$H$4:$H$40,$AZ$5:$AZ$41,10),SUMIFS('Final Calculation Sheet'!$H$4:$H$40,$AZ$5:$AZ$41,$BH39))),""))</f>
        <v/>
      </c>
      <c r="J36">
        <f>IF($BJ39&gt;0,IF(INDEX('Final Calculation Sheet'!$I$4:$I$40,$BJ39-3)="","",INDEX('Final Calculation Sheet'!$I$4:$I$40,$BJ39-3)),IF(OR($BI39=1,$BL39=1,$BH39&gt;0),IF($BI39=1,SUM('Final Calculation Sheet'!$I$4:$I$40),IF($BL39=1,SUM('Final Calculation Sheet'!$I$4:$I$40)-SUMIFS('Final Calculation Sheet'!$I$4:$I$40,$AZ$5:$AZ$41,10),SUMIFS('Final Calculation Sheet'!$I$4:$I$40,$AZ$5:$AZ$41,$BH39))),""))</f>
        <v/>
      </c>
      <c r="K36">
        <f>IF($BJ39&gt;0,IF(INDEX('Final Calculation Sheet'!$J$4:$J$40,$BJ39-3)="","",INDEX('Final Calculation Sheet'!$J$4:$J$40,$BJ39-3)),IF(OR($BI39=1,$BL39=1,$BH39&gt;0),IF($BI39=1,SUM('Final Calculation Sheet'!$J$4:$J$40),IF($BL39=1,SUM('Final Calculation Sheet'!$J$4:$J$40)-SUMIFS('Final Calculation Sheet'!$J$4:$J$40,$AZ$5:$AZ$41,10),SUMIFS('Final Calculation Sheet'!$J$4:$J$40,$AZ$5:$AZ$41,$BH39))),""))</f>
        <v/>
      </c>
      <c r="L36">
        <f>IF($BJ39&gt;0,IF(INDEX('Final Calculation Sheet'!$K$4:$K$40,$BJ39-3)="","",INDEX('Final Calculation Sheet'!$K$4:$K$40,$BJ39-3)),IF(OR($BI39=1,$BL39=1,$BH39&gt;0),IF($BI39=1,SUM('Final Calculation Sheet'!$K$4:$K$40),IF($BL39=1,SUM('Final Calculation Sheet'!$K$4:$K$40)-SUMIFS('Final Calculation Sheet'!$K$4:$K$40,$AZ$5:$AZ$41,10),SUMIFS('Final Calculation Sheet'!$K$4:$K$40,$AZ$5:$AZ$41,$BH39))),""))</f>
        <v/>
      </c>
      <c r="M36">
        <f>IF($BJ39&gt;0,IF(INDEX('Final Calculation Sheet'!$L$4:$L$40,$BJ39-3)="","",INDEX('Final Calculation Sheet'!$L$4:$L$40,$BJ39-3)),IF(OR($BI39=1,$BL39=1,$BH39&gt;0),IF($BI39=1,SUM('Final Calculation Sheet'!$L$4:$L$40),IF($BL39=1,SUM('Final Calculation Sheet'!$L$4:$L$40)-SUMIFS('Final Calculation Sheet'!$L$4:$L$40,$AZ$5:$AZ$41,10),SUMIFS('Final Calculation Sheet'!$L$4:$L$40,$AZ$5:$AZ$41,$BH39))),""))</f>
        <v/>
      </c>
      <c r="N36">
        <f>IF($BJ39&gt;0,IF(INDEX('Final Calculation Sheet'!$M$4:$M$40,$BJ39-3)="","",INDEX('Final Calculation Sheet'!$M$4:$M$40,$BJ39-3)),IF(OR($BI39=1,$BL39=1,$BH39&gt;0),IF($BI39=1,SUM('Final Calculation Sheet'!$M$4:$M$40),IF($BL39=1,SUM('Final Calculation Sheet'!$M$4:$M$40)-SUMIFS('Final Calculation Sheet'!$M$4:$M$40,$AZ$5:$AZ$41,10),SUMIFS('Final Calculation Sheet'!$M$4:$M$40,$AZ$5:$AZ$41,$BH39))),""))</f>
        <v/>
      </c>
      <c r="O36">
        <f>IF($BJ39&gt;0,IF(INDEX('Final Calculation Sheet'!$N$4:$N$40,$BJ39-3)="","",INDEX('Final Calculation Sheet'!$N$4:$N$40,$BJ39-3)),IF(OR($BI39=1,$BL39=1,$BH39&gt;0),IF($BI39=1,SUM('Final Calculation Sheet'!$N$4:$N$40),IF($BL39=1,SUM('Final Calculation Sheet'!$N$4:$N$40)-SUMIFS('Final Calculation Sheet'!$N$4:$N$40,$AZ$5:$AZ$41,10),SUMIFS('Final Calculation Sheet'!$N$4:$N$40,$AZ$5:$AZ$41,$BH39))),""))</f>
        <v/>
      </c>
      <c r="P36">
        <f>IF($BJ39&gt;0,IF(INDEX('Final Calculation Sheet'!$O$4:$O$40,$BJ39-3)="","",INDEX('Final Calculation Sheet'!$O$4:$O$40,$BJ39-3)),IF(OR($BI39=1,$BL39=1,$BH39&gt;0),IF($BI39=1,SUM('Final Calculation Sheet'!$O$4:$O$40),IF($BL39=1,SUM('Final Calculation Sheet'!$O$4:$O$40)-SUMIFS('Final Calculation Sheet'!$O$4:$O$40,$AZ$5:$AZ$41,10),SUMIFS('Final Calculation Sheet'!$O$4:$O$40,$AZ$5:$AZ$41,$BH39))),""))</f>
        <v/>
      </c>
      <c r="Q36">
        <f>IF($BJ39&gt;0,IF(INDEX('Final Calculation Sheet'!$P$4:$P$40,$BJ39-3)="","",INDEX('Final Calculation Sheet'!$P$4:$P$40,$BJ39-3)),IF(OR($BI39=1,$BL39=1,$BH39&gt;0),IF($BI39=1,SUM('Final Calculation Sheet'!$P$4:$P$40),IF($BL39=1,SUM('Final Calculation Sheet'!$P$4:$P$40)-SUMIFS('Final Calculation Sheet'!$P$4:$P$40,$AZ$5:$AZ$41,10),SUMIFS('Final Calculation Sheet'!$P$4:$P$40,$AZ$5:$AZ$41,$BH39))),""))</f>
        <v/>
      </c>
      <c r="R36">
        <f>IF($BJ39&gt;0,IF(INDEX('Final Calculation Sheet'!$Q$4:$Q$40,$BJ39-3)="","",INDEX('Final Calculation Sheet'!$Q$4:$Q$40,$BJ39-3)),IF(OR($BI39=1,$BL39=1,$BH39&gt;0),"–",""))</f>
        <v/>
      </c>
      <c r="S36">
        <f>IF($BJ39&gt;0,IF(INDEX('Final Calculation Sheet'!$R$4:$R$40,$BJ39-3)="","",INDEX('Final Calculation Sheet'!$R$4:$R$40,$BJ39-3)),IF(OR($BI39=1,$BL39=1,$BH39&gt;0),IF($BI39=1,SUM('Final Calculation Sheet'!$R$4:$R$40),IF($BL39=1,SUM('Final Calculation Sheet'!$R$4:$R$40)-SUMIFS('Final Calculation Sheet'!$R$4:$R$40,$AZ$5:$AZ$41,10),SUMIFS('Final Calculation Sheet'!$R$4:$R$40,$AZ$5:$AZ$41,$BH39))),""))</f>
        <v/>
      </c>
      <c r="T36">
        <f>IF($BJ39&gt;0,IF(INDEX('Final Calculation Sheet'!$S$4:$S$40,$BJ39-3)="","",INDEX('Final Calculation Sheet'!$S$4:$S$40,$BJ39-3)),IF(OR($BI39=1,$BL39=1,$BH39&gt;0),IF($BI39=1,SUM('Final Calculation Sheet'!$S$4:$S$40),IF($BL39=1,SUM('Final Calculation Sheet'!$S$4:$S$40)-SUMIFS('Final Calculation Sheet'!$S$4:$S$40,$AZ$5:$AZ$41,10),SUMIFS('Final Calculation Sheet'!$S$4:$S$40,$AZ$5:$AZ$41,$BH39))),""))</f>
        <v/>
      </c>
      <c r="U36">
        <f>IF($BJ39&gt;0,IF(INDEX('Final Calculation Sheet'!$T$4:$T$40,$BJ39-3)="","",INDEX('Final Calculation Sheet'!$T$4:$T$40,$BJ39-3)),IF(OR($BI39=1,$BL39=1,$BH39&gt;0),IF($BI39=1,SUM('Final Calculation Sheet'!$T$4:$T$40),IF($BL39=1,SUM('Final Calculation Sheet'!$T$4:$T$40)-SUMIFS('Final Calculation Sheet'!$T$4:$T$40,$AZ$5:$AZ$41,10),SUMIFS('Final Calculation Sheet'!$T$4:$T$40,$AZ$5:$AZ$41,$BH39))),""))</f>
        <v/>
      </c>
      <c r="V36">
        <f>IF($BJ39&gt;0,IF(INDEX('Final Calculation Sheet'!$U$4:$U$40,$BJ39-3)="","",INDEX('Final Calculation Sheet'!$U$4:$U$40,$BJ39-3)),IF(OR($BI39=1,$BL39=1,$BH39&gt;0),IF($BI39=1,SUM('Final Calculation Sheet'!$U$4:$U$40),IF($BL39=1,SUM('Final Calculation Sheet'!$U$4:$U$40)-SUMIFS('Final Calculation Sheet'!$U$4:$U$40,$AZ$5:$AZ$41,10),SUMIFS('Final Calculation Sheet'!$U$4:$U$40,$AZ$5:$AZ$41,$BH39))),""))</f>
        <v/>
      </c>
      <c r="W36">
        <f>IF($BJ39&gt;0,IF(INDEX('Final Calculation Sheet'!$V$4:$V$40,$BJ39-3)="","",INDEX('Final Calculation Sheet'!$V$4:$V$40,$BJ39-3)),IF(OR($BI39=1,$BL39=1,$BH39&gt;0),"–",""))</f>
        <v/>
      </c>
      <c r="X36">
        <f>IF($BJ39&gt;0,IF(INDEX('Final Calculation Sheet'!$W$4:$W$40,$BJ39-3)="","",INDEX('Final Calculation Sheet'!$W$4:$W$40,$BJ39-3)),IF(OR($BI39=1,$BL39=1,$BH39&gt;0),IF($BI39=1,SUM('Final Calculation Sheet'!$W$4:$W$40),IF($BL39=1,SUM('Final Calculation Sheet'!$W$4:$W$40)-SUMIFS('Final Calculation Sheet'!$W$4:$W$40,$AZ$5:$AZ$41,10),SUMIFS('Final Calculation Sheet'!$W$4:$W$40,$AZ$5:$AZ$41,$BH39))),""))</f>
        <v/>
      </c>
      <c r="Y36">
        <f>IF($BJ39&gt;0,IF(INDEX('Final Calculation Sheet'!$X$4:$X$40,$BJ39-3)="","",INDEX('Final Calculation Sheet'!$X$4:$X$40,$BJ39-3)),IF(OR($BI39=1,$BL39=1,$BH39&gt;0),IF($BI39=1,SUM('Final Calculation Sheet'!$X$4:$X$40),IF($BL39=1,SUM('Final Calculation Sheet'!$X$4:$X$40)-SUMIFS('Final Calculation Sheet'!$X$4:$X$40,$AZ$5:$AZ$41,10),SUMIFS('Final Calculation Sheet'!$X$4:$X$40,$AZ$5:$AZ$41,$BH39))),""))</f>
        <v/>
      </c>
      <c r="Z36">
        <f>IF($BJ39&gt;0,IF(INDEX('Final Calculation Sheet'!$Y$4:$Y$40,$BJ39-3)="","",INDEX('Final Calculation Sheet'!$Y$4:$Y$40,$BJ39-3)),IF(OR($BI39=1,$BL39=1,$BH39&gt;0),"–",""))</f>
        <v/>
      </c>
      <c r="AA36">
        <f>IF($BJ39&gt;0,IF(INDEX('Final Calculation Sheet'!$Z$4:$Z$40,$BJ39-3)="","",INDEX('Final Calculation Sheet'!$Z$4:$Z$40,$BJ39-3)),IF(OR($BI39=1,$BL39=1,$BH39&gt;0),IF($BI39=1,SUM('Final Calculation Sheet'!$Z$4:$Z$40),IF($BL39=1,SUM('Final Calculation Sheet'!$Z$4:$Z$40)-SUMIFS('Final Calculation Sheet'!$Z$4:$Z$40,$AZ$5:$AZ$41,10),SUMIFS('Final Calculation Sheet'!$Z$4:$Z$40,$AZ$5:$AZ$41,$BH39))),""))</f>
        <v/>
      </c>
      <c r="AB36">
        <f>IF($BJ39&gt;0,IF(INDEX('Final Calculation Sheet'!$AA$4:$AA$40,$BJ39-3)="","",INDEX('Final Calculation Sheet'!$AA$4:$AA$40,$BJ39-3)),IF(OR($BI39=1,$BL39=1,$BH39&gt;0),IF($BI39=1,SUM('Final Calculation Sheet'!$AA$4:$AA$40),IF($BL39=1,SUM('Final Calculation Sheet'!$AA$4:$AA$40)-SUMIFS('Final Calculation Sheet'!$AA$4:$AA$40,$AZ$5:$AZ$41,10),SUMIFS('Final Calculation Sheet'!$AA$4:$AA$40,$AZ$5:$AZ$41,$BH39))),""))</f>
        <v/>
      </c>
      <c r="AC36">
        <f>IF($BJ39&gt;0,IF(INDEX('Final Calculation Sheet'!$AB$4:$AB$40,$BJ39-3)="","",INDEX('Final Calculation Sheet'!$AB$4:$AB$40,$BJ39-3)),IF(OR($BI39=1,$BL39=1,$BH39&gt;0),"–",""))</f>
        <v/>
      </c>
      <c r="AD36">
        <f>IF($BJ39&gt;0,IF(INDEX('Final Calculation Sheet'!$AC$4:$AC$40,$BJ39-3)="","",INDEX('Final Calculation Sheet'!$AC$4:$AC$40,$BJ39-3)),IF(OR($BI39=1,$BL39=1,$BH39&gt;0),IF($BI39=1,SUM('Final Calculation Sheet'!$AC$4:$AC$40),IF($BL39=1,SUM('Final Calculation Sheet'!$AC$4:$AC$40)-SUMIFS('Final Calculation Sheet'!$AC$4:$AC$40,$AZ$5:$AZ$41,10),SUMIFS('Final Calculation Sheet'!$AC$4:$AC$40,$AZ$5:$AZ$41,$BH39))),""))</f>
        <v/>
      </c>
      <c r="AE36">
        <f>IF($BJ39&gt;0,IF(INDEX('Final Calculation Sheet'!$AD$4:$AD$40,$BJ39-3)="","",INDEX('Final Calculation Sheet'!$AD$4:$AD$40,$BJ39-3)),IF(OR($BI39=1,$BL39=1,$BH39&gt;0),IF($BI39=1,SUM('Final Calculation Sheet'!$AD$4:$AD$40),IF($BL39=1,SUM('Final Calculation Sheet'!$AD$4:$AD$40)-SUMIFS('Final Calculation Sheet'!$AD$4:$AD$40,$AZ$5:$AZ$41,10),SUMIFS('Final Calculation Sheet'!$AD$4:$AD$40,$AZ$5:$AZ$41,$BH39))),""))</f>
        <v/>
      </c>
      <c r="AF36">
        <f>IF($BJ39&gt;0,IF(INDEX('Final Calculation Sheet'!$AF$4:$AF$40,$BJ39-3)="","",INDEX('Final Calculation Sheet'!$AF$4:$AF$40,$BJ39-3)),IF(OR($BI39=1,$BL39=1,$BH39&gt;0),"–",""))</f>
        <v/>
      </c>
      <c r="AG36">
        <f>IF($BJ39&gt;0,IF(INDEX('Final Calculation Sheet'!$AG$4:$AG$40,$BJ39-3)="","",INDEX('Final Calculation Sheet'!$AG$4:$AG$40,$BJ39-3)),IF(OR($BI39=1,$BL39=1,$BH39&gt;0),"–",""))</f>
        <v/>
      </c>
      <c r="AH36">
        <f>IF($BJ39&gt;0,IF(INDEX('Final Calculation Sheet'!$AH$4:$AH$40,$BJ39-3)="","",INDEX('Final Calculation Sheet'!$AH$4:$AH$40,$BJ39-3)),IF(OR($BI39=1,$BL39=1,$BH39&gt;0),"–",""))</f>
        <v/>
      </c>
      <c r="AI36">
        <f>IF($BJ39&gt;0,IF(INDEX('Final Calculation Sheet'!$AD$4:$AD$40,$BJ39-3)="","",IF(INDEX('Final Calculation Sheet'!$AD$4:$AD$40,$BJ39-3)&lt;=5,"SETTLED","OUTSTANDING")),IF(OR($BI39=1,$BL39=1,$BH39&gt;0),IF(IF($BI39=1,SUM('Final Calculation Sheet'!$AD$4:$AD$40),IF($BL39=1,SUM('Final Calculation Sheet'!$AD$4:$AD$40)-SUMIFS('Final Calculation Sheet'!$AD$4:$AD$40,$AZ$5:$AZ$41,10),SUMIFS('Final Calculation Sheet'!$AD$4:$AD$40,$AZ$5:$AZ$41,$BH39)))&lt;=5,"ALL SETTLED","OUTSTANDING"),""))</f>
        <v/>
      </c>
    </row>
    <row r="37">
      <c r="A37">
        <f>IF($BJ40&gt;0,INDEX($BA$5:$BA$41,MATCH(40,$BB$5:$BB$41,0)),IF(OR($BI40=1,$BL40=1,$BH40&gt;0),"∑",""))</f>
        <v/>
      </c>
      <c r="B37">
        <f>IF($BJ40&gt;0,IF(INDEX('Final Calculation Sheet'!$F$4:$F$40,$BJ40-3)="","",INDEX('Final Calculation Sheet'!$F$4:$F$40,$BJ40-3)),"")</f>
        <v/>
      </c>
      <c r="C37">
        <f>IF($BJ40&gt;0,IF(INDEX('Final Calculation Sheet'!$G$4:$G$40,$BJ40-3)="","",INDEX('Final Calculation Sheet'!$G$4:$G$40,$BJ40-3)),IF(OR($BI40=1,$BL40=1,$BH40&gt;0),IF($BI40=1,37,IF($BL40=1,37-INDEX($BD$4:$BD$13,10),INDEX($BD$4:$BD$13,$BH40)))&amp;" lot(s)",""))</f>
        <v/>
      </c>
      <c r="D37">
        <f>IF($BJ40&gt;0,IF(INDEX('Final Calculation Sheet'!$B$4:$B$40,$BJ40-3)="","",INDEX('Final Calculation Sheet'!$B$4:$B$40,$BJ40-3)),IF(OR($BI40=1,$BL40=1,$BH40&gt;0),IF($BI40=1,"GRAND TOTAL  —  matching + remaining",IF($BL40=1,"TOTAL MATCHED  —  every group together",IF($BH40=10,"REMAINING  —  did not match the search",IF($BH40=9,IF(COUNTIF($A$4:$AI$4,"&lt;&gt;")&gt;0,"FILTERED LOTS  —  column fields","ALL LOTS  —  nothing typed in the box"),"GROUP "&amp;$BH40&amp;" TOTAL  —  lots matching  "&amp;INDEX($AR$6:$AY$6,$BH40))))),""))</f>
        <v/>
      </c>
      <c r="E37">
        <f>IF($BJ40&gt;0,IF(INDEX('Final Calculation Sheet'!$D$4:$D$40,$BJ40-3)="","",INDEX('Final Calculation Sheet'!$D$4:$D$40,$BJ40-3)),IF(OR($BI40=1,$BL40=1,$BH40&gt;0),"–",""))</f>
        <v/>
      </c>
      <c r="F37">
        <f>IF($BJ40&gt;0,IF(INDEX('Final Calculation Sheet'!$A$4:$A$40,$BJ40-3)="","",INDEX('Final Calculation Sheet'!$A$4:$A$40,$BJ40-3)),IF(OR($BI40=1,$BL40=1,$BH40&gt;0),IF($BI40=1,SUM('Final Calculation Sheet'!$A$4:$A$40),IF($BL40=1,SUM('Final Calculation Sheet'!$A$4:$A$40)-SUMIFS('Final Calculation Sheet'!$A$4:$A$40,$AZ$5:$AZ$41,10),SUMIFS('Final Calculation Sheet'!$A$4:$A$40,$AZ$5:$AZ$41,$BH40))),""))</f>
        <v/>
      </c>
      <c r="G37">
        <f>IF($BJ40&gt;0,IF(INDEX('Final Calculation Sheet'!$E$4:$E$40,$BJ40-3)="","",INDEX('Final Calculation Sheet'!$E$4:$E$40,$BJ40-3)),IF(OR($BI40=1,$BL40=1,$BH40&gt;0),"–",""))</f>
        <v/>
      </c>
      <c r="H37">
        <f>IF($BJ40&gt;0,IF(INDEX('Final Calculation Sheet'!$C$4:$C$40,$BJ40-3)="","",INDEX('Final Calculation Sheet'!$C$4:$C$40,$BJ40-3)),IF(OR($BI40=1,$BL40=1,$BH40&gt;0),"–",""))</f>
        <v/>
      </c>
      <c r="I37">
        <f>IF($BJ40&gt;0,IF(INDEX('Final Calculation Sheet'!$H$4:$H$40,$BJ40-3)="","",INDEX('Final Calculation Sheet'!$H$4:$H$40,$BJ40-3)),IF(OR($BI40=1,$BL40=1,$BH40&gt;0),IF($BI40=1,SUM('Final Calculation Sheet'!$H$4:$H$40),IF($BL40=1,SUM('Final Calculation Sheet'!$H$4:$H$40)-SUMIFS('Final Calculation Sheet'!$H$4:$H$40,$AZ$5:$AZ$41,10),SUMIFS('Final Calculation Sheet'!$H$4:$H$40,$AZ$5:$AZ$41,$BH40))),""))</f>
        <v/>
      </c>
      <c r="J37">
        <f>IF($BJ40&gt;0,IF(INDEX('Final Calculation Sheet'!$I$4:$I$40,$BJ40-3)="","",INDEX('Final Calculation Sheet'!$I$4:$I$40,$BJ40-3)),IF(OR($BI40=1,$BL40=1,$BH40&gt;0),IF($BI40=1,SUM('Final Calculation Sheet'!$I$4:$I$40),IF($BL40=1,SUM('Final Calculation Sheet'!$I$4:$I$40)-SUMIFS('Final Calculation Sheet'!$I$4:$I$40,$AZ$5:$AZ$41,10),SUMIFS('Final Calculation Sheet'!$I$4:$I$40,$AZ$5:$AZ$41,$BH40))),""))</f>
        <v/>
      </c>
      <c r="K37">
        <f>IF($BJ40&gt;0,IF(INDEX('Final Calculation Sheet'!$J$4:$J$40,$BJ40-3)="","",INDEX('Final Calculation Sheet'!$J$4:$J$40,$BJ40-3)),IF(OR($BI40=1,$BL40=1,$BH40&gt;0),IF($BI40=1,SUM('Final Calculation Sheet'!$J$4:$J$40),IF($BL40=1,SUM('Final Calculation Sheet'!$J$4:$J$40)-SUMIFS('Final Calculation Sheet'!$J$4:$J$40,$AZ$5:$AZ$41,10),SUMIFS('Final Calculation Sheet'!$J$4:$J$40,$AZ$5:$AZ$41,$BH40))),""))</f>
        <v/>
      </c>
      <c r="L37">
        <f>IF($BJ40&gt;0,IF(INDEX('Final Calculation Sheet'!$K$4:$K$40,$BJ40-3)="","",INDEX('Final Calculation Sheet'!$K$4:$K$40,$BJ40-3)),IF(OR($BI40=1,$BL40=1,$BH40&gt;0),IF($BI40=1,SUM('Final Calculation Sheet'!$K$4:$K$40),IF($BL40=1,SUM('Final Calculation Sheet'!$K$4:$K$40)-SUMIFS('Final Calculation Sheet'!$K$4:$K$40,$AZ$5:$AZ$41,10),SUMIFS('Final Calculation Sheet'!$K$4:$K$40,$AZ$5:$AZ$41,$BH40))),""))</f>
        <v/>
      </c>
      <c r="M37">
        <f>IF($BJ40&gt;0,IF(INDEX('Final Calculation Sheet'!$L$4:$L$40,$BJ40-3)="","",INDEX('Final Calculation Sheet'!$L$4:$L$40,$BJ40-3)),IF(OR($BI40=1,$BL40=1,$BH40&gt;0),IF($BI40=1,SUM('Final Calculation Sheet'!$L$4:$L$40),IF($BL40=1,SUM('Final Calculation Sheet'!$L$4:$L$40)-SUMIFS('Final Calculation Sheet'!$L$4:$L$40,$AZ$5:$AZ$41,10),SUMIFS('Final Calculation Sheet'!$L$4:$L$40,$AZ$5:$AZ$41,$BH40))),""))</f>
        <v/>
      </c>
      <c r="N37">
        <f>IF($BJ40&gt;0,IF(INDEX('Final Calculation Sheet'!$M$4:$M$40,$BJ40-3)="","",INDEX('Final Calculation Sheet'!$M$4:$M$40,$BJ40-3)),IF(OR($BI40=1,$BL40=1,$BH40&gt;0),IF($BI40=1,SUM('Final Calculation Sheet'!$M$4:$M$40),IF($BL40=1,SUM('Final Calculation Sheet'!$M$4:$M$40)-SUMIFS('Final Calculation Sheet'!$M$4:$M$40,$AZ$5:$AZ$41,10),SUMIFS('Final Calculation Sheet'!$M$4:$M$40,$AZ$5:$AZ$41,$BH40))),""))</f>
        <v/>
      </c>
      <c r="O37">
        <f>IF($BJ40&gt;0,IF(INDEX('Final Calculation Sheet'!$N$4:$N$40,$BJ40-3)="","",INDEX('Final Calculation Sheet'!$N$4:$N$40,$BJ40-3)),IF(OR($BI40=1,$BL40=1,$BH40&gt;0),IF($BI40=1,SUM('Final Calculation Sheet'!$N$4:$N$40),IF($BL40=1,SUM('Final Calculation Sheet'!$N$4:$N$40)-SUMIFS('Final Calculation Sheet'!$N$4:$N$40,$AZ$5:$AZ$41,10),SUMIFS('Final Calculation Sheet'!$N$4:$N$40,$AZ$5:$AZ$41,$BH40))),""))</f>
        <v/>
      </c>
      <c r="P37">
        <f>IF($BJ40&gt;0,IF(INDEX('Final Calculation Sheet'!$O$4:$O$40,$BJ40-3)="","",INDEX('Final Calculation Sheet'!$O$4:$O$40,$BJ40-3)),IF(OR($BI40=1,$BL40=1,$BH40&gt;0),IF($BI40=1,SUM('Final Calculation Sheet'!$O$4:$O$40),IF($BL40=1,SUM('Final Calculation Sheet'!$O$4:$O$40)-SUMIFS('Final Calculation Sheet'!$O$4:$O$40,$AZ$5:$AZ$41,10),SUMIFS('Final Calculation Sheet'!$O$4:$O$40,$AZ$5:$AZ$41,$BH40))),""))</f>
        <v/>
      </c>
      <c r="Q37">
        <f>IF($BJ40&gt;0,IF(INDEX('Final Calculation Sheet'!$P$4:$P$40,$BJ40-3)="","",INDEX('Final Calculation Sheet'!$P$4:$P$40,$BJ40-3)),IF(OR($BI40=1,$BL40=1,$BH40&gt;0),IF($BI40=1,SUM('Final Calculation Sheet'!$P$4:$P$40),IF($BL40=1,SUM('Final Calculation Sheet'!$P$4:$P$40)-SUMIFS('Final Calculation Sheet'!$P$4:$P$40,$AZ$5:$AZ$41,10),SUMIFS('Final Calculation Sheet'!$P$4:$P$40,$AZ$5:$AZ$41,$BH40))),""))</f>
        <v/>
      </c>
      <c r="R37">
        <f>IF($BJ40&gt;0,IF(INDEX('Final Calculation Sheet'!$Q$4:$Q$40,$BJ40-3)="","",INDEX('Final Calculation Sheet'!$Q$4:$Q$40,$BJ40-3)),IF(OR($BI40=1,$BL40=1,$BH40&gt;0),"–",""))</f>
        <v/>
      </c>
      <c r="S37">
        <f>IF($BJ40&gt;0,IF(INDEX('Final Calculation Sheet'!$R$4:$R$40,$BJ40-3)="","",INDEX('Final Calculation Sheet'!$R$4:$R$40,$BJ40-3)),IF(OR($BI40=1,$BL40=1,$BH40&gt;0),IF($BI40=1,SUM('Final Calculation Sheet'!$R$4:$R$40),IF($BL40=1,SUM('Final Calculation Sheet'!$R$4:$R$40)-SUMIFS('Final Calculation Sheet'!$R$4:$R$40,$AZ$5:$AZ$41,10),SUMIFS('Final Calculation Sheet'!$R$4:$R$40,$AZ$5:$AZ$41,$BH40))),""))</f>
        <v/>
      </c>
      <c r="T37">
        <f>IF($BJ40&gt;0,IF(INDEX('Final Calculation Sheet'!$S$4:$S$40,$BJ40-3)="","",INDEX('Final Calculation Sheet'!$S$4:$S$40,$BJ40-3)),IF(OR($BI40=1,$BL40=1,$BH40&gt;0),IF($BI40=1,SUM('Final Calculation Sheet'!$S$4:$S$40),IF($BL40=1,SUM('Final Calculation Sheet'!$S$4:$S$40)-SUMIFS('Final Calculation Sheet'!$S$4:$S$40,$AZ$5:$AZ$41,10),SUMIFS('Final Calculation Sheet'!$S$4:$S$40,$AZ$5:$AZ$41,$BH40))),""))</f>
        <v/>
      </c>
      <c r="U37">
        <f>IF($BJ40&gt;0,IF(INDEX('Final Calculation Sheet'!$T$4:$T$40,$BJ40-3)="","",INDEX('Final Calculation Sheet'!$T$4:$T$40,$BJ40-3)),IF(OR($BI40=1,$BL40=1,$BH40&gt;0),IF($BI40=1,SUM('Final Calculation Sheet'!$T$4:$T$40),IF($BL40=1,SUM('Final Calculation Sheet'!$T$4:$T$40)-SUMIFS('Final Calculation Sheet'!$T$4:$T$40,$AZ$5:$AZ$41,10),SUMIFS('Final Calculation Sheet'!$T$4:$T$40,$AZ$5:$AZ$41,$BH40))),""))</f>
        <v/>
      </c>
      <c r="V37">
        <f>IF($BJ40&gt;0,IF(INDEX('Final Calculation Sheet'!$U$4:$U$40,$BJ40-3)="","",INDEX('Final Calculation Sheet'!$U$4:$U$40,$BJ40-3)),IF(OR($BI40=1,$BL40=1,$BH40&gt;0),IF($BI40=1,SUM('Final Calculation Sheet'!$U$4:$U$40),IF($BL40=1,SUM('Final Calculation Sheet'!$U$4:$U$40)-SUMIFS('Final Calculation Sheet'!$U$4:$U$40,$AZ$5:$AZ$41,10),SUMIFS('Final Calculation Sheet'!$U$4:$U$40,$AZ$5:$AZ$41,$BH40))),""))</f>
        <v/>
      </c>
      <c r="W37">
        <f>IF($BJ40&gt;0,IF(INDEX('Final Calculation Sheet'!$V$4:$V$40,$BJ40-3)="","",INDEX('Final Calculation Sheet'!$V$4:$V$40,$BJ40-3)),IF(OR($BI40=1,$BL40=1,$BH40&gt;0),"–",""))</f>
        <v/>
      </c>
      <c r="X37">
        <f>IF($BJ40&gt;0,IF(INDEX('Final Calculation Sheet'!$W$4:$W$40,$BJ40-3)="","",INDEX('Final Calculation Sheet'!$W$4:$W$40,$BJ40-3)),IF(OR($BI40=1,$BL40=1,$BH40&gt;0),IF($BI40=1,SUM('Final Calculation Sheet'!$W$4:$W$40),IF($BL40=1,SUM('Final Calculation Sheet'!$W$4:$W$40)-SUMIFS('Final Calculation Sheet'!$W$4:$W$40,$AZ$5:$AZ$41,10),SUMIFS('Final Calculation Sheet'!$W$4:$W$40,$AZ$5:$AZ$41,$BH40))),""))</f>
        <v/>
      </c>
      <c r="Y37">
        <f>IF($BJ40&gt;0,IF(INDEX('Final Calculation Sheet'!$X$4:$X$40,$BJ40-3)="","",INDEX('Final Calculation Sheet'!$X$4:$X$40,$BJ40-3)),IF(OR($BI40=1,$BL40=1,$BH40&gt;0),IF($BI40=1,SUM('Final Calculation Sheet'!$X$4:$X$40),IF($BL40=1,SUM('Final Calculation Sheet'!$X$4:$X$40)-SUMIFS('Final Calculation Sheet'!$X$4:$X$40,$AZ$5:$AZ$41,10),SUMIFS('Final Calculation Sheet'!$X$4:$X$40,$AZ$5:$AZ$41,$BH40))),""))</f>
        <v/>
      </c>
      <c r="Z37">
        <f>IF($BJ40&gt;0,IF(INDEX('Final Calculation Sheet'!$Y$4:$Y$40,$BJ40-3)="","",INDEX('Final Calculation Sheet'!$Y$4:$Y$40,$BJ40-3)),IF(OR($BI40=1,$BL40=1,$BH40&gt;0),"–",""))</f>
        <v/>
      </c>
      <c r="AA37">
        <f>IF($BJ40&gt;0,IF(INDEX('Final Calculation Sheet'!$Z$4:$Z$40,$BJ40-3)="","",INDEX('Final Calculation Sheet'!$Z$4:$Z$40,$BJ40-3)),IF(OR($BI40=1,$BL40=1,$BH40&gt;0),IF($BI40=1,SUM('Final Calculation Sheet'!$Z$4:$Z$40),IF($BL40=1,SUM('Final Calculation Sheet'!$Z$4:$Z$40)-SUMIFS('Final Calculation Sheet'!$Z$4:$Z$40,$AZ$5:$AZ$41,10),SUMIFS('Final Calculation Sheet'!$Z$4:$Z$40,$AZ$5:$AZ$41,$BH40))),""))</f>
        <v/>
      </c>
      <c r="AB37">
        <f>IF($BJ40&gt;0,IF(INDEX('Final Calculation Sheet'!$AA$4:$AA$40,$BJ40-3)="","",INDEX('Final Calculation Sheet'!$AA$4:$AA$40,$BJ40-3)),IF(OR($BI40=1,$BL40=1,$BH40&gt;0),IF($BI40=1,SUM('Final Calculation Sheet'!$AA$4:$AA$40),IF($BL40=1,SUM('Final Calculation Sheet'!$AA$4:$AA$40)-SUMIFS('Final Calculation Sheet'!$AA$4:$AA$40,$AZ$5:$AZ$41,10),SUMIFS('Final Calculation Sheet'!$AA$4:$AA$40,$AZ$5:$AZ$41,$BH40))),""))</f>
        <v/>
      </c>
      <c r="AC37">
        <f>IF($BJ40&gt;0,IF(INDEX('Final Calculation Sheet'!$AB$4:$AB$40,$BJ40-3)="","",INDEX('Final Calculation Sheet'!$AB$4:$AB$40,$BJ40-3)),IF(OR($BI40=1,$BL40=1,$BH40&gt;0),"–",""))</f>
        <v/>
      </c>
      <c r="AD37">
        <f>IF($BJ40&gt;0,IF(INDEX('Final Calculation Sheet'!$AC$4:$AC$40,$BJ40-3)="","",INDEX('Final Calculation Sheet'!$AC$4:$AC$40,$BJ40-3)),IF(OR($BI40=1,$BL40=1,$BH40&gt;0),IF($BI40=1,SUM('Final Calculation Sheet'!$AC$4:$AC$40),IF($BL40=1,SUM('Final Calculation Sheet'!$AC$4:$AC$40)-SUMIFS('Final Calculation Sheet'!$AC$4:$AC$40,$AZ$5:$AZ$41,10),SUMIFS('Final Calculation Sheet'!$AC$4:$AC$40,$AZ$5:$AZ$41,$BH40))),""))</f>
        <v/>
      </c>
      <c r="AE37">
        <f>IF($BJ40&gt;0,IF(INDEX('Final Calculation Sheet'!$AD$4:$AD$40,$BJ40-3)="","",INDEX('Final Calculation Sheet'!$AD$4:$AD$40,$BJ40-3)),IF(OR($BI40=1,$BL40=1,$BH40&gt;0),IF($BI40=1,SUM('Final Calculation Sheet'!$AD$4:$AD$40),IF($BL40=1,SUM('Final Calculation Sheet'!$AD$4:$AD$40)-SUMIFS('Final Calculation Sheet'!$AD$4:$AD$40,$AZ$5:$AZ$41,10),SUMIFS('Final Calculation Sheet'!$AD$4:$AD$40,$AZ$5:$AZ$41,$BH40))),""))</f>
        <v/>
      </c>
      <c r="AF37">
        <f>IF($BJ40&gt;0,IF(INDEX('Final Calculation Sheet'!$AF$4:$AF$40,$BJ40-3)="","",INDEX('Final Calculation Sheet'!$AF$4:$AF$40,$BJ40-3)),IF(OR($BI40=1,$BL40=1,$BH40&gt;0),"–",""))</f>
        <v/>
      </c>
      <c r="AG37">
        <f>IF($BJ40&gt;0,IF(INDEX('Final Calculation Sheet'!$AG$4:$AG$40,$BJ40-3)="","",INDEX('Final Calculation Sheet'!$AG$4:$AG$40,$BJ40-3)),IF(OR($BI40=1,$BL40=1,$BH40&gt;0),"–",""))</f>
        <v/>
      </c>
      <c r="AH37">
        <f>IF($BJ40&gt;0,IF(INDEX('Final Calculation Sheet'!$AH$4:$AH$40,$BJ40-3)="","",INDEX('Final Calculation Sheet'!$AH$4:$AH$40,$BJ40-3)),IF(OR($BI40=1,$BL40=1,$BH40&gt;0),"–",""))</f>
        <v/>
      </c>
      <c r="AI37">
        <f>IF($BJ40&gt;0,IF(INDEX('Final Calculation Sheet'!$AD$4:$AD$40,$BJ40-3)="","",IF(INDEX('Final Calculation Sheet'!$AD$4:$AD$40,$BJ40-3)&lt;=5,"SETTLED","OUTSTANDING")),IF(OR($BI40=1,$BL40=1,$BH40&gt;0),IF(IF($BI40=1,SUM('Final Calculation Sheet'!$AD$4:$AD$40),IF($BL40=1,SUM('Final Calculation Sheet'!$AD$4:$AD$40)-SUMIFS('Final Calculation Sheet'!$AD$4:$AD$40,$AZ$5:$AZ$41,10),SUMIFS('Final Calculation Sheet'!$AD$4:$AD$40,$AZ$5:$AZ$41,$BH40)))&lt;=5,"ALL SETTLED","OUTSTANDING"),""))</f>
        <v/>
      </c>
    </row>
    <row r="38">
      <c r="A38">
        <f>IF($BJ41&gt;0,INDEX($BA$5:$BA$41,MATCH(41,$BB$5:$BB$41,0)),IF(OR($BI41=1,$BL41=1,$BH41&gt;0),"∑",""))</f>
        <v/>
      </c>
      <c r="B38">
        <f>IF($BJ41&gt;0,IF(INDEX('Final Calculation Sheet'!$F$4:$F$40,$BJ41-3)="","",INDEX('Final Calculation Sheet'!$F$4:$F$40,$BJ41-3)),"")</f>
        <v/>
      </c>
      <c r="C38">
        <f>IF($BJ41&gt;0,IF(INDEX('Final Calculation Sheet'!$G$4:$G$40,$BJ41-3)="","",INDEX('Final Calculation Sheet'!$G$4:$G$40,$BJ41-3)),IF(OR($BI41=1,$BL41=1,$BH41&gt;0),IF($BI41=1,37,IF($BL41=1,37-INDEX($BD$4:$BD$13,10),INDEX($BD$4:$BD$13,$BH41)))&amp;" lot(s)",""))</f>
        <v/>
      </c>
      <c r="D38">
        <f>IF($BJ41&gt;0,IF(INDEX('Final Calculation Sheet'!$B$4:$B$40,$BJ41-3)="","",INDEX('Final Calculation Sheet'!$B$4:$B$40,$BJ41-3)),IF(OR($BI41=1,$BL41=1,$BH41&gt;0),IF($BI41=1,"GRAND TOTAL  —  matching + remaining",IF($BL41=1,"TOTAL MATCHED  —  every group together",IF($BH41=10,"REMAINING  —  did not match the search",IF($BH41=9,IF(COUNTIF($A$4:$AI$4,"&lt;&gt;")&gt;0,"FILTERED LOTS  —  column fields","ALL LOTS  —  nothing typed in the box"),"GROUP "&amp;$BH41&amp;" TOTAL  —  lots matching  "&amp;INDEX($AR$6:$AY$6,$BH41))))),""))</f>
        <v/>
      </c>
      <c r="E38">
        <f>IF($BJ41&gt;0,IF(INDEX('Final Calculation Sheet'!$D$4:$D$40,$BJ41-3)="","",INDEX('Final Calculation Sheet'!$D$4:$D$40,$BJ41-3)),IF(OR($BI41=1,$BL41=1,$BH41&gt;0),"–",""))</f>
        <v/>
      </c>
      <c r="F38">
        <f>IF($BJ41&gt;0,IF(INDEX('Final Calculation Sheet'!$A$4:$A$40,$BJ41-3)="","",INDEX('Final Calculation Sheet'!$A$4:$A$40,$BJ41-3)),IF(OR($BI41=1,$BL41=1,$BH41&gt;0),IF($BI41=1,SUM('Final Calculation Sheet'!$A$4:$A$40),IF($BL41=1,SUM('Final Calculation Sheet'!$A$4:$A$40)-SUMIFS('Final Calculation Sheet'!$A$4:$A$40,$AZ$5:$AZ$41,10),SUMIFS('Final Calculation Sheet'!$A$4:$A$40,$AZ$5:$AZ$41,$BH41))),""))</f>
        <v/>
      </c>
      <c r="G38">
        <f>IF($BJ41&gt;0,IF(INDEX('Final Calculation Sheet'!$E$4:$E$40,$BJ41-3)="","",INDEX('Final Calculation Sheet'!$E$4:$E$40,$BJ41-3)),IF(OR($BI41=1,$BL41=1,$BH41&gt;0),"–",""))</f>
        <v/>
      </c>
      <c r="H38">
        <f>IF($BJ41&gt;0,IF(INDEX('Final Calculation Sheet'!$C$4:$C$40,$BJ41-3)="","",INDEX('Final Calculation Sheet'!$C$4:$C$40,$BJ41-3)),IF(OR($BI41=1,$BL41=1,$BH41&gt;0),"–",""))</f>
        <v/>
      </c>
      <c r="I38">
        <f>IF($BJ41&gt;0,IF(INDEX('Final Calculation Sheet'!$H$4:$H$40,$BJ41-3)="","",INDEX('Final Calculation Sheet'!$H$4:$H$40,$BJ41-3)),IF(OR($BI41=1,$BL41=1,$BH41&gt;0),IF($BI41=1,SUM('Final Calculation Sheet'!$H$4:$H$40),IF($BL41=1,SUM('Final Calculation Sheet'!$H$4:$H$40)-SUMIFS('Final Calculation Sheet'!$H$4:$H$40,$AZ$5:$AZ$41,10),SUMIFS('Final Calculation Sheet'!$H$4:$H$40,$AZ$5:$AZ$41,$BH41))),""))</f>
        <v/>
      </c>
      <c r="J38">
        <f>IF($BJ41&gt;0,IF(INDEX('Final Calculation Sheet'!$I$4:$I$40,$BJ41-3)="","",INDEX('Final Calculation Sheet'!$I$4:$I$40,$BJ41-3)),IF(OR($BI41=1,$BL41=1,$BH41&gt;0),IF($BI41=1,SUM('Final Calculation Sheet'!$I$4:$I$40),IF($BL41=1,SUM('Final Calculation Sheet'!$I$4:$I$40)-SUMIFS('Final Calculation Sheet'!$I$4:$I$40,$AZ$5:$AZ$41,10),SUMIFS('Final Calculation Sheet'!$I$4:$I$40,$AZ$5:$AZ$41,$BH41))),""))</f>
        <v/>
      </c>
      <c r="K38">
        <f>IF($BJ41&gt;0,IF(INDEX('Final Calculation Sheet'!$J$4:$J$40,$BJ41-3)="","",INDEX('Final Calculation Sheet'!$J$4:$J$40,$BJ41-3)),IF(OR($BI41=1,$BL41=1,$BH41&gt;0),IF($BI41=1,SUM('Final Calculation Sheet'!$J$4:$J$40),IF($BL41=1,SUM('Final Calculation Sheet'!$J$4:$J$40)-SUMIFS('Final Calculation Sheet'!$J$4:$J$40,$AZ$5:$AZ$41,10),SUMIFS('Final Calculation Sheet'!$J$4:$J$40,$AZ$5:$AZ$41,$BH41))),""))</f>
        <v/>
      </c>
      <c r="L38">
        <f>IF($BJ41&gt;0,IF(INDEX('Final Calculation Sheet'!$K$4:$K$40,$BJ41-3)="","",INDEX('Final Calculation Sheet'!$K$4:$K$40,$BJ41-3)),IF(OR($BI41=1,$BL41=1,$BH41&gt;0),IF($BI41=1,SUM('Final Calculation Sheet'!$K$4:$K$40),IF($BL41=1,SUM('Final Calculation Sheet'!$K$4:$K$40)-SUMIFS('Final Calculation Sheet'!$K$4:$K$40,$AZ$5:$AZ$41,10),SUMIFS('Final Calculation Sheet'!$K$4:$K$40,$AZ$5:$AZ$41,$BH41))),""))</f>
        <v/>
      </c>
      <c r="M38">
        <f>IF($BJ41&gt;0,IF(INDEX('Final Calculation Sheet'!$L$4:$L$40,$BJ41-3)="","",INDEX('Final Calculation Sheet'!$L$4:$L$40,$BJ41-3)),IF(OR($BI41=1,$BL41=1,$BH41&gt;0),IF($BI41=1,SUM('Final Calculation Sheet'!$L$4:$L$40),IF($BL41=1,SUM('Final Calculation Sheet'!$L$4:$L$40)-SUMIFS('Final Calculation Sheet'!$L$4:$L$40,$AZ$5:$AZ$41,10),SUMIFS('Final Calculation Sheet'!$L$4:$L$40,$AZ$5:$AZ$41,$BH41))),""))</f>
        <v/>
      </c>
      <c r="N38">
        <f>IF($BJ41&gt;0,IF(INDEX('Final Calculation Sheet'!$M$4:$M$40,$BJ41-3)="","",INDEX('Final Calculation Sheet'!$M$4:$M$40,$BJ41-3)),IF(OR($BI41=1,$BL41=1,$BH41&gt;0),IF($BI41=1,SUM('Final Calculation Sheet'!$M$4:$M$40),IF($BL41=1,SUM('Final Calculation Sheet'!$M$4:$M$40)-SUMIFS('Final Calculation Sheet'!$M$4:$M$40,$AZ$5:$AZ$41,10),SUMIFS('Final Calculation Sheet'!$M$4:$M$40,$AZ$5:$AZ$41,$BH41))),""))</f>
        <v/>
      </c>
      <c r="O38">
        <f>IF($BJ41&gt;0,IF(INDEX('Final Calculation Sheet'!$N$4:$N$40,$BJ41-3)="","",INDEX('Final Calculation Sheet'!$N$4:$N$40,$BJ41-3)),IF(OR($BI41=1,$BL41=1,$BH41&gt;0),IF($BI41=1,SUM('Final Calculation Sheet'!$N$4:$N$40),IF($BL41=1,SUM('Final Calculation Sheet'!$N$4:$N$40)-SUMIFS('Final Calculation Sheet'!$N$4:$N$40,$AZ$5:$AZ$41,10),SUMIFS('Final Calculation Sheet'!$N$4:$N$40,$AZ$5:$AZ$41,$BH41))),""))</f>
        <v/>
      </c>
      <c r="P38">
        <f>IF($BJ41&gt;0,IF(INDEX('Final Calculation Sheet'!$O$4:$O$40,$BJ41-3)="","",INDEX('Final Calculation Sheet'!$O$4:$O$40,$BJ41-3)),IF(OR($BI41=1,$BL41=1,$BH41&gt;0),IF($BI41=1,SUM('Final Calculation Sheet'!$O$4:$O$40),IF($BL41=1,SUM('Final Calculation Sheet'!$O$4:$O$40)-SUMIFS('Final Calculation Sheet'!$O$4:$O$40,$AZ$5:$AZ$41,10),SUMIFS('Final Calculation Sheet'!$O$4:$O$40,$AZ$5:$AZ$41,$BH41))),""))</f>
        <v/>
      </c>
      <c r="Q38">
        <f>IF($BJ41&gt;0,IF(INDEX('Final Calculation Sheet'!$P$4:$P$40,$BJ41-3)="","",INDEX('Final Calculation Sheet'!$P$4:$P$40,$BJ41-3)),IF(OR($BI41=1,$BL41=1,$BH41&gt;0),IF($BI41=1,SUM('Final Calculation Sheet'!$P$4:$P$40),IF($BL41=1,SUM('Final Calculation Sheet'!$P$4:$P$40)-SUMIFS('Final Calculation Sheet'!$P$4:$P$40,$AZ$5:$AZ$41,10),SUMIFS('Final Calculation Sheet'!$P$4:$P$40,$AZ$5:$AZ$41,$BH41))),""))</f>
        <v/>
      </c>
      <c r="R38">
        <f>IF($BJ41&gt;0,IF(INDEX('Final Calculation Sheet'!$Q$4:$Q$40,$BJ41-3)="","",INDEX('Final Calculation Sheet'!$Q$4:$Q$40,$BJ41-3)),IF(OR($BI41=1,$BL41=1,$BH41&gt;0),"–",""))</f>
        <v/>
      </c>
      <c r="S38">
        <f>IF($BJ41&gt;0,IF(INDEX('Final Calculation Sheet'!$R$4:$R$40,$BJ41-3)="","",INDEX('Final Calculation Sheet'!$R$4:$R$40,$BJ41-3)),IF(OR($BI41=1,$BL41=1,$BH41&gt;0),IF($BI41=1,SUM('Final Calculation Sheet'!$R$4:$R$40),IF($BL41=1,SUM('Final Calculation Sheet'!$R$4:$R$40)-SUMIFS('Final Calculation Sheet'!$R$4:$R$40,$AZ$5:$AZ$41,10),SUMIFS('Final Calculation Sheet'!$R$4:$R$40,$AZ$5:$AZ$41,$BH41))),""))</f>
        <v/>
      </c>
      <c r="T38">
        <f>IF($BJ41&gt;0,IF(INDEX('Final Calculation Sheet'!$S$4:$S$40,$BJ41-3)="","",INDEX('Final Calculation Sheet'!$S$4:$S$40,$BJ41-3)),IF(OR($BI41=1,$BL41=1,$BH41&gt;0),IF($BI41=1,SUM('Final Calculation Sheet'!$S$4:$S$40),IF($BL41=1,SUM('Final Calculation Sheet'!$S$4:$S$40)-SUMIFS('Final Calculation Sheet'!$S$4:$S$40,$AZ$5:$AZ$41,10),SUMIFS('Final Calculation Sheet'!$S$4:$S$40,$AZ$5:$AZ$41,$BH41))),""))</f>
        <v/>
      </c>
      <c r="U38">
        <f>IF($BJ41&gt;0,IF(INDEX('Final Calculation Sheet'!$T$4:$T$40,$BJ41-3)="","",INDEX('Final Calculation Sheet'!$T$4:$T$40,$BJ41-3)),IF(OR($BI41=1,$BL41=1,$BH41&gt;0),IF($BI41=1,SUM('Final Calculation Sheet'!$T$4:$T$40),IF($BL41=1,SUM('Final Calculation Sheet'!$T$4:$T$40)-SUMIFS('Final Calculation Sheet'!$T$4:$T$40,$AZ$5:$AZ$41,10),SUMIFS('Final Calculation Sheet'!$T$4:$T$40,$AZ$5:$AZ$41,$BH41))),""))</f>
        <v/>
      </c>
      <c r="V38">
        <f>IF($BJ41&gt;0,IF(INDEX('Final Calculation Sheet'!$U$4:$U$40,$BJ41-3)="","",INDEX('Final Calculation Sheet'!$U$4:$U$40,$BJ41-3)),IF(OR($BI41=1,$BL41=1,$BH41&gt;0),IF($BI41=1,SUM('Final Calculation Sheet'!$U$4:$U$40),IF($BL41=1,SUM('Final Calculation Sheet'!$U$4:$U$40)-SUMIFS('Final Calculation Sheet'!$U$4:$U$40,$AZ$5:$AZ$41,10),SUMIFS('Final Calculation Sheet'!$U$4:$U$40,$AZ$5:$AZ$41,$BH41))),""))</f>
        <v/>
      </c>
      <c r="W38">
        <f>IF($BJ41&gt;0,IF(INDEX('Final Calculation Sheet'!$V$4:$V$40,$BJ41-3)="","",INDEX('Final Calculation Sheet'!$V$4:$V$40,$BJ41-3)),IF(OR($BI41=1,$BL41=1,$BH41&gt;0),"–",""))</f>
        <v/>
      </c>
      <c r="X38">
        <f>IF($BJ41&gt;0,IF(INDEX('Final Calculation Sheet'!$W$4:$W$40,$BJ41-3)="","",INDEX('Final Calculation Sheet'!$W$4:$W$40,$BJ41-3)),IF(OR($BI41=1,$BL41=1,$BH41&gt;0),IF($BI41=1,SUM('Final Calculation Sheet'!$W$4:$W$40),IF($BL41=1,SUM('Final Calculation Sheet'!$W$4:$W$40)-SUMIFS('Final Calculation Sheet'!$W$4:$W$40,$AZ$5:$AZ$41,10),SUMIFS('Final Calculation Sheet'!$W$4:$W$40,$AZ$5:$AZ$41,$BH41))),""))</f>
        <v/>
      </c>
      <c r="Y38">
        <f>IF($BJ41&gt;0,IF(INDEX('Final Calculation Sheet'!$X$4:$X$40,$BJ41-3)="","",INDEX('Final Calculation Sheet'!$X$4:$X$40,$BJ41-3)),IF(OR($BI41=1,$BL41=1,$BH41&gt;0),IF($BI41=1,SUM('Final Calculation Sheet'!$X$4:$X$40),IF($BL41=1,SUM('Final Calculation Sheet'!$X$4:$X$40)-SUMIFS('Final Calculation Sheet'!$X$4:$X$40,$AZ$5:$AZ$41,10),SUMIFS('Final Calculation Sheet'!$X$4:$X$40,$AZ$5:$AZ$41,$BH41))),""))</f>
        <v/>
      </c>
      <c r="Z38">
        <f>IF($BJ41&gt;0,IF(INDEX('Final Calculation Sheet'!$Y$4:$Y$40,$BJ41-3)="","",INDEX('Final Calculation Sheet'!$Y$4:$Y$40,$BJ41-3)),IF(OR($BI41=1,$BL41=1,$BH41&gt;0),"–",""))</f>
        <v/>
      </c>
      <c r="AA38">
        <f>IF($BJ41&gt;0,IF(INDEX('Final Calculation Sheet'!$Z$4:$Z$40,$BJ41-3)="","",INDEX('Final Calculation Sheet'!$Z$4:$Z$40,$BJ41-3)),IF(OR($BI41=1,$BL41=1,$BH41&gt;0),IF($BI41=1,SUM('Final Calculation Sheet'!$Z$4:$Z$40),IF($BL41=1,SUM('Final Calculation Sheet'!$Z$4:$Z$40)-SUMIFS('Final Calculation Sheet'!$Z$4:$Z$40,$AZ$5:$AZ$41,10),SUMIFS('Final Calculation Sheet'!$Z$4:$Z$40,$AZ$5:$AZ$41,$BH41))),""))</f>
        <v/>
      </c>
      <c r="AB38">
        <f>IF($BJ41&gt;0,IF(INDEX('Final Calculation Sheet'!$AA$4:$AA$40,$BJ41-3)="","",INDEX('Final Calculation Sheet'!$AA$4:$AA$40,$BJ41-3)),IF(OR($BI41=1,$BL41=1,$BH41&gt;0),IF($BI41=1,SUM('Final Calculation Sheet'!$AA$4:$AA$40),IF($BL41=1,SUM('Final Calculation Sheet'!$AA$4:$AA$40)-SUMIFS('Final Calculation Sheet'!$AA$4:$AA$40,$AZ$5:$AZ$41,10),SUMIFS('Final Calculation Sheet'!$AA$4:$AA$40,$AZ$5:$AZ$41,$BH41))),""))</f>
        <v/>
      </c>
      <c r="AC38">
        <f>IF($BJ41&gt;0,IF(INDEX('Final Calculation Sheet'!$AB$4:$AB$40,$BJ41-3)="","",INDEX('Final Calculation Sheet'!$AB$4:$AB$40,$BJ41-3)),IF(OR($BI41=1,$BL41=1,$BH41&gt;0),"–",""))</f>
        <v/>
      </c>
      <c r="AD38">
        <f>IF($BJ41&gt;0,IF(INDEX('Final Calculation Sheet'!$AC$4:$AC$40,$BJ41-3)="","",INDEX('Final Calculation Sheet'!$AC$4:$AC$40,$BJ41-3)),IF(OR($BI41=1,$BL41=1,$BH41&gt;0),IF($BI41=1,SUM('Final Calculation Sheet'!$AC$4:$AC$40),IF($BL41=1,SUM('Final Calculation Sheet'!$AC$4:$AC$40)-SUMIFS('Final Calculation Sheet'!$AC$4:$AC$40,$AZ$5:$AZ$41,10),SUMIFS('Final Calculation Sheet'!$AC$4:$AC$40,$AZ$5:$AZ$41,$BH41))),""))</f>
        <v/>
      </c>
      <c r="AE38">
        <f>IF($BJ41&gt;0,IF(INDEX('Final Calculation Sheet'!$AD$4:$AD$40,$BJ41-3)="","",INDEX('Final Calculation Sheet'!$AD$4:$AD$40,$BJ41-3)),IF(OR($BI41=1,$BL41=1,$BH41&gt;0),IF($BI41=1,SUM('Final Calculation Sheet'!$AD$4:$AD$40),IF($BL41=1,SUM('Final Calculation Sheet'!$AD$4:$AD$40)-SUMIFS('Final Calculation Sheet'!$AD$4:$AD$40,$AZ$5:$AZ$41,10),SUMIFS('Final Calculation Sheet'!$AD$4:$AD$40,$AZ$5:$AZ$41,$BH41))),""))</f>
        <v/>
      </c>
      <c r="AF38">
        <f>IF($BJ41&gt;0,IF(INDEX('Final Calculation Sheet'!$AF$4:$AF$40,$BJ41-3)="","",INDEX('Final Calculation Sheet'!$AF$4:$AF$40,$BJ41-3)),IF(OR($BI41=1,$BL41=1,$BH41&gt;0),"–",""))</f>
        <v/>
      </c>
      <c r="AG38">
        <f>IF($BJ41&gt;0,IF(INDEX('Final Calculation Sheet'!$AG$4:$AG$40,$BJ41-3)="","",INDEX('Final Calculation Sheet'!$AG$4:$AG$40,$BJ41-3)),IF(OR($BI41=1,$BL41=1,$BH41&gt;0),"–",""))</f>
        <v/>
      </c>
      <c r="AH38">
        <f>IF($BJ41&gt;0,IF(INDEX('Final Calculation Sheet'!$AH$4:$AH$40,$BJ41-3)="","",INDEX('Final Calculation Sheet'!$AH$4:$AH$40,$BJ41-3)),IF(OR($BI41=1,$BL41=1,$BH41&gt;0),"–",""))</f>
        <v/>
      </c>
      <c r="AI38">
        <f>IF($BJ41&gt;0,IF(INDEX('Final Calculation Sheet'!$AD$4:$AD$40,$BJ41-3)="","",IF(INDEX('Final Calculation Sheet'!$AD$4:$AD$40,$BJ41-3)&lt;=5,"SETTLED","OUTSTANDING")),IF(OR($BI41=1,$BL41=1,$BH41&gt;0),IF(IF($BI41=1,SUM('Final Calculation Sheet'!$AD$4:$AD$40),IF($BL41=1,SUM('Final Calculation Sheet'!$AD$4:$AD$40)-SUMIFS('Final Calculation Sheet'!$AD$4:$AD$40,$AZ$5:$AZ$41,10),SUMIFS('Final Calculation Sheet'!$AD$4:$AD$40,$AZ$5:$AZ$41,$BH41)))&lt;=5,"ALL SETTLED","OUTSTANDING"),""))</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S.M.C</dc:creator>
  <dc:language>en-US</dc:language>
  <dcterms:created xsi:type="dcterms:W3CDTF">2026-09-02T06:08:07Z</dcterms:created>
  <dcterms:modified xsi:type="dcterms:W3CDTF">2026-09-11T06:12:54Z</dcterms:modified>
  <cp:lastModifiedBy>S.M.C</cp:lastModifiedBy>
  <cp:revision>0</cp:revision>
</cp:coreProperties>
</file>